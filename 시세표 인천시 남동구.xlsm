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" activeTab="1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간석동" sheetId="6" state="visible" r:id="rId6"/>
    <sheet xmlns:r="http://schemas.openxmlformats.org/officeDocument/2006/relationships" name="구월동" sheetId="7" state="visible" r:id="rId7"/>
    <sheet xmlns:r="http://schemas.openxmlformats.org/officeDocument/2006/relationships" name="남촌동" sheetId="8" state="visible" r:id="rId8"/>
    <sheet xmlns:r="http://schemas.openxmlformats.org/officeDocument/2006/relationships" name="논현동" sheetId="9" state="visible" r:id="rId9"/>
    <sheet xmlns:r="http://schemas.openxmlformats.org/officeDocument/2006/relationships" name="도림동" sheetId="10" state="visible" r:id="rId10"/>
    <sheet xmlns:r="http://schemas.openxmlformats.org/officeDocument/2006/relationships" name="만수동" sheetId="11" state="visible" r:id="rId11"/>
    <sheet xmlns:r="http://schemas.openxmlformats.org/officeDocument/2006/relationships" name="서창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'간석동'!$1:$3</definedName>
    <definedName name="_xlnm.Print_Area" localSheetId="5">'간석동'!$A$1:$U$6</definedName>
    <definedName name="_xlnm.Print_Titles" localSheetId="6">'구월동'!$1:$3</definedName>
    <definedName name="_xlnm.Print_Area" localSheetId="6">'구월동'!$A$1:$U$6</definedName>
    <definedName name="_xlnm.Print_Titles" localSheetId="7">'남촌동'!$1:$3</definedName>
    <definedName name="_xlnm.Print_Area" localSheetId="7">'남촌동'!$A$1:$U$6</definedName>
    <definedName name="_xlnm.Print_Titles" localSheetId="8">'논현동'!$1:$3</definedName>
    <definedName name="_xlnm.Print_Area" localSheetId="8">'논현동'!$A$1:$U$6</definedName>
    <definedName name="_xlnm.Print_Titles" localSheetId="9">'도림동'!$1:$3</definedName>
    <definedName name="_xlnm.Print_Area" localSheetId="9">'도림동'!$A$1:$U$6</definedName>
    <definedName name="_xlnm.Print_Titles" localSheetId="10">'만수동'!$1:$3</definedName>
    <definedName name="_xlnm.Print_Area" localSheetId="10">'만수동'!$A$1:$U$6</definedName>
    <definedName name="_xlnm.Print_Titles" localSheetId="11">'서창동'!$1:$3</definedName>
    <definedName name="_xlnm.Print_Area" localSheetId="11">'서창동'!$A$1:$U$6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11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1158">
      <formula>18.1</formula>
    </cfRule>
    <cfRule type="cellIs" priority="69564" operator="lessThan" dxfId="11157">
      <formula>21.1</formula>
    </cfRule>
    <cfRule type="cellIs" priority="69565" operator="lessThan" dxfId="11156">
      <formula>24.1</formula>
    </cfRule>
    <cfRule type="cellIs" priority="69566" operator="lessThan" dxfId="1">
      <formula>30</formula>
    </cfRule>
    <cfRule type="cellIs" priority="69567" operator="lessThan" dxfId="1115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747"/>
  <sheetViews>
    <sheetView zoomScaleNormal="100" workbookViewId="0">
      <selection activeCell="P7" sqref="P7"/>
    </sheetView>
  </sheetViews>
  <sheetFormatPr baseColWidth="8" defaultRowHeight="16.5"/>
  <sheetData>
    <row r="1">
      <c r="A1" s="0" t="inlineStr">
        <is>
          <t>[간석동]</t>
        </is>
      </c>
      <c r="B1" s="0" t="n">
        <v>25176</v>
      </c>
      <c r="C1" s="0" t="n">
        <v>1</v>
      </c>
      <c r="D1" s="0" t="inlineStr">
        <is>
          <t>우성꾸메마을2차</t>
        </is>
      </c>
      <c r="E1" s="0" t="inlineStr">
        <is>
          <t>2006.04.</t>
        </is>
      </c>
      <c r="F1" s="0" t="n">
        <v>36</v>
      </c>
      <c r="G1" s="0" t="n">
        <v>31.13</v>
      </c>
      <c r="H1" s="0" t="n">
        <v>102.91</v>
      </c>
      <c r="I1" s="0" t="n">
        <v>25.69</v>
      </c>
      <c r="J1" s="0" t="n">
        <v>84.94</v>
      </c>
      <c r="K1" s="0" t="n">
        <v>24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102B</t>
        </is>
      </c>
      <c r="X1" s="0" t="n">
        <v>14</v>
      </c>
      <c r="Y1" s="0" t="n">
        <v>8</v>
      </c>
      <c r="Z1" s="0" t="inlineStr">
        <is>
          <t>https://new.land.naver.com/complexes/25176?tab=detail&amp;rf=Y</t>
        </is>
      </c>
      <c r="AA1" s="0" t="inlineStr">
        <is>
          <t>인천시 남동구 간석동 43-2</t>
        </is>
      </c>
      <c r="AB1" s="0" t="inlineStr">
        <is>
          <t>인천시</t>
        </is>
      </c>
      <c r="AC1" s="0" t="inlineStr">
        <is>
          <t>남동구</t>
        </is>
      </c>
      <c r="AD1" s="0" t="inlineStr">
        <is>
          <t>간석동</t>
        </is>
      </c>
      <c r="AG1" s="0" t="inlineStr">
        <is>
          <t>인천시 남동구 간석로66번길 28</t>
        </is>
      </c>
      <c r="AH1" s="0" t="n">
        <v>0</v>
      </c>
      <c r="AI1" s="0" t="n">
        <v>327</v>
      </c>
      <c r="AJ1" s="0" t="n">
        <v>79</v>
      </c>
      <c r="AK1" s="0" t="n">
        <v>38</v>
      </c>
      <c r="AL1" s="0" t="n">
        <v>1.06</v>
      </c>
    </row>
    <row r="2">
      <c r="A2" s="0" t="inlineStr">
        <is>
          <t>[간석동]</t>
        </is>
      </c>
      <c r="B2" s="0" t="n">
        <v>25176</v>
      </c>
      <c r="C2" s="0" t="n">
        <v>2</v>
      </c>
      <c r="D2" s="0" t="inlineStr">
        <is>
          <t>우성꾸메마을2차</t>
        </is>
      </c>
      <c r="E2" s="0" t="inlineStr">
        <is>
          <t>2006.04.</t>
        </is>
      </c>
      <c r="F2" s="0" t="n">
        <v>36</v>
      </c>
      <c r="G2" s="0" t="n">
        <v>30.9</v>
      </c>
      <c r="H2" s="0" t="n">
        <v>102.15</v>
      </c>
      <c r="I2" s="0" t="n">
        <v>25.5</v>
      </c>
      <c r="J2" s="0" t="n">
        <v>84.31999999999999</v>
      </c>
      <c r="K2" s="0" t="n">
        <v>12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102A</t>
        </is>
      </c>
      <c r="X2" s="0" t="n">
        <v>14</v>
      </c>
      <c r="Y2" s="0" t="n">
        <v>8</v>
      </c>
      <c r="Z2" s="0" t="inlineStr">
        <is>
          <t>https://new.land.naver.com/complexes/25176?tab=detail&amp;rf=Y</t>
        </is>
      </c>
      <c r="AA2" s="0" t="inlineStr">
        <is>
          <t>인천시 남동구 간석동 43-2</t>
        </is>
      </c>
      <c r="AB2" s="0" t="inlineStr">
        <is>
          <t>인천시</t>
        </is>
      </c>
      <c r="AC2" s="0" t="inlineStr">
        <is>
          <t>남동구</t>
        </is>
      </c>
      <c r="AD2" s="0" t="inlineStr">
        <is>
          <t>간석동</t>
        </is>
      </c>
      <c r="AG2" s="0" t="inlineStr">
        <is>
          <t>인천시 남동구 간석로66번길 28</t>
        </is>
      </c>
      <c r="AH2" s="0" t="n">
        <v>0</v>
      </c>
      <c r="AI2" s="0" t="n">
        <v>327</v>
      </c>
      <c r="AJ2" s="0" t="n">
        <v>79</v>
      </c>
      <c r="AK2" s="0" t="n">
        <v>38</v>
      </c>
      <c r="AL2" s="0" t="n">
        <v>1.06</v>
      </c>
    </row>
    <row r="3">
      <c r="A3" s="0" t="inlineStr">
        <is>
          <t>[간석동]</t>
        </is>
      </c>
      <c r="B3" s="0" t="n">
        <v>132525</v>
      </c>
      <c r="C3" s="0" t="n">
        <v>1</v>
      </c>
      <c r="D3" s="0" t="inlineStr">
        <is>
          <t>더웰노블레스</t>
        </is>
      </c>
      <c r="E3" s="0" t="inlineStr">
        <is>
          <t>2020.06.</t>
        </is>
      </c>
      <c r="F3" s="0" t="n">
        <v>64</v>
      </c>
      <c r="G3" s="0" t="n">
        <v>26.75</v>
      </c>
      <c r="H3" s="0" t="n">
        <v>88.45999999999999</v>
      </c>
      <c r="I3" s="0" t="n">
        <v>20.36</v>
      </c>
      <c r="J3" s="0" t="n">
        <v>67.33</v>
      </c>
      <c r="K3" s="0" t="n">
        <v>16</v>
      </c>
      <c r="T3" s="0" t="n">
        <v>3</v>
      </c>
      <c r="U3" s="0" t="n">
        <v>2</v>
      </c>
      <c r="V3" s="0" t="inlineStr">
        <is>
          <t>계단식</t>
        </is>
      </c>
      <c r="W3" s="0" t="n">
        <v>88</v>
      </c>
      <c r="X3" s="0" t="n">
        <v>18</v>
      </c>
      <c r="Y3" s="0" t="n">
        <v>18</v>
      </c>
      <c r="Z3" s="0" t="inlineStr">
        <is>
          <t>https://new.land.naver.com/complexes/132525?tab=detail&amp;rf=Y</t>
        </is>
      </c>
      <c r="AA3" s="0" t="inlineStr">
        <is>
          <t>인천시 남동구 간석동 168-1</t>
        </is>
      </c>
      <c r="AB3" s="0" t="inlineStr">
        <is>
          <t>인천시</t>
        </is>
      </c>
      <c r="AC3" s="0" t="inlineStr">
        <is>
          <t>남동구</t>
        </is>
      </c>
      <c r="AD3" s="0" t="inlineStr">
        <is>
          <t>간석동</t>
        </is>
      </c>
      <c r="AG3" s="0" t="inlineStr">
        <is>
          <t>인천시 남동구 남동대로922번길 46</t>
        </is>
      </c>
      <c r="AH3" s="0" t="n">
        <v>0</v>
      </c>
      <c r="AI3" s="0" t="n">
        <v>898</v>
      </c>
      <c r="AJ3" s="0" t="n">
        <v>77</v>
      </c>
      <c r="AK3" s="0" t="n">
        <v>64</v>
      </c>
      <c r="AL3" s="0" t="n">
        <v>1</v>
      </c>
    </row>
    <row r="4">
      <c r="A4" s="0" t="inlineStr">
        <is>
          <t>[간석동]</t>
        </is>
      </c>
      <c r="B4" s="0" t="n">
        <v>132525</v>
      </c>
      <c r="C4" s="0" t="n">
        <v>2</v>
      </c>
      <c r="D4" s="0" t="inlineStr">
        <is>
          <t>더웰노블레스</t>
        </is>
      </c>
      <c r="E4" s="0" t="inlineStr">
        <is>
          <t>2020.06.</t>
        </is>
      </c>
      <c r="F4" s="0" t="n">
        <v>64</v>
      </c>
      <c r="G4" s="0" t="n">
        <v>28</v>
      </c>
      <c r="H4" s="0" t="n">
        <v>92.56999999999999</v>
      </c>
      <c r="I4" s="0" t="n">
        <v>21.21</v>
      </c>
      <c r="J4" s="0" t="n">
        <v>70.14</v>
      </c>
      <c r="K4" s="0" t="n">
        <v>16</v>
      </c>
      <c r="T4" s="0" t="n">
        <v>3</v>
      </c>
      <c r="U4" s="0" t="n">
        <v>2</v>
      </c>
      <c r="V4" s="0" t="inlineStr">
        <is>
          <t>계단식</t>
        </is>
      </c>
      <c r="W4" s="0" t="n">
        <v>92</v>
      </c>
      <c r="X4" s="0" t="n">
        <v>18</v>
      </c>
      <c r="Y4" s="0" t="n">
        <v>18</v>
      </c>
      <c r="Z4" s="0" t="inlineStr">
        <is>
          <t>https://new.land.naver.com/complexes/132525?tab=detail&amp;rf=Y</t>
        </is>
      </c>
      <c r="AA4" s="0" t="inlineStr">
        <is>
          <t>인천시 남동구 간석동 168-1</t>
        </is>
      </c>
      <c r="AB4" s="0" t="inlineStr">
        <is>
          <t>인천시</t>
        </is>
      </c>
      <c r="AC4" s="0" t="inlineStr">
        <is>
          <t>남동구</t>
        </is>
      </c>
      <c r="AD4" s="0" t="inlineStr">
        <is>
          <t>간석동</t>
        </is>
      </c>
      <c r="AG4" s="0" t="inlineStr">
        <is>
          <t>인천시 남동구 남동대로922번길 46</t>
        </is>
      </c>
      <c r="AH4" s="0" t="n">
        <v>0</v>
      </c>
      <c r="AI4" s="0" t="n">
        <v>898</v>
      </c>
      <c r="AJ4" s="0" t="n">
        <v>77</v>
      </c>
      <c r="AK4" s="0" t="n">
        <v>64</v>
      </c>
      <c r="AL4" s="0" t="n">
        <v>1</v>
      </c>
    </row>
    <row r="5">
      <c r="A5" s="0" t="inlineStr">
        <is>
          <t>[간석동]</t>
        </is>
      </c>
      <c r="B5" s="0" t="n">
        <v>132525</v>
      </c>
      <c r="C5" s="0" t="n">
        <v>3</v>
      </c>
      <c r="D5" s="0" t="inlineStr">
        <is>
          <t>더웰노블레스</t>
        </is>
      </c>
      <c r="E5" s="0" t="inlineStr">
        <is>
          <t>2020.06.</t>
        </is>
      </c>
      <c r="F5" s="0" t="n">
        <v>64</v>
      </c>
      <c r="G5" s="0" t="n">
        <v>29.7</v>
      </c>
      <c r="H5" s="0" t="n">
        <v>98.19</v>
      </c>
      <c r="I5" s="0" t="n">
        <v>22.72</v>
      </c>
      <c r="J5" s="0" t="n">
        <v>75.12</v>
      </c>
      <c r="K5" s="0" t="n">
        <v>16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18</v>
      </c>
      <c r="Y5" s="0" t="n">
        <v>18</v>
      </c>
      <c r="Z5" s="0" t="inlineStr">
        <is>
          <t>https://new.land.naver.com/complexes/132525?tab=detail&amp;rf=Y</t>
        </is>
      </c>
      <c r="AA5" s="0" t="inlineStr">
        <is>
          <t>인천시 남동구 간석동 168-1</t>
        </is>
      </c>
      <c r="AB5" s="0" t="inlineStr">
        <is>
          <t>인천시</t>
        </is>
      </c>
      <c r="AC5" s="0" t="inlineStr">
        <is>
          <t>남동구</t>
        </is>
      </c>
      <c r="AD5" s="0" t="inlineStr">
        <is>
          <t>간석동</t>
        </is>
      </c>
      <c r="AG5" s="0" t="inlineStr">
        <is>
          <t>인천시 남동구 남동대로922번길 46</t>
        </is>
      </c>
      <c r="AH5" s="0" t="n">
        <v>0</v>
      </c>
      <c r="AI5" s="0" t="n">
        <v>898</v>
      </c>
      <c r="AJ5" s="0" t="n">
        <v>77</v>
      </c>
      <c r="AK5" s="0" t="n">
        <v>64</v>
      </c>
      <c r="AL5" s="0" t="n">
        <v>1</v>
      </c>
    </row>
    <row r="6">
      <c r="A6" s="0" t="inlineStr">
        <is>
          <t>[간석동]</t>
        </is>
      </c>
      <c r="B6" s="0" t="n">
        <v>132525</v>
      </c>
      <c r="C6" s="0" t="n">
        <v>4</v>
      </c>
      <c r="D6" s="0" t="inlineStr">
        <is>
          <t>더웰노블레스</t>
        </is>
      </c>
      <c r="E6" s="0" t="inlineStr">
        <is>
          <t>2020.06.</t>
        </is>
      </c>
      <c r="F6" s="0" t="n">
        <v>64</v>
      </c>
      <c r="G6" s="0" t="n">
        <v>30.7</v>
      </c>
      <c r="H6" s="0" t="n">
        <v>101.5</v>
      </c>
      <c r="I6" s="0" t="n">
        <v>23.17</v>
      </c>
      <c r="J6" s="0" t="n">
        <v>76.59999999999999</v>
      </c>
      <c r="K6" s="0" t="n">
        <v>16</v>
      </c>
      <c r="T6" s="0" t="n">
        <v>3</v>
      </c>
      <c r="U6" s="0" t="n">
        <v>2</v>
      </c>
      <c r="V6" s="0" t="inlineStr">
        <is>
          <t>계단식</t>
        </is>
      </c>
      <c r="W6" s="0" t="n">
        <v>101</v>
      </c>
      <c r="X6" s="0" t="n">
        <v>18</v>
      </c>
      <c r="Y6" s="0" t="n">
        <v>18</v>
      </c>
      <c r="Z6" s="0" t="inlineStr">
        <is>
          <t>https://new.land.naver.com/complexes/132525?tab=detail&amp;rf=Y</t>
        </is>
      </c>
      <c r="AA6" s="0" t="inlineStr">
        <is>
          <t>인천시 남동구 간석동 168-1</t>
        </is>
      </c>
      <c r="AB6" s="0" t="inlineStr">
        <is>
          <t>인천시</t>
        </is>
      </c>
      <c r="AC6" s="0" t="inlineStr">
        <is>
          <t>남동구</t>
        </is>
      </c>
      <c r="AD6" s="0" t="inlineStr">
        <is>
          <t>간석동</t>
        </is>
      </c>
      <c r="AG6" s="0" t="inlineStr">
        <is>
          <t>인천시 남동구 남동대로922번길 46</t>
        </is>
      </c>
      <c r="AH6" s="0" t="n">
        <v>0</v>
      </c>
      <c r="AI6" s="0" t="n">
        <v>898</v>
      </c>
      <c r="AJ6" s="0" t="n">
        <v>77</v>
      </c>
      <c r="AK6" s="0" t="n">
        <v>64</v>
      </c>
      <c r="AL6" s="0" t="n">
        <v>1</v>
      </c>
    </row>
    <row r="7">
      <c r="A7" s="0" t="inlineStr">
        <is>
          <t>[간석동]</t>
        </is>
      </c>
      <c r="B7" s="0" t="n">
        <v>106103</v>
      </c>
      <c r="C7" s="0" t="n">
        <v>1</v>
      </c>
      <c r="D7" s="0" t="inlineStr">
        <is>
          <t>부경해피하임</t>
        </is>
      </c>
      <c r="E7" s="0" t="inlineStr">
        <is>
          <t>2010.11.</t>
        </is>
      </c>
      <c r="F7" s="0" t="n">
        <v>16</v>
      </c>
      <c r="G7" s="0" t="n">
        <v>24.38</v>
      </c>
      <c r="H7" s="0" t="n">
        <v>80.59999999999999</v>
      </c>
      <c r="I7" s="0" t="n">
        <v>21.11</v>
      </c>
      <c r="J7" s="0" t="n">
        <v>69.81</v>
      </c>
      <c r="K7" s="0" t="n">
        <v>16</v>
      </c>
      <c r="T7" s="0" t="n">
        <v>3</v>
      </c>
      <c r="U7" s="0" t="n">
        <v>2</v>
      </c>
      <c r="V7" s="0" t="inlineStr">
        <is>
          <t>복합식</t>
        </is>
      </c>
      <c r="W7" s="0" t="n">
        <v>80</v>
      </c>
      <c r="X7" s="0" t="n">
        <v>10</v>
      </c>
      <c r="Y7" s="0" t="n">
        <v>10</v>
      </c>
      <c r="Z7" s="0" t="inlineStr">
        <is>
          <t>https://new.land.naver.com/complexes/106103?tab=detail&amp;rf=Y</t>
        </is>
      </c>
      <c r="AA7" s="0" t="inlineStr">
        <is>
          <t>인천시 남동구 간석동 248-3</t>
        </is>
      </c>
      <c r="AB7" s="0" t="inlineStr">
        <is>
          <t>인천시</t>
        </is>
      </c>
      <c r="AC7" s="0" t="inlineStr">
        <is>
          <t>남동구</t>
        </is>
      </c>
      <c r="AD7" s="0" t="inlineStr">
        <is>
          <t>간석동</t>
        </is>
      </c>
      <c r="AG7" s="0" t="inlineStr">
        <is>
          <t>인천시 남동구 경인로 623</t>
        </is>
      </c>
      <c r="AH7" s="0" t="n">
        <v>0</v>
      </c>
      <c r="AI7" s="0" t="n">
        <v>338</v>
      </c>
      <c r="AJ7" s="0" t="n">
        <v>67</v>
      </c>
      <c r="AK7" s="0" t="n">
        <v>14</v>
      </c>
      <c r="AL7" s="0" t="n">
        <v>0.88</v>
      </c>
    </row>
    <row r="8">
      <c r="A8" s="0" t="inlineStr">
        <is>
          <t>[간석동]</t>
        </is>
      </c>
      <c r="B8" s="0" t="n">
        <v>134546</v>
      </c>
      <c r="C8" s="0" t="n">
        <v>1</v>
      </c>
      <c r="D8" s="0" t="inlineStr">
        <is>
          <t>스파티움</t>
        </is>
      </c>
      <c r="E8" s="0" t="inlineStr">
        <is>
          <t>2017.10.</t>
        </is>
      </c>
      <c r="F8" s="0" t="n">
        <v>9</v>
      </c>
      <c r="G8" s="0" t="n">
        <v>20.69</v>
      </c>
      <c r="H8" s="0" t="n">
        <v>68.41</v>
      </c>
      <c r="I8" s="0" t="n">
        <v>17.43</v>
      </c>
      <c r="J8" s="0" t="n">
        <v>57.63</v>
      </c>
      <c r="K8" s="0" t="n">
        <v>3</v>
      </c>
      <c r="T8" s="0" t="n">
        <v>3</v>
      </c>
      <c r="U8" s="0" t="n">
        <v>2</v>
      </c>
      <c r="V8" s="0" t="inlineStr">
        <is>
          <t>계단식</t>
        </is>
      </c>
      <c r="W8" s="0" t="n">
        <v>68</v>
      </c>
      <c r="X8" s="0" t="n">
        <v>14</v>
      </c>
      <c r="Y8" s="0" t="n">
        <v>14</v>
      </c>
      <c r="Z8" s="0" t="inlineStr">
        <is>
          <t>https://new.land.naver.com/complexes/134546?tab=detail&amp;rf=Y</t>
        </is>
      </c>
      <c r="AA8" s="0" t="inlineStr">
        <is>
          <t>인천시 남동구 간석동 101-2</t>
        </is>
      </c>
      <c r="AB8" s="0" t="inlineStr">
        <is>
          <t>인천시</t>
        </is>
      </c>
      <c r="AC8" s="0" t="inlineStr">
        <is>
          <t>남동구</t>
        </is>
      </c>
      <c r="AD8" s="0" t="inlineStr">
        <is>
          <t>간석동</t>
        </is>
      </c>
      <c r="AG8" s="0" t="inlineStr">
        <is>
          <t>인천시 남동구 간석로32번길 7</t>
        </is>
      </c>
      <c r="AH8" s="0" t="n">
        <v>0</v>
      </c>
      <c r="AI8" s="0" t="n">
        <v>816</v>
      </c>
      <c r="AJ8" s="0" t="n">
        <v>79</v>
      </c>
      <c r="AK8" s="0" t="n">
        <v>9</v>
      </c>
      <c r="AL8" s="0" t="n">
        <v>1</v>
      </c>
    </row>
    <row r="9">
      <c r="A9" s="0" t="inlineStr">
        <is>
          <t>[간석동]</t>
        </is>
      </c>
      <c r="B9" s="0" t="n">
        <v>134546</v>
      </c>
      <c r="C9" s="0" t="n">
        <v>2</v>
      </c>
      <c r="D9" s="0" t="inlineStr">
        <is>
          <t>스파티움</t>
        </is>
      </c>
      <c r="E9" s="0" t="inlineStr">
        <is>
          <t>2017.10.</t>
        </is>
      </c>
      <c r="F9" s="0" t="n">
        <v>9</v>
      </c>
      <c r="G9" s="0" t="n">
        <v>21.59</v>
      </c>
      <c r="H9" s="0" t="n">
        <v>71.39</v>
      </c>
      <c r="I9" s="0" t="n">
        <v>18.2</v>
      </c>
      <c r="J9" s="0" t="n">
        <v>60.17</v>
      </c>
      <c r="K9" s="0" t="n">
        <v>3</v>
      </c>
      <c r="T9" s="0" t="n">
        <v>3</v>
      </c>
      <c r="U9" s="0" t="n">
        <v>2</v>
      </c>
      <c r="V9" s="0" t="inlineStr">
        <is>
          <t>계단식</t>
        </is>
      </c>
      <c r="W9" s="0" t="n">
        <v>71</v>
      </c>
      <c r="X9" s="0" t="n">
        <v>14</v>
      </c>
      <c r="Y9" s="0" t="n">
        <v>14</v>
      </c>
      <c r="Z9" s="0" t="inlineStr">
        <is>
          <t>https://new.land.naver.com/complexes/134546?tab=detail&amp;rf=Y</t>
        </is>
      </c>
      <c r="AA9" s="0" t="inlineStr">
        <is>
          <t>인천시 남동구 간석동 101-2</t>
        </is>
      </c>
      <c r="AB9" s="0" t="inlineStr">
        <is>
          <t>인천시</t>
        </is>
      </c>
      <c r="AC9" s="0" t="inlineStr">
        <is>
          <t>남동구</t>
        </is>
      </c>
      <c r="AD9" s="0" t="inlineStr">
        <is>
          <t>간석동</t>
        </is>
      </c>
      <c r="AG9" s="0" t="inlineStr">
        <is>
          <t>인천시 남동구 간석로32번길 7</t>
        </is>
      </c>
      <c r="AH9" s="0" t="n">
        <v>0</v>
      </c>
      <c r="AI9" s="0" t="n">
        <v>816</v>
      </c>
      <c r="AJ9" s="0" t="n">
        <v>79</v>
      </c>
      <c r="AK9" s="0" t="n">
        <v>9</v>
      </c>
      <c r="AL9" s="0" t="n">
        <v>1</v>
      </c>
    </row>
    <row r="10">
      <c r="A10" s="0" t="inlineStr">
        <is>
          <t>[간석동]</t>
        </is>
      </c>
      <c r="B10" s="0" t="n">
        <v>134546</v>
      </c>
      <c r="C10" s="0" t="n">
        <v>3</v>
      </c>
      <c r="D10" s="0" t="inlineStr">
        <is>
          <t>스파티움</t>
        </is>
      </c>
      <c r="E10" s="0" t="inlineStr">
        <is>
          <t>2017.10.</t>
        </is>
      </c>
      <c r="F10" s="0" t="n">
        <v>9</v>
      </c>
      <c r="G10" s="0" t="n">
        <v>22.56</v>
      </c>
      <c r="H10" s="0" t="n">
        <v>74.58</v>
      </c>
      <c r="I10" s="0" t="n">
        <v>18.98</v>
      </c>
      <c r="J10" s="0" t="n">
        <v>62.75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74</v>
      </c>
      <c r="X10" s="0" t="n">
        <v>14</v>
      </c>
      <c r="Y10" s="0" t="n">
        <v>14</v>
      </c>
      <c r="Z10" s="0" t="inlineStr">
        <is>
          <t>https://new.land.naver.com/complexes/134546?tab=detail&amp;rf=Y</t>
        </is>
      </c>
      <c r="AA10" s="0" t="inlineStr">
        <is>
          <t>인천시 남동구 간석동 101-2</t>
        </is>
      </c>
      <c r="AB10" s="0" t="inlineStr">
        <is>
          <t>인천시</t>
        </is>
      </c>
      <c r="AC10" s="0" t="inlineStr">
        <is>
          <t>남동구</t>
        </is>
      </c>
      <c r="AD10" s="0" t="inlineStr">
        <is>
          <t>간석동</t>
        </is>
      </c>
      <c r="AG10" s="0" t="inlineStr">
        <is>
          <t>인천시 남동구 간석로32번길 7</t>
        </is>
      </c>
      <c r="AH10" s="0" t="n">
        <v>0</v>
      </c>
      <c r="AI10" s="0" t="n">
        <v>816</v>
      </c>
      <c r="AJ10" s="0" t="n">
        <v>79</v>
      </c>
      <c r="AK10" s="0" t="n">
        <v>9</v>
      </c>
      <c r="AL10" s="0" t="n">
        <v>1</v>
      </c>
    </row>
    <row r="11">
      <c r="A11" s="0" t="inlineStr">
        <is>
          <t>[간석동]</t>
        </is>
      </c>
      <c r="B11" s="0" t="n">
        <v>105978</v>
      </c>
      <c r="C11" s="0" t="n">
        <v>1</v>
      </c>
      <c r="D11" s="0" t="inlineStr">
        <is>
          <t>솔리채(216-2,도시형)</t>
        </is>
      </c>
      <c r="E11" s="0" t="inlineStr">
        <is>
          <t>2011.11.</t>
        </is>
      </c>
      <c r="F11" s="0" t="n">
        <v>72</v>
      </c>
      <c r="G11" s="0" t="n">
        <v>5.56</v>
      </c>
      <c r="H11" s="0" t="n">
        <v>18.4</v>
      </c>
      <c r="I11" s="0" t="n">
        <v>3.91</v>
      </c>
      <c r="J11" s="0" t="n">
        <v>12.94</v>
      </c>
      <c r="K11" s="0" t="n">
        <v>2</v>
      </c>
      <c r="T11" s="0" t="n">
        <v>1</v>
      </c>
      <c r="U11" s="0" t="n">
        <v>1</v>
      </c>
      <c r="V11" s="0" t="inlineStr">
        <is>
          <t>복합식</t>
        </is>
      </c>
      <c r="W11" s="0" t="n">
        <v>18</v>
      </c>
      <c r="X11" s="0" t="n">
        <v>10</v>
      </c>
      <c r="Y11" s="0" t="n">
        <v>10</v>
      </c>
      <c r="Z11" s="0" t="inlineStr">
        <is>
          <t>https://new.land.naver.com/complexes/105978?tab=detail&amp;rf=Y</t>
        </is>
      </c>
      <c r="AA11" s="0" t="inlineStr">
        <is>
          <t>인천시 남동구 간석동 216-2</t>
        </is>
      </c>
      <c r="AB11" s="0" t="inlineStr">
        <is>
          <t>인천시</t>
        </is>
      </c>
      <c r="AC11" s="0" t="inlineStr">
        <is>
          <t>남동구</t>
        </is>
      </c>
      <c r="AD11" s="0" t="inlineStr">
        <is>
          <t>간석동</t>
        </is>
      </c>
      <c r="AG11" s="0" t="inlineStr">
        <is>
          <t>인천시 남동구 경인로653번길 5</t>
        </is>
      </c>
      <c r="AH11" s="0" t="n">
        <v>0</v>
      </c>
      <c r="AI11" s="0" t="n">
        <v>509</v>
      </c>
      <c r="AJ11" s="0" t="n">
        <v>78</v>
      </c>
      <c r="AK11" s="0" t="n">
        <v>13</v>
      </c>
      <c r="AL11" s="0" t="n">
        <v>0.18</v>
      </c>
    </row>
    <row r="12">
      <c r="A12" s="0" t="inlineStr">
        <is>
          <t>[간석동]</t>
        </is>
      </c>
      <c r="B12" s="0" t="n">
        <v>105978</v>
      </c>
      <c r="C12" s="0" t="n">
        <v>2</v>
      </c>
      <c r="D12" s="0" t="inlineStr">
        <is>
          <t>솔리채(216-2,도시형)</t>
        </is>
      </c>
      <c r="E12" s="0" t="inlineStr">
        <is>
          <t>2011.11.</t>
        </is>
      </c>
      <c r="F12" s="0" t="n">
        <v>72</v>
      </c>
      <c r="G12" s="0" t="n">
        <v>6.88</v>
      </c>
      <c r="H12" s="0" t="n">
        <v>22.76</v>
      </c>
      <c r="I12" s="0" t="n">
        <v>4.84</v>
      </c>
      <c r="J12" s="0" t="n">
        <v>16.01</v>
      </c>
      <c r="K12" s="0" t="n">
        <v>60</v>
      </c>
      <c r="T12" s="0" t="n">
        <v>1</v>
      </c>
      <c r="U12" s="0" t="n">
        <v>1</v>
      </c>
      <c r="V12" s="0" t="inlineStr">
        <is>
          <t>복합식</t>
        </is>
      </c>
      <c r="W12" s="0" t="inlineStr">
        <is>
          <t>22B</t>
        </is>
      </c>
      <c r="X12" s="0" t="n">
        <v>10</v>
      </c>
      <c r="Y12" s="0" t="n">
        <v>10</v>
      </c>
      <c r="Z12" s="0" t="inlineStr">
        <is>
          <t>https://new.land.naver.com/complexes/105978?tab=detail&amp;rf=Y</t>
        </is>
      </c>
      <c r="AA12" s="0" t="inlineStr">
        <is>
          <t>인천시 남동구 간석동 216-2</t>
        </is>
      </c>
      <c r="AB12" s="0" t="inlineStr">
        <is>
          <t>인천시</t>
        </is>
      </c>
      <c r="AC12" s="0" t="inlineStr">
        <is>
          <t>남동구</t>
        </is>
      </c>
      <c r="AD12" s="0" t="inlineStr">
        <is>
          <t>간석동</t>
        </is>
      </c>
      <c r="AG12" s="0" t="inlineStr">
        <is>
          <t>인천시 남동구 경인로653번길 5</t>
        </is>
      </c>
      <c r="AH12" s="0" t="n">
        <v>0</v>
      </c>
      <c r="AI12" s="0" t="n">
        <v>509</v>
      </c>
      <c r="AJ12" s="0" t="n">
        <v>78</v>
      </c>
      <c r="AK12" s="0" t="n">
        <v>13</v>
      </c>
      <c r="AL12" s="0" t="n">
        <v>0.18</v>
      </c>
    </row>
    <row r="13">
      <c r="A13" s="0" t="inlineStr">
        <is>
          <t>[간석동]</t>
        </is>
      </c>
      <c r="B13" s="0" t="n">
        <v>105978</v>
      </c>
      <c r="C13" s="0" t="n">
        <v>3</v>
      </c>
      <c r="D13" s="0" t="inlineStr">
        <is>
          <t>솔리채(216-2,도시형)</t>
        </is>
      </c>
      <c r="E13" s="0" t="inlineStr">
        <is>
          <t>2011.11.</t>
        </is>
      </c>
      <c r="F13" s="0" t="n">
        <v>72</v>
      </c>
      <c r="G13" s="0" t="n">
        <v>7.23</v>
      </c>
      <c r="H13" s="0" t="n">
        <v>23.93</v>
      </c>
      <c r="I13" s="0" t="n">
        <v>5.09</v>
      </c>
      <c r="J13" s="0" t="n">
        <v>16.83</v>
      </c>
      <c r="K13" s="0" t="n">
        <v>8</v>
      </c>
      <c r="T13" s="0" t="n">
        <v>1</v>
      </c>
      <c r="U13" s="0" t="n">
        <v>1</v>
      </c>
      <c r="V13" s="0" t="inlineStr">
        <is>
          <t>복합식</t>
        </is>
      </c>
      <c r="W13" s="0" t="inlineStr">
        <is>
          <t>23A</t>
        </is>
      </c>
      <c r="X13" s="0" t="n">
        <v>10</v>
      </c>
      <c r="Y13" s="0" t="n">
        <v>10</v>
      </c>
      <c r="Z13" s="0" t="inlineStr">
        <is>
          <t>https://new.land.naver.com/complexes/105978?tab=detail&amp;rf=Y</t>
        </is>
      </c>
      <c r="AA13" s="0" t="inlineStr">
        <is>
          <t>인천시 남동구 간석동 216-2</t>
        </is>
      </c>
      <c r="AB13" s="0" t="inlineStr">
        <is>
          <t>인천시</t>
        </is>
      </c>
      <c r="AC13" s="0" t="inlineStr">
        <is>
          <t>남동구</t>
        </is>
      </c>
      <c r="AD13" s="0" t="inlineStr">
        <is>
          <t>간석동</t>
        </is>
      </c>
      <c r="AG13" s="0" t="inlineStr">
        <is>
          <t>인천시 남동구 경인로653번길 5</t>
        </is>
      </c>
      <c r="AH13" s="0" t="n">
        <v>0</v>
      </c>
      <c r="AI13" s="0" t="n">
        <v>509</v>
      </c>
      <c r="AJ13" s="0" t="n">
        <v>78</v>
      </c>
      <c r="AK13" s="0" t="n">
        <v>13</v>
      </c>
      <c r="AL13" s="0" t="n">
        <v>0.18</v>
      </c>
    </row>
    <row r="14">
      <c r="A14" s="0" t="inlineStr">
        <is>
          <t>[간석동]</t>
        </is>
      </c>
      <c r="B14" s="0" t="n">
        <v>105978</v>
      </c>
      <c r="C14" s="0" t="n">
        <v>4</v>
      </c>
      <c r="D14" s="0" t="inlineStr">
        <is>
          <t>솔리채(216-2,도시형)</t>
        </is>
      </c>
      <c r="E14" s="0" t="inlineStr">
        <is>
          <t>2011.11.</t>
        </is>
      </c>
      <c r="F14" s="0" t="n">
        <v>72</v>
      </c>
      <c r="G14" s="0" t="n">
        <v>10.24</v>
      </c>
      <c r="H14" s="0" t="n">
        <v>33.87</v>
      </c>
      <c r="I14" s="0" t="n">
        <v>7.2</v>
      </c>
      <c r="J14" s="0" t="n">
        <v>23.82</v>
      </c>
      <c r="K14" s="0" t="n">
        <v>2</v>
      </c>
      <c r="T14" s="0" t="n">
        <v>1</v>
      </c>
      <c r="U14" s="0" t="n">
        <v>1</v>
      </c>
      <c r="V14" s="0" t="inlineStr">
        <is>
          <t>복합식</t>
        </is>
      </c>
      <c r="W14" s="0" t="n">
        <v>33</v>
      </c>
      <c r="X14" s="0" t="n">
        <v>10</v>
      </c>
      <c r="Y14" s="0" t="n">
        <v>10</v>
      </c>
      <c r="Z14" s="0" t="inlineStr">
        <is>
          <t>https://new.land.naver.com/complexes/105978?tab=detail&amp;rf=Y</t>
        </is>
      </c>
      <c r="AA14" s="0" t="inlineStr">
        <is>
          <t>인천시 남동구 간석동 216-2</t>
        </is>
      </c>
      <c r="AB14" s="0" t="inlineStr">
        <is>
          <t>인천시</t>
        </is>
      </c>
      <c r="AC14" s="0" t="inlineStr">
        <is>
          <t>남동구</t>
        </is>
      </c>
      <c r="AD14" s="0" t="inlineStr">
        <is>
          <t>간석동</t>
        </is>
      </c>
      <c r="AG14" s="0" t="inlineStr">
        <is>
          <t>인천시 남동구 경인로653번길 5</t>
        </is>
      </c>
      <c r="AH14" s="0" t="n">
        <v>0</v>
      </c>
      <c r="AI14" s="0" t="n">
        <v>509</v>
      </c>
      <c r="AJ14" s="0" t="n">
        <v>78</v>
      </c>
      <c r="AK14" s="0" t="n">
        <v>13</v>
      </c>
      <c r="AL14" s="0" t="n">
        <v>0.18</v>
      </c>
    </row>
    <row r="15">
      <c r="A15" s="0" t="inlineStr">
        <is>
          <t>[간석동]</t>
        </is>
      </c>
      <c r="B15" s="0" t="n">
        <v>143663</v>
      </c>
      <c r="C15" s="0" t="n">
        <v>1</v>
      </c>
      <c r="D15" s="0" t="inlineStr">
        <is>
          <t>더레지던스</t>
        </is>
      </c>
      <c r="E15" s="0" t="inlineStr">
        <is>
          <t>2015.04.</t>
        </is>
      </c>
      <c r="F15" s="0" t="n">
        <v>12</v>
      </c>
      <c r="G15" s="0" t="n">
        <v>21.32</v>
      </c>
      <c r="H15" s="0" t="n">
        <v>70.5</v>
      </c>
      <c r="I15" s="0" t="n">
        <v>17.26</v>
      </c>
      <c r="J15" s="0" t="n">
        <v>57.09</v>
      </c>
      <c r="K15" s="0" t="n">
        <v>1</v>
      </c>
      <c r="T15" s="0" t="n">
        <v>3</v>
      </c>
      <c r="U15" s="0" t="n">
        <v>2</v>
      </c>
      <c r="V15" s="0" t="inlineStr">
        <is>
          <t>계단식</t>
        </is>
      </c>
      <c r="W15" s="0" t="n">
        <v>70</v>
      </c>
      <c r="X15" s="0" t="n">
        <v>8</v>
      </c>
      <c r="Y15" s="0" t="n">
        <v>7</v>
      </c>
      <c r="Z15" s="0" t="inlineStr">
        <is>
          <t>https://new.land.naver.com/complexes/143663?tab=detail&amp;rf=Y</t>
        </is>
      </c>
      <c r="AA15" s="0" t="inlineStr">
        <is>
          <t>인천시 남동구 간석동 117-12</t>
        </is>
      </c>
      <c r="AB15" s="0" t="inlineStr">
        <is>
          <t>인천시</t>
        </is>
      </c>
      <c r="AC15" s="0" t="inlineStr">
        <is>
          <t>남동구</t>
        </is>
      </c>
      <c r="AD15" s="0" t="inlineStr">
        <is>
          <t>간석동</t>
        </is>
      </c>
      <c r="AG15" s="0" t="inlineStr">
        <is>
          <t>인천시 남동구 백범로 348-1</t>
        </is>
      </c>
      <c r="AH15" s="0" t="n">
        <v>0</v>
      </c>
      <c r="AI15" s="0" t="n">
        <v>354</v>
      </c>
      <c r="AJ15" s="0" t="n">
        <v>79</v>
      </c>
      <c r="AK15" s="0" t="n">
        <v>11</v>
      </c>
      <c r="AL15" s="0" t="n">
        <v>0.92</v>
      </c>
    </row>
    <row r="16">
      <c r="A16" s="0" t="inlineStr">
        <is>
          <t>[간석동]</t>
        </is>
      </c>
      <c r="B16" s="0" t="n">
        <v>143663</v>
      </c>
      <c r="C16" s="0" t="n">
        <v>2</v>
      </c>
      <c r="D16" s="0" t="inlineStr">
        <is>
          <t>더레지던스</t>
        </is>
      </c>
      <c r="E16" s="0" t="inlineStr">
        <is>
          <t>2015.04.</t>
        </is>
      </c>
      <c r="F16" s="0" t="n">
        <v>12</v>
      </c>
      <c r="G16" s="0" t="n">
        <v>21.97</v>
      </c>
      <c r="H16" s="0" t="n">
        <v>72.66</v>
      </c>
      <c r="I16" s="0" t="n">
        <v>17.86</v>
      </c>
      <c r="J16" s="0" t="n">
        <v>59.06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n">
        <v>72</v>
      </c>
      <c r="X16" s="0" t="n">
        <v>8</v>
      </c>
      <c r="Y16" s="0" t="n">
        <v>7</v>
      </c>
      <c r="Z16" s="0" t="inlineStr">
        <is>
          <t>https://new.land.naver.com/complexes/143663?tab=detail&amp;rf=Y</t>
        </is>
      </c>
      <c r="AA16" s="0" t="inlineStr">
        <is>
          <t>인천시 남동구 간석동 117-12</t>
        </is>
      </c>
      <c r="AB16" s="0" t="inlineStr">
        <is>
          <t>인천시</t>
        </is>
      </c>
      <c r="AC16" s="0" t="inlineStr">
        <is>
          <t>남동구</t>
        </is>
      </c>
      <c r="AD16" s="0" t="inlineStr">
        <is>
          <t>간석동</t>
        </is>
      </c>
      <c r="AG16" s="0" t="inlineStr">
        <is>
          <t>인천시 남동구 백범로 348-1</t>
        </is>
      </c>
      <c r="AH16" s="0" t="n">
        <v>0</v>
      </c>
      <c r="AI16" s="0" t="n">
        <v>354</v>
      </c>
      <c r="AJ16" s="0" t="n">
        <v>79</v>
      </c>
      <c r="AK16" s="0" t="n">
        <v>11</v>
      </c>
      <c r="AL16" s="0" t="n">
        <v>0.92</v>
      </c>
    </row>
    <row r="17">
      <c r="A17" s="0" t="inlineStr">
        <is>
          <t>[간석동]</t>
        </is>
      </c>
      <c r="B17" s="0" t="n">
        <v>143663</v>
      </c>
      <c r="C17" s="0" t="n">
        <v>3</v>
      </c>
      <c r="D17" s="0" t="inlineStr">
        <is>
          <t>더레지던스</t>
        </is>
      </c>
      <c r="E17" s="0" t="inlineStr">
        <is>
          <t>2015.04.</t>
        </is>
      </c>
      <c r="F17" s="0" t="n">
        <v>12</v>
      </c>
      <c r="G17" s="0" t="n">
        <v>23.82</v>
      </c>
      <c r="H17" s="0" t="n">
        <v>78.75</v>
      </c>
      <c r="I17" s="0" t="n">
        <v>19.44</v>
      </c>
      <c r="J17" s="0" t="n">
        <v>64.28</v>
      </c>
      <c r="K17" s="0" t="n">
        <v>5</v>
      </c>
      <c r="T17" s="0" t="n">
        <v>3</v>
      </c>
      <c r="U17" s="0" t="n">
        <v>2</v>
      </c>
      <c r="V17" s="0" t="inlineStr">
        <is>
          <t>계단식</t>
        </is>
      </c>
      <c r="W17" s="0" t="n">
        <v>78</v>
      </c>
      <c r="X17" s="0" t="n">
        <v>8</v>
      </c>
      <c r="Y17" s="0" t="n">
        <v>7</v>
      </c>
      <c r="Z17" s="0" t="inlineStr">
        <is>
          <t>https://new.land.naver.com/complexes/143663?tab=detail&amp;rf=Y</t>
        </is>
      </c>
      <c r="AA17" s="0" t="inlineStr">
        <is>
          <t>인천시 남동구 간석동 117-12</t>
        </is>
      </c>
      <c r="AB17" s="0" t="inlineStr">
        <is>
          <t>인천시</t>
        </is>
      </c>
      <c r="AC17" s="0" t="inlineStr">
        <is>
          <t>남동구</t>
        </is>
      </c>
      <c r="AD17" s="0" t="inlineStr">
        <is>
          <t>간석동</t>
        </is>
      </c>
      <c r="AG17" s="0" t="inlineStr">
        <is>
          <t>인천시 남동구 백범로 348-1</t>
        </is>
      </c>
      <c r="AH17" s="0" t="n">
        <v>0</v>
      </c>
      <c r="AI17" s="0" t="n">
        <v>354</v>
      </c>
      <c r="AJ17" s="0" t="n">
        <v>79</v>
      </c>
      <c r="AK17" s="0" t="n">
        <v>11</v>
      </c>
      <c r="AL17" s="0" t="n">
        <v>0.92</v>
      </c>
    </row>
    <row r="18">
      <c r="A18" s="0" t="inlineStr">
        <is>
          <t>[간석동]</t>
        </is>
      </c>
      <c r="B18" s="0" t="n">
        <v>143663</v>
      </c>
      <c r="C18" s="0" t="n">
        <v>4</v>
      </c>
      <c r="D18" s="0" t="inlineStr">
        <is>
          <t>더레지던스</t>
        </is>
      </c>
      <c r="E18" s="0" t="inlineStr">
        <is>
          <t>2015.04.</t>
        </is>
      </c>
      <c r="F18" s="0" t="n">
        <v>12</v>
      </c>
      <c r="G18" s="0" t="n">
        <v>24.76</v>
      </c>
      <c r="H18" s="0" t="n">
        <v>81.88</v>
      </c>
      <c r="I18" s="0" t="n">
        <v>20.24</v>
      </c>
      <c r="J18" s="0" t="n">
        <v>66.92</v>
      </c>
      <c r="K18" s="0" t="n">
        <v>5</v>
      </c>
      <c r="T18" s="0" t="n">
        <v>3</v>
      </c>
      <c r="U18" s="0" t="n">
        <v>2</v>
      </c>
      <c r="V18" s="0" t="inlineStr">
        <is>
          <t>계단식</t>
        </is>
      </c>
      <c r="W18" s="0" t="n">
        <v>81</v>
      </c>
      <c r="X18" s="0" t="n">
        <v>8</v>
      </c>
      <c r="Y18" s="0" t="n">
        <v>7</v>
      </c>
      <c r="Z18" s="0" t="inlineStr">
        <is>
          <t>https://new.land.naver.com/complexes/143663?tab=detail&amp;rf=Y</t>
        </is>
      </c>
      <c r="AA18" s="0" t="inlineStr">
        <is>
          <t>인천시 남동구 간석동 117-12</t>
        </is>
      </c>
      <c r="AB18" s="0" t="inlineStr">
        <is>
          <t>인천시</t>
        </is>
      </c>
      <c r="AC18" s="0" t="inlineStr">
        <is>
          <t>남동구</t>
        </is>
      </c>
      <c r="AD18" s="0" t="inlineStr">
        <is>
          <t>간석동</t>
        </is>
      </c>
      <c r="AG18" s="0" t="inlineStr">
        <is>
          <t>인천시 남동구 백범로 348-1</t>
        </is>
      </c>
      <c r="AH18" s="0" t="n">
        <v>0</v>
      </c>
      <c r="AI18" s="0" t="n">
        <v>354</v>
      </c>
      <c r="AJ18" s="0" t="n">
        <v>79</v>
      </c>
      <c r="AK18" s="0" t="n">
        <v>11</v>
      </c>
      <c r="AL18" s="0" t="n">
        <v>0.92</v>
      </c>
    </row>
    <row r="19">
      <c r="A19" s="0" t="inlineStr">
        <is>
          <t>[간석동]</t>
        </is>
      </c>
      <c r="B19" s="0" t="n">
        <v>124916</v>
      </c>
      <c r="C19" s="0" t="n">
        <v>1</v>
      </c>
      <c r="D19" s="0" t="inlineStr">
        <is>
          <t>세븐시티</t>
        </is>
      </c>
      <c r="E19" s="0" t="inlineStr">
        <is>
          <t>2019.02.</t>
        </is>
      </c>
      <c r="F19" s="0" t="n">
        <v>8</v>
      </c>
      <c r="G19" s="0" t="n">
        <v>20.21</v>
      </c>
      <c r="H19" s="0" t="n">
        <v>66.81999999999999</v>
      </c>
      <c r="I19" s="0" t="n">
        <v>17.02</v>
      </c>
      <c r="J19" s="0" t="n">
        <v>56.27</v>
      </c>
      <c r="K19" s="0" t="n">
        <v>2</v>
      </c>
      <c r="T19" s="0" t="n">
        <v>3</v>
      </c>
      <c r="U19" s="0" t="n">
        <v>1</v>
      </c>
      <c r="V19" s="0" t="inlineStr">
        <is>
          <t>계단식</t>
        </is>
      </c>
      <c r="W19" s="0" t="n">
        <v>66</v>
      </c>
      <c r="X19" s="0" t="n">
        <v>14</v>
      </c>
      <c r="Y19" s="0" t="n">
        <v>14</v>
      </c>
      <c r="Z19" s="0" t="inlineStr">
        <is>
          <t>https://new.land.naver.com/complexes/124916?tab=detail&amp;rf=Y</t>
        </is>
      </c>
      <c r="AA19" s="0" t="inlineStr">
        <is>
          <t>인천시 남동구 간석동 108-7</t>
        </is>
      </c>
      <c r="AB19" s="0" t="inlineStr">
        <is>
          <t>인천시</t>
        </is>
      </c>
      <c r="AC19" s="0" t="inlineStr">
        <is>
          <t>남동구</t>
        </is>
      </c>
      <c r="AD19" s="0" t="inlineStr">
        <is>
          <t>간석동</t>
        </is>
      </c>
      <c r="AG19" s="0" t="inlineStr">
        <is>
          <t>인천시 남동구 경인로644번길 15</t>
        </is>
      </c>
      <c r="AH19" s="0" t="n">
        <v>0</v>
      </c>
      <c r="AI19" s="0" t="n">
        <v>771</v>
      </c>
      <c r="AJ19" s="0" t="n">
        <v>68</v>
      </c>
      <c r="AK19" s="0" t="n">
        <v>8</v>
      </c>
      <c r="AL19" s="0" t="n">
        <v>1</v>
      </c>
    </row>
    <row r="20">
      <c r="A20" s="0" t="inlineStr">
        <is>
          <t>[간석동]</t>
        </is>
      </c>
      <c r="B20" s="0" t="n">
        <v>124916</v>
      </c>
      <c r="C20" s="0" t="n">
        <v>2</v>
      </c>
      <c r="D20" s="0" t="inlineStr">
        <is>
          <t>세븐시티</t>
        </is>
      </c>
      <c r="E20" s="0" t="inlineStr">
        <is>
          <t>2019.02.</t>
        </is>
      </c>
      <c r="F20" s="0" t="n">
        <v>8</v>
      </c>
      <c r="G20" s="0" t="n">
        <v>22.88</v>
      </c>
      <c r="H20" s="0" t="n">
        <v>75.66</v>
      </c>
      <c r="I20" s="0" t="n">
        <v>19.16</v>
      </c>
      <c r="J20" s="0" t="n">
        <v>63.36</v>
      </c>
      <c r="K20" s="0" t="n">
        <v>2</v>
      </c>
      <c r="T20" s="0" t="n">
        <v>3</v>
      </c>
      <c r="U20" s="0" t="n">
        <v>1</v>
      </c>
      <c r="V20" s="0" t="inlineStr">
        <is>
          <t>계단식</t>
        </is>
      </c>
      <c r="W20" s="0" t="n">
        <v>75</v>
      </c>
      <c r="X20" s="0" t="n">
        <v>14</v>
      </c>
      <c r="Y20" s="0" t="n">
        <v>14</v>
      </c>
      <c r="Z20" s="0" t="inlineStr">
        <is>
          <t>https://new.land.naver.com/complexes/124916?tab=detail&amp;rf=Y</t>
        </is>
      </c>
      <c r="AA20" s="0" t="inlineStr">
        <is>
          <t>인천시 남동구 간석동 108-7</t>
        </is>
      </c>
      <c r="AB20" s="0" t="inlineStr">
        <is>
          <t>인천시</t>
        </is>
      </c>
      <c r="AC20" s="0" t="inlineStr">
        <is>
          <t>남동구</t>
        </is>
      </c>
      <c r="AD20" s="0" t="inlineStr">
        <is>
          <t>간석동</t>
        </is>
      </c>
      <c r="AG20" s="0" t="inlineStr">
        <is>
          <t>인천시 남동구 경인로644번길 15</t>
        </is>
      </c>
      <c r="AH20" s="0" t="n">
        <v>0</v>
      </c>
      <c r="AI20" s="0" t="n">
        <v>771</v>
      </c>
      <c r="AJ20" s="0" t="n">
        <v>68</v>
      </c>
      <c r="AK20" s="0" t="n">
        <v>8</v>
      </c>
      <c r="AL20" s="0" t="n">
        <v>1</v>
      </c>
    </row>
    <row r="21">
      <c r="A21" s="0" t="inlineStr">
        <is>
          <t>[간석동]</t>
        </is>
      </c>
      <c r="B21" s="0" t="n">
        <v>124916</v>
      </c>
      <c r="C21" s="0" t="n">
        <v>3</v>
      </c>
      <c r="D21" s="0" t="inlineStr">
        <is>
          <t>세븐시티</t>
        </is>
      </c>
      <c r="E21" s="0" t="inlineStr">
        <is>
          <t>2019.02.</t>
        </is>
      </c>
      <c r="F21" s="0" t="n">
        <v>8</v>
      </c>
      <c r="G21" s="0" t="n">
        <v>24.22</v>
      </c>
      <c r="H21" s="0" t="n">
        <v>80.08</v>
      </c>
      <c r="I21" s="0" t="n">
        <v>20.78</v>
      </c>
      <c r="J21" s="0" t="n">
        <v>68.70999999999999</v>
      </c>
      <c r="K21" s="0" t="n">
        <v>2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80A</t>
        </is>
      </c>
      <c r="X21" s="0" t="n">
        <v>14</v>
      </c>
      <c r="Y21" s="0" t="n">
        <v>14</v>
      </c>
      <c r="Z21" s="0" t="inlineStr">
        <is>
          <t>https://new.land.naver.com/complexes/124916?tab=detail&amp;rf=Y</t>
        </is>
      </c>
      <c r="AA21" s="0" t="inlineStr">
        <is>
          <t>인천시 남동구 간석동 108-7</t>
        </is>
      </c>
      <c r="AB21" s="0" t="inlineStr">
        <is>
          <t>인천시</t>
        </is>
      </c>
      <c r="AC21" s="0" t="inlineStr">
        <is>
          <t>남동구</t>
        </is>
      </c>
      <c r="AD21" s="0" t="inlineStr">
        <is>
          <t>간석동</t>
        </is>
      </c>
      <c r="AG21" s="0" t="inlineStr">
        <is>
          <t>인천시 남동구 경인로644번길 15</t>
        </is>
      </c>
      <c r="AH21" s="0" t="n">
        <v>0</v>
      </c>
      <c r="AI21" s="0" t="n">
        <v>771</v>
      </c>
      <c r="AJ21" s="0" t="n">
        <v>68</v>
      </c>
      <c r="AK21" s="0" t="n">
        <v>8</v>
      </c>
      <c r="AL21" s="0" t="n">
        <v>1</v>
      </c>
    </row>
    <row r="22">
      <c r="A22" s="0" t="inlineStr">
        <is>
          <t>[간석동]</t>
        </is>
      </c>
      <c r="B22" s="0" t="n">
        <v>124916</v>
      </c>
      <c r="C22" s="0" t="n">
        <v>4</v>
      </c>
      <c r="D22" s="0" t="inlineStr">
        <is>
          <t>세븐시티</t>
        </is>
      </c>
      <c r="E22" s="0" t="inlineStr">
        <is>
          <t>2019.02.</t>
        </is>
      </c>
      <c r="F22" s="0" t="n">
        <v>8</v>
      </c>
      <c r="G22" s="0" t="n">
        <v>24.46</v>
      </c>
      <c r="H22" s="0" t="n">
        <v>80.88</v>
      </c>
      <c r="I22" s="0" t="n">
        <v>20.99</v>
      </c>
      <c r="J22" s="0" t="n">
        <v>69.42</v>
      </c>
      <c r="K22" s="0" t="n">
        <v>2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80B</t>
        </is>
      </c>
      <c r="X22" s="0" t="n">
        <v>14</v>
      </c>
      <c r="Y22" s="0" t="n">
        <v>14</v>
      </c>
      <c r="Z22" s="0" t="inlineStr">
        <is>
          <t>https://new.land.naver.com/complexes/124916?tab=detail&amp;rf=Y</t>
        </is>
      </c>
      <c r="AA22" s="0" t="inlineStr">
        <is>
          <t>인천시 남동구 간석동 108-7</t>
        </is>
      </c>
      <c r="AB22" s="0" t="inlineStr">
        <is>
          <t>인천시</t>
        </is>
      </c>
      <c r="AC22" s="0" t="inlineStr">
        <is>
          <t>남동구</t>
        </is>
      </c>
      <c r="AD22" s="0" t="inlineStr">
        <is>
          <t>간석동</t>
        </is>
      </c>
      <c r="AG22" s="0" t="inlineStr">
        <is>
          <t>인천시 남동구 경인로644번길 15</t>
        </is>
      </c>
      <c r="AH22" s="0" t="n">
        <v>0</v>
      </c>
      <c r="AI22" s="0" t="n">
        <v>771</v>
      </c>
      <c r="AJ22" s="0" t="n">
        <v>68</v>
      </c>
      <c r="AK22" s="0" t="n">
        <v>8</v>
      </c>
      <c r="AL22" s="0" t="n">
        <v>1</v>
      </c>
    </row>
    <row r="23">
      <c r="A23" s="0" t="inlineStr">
        <is>
          <t>[간석동]</t>
        </is>
      </c>
      <c r="B23" s="0" t="n">
        <v>16592</v>
      </c>
      <c r="C23" s="0" t="n">
        <v>1</v>
      </c>
      <c r="D23" s="0" t="inlineStr">
        <is>
          <t>청실프라자</t>
        </is>
      </c>
      <c r="E23" s="0" t="inlineStr">
        <is>
          <t>1994.06.</t>
        </is>
      </c>
      <c r="F23" s="0" t="n">
        <v>58</v>
      </c>
      <c r="G23" s="0" t="n">
        <v>13.93</v>
      </c>
      <c r="H23" s="0" t="n">
        <v>46.07</v>
      </c>
      <c r="I23" s="0" t="n">
        <v>10.56</v>
      </c>
      <c r="J23" s="0" t="n">
        <v>34.92</v>
      </c>
      <c r="K23" s="0" t="n">
        <v>22</v>
      </c>
      <c r="T23" s="0" t="n">
        <v>2</v>
      </c>
      <c r="U23" s="0" t="n">
        <v>1</v>
      </c>
      <c r="V23" s="0" t="inlineStr">
        <is>
          <t>복도식</t>
        </is>
      </c>
      <c r="W23" s="0" t="n">
        <v>46</v>
      </c>
      <c r="X23" s="0" t="n">
        <v>9</v>
      </c>
      <c r="Y23" s="0" t="n">
        <v>8</v>
      </c>
      <c r="Z23" s="0" t="inlineStr">
        <is>
          <t>https://new.land.naver.com/complexes/16592?tab=detail&amp;rf=Y</t>
        </is>
      </c>
      <c r="AA23" s="0" t="inlineStr">
        <is>
          <t>인천시 남동구 간석동 229-1</t>
        </is>
      </c>
      <c r="AB23" s="0" t="inlineStr">
        <is>
          <t>인천시</t>
        </is>
      </c>
      <c r="AC23" s="0" t="inlineStr">
        <is>
          <t>남동구</t>
        </is>
      </c>
      <c r="AD23" s="0" t="inlineStr">
        <is>
          <t>간석동</t>
        </is>
      </c>
      <c r="AG23" s="0" t="inlineStr">
        <is>
          <t>인천시 남동구 동암남로26번길 39</t>
        </is>
      </c>
      <c r="AH23" s="0" t="n">
        <v>0</v>
      </c>
      <c r="AI23" s="0" t="n">
        <v>300</v>
      </c>
      <c r="AJ23" s="0" t="n">
        <v>60</v>
      </c>
      <c r="AK23" s="0" t="n">
        <v>147</v>
      </c>
      <c r="AL23" s="0" t="n">
        <v>2.53</v>
      </c>
    </row>
    <row r="24">
      <c r="A24" s="0" t="inlineStr">
        <is>
          <t>[간석동]</t>
        </is>
      </c>
      <c r="B24" s="0" t="n">
        <v>16592</v>
      </c>
      <c r="C24" s="0" t="n">
        <v>2</v>
      </c>
      <c r="D24" s="0" t="inlineStr">
        <is>
          <t>청실프라자</t>
        </is>
      </c>
      <c r="E24" s="0" t="inlineStr">
        <is>
          <t>1994.06.</t>
        </is>
      </c>
      <c r="F24" s="0" t="n">
        <v>58</v>
      </c>
      <c r="G24" s="0" t="n">
        <v>27.58</v>
      </c>
      <c r="H24" s="0" t="n">
        <v>91.19</v>
      </c>
      <c r="I24" s="0" t="n">
        <v>20.9</v>
      </c>
      <c r="J24" s="0" t="n">
        <v>69.12</v>
      </c>
      <c r="K24" s="0" t="n">
        <v>36</v>
      </c>
      <c r="T24" s="0" t="n">
        <v>3</v>
      </c>
      <c r="U24" s="0" t="n">
        <v>1</v>
      </c>
      <c r="V24" s="0" t="inlineStr">
        <is>
          <t>복도식</t>
        </is>
      </c>
      <c r="W24" s="0" t="n">
        <v>91</v>
      </c>
      <c r="X24" s="0" t="n">
        <v>9</v>
      </c>
      <c r="Y24" s="0" t="n">
        <v>8</v>
      </c>
      <c r="Z24" s="0" t="inlineStr">
        <is>
          <t>https://new.land.naver.com/complexes/16592?tab=detail&amp;rf=Y</t>
        </is>
      </c>
      <c r="AA24" s="0" t="inlineStr">
        <is>
          <t>인천시 남동구 간석동 229-1</t>
        </is>
      </c>
      <c r="AB24" s="0" t="inlineStr">
        <is>
          <t>인천시</t>
        </is>
      </c>
      <c r="AC24" s="0" t="inlineStr">
        <is>
          <t>남동구</t>
        </is>
      </c>
      <c r="AD24" s="0" t="inlineStr">
        <is>
          <t>간석동</t>
        </is>
      </c>
      <c r="AG24" s="0" t="inlineStr">
        <is>
          <t>인천시 남동구 동암남로26번길 39</t>
        </is>
      </c>
      <c r="AH24" s="0" t="n">
        <v>0</v>
      </c>
      <c r="AI24" s="0" t="n">
        <v>300</v>
      </c>
      <c r="AJ24" s="0" t="n">
        <v>60</v>
      </c>
      <c r="AK24" s="0" t="n">
        <v>147</v>
      </c>
      <c r="AL24" s="0" t="n">
        <v>2.53</v>
      </c>
    </row>
    <row r="25">
      <c r="A25" s="0" t="inlineStr">
        <is>
          <t>[간석동]</t>
        </is>
      </c>
      <c r="B25" s="0" t="n">
        <v>135953</v>
      </c>
      <c r="C25" s="0" t="n">
        <v>1</v>
      </c>
      <c r="D25" s="0" t="inlineStr">
        <is>
          <t>미르캐슬</t>
        </is>
      </c>
      <c r="E25" s="0" t="inlineStr">
        <is>
          <t>2016.06.</t>
        </is>
      </c>
      <c r="F25" s="0" t="n">
        <v>12</v>
      </c>
      <c r="G25" s="0" t="n">
        <v>19.88</v>
      </c>
      <c r="H25" s="0" t="n">
        <v>65.73999999999999</v>
      </c>
      <c r="I25" s="0" t="n">
        <v>16.38</v>
      </c>
      <c r="J25" s="0" t="n">
        <v>54.17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65A</t>
        </is>
      </c>
      <c r="X25" s="0" t="n">
        <v>10</v>
      </c>
      <c r="Y25" s="0" t="n">
        <v>10</v>
      </c>
      <c r="Z25" s="0" t="inlineStr">
        <is>
          <t>https://new.land.naver.com/complexes/135953?tab=detail&amp;rf=Y</t>
        </is>
      </c>
      <c r="AA25" s="0" t="inlineStr">
        <is>
          <t>인천시 남동구 간석동 224-12</t>
        </is>
      </c>
      <c r="AB25" s="0" t="inlineStr">
        <is>
          <t>인천시</t>
        </is>
      </c>
      <c r="AC25" s="0" t="inlineStr">
        <is>
          <t>남동구</t>
        </is>
      </c>
      <c r="AD25" s="0" t="inlineStr">
        <is>
          <t>간석동</t>
        </is>
      </c>
      <c r="AG25" s="0" t="inlineStr">
        <is>
          <t>인천시 남동구 간석로72번길 39-47</t>
        </is>
      </c>
      <c r="AH25" s="0" t="n">
        <v>0</v>
      </c>
      <c r="AI25" s="0" t="n">
        <v>459</v>
      </c>
      <c r="AJ25" s="0" t="n">
        <v>59</v>
      </c>
      <c r="AK25" s="0" t="n">
        <v>11</v>
      </c>
      <c r="AL25" s="0" t="n">
        <v>0.92</v>
      </c>
    </row>
    <row r="26">
      <c r="A26" s="0" t="inlineStr">
        <is>
          <t>[간석동]</t>
        </is>
      </c>
      <c r="B26" s="0" t="n">
        <v>135953</v>
      </c>
      <c r="C26" s="0" t="n">
        <v>2</v>
      </c>
      <c r="D26" s="0" t="inlineStr">
        <is>
          <t>미르캐슬</t>
        </is>
      </c>
      <c r="E26" s="0" t="inlineStr">
        <is>
          <t>2016.06.</t>
        </is>
      </c>
      <c r="F26" s="0" t="n">
        <v>12</v>
      </c>
      <c r="G26" s="0" t="n">
        <v>20.14</v>
      </c>
      <c r="H26" s="0" t="n">
        <v>66.59999999999999</v>
      </c>
      <c r="I26" s="0" t="n">
        <v>16.43</v>
      </c>
      <c r="J26" s="0" t="n">
        <v>54.34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66B</t>
        </is>
      </c>
      <c r="X26" s="0" t="n">
        <v>10</v>
      </c>
      <c r="Y26" s="0" t="n">
        <v>10</v>
      </c>
      <c r="Z26" s="0" t="inlineStr">
        <is>
          <t>https://new.land.naver.com/complexes/135953?tab=detail&amp;rf=Y</t>
        </is>
      </c>
      <c r="AA26" s="0" t="inlineStr">
        <is>
          <t>인천시 남동구 간석동 224-12</t>
        </is>
      </c>
      <c r="AB26" s="0" t="inlineStr">
        <is>
          <t>인천시</t>
        </is>
      </c>
      <c r="AC26" s="0" t="inlineStr">
        <is>
          <t>남동구</t>
        </is>
      </c>
      <c r="AD26" s="0" t="inlineStr">
        <is>
          <t>간석동</t>
        </is>
      </c>
      <c r="AG26" s="0" t="inlineStr">
        <is>
          <t>인천시 남동구 간석로72번길 39-47</t>
        </is>
      </c>
      <c r="AH26" s="0" t="n">
        <v>0</v>
      </c>
      <c r="AI26" s="0" t="n">
        <v>459</v>
      </c>
      <c r="AJ26" s="0" t="n">
        <v>59</v>
      </c>
      <c r="AK26" s="0" t="n">
        <v>11</v>
      </c>
      <c r="AL26" s="0" t="n">
        <v>0.92</v>
      </c>
    </row>
    <row r="27">
      <c r="A27" s="0" t="inlineStr">
        <is>
          <t>[간석동]</t>
        </is>
      </c>
      <c r="B27" s="0" t="n">
        <v>135953</v>
      </c>
      <c r="C27" s="0" t="n">
        <v>3</v>
      </c>
      <c r="D27" s="0" t="inlineStr">
        <is>
          <t>미르캐슬</t>
        </is>
      </c>
      <c r="E27" s="0" t="inlineStr">
        <is>
          <t>2016.06.</t>
        </is>
      </c>
      <c r="F27" s="0" t="n">
        <v>12</v>
      </c>
      <c r="G27" s="0" t="n">
        <v>20.65</v>
      </c>
      <c r="H27" s="0" t="n">
        <v>68.29000000000001</v>
      </c>
      <c r="I27" s="0" t="n">
        <v>16.87</v>
      </c>
      <c r="J27" s="0" t="n">
        <v>55.78</v>
      </c>
      <c r="K27" s="0" t="n">
        <v>3</v>
      </c>
      <c r="T27" s="0" t="n">
        <v>3</v>
      </c>
      <c r="U27" s="0" t="n">
        <v>2</v>
      </c>
      <c r="V27" s="0" t="inlineStr">
        <is>
          <t>계단식</t>
        </is>
      </c>
      <c r="W27" s="0" t="n">
        <v>68</v>
      </c>
      <c r="X27" s="0" t="n">
        <v>10</v>
      </c>
      <c r="Y27" s="0" t="n">
        <v>10</v>
      </c>
      <c r="Z27" s="0" t="inlineStr">
        <is>
          <t>https://new.land.naver.com/complexes/135953?tab=detail&amp;rf=Y</t>
        </is>
      </c>
      <c r="AA27" s="0" t="inlineStr">
        <is>
          <t>인천시 남동구 간석동 224-12</t>
        </is>
      </c>
      <c r="AB27" s="0" t="inlineStr">
        <is>
          <t>인천시</t>
        </is>
      </c>
      <c r="AC27" s="0" t="inlineStr">
        <is>
          <t>남동구</t>
        </is>
      </c>
      <c r="AD27" s="0" t="inlineStr">
        <is>
          <t>간석동</t>
        </is>
      </c>
      <c r="AG27" s="0" t="inlineStr">
        <is>
          <t>인천시 남동구 간석로72번길 39-47</t>
        </is>
      </c>
      <c r="AH27" s="0" t="n">
        <v>0</v>
      </c>
      <c r="AI27" s="0" t="n">
        <v>459</v>
      </c>
      <c r="AJ27" s="0" t="n">
        <v>59</v>
      </c>
      <c r="AK27" s="0" t="n">
        <v>11</v>
      </c>
      <c r="AL27" s="0" t="n">
        <v>0.92</v>
      </c>
    </row>
    <row r="28">
      <c r="A28" s="0" t="inlineStr">
        <is>
          <t>[간석동]</t>
        </is>
      </c>
      <c r="B28" s="0" t="n">
        <v>135953</v>
      </c>
      <c r="C28" s="0" t="n">
        <v>4</v>
      </c>
      <c r="D28" s="0" t="inlineStr">
        <is>
          <t>미르캐슬</t>
        </is>
      </c>
      <c r="E28" s="0" t="inlineStr">
        <is>
          <t>2016.06.</t>
        </is>
      </c>
      <c r="F28" s="0" t="n">
        <v>12</v>
      </c>
      <c r="G28" s="0" t="n">
        <v>21.74</v>
      </c>
      <c r="H28" s="0" t="n">
        <v>71.89</v>
      </c>
      <c r="I28" s="0" t="n">
        <v>17.59</v>
      </c>
      <c r="J28" s="0" t="n">
        <v>58.16</v>
      </c>
      <c r="K28" s="0" t="n">
        <v>3</v>
      </c>
      <c r="T28" s="0" t="n">
        <v>3</v>
      </c>
      <c r="U28" s="0" t="n">
        <v>2</v>
      </c>
      <c r="V28" s="0" t="inlineStr">
        <is>
          <t>계단식</t>
        </is>
      </c>
      <c r="W28" s="0" t="n">
        <v>71</v>
      </c>
      <c r="X28" s="0" t="n">
        <v>10</v>
      </c>
      <c r="Y28" s="0" t="n">
        <v>10</v>
      </c>
      <c r="Z28" s="0" t="inlineStr">
        <is>
          <t>https://new.land.naver.com/complexes/135953?tab=detail&amp;rf=Y</t>
        </is>
      </c>
      <c r="AA28" s="0" t="inlineStr">
        <is>
          <t>인천시 남동구 간석동 224-12</t>
        </is>
      </c>
      <c r="AB28" s="0" t="inlineStr">
        <is>
          <t>인천시</t>
        </is>
      </c>
      <c r="AC28" s="0" t="inlineStr">
        <is>
          <t>남동구</t>
        </is>
      </c>
      <c r="AD28" s="0" t="inlineStr">
        <is>
          <t>간석동</t>
        </is>
      </c>
      <c r="AG28" s="0" t="inlineStr">
        <is>
          <t>인천시 남동구 간석로72번길 39-47</t>
        </is>
      </c>
      <c r="AH28" s="0" t="n">
        <v>0</v>
      </c>
      <c r="AI28" s="0" t="n">
        <v>459</v>
      </c>
      <c r="AJ28" s="0" t="n">
        <v>59</v>
      </c>
      <c r="AK28" s="0" t="n">
        <v>11</v>
      </c>
      <c r="AL28" s="0" t="n">
        <v>0.92</v>
      </c>
    </row>
    <row r="29">
      <c r="A29" s="0" t="inlineStr">
        <is>
          <t>[간석동]</t>
        </is>
      </c>
      <c r="B29" s="0" t="n">
        <v>144777</v>
      </c>
      <c r="C29" s="0" t="n">
        <v>1</v>
      </c>
      <c r="D29" s="0" t="inlineStr">
        <is>
          <t>휴하임</t>
        </is>
      </c>
      <c r="E29" s="0" t="inlineStr">
        <is>
          <t>2015.12.</t>
        </is>
      </c>
      <c r="F29" s="0" t="n">
        <v>21</v>
      </c>
      <c r="G29" s="0" t="n">
        <v>19.13</v>
      </c>
      <c r="H29" s="0" t="n">
        <v>63.24</v>
      </c>
      <c r="I29" s="0" t="n">
        <v>14.58</v>
      </c>
      <c r="J29" s="0" t="n">
        <v>48.2</v>
      </c>
      <c r="K29" s="0" t="n">
        <v>7</v>
      </c>
      <c r="T29" s="0" t="n">
        <v>2</v>
      </c>
      <c r="U29" s="0" t="n">
        <v>1</v>
      </c>
      <c r="V29" s="0" t="inlineStr">
        <is>
          <t>계단식</t>
        </is>
      </c>
      <c r="W29" s="0" t="n">
        <v>63</v>
      </c>
      <c r="X29" s="0" t="n">
        <v>14</v>
      </c>
      <c r="Y29" s="0" t="n">
        <v>14</v>
      </c>
      <c r="Z29" s="0" t="inlineStr">
        <is>
          <t>https://new.land.naver.com/complexes/144777?tab=detail&amp;rf=Y</t>
        </is>
      </c>
      <c r="AA29" s="0" t="inlineStr">
        <is>
          <t>인천시 남동구 간석동 114-4</t>
        </is>
      </c>
      <c r="AB29" s="0" t="inlineStr">
        <is>
          <t>인천시</t>
        </is>
      </c>
      <c r="AC29" s="0" t="inlineStr">
        <is>
          <t>남동구</t>
        </is>
      </c>
      <c r="AD29" s="0" t="inlineStr">
        <is>
          <t>간석동</t>
        </is>
      </c>
      <c r="AG29" s="0" t="inlineStr">
        <is>
          <t>인천시 남동구 백범로 358</t>
        </is>
      </c>
      <c r="AH29" s="0" t="n">
        <v>0</v>
      </c>
      <c r="AI29" s="0" t="n">
        <v>792</v>
      </c>
      <c r="AJ29" s="0" t="n">
        <v>70</v>
      </c>
      <c r="AK29" s="0" t="n">
        <v>17</v>
      </c>
      <c r="AL29" s="0" t="n">
        <v>0.8100000000000001</v>
      </c>
    </row>
    <row r="30">
      <c r="A30" s="0" t="inlineStr">
        <is>
          <t>[간석동]</t>
        </is>
      </c>
      <c r="B30" s="0" t="n">
        <v>144777</v>
      </c>
      <c r="C30" s="0" t="n">
        <v>2</v>
      </c>
      <c r="D30" s="0" t="inlineStr">
        <is>
          <t>휴하임</t>
        </is>
      </c>
      <c r="E30" s="0" t="inlineStr">
        <is>
          <t>2015.12.</t>
        </is>
      </c>
      <c r="F30" s="0" t="n">
        <v>21</v>
      </c>
      <c r="G30" s="0" t="n">
        <v>19.92</v>
      </c>
      <c r="H30" s="0" t="n">
        <v>65.88</v>
      </c>
      <c r="I30" s="0" t="n">
        <v>15.1</v>
      </c>
      <c r="J30" s="0" t="n">
        <v>49.94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65A</t>
        </is>
      </c>
      <c r="X30" s="0" t="n">
        <v>14</v>
      </c>
      <c r="Y30" s="0" t="n">
        <v>14</v>
      </c>
      <c r="Z30" s="0" t="inlineStr">
        <is>
          <t>https://new.land.naver.com/complexes/144777?tab=detail&amp;rf=Y</t>
        </is>
      </c>
      <c r="AA30" s="0" t="inlineStr">
        <is>
          <t>인천시 남동구 간석동 114-4</t>
        </is>
      </c>
      <c r="AB30" s="0" t="inlineStr">
        <is>
          <t>인천시</t>
        </is>
      </c>
      <c r="AC30" s="0" t="inlineStr">
        <is>
          <t>남동구</t>
        </is>
      </c>
      <c r="AD30" s="0" t="inlineStr">
        <is>
          <t>간석동</t>
        </is>
      </c>
      <c r="AG30" s="0" t="inlineStr">
        <is>
          <t>인천시 남동구 백범로 358</t>
        </is>
      </c>
      <c r="AH30" s="0" t="n">
        <v>0</v>
      </c>
      <c r="AI30" s="0" t="n">
        <v>792</v>
      </c>
      <c r="AJ30" s="0" t="n">
        <v>70</v>
      </c>
      <c r="AK30" s="0" t="n">
        <v>17</v>
      </c>
      <c r="AL30" s="0" t="n">
        <v>0.8100000000000001</v>
      </c>
    </row>
    <row r="31">
      <c r="A31" s="0" t="inlineStr">
        <is>
          <t>[간석동]</t>
        </is>
      </c>
      <c r="B31" s="0" t="n">
        <v>144777</v>
      </c>
      <c r="C31" s="0" t="n">
        <v>3</v>
      </c>
      <c r="D31" s="0" t="inlineStr">
        <is>
          <t>휴하임</t>
        </is>
      </c>
      <c r="E31" s="0" t="inlineStr">
        <is>
          <t>2015.12.</t>
        </is>
      </c>
      <c r="F31" s="0" t="n">
        <v>21</v>
      </c>
      <c r="G31" s="0" t="n">
        <v>20.3</v>
      </c>
      <c r="H31" s="0" t="n">
        <v>67.12</v>
      </c>
      <c r="I31" s="0" t="n">
        <v>15.1</v>
      </c>
      <c r="J31" s="0" t="n">
        <v>49.94</v>
      </c>
      <c r="K31" s="0" t="n">
        <v>7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67B</t>
        </is>
      </c>
      <c r="X31" s="0" t="n">
        <v>14</v>
      </c>
      <c r="Y31" s="0" t="n">
        <v>14</v>
      </c>
      <c r="Z31" s="0" t="inlineStr">
        <is>
          <t>https://new.land.naver.com/complexes/144777?tab=detail&amp;rf=Y</t>
        </is>
      </c>
      <c r="AA31" s="0" t="inlineStr">
        <is>
          <t>인천시 남동구 간석동 114-4</t>
        </is>
      </c>
      <c r="AB31" s="0" t="inlineStr">
        <is>
          <t>인천시</t>
        </is>
      </c>
      <c r="AC31" s="0" t="inlineStr">
        <is>
          <t>남동구</t>
        </is>
      </c>
      <c r="AD31" s="0" t="inlineStr">
        <is>
          <t>간석동</t>
        </is>
      </c>
      <c r="AG31" s="0" t="inlineStr">
        <is>
          <t>인천시 남동구 백범로 358</t>
        </is>
      </c>
      <c r="AH31" s="0" t="n">
        <v>0</v>
      </c>
      <c r="AI31" s="0" t="n">
        <v>792</v>
      </c>
      <c r="AJ31" s="0" t="n">
        <v>70</v>
      </c>
      <c r="AK31" s="0" t="n">
        <v>17</v>
      </c>
      <c r="AL31" s="0" t="n">
        <v>0.8100000000000001</v>
      </c>
    </row>
    <row r="32">
      <c r="A32" s="0" t="inlineStr">
        <is>
          <t>[간석동]</t>
        </is>
      </c>
      <c r="B32" s="0" t="n">
        <v>22827</v>
      </c>
      <c r="C32" s="0" t="n">
        <v>1</v>
      </c>
      <c r="D32" s="0" t="inlineStr">
        <is>
          <t>우진</t>
        </is>
      </c>
      <c r="E32" s="0" t="inlineStr">
        <is>
          <t>2003.04.</t>
        </is>
      </c>
      <c r="F32" s="0" t="n">
        <v>13</v>
      </c>
      <c r="G32" s="0" t="n">
        <v>28.12</v>
      </c>
      <c r="H32" s="0" t="n">
        <v>92.98999999999999</v>
      </c>
      <c r="I32" s="0" t="n">
        <v>23.82</v>
      </c>
      <c r="J32" s="0" t="n">
        <v>78.77</v>
      </c>
      <c r="K32" s="0" t="n">
        <v>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92A</t>
        </is>
      </c>
      <c r="X32" s="0" t="n">
        <v>8</v>
      </c>
      <c r="Y32" s="0" t="n">
        <v>8</v>
      </c>
      <c r="Z32" s="0" t="inlineStr">
        <is>
          <t>https://new.land.naver.com/complexes/22827?tab=detail&amp;rf=Y</t>
        </is>
      </c>
      <c r="AA32" s="0" t="inlineStr">
        <is>
          <t>인천시 남동구 간석동 92-2</t>
        </is>
      </c>
      <c r="AB32" s="0" t="inlineStr">
        <is>
          <t>인천시</t>
        </is>
      </c>
      <c r="AC32" s="0" t="inlineStr">
        <is>
          <t>남동구</t>
        </is>
      </c>
      <c r="AD32" s="0" t="inlineStr">
        <is>
          <t>간석동</t>
        </is>
      </c>
      <c r="AG32" s="0" t="inlineStr">
        <is>
          <t>인천시 남동구 간석로56번길 8</t>
        </is>
      </c>
      <c r="AH32" s="0" t="n">
        <v>0</v>
      </c>
      <c r="AI32" s="0" t="n">
        <v>300</v>
      </c>
      <c r="AJ32" s="0" t="n">
        <v>56</v>
      </c>
      <c r="AK32" s="0" t="n">
        <v>16</v>
      </c>
      <c r="AL32" s="0" t="n">
        <v>1.23</v>
      </c>
    </row>
    <row r="33">
      <c r="A33" s="0" t="inlineStr">
        <is>
          <t>[간석동]</t>
        </is>
      </c>
      <c r="B33" s="0" t="n">
        <v>22827</v>
      </c>
      <c r="C33" s="0" t="n">
        <v>2</v>
      </c>
      <c r="D33" s="0" t="inlineStr">
        <is>
          <t>우진</t>
        </is>
      </c>
      <c r="E33" s="0" t="inlineStr">
        <is>
          <t>2003.04.</t>
        </is>
      </c>
      <c r="F33" s="0" t="n">
        <v>13</v>
      </c>
      <c r="G33" s="0" t="n">
        <v>28.16</v>
      </c>
      <c r="H33" s="0" t="n">
        <v>93.11</v>
      </c>
      <c r="I33" s="0" t="n">
        <v>23.85</v>
      </c>
      <c r="J33" s="0" t="n">
        <v>78.84999999999999</v>
      </c>
      <c r="K33" s="0" t="n">
        <v>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93B</t>
        </is>
      </c>
      <c r="X33" s="0" t="n">
        <v>8</v>
      </c>
      <c r="Y33" s="0" t="n">
        <v>8</v>
      </c>
      <c r="Z33" s="0" t="inlineStr">
        <is>
          <t>https://new.land.naver.com/complexes/22827?tab=detail&amp;rf=Y</t>
        </is>
      </c>
      <c r="AA33" s="0" t="inlineStr">
        <is>
          <t>인천시 남동구 간석동 92-2</t>
        </is>
      </c>
      <c r="AB33" s="0" t="inlineStr">
        <is>
          <t>인천시</t>
        </is>
      </c>
      <c r="AC33" s="0" t="inlineStr">
        <is>
          <t>남동구</t>
        </is>
      </c>
      <c r="AD33" s="0" t="inlineStr">
        <is>
          <t>간석동</t>
        </is>
      </c>
      <c r="AG33" s="0" t="inlineStr">
        <is>
          <t>인천시 남동구 간석로56번길 8</t>
        </is>
      </c>
      <c r="AH33" s="0" t="n">
        <v>0</v>
      </c>
      <c r="AI33" s="0" t="n">
        <v>300</v>
      </c>
      <c r="AJ33" s="0" t="n">
        <v>56</v>
      </c>
      <c r="AK33" s="0" t="n">
        <v>16</v>
      </c>
      <c r="AL33" s="0" t="n">
        <v>1.23</v>
      </c>
    </row>
    <row r="34">
      <c r="A34" s="0" t="inlineStr">
        <is>
          <t>[간석동]</t>
        </is>
      </c>
      <c r="B34" s="0" t="n">
        <v>22827</v>
      </c>
      <c r="C34" s="0" t="n">
        <v>3</v>
      </c>
      <c r="D34" s="0" t="inlineStr">
        <is>
          <t>우진</t>
        </is>
      </c>
      <c r="E34" s="0" t="inlineStr">
        <is>
          <t>2003.04.</t>
        </is>
      </c>
      <c r="F34" s="0" t="n">
        <v>13</v>
      </c>
      <c r="G34" s="0" t="n">
        <v>30.24</v>
      </c>
      <c r="H34" s="0" t="n">
        <v>99.98999999999999</v>
      </c>
      <c r="I34" s="0" t="n">
        <v>25.61</v>
      </c>
      <c r="J34" s="0" t="n">
        <v>84.68000000000001</v>
      </c>
      <c r="K34" s="0" t="n">
        <v>6</v>
      </c>
      <c r="T34" s="0" t="n">
        <v>4</v>
      </c>
      <c r="U34" s="0" t="n">
        <v>2</v>
      </c>
      <c r="V34" s="0" t="inlineStr">
        <is>
          <t>계단식</t>
        </is>
      </c>
      <c r="W34" s="0" t="n">
        <v>99</v>
      </c>
      <c r="X34" s="0" t="n">
        <v>8</v>
      </c>
      <c r="Y34" s="0" t="n">
        <v>8</v>
      </c>
      <c r="Z34" s="0" t="inlineStr">
        <is>
          <t>https://new.land.naver.com/complexes/22827?tab=detail&amp;rf=Y</t>
        </is>
      </c>
      <c r="AA34" s="0" t="inlineStr">
        <is>
          <t>인천시 남동구 간석동 92-2</t>
        </is>
      </c>
      <c r="AB34" s="0" t="inlineStr">
        <is>
          <t>인천시</t>
        </is>
      </c>
      <c r="AC34" s="0" t="inlineStr">
        <is>
          <t>남동구</t>
        </is>
      </c>
      <c r="AD34" s="0" t="inlineStr">
        <is>
          <t>간석동</t>
        </is>
      </c>
      <c r="AG34" s="0" t="inlineStr">
        <is>
          <t>인천시 남동구 간석로56번길 8</t>
        </is>
      </c>
      <c r="AH34" s="0" t="n">
        <v>0</v>
      </c>
      <c r="AI34" s="0" t="n">
        <v>300</v>
      </c>
      <c r="AJ34" s="0" t="n">
        <v>56</v>
      </c>
      <c r="AK34" s="0" t="n">
        <v>16</v>
      </c>
      <c r="AL34" s="0" t="n">
        <v>1.23</v>
      </c>
    </row>
    <row r="35">
      <c r="A35" s="0" t="inlineStr">
        <is>
          <t>[간석동]</t>
        </is>
      </c>
      <c r="B35" s="0" t="n">
        <v>10290</v>
      </c>
      <c r="C35" s="0" t="n">
        <v>1</v>
      </c>
      <c r="D35" s="0" t="inlineStr">
        <is>
          <t>신태양</t>
        </is>
      </c>
      <c r="E35" s="0" t="inlineStr">
        <is>
          <t>1987.05.</t>
        </is>
      </c>
      <c r="F35" s="0" t="n">
        <v>90</v>
      </c>
      <c r="G35" s="0" t="n">
        <v>16.22</v>
      </c>
      <c r="H35" s="0" t="n">
        <v>53.65</v>
      </c>
      <c r="I35" s="0" t="n">
        <v>12.51</v>
      </c>
      <c r="J35" s="0" t="n">
        <v>41.38</v>
      </c>
      <c r="K35" s="0" t="n">
        <v>50</v>
      </c>
      <c r="T35" s="0" t="n">
        <v>2</v>
      </c>
      <c r="U35" s="0" t="n">
        <v>1</v>
      </c>
      <c r="V35" s="0" t="inlineStr">
        <is>
          <t>계단식</t>
        </is>
      </c>
      <c r="W35" s="0" t="n">
        <v>53</v>
      </c>
      <c r="X35" s="0" t="n">
        <v>5</v>
      </c>
      <c r="Y35" s="0" t="n">
        <v>5</v>
      </c>
      <c r="Z35" s="0" t="inlineStr">
        <is>
          <t>https://new.land.naver.com/complexes/10290?tab=detail&amp;rf=Y</t>
        </is>
      </c>
      <c r="AA35" s="0" t="inlineStr">
        <is>
          <t>인천시 남동구 간석동 415</t>
        </is>
      </c>
      <c r="AB35" s="0" t="inlineStr">
        <is>
          <t>인천시</t>
        </is>
      </c>
      <c r="AC35" s="0" t="inlineStr">
        <is>
          <t>남동구</t>
        </is>
      </c>
      <c r="AD35" s="0" t="inlineStr">
        <is>
          <t>간석동</t>
        </is>
      </c>
      <c r="AG35" s="0" t="inlineStr">
        <is>
          <t>인천시 남동구 예술로268번길 39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[간석동]</t>
        </is>
      </c>
      <c r="B36" s="0" t="n">
        <v>10290</v>
      </c>
      <c r="C36" s="0" t="n">
        <v>2</v>
      </c>
      <c r="D36" s="0" t="inlineStr">
        <is>
          <t>신태양</t>
        </is>
      </c>
      <c r="E36" s="0" t="inlineStr">
        <is>
          <t>1987.05.</t>
        </is>
      </c>
      <c r="F36" s="0" t="n">
        <v>90</v>
      </c>
      <c r="G36" s="0" t="n">
        <v>17.08</v>
      </c>
      <c r="H36" s="0" t="n">
        <v>56.48</v>
      </c>
      <c r="I36" s="0" t="n">
        <v>13.3</v>
      </c>
      <c r="J36" s="0" t="n">
        <v>43.99</v>
      </c>
      <c r="K36" s="0" t="n">
        <v>40</v>
      </c>
      <c r="T36" s="0" t="n">
        <v>2</v>
      </c>
      <c r="U36" s="0" t="n">
        <v>1</v>
      </c>
      <c r="V36" s="0" t="inlineStr">
        <is>
          <t>계단식</t>
        </is>
      </c>
      <c r="W36" s="0" t="n">
        <v>56</v>
      </c>
      <c r="X36" s="0" t="n">
        <v>5</v>
      </c>
      <c r="Y36" s="0" t="n">
        <v>5</v>
      </c>
      <c r="Z36" s="0" t="inlineStr">
        <is>
          <t>https://new.land.naver.com/complexes/10290?tab=detail&amp;rf=Y</t>
        </is>
      </c>
      <c r="AA36" s="0" t="inlineStr">
        <is>
          <t>인천시 남동구 간석동 415</t>
        </is>
      </c>
      <c r="AB36" s="0" t="inlineStr">
        <is>
          <t>인천시</t>
        </is>
      </c>
      <c r="AC36" s="0" t="inlineStr">
        <is>
          <t>남동구</t>
        </is>
      </c>
      <c r="AD36" s="0" t="inlineStr">
        <is>
          <t>간석동</t>
        </is>
      </c>
      <c r="AG36" s="0" t="inlineStr">
        <is>
          <t>인천시 남동구 예술로268번길 39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[간석동]</t>
        </is>
      </c>
      <c r="B37" s="0" t="n">
        <v>14807</v>
      </c>
      <c r="C37" s="0" t="n">
        <v>1</v>
      </c>
      <c r="D37" s="0" t="inlineStr">
        <is>
          <t>현광(616-81)</t>
        </is>
      </c>
      <c r="E37" s="0" t="inlineStr">
        <is>
          <t>1991.05.</t>
        </is>
      </c>
      <c r="F37" s="0" t="n">
        <v>96</v>
      </c>
      <c r="G37" s="0" t="n">
        <v>20.75</v>
      </c>
      <c r="H37" s="0" t="n">
        <v>68.59999999999999</v>
      </c>
      <c r="I37" s="0" t="n">
        <v>16.01</v>
      </c>
      <c r="J37" s="0" t="n">
        <v>52.95</v>
      </c>
      <c r="K37" s="0" t="n">
        <v>60</v>
      </c>
      <c r="T37" s="0" t="n">
        <v>3</v>
      </c>
      <c r="U37" s="0" t="n">
        <v>1</v>
      </c>
      <c r="V37" s="0" t="inlineStr">
        <is>
          <t>계단식</t>
        </is>
      </c>
      <c r="W37" s="0" t="n">
        <v>68</v>
      </c>
      <c r="X37" s="0" t="n">
        <v>6</v>
      </c>
      <c r="Y37" s="0" t="n">
        <v>6</v>
      </c>
      <c r="Z37" s="0" t="inlineStr">
        <is>
          <t>https://new.land.naver.com/complexes/14807?tab=detail&amp;rf=Y</t>
        </is>
      </c>
      <c r="AA37" s="0" t="inlineStr">
        <is>
          <t>인천시 남동구 간석동 616-81</t>
        </is>
      </c>
      <c r="AB37" s="0" t="inlineStr">
        <is>
          <t>인천시</t>
        </is>
      </c>
      <c r="AC37" s="0" t="inlineStr">
        <is>
          <t>남동구</t>
        </is>
      </c>
      <c r="AD37" s="0" t="inlineStr">
        <is>
          <t>간석동</t>
        </is>
      </c>
      <c r="AG37" s="0" t="inlineStr">
        <is>
          <t>인천시 남동구 경원대로939번길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[간석동]</t>
        </is>
      </c>
      <c r="B38" s="0" t="n">
        <v>14807</v>
      </c>
      <c r="C38" s="0" t="n">
        <v>2</v>
      </c>
      <c r="D38" s="0" t="inlineStr">
        <is>
          <t>현광(616-81)</t>
        </is>
      </c>
      <c r="E38" s="0" t="inlineStr">
        <is>
          <t>1991.05.</t>
        </is>
      </c>
      <c r="F38" s="0" t="n">
        <v>96</v>
      </c>
      <c r="G38" s="0" t="n">
        <v>28.2</v>
      </c>
      <c r="H38" s="0" t="n">
        <v>93.25</v>
      </c>
      <c r="I38" s="0" t="n">
        <v>22.44</v>
      </c>
      <c r="J38" s="0" t="n">
        <v>74.2</v>
      </c>
      <c r="K38" s="0" t="n">
        <v>36</v>
      </c>
      <c r="T38" s="0" t="n">
        <v>3</v>
      </c>
      <c r="U38" s="0" t="n">
        <v>1</v>
      </c>
      <c r="V38" s="0" t="inlineStr">
        <is>
          <t>계단식</t>
        </is>
      </c>
      <c r="W38" s="0" t="n">
        <v>93</v>
      </c>
      <c r="X38" s="0" t="n">
        <v>6</v>
      </c>
      <c r="Y38" s="0" t="n">
        <v>6</v>
      </c>
      <c r="Z38" s="0" t="inlineStr">
        <is>
          <t>https://new.land.naver.com/complexes/14807?tab=detail&amp;rf=Y</t>
        </is>
      </c>
      <c r="AA38" s="0" t="inlineStr">
        <is>
          <t>인천시 남동구 간석동 616-81</t>
        </is>
      </c>
      <c r="AB38" s="0" t="inlineStr">
        <is>
          <t>인천시</t>
        </is>
      </c>
      <c r="AC38" s="0" t="inlineStr">
        <is>
          <t>남동구</t>
        </is>
      </c>
      <c r="AD38" s="0" t="inlineStr">
        <is>
          <t>간석동</t>
        </is>
      </c>
      <c r="AG38" s="0" t="inlineStr">
        <is>
          <t>인천시 남동구 경원대로939번길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[간석동]</t>
        </is>
      </c>
      <c r="B39" s="0" t="n">
        <v>104005</v>
      </c>
      <c r="C39" s="0" t="n">
        <v>1</v>
      </c>
      <c r="D39" s="0" t="inlineStr">
        <is>
          <t>간석리페2차(도시형)</t>
        </is>
      </c>
      <c r="E39" s="0" t="inlineStr">
        <is>
          <t>2013.03.</t>
        </is>
      </c>
      <c r="F39" s="0" t="n">
        <v>98</v>
      </c>
      <c r="G39" s="0" t="n">
        <v>6.05</v>
      </c>
      <c r="H39" s="0" t="n">
        <v>20.03</v>
      </c>
      <c r="I39" s="0" t="n">
        <v>3.74</v>
      </c>
      <c r="J39" s="0" t="n">
        <v>12.37</v>
      </c>
      <c r="K39" s="0" t="n">
        <v>33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20B1</t>
        </is>
      </c>
      <c r="X39" s="0" t="n">
        <v>13</v>
      </c>
      <c r="Y39" s="0" t="n">
        <v>6</v>
      </c>
      <c r="Z39" s="0" t="inlineStr">
        <is>
          <t>https://new.land.naver.com/complexes/104005?tab=detail&amp;rf=Y</t>
        </is>
      </c>
      <c r="AA39" s="0" t="inlineStr">
        <is>
          <t>인천시 남동구 간석동 216-19</t>
        </is>
      </c>
      <c r="AB39" s="0" t="inlineStr">
        <is>
          <t>인천시</t>
        </is>
      </c>
      <c r="AC39" s="0" t="inlineStr">
        <is>
          <t>남동구</t>
        </is>
      </c>
      <c r="AD39" s="0" t="inlineStr">
        <is>
          <t>간석동</t>
        </is>
      </c>
      <c r="AG39" s="0" t="inlineStr">
        <is>
          <t>인천시 남동구 경인로653번길 9</t>
        </is>
      </c>
      <c r="AH39" s="0" t="n">
        <v>0</v>
      </c>
      <c r="AI39" s="0" t="n">
        <v>508</v>
      </c>
      <c r="AJ39" s="0" t="n">
        <v>65</v>
      </c>
      <c r="AK39" s="0" t="n">
        <v>25</v>
      </c>
      <c r="AL39" s="0" t="n">
        <v>0.26</v>
      </c>
    </row>
    <row r="40">
      <c r="A40" s="0" t="inlineStr">
        <is>
          <t>[간석동]</t>
        </is>
      </c>
      <c r="B40" s="0" t="n">
        <v>104005</v>
      </c>
      <c r="C40" s="0" t="n">
        <v>2</v>
      </c>
      <c r="D40" s="0" t="inlineStr">
        <is>
          <t>간석리페2차(도시형)</t>
        </is>
      </c>
      <c r="E40" s="0" t="inlineStr">
        <is>
          <t>2013.03.</t>
        </is>
      </c>
      <c r="F40" s="0" t="n">
        <v>98</v>
      </c>
      <c r="G40" s="0" t="n">
        <v>6.05</v>
      </c>
      <c r="H40" s="0" t="n">
        <v>20.03</v>
      </c>
      <c r="I40" s="0" t="n">
        <v>3.74</v>
      </c>
      <c r="J40" s="0" t="n">
        <v>12.37</v>
      </c>
      <c r="K40" s="0" t="n">
        <v>24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20A1</t>
        </is>
      </c>
      <c r="X40" s="0" t="n">
        <v>13</v>
      </c>
      <c r="Y40" s="0" t="n">
        <v>6</v>
      </c>
      <c r="Z40" s="0" t="inlineStr">
        <is>
          <t>https://new.land.naver.com/complexes/104005?tab=detail&amp;rf=Y</t>
        </is>
      </c>
      <c r="AA40" s="0" t="inlineStr">
        <is>
          <t>인천시 남동구 간석동 216-19</t>
        </is>
      </c>
      <c r="AB40" s="0" t="inlineStr">
        <is>
          <t>인천시</t>
        </is>
      </c>
      <c r="AC40" s="0" t="inlineStr">
        <is>
          <t>남동구</t>
        </is>
      </c>
      <c r="AD40" s="0" t="inlineStr">
        <is>
          <t>간석동</t>
        </is>
      </c>
      <c r="AG40" s="0" t="inlineStr">
        <is>
          <t>인천시 남동구 경인로653번길 9</t>
        </is>
      </c>
      <c r="AH40" s="0" t="n">
        <v>0</v>
      </c>
      <c r="AI40" s="0" t="n">
        <v>508</v>
      </c>
      <c r="AJ40" s="0" t="n">
        <v>65</v>
      </c>
      <c r="AK40" s="0" t="n">
        <v>25</v>
      </c>
      <c r="AL40" s="0" t="n">
        <v>0.26</v>
      </c>
    </row>
    <row r="41">
      <c r="A41" s="0" t="inlineStr">
        <is>
          <t>[간석동]</t>
        </is>
      </c>
      <c r="B41" s="0" t="n">
        <v>104005</v>
      </c>
      <c r="C41" s="0" t="n">
        <v>3</v>
      </c>
      <c r="D41" s="0" t="inlineStr">
        <is>
          <t>간석리페2차(도시형)</t>
        </is>
      </c>
      <c r="E41" s="0" t="inlineStr">
        <is>
          <t>2013.03.</t>
        </is>
      </c>
      <c r="F41" s="0" t="n">
        <v>98</v>
      </c>
      <c r="G41" s="0" t="n">
        <v>6.05</v>
      </c>
      <c r="H41" s="0" t="n">
        <v>20.03</v>
      </c>
      <c r="I41" s="0" t="n">
        <v>3.74</v>
      </c>
      <c r="J41" s="0" t="n">
        <v>12.37</v>
      </c>
      <c r="K41" s="0" t="n">
        <v>15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20A2</t>
        </is>
      </c>
      <c r="X41" s="0" t="n">
        <v>13</v>
      </c>
      <c r="Y41" s="0" t="n">
        <v>6</v>
      </c>
      <c r="Z41" s="0" t="inlineStr">
        <is>
          <t>https://new.land.naver.com/complexes/104005?tab=detail&amp;rf=Y</t>
        </is>
      </c>
      <c r="AA41" s="0" t="inlineStr">
        <is>
          <t>인천시 남동구 간석동 216-19</t>
        </is>
      </c>
      <c r="AB41" s="0" t="inlineStr">
        <is>
          <t>인천시</t>
        </is>
      </c>
      <c r="AC41" s="0" t="inlineStr">
        <is>
          <t>남동구</t>
        </is>
      </c>
      <c r="AD41" s="0" t="inlineStr">
        <is>
          <t>간석동</t>
        </is>
      </c>
      <c r="AG41" s="0" t="inlineStr">
        <is>
          <t>인천시 남동구 경인로653번길 9</t>
        </is>
      </c>
      <c r="AH41" s="0" t="n">
        <v>0</v>
      </c>
      <c r="AI41" s="0" t="n">
        <v>508</v>
      </c>
      <c r="AJ41" s="0" t="n">
        <v>65</v>
      </c>
      <c r="AK41" s="0" t="n">
        <v>25</v>
      </c>
      <c r="AL41" s="0" t="n">
        <v>0.26</v>
      </c>
    </row>
    <row r="42">
      <c r="A42" s="0" t="inlineStr">
        <is>
          <t>[간석동]</t>
        </is>
      </c>
      <c r="B42" s="0" t="n">
        <v>104005</v>
      </c>
      <c r="C42" s="0" t="n">
        <v>4</v>
      </c>
      <c r="D42" s="0" t="inlineStr">
        <is>
          <t>간석리페2차(도시형)</t>
        </is>
      </c>
      <c r="E42" s="0" t="inlineStr">
        <is>
          <t>2013.03.</t>
        </is>
      </c>
      <c r="F42" s="0" t="n">
        <v>98</v>
      </c>
      <c r="G42" s="0" t="n">
        <v>6.05</v>
      </c>
      <c r="H42" s="0" t="n">
        <v>20.03</v>
      </c>
      <c r="I42" s="0" t="n">
        <v>3.74</v>
      </c>
      <c r="J42" s="0" t="n">
        <v>12.37</v>
      </c>
      <c r="K42" s="0" t="n">
        <v>12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20A3</t>
        </is>
      </c>
      <c r="X42" s="0" t="n">
        <v>13</v>
      </c>
      <c r="Y42" s="0" t="n">
        <v>6</v>
      </c>
      <c r="Z42" s="0" t="inlineStr">
        <is>
          <t>https://new.land.naver.com/complexes/104005?tab=detail&amp;rf=Y</t>
        </is>
      </c>
      <c r="AA42" s="0" t="inlineStr">
        <is>
          <t>인천시 남동구 간석동 216-19</t>
        </is>
      </c>
      <c r="AB42" s="0" t="inlineStr">
        <is>
          <t>인천시</t>
        </is>
      </c>
      <c r="AC42" s="0" t="inlineStr">
        <is>
          <t>남동구</t>
        </is>
      </c>
      <c r="AD42" s="0" t="inlineStr">
        <is>
          <t>간석동</t>
        </is>
      </c>
      <c r="AG42" s="0" t="inlineStr">
        <is>
          <t>인천시 남동구 경인로653번길 9</t>
        </is>
      </c>
      <c r="AH42" s="0" t="n">
        <v>0</v>
      </c>
      <c r="AI42" s="0" t="n">
        <v>508</v>
      </c>
      <c r="AJ42" s="0" t="n">
        <v>65</v>
      </c>
      <c r="AK42" s="0" t="n">
        <v>25</v>
      </c>
      <c r="AL42" s="0" t="n">
        <v>0.26</v>
      </c>
    </row>
    <row r="43">
      <c r="A43" s="0" t="inlineStr">
        <is>
          <t>[간석동]</t>
        </is>
      </c>
      <c r="B43" s="0" t="n">
        <v>104005</v>
      </c>
      <c r="C43" s="0" t="n">
        <v>5</v>
      </c>
      <c r="D43" s="0" t="inlineStr">
        <is>
          <t>간석리페2차(도시형)</t>
        </is>
      </c>
      <c r="E43" s="0" t="inlineStr">
        <is>
          <t>2013.03.</t>
        </is>
      </c>
      <c r="F43" s="0" t="n">
        <v>98</v>
      </c>
      <c r="G43" s="0" t="n">
        <v>6.05</v>
      </c>
      <c r="H43" s="0" t="n">
        <v>20.03</v>
      </c>
      <c r="I43" s="0" t="n">
        <v>3.74</v>
      </c>
      <c r="J43" s="0" t="n">
        <v>12.37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inlineStr">
        <is>
          <t>20B2</t>
        </is>
      </c>
      <c r="X43" s="0" t="n">
        <v>13</v>
      </c>
      <c r="Y43" s="0" t="n">
        <v>6</v>
      </c>
      <c r="Z43" s="0" t="inlineStr">
        <is>
          <t>https://new.land.naver.com/complexes/104005?tab=detail&amp;rf=Y</t>
        </is>
      </c>
      <c r="AA43" s="0" t="inlineStr">
        <is>
          <t>인천시 남동구 간석동 216-19</t>
        </is>
      </c>
      <c r="AB43" s="0" t="inlineStr">
        <is>
          <t>인천시</t>
        </is>
      </c>
      <c r="AC43" s="0" t="inlineStr">
        <is>
          <t>남동구</t>
        </is>
      </c>
      <c r="AD43" s="0" t="inlineStr">
        <is>
          <t>간석동</t>
        </is>
      </c>
      <c r="AG43" s="0" t="inlineStr">
        <is>
          <t>인천시 남동구 경인로653번길 9</t>
        </is>
      </c>
      <c r="AH43" s="0" t="n">
        <v>0</v>
      </c>
      <c r="AI43" s="0" t="n">
        <v>508</v>
      </c>
      <c r="AJ43" s="0" t="n">
        <v>65</v>
      </c>
      <c r="AK43" s="0" t="n">
        <v>25</v>
      </c>
      <c r="AL43" s="0" t="n">
        <v>0.26</v>
      </c>
    </row>
    <row r="44">
      <c r="A44" s="0" t="inlineStr">
        <is>
          <t>[간석동]</t>
        </is>
      </c>
      <c r="B44" s="0" t="n">
        <v>104005</v>
      </c>
      <c r="C44" s="0" t="n">
        <v>6</v>
      </c>
      <c r="D44" s="0" t="inlineStr">
        <is>
          <t>간석리페2차(도시형)</t>
        </is>
      </c>
      <c r="E44" s="0" t="inlineStr">
        <is>
          <t>2013.03.</t>
        </is>
      </c>
      <c r="F44" s="0" t="n">
        <v>98</v>
      </c>
      <c r="G44" s="0" t="n">
        <v>6.05</v>
      </c>
      <c r="H44" s="0" t="n">
        <v>20.03</v>
      </c>
      <c r="I44" s="0" t="n">
        <v>3.74</v>
      </c>
      <c r="J44" s="0" t="n">
        <v>12.37</v>
      </c>
      <c r="K44" s="0" t="n">
        <v>4</v>
      </c>
      <c r="T44" s="0" t="n">
        <v>1</v>
      </c>
      <c r="U44" s="0" t="n">
        <v>1</v>
      </c>
      <c r="V44" s="0" t="inlineStr">
        <is>
          <t>복도식</t>
        </is>
      </c>
      <c r="W44" s="0" t="inlineStr">
        <is>
          <t>20C2</t>
        </is>
      </c>
      <c r="X44" s="0" t="n">
        <v>13</v>
      </c>
      <c r="Y44" s="0" t="n">
        <v>6</v>
      </c>
      <c r="Z44" s="0" t="inlineStr">
        <is>
          <t>https://new.land.naver.com/complexes/104005?tab=detail&amp;rf=Y</t>
        </is>
      </c>
      <c r="AA44" s="0" t="inlineStr">
        <is>
          <t>인천시 남동구 간석동 216-19</t>
        </is>
      </c>
      <c r="AB44" s="0" t="inlineStr">
        <is>
          <t>인천시</t>
        </is>
      </c>
      <c r="AC44" s="0" t="inlineStr">
        <is>
          <t>남동구</t>
        </is>
      </c>
      <c r="AD44" s="0" t="inlineStr">
        <is>
          <t>간석동</t>
        </is>
      </c>
      <c r="AG44" s="0" t="inlineStr">
        <is>
          <t>인천시 남동구 경인로653번길 9</t>
        </is>
      </c>
      <c r="AH44" s="0" t="n">
        <v>0</v>
      </c>
      <c r="AI44" s="0" t="n">
        <v>508</v>
      </c>
      <c r="AJ44" s="0" t="n">
        <v>65</v>
      </c>
      <c r="AK44" s="0" t="n">
        <v>25</v>
      </c>
      <c r="AL44" s="0" t="n">
        <v>0.26</v>
      </c>
    </row>
    <row r="45">
      <c r="A45" s="0" t="inlineStr">
        <is>
          <t>[간석동]</t>
        </is>
      </c>
      <c r="B45" s="0" t="n">
        <v>104005</v>
      </c>
      <c r="C45" s="0" t="n">
        <v>7</v>
      </c>
      <c r="D45" s="0" t="inlineStr">
        <is>
          <t>간석리페2차(도시형)</t>
        </is>
      </c>
      <c r="E45" s="0" t="inlineStr">
        <is>
          <t>2013.03.</t>
        </is>
      </c>
      <c r="F45" s="0" t="n">
        <v>98</v>
      </c>
      <c r="G45" s="0" t="n">
        <v>6.05</v>
      </c>
      <c r="H45" s="0" t="n">
        <v>20.03</v>
      </c>
      <c r="I45" s="0" t="n">
        <v>3.74</v>
      </c>
      <c r="J45" s="0" t="n">
        <v>12.37</v>
      </c>
      <c r="K45" s="0" t="n">
        <v>2</v>
      </c>
      <c r="T45" s="0" t="n">
        <v>1</v>
      </c>
      <c r="U45" s="0" t="n">
        <v>1</v>
      </c>
      <c r="V45" s="0" t="inlineStr">
        <is>
          <t>복도식</t>
        </is>
      </c>
      <c r="W45" s="0" t="inlineStr">
        <is>
          <t>20A4</t>
        </is>
      </c>
      <c r="X45" s="0" t="n">
        <v>13</v>
      </c>
      <c r="Y45" s="0" t="n">
        <v>6</v>
      </c>
      <c r="Z45" s="0" t="inlineStr">
        <is>
          <t>https://new.land.naver.com/complexes/104005?tab=detail&amp;rf=Y</t>
        </is>
      </c>
      <c r="AA45" s="0" t="inlineStr">
        <is>
          <t>인천시 남동구 간석동 216-19</t>
        </is>
      </c>
      <c r="AB45" s="0" t="inlineStr">
        <is>
          <t>인천시</t>
        </is>
      </c>
      <c r="AC45" s="0" t="inlineStr">
        <is>
          <t>남동구</t>
        </is>
      </c>
      <c r="AD45" s="0" t="inlineStr">
        <is>
          <t>간석동</t>
        </is>
      </c>
      <c r="AG45" s="0" t="inlineStr">
        <is>
          <t>인천시 남동구 경인로653번길 9</t>
        </is>
      </c>
      <c r="AH45" s="0" t="n">
        <v>0</v>
      </c>
      <c r="AI45" s="0" t="n">
        <v>508</v>
      </c>
      <c r="AJ45" s="0" t="n">
        <v>65</v>
      </c>
      <c r="AK45" s="0" t="n">
        <v>25</v>
      </c>
      <c r="AL45" s="0" t="n">
        <v>0.26</v>
      </c>
    </row>
    <row r="46">
      <c r="A46" s="0" t="inlineStr">
        <is>
          <t>[간석동]</t>
        </is>
      </c>
      <c r="B46" s="0" t="n">
        <v>104005</v>
      </c>
      <c r="C46" s="0" t="n">
        <v>8</v>
      </c>
      <c r="D46" s="0" t="inlineStr">
        <is>
          <t>간석리페2차(도시형)</t>
        </is>
      </c>
      <c r="E46" s="0" t="inlineStr">
        <is>
          <t>2013.03.</t>
        </is>
      </c>
      <c r="F46" s="0" t="n">
        <v>98</v>
      </c>
      <c r="G46" s="0" t="n">
        <v>6.05</v>
      </c>
      <c r="H46" s="0" t="n">
        <v>20.03</v>
      </c>
      <c r="I46" s="0" t="n">
        <v>3.74</v>
      </c>
      <c r="J46" s="0" t="n">
        <v>12.37</v>
      </c>
      <c r="K46" s="0" t="n">
        <v>2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20E</t>
        </is>
      </c>
      <c r="X46" s="0" t="n">
        <v>13</v>
      </c>
      <c r="Y46" s="0" t="n">
        <v>6</v>
      </c>
      <c r="Z46" s="0" t="inlineStr">
        <is>
          <t>https://new.land.naver.com/complexes/104005?tab=detail&amp;rf=Y</t>
        </is>
      </c>
      <c r="AA46" s="0" t="inlineStr">
        <is>
          <t>인천시 남동구 간석동 216-19</t>
        </is>
      </c>
      <c r="AB46" s="0" t="inlineStr">
        <is>
          <t>인천시</t>
        </is>
      </c>
      <c r="AC46" s="0" t="inlineStr">
        <is>
          <t>남동구</t>
        </is>
      </c>
      <c r="AD46" s="0" t="inlineStr">
        <is>
          <t>간석동</t>
        </is>
      </c>
      <c r="AG46" s="0" t="inlineStr">
        <is>
          <t>인천시 남동구 경인로653번길 9</t>
        </is>
      </c>
      <c r="AH46" s="0" t="n">
        <v>0</v>
      </c>
      <c r="AI46" s="0" t="n">
        <v>508</v>
      </c>
      <c r="AJ46" s="0" t="n">
        <v>65</v>
      </c>
      <c r="AK46" s="0" t="n">
        <v>25</v>
      </c>
      <c r="AL46" s="0" t="n">
        <v>0.26</v>
      </c>
    </row>
    <row r="47">
      <c r="A47" s="0" t="inlineStr">
        <is>
          <t>[간석동]</t>
        </is>
      </c>
      <c r="B47" s="0" t="n">
        <v>104005</v>
      </c>
      <c r="C47" s="0" t="n">
        <v>9</v>
      </c>
      <c r="D47" s="0" t="inlineStr">
        <is>
          <t>간석리페2차(도시형)</t>
        </is>
      </c>
      <c r="E47" s="0" t="inlineStr">
        <is>
          <t>2013.03.</t>
        </is>
      </c>
      <c r="F47" s="0" t="n">
        <v>98</v>
      </c>
      <c r="G47" s="0" t="n">
        <v>6.05</v>
      </c>
      <c r="H47" s="0" t="n">
        <v>20.03</v>
      </c>
      <c r="I47" s="0" t="n">
        <v>3.74</v>
      </c>
      <c r="J47" s="0" t="n">
        <v>12.37</v>
      </c>
      <c r="K47" s="0" t="n">
        <v>1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20C1</t>
        </is>
      </c>
      <c r="X47" s="0" t="n">
        <v>13</v>
      </c>
      <c r="Y47" s="0" t="n">
        <v>6</v>
      </c>
      <c r="Z47" s="0" t="inlineStr">
        <is>
          <t>https://new.land.naver.com/complexes/104005?tab=detail&amp;rf=Y</t>
        </is>
      </c>
      <c r="AA47" s="0" t="inlineStr">
        <is>
          <t>인천시 남동구 간석동 216-19</t>
        </is>
      </c>
      <c r="AB47" s="0" t="inlineStr">
        <is>
          <t>인천시</t>
        </is>
      </c>
      <c r="AC47" s="0" t="inlineStr">
        <is>
          <t>남동구</t>
        </is>
      </c>
      <c r="AD47" s="0" t="inlineStr">
        <is>
          <t>간석동</t>
        </is>
      </c>
      <c r="AG47" s="0" t="inlineStr">
        <is>
          <t>인천시 남동구 경인로653번길 9</t>
        </is>
      </c>
      <c r="AH47" s="0" t="n">
        <v>0</v>
      </c>
      <c r="AI47" s="0" t="n">
        <v>508</v>
      </c>
      <c r="AJ47" s="0" t="n">
        <v>65</v>
      </c>
      <c r="AK47" s="0" t="n">
        <v>25</v>
      </c>
      <c r="AL47" s="0" t="n">
        <v>0.26</v>
      </c>
    </row>
    <row r="48">
      <c r="A48" s="0" t="inlineStr">
        <is>
          <t>[간석동]</t>
        </is>
      </c>
      <c r="B48" s="0" t="n">
        <v>104005</v>
      </c>
      <c r="C48" s="0" t="n">
        <v>10</v>
      </c>
      <c r="D48" s="0" t="inlineStr">
        <is>
          <t>간석리페2차(도시형)</t>
        </is>
      </c>
      <c r="E48" s="0" t="inlineStr">
        <is>
          <t>2013.03.</t>
        </is>
      </c>
      <c r="F48" s="0" t="n">
        <v>98</v>
      </c>
      <c r="G48" s="0" t="n">
        <v>6.05</v>
      </c>
      <c r="H48" s="0" t="n">
        <v>20.03</v>
      </c>
      <c r="I48" s="0" t="n">
        <v>3.74</v>
      </c>
      <c r="J48" s="0" t="n">
        <v>12.37</v>
      </c>
      <c r="K48" s="0" t="n">
        <v>1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20D</t>
        </is>
      </c>
      <c r="X48" s="0" t="n">
        <v>13</v>
      </c>
      <c r="Y48" s="0" t="n">
        <v>6</v>
      </c>
      <c r="Z48" s="0" t="inlineStr">
        <is>
          <t>https://new.land.naver.com/complexes/104005?tab=detail&amp;rf=Y</t>
        </is>
      </c>
      <c r="AA48" s="0" t="inlineStr">
        <is>
          <t>인천시 남동구 간석동 216-19</t>
        </is>
      </c>
      <c r="AB48" s="0" t="inlineStr">
        <is>
          <t>인천시</t>
        </is>
      </c>
      <c r="AC48" s="0" t="inlineStr">
        <is>
          <t>남동구</t>
        </is>
      </c>
      <c r="AD48" s="0" t="inlineStr">
        <is>
          <t>간석동</t>
        </is>
      </c>
      <c r="AG48" s="0" t="inlineStr">
        <is>
          <t>인천시 남동구 경인로653번길 9</t>
        </is>
      </c>
      <c r="AH48" s="0" t="n">
        <v>0</v>
      </c>
      <c r="AI48" s="0" t="n">
        <v>508</v>
      </c>
      <c r="AJ48" s="0" t="n">
        <v>65</v>
      </c>
      <c r="AK48" s="0" t="n">
        <v>25</v>
      </c>
      <c r="AL48" s="0" t="n">
        <v>0.26</v>
      </c>
    </row>
    <row r="49">
      <c r="A49" s="0" t="inlineStr">
        <is>
          <t>[간석동]</t>
        </is>
      </c>
      <c r="B49" s="0" t="n">
        <v>10060</v>
      </c>
      <c r="C49" s="0" t="n">
        <v>1</v>
      </c>
      <c r="D49" s="0" t="inlineStr">
        <is>
          <t>형진프라자</t>
        </is>
      </c>
      <c r="E49" s="0" t="inlineStr">
        <is>
          <t>1996.03.</t>
        </is>
      </c>
      <c r="F49" s="0" t="n">
        <v>90</v>
      </c>
      <c r="G49" s="0" t="n">
        <v>11.89</v>
      </c>
      <c r="H49" s="0" t="n">
        <v>39.33</v>
      </c>
      <c r="I49" s="0" t="n">
        <v>8.41</v>
      </c>
      <c r="J49" s="0" t="n">
        <v>27.81</v>
      </c>
      <c r="K49" s="0" t="n">
        <v>84</v>
      </c>
      <c r="T49" s="0" t="n">
        <v>1</v>
      </c>
      <c r="U49" s="0" t="n">
        <v>1</v>
      </c>
      <c r="V49" s="0" t="inlineStr">
        <is>
          <t>계단식</t>
        </is>
      </c>
      <c r="W49" s="0" t="n">
        <v>39</v>
      </c>
      <c r="X49" s="0" t="n">
        <v>9</v>
      </c>
      <c r="Y49" s="0" t="n">
        <v>9</v>
      </c>
      <c r="Z49" s="0" t="inlineStr">
        <is>
          <t>https://new.land.naver.com/complexes/10060?tab=detail&amp;rf=Y</t>
        </is>
      </c>
      <c r="AA49" s="0" t="inlineStr">
        <is>
          <t>인천시 남동구 간석동 313-3</t>
        </is>
      </c>
      <c r="AB49" s="0" t="inlineStr">
        <is>
          <t>인천시</t>
        </is>
      </c>
      <c r="AC49" s="0" t="inlineStr">
        <is>
          <t>남동구</t>
        </is>
      </c>
      <c r="AD49" s="0" t="inlineStr">
        <is>
          <t>간석동</t>
        </is>
      </c>
      <c r="AG49" s="0" t="inlineStr">
        <is>
          <t>인천시 남동구 남동대로915번길 25</t>
        </is>
      </c>
      <c r="AH49" s="0" t="n">
        <v>0</v>
      </c>
      <c r="AI49" s="0" t="n">
        <v>363</v>
      </c>
      <c r="AJ49" s="0" t="n">
        <v>55</v>
      </c>
      <c r="AK49" s="0" t="n">
        <v>43</v>
      </c>
      <c r="AL49" s="0" t="n">
        <v>0.48</v>
      </c>
    </row>
    <row r="50">
      <c r="A50" s="0" t="inlineStr">
        <is>
          <t>[간석동]</t>
        </is>
      </c>
      <c r="B50" s="0" t="n">
        <v>10060</v>
      </c>
      <c r="C50" s="0" t="n">
        <v>2</v>
      </c>
      <c r="D50" s="0" t="inlineStr">
        <is>
          <t>형진프라자</t>
        </is>
      </c>
      <c r="E50" s="0" t="inlineStr">
        <is>
          <t>1996.03.</t>
        </is>
      </c>
      <c r="F50" s="0" t="n">
        <v>90</v>
      </c>
      <c r="G50" s="0" t="n">
        <v>22.29</v>
      </c>
      <c r="H50" s="0" t="n">
        <v>73.7</v>
      </c>
      <c r="I50" s="0" t="n">
        <v>15.76</v>
      </c>
      <c r="J50" s="0" t="n">
        <v>52.11</v>
      </c>
      <c r="K50" s="0" t="n">
        <v>6</v>
      </c>
      <c r="T50" s="0" t="n">
        <v>3</v>
      </c>
      <c r="U50" s="0" t="n">
        <v>1</v>
      </c>
      <c r="V50" s="0" t="inlineStr">
        <is>
          <t>계단식</t>
        </is>
      </c>
      <c r="W50" s="0" t="n">
        <v>73</v>
      </c>
      <c r="X50" s="0" t="n">
        <v>9</v>
      </c>
      <c r="Y50" s="0" t="n">
        <v>9</v>
      </c>
      <c r="Z50" s="0" t="inlineStr">
        <is>
          <t>https://new.land.naver.com/complexes/10060?tab=detail&amp;rf=Y</t>
        </is>
      </c>
      <c r="AA50" s="0" t="inlineStr">
        <is>
          <t>인천시 남동구 간석동 313-3</t>
        </is>
      </c>
      <c r="AB50" s="0" t="inlineStr">
        <is>
          <t>인천시</t>
        </is>
      </c>
      <c r="AC50" s="0" t="inlineStr">
        <is>
          <t>남동구</t>
        </is>
      </c>
      <c r="AD50" s="0" t="inlineStr">
        <is>
          <t>간석동</t>
        </is>
      </c>
      <c r="AG50" s="0" t="inlineStr">
        <is>
          <t>인천시 남동구 남동대로915번길 25</t>
        </is>
      </c>
      <c r="AH50" s="0" t="n">
        <v>0</v>
      </c>
      <c r="AI50" s="0" t="n">
        <v>363</v>
      </c>
      <c r="AJ50" s="0" t="n">
        <v>55</v>
      </c>
      <c r="AK50" s="0" t="n">
        <v>43</v>
      </c>
      <c r="AL50" s="0" t="n">
        <v>0.48</v>
      </c>
    </row>
    <row r="51">
      <c r="A51" s="0" t="inlineStr">
        <is>
          <t>[간석동]</t>
        </is>
      </c>
      <c r="B51" s="0" t="n">
        <v>127796</v>
      </c>
      <c r="C51" s="0" t="n">
        <v>1</v>
      </c>
      <c r="D51" s="0" t="inlineStr">
        <is>
          <t>미래타운(도시형)</t>
        </is>
      </c>
      <c r="E51" s="0" t="inlineStr">
        <is>
          <t>2017.04.</t>
        </is>
      </c>
      <c r="F51" s="0" t="n">
        <v>22</v>
      </c>
      <c r="G51" s="0" t="n">
        <v>18.55</v>
      </c>
      <c r="H51" s="0" t="n">
        <v>61.34</v>
      </c>
      <c r="I51" s="0" t="n">
        <v>13.45</v>
      </c>
      <c r="J51" s="0" t="n">
        <v>44.49</v>
      </c>
      <c r="K51" s="0" t="n">
        <v>10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61A</t>
        </is>
      </c>
      <c r="X51" s="0" t="n">
        <v>8</v>
      </c>
      <c r="Y51" s="0" t="n">
        <v>8</v>
      </c>
      <c r="Z51" s="0" t="inlineStr">
        <is>
          <t>https://new.land.naver.com/complexes/127796?tab=detail&amp;rf=Y</t>
        </is>
      </c>
      <c r="AA51" s="0" t="inlineStr">
        <is>
          <t>인천시 남동구 간석동 107-4</t>
        </is>
      </c>
      <c r="AB51" s="0" t="inlineStr">
        <is>
          <t>인천시</t>
        </is>
      </c>
      <c r="AC51" s="0" t="inlineStr">
        <is>
          <t>남동구</t>
        </is>
      </c>
      <c r="AD51" s="0" t="inlineStr">
        <is>
          <t>간석동</t>
        </is>
      </c>
      <c r="AG51" s="0" t="inlineStr">
        <is>
          <t>인천시 남동구 간석로12번길 4</t>
        </is>
      </c>
      <c r="AH51" s="0" t="n">
        <v>0</v>
      </c>
      <c r="AI51" s="0" t="n">
        <v>835</v>
      </c>
      <c r="AJ51" s="0" t="n">
        <v>76</v>
      </c>
      <c r="AK51" s="0" t="n">
        <v>14</v>
      </c>
      <c r="AL51" s="0" t="n">
        <v>0.64</v>
      </c>
    </row>
    <row r="52">
      <c r="A52" s="0" t="inlineStr">
        <is>
          <t>[간석동]</t>
        </is>
      </c>
      <c r="B52" s="0" t="n">
        <v>127796</v>
      </c>
      <c r="C52" s="0" t="n">
        <v>2</v>
      </c>
      <c r="D52" s="0" t="inlineStr">
        <is>
          <t>미래타운(도시형)</t>
        </is>
      </c>
      <c r="E52" s="0" t="inlineStr">
        <is>
          <t>2017.04.</t>
        </is>
      </c>
      <c r="F52" s="0" t="n">
        <v>22</v>
      </c>
      <c r="G52" s="0" t="n">
        <v>18.8</v>
      </c>
      <c r="H52" s="0" t="n">
        <v>62.15</v>
      </c>
      <c r="I52" s="0" t="n">
        <v>13.87</v>
      </c>
      <c r="J52" s="0" t="n">
        <v>45.87</v>
      </c>
      <c r="K52" s="0" t="n">
        <v>10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62B</t>
        </is>
      </c>
      <c r="X52" s="0" t="n">
        <v>8</v>
      </c>
      <c r="Y52" s="0" t="n">
        <v>8</v>
      </c>
      <c r="Z52" s="0" t="inlineStr">
        <is>
          <t>https://new.land.naver.com/complexes/127796?tab=detail&amp;rf=Y</t>
        </is>
      </c>
      <c r="AA52" s="0" t="inlineStr">
        <is>
          <t>인천시 남동구 간석동 107-4</t>
        </is>
      </c>
      <c r="AB52" s="0" t="inlineStr">
        <is>
          <t>인천시</t>
        </is>
      </c>
      <c r="AC52" s="0" t="inlineStr">
        <is>
          <t>남동구</t>
        </is>
      </c>
      <c r="AD52" s="0" t="inlineStr">
        <is>
          <t>간석동</t>
        </is>
      </c>
      <c r="AG52" s="0" t="inlineStr">
        <is>
          <t>인천시 남동구 간석로12번길 4</t>
        </is>
      </c>
      <c r="AH52" s="0" t="n">
        <v>0</v>
      </c>
      <c r="AI52" s="0" t="n">
        <v>835</v>
      </c>
      <c r="AJ52" s="0" t="n">
        <v>76</v>
      </c>
      <c r="AK52" s="0" t="n">
        <v>14</v>
      </c>
      <c r="AL52" s="0" t="n">
        <v>0.64</v>
      </c>
    </row>
    <row r="53">
      <c r="A53" s="0" t="inlineStr">
        <is>
          <t>[간석동]</t>
        </is>
      </c>
      <c r="B53" s="0" t="n">
        <v>127796</v>
      </c>
      <c r="C53" s="0" t="n">
        <v>3</v>
      </c>
      <c r="D53" s="0" t="inlineStr">
        <is>
          <t>미래타운(도시형)</t>
        </is>
      </c>
      <c r="E53" s="0" t="inlineStr">
        <is>
          <t>2017.04.</t>
        </is>
      </c>
      <c r="F53" s="0" t="n">
        <v>22</v>
      </c>
      <c r="G53" s="0" t="n">
        <v>19.46</v>
      </c>
      <c r="H53" s="0" t="n">
        <v>64.34</v>
      </c>
      <c r="I53" s="0" t="n">
        <v>14.41</v>
      </c>
      <c r="J53" s="0" t="n">
        <v>47.65</v>
      </c>
      <c r="K53" s="0" t="n">
        <v>2</v>
      </c>
      <c r="T53" s="0" t="n">
        <v>1</v>
      </c>
      <c r="U53" s="0" t="n">
        <v>1</v>
      </c>
      <c r="V53" s="0" t="inlineStr">
        <is>
          <t>계단식</t>
        </is>
      </c>
      <c r="W53" s="0" t="inlineStr">
        <is>
          <t>64C</t>
        </is>
      </c>
      <c r="X53" s="0" t="n">
        <v>8</v>
      </c>
      <c r="Y53" s="0" t="n">
        <v>8</v>
      </c>
      <c r="Z53" s="0" t="inlineStr">
        <is>
          <t>https://new.land.naver.com/complexes/127796?tab=detail&amp;rf=Y</t>
        </is>
      </c>
      <c r="AA53" s="0" t="inlineStr">
        <is>
          <t>인천시 남동구 간석동 107-4</t>
        </is>
      </c>
      <c r="AB53" s="0" t="inlineStr">
        <is>
          <t>인천시</t>
        </is>
      </c>
      <c r="AC53" s="0" t="inlineStr">
        <is>
          <t>남동구</t>
        </is>
      </c>
      <c r="AD53" s="0" t="inlineStr">
        <is>
          <t>간석동</t>
        </is>
      </c>
      <c r="AG53" s="0" t="inlineStr">
        <is>
          <t>인천시 남동구 간석로12번길 4</t>
        </is>
      </c>
      <c r="AH53" s="0" t="n">
        <v>0</v>
      </c>
      <c r="AI53" s="0" t="n">
        <v>835</v>
      </c>
      <c r="AJ53" s="0" t="n">
        <v>76</v>
      </c>
      <c r="AK53" s="0" t="n">
        <v>14</v>
      </c>
      <c r="AL53" s="0" t="n">
        <v>0.64</v>
      </c>
    </row>
    <row r="54">
      <c r="A54" s="0" t="inlineStr">
        <is>
          <t>[간석동]</t>
        </is>
      </c>
      <c r="B54" s="0" t="n">
        <v>140610</v>
      </c>
      <c r="C54" s="0" t="n">
        <v>1</v>
      </c>
      <c r="D54" s="0" t="inlineStr">
        <is>
          <t>용정</t>
        </is>
      </c>
      <c r="E54" s="0" t="inlineStr">
        <is>
          <t>2016.06.</t>
        </is>
      </c>
      <c r="F54" s="0" t="n">
        <v>14</v>
      </c>
      <c r="G54" s="0" t="n">
        <v>12.22</v>
      </c>
      <c r="H54" s="0" t="n">
        <v>40.42</v>
      </c>
      <c r="I54" s="0" t="n">
        <v>9.529999999999999</v>
      </c>
      <c r="J54" s="0" t="n">
        <v>31.52</v>
      </c>
      <c r="K54" s="0" t="n">
        <v>4</v>
      </c>
      <c r="T54" s="0" t="n">
        <v>1</v>
      </c>
      <c r="U54" s="0" t="n">
        <v>1</v>
      </c>
      <c r="V54" s="0" t="inlineStr">
        <is>
          <t>계단식</t>
        </is>
      </c>
      <c r="W54" s="0" t="n">
        <v>40</v>
      </c>
      <c r="X54" s="0" t="n">
        <v>7</v>
      </c>
      <c r="Y54" s="0" t="n">
        <v>7</v>
      </c>
      <c r="Z54" s="0" t="inlineStr">
        <is>
          <t>https://new.land.naver.com/complexes/140610?tab=detail&amp;rf=Y</t>
        </is>
      </c>
      <c r="AA54" s="0" t="inlineStr">
        <is>
          <t>인천시 남동구 간석동 74-11</t>
        </is>
      </c>
      <c r="AB54" s="0" t="inlineStr">
        <is>
          <t>인천시</t>
        </is>
      </c>
      <c r="AC54" s="0" t="inlineStr">
        <is>
          <t>남동구</t>
        </is>
      </c>
      <c r="AD54" s="0" t="inlineStr">
        <is>
          <t>간석동</t>
        </is>
      </c>
      <c r="AG54" s="0" t="inlineStr">
        <is>
          <t>인천시 남동구 간석로11번길 7</t>
        </is>
      </c>
      <c r="AH54" s="0" t="n">
        <v>0</v>
      </c>
      <c r="AI54" s="0" t="n">
        <v>333</v>
      </c>
      <c r="AJ54" s="0" t="n">
        <v>59</v>
      </c>
      <c r="AK54" s="0" t="n">
        <v>19</v>
      </c>
      <c r="AL54" s="0" t="n">
        <v>1.36</v>
      </c>
    </row>
    <row r="55">
      <c r="A55" s="0" t="inlineStr">
        <is>
          <t>[간석동]</t>
        </is>
      </c>
      <c r="B55" s="0" t="n">
        <v>140610</v>
      </c>
      <c r="C55" s="0" t="n">
        <v>2</v>
      </c>
      <c r="D55" s="0" t="inlineStr">
        <is>
          <t>용정</t>
        </is>
      </c>
      <c r="E55" s="0" t="inlineStr">
        <is>
          <t>2016.06.</t>
        </is>
      </c>
      <c r="F55" s="0" t="n">
        <v>14</v>
      </c>
      <c r="G55" s="0" t="n">
        <v>16.13</v>
      </c>
      <c r="H55" s="0" t="n">
        <v>53.34</v>
      </c>
      <c r="I55" s="0" t="n">
        <v>12.59</v>
      </c>
      <c r="J55" s="0" t="n">
        <v>41.63</v>
      </c>
      <c r="K55" s="0" t="n">
        <v>4</v>
      </c>
      <c r="T55" s="0" t="n">
        <v>2</v>
      </c>
      <c r="U55" s="0" t="n">
        <v>1</v>
      </c>
      <c r="V55" s="0" t="inlineStr">
        <is>
          <t>계단식</t>
        </is>
      </c>
      <c r="W55" s="0" t="n">
        <v>53</v>
      </c>
      <c r="X55" s="0" t="n">
        <v>7</v>
      </c>
      <c r="Y55" s="0" t="n">
        <v>7</v>
      </c>
      <c r="Z55" s="0" t="inlineStr">
        <is>
          <t>https://new.land.naver.com/complexes/140610?tab=detail&amp;rf=Y</t>
        </is>
      </c>
      <c r="AA55" s="0" t="inlineStr">
        <is>
          <t>인천시 남동구 간석동 74-11</t>
        </is>
      </c>
      <c r="AB55" s="0" t="inlineStr">
        <is>
          <t>인천시</t>
        </is>
      </c>
      <c r="AC55" s="0" t="inlineStr">
        <is>
          <t>남동구</t>
        </is>
      </c>
      <c r="AD55" s="0" t="inlineStr">
        <is>
          <t>간석동</t>
        </is>
      </c>
      <c r="AG55" s="0" t="inlineStr">
        <is>
          <t>인천시 남동구 간석로11번길 7</t>
        </is>
      </c>
      <c r="AH55" s="0" t="n">
        <v>0</v>
      </c>
      <c r="AI55" s="0" t="n">
        <v>333</v>
      </c>
      <c r="AJ55" s="0" t="n">
        <v>59</v>
      </c>
      <c r="AK55" s="0" t="n">
        <v>19</v>
      </c>
      <c r="AL55" s="0" t="n">
        <v>1.36</v>
      </c>
    </row>
    <row r="56">
      <c r="A56" s="0" t="inlineStr">
        <is>
          <t>[간석동]</t>
        </is>
      </c>
      <c r="B56" s="0" t="n">
        <v>140610</v>
      </c>
      <c r="C56" s="0" t="n">
        <v>3</v>
      </c>
      <c r="D56" s="0" t="inlineStr">
        <is>
          <t>용정</t>
        </is>
      </c>
      <c r="E56" s="0" t="inlineStr">
        <is>
          <t>2016.06.</t>
        </is>
      </c>
      <c r="F56" s="0" t="n">
        <v>14</v>
      </c>
      <c r="G56" s="0" t="n">
        <v>17.27</v>
      </c>
      <c r="H56" s="0" t="n">
        <v>57.12</v>
      </c>
      <c r="I56" s="0" t="n">
        <v>13.38</v>
      </c>
      <c r="J56" s="0" t="n">
        <v>44.25</v>
      </c>
      <c r="K56" s="0" t="n">
        <v>4</v>
      </c>
      <c r="T56" s="0" t="n">
        <v>2</v>
      </c>
      <c r="U56" s="0" t="n">
        <v>1</v>
      </c>
      <c r="V56" s="0" t="inlineStr">
        <is>
          <t>계단식</t>
        </is>
      </c>
      <c r="W56" s="0" t="n">
        <v>57</v>
      </c>
      <c r="X56" s="0" t="n">
        <v>7</v>
      </c>
      <c r="Y56" s="0" t="n">
        <v>7</v>
      </c>
      <c r="Z56" s="0" t="inlineStr">
        <is>
          <t>https://new.land.naver.com/complexes/140610?tab=detail&amp;rf=Y</t>
        </is>
      </c>
      <c r="AA56" s="0" t="inlineStr">
        <is>
          <t>인천시 남동구 간석동 74-11</t>
        </is>
      </c>
      <c r="AB56" s="0" t="inlineStr">
        <is>
          <t>인천시</t>
        </is>
      </c>
      <c r="AC56" s="0" t="inlineStr">
        <is>
          <t>남동구</t>
        </is>
      </c>
      <c r="AD56" s="0" t="inlineStr">
        <is>
          <t>간석동</t>
        </is>
      </c>
      <c r="AG56" s="0" t="inlineStr">
        <is>
          <t>인천시 남동구 간석로11번길 7</t>
        </is>
      </c>
      <c r="AH56" s="0" t="n">
        <v>0</v>
      </c>
      <c r="AI56" s="0" t="n">
        <v>333</v>
      </c>
      <c r="AJ56" s="0" t="n">
        <v>59</v>
      </c>
      <c r="AK56" s="0" t="n">
        <v>19</v>
      </c>
      <c r="AL56" s="0" t="n">
        <v>1.36</v>
      </c>
    </row>
    <row r="57">
      <c r="A57" s="0" t="inlineStr">
        <is>
          <t>[간석동]</t>
        </is>
      </c>
      <c r="B57" s="0" t="n">
        <v>140610</v>
      </c>
      <c r="C57" s="0" t="n">
        <v>4</v>
      </c>
      <c r="D57" s="0" t="inlineStr">
        <is>
          <t>용정</t>
        </is>
      </c>
      <c r="E57" s="0" t="inlineStr">
        <is>
          <t>2016.06.</t>
        </is>
      </c>
      <c r="F57" s="0" t="n">
        <v>14</v>
      </c>
      <c r="G57" s="0" t="n">
        <v>18.63</v>
      </c>
      <c r="H57" s="0" t="n">
        <v>61.59</v>
      </c>
      <c r="I57" s="0" t="n">
        <v>14.09</v>
      </c>
      <c r="J57" s="0" t="n">
        <v>46.59</v>
      </c>
      <c r="K57" s="0" t="n">
        <v>1</v>
      </c>
      <c r="T57" s="0" t="n">
        <v>2</v>
      </c>
      <c r="U57" s="0" t="n">
        <v>1</v>
      </c>
      <c r="V57" s="0" t="inlineStr">
        <is>
          <t>계단식</t>
        </is>
      </c>
      <c r="W57" s="0" t="n">
        <v>61</v>
      </c>
      <c r="X57" s="0" t="n">
        <v>7</v>
      </c>
      <c r="Y57" s="0" t="n">
        <v>7</v>
      </c>
      <c r="Z57" s="0" t="inlineStr">
        <is>
          <t>https://new.land.naver.com/complexes/140610?tab=detail&amp;rf=Y</t>
        </is>
      </c>
      <c r="AA57" s="0" t="inlineStr">
        <is>
          <t>인천시 남동구 간석동 74-11</t>
        </is>
      </c>
      <c r="AB57" s="0" t="inlineStr">
        <is>
          <t>인천시</t>
        </is>
      </c>
      <c r="AC57" s="0" t="inlineStr">
        <is>
          <t>남동구</t>
        </is>
      </c>
      <c r="AD57" s="0" t="inlineStr">
        <is>
          <t>간석동</t>
        </is>
      </c>
      <c r="AG57" s="0" t="inlineStr">
        <is>
          <t>인천시 남동구 간석로11번길 7</t>
        </is>
      </c>
      <c r="AH57" s="0" t="n">
        <v>0</v>
      </c>
      <c r="AI57" s="0" t="n">
        <v>333</v>
      </c>
      <c r="AJ57" s="0" t="n">
        <v>59</v>
      </c>
      <c r="AK57" s="0" t="n">
        <v>19</v>
      </c>
      <c r="AL57" s="0" t="n">
        <v>1.36</v>
      </c>
    </row>
    <row r="58">
      <c r="A58" s="0" t="inlineStr">
        <is>
          <t>[간석동]</t>
        </is>
      </c>
      <c r="B58" s="0" t="n">
        <v>140610</v>
      </c>
      <c r="C58" s="0" t="n">
        <v>5</v>
      </c>
      <c r="D58" s="0" t="inlineStr">
        <is>
          <t>용정</t>
        </is>
      </c>
      <c r="E58" s="0" t="inlineStr">
        <is>
          <t>2016.06.</t>
        </is>
      </c>
      <c r="F58" s="0" t="n">
        <v>14</v>
      </c>
      <c r="G58" s="0" t="n">
        <v>20.46</v>
      </c>
      <c r="H58" s="0" t="n">
        <v>67.64</v>
      </c>
      <c r="I58" s="0" t="n">
        <v>15.54</v>
      </c>
      <c r="J58" s="0" t="n">
        <v>51.4</v>
      </c>
      <c r="K58" s="0" t="n">
        <v>1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7</v>
      </c>
      <c r="Y58" s="0" t="n">
        <v>7</v>
      </c>
      <c r="Z58" s="0" t="inlineStr">
        <is>
          <t>https://new.land.naver.com/complexes/140610?tab=detail&amp;rf=Y</t>
        </is>
      </c>
      <c r="AA58" s="0" t="inlineStr">
        <is>
          <t>인천시 남동구 간석동 74-11</t>
        </is>
      </c>
      <c r="AB58" s="0" t="inlineStr">
        <is>
          <t>인천시</t>
        </is>
      </c>
      <c r="AC58" s="0" t="inlineStr">
        <is>
          <t>남동구</t>
        </is>
      </c>
      <c r="AD58" s="0" t="inlineStr">
        <is>
          <t>간석동</t>
        </is>
      </c>
      <c r="AG58" s="0" t="inlineStr">
        <is>
          <t>인천시 남동구 간석로11번길 7</t>
        </is>
      </c>
      <c r="AH58" s="0" t="n">
        <v>0</v>
      </c>
      <c r="AI58" s="0" t="n">
        <v>333</v>
      </c>
      <c r="AJ58" s="0" t="n">
        <v>59</v>
      </c>
      <c r="AK58" s="0" t="n">
        <v>19</v>
      </c>
      <c r="AL58" s="0" t="n">
        <v>1.36</v>
      </c>
    </row>
    <row r="59">
      <c r="A59" s="0" t="inlineStr">
        <is>
          <t>[간석동]</t>
        </is>
      </c>
      <c r="B59" s="0" t="n">
        <v>125102</v>
      </c>
      <c r="C59" s="0" t="n">
        <v>1</v>
      </c>
      <c r="D59" s="0" t="inlineStr">
        <is>
          <t>스마트리더스타운</t>
        </is>
      </c>
      <c r="E59" s="0" t="inlineStr">
        <is>
          <t>2018.04.</t>
        </is>
      </c>
      <c r="F59" s="0" t="n">
        <v>22</v>
      </c>
      <c r="G59" s="0" t="n">
        <v>16.19</v>
      </c>
      <c r="H59" s="0" t="n">
        <v>53.55</v>
      </c>
      <c r="I59" s="0" t="n">
        <v>12.86</v>
      </c>
      <c r="J59" s="0" t="n">
        <v>42.54</v>
      </c>
      <c r="K59" s="0" t="n">
        <v>4</v>
      </c>
      <c r="T59" s="0" t="n">
        <v>2</v>
      </c>
      <c r="U59" s="0" t="n">
        <v>1</v>
      </c>
      <c r="V59" s="0" t="inlineStr">
        <is>
          <t>계단식</t>
        </is>
      </c>
      <c r="W59" s="0" t="n">
        <v>53</v>
      </c>
      <c r="X59" s="0" t="n">
        <v>17</v>
      </c>
      <c r="Y59" s="0" t="n">
        <v>17</v>
      </c>
      <c r="Z59" s="0" t="inlineStr">
        <is>
          <t>https://new.land.naver.com/complexes/125102?tab=detail&amp;rf=Y</t>
        </is>
      </c>
      <c r="AA59" s="0" t="inlineStr">
        <is>
          <t>인천시 남동구 간석동 92-4</t>
        </is>
      </c>
      <c r="AB59" s="0" t="inlineStr">
        <is>
          <t>인천시</t>
        </is>
      </c>
      <c r="AC59" s="0" t="inlineStr">
        <is>
          <t>남동구</t>
        </is>
      </c>
      <c r="AD59" s="0" t="inlineStr">
        <is>
          <t>간석동</t>
        </is>
      </c>
      <c r="AG59" s="0" t="inlineStr">
        <is>
          <t>인천시 남동구 간석로50번길 5</t>
        </is>
      </c>
      <c r="AH59" s="0" t="n">
        <v>0</v>
      </c>
      <c r="AI59" s="0" t="n">
        <v>929</v>
      </c>
      <c r="AJ59" s="0" t="n">
        <v>76</v>
      </c>
      <c r="AK59" s="0" t="n">
        <v>22</v>
      </c>
      <c r="AL59" s="0" t="n">
        <v>1</v>
      </c>
    </row>
    <row r="60">
      <c r="A60" s="0" t="inlineStr">
        <is>
          <t>[간석동]</t>
        </is>
      </c>
      <c r="B60" s="0" t="n">
        <v>125102</v>
      </c>
      <c r="C60" s="0" t="n">
        <v>2</v>
      </c>
      <c r="D60" s="0" t="inlineStr">
        <is>
          <t>스마트리더스타운</t>
        </is>
      </c>
      <c r="E60" s="0" t="inlineStr">
        <is>
          <t>2018.04.</t>
        </is>
      </c>
      <c r="F60" s="0" t="n">
        <v>22</v>
      </c>
      <c r="G60" s="0" t="n">
        <v>19.94</v>
      </c>
      <c r="H60" s="0" t="n">
        <v>65.93000000000001</v>
      </c>
      <c r="I60" s="0" t="n">
        <v>15.86</v>
      </c>
      <c r="J60" s="0" t="n">
        <v>52.46</v>
      </c>
      <c r="K60" s="0" t="n">
        <v>6</v>
      </c>
      <c r="T60" s="0" t="n">
        <v>3</v>
      </c>
      <c r="U60" s="0" t="n">
        <v>1</v>
      </c>
      <c r="V60" s="0" t="inlineStr">
        <is>
          <t>계단식</t>
        </is>
      </c>
      <c r="W60" s="0" t="inlineStr">
        <is>
          <t>65A</t>
        </is>
      </c>
      <c r="X60" s="0" t="n">
        <v>17</v>
      </c>
      <c r="Y60" s="0" t="n">
        <v>17</v>
      </c>
      <c r="Z60" s="0" t="inlineStr">
        <is>
          <t>https://new.land.naver.com/complexes/125102?tab=detail&amp;rf=Y</t>
        </is>
      </c>
      <c r="AA60" s="0" t="inlineStr">
        <is>
          <t>인천시 남동구 간석동 92-4</t>
        </is>
      </c>
      <c r="AB60" s="0" t="inlineStr">
        <is>
          <t>인천시</t>
        </is>
      </c>
      <c r="AC60" s="0" t="inlineStr">
        <is>
          <t>남동구</t>
        </is>
      </c>
      <c r="AD60" s="0" t="inlineStr">
        <is>
          <t>간석동</t>
        </is>
      </c>
      <c r="AG60" s="0" t="inlineStr">
        <is>
          <t>인천시 남동구 간석로50번길 5</t>
        </is>
      </c>
      <c r="AH60" s="0" t="n">
        <v>0</v>
      </c>
      <c r="AI60" s="0" t="n">
        <v>929</v>
      </c>
      <c r="AJ60" s="0" t="n">
        <v>76</v>
      </c>
      <c r="AK60" s="0" t="n">
        <v>22</v>
      </c>
      <c r="AL60" s="0" t="n">
        <v>1</v>
      </c>
    </row>
    <row r="61">
      <c r="A61" s="0" t="inlineStr">
        <is>
          <t>[간석동]</t>
        </is>
      </c>
      <c r="B61" s="0" t="n">
        <v>125102</v>
      </c>
      <c r="C61" s="0" t="n">
        <v>3</v>
      </c>
      <c r="D61" s="0" t="inlineStr">
        <is>
          <t>스마트리더스타운</t>
        </is>
      </c>
      <c r="E61" s="0" t="inlineStr">
        <is>
          <t>2018.04.</t>
        </is>
      </c>
      <c r="F61" s="0" t="n">
        <v>22</v>
      </c>
      <c r="G61" s="0" t="n">
        <v>20.11</v>
      </c>
      <c r="H61" s="0" t="n">
        <v>66.48</v>
      </c>
      <c r="I61" s="0" t="n">
        <v>16.01</v>
      </c>
      <c r="J61" s="0" t="n">
        <v>52.95</v>
      </c>
      <c r="K61" s="0" t="n">
        <v>3</v>
      </c>
      <c r="T61" s="0" t="n">
        <v>3</v>
      </c>
      <c r="U61" s="0" t="n">
        <v>1</v>
      </c>
      <c r="V61" s="0" t="inlineStr">
        <is>
          <t>계단식</t>
        </is>
      </c>
      <c r="W61" s="0" t="inlineStr">
        <is>
          <t>66B</t>
        </is>
      </c>
      <c r="X61" s="0" t="n">
        <v>17</v>
      </c>
      <c r="Y61" s="0" t="n">
        <v>17</v>
      </c>
      <c r="Z61" s="0" t="inlineStr">
        <is>
          <t>https://new.land.naver.com/complexes/125102?tab=detail&amp;rf=Y</t>
        </is>
      </c>
      <c r="AA61" s="0" t="inlineStr">
        <is>
          <t>인천시 남동구 간석동 92-4</t>
        </is>
      </c>
      <c r="AB61" s="0" t="inlineStr">
        <is>
          <t>인천시</t>
        </is>
      </c>
      <c r="AC61" s="0" t="inlineStr">
        <is>
          <t>남동구</t>
        </is>
      </c>
      <c r="AD61" s="0" t="inlineStr">
        <is>
          <t>간석동</t>
        </is>
      </c>
      <c r="AG61" s="0" t="inlineStr">
        <is>
          <t>인천시 남동구 간석로50번길 5</t>
        </is>
      </c>
      <c r="AH61" s="0" t="n">
        <v>0</v>
      </c>
      <c r="AI61" s="0" t="n">
        <v>929</v>
      </c>
      <c r="AJ61" s="0" t="n">
        <v>76</v>
      </c>
      <c r="AK61" s="0" t="n">
        <v>22</v>
      </c>
      <c r="AL61" s="0" t="n">
        <v>1</v>
      </c>
    </row>
    <row r="62">
      <c r="A62" s="0" t="inlineStr">
        <is>
          <t>[간석동]</t>
        </is>
      </c>
      <c r="B62" s="0" t="n">
        <v>125102</v>
      </c>
      <c r="C62" s="0" t="n">
        <v>4</v>
      </c>
      <c r="D62" s="0" t="inlineStr">
        <is>
          <t>스마트리더스타운</t>
        </is>
      </c>
      <c r="E62" s="0" t="inlineStr">
        <is>
          <t>2018.04.</t>
        </is>
      </c>
      <c r="F62" s="0" t="n">
        <v>22</v>
      </c>
      <c r="G62" s="0" t="n">
        <v>20.75</v>
      </c>
      <c r="H62" s="0" t="n">
        <v>68.61</v>
      </c>
      <c r="I62" s="0" t="n">
        <v>16.56</v>
      </c>
      <c r="J62" s="0" t="n">
        <v>54.75</v>
      </c>
      <c r="K62" s="0" t="n">
        <v>9</v>
      </c>
      <c r="T62" s="0" t="n">
        <v>3</v>
      </c>
      <c r="U62" s="0" t="n">
        <v>1</v>
      </c>
      <c r="V62" s="0" t="inlineStr">
        <is>
          <t>계단식</t>
        </is>
      </c>
      <c r="W62" s="0" t="n">
        <v>68</v>
      </c>
      <c r="X62" s="0" t="n">
        <v>17</v>
      </c>
      <c r="Y62" s="0" t="n">
        <v>17</v>
      </c>
      <c r="Z62" s="0" t="inlineStr">
        <is>
          <t>https://new.land.naver.com/complexes/125102?tab=detail&amp;rf=Y</t>
        </is>
      </c>
      <c r="AA62" s="0" t="inlineStr">
        <is>
          <t>인천시 남동구 간석동 92-4</t>
        </is>
      </c>
      <c r="AB62" s="0" t="inlineStr">
        <is>
          <t>인천시</t>
        </is>
      </c>
      <c r="AC62" s="0" t="inlineStr">
        <is>
          <t>남동구</t>
        </is>
      </c>
      <c r="AD62" s="0" t="inlineStr">
        <is>
          <t>간석동</t>
        </is>
      </c>
      <c r="AG62" s="0" t="inlineStr">
        <is>
          <t>인천시 남동구 간석로50번길 5</t>
        </is>
      </c>
      <c r="AH62" s="0" t="n">
        <v>0</v>
      </c>
      <c r="AI62" s="0" t="n">
        <v>929</v>
      </c>
      <c r="AJ62" s="0" t="n">
        <v>76</v>
      </c>
      <c r="AK62" s="0" t="n">
        <v>22</v>
      </c>
      <c r="AL62" s="0" t="n">
        <v>1</v>
      </c>
    </row>
    <row r="63">
      <c r="A63" s="0" t="inlineStr">
        <is>
          <t>[간석동]</t>
        </is>
      </c>
      <c r="B63" s="0" t="n">
        <v>128393</v>
      </c>
      <c r="C63" s="0" t="n">
        <v>1</v>
      </c>
      <c r="D63" s="0" t="inlineStr">
        <is>
          <t>메트로캐슬</t>
        </is>
      </c>
      <c r="E63" s="0" t="inlineStr">
        <is>
          <t>2018.01.</t>
        </is>
      </c>
      <c r="F63" s="0" t="n">
        <v>12</v>
      </c>
      <c r="G63" s="0" t="n">
        <v>22.84</v>
      </c>
      <c r="H63" s="0" t="n">
        <v>75.52</v>
      </c>
      <c r="I63" s="0" t="n">
        <v>18</v>
      </c>
      <c r="J63" s="0" t="n">
        <v>59.51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75A</t>
        </is>
      </c>
      <c r="X63" s="0" t="n">
        <v>5</v>
      </c>
      <c r="Y63" s="0" t="n">
        <v>5</v>
      </c>
      <c r="Z63" s="0" t="inlineStr">
        <is>
          <t>https://new.land.naver.com/complexes/128393?tab=detail&amp;rf=Y</t>
        </is>
      </c>
      <c r="AA63" s="0" t="inlineStr">
        <is>
          <t>인천시 남동구 간석동 39-12</t>
        </is>
      </c>
      <c r="AB63" s="0" t="inlineStr">
        <is>
          <t>인천시</t>
        </is>
      </c>
      <c r="AC63" s="0" t="inlineStr">
        <is>
          <t>남동구</t>
        </is>
      </c>
      <c r="AD63" s="0" t="inlineStr">
        <is>
          <t>간석동</t>
        </is>
      </c>
      <c r="AG63" s="0" t="inlineStr">
        <is>
          <t>인천시 남동구 용천로152번길 13</t>
        </is>
      </c>
      <c r="AH63" s="0" t="n">
        <v>0</v>
      </c>
      <c r="AI63" s="0" t="n">
        <v>949</v>
      </c>
      <c r="AJ63" s="0" t="n">
        <v>73</v>
      </c>
      <c r="AK63" s="0" t="n">
        <v>12</v>
      </c>
      <c r="AL63" s="0" t="n">
        <v>1</v>
      </c>
    </row>
    <row r="64">
      <c r="A64" s="0" t="inlineStr">
        <is>
          <t>[간석동]</t>
        </is>
      </c>
      <c r="B64" s="0" t="n">
        <v>128393</v>
      </c>
      <c r="C64" s="0" t="n">
        <v>2</v>
      </c>
      <c r="D64" s="0" t="inlineStr">
        <is>
          <t>메트로캐슬</t>
        </is>
      </c>
      <c r="E64" s="0" t="inlineStr">
        <is>
          <t>2018.01.</t>
        </is>
      </c>
      <c r="F64" s="0" t="n">
        <v>12</v>
      </c>
      <c r="G64" s="0" t="n">
        <v>22.79</v>
      </c>
      <c r="H64" s="0" t="n">
        <v>75.34999999999999</v>
      </c>
      <c r="I64" s="0" t="n">
        <v>18.01</v>
      </c>
      <c r="J64" s="0" t="n">
        <v>59.57</v>
      </c>
      <c r="K64" s="0" t="n">
        <v>4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75B</t>
        </is>
      </c>
      <c r="X64" s="0" t="n">
        <v>5</v>
      </c>
      <c r="Y64" s="0" t="n">
        <v>5</v>
      </c>
      <c r="Z64" s="0" t="inlineStr">
        <is>
          <t>https://new.land.naver.com/complexes/128393?tab=detail&amp;rf=Y</t>
        </is>
      </c>
      <c r="AA64" s="0" t="inlineStr">
        <is>
          <t>인천시 남동구 간석동 39-12</t>
        </is>
      </c>
      <c r="AB64" s="0" t="inlineStr">
        <is>
          <t>인천시</t>
        </is>
      </c>
      <c r="AC64" s="0" t="inlineStr">
        <is>
          <t>남동구</t>
        </is>
      </c>
      <c r="AD64" s="0" t="inlineStr">
        <is>
          <t>간석동</t>
        </is>
      </c>
      <c r="AG64" s="0" t="inlineStr">
        <is>
          <t>인천시 남동구 용천로152번길 13</t>
        </is>
      </c>
      <c r="AH64" s="0" t="n">
        <v>0</v>
      </c>
      <c r="AI64" s="0" t="n">
        <v>949</v>
      </c>
      <c r="AJ64" s="0" t="n">
        <v>73</v>
      </c>
      <c r="AK64" s="0" t="n">
        <v>12</v>
      </c>
      <c r="AL64" s="0" t="n">
        <v>1</v>
      </c>
    </row>
    <row r="65">
      <c r="A65" s="0" t="inlineStr">
        <is>
          <t>[간석동]</t>
        </is>
      </c>
      <c r="B65" s="0" t="n">
        <v>128393</v>
      </c>
      <c r="C65" s="0" t="n">
        <v>3</v>
      </c>
      <c r="D65" s="0" t="inlineStr">
        <is>
          <t>메트로캐슬</t>
        </is>
      </c>
      <c r="E65" s="0" t="inlineStr">
        <is>
          <t>2018.01.</t>
        </is>
      </c>
      <c r="F65" s="0" t="n">
        <v>12</v>
      </c>
      <c r="G65" s="0" t="n">
        <v>23.21</v>
      </c>
      <c r="H65" s="0" t="n">
        <v>76.76000000000001</v>
      </c>
      <c r="I65" s="0" t="n">
        <v>18.11</v>
      </c>
      <c r="J65" s="0" t="n">
        <v>59.9</v>
      </c>
      <c r="K65" s="0" t="n">
        <v>4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76C</t>
        </is>
      </c>
      <c r="X65" s="0" t="n">
        <v>5</v>
      </c>
      <c r="Y65" s="0" t="n">
        <v>5</v>
      </c>
      <c r="Z65" s="0" t="inlineStr">
        <is>
          <t>https://new.land.naver.com/complexes/128393?tab=detail&amp;rf=Y</t>
        </is>
      </c>
      <c r="AA65" s="0" t="inlineStr">
        <is>
          <t>인천시 남동구 간석동 39-12</t>
        </is>
      </c>
      <c r="AB65" s="0" t="inlineStr">
        <is>
          <t>인천시</t>
        </is>
      </c>
      <c r="AC65" s="0" t="inlineStr">
        <is>
          <t>남동구</t>
        </is>
      </c>
      <c r="AD65" s="0" t="inlineStr">
        <is>
          <t>간석동</t>
        </is>
      </c>
      <c r="AG65" s="0" t="inlineStr">
        <is>
          <t>인천시 남동구 용천로152번길 13</t>
        </is>
      </c>
      <c r="AH65" s="0" t="n">
        <v>0</v>
      </c>
      <c r="AI65" s="0" t="n">
        <v>949</v>
      </c>
      <c r="AJ65" s="0" t="n">
        <v>73</v>
      </c>
      <c r="AK65" s="0" t="n">
        <v>12</v>
      </c>
      <c r="AL65" s="0" t="n">
        <v>1</v>
      </c>
    </row>
    <row r="66">
      <c r="A66" s="0" t="inlineStr">
        <is>
          <t>[간석동]</t>
        </is>
      </c>
      <c r="B66" s="0" t="n">
        <v>11706</v>
      </c>
      <c r="C66" s="0" t="n">
        <v>1</v>
      </c>
      <c r="D66" s="0" t="inlineStr">
        <is>
          <t>가영</t>
        </is>
      </c>
      <c r="E66" s="0" t="inlineStr">
        <is>
          <t>2002.12.</t>
        </is>
      </c>
      <c r="F66" s="0" t="n">
        <v>32</v>
      </c>
      <c r="G66" s="0" t="n">
        <v>22.62</v>
      </c>
      <c r="H66" s="0" t="n">
        <v>74.79000000000001</v>
      </c>
      <c r="I66" s="0" t="n">
        <v>20.53</v>
      </c>
      <c r="J66" s="0" t="n">
        <v>67.90000000000001</v>
      </c>
      <c r="K66" s="0" t="n">
        <v>1</v>
      </c>
      <c r="T66" s="0" t="n">
        <v>2</v>
      </c>
      <c r="U66" s="0" t="n">
        <v>1</v>
      </c>
      <c r="V66" s="0" t="inlineStr">
        <is>
          <t>계단식</t>
        </is>
      </c>
      <c r="W66" s="0" t="inlineStr">
        <is>
          <t>74A</t>
        </is>
      </c>
      <c r="X66" s="0" t="n">
        <v>9</v>
      </c>
      <c r="Y66" s="0" t="n">
        <v>9</v>
      </c>
      <c r="Z66" s="0" t="inlineStr">
        <is>
          <t>https://new.land.naver.com/complexes/11706?tab=detail&amp;rf=Y</t>
        </is>
      </c>
      <c r="AA66" s="0" t="inlineStr">
        <is>
          <t>인천시 남동구 간석동 51-2</t>
        </is>
      </c>
      <c r="AB66" s="0" t="inlineStr">
        <is>
          <t>인천시</t>
        </is>
      </c>
      <c r="AC66" s="0" t="inlineStr">
        <is>
          <t>남동구</t>
        </is>
      </c>
      <c r="AD66" s="0" t="inlineStr">
        <is>
          <t>간석동</t>
        </is>
      </c>
      <c r="AG66" s="0" t="inlineStr">
        <is>
          <t>인천시 남동구 간석로56번길 9</t>
        </is>
      </c>
      <c r="AH66" s="0" t="n">
        <v>0</v>
      </c>
      <c r="AI66" s="0" t="n">
        <v>465</v>
      </c>
      <c r="AJ66" s="0" t="n">
        <v>66</v>
      </c>
      <c r="AK66" s="0" t="n">
        <v>20</v>
      </c>
      <c r="AL66" s="0" t="n">
        <v>0.62</v>
      </c>
    </row>
    <row r="67">
      <c r="A67" s="0" t="inlineStr">
        <is>
          <t>[간석동]</t>
        </is>
      </c>
      <c r="B67" s="0" t="n">
        <v>11706</v>
      </c>
      <c r="C67" s="0" t="n">
        <v>2</v>
      </c>
      <c r="D67" s="0" t="inlineStr">
        <is>
          <t>가영</t>
        </is>
      </c>
      <c r="E67" s="0" t="inlineStr">
        <is>
          <t>2002.12.</t>
        </is>
      </c>
      <c r="F67" s="0" t="n">
        <v>32</v>
      </c>
      <c r="G67" s="0" t="n">
        <v>22.9</v>
      </c>
      <c r="H67" s="0" t="n">
        <v>75.70999999999999</v>
      </c>
      <c r="I67" s="0" t="n">
        <v>20.79</v>
      </c>
      <c r="J67" s="0" t="n">
        <v>68.73999999999999</v>
      </c>
      <c r="K67" s="0" t="n">
        <v>3</v>
      </c>
      <c r="T67" s="0" t="n">
        <v>2</v>
      </c>
      <c r="U67" s="0" t="n">
        <v>1</v>
      </c>
      <c r="V67" s="0" t="inlineStr">
        <is>
          <t>계단식</t>
        </is>
      </c>
      <c r="W67" s="0" t="inlineStr">
        <is>
          <t>75B</t>
        </is>
      </c>
      <c r="X67" s="0" t="n">
        <v>9</v>
      </c>
      <c r="Y67" s="0" t="n">
        <v>9</v>
      </c>
      <c r="Z67" s="0" t="inlineStr">
        <is>
          <t>https://new.land.naver.com/complexes/11706?tab=detail&amp;rf=Y</t>
        </is>
      </c>
      <c r="AA67" s="0" t="inlineStr">
        <is>
          <t>인천시 남동구 간석동 51-2</t>
        </is>
      </c>
      <c r="AB67" s="0" t="inlineStr">
        <is>
          <t>인천시</t>
        </is>
      </c>
      <c r="AC67" s="0" t="inlineStr">
        <is>
          <t>남동구</t>
        </is>
      </c>
      <c r="AD67" s="0" t="inlineStr">
        <is>
          <t>간석동</t>
        </is>
      </c>
      <c r="AG67" s="0" t="inlineStr">
        <is>
          <t>인천시 남동구 간석로56번길 9</t>
        </is>
      </c>
      <c r="AH67" s="0" t="n">
        <v>0</v>
      </c>
      <c r="AI67" s="0" t="n">
        <v>465</v>
      </c>
      <c r="AJ67" s="0" t="n">
        <v>66</v>
      </c>
      <c r="AK67" s="0" t="n">
        <v>20</v>
      </c>
      <c r="AL67" s="0" t="n">
        <v>0.62</v>
      </c>
    </row>
    <row r="68">
      <c r="A68" s="0" t="inlineStr">
        <is>
          <t>[간석동]</t>
        </is>
      </c>
      <c r="B68" s="0" t="n">
        <v>11706</v>
      </c>
      <c r="C68" s="0" t="n">
        <v>3</v>
      </c>
      <c r="D68" s="0" t="inlineStr">
        <is>
          <t>가영</t>
        </is>
      </c>
      <c r="E68" s="0" t="inlineStr">
        <is>
          <t>2002.12.</t>
        </is>
      </c>
      <c r="F68" s="0" t="n">
        <v>32</v>
      </c>
      <c r="G68" s="0" t="n">
        <v>26.07</v>
      </c>
      <c r="H68" s="0" t="n">
        <v>86.2</v>
      </c>
      <c r="I68" s="0" t="n">
        <v>23.67</v>
      </c>
      <c r="J68" s="0" t="n">
        <v>78.26000000000001</v>
      </c>
      <c r="K68" s="0" t="n">
        <v>1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86A</t>
        </is>
      </c>
      <c r="X68" s="0" t="n">
        <v>9</v>
      </c>
      <c r="Y68" s="0" t="n">
        <v>9</v>
      </c>
      <c r="Z68" s="0" t="inlineStr">
        <is>
          <t>https://new.land.naver.com/complexes/11706?tab=detail&amp;rf=Y</t>
        </is>
      </c>
      <c r="AA68" s="0" t="inlineStr">
        <is>
          <t>인천시 남동구 간석동 51-2</t>
        </is>
      </c>
      <c r="AB68" s="0" t="inlineStr">
        <is>
          <t>인천시</t>
        </is>
      </c>
      <c r="AC68" s="0" t="inlineStr">
        <is>
          <t>남동구</t>
        </is>
      </c>
      <c r="AD68" s="0" t="inlineStr">
        <is>
          <t>간석동</t>
        </is>
      </c>
      <c r="AG68" s="0" t="inlineStr">
        <is>
          <t>인천시 남동구 간석로56번길 9</t>
        </is>
      </c>
      <c r="AH68" s="0" t="n">
        <v>0</v>
      </c>
      <c r="AI68" s="0" t="n">
        <v>465</v>
      </c>
      <c r="AJ68" s="0" t="n">
        <v>66</v>
      </c>
      <c r="AK68" s="0" t="n">
        <v>20</v>
      </c>
      <c r="AL68" s="0" t="n">
        <v>0.62</v>
      </c>
    </row>
    <row r="69">
      <c r="A69" s="0" t="inlineStr">
        <is>
          <t>[간석동]</t>
        </is>
      </c>
      <c r="B69" s="0" t="n">
        <v>11706</v>
      </c>
      <c r="C69" s="0" t="n">
        <v>4</v>
      </c>
      <c r="D69" s="0" t="inlineStr">
        <is>
          <t>가영</t>
        </is>
      </c>
      <c r="E69" s="0" t="inlineStr">
        <is>
          <t>2002.12.</t>
        </is>
      </c>
      <c r="F69" s="0" t="n">
        <v>32</v>
      </c>
      <c r="G69" s="0" t="n">
        <v>26.35</v>
      </c>
      <c r="H69" s="0" t="n">
        <v>87.12</v>
      </c>
      <c r="I69" s="0" t="n">
        <v>23.92</v>
      </c>
      <c r="J69" s="0" t="n">
        <v>79.09999999999999</v>
      </c>
      <c r="K69" s="0" t="n">
        <v>3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87B</t>
        </is>
      </c>
      <c r="X69" s="0" t="n">
        <v>9</v>
      </c>
      <c r="Y69" s="0" t="n">
        <v>9</v>
      </c>
      <c r="Z69" s="0" t="inlineStr">
        <is>
          <t>https://new.land.naver.com/complexes/11706?tab=detail&amp;rf=Y</t>
        </is>
      </c>
      <c r="AA69" s="0" t="inlineStr">
        <is>
          <t>인천시 남동구 간석동 51-2</t>
        </is>
      </c>
      <c r="AB69" s="0" t="inlineStr">
        <is>
          <t>인천시</t>
        </is>
      </c>
      <c r="AC69" s="0" t="inlineStr">
        <is>
          <t>남동구</t>
        </is>
      </c>
      <c r="AD69" s="0" t="inlineStr">
        <is>
          <t>간석동</t>
        </is>
      </c>
      <c r="AG69" s="0" t="inlineStr">
        <is>
          <t>인천시 남동구 간석로56번길 9</t>
        </is>
      </c>
      <c r="AH69" s="0" t="n">
        <v>0</v>
      </c>
      <c r="AI69" s="0" t="n">
        <v>465</v>
      </c>
      <c r="AJ69" s="0" t="n">
        <v>66</v>
      </c>
      <c r="AK69" s="0" t="n">
        <v>20</v>
      </c>
      <c r="AL69" s="0" t="n">
        <v>0.62</v>
      </c>
    </row>
    <row r="70">
      <c r="A70" s="0" t="inlineStr">
        <is>
          <t>[간석동]</t>
        </is>
      </c>
      <c r="B70" s="0" t="n">
        <v>11706</v>
      </c>
      <c r="C70" s="0" t="n">
        <v>5</v>
      </c>
      <c r="D70" s="0" t="inlineStr">
        <is>
          <t>가영</t>
        </is>
      </c>
      <c r="E70" s="0" t="inlineStr">
        <is>
          <t>2002.12.</t>
        </is>
      </c>
      <c r="F70" s="0" t="n">
        <v>32</v>
      </c>
      <c r="G70" s="0" t="n">
        <v>28.11</v>
      </c>
      <c r="H70" s="0" t="n">
        <v>92.93000000000001</v>
      </c>
      <c r="I70" s="0" t="n">
        <v>25.52</v>
      </c>
      <c r="J70" s="0" t="n">
        <v>84.38</v>
      </c>
      <c r="K70" s="0" t="n">
        <v>18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92B</t>
        </is>
      </c>
      <c r="X70" s="0" t="n">
        <v>9</v>
      </c>
      <c r="Y70" s="0" t="n">
        <v>9</v>
      </c>
      <c r="Z70" s="0" t="inlineStr">
        <is>
          <t>https://new.land.naver.com/complexes/11706?tab=detail&amp;rf=Y</t>
        </is>
      </c>
      <c r="AA70" s="0" t="inlineStr">
        <is>
          <t>인천시 남동구 간석동 51-2</t>
        </is>
      </c>
      <c r="AB70" s="0" t="inlineStr">
        <is>
          <t>인천시</t>
        </is>
      </c>
      <c r="AC70" s="0" t="inlineStr">
        <is>
          <t>남동구</t>
        </is>
      </c>
      <c r="AD70" s="0" t="inlineStr">
        <is>
          <t>간석동</t>
        </is>
      </c>
      <c r="AG70" s="0" t="inlineStr">
        <is>
          <t>인천시 남동구 간석로56번길 9</t>
        </is>
      </c>
      <c r="AH70" s="0" t="n">
        <v>0</v>
      </c>
      <c r="AI70" s="0" t="n">
        <v>465</v>
      </c>
      <c r="AJ70" s="0" t="n">
        <v>66</v>
      </c>
      <c r="AK70" s="0" t="n">
        <v>20</v>
      </c>
      <c r="AL70" s="0" t="n">
        <v>0.62</v>
      </c>
    </row>
    <row r="71">
      <c r="A71" s="0" t="inlineStr">
        <is>
          <t>[간석동]</t>
        </is>
      </c>
      <c r="B71" s="0" t="n">
        <v>11706</v>
      </c>
      <c r="C71" s="0" t="n">
        <v>6</v>
      </c>
      <c r="D71" s="0" t="inlineStr">
        <is>
          <t>가영</t>
        </is>
      </c>
      <c r="E71" s="0" t="inlineStr">
        <is>
          <t>2002.12.</t>
        </is>
      </c>
      <c r="F71" s="0" t="n">
        <v>32</v>
      </c>
      <c r="G71" s="0" t="n">
        <v>27.83</v>
      </c>
      <c r="H71" s="0" t="n">
        <v>92.01000000000001</v>
      </c>
      <c r="I71" s="0" t="n">
        <v>25.27</v>
      </c>
      <c r="J71" s="0" t="n">
        <v>83.54000000000001</v>
      </c>
      <c r="K71" s="0" t="n">
        <v>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92A</t>
        </is>
      </c>
      <c r="X71" s="0" t="n">
        <v>9</v>
      </c>
      <c r="Y71" s="0" t="n">
        <v>9</v>
      </c>
      <c r="Z71" s="0" t="inlineStr">
        <is>
          <t>https://new.land.naver.com/complexes/11706?tab=detail&amp;rf=Y</t>
        </is>
      </c>
      <c r="AA71" s="0" t="inlineStr">
        <is>
          <t>인천시 남동구 간석동 51-2</t>
        </is>
      </c>
      <c r="AB71" s="0" t="inlineStr">
        <is>
          <t>인천시</t>
        </is>
      </c>
      <c r="AC71" s="0" t="inlineStr">
        <is>
          <t>남동구</t>
        </is>
      </c>
      <c r="AD71" s="0" t="inlineStr">
        <is>
          <t>간석동</t>
        </is>
      </c>
      <c r="AG71" s="0" t="inlineStr">
        <is>
          <t>인천시 남동구 간석로56번길 9</t>
        </is>
      </c>
      <c r="AH71" s="0" t="n">
        <v>0</v>
      </c>
      <c r="AI71" s="0" t="n">
        <v>465</v>
      </c>
      <c r="AJ71" s="0" t="n">
        <v>66</v>
      </c>
      <c r="AK71" s="0" t="n">
        <v>20</v>
      </c>
      <c r="AL71" s="0" t="n">
        <v>0.62</v>
      </c>
    </row>
    <row r="72">
      <c r="A72" s="0" t="inlineStr">
        <is>
          <t>[간석동]</t>
        </is>
      </c>
      <c r="B72" s="0" t="n">
        <v>102393</v>
      </c>
      <c r="C72" s="0" t="n">
        <v>1</v>
      </c>
      <c r="D72" s="0" t="inlineStr">
        <is>
          <t>아이닉스1차</t>
        </is>
      </c>
      <c r="E72" s="0" t="inlineStr">
        <is>
          <t>2003.12.</t>
        </is>
      </c>
      <c r="F72" s="0" t="n">
        <v>14</v>
      </c>
      <c r="G72" s="0" t="n">
        <v>25.81</v>
      </c>
      <c r="H72" s="0" t="n">
        <v>85.33</v>
      </c>
      <c r="I72" s="0" t="n">
        <v>22.82</v>
      </c>
      <c r="J72" s="0" t="n">
        <v>75.47</v>
      </c>
      <c r="K72" s="0" t="n">
        <v>14</v>
      </c>
      <c r="T72" s="0" t="n">
        <v>3</v>
      </c>
      <c r="U72" s="0" t="n">
        <v>2</v>
      </c>
      <c r="V72" s="0" t="inlineStr">
        <is>
          <t>계단식</t>
        </is>
      </c>
      <c r="W72" s="0" t="n">
        <v>85</v>
      </c>
      <c r="X72" s="0" t="n">
        <v>10</v>
      </c>
      <c r="Y72" s="0" t="n">
        <v>10</v>
      </c>
      <c r="Z72" s="0" t="inlineStr">
        <is>
          <t>https://new.land.naver.com/complexes/102393?tab=detail&amp;rf=Y</t>
        </is>
      </c>
      <c r="AA72" s="0" t="inlineStr">
        <is>
          <t>인천시 남동구 간석동 100-3</t>
        </is>
      </c>
      <c r="AB72" s="0" t="inlineStr">
        <is>
          <t>인천시</t>
        </is>
      </c>
      <c r="AC72" s="0" t="inlineStr">
        <is>
          <t>남동구</t>
        </is>
      </c>
      <c r="AD72" s="0" t="inlineStr">
        <is>
          <t>간석동</t>
        </is>
      </c>
      <c r="AG72" s="0" t="inlineStr">
        <is>
          <t>인천시 남동구 백범로360번길 16</t>
        </is>
      </c>
      <c r="AH72" s="0" t="n">
        <v>0</v>
      </c>
      <c r="AI72" s="0" t="n">
        <v>300</v>
      </c>
      <c r="AJ72" s="0" t="n">
        <v>44</v>
      </c>
      <c r="AK72" s="0" t="n">
        <v>16</v>
      </c>
      <c r="AL72" s="0" t="n">
        <v>1.14</v>
      </c>
    </row>
    <row r="73">
      <c r="A73" s="0" t="inlineStr">
        <is>
          <t>[간석동]</t>
        </is>
      </c>
      <c r="B73" s="0" t="n">
        <v>133103</v>
      </c>
      <c r="C73" s="0" t="n">
        <v>1</v>
      </c>
      <c r="D73" s="0" t="inlineStr">
        <is>
          <t>미목연</t>
        </is>
      </c>
      <c r="E73" s="0" t="inlineStr">
        <is>
          <t>2016.06.</t>
        </is>
      </c>
      <c r="F73" s="0" t="n">
        <v>8</v>
      </c>
      <c r="G73" s="0" t="n">
        <v>17.62</v>
      </c>
      <c r="H73" s="0" t="n">
        <v>58.25</v>
      </c>
      <c r="I73" s="0" t="n">
        <v>14.72</v>
      </c>
      <c r="J73" s="0" t="n">
        <v>48.69</v>
      </c>
      <c r="K73" s="0" t="n">
        <v>2</v>
      </c>
      <c r="T73" s="0" t="n">
        <v>2</v>
      </c>
      <c r="U73" s="0" t="n">
        <v>1</v>
      </c>
      <c r="V73" s="0" t="inlineStr">
        <is>
          <t>계단식</t>
        </is>
      </c>
      <c r="W73" s="0" t="inlineStr">
        <is>
          <t>58A</t>
        </is>
      </c>
      <c r="X73" s="0" t="n">
        <v>3</v>
      </c>
      <c r="Y73" s="0" t="n">
        <v>3</v>
      </c>
      <c r="Z73" s="0" t="inlineStr">
        <is>
          <t>https://new.land.naver.com/complexes/133103?tab=detail&amp;rf=Y</t>
        </is>
      </c>
      <c r="AA73" s="0" t="inlineStr">
        <is>
          <t>인천시 남동구 간석동 235-1</t>
        </is>
      </c>
      <c r="AB73" s="0" t="inlineStr">
        <is>
          <t>인천시</t>
        </is>
      </c>
      <c r="AC73" s="0" t="inlineStr">
        <is>
          <t>남동구</t>
        </is>
      </c>
      <c r="AD73" s="0" t="inlineStr">
        <is>
          <t>간석동</t>
        </is>
      </c>
      <c r="AG73" s="0" t="inlineStr">
        <is>
          <t>인천시 남동구 백범로422번길 7</t>
        </is>
      </c>
      <c r="AH73" s="0" t="n">
        <v>0</v>
      </c>
      <c r="AI73" s="0" t="n">
        <v>479</v>
      </c>
      <c r="AJ73" s="0" t="n">
        <v>59</v>
      </c>
      <c r="AK73" s="0" t="n">
        <v>8</v>
      </c>
      <c r="AL73" s="0" t="n">
        <v>1</v>
      </c>
    </row>
    <row r="74">
      <c r="A74" s="0" t="inlineStr">
        <is>
          <t>[간석동]</t>
        </is>
      </c>
      <c r="B74" s="0" t="n">
        <v>133103</v>
      </c>
      <c r="C74" s="0" t="n">
        <v>2</v>
      </c>
      <c r="D74" s="0" t="inlineStr">
        <is>
          <t>미목연</t>
        </is>
      </c>
      <c r="E74" s="0" t="inlineStr">
        <is>
          <t>2016.06.</t>
        </is>
      </c>
      <c r="F74" s="0" t="n">
        <v>8</v>
      </c>
      <c r="G74" s="0" t="n">
        <v>18.23</v>
      </c>
      <c r="H74" s="0" t="n">
        <v>60.29</v>
      </c>
      <c r="I74" s="0" t="n">
        <v>15.23</v>
      </c>
      <c r="J74" s="0" t="n">
        <v>50.36</v>
      </c>
      <c r="K74" s="0" t="n">
        <v>4</v>
      </c>
      <c r="T74" s="0" t="n">
        <v>2</v>
      </c>
      <c r="U74" s="0" t="n">
        <v>1</v>
      </c>
      <c r="V74" s="0" t="inlineStr">
        <is>
          <t>계단식</t>
        </is>
      </c>
      <c r="W74" s="0" t="inlineStr">
        <is>
          <t>60C</t>
        </is>
      </c>
      <c r="X74" s="0" t="n">
        <v>3</v>
      </c>
      <c r="Y74" s="0" t="n">
        <v>3</v>
      </c>
      <c r="Z74" s="0" t="inlineStr">
        <is>
          <t>https://new.land.naver.com/complexes/133103?tab=detail&amp;rf=Y</t>
        </is>
      </c>
      <c r="AA74" s="0" t="inlineStr">
        <is>
          <t>인천시 남동구 간석동 235-1</t>
        </is>
      </c>
      <c r="AB74" s="0" t="inlineStr">
        <is>
          <t>인천시</t>
        </is>
      </c>
      <c r="AC74" s="0" t="inlineStr">
        <is>
          <t>남동구</t>
        </is>
      </c>
      <c r="AD74" s="0" t="inlineStr">
        <is>
          <t>간석동</t>
        </is>
      </c>
      <c r="AG74" s="0" t="inlineStr">
        <is>
          <t>인천시 남동구 백범로422번길 7</t>
        </is>
      </c>
      <c r="AH74" s="0" t="n">
        <v>0</v>
      </c>
      <c r="AI74" s="0" t="n">
        <v>479</v>
      </c>
      <c r="AJ74" s="0" t="n">
        <v>59</v>
      </c>
      <c r="AK74" s="0" t="n">
        <v>8</v>
      </c>
      <c r="AL74" s="0" t="n">
        <v>1</v>
      </c>
    </row>
    <row r="75">
      <c r="A75" s="0" t="inlineStr">
        <is>
          <t>[간석동]</t>
        </is>
      </c>
      <c r="B75" s="0" t="n">
        <v>133103</v>
      </c>
      <c r="C75" s="0" t="n">
        <v>3</v>
      </c>
      <c r="D75" s="0" t="inlineStr">
        <is>
          <t>미목연</t>
        </is>
      </c>
      <c r="E75" s="0" t="inlineStr">
        <is>
          <t>2016.06.</t>
        </is>
      </c>
      <c r="F75" s="0" t="n">
        <v>8</v>
      </c>
      <c r="G75" s="0" t="n">
        <v>18.18</v>
      </c>
      <c r="H75" s="0" t="n">
        <v>60.1</v>
      </c>
      <c r="I75" s="0" t="n">
        <v>15.13</v>
      </c>
      <c r="J75" s="0" t="n">
        <v>50.02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60B</t>
        </is>
      </c>
      <c r="X75" s="0" t="n">
        <v>3</v>
      </c>
      <c r="Y75" s="0" t="n">
        <v>3</v>
      </c>
      <c r="Z75" s="0" t="inlineStr">
        <is>
          <t>https://new.land.naver.com/complexes/133103?tab=detail&amp;rf=Y</t>
        </is>
      </c>
      <c r="AA75" s="0" t="inlineStr">
        <is>
          <t>인천시 남동구 간석동 235-1</t>
        </is>
      </c>
      <c r="AB75" s="0" t="inlineStr">
        <is>
          <t>인천시</t>
        </is>
      </c>
      <c r="AC75" s="0" t="inlineStr">
        <is>
          <t>남동구</t>
        </is>
      </c>
      <c r="AD75" s="0" t="inlineStr">
        <is>
          <t>간석동</t>
        </is>
      </c>
      <c r="AG75" s="0" t="inlineStr">
        <is>
          <t>인천시 남동구 백범로422번길 7</t>
        </is>
      </c>
      <c r="AH75" s="0" t="n">
        <v>0</v>
      </c>
      <c r="AI75" s="0" t="n">
        <v>479</v>
      </c>
      <c r="AJ75" s="0" t="n">
        <v>59</v>
      </c>
      <c r="AK75" s="0" t="n">
        <v>8</v>
      </c>
      <c r="AL75" s="0" t="n">
        <v>1</v>
      </c>
    </row>
    <row r="76">
      <c r="A76" s="0" t="inlineStr">
        <is>
          <t>[간석동]</t>
        </is>
      </c>
      <c r="B76" s="0" t="n">
        <v>22068</v>
      </c>
      <c r="C76" s="0" t="n">
        <v>1</v>
      </c>
      <c r="D76" s="0" t="inlineStr">
        <is>
          <t>광명(606-13)</t>
        </is>
      </c>
      <c r="E76" s="0" t="inlineStr">
        <is>
          <t>1985.09.</t>
        </is>
      </c>
      <c r="F76" s="0" t="n">
        <v>70</v>
      </c>
      <c r="G76" s="0" t="n">
        <v>18.88</v>
      </c>
      <c r="H76" s="0" t="n">
        <v>62.42</v>
      </c>
      <c r="I76" s="0" t="n">
        <v>14.13</v>
      </c>
      <c r="J76" s="0" t="n">
        <v>46.74</v>
      </c>
      <c r="K76" s="0" t="n">
        <v>35</v>
      </c>
      <c r="T76" s="0" t="n">
        <v>3</v>
      </c>
      <c r="U76" s="0" t="n">
        <v>1</v>
      </c>
      <c r="V76" s="0" t="inlineStr">
        <is>
          <t>계단식</t>
        </is>
      </c>
      <c r="W76" s="0" t="n">
        <v>62</v>
      </c>
      <c r="X76" s="0" t="n">
        <v>5</v>
      </c>
      <c r="Y76" s="0" t="n">
        <v>5</v>
      </c>
      <c r="Z76" s="0" t="inlineStr">
        <is>
          <t>https://new.land.naver.com/complexes/22068?tab=detail&amp;rf=Y</t>
        </is>
      </c>
      <c r="AA76" s="0" t="inlineStr">
        <is>
          <t>인천시 남동구 간석동 606-13</t>
        </is>
      </c>
      <c r="AB76" s="0" t="inlineStr">
        <is>
          <t>인천시</t>
        </is>
      </c>
      <c r="AC76" s="0" t="inlineStr">
        <is>
          <t>남동구</t>
        </is>
      </c>
      <c r="AD76" s="0" t="inlineStr">
        <is>
          <t>간석동</t>
        </is>
      </c>
      <c r="AG76" s="0" t="inlineStr">
        <is>
          <t>인천시 남동구 석정로566번길 12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[간석동]</t>
        </is>
      </c>
      <c r="B77" s="0" t="n">
        <v>22068</v>
      </c>
      <c r="C77" s="0" t="n">
        <v>2</v>
      </c>
      <c r="D77" s="0" t="inlineStr">
        <is>
          <t>광명(606-13)</t>
        </is>
      </c>
      <c r="E77" s="0" t="inlineStr">
        <is>
          <t>1985.09.</t>
        </is>
      </c>
      <c r="F77" s="0" t="n">
        <v>70</v>
      </c>
      <c r="G77" s="0" t="n">
        <v>22.36</v>
      </c>
      <c r="H77" s="0" t="n">
        <v>73.95</v>
      </c>
      <c r="I77" s="0" t="n">
        <v>17.07</v>
      </c>
      <c r="J77" s="0" t="n">
        <v>56.46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5</v>
      </c>
      <c r="Y77" s="0" t="n">
        <v>5</v>
      </c>
      <c r="Z77" s="0" t="inlineStr">
        <is>
          <t>https://new.land.naver.com/complexes/22068?tab=detail&amp;rf=Y</t>
        </is>
      </c>
      <c r="AA77" s="0" t="inlineStr">
        <is>
          <t>인천시 남동구 간석동 606-13</t>
        </is>
      </c>
      <c r="AB77" s="0" t="inlineStr">
        <is>
          <t>인천시</t>
        </is>
      </c>
      <c r="AC77" s="0" t="inlineStr">
        <is>
          <t>남동구</t>
        </is>
      </c>
      <c r="AD77" s="0" t="inlineStr">
        <is>
          <t>간석동</t>
        </is>
      </c>
      <c r="AG77" s="0" t="inlineStr">
        <is>
          <t>인천시 남동구 석정로566번길 12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[간석동]</t>
        </is>
      </c>
      <c r="B78" s="0" t="n">
        <v>22068</v>
      </c>
      <c r="C78" s="0" t="n">
        <v>3</v>
      </c>
      <c r="D78" s="0" t="inlineStr">
        <is>
          <t>광명(606-13)</t>
        </is>
      </c>
      <c r="E78" s="0" t="inlineStr">
        <is>
          <t>1985.09.</t>
        </is>
      </c>
      <c r="F78" s="0" t="n">
        <v>70</v>
      </c>
      <c r="G78" s="0" t="n">
        <v>22.8</v>
      </c>
      <c r="H78" s="0" t="n">
        <v>75.38</v>
      </c>
      <c r="I78" s="0" t="n">
        <v>17.51</v>
      </c>
      <c r="J78" s="0" t="n">
        <v>57.89</v>
      </c>
      <c r="K78" s="0" t="n">
        <v>20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https://new.land.naver.com/complexes/22068?tab=detail&amp;rf=Y</t>
        </is>
      </c>
      <c r="AA78" s="0" t="inlineStr">
        <is>
          <t>인천시 남동구 간석동 606-13</t>
        </is>
      </c>
      <c r="AB78" s="0" t="inlineStr">
        <is>
          <t>인천시</t>
        </is>
      </c>
      <c r="AC78" s="0" t="inlineStr">
        <is>
          <t>남동구</t>
        </is>
      </c>
      <c r="AD78" s="0" t="inlineStr">
        <is>
          <t>간석동</t>
        </is>
      </c>
      <c r="AG78" s="0" t="inlineStr">
        <is>
          <t>인천시 남동구 석정로566번길 12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[간석동]</t>
        </is>
      </c>
      <c r="B79" s="0" t="n">
        <v>22068</v>
      </c>
      <c r="C79" s="0" t="n">
        <v>4</v>
      </c>
      <c r="D79" s="0" t="inlineStr">
        <is>
          <t>광명(606-13)</t>
        </is>
      </c>
      <c r="E79" s="0" t="inlineStr">
        <is>
          <t>1985.09.</t>
        </is>
      </c>
      <c r="F79" s="0" t="n">
        <v>70</v>
      </c>
      <c r="G79" s="0" t="n">
        <v>22.99</v>
      </c>
      <c r="H79" s="0" t="n">
        <v>76.02</v>
      </c>
      <c r="I79" s="0" t="n">
        <v>17.7</v>
      </c>
      <c r="J79" s="0" t="n">
        <v>58.53</v>
      </c>
      <c r="K79" s="0" t="n">
        <v>5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76B</t>
        </is>
      </c>
      <c r="X79" s="0" t="n">
        <v>5</v>
      </c>
      <c r="Y79" s="0" t="n">
        <v>5</v>
      </c>
      <c r="Z79" s="0" t="inlineStr">
        <is>
          <t>https://new.land.naver.com/complexes/22068?tab=detail&amp;rf=Y</t>
        </is>
      </c>
      <c r="AA79" s="0" t="inlineStr">
        <is>
          <t>인천시 남동구 간석동 606-13</t>
        </is>
      </c>
      <c r="AB79" s="0" t="inlineStr">
        <is>
          <t>인천시</t>
        </is>
      </c>
      <c r="AC79" s="0" t="inlineStr">
        <is>
          <t>남동구</t>
        </is>
      </c>
      <c r="AD79" s="0" t="inlineStr">
        <is>
          <t>간석동</t>
        </is>
      </c>
      <c r="AG79" s="0" t="inlineStr">
        <is>
          <t>인천시 남동구 석정로566번길 12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[간석동]</t>
        </is>
      </c>
      <c r="B80" s="0" t="n">
        <v>22068</v>
      </c>
      <c r="C80" s="0" t="n">
        <v>5</v>
      </c>
      <c r="D80" s="0" t="inlineStr">
        <is>
          <t>광명(606-13)</t>
        </is>
      </c>
      <c r="E80" s="0" t="inlineStr">
        <is>
          <t>1985.09.</t>
        </is>
      </c>
      <c r="F80" s="0" t="n">
        <v>70</v>
      </c>
      <c r="G80" s="0" t="n">
        <v>24.83</v>
      </c>
      <c r="H80" s="0" t="n">
        <v>82.09</v>
      </c>
      <c r="I80" s="0" t="n">
        <v>19.09</v>
      </c>
      <c r="J80" s="0" t="n">
        <v>63.13</v>
      </c>
      <c r="K80" s="0" t="n">
        <v>5</v>
      </c>
      <c r="T80" s="0" t="n">
        <v>3</v>
      </c>
      <c r="U80" s="0" t="n">
        <v>2</v>
      </c>
      <c r="V80" s="0" t="inlineStr">
        <is>
          <t>계단식</t>
        </is>
      </c>
      <c r="W80" s="0" t="n">
        <v>82</v>
      </c>
      <c r="X80" s="0" t="n">
        <v>5</v>
      </c>
      <c r="Y80" s="0" t="n">
        <v>5</v>
      </c>
      <c r="Z80" s="0" t="inlineStr">
        <is>
          <t>https://new.land.naver.com/complexes/22068?tab=detail&amp;rf=Y</t>
        </is>
      </c>
      <c r="AA80" s="0" t="inlineStr">
        <is>
          <t>인천시 남동구 간석동 606-13</t>
        </is>
      </c>
      <c r="AB80" s="0" t="inlineStr">
        <is>
          <t>인천시</t>
        </is>
      </c>
      <c r="AC80" s="0" t="inlineStr">
        <is>
          <t>남동구</t>
        </is>
      </c>
      <c r="AD80" s="0" t="inlineStr">
        <is>
          <t>간석동</t>
        </is>
      </c>
      <c r="AG80" s="0" t="inlineStr">
        <is>
          <t>인천시 남동구 석정로566번길 12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[간석동]</t>
        </is>
      </c>
      <c r="B81" s="0" t="n">
        <v>2556</v>
      </c>
      <c r="C81" s="0" t="n">
        <v>1</v>
      </c>
      <c r="D81" s="0" t="inlineStr">
        <is>
          <t>삼익목화</t>
        </is>
      </c>
      <c r="E81" s="0" t="inlineStr">
        <is>
          <t>1985.07.</t>
        </is>
      </c>
      <c r="F81" s="0" t="n">
        <v>50</v>
      </c>
      <c r="G81" s="0" t="n">
        <v>22.85</v>
      </c>
      <c r="H81" s="0" t="n">
        <v>75.56</v>
      </c>
      <c r="I81" s="0" t="n">
        <v>17.47</v>
      </c>
      <c r="J81" s="0" t="n">
        <v>57.78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n">
        <v>75</v>
      </c>
      <c r="X81" s="0" t="n">
        <v>5</v>
      </c>
      <c r="Y81" s="0" t="n">
        <v>5</v>
      </c>
      <c r="Z81" s="0" t="inlineStr">
        <is>
          <t>https://new.land.naver.com/complexes/2556?tab=detail&amp;rf=Y</t>
        </is>
      </c>
      <c r="AA81" s="0" t="inlineStr">
        <is>
          <t>인천시 남동구 간석동 210-3</t>
        </is>
      </c>
      <c r="AB81" s="0" t="inlineStr">
        <is>
          <t>인천시</t>
        </is>
      </c>
      <c r="AC81" s="0" t="inlineStr">
        <is>
          <t>남동구</t>
        </is>
      </c>
      <c r="AD81" s="0" t="inlineStr">
        <is>
          <t>간석동</t>
        </is>
      </c>
      <c r="AG81" s="0" t="inlineStr">
        <is>
          <t>인천시 남동구 석촌로 35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[간석동]</t>
        </is>
      </c>
      <c r="B82" s="0" t="n">
        <v>2556</v>
      </c>
      <c r="C82" s="0" t="n">
        <v>2</v>
      </c>
      <c r="D82" s="0" t="inlineStr">
        <is>
          <t>삼익목화</t>
        </is>
      </c>
      <c r="E82" s="0" t="inlineStr">
        <is>
          <t>1985.07.</t>
        </is>
      </c>
      <c r="F82" s="0" t="n">
        <v>50</v>
      </c>
      <c r="G82" s="0" t="n">
        <v>31.61</v>
      </c>
      <c r="H82" s="0" t="n">
        <v>104.5</v>
      </c>
      <c r="I82" s="0" t="n">
        <v>24.77</v>
      </c>
      <c r="J82" s="0" t="n">
        <v>81.90000000000001</v>
      </c>
      <c r="K82" s="0" t="n">
        <v>20</v>
      </c>
      <c r="T82" s="0" t="n">
        <v>3</v>
      </c>
      <c r="U82" s="0" t="n">
        <v>2</v>
      </c>
      <c r="V82" s="0" t="inlineStr">
        <is>
          <t>계단식</t>
        </is>
      </c>
      <c r="W82" s="0" t="n">
        <v>104</v>
      </c>
      <c r="X82" s="0" t="n">
        <v>5</v>
      </c>
      <c r="Y82" s="0" t="n">
        <v>5</v>
      </c>
      <c r="Z82" s="0" t="inlineStr">
        <is>
          <t>https://new.land.naver.com/complexes/2556?tab=detail&amp;rf=Y</t>
        </is>
      </c>
      <c r="AA82" s="0" t="inlineStr">
        <is>
          <t>인천시 남동구 간석동 210-3</t>
        </is>
      </c>
      <c r="AB82" s="0" t="inlineStr">
        <is>
          <t>인천시</t>
        </is>
      </c>
      <c r="AC82" s="0" t="inlineStr">
        <is>
          <t>남동구</t>
        </is>
      </c>
      <c r="AD82" s="0" t="inlineStr">
        <is>
          <t>간석동</t>
        </is>
      </c>
      <c r="AG82" s="0" t="inlineStr">
        <is>
          <t>인천시 남동구 석촌로 35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[간석동]</t>
        </is>
      </c>
      <c r="B83" s="0" t="n">
        <v>2556</v>
      </c>
      <c r="C83" s="0" t="n">
        <v>3</v>
      </c>
      <c r="D83" s="0" t="inlineStr">
        <is>
          <t>삼익목화</t>
        </is>
      </c>
      <c r="E83" s="0" t="inlineStr">
        <is>
          <t>1985.07.</t>
        </is>
      </c>
      <c r="F83" s="0" t="n">
        <v>50</v>
      </c>
      <c r="G83" s="0" t="n">
        <v>38.14</v>
      </c>
      <c r="H83" s="0" t="n">
        <v>126.1</v>
      </c>
      <c r="I83" s="0" t="n">
        <v>30.21</v>
      </c>
      <c r="J83" s="0" t="n">
        <v>99.90000000000001</v>
      </c>
      <c r="K83" s="0" t="n">
        <v>10</v>
      </c>
      <c r="T83" s="0" t="n">
        <v>3</v>
      </c>
      <c r="U83" s="0" t="n">
        <v>2</v>
      </c>
      <c r="V83" s="0" t="inlineStr">
        <is>
          <t>계단식</t>
        </is>
      </c>
      <c r="W83" s="0" t="n">
        <v>126</v>
      </c>
      <c r="X83" s="0" t="n">
        <v>5</v>
      </c>
      <c r="Y83" s="0" t="n">
        <v>5</v>
      </c>
      <c r="Z83" s="0" t="inlineStr">
        <is>
          <t>https://new.land.naver.com/complexes/2556?tab=detail&amp;rf=Y</t>
        </is>
      </c>
      <c r="AA83" s="0" t="inlineStr">
        <is>
          <t>인천시 남동구 간석동 210-3</t>
        </is>
      </c>
      <c r="AB83" s="0" t="inlineStr">
        <is>
          <t>인천시</t>
        </is>
      </c>
      <c r="AC83" s="0" t="inlineStr">
        <is>
          <t>남동구</t>
        </is>
      </c>
      <c r="AD83" s="0" t="inlineStr">
        <is>
          <t>간석동</t>
        </is>
      </c>
      <c r="AG83" s="0" t="inlineStr">
        <is>
          <t>인천시 남동구 석촌로 35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[간석동]</t>
        </is>
      </c>
      <c r="B84" s="0" t="n">
        <v>2512</v>
      </c>
      <c r="C84" s="0" t="n">
        <v>1</v>
      </c>
      <c r="D84" s="0" t="inlineStr">
        <is>
          <t>한진</t>
        </is>
      </c>
      <c r="E84" s="0" t="inlineStr">
        <is>
          <t>1981.04.</t>
        </is>
      </c>
      <c r="F84" s="0" t="n">
        <v>600</v>
      </c>
      <c r="G84" s="0" t="n">
        <v>17.63</v>
      </c>
      <c r="H84" s="0" t="n">
        <v>58.31</v>
      </c>
      <c r="I84" s="0" t="n">
        <v>16.48</v>
      </c>
      <c r="J84" s="0" t="n">
        <v>54.51</v>
      </c>
      <c r="K84" s="0" t="n">
        <v>77</v>
      </c>
      <c r="T84" s="0" t="n">
        <v>2</v>
      </c>
      <c r="U84" s="0" t="n">
        <v>1</v>
      </c>
      <c r="V84" s="0" t="inlineStr">
        <is>
          <t>복도식</t>
        </is>
      </c>
      <c r="W84" s="0" t="inlineStr">
        <is>
          <t>58A</t>
        </is>
      </c>
      <c r="X84" s="0" t="n">
        <v>12</v>
      </c>
      <c r="Y84" s="0" t="n">
        <v>12</v>
      </c>
      <c r="Z84" s="0" t="inlineStr">
        <is>
          <t>https://new.land.naver.com/complexes/2512?tab=detail&amp;rf=Y</t>
        </is>
      </c>
      <c r="AA84" s="0" t="inlineStr">
        <is>
          <t>인천시 남동구 간석동 519-4</t>
        </is>
      </c>
      <c r="AB84" s="0" t="inlineStr">
        <is>
          <t>인천시</t>
        </is>
      </c>
      <c r="AC84" s="0" t="inlineStr">
        <is>
          <t>남동구</t>
        </is>
      </c>
      <c r="AD84" s="0" t="inlineStr">
        <is>
          <t>간석동</t>
        </is>
      </c>
      <c r="AG84" s="0" t="inlineStr">
        <is>
          <t>인천시 남동구 경인로524번길 16</t>
        </is>
      </c>
      <c r="AH84" s="0" t="n">
        <v>0</v>
      </c>
      <c r="AI84" s="0" t="n">
        <v>171</v>
      </c>
      <c r="AJ84" s="0" t="n">
        <v>14</v>
      </c>
      <c r="AK84" s="0" t="n">
        <v>600</v>
      </c>
      <c r="AL84" s="0" t="n">
        <v>1</v>
      </c>
    </row>
    <row r="85">
      <c r="A85" s="0" t="inlineStr">
        <is>
          <t>[간석동]</t>
        </is>
      </c>
      <c r="B85" s="0" t="n">
        <v>2512</v>
      </c>
      <c r="C85" s="0" t="n">
        <v>2</v>
      </c>
      <c r="D85" s="0" t="inlineStr">
        <is>
          <t>한진</t>
        </is>
      </c>
      <c r="E85" s="0" t="inlineStr">
        <is>
          <t>1981.04.</t>
        </is>
      </c>
      <c r="F85" s="0" t="n">
        <v>600</v>
      </c>
      <c r="G85" s="0" t="n">
        <v>17.79</v>
      </c>
      <c r="H85" s="0" t="n">
        <v>58.81</v>
      </c>
      <c r="I85" s="0" t="n">
        <v>16.58</v>
      </c>
      <c r="J85" s="0" t="n">
        <v>54.84</v>
      </c>
      <c r="K85" s="0" t="n">
        <v>11</v>
      </c>
      <c r="T85" s="0" t="n">
        <v>2</v>
      </c>
      <c r="U85" s="0" t="n">
        <v>1</v>
      </c>
      <c r="V85" s="0" t="inlineStr">
        <is>
          <t>복도식</t>
        </is>
      </c>
      <c r="W85" s="0" t="inlineStr">
        <is>
          <t>58D</t>
        </is>
      </c>
      <c r="X85" s="0" t="n">
        <v>12</v>
      </c>
      <c r="Y85" s="0" t="n">
        <v>12</v>
      </c>
      <c r="Z85" s="0" t="inlineStr">
        <is>
          <t>https://new.land.naver.com/complexes/2512?tab=detail&amp;rf=Y</t>
        </is>
      </c>
      <c r="AA85" s="0" t="inlineStr">
        <is>
          <t>인천시 남동구 간석동 519-4</t>
        </is>
      </c>
      <c r="AB85" s="0" t="inlineStr">
        <is>
          <t>인천시</t>
        </is>
      </c>
      <c r="AC85" s="0" t="inlineStr">
        <is>
          <t>남동구</t>
        </is>
      </c>
      <c r="AD85" s="0" t="inlineStr">
        <is>
          <t>간석동</t>
        </is>
      </c>
      <c r="AG85" s="0" t="inlineStr">
        <is>
          <t>인천시 남동구 경인로524번길 16</t>
        </is>
      </c>
      <c r="AH85" s="0" t="n">
        <v>0</v>
      </c>
      <c r="AI85" s="0" t="n">
        <v>171</v>
      </c>
      <c r="AJ85" s="0" t="n">
        <v>14</v>
      </c>
      <c r="AK85" s="0" t="n">
        <v>600</v>
      </c>
      <c r="AL85" s="0" t="n">
        <v>1</v>
      </c>
    </row>
    <row r="86">
      <c r="A86" s="0" t="inlineStr">
        <is>
          <t>[간석동]</t>
        </is>
      </c>
      <c r="B86" s="0" t="n">
        <v>2512</v>
      </c>
      <c r="C86" s="0" t="n">
        <v>3</v>
      </c>
      <c r="D86" s="0" t="inlineStr">
        <is>
          <t>한진</t>
        </is>
      </c>
      <c r="E86" s="0" t="inlineStr">
        <is>
          <t>1981.04.</t>
        </is>
      </c>
      <c r="F86" s="0" t="n">
        <v>600</v>
      </c>
      <c r="G86" s="0" t="n">
        <v>17.65</v>
      </c>
      <c r="H86" s="0" t="n">
        <v>58.35</v>
      </c>
      <c r="I86" s="0" t="n">
        <v>16.5</v>
      </c>
      <c r="J86" s="0" t="n">
        <v>54.55</v>
      </c>
      <c r="K86" s="0" t="n">
        <v>7</v>
      </c>
      <c r="T86" s="0" t="n">
        <v>2</v>
      </c>
      <c r="U86" s="0" t="n">
        <v>1</v>
      </c>
      <c r="V86" s="0" t="inlineStr">
        <is>
          <t>복도식</t>
        </is>
      </c>
      <c r="W86" s="0" t="inlineStr">
        <is>
          <t>58B</t>
        </is>
      </c>
      <c r="X86" s="0" t="n">
        <v>12</v>
      </c>
      <c r="Y86" s="0" t="n">
        <v>12</v>
      </c>
      <c r="Z86" s="0" t="inlineStr">
        <is>
          <t>https://new.land.naver.com/complexes/2512?tab=detail&amp;rf=Y</t>
        </is>
      </c>
      <c r="AA86" s="0" t="inlineStr">
        <is>
          <t>인천시 남동구 간석동 519-4</t>
        </is>
      </c>
      <c r="AB86" s="0" t="inlineStr">
        <is>
          <t>인천시</t>
        </is>
      </c>
      <c r="AC86" s="0" t="inlineStr">
        <is>
          <t>남동구</t>
        </is>
      </c>
      <c r="AD86" s="0" t="inlineStr">
        <is>
          <t>간석동</t>
        </is>
      </c>
      <c r="AG86" s="0" t="inlineStr">
        <is>
          <t>인천시 남동구 경인로524번길 16</t>
        </is>
      </c>
      <c r="AH86" s="0" t="n">
        <v>0</v>
      </c>
      <c r="AI86" s="0" t="n">
        <v>171</v>
      </c>
      <c r="AJ86" s="0" t="n">
        <v>14</v>
      </c>
      <c r="AK86" s="0" t="n">
        <v>600</v>
      </c>
      <c r="AL86" s="0" t="n">
        <v>1</v>
      </c>
    </row>
    <row r="87">
      <c r="A87" s="0" t="inlineStr">
        <is>
          <t>[간석동]</t>
        </is>
      </c>
      <c r="B87" s="0" t="n">
        <v>2512</v>
      </c>
      <c r="C87" s="0" t="n">
        <v>4</v>
      </c>
      <c r="D87" s="0" t="inlineStr">
        <is>
          <t>한진</t>
        </is>
      </c>
      <c r="E87" s="0" t="inlineStr">
        <is>
          <t>1981.04.</t>
        </is>
      </c>
      <c r="F87" s="0" t="n">
        <v>600</v>
      </c>
      <c r="G87" s="0" t="n">
        <v>17.75</v>
      </c>
      <c r="H87" s="0" t="n">
        <v>58.68</v>
      </c>
      <c r="I87" s="0" t="n">
        <v>16.54</v>
      </c>
      <c r="J87" s="0" t="n">
        <v>54.68</v>
      </c>
      <c r="K87" s="0" t="n">
        <v>1</v>
      </c>
      <c r="T87" s="0" t="n">
        <v>2</v>
      </c>
      <c r="U87" s="0" t="n">
        <v>1</v>
      </c>
      <c r="V87" s="0" t="inlineStr">
        <is>
          <t>복도식</t>
        </is>
      </c>
      <c r="W87" s="0" t="inlineStr">
        <is>
          <t>58C</t>
        </is>
      </c>
      <c r="X87" s="0" t="n">
        <v>12</v>
      </c>
      <c r="Y87" s="0" t="n">
        <v>12</v>
      </c>
      <c r="Z87" s="0" t="inlineStr">
        <is>
          <t>https://new.land.naver.com/complexes/2512?tab=detail&amp;rf=Y</t>
        </is>
      </c>
      <c r="AA87" s="0" t="inlineStr">
        <is>
          <t>인천시 남동구 간석동 519-4</t>
        </is>
      </c>
      <c r="AB87" s="0" t="inlineStr">
        <is>
          <t>인천시</t>
        </is>
      </c>
      <c r="AC87" s="0" t="inlineStr">
        <is>
          <t>남동구</t>
        </is>
      </c>
      <c r="AD87" s="0" t="inlineStr">
        <is>
          <t>간석동</t>
        </is>
      </c>
      <c r="AG87" s="0" t="inlineStr">
        <is>
          <t>인천시 남동구 경인로524번길 16</t>
        </is>
      </c>
      <c r="AH87" s="0" t="n">
        <v>0</v>
      </c>
      <c r="AI87" s="0" t="n">
        <v>171</v>
      </c>
      <c r="AJ87" s="0" t="n">
        <v>14</v>
      </c>
      <c r="AK87" s="0" t="n">
        <v>600</v>
      </c>
      <c r="AL87" s="0" t="n">
        <v>1</v>
      </c>
    </row>
    <row r="88">
      <c r="A88" s="0" t="inlineStr">
        <is>
          <t>[간석동]</t>
        </is>
      </c>
      <c r="B88" s="0" t="n">
        <v>2512</v>
      </c>
      <c r="C88" s="0" t="n">
        <v>5</v>
      </c>
      <c r="D88" s="0" t="inlineStr">
        <is>
          <t>한진</t>
        </is>
      </c>
      <c r="E88" s="0" t="inlineStr">
        <is>
          <t>1981.04.</t>
        </is>
      </c>
      <c r="F88" s="0" t="n">
        <v>600</v>
      </c>
      <c r="G88" s="0" t="n">
        <v>19.46</v>
      </c>
      <c r="H88" s="0" t="n">
        <v>64.36</v>
      </c>
      <c r="I88" s="0" t="n">
        <v>18.18</v>
      </c>
      <c r="J88" s="0" t="n">
        <v>60.1</v>
      </c>
      <c r="K88" s="0" t="n">
        <v>36</v>
      </c>
      <c r="T88" s="0" t="n">
        <v>2</v>
      </c>
      <c r="U88" s="0" t="n">
        <v>1</v>
      </c>
      <c r="V88" s="0" t="inlineStr">
        <is>
          <t>복도식</t>
        </is>
      </c>
      <c r="W88" s="0" t="n">
        <v>64</v>
      </c>
      <c r="X88" s="0" t="n">
        <v>12</v>
      </c>
      <c r="Y88" s="0" t="n">
        <v>12</v>
      </c>
      <c r="Z88" s="0" t="inlineStr">
        <is>
          <t>https://new.land.naver.com/complexes/2512?tab=detail&amp;rf=Y</t>
        </is>
      </c>
      <c r="AA88" s="0" t="inlineStr">
        <is>
          <t>인천시 남동구 간석동 519-4</t>
        </is>
      </c>
      <c r="AB88" s="0" t="inlineStr">
        <is>
          <t>인천시</t>
        </is>
      </c>
      <c r="AC88" s="0" t="inlineStr">
        <is>
          <t>남동구</t>
        </is>
      </c>
      <c r="AD88" s="0" t="inlineStr">
        <is>
          <t>간석동</t>
        </is>
      </c>
      <c r="AG88" s="0" t="inlineStr">
        <is>
          <t>인천시 남동구 경인로524번길 16</t>
        </is>
      </c>
      <c r="AH88" s="0" t="n">
        <v>0</v>
      </c>
      <c r="AI88" s="0" t="n">
        <v>171</v>
      </c>
      <c r="AJ88" s="0" t="n">
        <v>14</v>
      </c>
      <c r="AK88" s="0" t="n">
        <v>600</v>
      </c>
      <c r="AL88" s="0" t="n">
        <v>1</v>
      </c>
    </row>
    <row r="89">
      <c r="A89" s="0" t="inlineStr">
        <is>
          <t>[간석동]</t>
        </is>
      </c>
      <c r="B89" s="0" t="n">
        <v>2512</v>
      </c>
      <c r="C89" s="0" t="n">
        <v>6</v>
      </c>
      <c r="D89" s="0" t="inlineStr">
        <is>
          <t>한진</t>
        </is>
      </c>
      <c r="E89" s="0" t="inlineStr">
        <is>
          <t>1981.04.</t>
        </is>
      </c>
      <c r="F89" s="0" t="n">
        <v>600</v>
      </c>
      <c r="G89" s="0" t="n">
        <v>19.53</v>
      </c>
      <c r="H89" s="0" t="n">
        <v>64.59</v>
      </c>
      <c r="I89" s="0" t="n">
        <v>18.21</v>
      </c>
      <c r="J89" s="0" t="n">
        <v>60.23</v>
      </c>
      <c r="K89" s="0" t="n">
        <v>12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64A</t>
        </is>
      </c>
      <c r="X89" s="0" t="n">
        <v>12</v>
      </c>
      <c r="Y89" s="0" t="n">
        <v>12</v>
      </c>
      <c r="Z89" s="0" t="inlineStr">
        <is>
          <t>https://new.land.naver.com/complexes/2512?tab=detail&amp;rf=Y</t>
        </is>
      </c>
      <c r="AA89" s="0" t="inlineStr">
        <is>
          <t>인천시 남동구 간석동 519-4</t>
        </is>
      </c>
      <c r="AB89" s="0" t="inlineStr">
        <is>
          <t>인천시</t>
        </is>
      </c>
      <c r="AC89" s="0" t="inlineStr">
        <is>
          <t>남동구</t>
        </is>
      </c>
      <c r="AD89" s="0" t="inlineStr">
        <is>
          <t>간석동</t>
        </is>
      </c>
      <c r="AG89" s="0" t="inlineStr">
        <is>
          <t>인천시 남동구 경인로524번길 16</t>
        </is>
      </c>
      <c r="AH89" s="0" t="n">
        <v>0</v>
      </c>
      <c r="AI89" s="0" t="n">
        <v>171</v>
      </c>
      <c r="AJ89" s="0" t="n">
        <v>14</v>
      </c>
      <c r="AK89" s="0" t="n">
        <v>600</v>
      </c>
      <c r="AL89" s="0" t="n">
        <v>1</v>
      </c>
    </row>
    <row r="90">
      <c r="A90" s="0" t="inlineStr">
        <is>
          <t>[간석동]</t>
        </is>
      </c>
      <c r="B90" s="0" t="n">
        <v>2512</v>
      </c>
      <c r="C90" s="0" t="n">
        <v>7</v>
      </c>
      <c r="D90" s="0" t="inlineStr">
        <is>
          <t>한진</t>
        </is>
      </c>
      <c r="E90" s="0" t="inlineStr">
        <is>
          <t>1981.04.</t>
        </is>
      </c>
      <c r="F90" s="0" t="n">
        <v>600</v>
      </c>
      <c r="G90" s="0" t="n">
        <v>19.8</v>
      </c>
      <c r="H90" s="0" t="n">
        <v>65.45999999999999</v>
      </c>
      <c r="I90" s="0" t="n">
        <v>18.5</v>
      </c>
      <c r="J90" s="0" t="n">
        <v>61.16</v>
      </c>
      <c r="K90" s="0" t="n">
        <v>188</v>
      </c>
      <c r="T90" s="0" t="n">
        <v>2</v>
      </c>
      <c r="U90" s="0" t="n">
        <v>1</v>
      </c>
      <c r="V90" s="0" t="inlineStr">
        <is>
          <t>복도식</t>
        </is>
      </c>
      <c r="W90" s="0" t="inlineStr">
        <is>
          <t>65D</t>
        </is>
      </c>
      <c r="X90" s="0" t="n">
        <v>12</v>
      </c>
      <c r="Y90" s="0" t="n">
        <v>12</v>
      </c>
      <c r="Z90" s="0" t="inlineStr">
        <is>
          <t>https://new.land.naver.com/complexes/2512?tab=detail&amp;rf=Y</t>
        </is>
      </c>
      <c r="AA90" s="0" t="inlineStr">
        <is>
          <t>인천시 남동구 간석동 519-4</t>
        </is>
      </c>
      <c r="AB90" s="0" t="inlineStr">
        <is>
          <t>인천시</t>
        </is>
      </c>
      <c r="AC90" s="0" t="inlineStr">
        <is>
          <t>남동구</t>
        </is>
      </c>
      <c r="AD90" s="0" t="inlineStr">
        <is>
          <t>간석동</t>
        </is>
      </c>
      <c r="AG90" s="0" t="inlineStr">
        <is>
          <t>인천시 남동구 경인로524번길 16</t>
        </is>
      </c>
      <c r="AH90" s="0" t="n">
        <v>0</v>
      </c>
      <c r="AI90" s="0" t="n">
        <v>171</v>
      </c>
      <c r="AJ90" s="0" t="n">
        <v>14</v>
      </c>
      <c r="AK90" s="0" t="n">
        <v>600</v>
      </c>
      <c r="AL90" s="0" t="n">
        <v>1</v>
      </c>
    </row>
    <row r="91">
      <c r="A91" s="0" t="inlineStr">
        <is>
          <t>[간석동]</t>
        </is>
      </c>
      <c r="B91" s="0" t="n">
        <v>2512</v>
      </c>
      <c r="C91" s="0" t="n">
        <v>8</v>
      </c>
      <c r="D91" s="0" t="inlineStr">
        <is>
          <t>한진</t>
        </is>
      </c>
      <c r="E91" s="0" t="inlineStr">
        <is>
          <t>1981.04.</t>
        </is>
      </c>
      <c r="F91" s="0" t="n">
        <v>600</v>
      </c>
      <c r="G91" s="0" t="n">
        <v>19.7</v>
      </c>
      <c r="H91" s="0" t="n">
        <v>65.15000000000001</v>
      </c>
      <c r="I91" s="0" t="n">
        <v>18.32</v>
      </c>
      <c r="J91" s="0" t="n">
        <v>60.59</v>
      </c>
      <c r="K91" s="0" t="n">
        <v>85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65B</t>
        </is>
      </c>
      <c r="X91" s="0" t="n">
        <v>12</v>
      </c>
      <c r="Y91" s="0" t="n">
        <v>12</v>
      </c>
      <c r="Z91" s="0" t="inlineStr">
        <is>
          <t>https://new.land.naver.com/complexes/2512?tab=detail&amp;rf=Y</t>
        </is>
      </c>
      <c r="AA91" s="0" t="inlineStr">
        <is>
          <t>인천시 남동구 간석동 519-4</t>
        </is>
      </c>
      <c r="AB91" s="0" t="inlineStr">
        <is>
          <t>인천시</t>
        </is>
      </c>
      <c r="AC91" s="0" t="inlineStr">
        <is>
          <t>남동구</t>
        </is>
      </c>
      <c r="AD91" s="0" t="inlineStr">
        <is>
          <t>간석동</t>
        </is>
      </c>
      <c r="AG91" s="0" t="inlineStr">
        <is>
          <t>인천시 남동구 경인로524번길 16</t>
        </is>
      </c>
      <c r="AH91" s="0" t="n">
        <v>0</v>
      </c>
      <c r="AI91" s="0" t="n">
        <v>171</v>
      </c>
      <c r="AJ91" s="0" t="n">
        <v>14</v>
      </c>
      <c r="AK91" s="0" t="n">
        <v>600</v>
      </c>
      <c r="AL91" s="0" t="n">
        <v>1</v>
      </c>
    </row>
    <row r="92">
      <c r="A92" s="0" t="inlineStr">
        <is>
          <t>[간석동]</t>
        </is>
      </c>
      <c r="B92" s="0" t="n">
        <v>2512</v>
      </c>
      <c r="C92" s="0" t="n">
        <v>9</v>
      </c>
      <c r="D92" s="0" t="inlineStr">
        <is>
          <t>한진</t>
        </is>
      </c>
      <c r="E92" s="0" t="inlineStr">
        <is>
          <t>1981.04.</t>
        </is>
      </c>
      <c r="F92" s="0" t="n">
        <v>600</v>
      </c>
      <c r="G92" s="0" t="n">
        <v>19.91</v>
      </c>
      <c r="H92" s="0" t="n">
        <v>65.84999999999999</v>
      </c>
      <c r="I92" s="0" t="n">
        <v>18.57</v>
      </c>
      <c r="J92" s="0" t="n">
        <v>61.42</v>
      </c>
      <c r="K92" s="0" t="n">
        <v>32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65F</t>
        </is>
      </c>
      <c r="X92" s="0" t="n">
        <v>12</v>
      </c>
      <c r="Y92" s="0" t="n">
        <v>12</v>
      </c>
      <c r="Z92" s="0" t="inlineStr">
        <is>
          <t>https://new.land.naver.com/complexes/2512?tab=detail&amp;rf=Y</t>
        </is>
      </c>
      <c r="AA92" s="0" t="inlineStr">
        <is>
          <t>인천시 남동구 간석동 519-4</t>
        </is>
      </c>
      <c r="AB92" s="0" t="inlineStr">
        <is>
          <t>인천시</t>
        </is>
      </c>
      <c r="AC92" s="0" t="inlineStr">
        <is>
          <t>남동구</t>
        </is>
      </c>
      <c r="AD92" s="0" t="inlineStr">
        <is>
          <t>간석동</t>
        </is>
      </c>
      <c r="AG92" s="0" t="inlineStr">
        <is>
          <t>인천시 남동구 경인로524번길 16</t>
        </is>
      </c>
      <c r="AH92" s="0" t="n">
        <v>0</v>
      </c>
      <c r="AI92" s="0" t="n">
        <v>171</v>
      </c>
      <c r="AJ92" s="0" t="n">
        <v>14</v>
      </c>
      <c r="AK92" s="0" t="n">
        <v>600</v>
      </c>
      <c r="AL92" s="0" t="n">
        <v>1</v>
      </c>
    </row>
    <row r="93">
      <c r="A93" s="0" t="inlineStr">
        <is>
          <t>[간석동]</t>
        </is>
      </c>
      <c r="B93" s="0" t="n">
        <v>2512</v>
      </c>
      <c r="C93" s="0" t="n">
        <v>10</v>
      </c>
      <c r="D93" s="0" t="inlineStr">
        <is>
          <t>한진</t>
        </is>
      </c>
      <c r="E93" s="0" t="inlineStr">
        <is>
          <t>1981.04.</t>
        </is>
      </c>
      <c r="F93" s="0" t="n">
        <v>600</v>
      </c>
      <c r="G93" s="0" t="n">
        <v>19.81</v>
      </c>
      <c r="H93" s="0" t="n">
        <v>65.52</v>
      </c>
      <c r="I93" s="0" t="n">
        <v>18.5</v>
      </c>
      <c r="J93" s="0" t="n">
        <v>61.19</v>
      </c>
      <c r="K93" s="0" t="n">
        <v>18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65E</t>
        </is>
      </c>
      <c r="X93" s="0" t="n">
        <v>12</v>
      </c>
      <c r="Y93" s="0" t="n">
        <v>12</v>
      </c>
      <c r="Z93" s="0" t="inlineStr">
        <is>
          <t>https://new.land.naver.com/complexes/2512?tab=detail&amp;rf=Y</t>
        </is>
      </c>
      <c r="AA93" s="0" t="inlineStr">
        <is>
          <t>인천시 남동구 간석동 519-4</t>
        </is>
      </c>
      <c r="AB93" s="0" t="inlineStr">
        <is>
          <t>인천시</t>
        </is>
      </c>
      <c r="AC93" s="0" t="inlineStr">
        <is>
          <t>남동구</t>
        </is>
      </c>
      <c r="AD93" s="0" t="inlineStr">
        <is>
          <t>간석동</t>
        </is>
      </c>
      <c r="AG93" s="0" t="inlineStr">
        <is>
          <t>인천시 남동구 경인로524번길 16</t>
        </is>
      </c>
      <c r="AH93" s="0" t="n">
        <v>0</v>
      </c>
      <c r="AI93" s="0" t="n">
        <v>171</v>
      </c>
      <c r="AJ93" s="0" t="n">
        <v>14</v>
      </c>
      <c r="AK93" s="0" t="n">
        <v>600</v>
      </c>
      <c r="AL93" s="0" t="n">
        <v>1</v>
      </c>
    </row>
    <row r="94">
      <c r="A94" s="0" t="inlineStr">
        <is>
          <t>[간석동]</t>
        </is>
      </c>
      <c r="B94" s="0" t="n">
        <v>2512</v>
      </c>
      <c r="C94" s="0" t="n">
        <v>11</v>
      </c>
      <c r="D94" s="0" t="inlineStr">
        <is>
          <t>한진</t>
        </is>
      </c>
      <c r="E94" s="0" t="inlineStr">
        <is>
          <t>1981.04.</t>
        </is>
      </c>
      <c r="F94" s="0" t="n">
        <v>600</v>
      </c>
      <c r="G94" s="0" t="n">
        <v>19.84</v>
      </c>
      <c r="H94" s="0" t="n">
        <v>65.59</v>
      </c>
      <c r="I94" s="0" t="n">
        <v>18.44</v>
      </c>
      <c r="J94" s="0" t="n">
        <v>60.99</v>
      </c>
      <c r="K94" s="0" t="n">
        <v>11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65C</t>
        </is>
      </c>
      <c r="X94" s="0" t="n">
        <v>12</v>
      </c>
      <c r="Y94" s="0" t="n">
        <v>12</v>
      </c>
      <c r="Z94" s="0" t="inlineStr">
        <is>
          <t>https://new.land.naver.com/complexes/2512?tab=detail&amp;rf=Y</t>
        </is>
      </c>
      <c r="AA94" s="0" t="inlineStr">
        <is>
          <t>인천시 남동구 간석동 519-4</t>
        </is>
      </c>
      <c r="AB94" s="0" t="inlineStr">
        <is>
          <t>인천시</t>
        </is>
      </c>
      <c r="AC94" s="0" t="inlineStr">
        <is>
          <t>남동구</t>
        </is>
      </c>
      <c r="AD94" s="0" t="inlineStr">
        <is>
          <t>간석동</t>
        </is>
      </c>
      <c r="AG94" s="0" t="inlineStr">
        <is>
          <t>인천시 남동구 경인로524번길 16</t>
        </is>
      </c>
      <c r="AH94" s="0" t="n">
        <v>0</v>
      </c>
      <c r="AI94" s="0" t="n">
        <v>171</v>
      </c>
      <c r="AJ94" s="0" t="n">
        <v>14</v>
      </c>
      <c r="AK94" s="0" t="n">
        <v>600</v>
      </c>
      <c r="AL94" s="0" t="n">
        <v>1</v>
      </c>
    </row>
    <row r="95">
      <c r="A95" s="0" t="inlineStr">
        <is>
          <t>[간석동]</t>
        </is>
      </c>
      <c r="B95" s="0" t="n">
        <v>2512</v>
      </c>
      <c r="C95" s="0" t="n">
        <v>12</v>
      </c>
      <c r="D95" s="0" t="inlineStr">
        <is>
          <t>한진</t>
        </is>
      </c>
      <c r="E95" s="0" t="inlineStr">
        <is>
          <t>1981.04.</t>
        </is>
      </c>
      <c r="F95" s="0" t="n">
        <v>600</v>
      </c>
      <c r="G95" s="0" t="n">
        <v>19.97</v>
      </c>
      <c r="H95" s="0" t="n">
        <v>66.02</v>
      </c>
      <c r="I95" s="0" t="n">
        <v>18.63</v>
      </c>
      <c r="J95" s="0" t="n">
        <v>61.59</v>
      </c>
      <c r="K95" s="0" t="n">
        <v>2</v>
      </c>
      <c r="T95" s="0" t="n">
        <v>2</v>
      </c>
      <c r="U95" s="0" t="n">
        <v>1</v>
      </c>
      <c r="V95" s="0" t="inlineStr">
        <is>
          <t>복도식</t>
        </is>
      </c>
      <c r="W95" s="0" t="inlineStr">
        <is>
          <t>66G</t>
        </is>
      </c>
      <c r="X95" s="0" t="n">
        <v>12</v>
      </c>
      <c r="Y95" s="0" t="n">
        <v>12</v>
      </c>
      <c r="Z95" s="0" t="inlineStr">
        <is>
          <t>https://new.land.naver.com/complexes/2512?tab=detail&amp;rf=Y</t>
        </is>
      </c>
      <c r="AA95" s="0" t="inlineStr">
        <is>
          <t>인천시 남동구 간석동 519-4</t>
        </is>
      </c>
      <c r="AB95" s="0" t="inlineStr">
        <is>
          <t>인천시</t>
        </is>
      </c>
      <c r="AC95" s="0" t="inlineStr">
        <is>
          <t>남동구</t>
        </is>
      </c>
      <c r="AD95" s="0" t="inlineStr">
        <is>
          <t>간석동</t>
        </is>
      </c>
      <c r="AG95" s="0" t="inlineStr">
        <is>
          <t>인천시 남동구 경인로524번길 16</t>
        </is>
      </c>
      <c r="AH95" s="0" t="n">
        <v>0</v>
      </c>
      <c r="AI95" s="0" t="n">
        <v>171</v>
      </c>
      <c r="AJ95" s="0" t="n">
        <v>14</v>
      </c>
      <c r="AK95" s="0" t="n">
        <v>600</v>
      </c>
      <c r="AL95" s="0" t="n">
        <v>1</v>
      </c>
    </row>
    <row r="96">
      <c r="A96" s="0" t="inlineStr">
        <is>
          <t>[간석동]</t>
        </is>
      </c>
      <c r="B96" s="0" t="n">
        <v>2512</v>
      </c>
      <c r="C96" s="0" t="n">
        <v>13</v>
      </c>
      <c r="D96" s="0" t="inlineStr">
        <is>
          <t>한진</t>
        </is>
      </c>
      <c r="E96" s="0" t="inlineStr">
        <is>
          <t>1981.04.</t>
        </is>
      </c>
      <c r="F96" s="0" t="n">
        <v>600</v>
      </c>
      <c r="G96" s="0" t="n">
        <v>20.3</v>
      </c>
      <c r="H96" s="0" t="n">
        <v>67.13</v>
      </c>
      <c r="I96" s="0" t="n">
        <v>18.85</v>
      </c>
      <c r="J96" s="0" t="n">
        <v>62.34</v>
      </c>
      <c r="K96" s="0" t="n">
        <v>60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67H</t>
        </is>
      </c>
      <c r="X96" s="0" t="n">
        <v>12</v>
      </c>
      <c r="Y96" s="0" t="n">
        <v>12</v>
      </c>
      <c r="Z96" s="0" t="inlineStr">
        <is>
          <t>https://new.land.naver.com/complexes/2512?tab=detail&amp;rf=Y</t>
        </is>
      </c>
      <c r="AA96" s="0" t="inlineStr">
        <is>
          <t>인천시 남동구 간석동 519-4</t>
        </is>
      </c>
      <c r="AB96" s="0" t="inlineStr">
        <is>
          <t>인천시</t>
        </is>
      </c>
      <c r="AC96" s="0" t="inlineStr">
        <is>
          <t>남동구</t>
        </is>
      </c>
      <c r="AD96" s="0" t="inlineStr">
        <is>
          <t>간석동</t>
        </is>
      </c>
      <c r="AG96" s="0" t="inlineStr">
        <is>
          <t>인천시 남동구 경인로524번길 16</t>
        </is>
      </c>
      <c r="AH96" s="0" t="n">
        <v>0</v>
      </c>
      <c r="AI96" s="0" t="n">
        <v>171</v>
      </c>
      <c r="AJ96" s="0" t="n">
        <v>14</v>
      </c>
      <c r="AK96" s="0" t="n">
        <v>600</v>
      </c>
      <c r="AL96" s="0" t="n">
        <v>1</v>
      </c>
    </row>
    <row r="97">
      <c r="A97" s="0" t="inlineStr">
        <is>
          <t>[간석동]</t>
        </is>
      </c>
      <c r="B97" s="0" t="n">
        <v>2512</v>
      </c>
      <c r="C97" s="0" t="n">
        <v>14</v>
      </c>
      <c r="D97" s="0" t="inlineStr">
        <is>
          <t>한진</t>
        </is>
      </c>
      <c r="E97" s="0" t="inlineStr">
        <is>
          <t>1981.04.</t>
        </is>
      </c>
      <c r="F97" s="0" t="n">
        <v>600</v>
      </c>
      <c r="G97" s="0" t="n">
        <v>20.38</v>
      </c>
      <c r="H97" s="0" t="n">
        <v>67.39</v>
      </c>
      <c r="I97" s="0" t="n">
        <v>18.91</v>
      </c>
      <c r="J97" s="0" t="n">
        <v>62.54</v>
      </c>
      <c r="K97" s="0" t="n">
        <v>12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67I</t>
        </is>
      </c>
      <c r="X97" s="0" t="n">
        <v>12</v>
      </c>
      <c r="Y97" s="0" t="n">
        <v>12</v>
      </c>
      <c r="Z97" s="0" t="inlineStr">
        <is>
          <t>https://new.land.naver.com/complexes/2512?tab=detail&amp;rf=Y</t>
        </is>
      </c>
      <c r="AA97" s="0" t="inlineStr">
        <is>
          <t>인천시 남동구 간석동 519-4</t>
        </is>
      </c>
      <c r="AB97" s="0" t="inlineStr">
        <is>
          <t>인천시</t>
        </is>
      </c>
      <c r="AC97" s="0" t="inlineStr">
        <is>
          <t>남동구</t>
        </is>
      </c>
      <c r="AD97" s="0" t="inlineStr">
        <is>
          <t>간석동</t>
        </is>
      </c>
      <c r="AG97" s="0" t="inlineStr">
        <is>
          <t>인천시 남동구 경인로524번길 16</t>
        </is>
      </c>
      <c r="AH97" s="0" t="n">
        <v>0</v>
      </c>
      <c r="AI97" s="0" t="n">
        <v>171</v>
      </c>
      <c r="AJ97" s="0" t="n">
        <v>14</v>
      </c>
      <c r="AK97" s="0" t="n">
        <v>600</v>
      </c>
      <c r="AL97" s="0" t="n">
        <v>1</v>
      </c>
    </row>
    <row r="98">
      <c r="A98" s="0" t="inlineStr">
        <is>
          <t>[간석동]</t>
        </is>
      </c>
      <c r="B98" s="0" t="n">
        <v>2512</v>
      </c>
      <c r="C98" s="0" t="n">
        <v>15</v>
      </c>
      <c r="D98" s="0" t="inlineStr">
        <is>
          <t>한진</t>
        </is>
      </c>
      <c r="E98" s="0" t="inlineStr">
        <is>
          <t>1981.04.</t>
        </is>
      </c>
      <c r="F98" s="0" t="n">
        <v>600</v>
      </c>
      <c r="G98" s="0" t="n">
        <v>33.09</v>
      </c>
      <c r="H98" s="0" t="n">
        <v>109.42</v>
      </c>
      <c r="I98" s="0" t="n">
        <v>30.9</v>
      </c>
      <c r="J98" s="0" t="n">
        <v>102.15</v>
      </c>
      <c r="K98" s="0" t="n">
        <v>33</v>
      </c>
      <c r="T98" s="0" t="n">
        <v>4</v>
      </c>
      <c r="U98" s="0" t="n">
        <v>1</v>
      </c>
      <c r="V98" s="0" t="inlineStr">
        <is>
          <t>복도식</t>
        </is>
      </c>
      <c r="W98" s="0" t="inlineStr">
        <is>
          <t>109A</t>
        </is>
      </c>
      <c r="X98" s="0" t="n">
        <v>12</v>
      </c>
      <c r="Y98" s="0" t="n">
        <v>12</v>
      </c>
      <c r="Z98" s="0" t="inlineStr">
        <is>
          <t>https://new.land.naver.com/complexes/2512?tab=detail&amp;rf=Y</t>
        </is>
      </c>
      <c r="AA98" s="0" t="inlineStr">
        <is>
          <t>인천시 남동구 간석동 519-4</t>
        </is>
      </c>
      <c r="AB98" s="0" t="inlineStr">
        <is>
          <t>인천시</t>
        </is>
      </c>
      <c r="AC98" s="0" t="inlineStr">
        <is>
          <t>남동구</t>
        </is>
      </c>
      <c r="AD98" s="0" t="inlineStr">
        <is>
          <t>간석동</t>
        </is>
      </c>
      <c r="AG98" s="0" t="inlineStr">
        <is>
          <t>인천시 남동구 경인로524번길 16</t>
        </is>
      </c>
      <c r="AH98" s="0" t="n">
        <v>0</v>
      </c>
      <c r="AI98" s="0" t="n">
        <v>171</v>
      </c>
      <c r="AJ98" s="0" t="n">
        <v>14</v>
      </c>
      <c r="AK98" s="0" t="n">
        <v>600</v>
      </c>
      <c r="AL98" s="0" t="n">
        <v>1</v>
      </c>
    </row>
    <row r="99">
      <c r="A99" s="0" t="inlineStr">
        <is>
          <t>[간석동]</t>
        </is>
      </c>
      <c r="B99" s="0" t="n">
        <v>2512</v>
      </c>
      <c r="C99" s="0" t="n">
        <v>16</v>
      </c>
      <c r="D99" s="0" t="inlineStr">
        <is>
          <t>한진</t>
        </is>
      </c>
      <c r="E99" s="0" t="inlineStr">
        <is>
          <t>1981.04.</t>
        </is>
      </c>
      <c r="F99" s="0" t="n">
        <v>600</v>
      </c>
      <c r="G99" s="0" t="n">
        <v>33.14</v>
      </c>
      <c r="H99" s="0" t="n">
        <v>109.56</v>
      </c>
      <c r="I99" s="0" t="n">
        <v>30.92</v>
      </c>
      <c r="J99" s="0" t="n">
        <v>102.22</v>
      </c>
      <c r="K99" s="0" t="n">
        <v>14</v>
      </c>
      <c r="T99" s="0" t="n">
        <v>4</v>
      </c>
      <c r="U99" s="0" t="n">
        <v>1</v>
      </c>
      <c r="V99" s="0" t="inlineStr">
        <is>
          <t>복도식</t>
        </is>
      </c>
      <c r="W99" s="0" t="inlineStr">
        <is>
          <t>109B</t>
        </is>
      </c>
      <c r="X99" s="0" t="n">
        <v>12</v>
      </c>
      <c r="Y99" s="0" t="n">
        <v>12</v>
      </c>
      <c r="Z99" s="0" t="inlineStr">
        <is>
          <t>https://new.land.naver.com/complexes/2512?tab=detail&amp;rf=Y</t>
        </is>
      </c>
      <c r="AA99" s="0" t="inlineStr">
        <is>
          <t>인천시 남동구 간석동 519-4</t>
        </is>
      </c>
      <c r="AB99" s="0" t="inlineStr">
        <is>
          <t>인천시</t>
        </is>
      </c>
      <c r="AC99" s="0" t="inlineStr">
        <is>
          <t>남동구</t>
        </is>
      </c>
      <c r="AD99" s="0" t="inlineStr">
        <is>
          <t>간석동</t>
        </is>
      </c>
      <c r="AG99" s="0" t="inlineStr">
        <is>
          <t>인천시 남동구 경인로524번길 16</t>
        </is>
      </c>
      <c r="AH99" s="0" t="n">
        <v>0</v>
      </c>
      <c r="AI99" s="0" t="n">
        <v>171</v>
      </c>
      <c r="AJ99" s="0" t="n">
        <v>14</v>
      </c>
      <c r="AK99" s="0" t="n">
        <v>600</v>
      </c>
      <c r="AL99" s="0" t="n">
        <v>1</v>
      </c>
    </row>
    <row r="100">
      <c r="A100" s="0" t="inlineStr">
        <is>
          <t>[간석동]</t>
        </is>
      </c>
      <c r="B100" s="0" t="n">
        <v>2512</v>
      </c>
      <c r="C100" s="0" t="n">
        <v>17</v>
      </c>
      <c r="D100" s="0" t="inlineStr">
        <is>
          <t>한진</t>
        </is>
      </c>
      <c r="E100" s="0" t="inlineStr">
        <is>
          <t>1981.04.</t>
        </is>
      </c>
      <c r="F100" s="0" t="n">
        <v>600</v>
      </c>
      <c r="G100" s="0" t="n">
        <v>33.17</v>
      </c>
      <c r="H100" s="0" t="n">
        <v>109.68</v>
      </c>
      <c r="I100" s="0" t="n">
        <v>30.94</v>
      </c>
      <c r="J100" s="0" t="n">
        <v>102.31</v>
      </c>
      <c r="K100" s="0" t="n">
        <v>1</v>
      </c>
      <c r="T100" s="0" t="n">
        <v>4</v>
      </c>
      <c r="U100" s="0" t="n">
        <v>1</v>
      </c>
      <c r="V100" s="0" t="inlineStr">
        <is>
          <t>복도식</t>
        </is>
      </c>
      <c r="W100" s="0" t="inlineStr">
        <is>
          <t>109C</t>
        </is>
      </c>
      <c r="X100" s="0" t="n">
        <v>12</v>
      </c>
      <c r="Y100" s="0" t="n">
        <v>12</v>
      </c>
      <c r="Z100" s="0" t="inlineStr">
        <is>
          <t>https://new.land.naver.com/complexes/2512?tab=detail&amp;rf=Y</t>
        </is>
      </c>
      <c r="AA100" s="0" t="inlineStr">
        <is>
          <t>인천시 남동구 간석동 519-4</t>
        </is>
      </c>
      <c r="AB100" s="0" t="inlineStr">
        <is>
          <t>인천시</t>
        </is>
      </c>
      <c r="AC100" s="0" t="inlineStr">
        <is>
          <t>남동구</t>
        </is>
      </c>
      <c r="AD100" s="0" t="inlineStr">
        <is>
          <t>간석동</t>
        </is>
      </c>
      <c r="AG100" s="0" t="inlineStr">
        <is>
          <t>인천시 남동구 경인로524번길 16</t>
        </is>
      </c>
      <c r="AH100" s="0" t="n">
        <v>0</v>
      </c>
      <c r="AI100" s="0" t="n">
        <v>171</v>
      </c>
      <c r="AJ100" s="0" t="n">
        <v>14</v>
      </c>
      <c r="AK100" s="0" t="n">
        <v>600</v>
      </c>
      <c r="AL100" s="0" t="n">
        <v>1</v>
      </c>
    </row>
    <row r="101">
      <c r="A101" s="0" t="inlineStr">
        <is>
          <t>[간석동]</t>
        </is>
      </c>
      <c r="B101" s="0" t="n">
        <v>13821</v>
      </c>
      <c r="C101" s="0" t="n">
        <v>1</v>
      </c>
      <c r="D101" s="0" t="inlineStr">
        <is>
          <t>삼미</t>
        </is>
      </c>
      <c r="E101" s="0" t="inlineStr">
        <is>
          <t>1984.12.</t>
        </is>
      </c>
      <c r="F101" s="0" t="n">
        <v>40</v>
      </c>
      <c r="G101" s="0" t="n">
        <v>23.55</v>
      </c>
      <c r="H101" s="0" t="n">
        <v>77.88</v>
      </c>
      <c r="I101" s="0" t="n">
        <v>20.11</v>
      </c>
      <c r="J101" s="0" t="n">
        <v>66.48</v>
      </c>
      <c r="K101" s="0" t="n">
        <v>20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77</v>
      </c>
      <c r="X101" s="0" t="n">
        <v>5</v>
      </c>
      <c r="Y101" s="0" t="n">
        <v>5</v>
      </c>
      <c r="Z101" s="0" t="inlineStr">
        <is>
          <t>https://new.land.naver.com/complexes/13821?tab=detail&amp;rf=Y</t>
        </is>
      </c>
      <c r="AA101" s="0" t="inlineStr">
        <is>
          <t>인천시 남동구 간석동 331-1</t>
        </is>
      </c>
      <c r="AB101" s="0" t="inlineStr">
        <is>
          <t>인천시</t>
        </is>
      </c>
      <c r="AC101" s="0" t="inlineStr">
        <is>
          <t>남동구</t>
        </is>
      </c>
      <c r="AD101" s="0" t="inlineStr">
        <is>
          <t>간석동</t>
        </is>
      </c>
      <c r="AG101" s="0" t="inlineStr">
        <is>
          <t>인천시 남동구 남동대로897번길 51</t>
        </is>
      </c>
      <c r="AH101" s="0" t="n">
        <v>0</v>
      </c>
      <c r="AI101" s="0" t="n">
        <v>163</v>
      </c>
      <c r="AJ101" s="0" t="n">
        <v>33</v>
      </c>
      <c r="AK101" s="0" t="n">
        <v>0</v>
      </c>
      <c r="AL101" s="0" t="n">
        <v>0</v>
      </c>
    </row>
    <row r="102">
      <c r="A102" s="0" t="inlineStr">
        <is>
          <t>[간석동]</t>
        </is>
      </c>
      <c r="B102" s="0" t="n">
        <v>13821</v>
      </c>
      <c r="C102" s="0" t="n">
        <v>2</v>
      </c>
      <c r="D102" s="0" t="inlineStr">
        <is>
          <t>삼미</t>
        </is>
      </c>
      <c r="E102" s="0" t="inlineStr">
        <is>
          <t>1984.12.</t>
        </is>
      </c>
      <c r="F102" s="0" t="n">
        <v>40</v>
      </c>
      <c r="G102" s="0" t="n">
        <v>25.56</v>
      </c>
      <c r="H102" s="0" t="n">
        <v>84.5</v>
      </c>
      <c r="I102" s="0" t="n">
        <v>21.24</v>
      </c>
      <c r="J102" s="0" t="n">
        <v>70.23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84</v>
      </c>
      <c r="X102" s="0" t="n">
        <v>5</v>
      </c>
      <c r="Y102" s="0" t="n">
        <v>5</v>
      </c>
      <c r="Z102" s="0" t="inlineStr">
        <is>
          <t>https://new.land.naver.com/complexes/13821?tab=detail&amp;rf=Y</t>
        </is>
      </c>
      <c r="AA102" s="0" t="inlineStr">
        <is>
          <t>인천시 남동구 간석동 331-1</t>
        </is>
      </c>
      <c r="AB102" s="0" t="inlineStr">
        <is>
          <t>인천시</t>
        </is>
      </c>
      <c r="AC102" s="0" t="inlineStr">
        <is>
          <t>남동구</t>
        </is>
      </c>
      <c r="AD102" s="0" t="inlineStr">
        <is>
          <t>간석동</t>
        </is>
      </c>
      <c r="AG102" s="0" t="inlineStr">
        <is>
          <t>인천시 남동구 남동대로897번길 51</t>
        </is>
      </c>
      <c r="AH102" s="0" t="n">
        <v>0</v>
      </c>
      <c r="AI102" s="0" t="n">
        <v>163</v>
      </c>
      <c r="AJ102" s="0" t="n">
        <v>33</v>
      </c>
      <c r="AK102" s="0" t="n">
        <v>0</v>
      </c>
      <c r="AL102" s="0" t="n">
        <v>0</v>
      </c>
    </row>
    <row r="103">
      <c r="A103" s="0" t="inlineStr">
        <is>
          <t>[간석동]</t>
        </is>
      </c>
      <c r="B103" s="0" t="n">
        <v>13821</v>
      </c>
      <c r="C103" s="0" t="n">
        <v>3</v>
      </c>
      <c r="D103" s="0" t="inlineStr">
        <is>
          <t>삼미</t>
        </is>
      </c>
      <c r="E103" s="0" t="inlineStr">
        <is>
          <t>1984.12.</t>
        </is>
      </c>
      <c r="F103" s="0" t="n">
        <v>40</v>
      </c>
      <c r="G103" s="0" t="n">
        <v>28.01</v>
      </c>
      <c r="H103" s="0" t="n">
        <v>92.59999999999999</v>
      </c>
      <c r="I103" s="0" t="n">
        <v>26.63</v>
      </c>
      <c r="J103" s="0" t="n">
        <v>88.05</v>
      </c>
      <c r="K103" s="0" t="n">
        <v>5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92</v>
      </c>
      <c r="X103" s="0" t="n">
        <v>5</v>
      </c>
      <c r="Y103" s="0" t="n">
        <v>5</v>
      </c>
      <c r="Z103" s="0" t="inlineStr">
        <is>
          <t>https://new.land.naver.com/complexes/13821?tab=detail&amp;rf=Y</t>
        </is>
      </c>
      <c r="AA103" s="0" t="inlineStr">
        <is>
          <t>인천시 남동구 간석동 331-1</t>
        </is>
      </c>
      <c r="AB103" s="0" t="inlineStr">
        <is>
          <t>인천시</t>
        </is>
      </c>
      <c r="AC103" s="0" t="inlineStr">
        <is>
          <t>남동구</t>
        </is>
      </c>
      <c r="AD103" s="0" t="inlineStr">
        <is>
          <t>간석동</t>
        </is>
      </c>
      <c r="AG103" s="0" t="inlineStr">
        <is>
          <t>인천시 남동구 남동대로897번길 51</t>
        </is>
      </c>
      <c r="AH103" s="0" t="n">
        <v>0</v>
      </c>
      <c r="AI103" s="0" t="n">
        <v>163</v>
      </c>
      <c r="AJ103" s="0" t="n">
        <v>33</v>
      </c>
      <c r="AK103" s="0" t="n">
        <v>0</v>
      </c>
      <c r="AL103" s="0" t="n">
        <v>0</v>
      </c>
    </row>
    <row r="104">
      <c r="A104" s="0" t="inlineStr">
        <is>
          <t>[간석동]</t>
        </is>
      </c>
      <c r="B104" s="0" t="n">
        <v>2241</v>
      </c>
      <c r="C104" s="0" t="n">
        <v>1</v>
      </c>
      <c r="D104" s="0" t="inlineStr">
        <is>
          <t>태화</t>
        </is>
      </c>
      <c r="E104" s="0" t="inlineStr">
        <is>
          <t>1994.10.</t>
        </is>
      </c>
      <c r="F104" s="0" t="n">
        <v>464</v>
      </c>
      <c r="G104" s="0" t="n">
        <v>23.73</v>
      </c>
      <c r="H104" s="0" t="n">
        <v>78.45999999999999</v>
      </c>
      <c r="I104" s="0" t="n">
        <v>18.12</v>
      </c>
      <c r="J104" s="0" t="n">
        <v>59.93</v>
      </c>
      <c r="K104" s="0" t="n">
        <v>186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78</v>
      </c>
      <c r="X104" s="0" t="n">
        <v>24</v>
      </c>
      <c r="Y104" s="0" t="n">
        <v>18</v>
      </c>
      <c r="Z104" s="0" t="inlineStr">
        <is>
          <t>https://new.land.naver.com/complexes/2241?tab=detail&amp;rf=Y</t>
        </is>
      </c>
      <c r="AA104" s="0" t="inlineStr">
        <is>
          <t>인천시 남동구 간석동 918-5</t>
        </is>
      </c>
      <c r="AB104" s="0" t="inlineStr">
        <is>
          <t>인천시</t>
        </is>
      </c>
      <c r="AC104" s="0" t="inlineStr">
        <is>
          <t>남동구</t>
        </is>
      </c>
      <c r="AD104" s="0" t="inlineStr">
        <is>
          <t>간석동</t>
        </is>
      </c>
      <c r="AG104" s="0" t="inlineStr">
        <is>
          <t>인천시 남동구 호구포로900번길 5</t>
        </is>
      </c>
      <c r="AH104" s="0" t="n">
        <v>0</v>
      </c>
      <c r="AI104" s="0" t="n">
        <v>378</v>
      </c>
      <c r="AJ104" s="0" t="n">
        <v>24</v>
      </c>
      <c r="AK104" s="0" t="n">
        <v>0</v>
      </c>
      <c r="AL104" s="0" t="n">
        <v>0</v>
      </c>
    </row>
    <row r="105">
      <c r="A105" s="0" t="inlineStr">
        <is>
          <t>[간석동]</t>
        </is>
      </c>
      <c r="B105" s="0" t="n">
        <v>2241</v>
      </c>
      <c r="C105" s="0" t="n">
        <v>2</v>
      </c>
      <c r="D105" s="0" t="inlineStr">
        <is>
          <t>태화</t>
        </is>
      </c>
      <c r="E105" s="0" t="inlineStr">
        <is>
          <t>1994.10.</t>
        </is>
      </c>
      <c r="F105" s="0" t="n">
        <v>464</v>
      </c>
      <c r="G105" s="0" t="n">
        <v>31.66</v>
      </c>
      <c r="H105" s="0" t="n">
        <v>104.67</v>
      </c>
      <c r="I105" s="0" t="n">
        <v>25.57</v>
      </c>
      <c r="J105" s="0" t="n">
        <v>84.56</v>
      </c>
      <c r="K105" s="0" t="n">
        <v>238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104</v>
      </c>
      <c r="X105" s="0" t="n">
        <v>24</v>
      </c>
      <c r="Y105" s="0" t="n">
        <v>18</v>
      </c>
      <c r="Z105" s="0" t="inlineStr">
        <is>
          <t>https://new.land.naver.com/complexes/2241?tab=detail&amp;rf=Y</t>
        </is>
      </c>
      <c r="AA105" s="0" t="inlineStr">
        <is>
          <t>인천시 남동구 간석동 918-5</t>
        </is>
      </c>
      <c r="AB105" s="0" t="inlineStr">
        <is>
          <t>인천시</t>
        </is>
      </c>
      <c r="AC105" s="0" t="inlineStr">
        <is>
          <t>남동구</t>
        </is>
      </c>
      <c r="AD105" s="0" t="inlineStr">
        <is>
          <t>간석동</t>
        </is>
      </c>
      <c r="AG105" s="0" t="inlineStr">
        <is>
          <t>인천시 남동구 호구포로900번길 5</t>
        </is>
      </c>
      <c r="AH105" s="0" t="n">
        <v>0</v>
      </c>
      <c r="AI105" s="0" t="n">
        <v>378</v>
      </c>
      <c r="AJ105" s="0" t="n">
        <v>24</v>
      </c>
      <c r="AK105" s="0" t="n">
        <v>0</v>
      </c>
      <c r="AL105" s="0" t="n">
        <v>0</v>
      </c>
    </row>
    <row r="106">
      <c r="A106" s="0" t="inlineStr">
        <is>
          <t>[간석동]</t>
        </is>
      </c>
      <c r="B106" s="0" t="n">
        <v>2241</v>
      </c>
      <c r="C106" s="0" t="n">
        <v>3</v>
      </c>
      <c r="D106" s="0" t="inlineStr">
        <is>
          <t>태화</t>
        </is>
      </c>
      <c r="E106" s="0" t="inlineStr">
        <is>
          <t>1994.10.</t>
        </is>
      </c>
      <c r="F106" s="0" t="n">
        <v>464</v>
      </c>
      <c r="G106" s="0" t="n">
        <v>44.86</v>
      </c>
      <c r="H106" s="0" t="n">
        <v>148.33</v>
      </c>
      <c r="I106" s="0" t="n">
        <v>37.65</v>
      </c>
      <c r="J106" s="0" t="n">
        <v>124.49</v>
      </c>
      <c r="K106" s="0" t="n">
        <v>40</v>
      </c>
      <c r="T106" s="0" t="n">
        <v>4</v>
      </c>
      <c r="U106" s="0" t="n">
        <v>2</v>
      </c>
      <c r="V106" s="0" t="inlineStr">
        <is>
          <t>계단식</t>
        </is>
      </c>
      <c r="W106" s="0" t="n">
        <v>148</v>
      </c>
      <c r="X106" s="0" t="n">
        <v>24</v>
      </c>
      <c r="Y106" s="0" t="n">
        <v>18</v>
      </c>
      <c r="Z106" s="0" t="inlineStr">
        <is>
          <t>https://new.land.naver.com/complexes/2241?tab=detail&amp;rf=Y</t>
        </is>
      </c>
      <c r="AA106" s="0" t="inlineStr">
        <is>
          <t>인천시 남동구 간석동 918-5</t>
        </is>
      </c>
      <c r="AB106" s="0" t="inlineStr">
        <is>
          <t>인천시</t>
        </is>
      </c>
      <c r="AC106" s="0" t="inlineStr">
        <is>
          <t>남동구</t>
        </is>
      </c>
      <c r="AD106" s="0" t="inlineStr">
        <is>
          <t>간석동</t>
        </is>
      </c>
      <c r="AG106" s="0" t="inlineStr">
        <is>
          <t>인천시 남동구 호구포로900번길 5</t>
        </is>
      </c>
      <c r="AH106" s="0" t="n">
        <v>0</v>
      </c>
      <c r="AI106" s="0" t="n">
        <v>378</v>
      </c>
      <c r="AJ106" s="0" t="n">
        <v>24</v>
      </c>
      <c r="AK106" s="0" t="n">
        <v>0</v>
      </c>
      <c r="AL106" s="0" t="n">
        <v>0</v>
      </c>
    </row>
    <row r="107">
      <c r="A107" s="0" t="inlineStr">
        <is>
          <t>[간석동]</t>
        </is>
      </c>
      <c r="B107" s="0" t="n">
        <v>2562</v>
      </c>
      <c r="C107" s="0" t="n">
        <v>1</v>
      </c>
      <c r="D107" s="0" t="inlineStr">
        <is>
          <t>영남</t>
        </is>
      </c>
      <c r="E107" s="0" t="inlineStr">
        <is>
          <t>1988.10.</t>
        </is>
      </c>
      <c r="F107" s="0" t="n">
        <v>282</v>
      </c>
      <c r="G107" s="0" t="n">
        <v>17.11</v>
      </c>
      <c r="H107" s="0" t="n">
        <v>56.58</v>
      </c>
      <c r="I107" s="0" t="n">
        <v>13.18</v>
      </c>
      <c r="J107" s="0" t="n">
        <v>43.59</v>
      </c>
      <c r="K107" s="0" t="n">
        <v>204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56</v>
      </c>
      <c r="X107" s="0" t="n">
        <v>6</v>
      </c>
      <c r="Y107" s="0" t="n">
        <v>6</v>
      </c>
      <c r="Z107" s="0" t="inlineStr">
        <is>
          <t>https://new.land.naver.com/complexes/2562?tab=detail&amp;rf=Y</t>
        </is>
      </c>
      <c r="AA107" s="0" t="inlineStr">
        <is>
          <t>인천시 남동구 간석동 617-31</t>
        </is>
      </c>
      <c r="AB107" s="0" t="inlineStr">
        <is>
          <t>인천시</t>
        </is>
      </c>
      <c r="AC107" s="0" t="inlineStr">
        <is>
          <t>남동구</t>
        </is>
      </c>
      <c r="AD107" s="0" t="inlineStr">
        <is>
          <t>간석동</t>
        </is>
      </c>
      <c r="AG107" s="0" t="inlineStr">
        <is>
          <t>인천시 남동구 경원대로 950</t>
        </is>
      </c>
      <c r="AH107" s="0" t="n">
        <v>0</v>
      </c>
      <c r="AI107" s="0" t="n">
        <v>178</v>
      </c>
      <c r="AJ107" s="0" t="n">
        <v>29</v>
      </c>
      <c r="AK107" s="0" t="n">
        <v>0</v>
      </c>
      <c r="AL107" s="0" t="n">
        <v>0</v>
      </c>
    </row>
    <row r="108">
      <c r="A108" s="0" t="inlineStr">
        <is>
          <t>[간석동]</t>
        </is>
      </c>
      <c r="B108" s="0" t="n">
        <v>2562</v>
      </c>
      <c r="C108" s="0" t="n">
        <v>2</v>
      </c>
      <c r="D108" s="0" t="inlineStr">
        <is>
          <t>영남</t>
        </is>
      </c>
      <c r="E108" s="0" t="inlineStr">
        <is>
          <t>1988.10.</t>
        </is>
      </c>
      <c r="F108" s="0" t="n">
        <v>282</v>
      </c>
      <c r="G108" s="0" t="n">
        <v>20.76</v>
      </c>
      <c r="H108" s="0" t="n">
        <v>68.65000000000001</v>
      </c>
      <c r="I108" s="0" t="n">
        <v>16.32</v>
      </c>
      <c r="J108" s="0" t="n">
        <v>53.97</v>
      </c>
      <c r="K108" s="0" t="n">
        <v>72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68</v>
      </c>
      <c r="X108" s="0" t="n">
        <v>6</v>
      </c>
      <c r="Y108" s="0" t="n">
        <v>6</v>
      </c>
      <c r="Z108" s="0" t="inlineStr">
        <is>
          <t>https://new.land.naver.com/complexes/2562?tab=detail&amp;rf=Y</t>
        </is>
      </c>
      <c r="AA108" s="0" t="inlineStr">
        <is>
          <t>인천시 남동구 간석동 617-31</t>
        </is>
      </c>
      <c r="AB108" s="0" t="inlineStr">
        <is>
          <t>인천시</t>
        </is>
      </c>
      <c r="AC108" s="0" t="inlineStr">
        <is>
          <t>남동구</t>
        </is>
      </c>
      <c r="AD108" s="0" t="inlineStr">
        <is>
          <t>간석동</t>
        </is>
      </c>
      <c r="AG108" s="0" t="inlineStr">
        <is>
          <t>인천시 남동구 경원대로 950</t>
        </is>
      </c>
      <c r="AH108" s="0" t="n">
        <v>0</v>
      </c>
      <c r="AI108" s="0" t="n">
        <v>178</v>
      </c>
      <c r="AJ108" s="0" t="n">
        <v>29</v>
      </c>
      <c r="AK108" s="0" t="n">
        <v>0</v>
      </c>
      <c r="AL108" s="0" t="n">
        <v>0</v>
      </c>
    </row>
    <row r="109">
      <c r="A109" s="0" t="inlineStr">
        <is>
          <t>[간석동]</t>
        </is>
      </c>
      <c r="B109" s="0" t="n">
        <v>2562</v>
      </c>
      <c r="C109" s="0" t="n">
        <v>3</v>
      </c>
      <c r="D109" s="0" t="inlineStr">
        <is>
          <t>영남</t>
        </is>
      </c>
      <c r="E109" s="0" t="inlineStr">
        <is>
          <t>1988.10.</t>
        </is>
      </c>
      <c r="F109" s="0" t="n">
        <v>282</v>
      </c>
      <c r="G109" s="0" t="n">
        <v>22.07</v>
      </c>
      <c r="H109" s="0" t="n">
        <v>72.95999999999999</v>
      </c>
      <c r="I109" s="0" t="n">
        <v>15.89</v>
      </c>
      <c r="J109" s="0" t="n">
        <v>52.56</v>
      </c>
      <c r="K109" s="0" t="n">
        <v>6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72</v>
      </c>
      <c r="X109" s="0" t="n">
        <v>6</v>
      </c>
      <c r="Y109" s="0" t="n">
        <v>6</v>
      </c>
      <c r="Z109" s="0" t="inlineStr">
        <is>
          <t>https://new.land.naver.com/complexes/2562?tab=detail&amp;rf=Y</t>
        </is>
      </c>
      <c r="AA109" s="0" t="inlineStr">
        <is>
          <t>인천시 남동구 간석동 617-31</t>
        </is>
      </c>
      <c r="AB109" s="0" t="inlineStr">
        <is>
          <t>인천시</t>
        </is>
      </c>
      <c r="AC109" s="0" t="inlineStr">
        <is>
          <t>남동구</t>
        </is>
      </c>
      <c r="AD109" s="0" t="inlineStr">
        <is>
          <t>간석동</t>
        </is>
      </c>
      <c r="AG109" s="0" t="inlineStr">
        <is>
          <t>인천시 남동구 경원대로 950</t>
        </is>
      </c>
      <c r="AH109" s="0" t="n">
        <v>0</v>
      </c>
      <c r="AI109" s="0" t="n">
        <v>178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[간석동]</t>
        </is>
      </c>
      <c r="B110" s="0" t="n">
        <v>122114</v>
      </c>
      <c r="C110" s="0" t="n">
        <v>1</v>
      </c>
      <c r="D110" s="0" t="inlineStr">
        <is>
          <t>에이스타워</t>
        </is>
      </c>
      <c r="E110" s="0" t="inlineStr">
        <is>
          <t>2018.04.</t>
        </is>
      </c>
      <c r="F110" s="0" t="n">
        <v>9</v>
      </c>
      <c r="G110" s="0" t="n">
        <v>19.5</v>
      </c>
      <c r="H110" s="0" t="n">
        <v>64.48</v>
      </c>
      <c r="I110" s="0" t="n">
        <v>16.39</v>
      </c>
      <c r="J110" s="0" t="n">
        <v>54.21</v>
      </c>
      <c r="K110" s="0" t="n">
        <v>3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64A</t>
        </is>
      </c>
      <c r="X110" s="0" t="n">
        <v>12</v>
      </c>
      <c r="Y110" s="0" t="n">
        <v>12</v>
      </c>
      <c r="Z110" s="0" t="inlineStr">
        <is>
          <t>https://new.land.naver.com/complexes/122114?tab=detail&amp;rf=Y</t>
        </is>
      </c>
      <c r="AA110" s="0" t="inlineStr">
        <is>
          <t>인천시 남동구 간석동 315-2</t>
        </is>
      </c>
      <c r="AB110" s="0" t="inlineStr">
        <is>
          <t>인천시</t>
        </is>
      </c>
      <c r="AC110" s="0" t="inlineStr">
        <is>
          <t>남동구</t>
        </is>
      </c>
      <c r="AD110" s="0" t="inlineStr">
        <is>
          <t>간석동</t>
        </is>
      </c>
      <c r="AG110" s="0" t="inlineStr">
        <is>
          <t>인천시 남동구 남동대로915번길 30</t>
        </is>
      </c>
      <c r="AH110" s="0" t="n">
        <v>0</v>
      </c>
      <c r="AI110" s="0" t="n">
        <v>657</v>
      </c>
      <c r="AJ110" s="0" t="n">
        <v>75</v>
      </c>
      <c r="AK110" s="0" t="n">
        <v>9</v>
      </c>
      <c r="AL110" s="0" t="n">
        <v>1</v>
      </c>
    </row>
    <row r="111">
      <c r="A111" s="0" t="inlineStr">
        <is>
          <t>[간석동]</t>
        </is>
      </c>
      <c r="B111" s="0" t="n">
        <v>122114</v>
      </c>
      <c r="C111" s="0" t="n">
        <v>2</v>
      </c>
      <c r="D111" s="0" t="inlineStr">
        <is>
          <t>에이스타워</t>
        </is>
      </c>
      <c r="E111" s="0" t="inlineStr">
        <is>
          <t>2018.04.</t>
        </is>
      </c>
      <c r="F111" s="0" t="n">
        <v>9</v>
      </c>
      <c r="G111" s="0" t="n">
        <v>19.94</v>
      </c>
      <c r="H111" s="0" t="n">
        <v>65.95</v>
      </c>
      <c r="I111" s="0" t="n">
        <v>16.76</v>
      </c>
      <c r="J111" s="0" t="n">
        <v>55.41</v>
      </c>
      <c r="K111" s="0" t="n">
        <v>3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65B</t>
        </is>
      </c>
      <c r="X111" s="0" t="n">
        <v>12</v>
      </c>
      <c r="Y111" s="0" t="n">
        <v>12</v>
      </c>
      <c r="Z111" s="0" t="inlineStr">
        <is>
          <t>https://new.land.naver.com/complexes/122114?tab=detail&amp;rf=Y</t>
        </is>
      </c>
      <c r="AA111" s="0" t="inlineStr">
        <is>
          <t>인천시 남동구 간석동 315-2</t>
        </is>
      </c>
      <c r="AB111" s="0" t="inlineStr">
        <is>
          <t>인천시</t>
        </is>
      </c>
      <c r="AC111" s="0" t="inlineStr">
        <is>
          <t>남동구</t>
        </is>
      </c>
      <c r="AD111" s="0" t="inlineStr">
        <is>
          <t>간석동</t>
        </is>
      </c>
      <c r="AG111" s="0" t="inlineStr">
        <is>
          <t>인천시 남동구 남동대로915번길 30</t>
        </is>
      </c>
      <c r="AH111" s="0" t="n">
        <v>0</v>
      </c>
      <c r="AI111" s="0" t="n">
        <v>657</v>
      </c>
      <c r="AJ111" s="0" t="n">
        <v>75</v>
      </c>
      <c r="AK111" s="0" t="n">
        <v>9</v>
      </c>
      <c r="AL111" s="0" t="n">
        <v>1</v>
      </c>
    </row>
    <row r="112">
      <c r="A112" s="0" t="inlineStr">
        <is>
          <t>[간석동]</t>
        </is>
      </c>
      <c r="B112" s="0" t="n">
        <v>122114</v>
      </c>
      <c r="C112" s="0" t="n">
        <v>3</v>
      </c>
      <c r="D112" s="0" t="inlineStr">
        <is>
          <t>에이스타워</t>
        </is>
      </c>
      <c r="E112" s="0" t="inlineStr">
        <is>
          <t>2018.04.</t>
        </is>
      </c>
      <c r="F112" s="0" t="n">
        <v>9</v>
      </c>
      <c r="G112" s="0" t="n">
        <v>23.26</v>
      </c>
      <c r="H112" s="0" t="n">
        <v>76.92</v>
      </c>
      <c r="I112" s="0" t="n">
        <v>19.68</v>
      </c>
      <c r="J112" s="0" t="n">
        <v>65.06999999999999</v>
      </c>
      <c r="K112" s="0" t="n">
        <v>3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76</v>
      </c>
      <c r="X112" s="0" t="n">
        <v>12</v>
      </c>
      <c r="Y112" s="0" t="n">
        <v>12</v>
      </c>
      <c r="Z112" s="0" t="inlineStr">
        <is>
          <t>https://new.land.naver.com/complexes/122114?tab=detail&amp;rf=Y</t>
        </is>
      </c>
      <c r="AA112" s="0" t="inlineStr">
        <is>
          <t>인천시 남동구 간석동 315-2</t>
        </is>
      </c>
      <c r="AB112" s="0" t="inlineStr">
        <is>
          <t>인천시</t>
        </is>
      </c>
      <c r="AC112" s="0" t="inlineStr">
        <is>
          <t>남동구</t>
        </is>
      </c>
      <c r="AD112" s="0" t="inlineStr">
        <is>
          <t>간석동</t>
        </is>
      </c>
      <c r="AG112" s="0" t="inlineStr">
        <is>
          <t>인천시 남동구 남동대로915번길 30</t>
        </is>
      </c>
      <c r="AH112" s="0" t="n">
        <v>0</v>
      </c>
      <c r="AI112" s="0" t="n">
        <v>657</v>
      </c>
      <c r="AJ112" s="0" t="n">
        <v>75</v>
      </c>
      <c r="AK112" s="0" t="n">
        <v>9</v>
      </c>
      <c r="AL112" s="0" t="n">
        <v>1</v>
      </c>
    </row>
    <row r="113">
      <c r="A113" s="0" t="inlineStr">
        <is>
          <t>[간석동]</t>
        </is>
      </c>
      <c r="B113" s="0" t="n">
        <v>10233</v>
      </c>
      <c r="C113" s="0" t="n">
        <v>1</v>
      </c>
      <c r="D113" s="0" t="inlineStr">
        <is>
          <t>인향</t>
        </is>
      </c>
      <c r="E113" s="0" t="inlineStr">
        <is>
          <t>1986.12.</t>
        </is>
      </c>
      <c r="F113" s="0" t="n">
        <v>45</v>
      </c>
      <c r="G113" s="0" t="n">
        <v>16.04</v>
      </c>
      <c r="H113" s="0" t="n">
        <v>53.05</v>
      </c>
      <c r="I113" s="0" t="n">
        <v>11.39</v>
      </c>
      <c r="J113" s="0" t="n">
        <v>37.68</v>
      </c>
      <c r="K113" s="0" t="n">
        <v>10</v>
      </c>
      <c r="T113" s="0" t="n">
        <v>2</v>
      </c>
      <c r="U113" s="0" t="n">
        <v>1</v>
      </c>
      <c r="V113" s="0" t="inlineStr">
        <is>
          <t>복합식</t>
        </is>
      </c>
      <c r="W113" s="0" t="inlineStr">
        <is>
          <t>53B</t>
        </is>
      </c>
      <c r="X113" s="0" t="n">
        <v>5</v>
      </c>
      <c r="Y113" s="0" t="n">
        <v>5</v>
      </c>
      <c r="Z113" s="0" t="inlineStr">
        <is>
          <t>https://new.land.naver.com/complexes/10233?tab=detail&amp;rf=Y</t>
        </is>
      </c>
      <c r="AA113" s="0" t="inlineStr">
        <is>
          <t>인천시 남동구 간석동 191-1</t>
        </is>
      </c>
      <c r="AB113" s="0" t="inlineStr">
        <is>
          <t>인천시</t>
        </is>
      </c>
      <c r="AC113" s="0" t="inlineStr">
        <is>
          <t>남동구</t>
        </is>
      </c>
      <c r="AD113" s="0" t="inlineStr">
        <is>
          <t>간석동</t>
        </is>
      </c>
      <c r="AG113" s="0" t="inlineStr">
        <is>
          <t>인천시 남동구 석산로169번길 25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[간석동]</t>
        </is>
      </c>
      <c r="B114" s="0" t="n">
        <v>10233</v>
      </c>
      <c r="C114" s="0" t="n">
        <v>2</v>
      </c>
      <c r="D114" s="0" t="inlineStr">
        <is>
          <t>인향</t>
        </is>
      </c>
      <c r="E114" s="0" t="inlineStr">
        <is>
          <t>1986.12.</t>
        </is>
      </c>
      <c r="F114" s="0" t="n">
        <v>45</v>
      </c>
      <c r="G114" s="0" t="n">
        <v>16.35</v>
      </c>
      <c r="H114" s="0" t="n">
        <v>54.07</v>
      </c>
      <c r="I114" s="0" t="n">
        <v>11.24</v>
      </c>
      <c r="J114" s="0" t="n">
        <v>37.18</v>
      </c>
      <c r="K114" s="0" t="n">
        <v>5</v>
      </c>
      <c r="T114" s="0" t="n">
        <v>2</v>
      </c>
      <c r="U114" s="0" t="n">
        <v>1</v>
      </c>
      <c r="V114" s="0" t="inlineStr">
        <is>
          <t>복합식</t>
        </is>
      </c>
      <c r="W114" s="0" t="inlineStr">
        <is>
          <t>54A</t>
        </is>
      </c>
      <c r="X114" s="0" t="n">
        <v>5</v>
      </c>
      <c r="Y114" s="0" t="n">
        <v>5</v>
      </c>
      <c r="Z114" s="0" t="inlineStr">
        <is>
          <t>https://new.land.naver.com/complexes/10233?tab=detail&amp;rf=Y</t>
        </is>
      </c>
      <c r="AA114" s="0" t="inlineStr">
        <is>
          <t>인천시 남동구 간석동 191-1</t>
        </is>
      </c>
      <c r="AB114" s="0" t="inlineStr">
        <is>
          <t>인천시</t>
        </is>
      </c>
      <c r="AC114" s="0" t="inlineStr">
        <is>
          <t>남동구</t>
        </is>
      </c>
      <c r="AD114" s="0" t="inlineStr">
        <is>
          <t>간석동</t>
        </is>
      </c>
      <c r="AG114" s="0" t="inlineStr">
        <is>
          <t>인천시 남동구 석산로169번길 25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[간석동]</t>
        </is>
      </c>
      <c r="B115" s="0" t="n">
        <v>10233</v>
      </c>
      <c r="C115" s="0" t="n">
        <v>3</v>
      </c>
      <c r="D115" s="0" t="inlineStr">
        <is>
          <t>인향</t>
        </is>
      </c>
      <c r="E115" s="0" t="inlineStr">
        <is>
          <t>1986.12.</t>
        </is>
      </c>
      <c r="F115" s="0" t="n">
        <v>45</v>
      </c>
      <c r="G115" s="0" t="n">
        <v>17.32</v>
      </c>
      <c r="H115" s="0" t="n">
        <v>57.28</v>
      </c>
      <c r="I115" s="0" t="n">
        <v>12.01</v>
      </c>
      <c r="J115" s="0" t="n">
        <v>39.72</v>
      </c>
      <c r="K115" s="0" t="n">
        <v>20</v>
      </c>
      <c r="T115" s="0" t="n">
        <v>2</v>
      </c>
      <c r="U115" s="0" t="n">
        <v>1</v>
      </c>
      <c r="V115" s="0" t="inlineStr">
        <is>
          <t>복합식</t>
        </is>
      </c>
      <c r="W115" s="0" t="n">
        <v>57</v>
      </c>
      <c r="X115" s="0" t="n">
        <v>5</v>
      </c>
      <c r="Y115" s="0" t="n">
        <v>5</v>
      </c>
      <c r="Z115" s="0" t="inlineStr">
        <is>
          <t>https://new.land.naver.com/complexes/10233?tab=detail&amp;rf=Y</t>
        </is>
      </c>
      <c r="AA115" s="0" t="inlineStr">
        <is>
          <t>인천시 남동구 간석동 191-1</t>
        </is>
      </c>
      <c r="AB115" s="0" t="inlineStr">
        <is>
          <t>인천시</t>
        </is>
      </c>
      <c r="AC115" s="0" t="inlineStr">
        <is>
          <t>남동구</t>
        </is>
      </c>
      <c r="AD115" s="0" t="inlineStr">
        <is>
          <t>간석동</t>
        </is>
      </c>
      <c r="AG115" s="0" t="inlineStr">
        <is>
          <t>인천시 남동구 석산로169번길 25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[간석동]</t>
        </is>
      </c>
      <c r="B116" s="0" t="n">
        <v>10233</v>
      </c>
      <c r="C116" s="0" t="n">
        <v>4</v>
      </c>
      <c r="D116" s="0" t="inlineStr">
        <is>
          <t>인향</t>
        </is>
      </c>
      <c r="E116" s="0" t="inlineStr">
        <is>
          <t>1986.12.</t>
        </is>
      </c>
      <c r="F116" s="0" t="n">
        <v>45</v>
      </c>
      <c r="G116" s="0" t="n">
        <v>18.05</v>
      </c>
      <c r="H116" s="0" t="n">
        <v>59.7</v>
      </c>
      <c r="I116" s="0" t="n">
        <v>12.99</v>
      </c>
      <c r="J116" s="0" t="n">
        <v>42.96</v>
      </c>
      <c r="K116" s="0" t="n">
        <v>5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59</v>
      </c>
      <c r="X116" s="0" t="n">
        <v>5</v>
      </c>
      <c r="Y116" s="0" t="n">
        <v>5</v>
      </c>
      <c r="Z116" s="0" t="inlineStr">
        <is>
          <t>https://new.land.naver.com/complexes/10233?tab=detail&amp;rf=Y</t>
        </is>
      </c>
      <c r="AA116" s="0" t="inlineStr">
        <is>
          <t>인천시 남동구 간석동 191-1</t>
        </is>
      </c>
      <c r="AB116" s="0" t="inlineStr">
        <is>
          <t>인천시</t>
        </is>
      </c>
      <c r="AC116" s="0" t="inlineStr">
        <is>
          <t>남동구</t>
        </is>
      </c>
      <c r="AD116" s="0" t="inlineStr">
        <is>
          <t>간석동</t>
        </is>
      </c>
      <c r="AG116" s="0" t="inlineStr">
        <is>
          <t>인천시 남동구 석산로169번길 25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[간석동]</t>
        </is>
      </c>
      <c r="B117" s="0" t="n">
        <v>10233</v>
      </c>
      <c r="C117" s="0" t="n">
        <v>5</v>
      </c>
      <c r="D117" s="0" t="inlineStr">
        <is>
          <t>인향</t>
        </is>
      </c>
      <c r="E117" s="0" t="inlineStr">
        <is>
          <t>1986.12.</t>
        </is>
      </c>
      <c r="F117" s="0" t="n">
        <v>45</v>
      </c>
      <c r="G117" s="0" t="n">
        <v>19.01</v>
      </c>
      <c r="H117" s="0" t="n">
        <v>62.86</v>
      </c>
      <c r="I117" s="0" t="n">
        <v>13.75</v>
      </c>
      <c r="J117" s="0" t="n">
        <v>45.48</v>
      </c>
      <c r="K117" s="0" t="n">
        <v>5</v>
      </c>
      <c r="T117" s="0" t="n">
        <v>2</v>
      </c>
      <c r="U117" s="0" t="n">
        <v>1</v>
      </c>
      <c r="V117" s="0" t="inlineStr">
        <is>
          <t>계단식</t>
        </is>
      </c>
      <c r="W117" s="0" t="n">
        <v>62</v>
      </c>
      <c r="X117" s="0" t="n">
        <v>5</v>
      </c>
      <c r="Y117" s="0" t="n">
        <v>5</v>
      </c>
      <c r="Z117" s="0" t="inlineStr">
        <is>
          <t>https://new.land.naver.com/complexes/10233?tab=detail&amp;rf=Y</t>
        </is>
      </c>
      <c r="AA117" s="0" t="inlineStr">
        <is>
          <t>인천시 남동구 간석동 191-1</t>
        </is>
      </c>
      <c r="AB117" s="0" t="inlineStr">
        <is>
          <t>인천시</t>
        </is>
      </c>
      <c r="AC117" s="0" t="inlineStr">
        <is>
          <t>남동구</t>
        </is>
      </c>
      <c r="AD117" s="0" t="inlineStr">
        <is>
          <t>간석동</t>
        </is>
      </c>
      <c r="AG117" s="0" t="inlineStr">
        <is>
          <t>인천시 남동구 석산로169번길 25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[간석동]</t>
        </is>
      </c>
      <c r="B118" s="0" t="n">
        <v>117647</v>
      </c>
      <c r="C118" s="0" t="n">
        <v>1</v>
      </c>
      <c r="D118" s="0" t="inlineStr">
        <is>
          <t>솔리채(122-15)</t>
        </is>
      </c>
      <c r="E118" s="0" t="inlineStr">
        <is>
          <t>2017.02.</t>
        </is>
      </c>
      <c r="F118" s="0" t="n">
        <v>52</v>
      </c>
      <c r="G118" s="0" t="n">
        <v>19.09</v>
      </c>
      <c r="H118" s="0" t="n">
        <v>63.14</v>
      </c>
      <c r="I118" s="0" t="n">
        <v>14.94</v>
      </c>
      <c r="J118" s="0" t="n">
        <v>49.41</v>
      </c>
      <c r="K118" s="0" t="n">
        <v>13</v>
      </c>
      <c r="T118" s="0" t="n">
        <v>2</v>
      </c>
      <c r="U118" s="0" t="n">
        <v>1</v>
      </c>
      <c r="V118" s="0" t="inlineStr">
        <is>
          <t>계단식</t>
        </is>
      </c>
      <c r="W118" s="0" t="n">
        <v>63</v>
      </c>
      <c r="X118" s="0" t="n">
        <v>14</v>
      </c>
      <c r="Y118" s="0" t="n">
        <v>14</v>
      </c>
      <c r="Z118" s="0" t="inlineStr">
        <is>
          <t>https://new.land.naver.com/complexes/117647?tab=detail&amp;rf=Y</t>
        </is>
      </c>
      <c r="AA118" s="0" t="inlineStr">
        <is>
          <t>인천시 남동구 간석동 122-15</t>
        </is>
      </c>
      <c r="AB118" s="0" t="inlineStr">
        <is>
          <t>인천시</t>
        </is>
      </c>
      <c r="AC118" s="0" t="inlineStr">
        <is>
          <t>남동구</t>
        </is>
      </c>
      <c r="AD118" s="0" t="inlineStr">
        <is>
          <t>간석동</t>
        </is>
      </c>
      <c r="AG118" s="0" t="inlineStr">
        <is>
          <t>인천시 남동구 용천로153번길 20</t>
        </is>
      </c>
      <c r="AH118" s="0" t="n">
        <v>0</v>
      </c>
      <c r="AI118" s="0" t="n">
        <v>746</v>
      </c>
      <c r="AJ118" s="0" t="n">
        <v>66</v>
      </c>
      <c r="AK118" s="0" t="n">
        <v>42</v>
      </c>
      <c r="AL118" s="0" t="n">
        <v>0.8100000000000001</v>
      </c>
    </row>
    <row r="119">
      <c r="A119" s="0" t="inlineStr">
        <is>
          <t>[간석동]</t>
        </is>
      </c>
      <c r="B119" s="0" t="n">
        <v>117647</v>
      </c>
      <c r="C119" s="0" t="n">
        <v>2</v>
      </c>
      <c r="D119" s="0" t="inlineStr">
        <is>
          <t>솔리채(122-15)</t>
        </is>
      </c>
      <c r="E119" s="0" t="inlineStr">
        <is>
          <t>2017.02.</t>
        </is>
      </c>
      <c r="F119" s="0" t="n">
        <v>52</v>
      </c>
      <c r="G119" s="0" t="n">
        <v>22.06</v>
      </c>
      <c r="H119" s="0" t="n">
        <v>72.94</v>
      </c>
      <c r="I119" s="0" t="n">
        <v>17.67</v>
      </c>
      <c r="J119" s="0" t="n">
        <v>58.42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72</v>
      </c>
      <c r="X119" s="0" t="n">
        <v>14</v>
      </c>
      <c r="Y119" s="0" t="n">
        <v>14</v>
      </c>
      <c r="Z119" s="0" t="inlineStr">
        <is>
          <t>https://new.land.naver.com/complexes/117647?tab=detail&amp;rf=Y</t>
        </is>
      </c>
      <c r="AA119" s="0" t="inlineStr">
        <is>
          <t>인천시 남동구 간석동 122-15</t>
        </is>
      </c>
      <c r="AB119" s="0" t="inlineStr">
        <is>
          <t>인천시</t>
        </is>
      </c>
      <c r="AC119" s="0" t="inlineStr">
        <is>
          <t>남동구</t>
        </is>
      </c>
      <c r="AD119" s="0" t="inlineStr">
        <is>
          <t>간석동</t>
        </is>
      </c>
      <c r="AG119" s="0" t="inlineStr">
        <is>
          <t>인천시 남동구 용천로153번길 20</t>
        </is>
      </c>
      <c r="AH119" s="0" t="n">
        <v>0</v>
      </c>
      <c r="AI119" s="0" t="n">
        <v>746</v>
      </c>
      <c r="AJ119" s="0" t="n">
        <v>66</v>
      </c>
      <c r="AK119" s="0" t="n">
        <v>42</v>
      </c>
      <c r="AL119" s="0" t="n">
        <v>0.8100000000000001</v>
      </c>
    </row>
    <row r="120">
      <c r="A120" s="0" t="inlineStr">
        <is>
          <t>[간석동]</t>
        </is>
      </c>
      <c r="B120" s="0" t="n">
        <v>117647</v>
      </c>
      <c r="C120" s="0" t="n">
        <v>3</v>
      </c>
      <c r="D120" s="0" t="inlineStr">
        <is>
          <t>솔리채(122-15)</t>
        </is>
      </c>
      <c r="E120" s="0" t="inlineStr">
        <is>
          <t>2017.02.</t>
        </is>
      </c>
      <c r="F120" s="0" t="n">
        <v>52</v>
      </c>
      <c r="G120" s="0" t="n">
        <v>22.69</v>
      </c>
      <c r="H120" s="0" t="n">
        <v>75.04000000000001</v>
      </c>
      <c r="I120" s="0" t="n">
        <v>18.03</v>
      </c>
      <c r="J120" s="0" t="n">
        <v>59.62</v>
      </c>
      <c r="K120" s="0" t="n">
        <v>13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75A</t>
        </is>
      </c>
      <c r="X120" s="0" t="n">
        <v>14</v>
      </c>
      <c r="Y120" s="0" t="n">
        <v>14</v>
      </c>
      <c r="Z120" s="0" t="inlineStr">
        <is>
          <t>https://new.land.naver.com/complexes/117647?tab=detail&amp;rf=Y</t>
        </is>
      </c>
      <c r="AA120" s="0" t="inlineStr">
        <is>
          <t>인천시 남동구 간석동 122-15</t>
        </is>
      </c>
      <c r="AB120" s="0" t="inlineStr">
        <is>
          <t>인천시</t>
        </is>
      </c>
      <c r="AC120" s="0" t="inlineStr">
        <is>
          <t>남동구</t>
        </is>
      </c>
      <c r="AD120" s="0" t="inlineStr">
        <is>
          <t>간석동</t>
        </is>
      </c>
      <c r="AG120" s="0" t="inlineStr">
        <is>
          <t>인천시 남동구 용천로153번길 20</t>
        </is>
      </c>
      <c r="AH120" s="0" t="n">
        <v>0</v>
      </c>
      <c r="AI120" s="0" t="n">
        <v>746</v>
      </c>
      <c r="AJ120" s="0" t="n">
        <v>66</v>
      </c>
      <c r="AK120" s="0" t="n">
        <v>42</v>
      </c>
      <c r="AL120" s="0" t="n">
        <v>0.8100000000000001</v>
      </c>
    </row>
    <row r="121">
      <c r="A121" s="0" t="inlineStr">
        <is>
          <t>[간석동]</t>
        </is>
      </c>
      <c r="B121" s="0" t="n">
        <v>117647</v>
      </c>
      <c r="C121" s="0" t="n">
        <v>4</v>
      </c>
      <c r="D121" s="0" t="inlineStr">
        <is>
          <t>솔리채(122-15)</t>
        </is>
      </c>
      <c r="E121" s="0" t="inlineStr">
        <is>
          <t>2017.02.</t>
        </is>
      </c>
      <c r="F121" s="0" t="n">
        <v>52</v>
      </c>
      <c r="G121" s="0" t="n">
        <v>22.75</v>
      </c>
      <c r="H121" s="0" t="n">
        <v>75.20999999999999</v>
      </c>
      <c r="I121" s="0" t="n">
        <v>18.13</v>
      </c>
      <c r="J121" s="0" t="n">
        <v>59.95</v>
      </c>
      <c r="K121" s="0" t="n">
        <v>13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75B</t>
        </is>
      </c>
      <c r="X121" s="0" t="n">
        <v>14</v>
      </c>
      <c r="Y121" s="0" t="n">
        <v>14</v>
      </c>
      <c r="Z121" s="0" t="inlineStr">
        <is>
          <t>https://new.land.naver.com/complexes/117647?tab=detail&amp;rf=Y</t>
        </is>
      </c>
      <c r="AA121" s="0" t="inlineStr">
        <is>
          <t>인천시 남동구 간석동 122-15</t>
        </is>
      </c>
      <c r="AB121" s="0" t="inlineStr">
        <is>
          <t>인천시</t>
        </is>
      </c>
      <c r="AC121" s="0" t="inlineStr">
        <is>
          <t>남동구</t>
        </is>
      </c>
      <c r="AD121" s="0" t="inlineStr">
        <is>
          <t>간석동</t>
        </is>
      </c>
      <c r="AG121" s="0" t="inlineStr">
        <is>
          <t>인천시 남동구 용천로153번길 20</t>
        </is>
      </c>
      <c r="AH121" s="0" t="n">
        <v>0</v>
      </c>
      <c r="AI121" s="0" t="n">
        <v>746</v>
      </c>
      <c r="AJ121" s="0" t="n">
        <v>66</v>
      </c>
      <c r="AK121" s="0" t="n">
        <v>42</v>
      </c>
      <c r="AL121" s="0" t="n">
        <v>0.8100000000000001</v>
      </c>
    </row>
    <row r="122">
      <c r="A122" s="0" t="inlineStr">
        <is>
          <t>[간석동]</t>
        </is>
      </c>
      <c r="B122" s="0" t="n">
        <v>11369</v>
      </c>
      <c r="C122" s="0" t="n">
        <v>1</v>
      </c>
      <c r="D122" s="0" t="inlineStr">
        <is>
          <t>주원무지개</t>
        </is>
      </c>
      <c r="E122" s="0" t="inlineStr">
        <is>
          <t>1985.12.</t>
        </is>
      </c>
      <c r="F122" s="0" t="n">
        <v>35</v>
      </c>
      <c r="G122" s="0" t="n">
        <v>19.63</v>
      </c>
      <c r="H122" s="0" t="n">
        <v>64.91</v>
      </c>
      <c r="I122" s="0" t="n">
        <v>14.84</v>
      </c>
      <c r="J122" s="0" t="n">
        <v>49.06</v>
      </c>
      <c r="K122" s="0" t="n">
        <v>20</v>
      </c>
      <c r="T122" s="0" t="n">
        <v>2</v>
      </c>
      <c r="U122" s="0" t="n">
        <v>1</v>
      </c>
      <c r="V122" s="0" t="inlineStr">
        <is>
          <t>계단식</t>
        </is>
      </c>
      <c r="W122" s="0" t="inlineStr">
        <is>
          <t>64B</t>
        </is>
      </c>
      <c r="X122" s="0" t="n">
        <v>5</v>
      </c>
      <c r="Y122" s="0" t="n">
        <v>5</v>
      </c>
      <c r="Z122" s="0" t="inlineStr">
        <is>
          <t>https://new.land.naver.com/complexes/11369?tab=detail&amp;rf=Y</t>
        </is>
      </c>
      <c r="AA122" s="0" t="inlineStr">
        <is>
          <t>인천시 남동구 간석동 454</t>
        </is>
      </c>
      <c r="AB122" s="0" t="inlineStr">
        <is>
          <t>인천시</t>
        </is>
      </c>
      <c r="AC122" s="0" t="inlineStr">
        <is>
          <t>남동구</t>
        </is>
      </c>
      <c r="AD122" s="0" t="inlineStr">
        <is>
          <t>간석동</t>
        </is>
      </c>
      <c r="AG122" s="0" t="inlineStr">
        <is>
          <t>인천시 남동구 예술로 300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[간석동]</t>
        </is>
      </c>
      <c r="B123" s="0" t="n">
        <v>11369</v>
      </c>
      <c r="C123" s="0" t="n">
        <v>2</v>
      </c>
      <c r="D123" s="0" t="inlineStr">
        <is>
          <t>주원무지개</t>
        </is>
      </c>
      <c r="E123" s="0" t="inlineStr">
        <is>
          <t>1985.12.</t>
        </is>
      </c>
      <c r="F123" s="0" t="n">
        <v>35</v>
      </c>
      <c r="G123" s="0" t="n">
        <v>19.67</v>
      </c>
      <c r="H123" s="0" t="n">
        <v>65.03</v>
      </c>
      <c r="I123" s="0" t="n">
        <v>14.36</v>
      </c>
      <c r="J123" s="0" t="n">
        <v>47.5</v>
      </c>
      <c r="K123" s="0" t="n">
        <v>5</v>
      </c>
      <c r="T123" s="0" t="n">
        <v>2</v>
      </c>
      <c r="U123" s="0" t="n">
        <v>1</v>
      </c>
      <c r="V123" s="0" t="inlineStr">
        <is>
          <t>계단식</t>
        </is>
      </c>
      <c r="W123" s="0" t="inlineStr">
        <is>
          <t>65A</t>
        </is>
      </c>
      <c r="X123" s="0" t="n">
        <v>5</v>
      </c>
      <c r="Y123" s="0" t="n">
        <v>5</v>
      </c>
      <c r="Z123" s="0" t="inlineStr">
        <is>
          <t>https://new.land.naver.com/complexes/11369?tab=detail&amp;rf=Y</t>
        </is>
      </c>
      <c r="AA123" s="0" t="inlineStr">
        <is>
          <t>인천시 남동구 간석동 454</t>
        </is>
      </c>
      <c r="AB123" s="0" t="inlineStr">
        <is>
          <t>인천시</t>
        </is>
      </c>
      <c r="AC123" s="0" t="inlineStr">
        <is>
          <t>남동구</t>
        </is>
      </c>
      <c r="AD123" s="0" t="inlineStr">
        <is>
          <t>간석동</t>
        </is>
      </c>
      <c r="AG123" s="0" t="inlineStr">
        <is>
          <t>인천시 남동구 예술로 300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[간석동]</t>
        </is>
      </c>
      <c r="B124" s="0" t="n">
        <v>11369</v>
      </c>
      <c r="C124" s="0" t="n">
        <v>3</v>
      </c>
      <c r="D124" s="0" t="inlineStr">
        <is>
          <t>주원무지개</t>
        </is>
      </c>
      <c r="E124" s="0" t="inlineStr">
        <is>
          <t>1985.12.</t>
        </is>
      </c>
      <c r="F124" s="0" t="n">
        <v>35</v>
      </c>
      <c r="G124" s="0" t="n">
        <v>22.37</v>
      </c>
      <c r="H124" s="0" t="n">
        <v>73.95999999999999</v>
      </c>
      <c r="I124" s="0" t="n">
        <v>16.63</v>
      </c>
      <c r="J124" s="0" t="n">
        <v>54.99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inlineStr">
        <is>
          <t>73A</t>
        </is>
      </c>
      <c r="X124" s="0" t="n">
        <v>5</v>
      </c>
      <c r="Y124" s="0" t="n">
        <v>5</v>
      </c>
      <c r="Z124" s="0" t="inlineStr">
        <is>
          <t>https://new.land.naver.com/complexes/11369?tab=detail&amp;rf=Y</t>
        </is>
      </c>
      <c r="AA124" s="0" t="inlineStr">
        <is>
          <t>인천시 남동구 간석동 454</t>
        </is>
      </c>
      <c r="AB124" s="0" t="inlineStr">
        <is>
          <t>인천시</t>
        </is>
      </c>
      <c r="AC124" s="0" t="inlineStr">
        <is>
          <t>남동구</t>
        </is>
      </c>
      <c r="AD124" s="0" t="inlineStr">
        <is>
          <t>간석동</t>
        </is>
      </c>
      <c r="AG124" s="0" t="inlineStr">
        <is>
          <t>인천시 남동구 예술로 300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[간석동]</t>
        </is>
      </c>
      <c r="B125" s="0" t="n">
        <v>11369</v>
      </c>
      <c r="C125" s="0" t="n">
        <v>4</v>
      </c>
      <c r="D125" s="0" t="inlineStr">
        <is>
          <t>주원무지개</t>
        </is>
      </c>
      <c r="E125" s="0" t="inlineStr">
        <is>
          <t>1985.12.</t>
        </is>
      </c>
      <c r="F125" s="0" t="n">
        <v>35</v>
      </c>
      <c r="G125" s="0" t="n">
        <v>22.37</v>
      </c>
      <c r="H125" s="0" t="n">
        <v>73.98</v>
      </c>
      <c r="I125" s="0" t="n">
        <v>16.64</v>
      </c>
      <c r="J125" s="0" t="n">
        <v>55.01</v>
      </c>
      <c r="K125" s="0" t="n">
        <v>5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73B</t>
        </is>
      </c>
      <c r="X125" s="0" t="n">
        <v>5</v>
      </c>
      <c r="Y125" s="0" t="n">
        <v>5</v>
      </c>
      <c r="Z125" s="0" t="inlineStr">
        <is>
          <t>https://new.land.naver.com/complexes/11369?tab=detail&amp;rf=Y</t>
        </is>
      </c>
      <c r="AA125" s="0" t="inlineStr">
        <is>
          <t>인천시 남동구 간석동 454</t>
        </is>
      </c>
      <c r="AB125" s="0" t="inlineStr">
        <is>
          <t>인천시</t>
        </is>
      </c>
      <c r="AC125" s="0" t="inlineStr">
        <is>
          <t>남동구</t>
        </is>
      </c>
      <c r="AD125" s="0" t="inlineStr">
        <is>
          <t>간석동</t>
        </is>
      </c>
      <c r="AG125" s="0" t="inlineStr">
        <is>
          <t>인천시 남동구 예술로 300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[간석동]</t>
        </is>
      </c>
      <c r="B126" s="0" t="n">
        <v>114362</v>
      </c>
      <c r="C126" s="0" t="n">
        <v>1</v>
      </c>
      <c r="D126" s="0" t="inlineStr">
        <is>
          <t>헤이미쉬2차</t>
        </is>
      </c>
      <c r="E126" s="0" t="inlineStr">
        <is>
          <t>2016.11.</t>
        </is>
      </c>
      <c r="F126" s="0" t="n">
        <v>9</v>
      </c>
      <c r="G126" s="0" t="n">
        <v>19.26</v>
      </c>
      <c r="H126" s="0" t="n">
        <v>63.69</v>
      </c>
      <c r="I126" s="0" t="n">
        <v>16.33</v>
      </c>
      <c r="J126" s="0" t="n">
        <v>54</v>
      </c>
      <c r="K126" s="0" t="n">
        <v>3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63</v>
      </c>
      <c r="X126" s="0" t="n">
        <v>4</v>
      </c>
      <c r="Y126" s="0" t="n">
        <v>4</v>
      </c>
      <c r="Z126" s="0" t="inlineStr">
        <is>
          <t>https://new.land.naver.com/complexes/114362?tab=detail&amp;rf=Y</t>
        </is>
      </c>
      <c r="AA126" s="0" t="inlineStr">
        <is>
          <t>인천시 남동구 간석동 111-13</t>
        </is>
      </c>
      <c r="AB126" s="0" t="inlineStr">
        <is>
          <t>인천시</t>
        </is>
      </c>
      <c r="AC126" s="0" t="inlineStr">
        <is>
          <t>남동구</t>
        </is>
      </c>
      <c r="AD126" s="0" t="inlineStr">
        <is>
          <t>간석동</t>
        </is>
      </c>
      <c r="AG126" s="0" t="inlineStr">
        <is>
          <t>인천시 남동구 경인로644번길 20</t>
        </is>
      </c>
      <c r="AH126" s="0" t="n">
        <v>0</v>
      </c>
      <c r="AI126" s="0" t="n">
        <v>825</v>
      </c>
      <c r="AJ126" s="0" t="n">
        <v>78</v>
      </c>
      <c r="AK126" s="0" t="n">
        <v>9</v>
      </c>
      <c r="AL126" s="0" t="n">
        <v>1</v>
      </c>
    </row>
    <row r="127">
      <c r="A127" s="0" t="inlineStr">
        <is>
          <t>[간석동]</t>
        </is>
      </c>
      <c r="B127" s="0" t="n">
        <v>114362</v>
      </c>
      <c r="C127" s="0" t="n">
        <v>2</v>
      </c>
      <c r="D127" s="0" t="inlineStr">
        <is>
          <t>헤이미쉬2차</t>
        </is>
      </c>
      <c r="E127" s="0" t="inlineStr">
        <is>
          <t>2016.11.</t>
        </is>
      </c>
      <c r="F127" s="0" t="n">
        <v>9</v>
      </c>
      <c r="G127" s="0" t="n">
        <v>22.2</v>
      </c>
      <c r="H127" s="0" t="n">
        <v>73.39</v>
      </c>
      <c r="I127" s="0" t="n">
        <v>18.9</v>
      </c>
      <c r="J127" s="0" t="n">
        <v>62.5</v>
      </c>
      <c r="K127" s="0" t="n">
        <v>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73</v>
      </c>
      <c r="X127" s="0" t="n">
        <v>4</v>
      </c>
      <c r="Y127" s="0" t="n">
        <v>4</v>
      </c>
      <c r="Z127" s="0" t="inlineStr">
        <is>
          <t>https://new.land.naver.com/complexes/114362?tab=detail&amp;rf=Y</t>
        </is>
      </c>
      <c r="AA127" s="0" t="inlineStr">
        <is>
          <t>인천시 남동구 간석동 111-13</t>
        </is>
      </c>
      <c r="AB127" s="0" t="inlineStr">
        <is>
          <t>인천시</t>
        </is>
      </c>
      <c r="AC127" s="0" t="inlineStr">
        <is>
          <t>남동구</t>
        </is>
      </c>
      <c r="AD127" s="0" t="inlineStr">
        <is>
          <t>간석동</t>
        </is>
      </c>
      <c r="AG127" s="0" t="inlineStr">
        <is>
          <t>인천시 남동구 경인로644번길 20</t>
        </is>
      </c>
      <c r="AH127" s="0" t="n">
        <v>0</v>
      </c>
      <c r="AI127" s="0" t="n">
        <v>825</v>
      </c>
      <c r="AJ127" s="0" t="n">
        <v>78</v>
      </c>
      <c r="AK127" s="0" t="n">
        <v>9</v>
      </c>
      <c r="AL127" s="0" t="n">
        <v>1</v>
      </c>
    </row>
    <row r="128">
      <c r="A128" s="0" t="inlineStr">
        <is>
          <t>[간석동]</t>
        </is>
      </c>
      <c r="B128" s="0" t="n">
        <v>114362</v>
      </c>
      <c r="C128" s="0" t="n">
        <v>3</v>
      </c>
      <c r="D128" s="0" t="inlineStr">
        <is>
          <t>헤이미쉬2차</t>
        </is>
      </c>
      <c r="E128" s="0" t="inlineStr">
        <is>
          <t>2016.11.</t>
        </is>
      </c>
      <c r="F128" s="0" t="n">
        <v>9</v>
      </c>
      <c r="G128" s="0" t="n">
        <v>24</v>
      </c>
      <c r="H128" s="0" t="n">
        <v>79.34999999999999</v>
      </c>
      <c r="I128" s="0" t="n">
        <v>20.21</v>
      </c>
      <c r="J128" s="0" t="n">
        <v>66.84</v>
      </c>
      <c r="K128" s="0" t="n">
        <v>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79</v>
      </c>
      <c r="X128" s="0" t="n">
        <v>4</v>
      </c>
      <c r="Y128" s="0" t="n">
        <v>4</v>
      </c>
      <c r="Z128" s="0" t="inlineStr">
        <is>
          <t>https://new.land.naver.com/complexes/114362?tab=detail&amp;rf=Y</t>
        </is>
      </c>
      <c r="AA128" s="0" t="inlineStr">
        <is>
          <t>인천시 남동구 간석동 111-13</t>
        </is>
      </c>
      <c r="AB128" s="0" t="inlineStr">
        <is>
          <t>인천시</t>
        </is>
      </c>
      <c r="AC128" s="0" t="inlineStr">
        <is>
          <t>남동구</t>
        </is>
      </c>
      <c r="AD128" s="0" t="inlineStr">
        <is>
          <t>간석동</t>
        </is>
      </c>
      <c r="AG128" s="0" t="inlineStr">
        <is>
          <t>인천시 남동구 경인로644번길 20</t>
        </is>
      </c>
      <c r="AH128" s="0" t="n">
        <v>0</v>
      </c>
      <c r="AI128" s="0" t="n">
        <v>825</v>
      </c>
      <c r="AJ128" s="0" t="n">
        <v>78</v>
      </c>
      <c r="AK128" s="0" t="n">
        <v>9</v>
      </c>
      <c r="AL128" s="0" t="n">
        <v>1</v>
      </c>
    </row>
    <row r="129">
      <c r="A129" s="0" t="inlineStr">
        <is>
          <t>[간석동]</t>
        </is>
      </c>
      <c r="B129" s="0" t="n">
        <v>2557</v>
      </c>
      <c r="C129" s="0" t="n">
        <v>1</v>
      </c>
      <c r="D129" s="0" t="inlineStr">
        <is>
          <t>우신</t>
        </is>
      </c>
      <c r="E129" s="0" t="inlineStr">
        <is>
          <t>1981.11.</t>
        </is>
      </c>
      <c r="F129" s="0" t="n">
        <v>81</v>
      </c>
      <c r="G129" s="0" t="n">
        <v>17.1</v>
      </c>
      <c r="H129" s="0" t="n">
        <v>56.55</v>
      </c>
      <c r="I129" s="0" t="n">
        <v>13.75</v>
      </c>
      <c r="J129" s="0" t="n">
        <v>45.48</v>
      </c>
      <c r="K129" s="0" t="n">
        <v>20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56</v>
      </c>
      <c r="X129" s="0" t="n">
        <v>5</v>
      </c>
      <c r="Y129" s="0" t="n">
        <v>2</v>
      </c>
      <c r="Z129" s="0" t="inlineStr">
        <is>
          <t>https://new.land.naver.com/complexes/2557?tab=detail&amp;rf=Y</t>
        </is>
      </c>
      <c r="AA129" s="0" t="inlineStr">
        <is>
          <t>인천시 남동구 간석동 159-3</t>
        </is>
      </c>
      <c r="AB129" s="0" t="inlineStr">
        <is>
          <t>인천시</t>
        </is>
      </c>
      <c r="AC129" s="0" t="inlineStr">
        <is>
          <t>남동구</t>
        </is>
      </c>
      <c r="AD129" s="0" t="inlineStr">
        <is>
          <t>간석동</t>
        </is>
      </c>
      <c r="AG129" s="0" t="inlineStr">
        <is>
          <t>인천시 남동구 석촌로20번길 31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[간석동]</t>
        </is>
      </c>
      <c r="B130" s="0" t="n">
        <v>2557</v>
      </c>
      <c r="C130" s="0" t="n">
        <v>2</v>
      </c>
      <c r="D130" s="0" t="inlineStr">
        <is>
          <t>우신</t>
        </is>
      </c>
      <c r="E130" s="0" t="inlineStr">
        <is>
          <t>1981.11.</t>
        </is>
      </c>
      <c r="F130" s="0" t="n">
        <v>81</v>
      </c>
      <c r="G130" s="0" t="n">
        <v>18.51</v>
      </c>
      <c r="H130" s="0" t="n">
        <v>61.2</v>
      </c>
      <c r="I130" s="0" t="n">
        <v>15.4</v>
      </c>
      <c r="J130" s="0" t="n">
        <v>50.94</v>
      </c>
      <c r="K130" s="0" t="n">
        <v>40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61</v>
      </c>
      <c r="X130" s="0" t="n">
        <v>5</v>
      </c>
      <c r="Y130" s="0" t="n">
        <v>2</v>
      </c>
      <c r="Z130" s="0" t="inlineStr">
        <is>
          <t>https://new.land.naver.com/complexes/2557?tab=detail&amp;rf=Y</t>
        </is>
      </c>
      <c r="AA130" s="0" t="inlineStr">
        <is>
          <t>인천시 남동구 간석동 159-3</t>
        </is>
      </c>
      <c r="AB130" s="0" t="inlineStr">
        <is>
          <t>인천시</t>
        </is>
      </c>
      <c r="AC130" s="0" t="inlineStr">
        <is>
          <t>남동구</t>
        </is>
      </c>
      <c r="AD130" s="0" t="inlineStr">
        <is>
          <t>간석동</t>
        </is>
      </c>
      <c r="AG130" s="0" t="inlineStr">
        <is>
          <t>인천시 남동구 석촌로20번길 31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[간석동]</t>
        </is>
      </c>
      <c r="B131" s="0" t="n">
        <v>2557</v>
      </c>
      <c r="C131" s="0" t="n">
        <v>3</v>
      </c>
      <c r="D131" s="0" t="inlineStr">
        <is>
          <t>우신</t>
        </is>
      </c>
      <c r="E131" s="0" t="inlineStr">
        <is>
          <t>1981.11.</t>
        </is>
      </c>
      <c r="F131" s="0" t="n">
        <v>81</v>
      </c>
      <c r="G131" s="0" t="n">
        <v>24.1</v>
      </c>
      <c r="H131" s="0" t="n">
        <v>79.67</v>
      </c>
      <c r="I131" s="0" t="n">
        <v>19.95</v>
      </c>
      <c r="J131" s="0" t="n">
        <v>65.97</v>
      </c>
      <c r="K131" s="0" t="n">
        <v>20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79</v>
      </c>
      <c r="X131" s="0" t="n">
        <v>5</v>
      </c>
      <c r="Y131" s="0" t="n">
        <v>2</v>
      </c>
      <c r="Z131" s="0" t="inlineStr">
        <is>
          <t>https://new.land.naver.com/complexes/2557?tab=detail&amp;rf=Y</t>
        </is>
      </c>
      <c r="AA131" s="0" t="inlineStr">
        <is>
          <t>인천시 남동구 간석동 159-3</t>
        </is>
      </c>
      <c r="AB131" s="0" t="inlineStr">
        <is>
          <t>인천시</t>
        </is>
      </c>
      <c r="AC131" s="0" t="inlineStr">
        <is>
          <t>남동구</t>
        </is>
      </c>
      <c r="AD131" s="0" t="inlineStr">
        <is>
          <t>간석동</t>
        </is>
      </c>
      <c r="AG131" s="0" t="inlineStr">
        <is>
          <t>인천시 남동구 석촌로20번길 31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[간석동]</t>
        </is>
      </c>
      <c r="B132" s="0" t="n">
        <v>2557</v>
      </c>
      <c r="C132" s="0" t="n">
        <v>4</v>
      </c>
      <c r="D132" s="0" t="inlineStr">
        <is>
          <t>우신</t>
        </is>
      </c>
      <c r="E132" s="0" t="inlineStr">
        <is>
          <t>1981.11.</t>
        </is>
      </c>
      <c r="F132" s="0" t="n">
        <v>81</v>
      </c>
      <c r="G132" s="0" t="n">
        <v>26.15</v>
      </c>
      <c r="H132" s="0" t="n">
        <v>86.45999999999999</v>
      </c>
      <c r="I132" s="0" t="n">
        <v>18.29</v>
      </c>
      <c r="J132" s="0" t="n">
        <v>60.48</v>
      </c>
      <c r="K132" s="0" t="n">
        <v>1</v>
      </c>
      <c r="T132" s="0" t="n">
        <v>3</v>
      </c>
      <c r="U132" s="0" t="n">
        <v>2</v>
      </c>
      <c r="V132" s="0" t="inlineStr">
        <is>
          <t>복합식</t>
        </is>
      </c>
      <c r="W132" s="0" t="n">
        <v>86</v>
      </c>
      <c r="X132" s="0" t="n">
        <v>5</v>
      </c>
      <c r="Y132" s="0" t="n">
        <v>2</v>
      </c>
      <c r="Z132" s="0" t="inlineStr">
        <is>
          <t>https://new.land.naver.com/complexes/2557?tab=detail&amp;rf=Y</t>
        </is>
      </c>
      <c r="AA132" s="0" t="inlineStr">
        <is>
          <t>인천시 남동구 간석동 159-3</t>
        </is>
      </c>
      <c r="AB132" s="0" t="inlineStr">
        <is>
          <t>인천시</t>
        </is>
      </c>
      <c r="AC132" s="0" t="inlineStr">
        <is>
          <t>남동구</t>
        </is>
      </c>
      <c r="AD132" s="0" t="inlineStr">
        <is>
          <t>간석동</t>
        </is>
      </c>
      <c r="AG132" s="0" t="inlineStr">
        <is>
          <t>인천시 남동구 석촌로20번길 31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[간석동]</t>
        </is>
      </c>
      <c r="B133" s="0" t="n">
        <v>129227</v>
      </c>
      <c r="C133" s="0" t="n">
        <v>1</v>
      </c>
      <c r="D133" s="0" t="inlineStr">
        <is>
          <t>대준블루인</t>
        </is>
      </c>
      <c r="E133" s="0" t="inlineStr">
        <is>
          <t>2019.09.</t>
        </is>
      </c>
      <c r="F133" s="0" t="n">
        <v>39</v>
      </c>
      <c r="G133" s="0" t="n">
        <v>20.47</v>
      </c>
      <c r="H133" s="0" t="n">
        <v>67.68000000000001</v>
      </c>
      <c r="I133" s="0" t="n">
        <v>16.11</v>
      </c>
      <c r="J133" s="0" t="n">
        <v>53.27</v>
      </c>
      <c r="K133" s="0" t="n">
        <v>13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67</v>
      </c>
      <c r="X133" s="0" t="n">
        <v>14</v>
      </c>
      <c r="Y133" s="0" t="n">
        <v>14</v>
      </c>
      <c r="Z133" s="0" t="inlineStr">
        <is>
          <t>https://new.land.naver.com/complexes/129227?tab=detail&amp;rf=Y</t>
        </is>
      </c>
      <c r="AA133" s="0" t="inlineStr">
        <is>
          <t>인천시 남동구 간석동 123-19</t>
        </is>
      </c>
      <c r="AB133" s="0" t="inlineStr">
        <is>
          <t>인천시</t>
        </is>
      </c>
      <c r="AC133" s="0" t="inlineStr">
        <is>
          <t>남동구</t>
        </is>
      </c>
      <c r="AD133" s="0" t="inlineStr">
        <is>
          <t>간석동</t>
        </is>
      </c>
      <c r="AG133" s="0" t="inlineStr">
        <is>
          <t>인천시 남동구 용천로153번길 30</t>
        </is>
      </c>
      <c r="AH133" s="0" t="n">
        <v>0</v>
      </c>
      <c r="AI133" s="0" t="n">
        <v>799</v>
      </c>
      <c r="AJ133" s="0" t="n">
        <v>78</v>
      </c>
      <c r="AK133" s="0" t="n">
        <v>40</v>
      </c>
      <c r="AL133" s="0" t="n">
        <v>1.03</v>
      </c>
    </row>
    <row r="134">
      <c r="A134" s="0" t="inlineStr">
        <is>
          <t>[간석동]</t>
        </is>
      </c>
      <c r="B134" s="0" t="n">
        <v>129227</v>
      </c>
      <c r="C134" s="0" t="n">
        <v>2</v>
      </c>
      <c r="D134" s="0" t="inlineStr">
        <is>
          <t>대준블루인</t>
        </is>
      </c>
      <c r="E134" s="0" t="inlineStr">
        <is>
          <t>2019.09.</t>
        </is>
      </c>
      <c r="F134" s="0" t="n">
        <v>39</v>
      </c>
      <c r="G134" s="0" t="n">
        <v>21.09</v>
      </c>
      <c r="H134" s="0" t="n">
        <v>69.73</v>
      </c>
      <c r="I134" s="0" t="n">
        <v>16.54</v>
      </c>
      <c r="J134" s="0" t="n">
        <v>54.7</v>
      </c>
      <c r="K134" s="0" t="n">
        <v>13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69</v>
      </c>
      <c r="X134" s="0" t="n">
        <v>14</v>
      </c>
      <c r="Y134" s="0" t="n">
        <v>14</v>
      </c>
      <c r="Z134" s="0" t="inlineStr">
        <is>
          <t>https://new.land.naver.com/complexes/129227?tab=detail&amp;rf=Y</t>
        </is>
      </c>
      <c r="AA134" s="0" t="inlineStr">
        <is>
          <t>인천시 남동구 간석동 123-19</t>
        </is>
      </c>
      <c r="AB134" s="0" t="inlineStr">
        <is>
          <t>인천시</t>
        </is>
      </c>
      <c r="AC134" s="0" t="inlineStr">
        <is>
          <t>남동구</t>
        </is>
      </c>
      <c r="AD134" s="0" t="inlineStr">
        <is>
          <t>간석동</t>
        </is>
      </c>
      <c r="AG134" s="0" t="inlineStr">
        <is>
          <t>인천시 남동구 용천로153번길 30</t>
        </is>
      </c>
      <c r="AH134" s="0" t="n">
        <v>0</v>
      </c>
      <c r="AI134" s="0" t="n">
        <v>799</v>
      </c>
      <c r="AJ134" s="0" t="n">
        <v>78</v>
      </c>
      <c r="AK134" s="0" t="n">
        <v>40</v>
      </c>
      <c r="AL134" s="0" t="n">
        <v>1.03</v>
      </c>
    </row>
    <row r="135">
      <c r="A135" s="0" t="inlineStr">
        <is>
          <t>[간석동]</t>
        </is>
      </c>
      <c r="B135" s="0" t="n">
        <v>129227</v>
      </c>
      <c r="C135" s="0" t="n">
        <v>3</v>
      </c>
      <c r="D135" s="0" t="inlineStr">
        <is>
          <t>대준블루인</t>
        </is>
      </c>
      <c r="E135" s="0" t="inlineStr">
        <is>
          <t>2019.09.</t>
        </is>
      </c>
      <c r="F135" s="0" t="n">
        <v>39</v>
      </c>
      <c r="G135" s="0" t="n">
        <v>27.09</v>
      </c>
      <c r="H135" s="0" t="n">
        <v>89.56</v>
      </c>
      <c r="I135" s="0" t="n">
        <v>21.49</v>
      </c>
      <c r="J135" s="0" t="n">
        <v>71.05</v>
      </c>
      <c r="K135" s="0" t="n">
        <v>13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89</v>
      </c>
      <c r="X135" s="0" t="n">
        <v>14</v>
      </c>
      <c r="Y135" s="0" t="n">
        <v>14</v>
      </c>
      <c r="Z135" s="0" t="inlineStr">
        <is>
          <t>https://new.land.naver.com/complexes/129227?tab=detail&amp;rf=Y</t>
        </is>
      </c>
      <c r="AA135" s="0" t="inlineStr">
        <is>
          <t>인천시 남동구 간석동 123-19</t>
        </is>
      </c>
      <c r="AB135" s="0" t="inlineStr">
        <is>
          <t>인천시</t>
        </is>
      </c>
      <c r="AC135" s="0" t="inlineStr">
        <is>
          <t>남동구</t>
        </is>
      </c>
      <c r="AD135" s="0" t="inlineStr">
        <is>
          <t>간석동</t>
        </is>
      </c>
      <c r="AG135" s="0" t="inlineStr">
        <is>
          <t>인천시 남동구 용천로153번길 30</t>
        </is>
      </c>
      <c r="AH135" s="0" t="n">
        <v>0</v>
      </c>
      <c r="AI135" s="0" t="n">
        <v>799</v>
      </c>
      <c r="AJ135" s="0" t="n">
        <v>78</v>
      </c>
      <c r="AK135" s="0" t="n">
        <v>40</v>
      </c>
      <c r="AL135" s="0" t="n">
        <v>1.03</v>
      </c>
    </row>
    <row r="136">
      <c r="A136" s="0" t="inlineStr">
        <is>
          <t>[간석동]</t>
        </is>
      </c>
      <c r="B136" s="0" t="n">
        <v>10029</v>
      </c>
      <c r="C136" s="0" t="n">
        <v>1</v>
      </c>
      <c r="D136" s="0" t="inlineStr">
        <is>
          <t>효성탑스</t>
        </is>
      </c>
      <c r="E136" s="0" t="inlineStr">
        <is>
          <t>2001.03.</t>
        </is>
      </c>
      <c r="F136" s="0" t="n">
        <v>17</v>
      </c>
      <c r="G136" s="0" t="n">
        <v>10.31</v>
      </c>
      <c r="H136" s="0" t="n">
        <v>34.09</v>
      </c>
      <c r="I136" s="0" t="n">
        <v>9.119999999999999</v>
      </c>
      <c r="J136" s="0" t="n">
        <v>30.18</v>
      </c>
      <c r="K136" s="0" t="n">
        <v>1</v>
      </c>
      <c r="T136" s="0" t="n">
        <v>2</v>
      </c>
      <c r="U136" s="0" t="n">
        <v>1</v>
      </c>
      <c r="V136" s="0" t="inlineStr">
        <is>
          <t>복합식</t>
        </is>
      </c>
      <c r="W136" s="0" t="n">
        <v>34</v>
      </c>
      <c r="X136" s="0" t="n">
        <v>6</v>
      </c>
      <c r="Y136" s="0" t="n">
        <v>5</v>
      </c>
      <c r="Z136" s="0" t="inlineStr">
        <is>
          <t>https://new.land.naver.com/complexes/10029?tab=detail&amp;rf=Y</t>
        </is>
      </c>
      <c r="AA136" s="0" t="inlineStr">
        <is>
          <t>인천시 남동구 간석동 110-2</t>
        </is>
      </c>
      <c r="AB136" s="0" t="inlineStr">
        <is>
          <t>인천시</t>
        </is>
      </c>
      <c r="AC136" s="0" t="inlineStr">
        <is>
          <t>남동구</t>
        </is>
      </c>
      <c r="AD136" s="0" t="inlineStr">
        <is>
          <t>간석동</t>
        </is>
      </c>
      <c r="AG136" s="0" t="inlineStr">
        <is>
          <t>인천시 남동구 경인로644번길 8</t>
        </is>
      </c>
      <c r="AH136" s="0" t="n">
        <v>0</v>
      </c>
      <c r="AI136" s="0" t="n">
        <v>359</v>
      </c>
      <c r="AJ136" s="0" t="n">
        <v>71</v>
      </c>
      <c r="AK136" s="0" t="n">
        <v>5</v>
      </c>
      <c r="AL136" s="0" t="n">
        <v>0.29</v>
      </c>
    </row>
    <row r="137">
      <c r="A137" s="0" t="inlineStr">
        <is>
          <t>[간석동]</t>
        </is>
      </c>
      <c r="B137" s="0" t="n">
        <v>10029</v>
      </c>
      <c r="C137" s="0" t="n">
        <v>2</v>
      </c>
      <c r="D137" s="0" t="inlineStr">
        <is>
          <t>효성탑스</t>
        </is>
      </c>
      <c r="E137" s="0" t="inlineStr">
        <is>
          <t>2001.03.</t>
        </is>
      </c>
      <c r="F137" s="0" t="n">
        <v>17</v>
      </c>
      <c r="G137" s="0" t="n">
        <v>10.93</v>
      </c>
      <c r="H137" s="0" t="n">
        <v>36.15</v>
      </c>
      <c r="I137" s="0" t="n">
        <v>9.67</v>
      </c>
      <c r="J137" s="0" t="n">
        <v>31.98</v>
      </c>
      <c r="K137" s="0" t="n">
        <v>1</v>
      </c>
      <c r="T137" s="0" t="n">
        <v>2</v>
      </c>
      <c r="U137" s="0" t="n">
        <v>1</v>
      </c>
      <c r="V137" s="0" t="inlineStr">
        <is>
          <t>복합식</t>
        </is>
      </c>
      <c r="W137" s="0" t="n">
        <v>36</v>
      </c>
      <c r="X137" s="0" t="n">
        <v>6</v>
      </c>
      <c r="Y137" s="0" t="n">
        <v>5</v>
      </c>
      <c r="Z137" s="0" t="inlineStr">
        <is>
          <t>https://new.land.naver.com/complexes/10029?tab=detail&amp;rf=Y</t>
        </is>
      </c>
      <c r="AA137" s="0" t="inlineStr">
        <is>
          <t>인천시 남동구 간석동 110-2</t>
        </is>
      </c>
      <c r="AB137" s="0" t="inlineStr">
        <is>
          <t>인천시</t>
        </is>
      </c>
      <c r="AC137" s="0" t="inlineStr">
        <is>
          <t>남동구</t>
        </is>
      </c>
      <c r="AD137" s="0" t="inlineStr">
        <is>
          <t>간석동</t>
        </is>
      </c>
      <c r="AG137" s="0" t="inlineStr">
        <is>
          <t>인천시 남동구 경인로644번길 8</t>
        </is>
      </c>
      <c r="AH137" s="0" t="n">
        <v>0</v>
      </c>
      <c r="AI137" s="0" t="n">
        <v>359</v>
      </c>
      <c r="AJ137" s="0" t="n">
        <v>71</v>
      </c>
      <c r="AK137" s="0" t="n">
        <v>5</v>
      </c>
      <c r="AL137" s="0" t="n">
        <v>0.29</v>
      </c>
    </row>
    <row r="138">
      <c r="A138" s="0" t="inlineStr">
        <is>
          <t>[간석동]</t>
        </is>
      </c>
      <c r="B138" s="0" t="n">
        <v>10029</v>
      </c>
      <c r="C138" s="0" t="n">
        <v>3</v>
      </c>
      <c r="D138" s="0" t="inlineStr">
        <is>
          <t>효성탑스</t>
        </is>
      </c>
      <c r="E138" s="0" t="inlineStr">
        <is>
          <t>2001.03.</t>
        </is>
      </c>
      <c r="F138" s="0" t="n">
        <v>17</v>
      </c>
      <c r="G138" s="0" t="n">
        <v>11.63</v>
      </c>
      <c r="H138" s="0" t="n">
        <v>38.46</v>
      </c>
      <c r="I138" s="0" t="n">
        <v>10.29</v>
      </c>
      <c r="J138" s="0" t="n">
        <v>34.02</v>
      </c>
      <c r="K138" s="0" t="n">
        <v>3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38</v>
      </c>
      <c r="X138" s="0" t="n">
        <v>6</v>
      </c>
      <c r="Y138" s="0" t="n">
        <v>5</v>
      </c>
      <c r="Z138" s="0" t="inlineStr">
        <is>
          <t>https://new.land.naver.com/complexes/10029?tab=detail&amp;rf=Y</t>
        </is>
      </c>
      <c r="AA138" s="0" t="inlineStr">
        <is>
          <t>인천시 남동구 간석동 110-2</t>
        </is>
      </c>
      <c r="AB138" s="0" t="inlineStr">
        <is>
          <t>인천시</t>
        </is>
      </c>
      <c r="AC138" s="0" t="inlineStr">
        <is>
          <t>남동구</t>
        </is>
      </c>
      <c r="AD138" s="0" t="inlineStr">
        <is>
          <t>간석동</t>
        </is>
      </c>
      <c r="AG138" s="0" t="inlineStr">
        <is>
          <t>인천시 남동구 경인로644번길 8</t>
        </is>
      </c>
      <c r="AH138" s="0" t="n">
        <v>0</v>
      </c>
      <c r="AI138" s="0" t="n">
        <v>359</v>
      </c>
      <c r="AJ138" s="0" t="n">
        <v>71</v>
      </c>
      <c r="AK138" s="0" t="n">
        <v>5</v>
      </c>
      <c r="AL138" s="0" t="n">
        <v>0.29</v>
      </c>
    </row>
    <row r="139">
      <c r="A139" s="0" t="inlineStr">
        <is>
          <t>[간석동]</t>
        </is>
      </c>
      <c r="B139" s="0" t="n">
        <v>10029</v>
      </c>
      <c r="C139" s="0" t="n">
        <v>4</v>
      </c>
      <c r="D139" s="0" t="inlineStr">
        <is>
          <t>효성탑스</t>
        </is>
      </c>
      <c r="E139" s="0" t="inlineStr">
        <is>
          <t>2001.03.</t>
        </is>
      </c>
      <c r="F139" s="0" t="n">
        <v>17</v>
      </c>
      <c r="G139" s="0" t="n">
        <v>12.57</v>
      </c>
      <c r="H139" s="0" t="n">
        <v>41.58</v>
      </c>
      <c r="I139" s="0" t="n">
        <v>11.12</v>
      </c>
      <c r="J139" s="0" t="n">
        <v>36.78</v>
      </c>
      <c r="K139" s="0" t="n">
        <v>9</v>
      </c>
      <c r="T139" s="0" t="n">
        <v>2</v>
      </c>
      <c r="U139" s="0" t="n">
        <v>1</v>
      </c>
      <c r="V139" s="0" t="inlineStr">
        <is>
          <t>복합식</t>
        </is>
      </c>
      <c r="W139" s="0" t="n">
        <v>41</v>
      </c>
      <c r="X139" s="0" t="n">
        <v>6</v>
      </c>
      <c r="Y139" s="0" t="n">
        <v>5</v>
      </c>
      <c r="Z139" s="0" t="inlineStr">
        <is>
          <t>https://new.land.naver.com/complexes/10029?tab=detail&amp;rf=Y</t>
        </is>
      </c>
      <c r="AA139" s="0" t="inlineStr">
        <is>
          <t>인천시 남동구 간석동 110-2</t>
        </is>
      </c>
      <c r="AB139" s="0" t="inlineStr">
        <is>
          <t>인천시</t>
        </is>
      </c>
      <c r="AC139" s="0" t="inlineStr">
        <is>
          <t>남동구</t>
        </is>
      </c>
      <c r="AD139" s="0" t="inlineStr">
        <is>
          <t>간석동</t>
        </is>
      </c>
      <c r="AG139" s="0" t="inlineStr">
        <is>
          <t>인천시 남동구 경인로644번길 8</t>
        </is>
      </c>
      <c r="AH139" s="0" t="n">
        <v>0</v>
      </c>
      <c r="AI139" s="0" t="n">
        <v>359</v>
      </c>
      <c r="AJ139" s="0" t="n">
        <v>71</v>
      </c>
      <c r="AK139" s="0" t="n">
        <v>5</v>
      </c>
      <c r="AL139" s="0" t="n">
        <v>0.29</v>
      </c>
    </row>
    <row r="140">
      <c r="A140" s="0" t="inlineStr">
        <is>
          <t>[간석동]</t>
        </is>
      </c>
      <c r="B140" s="0" t="n">
        <v>10029</v>
      </c>
      <c r="C140" s="0" t="n">
        <v>5</v>
      </c>
      <c r="D140" s="0" t="inlineStr">
        <is>
          <t>효성탑스</t>
        </is>
      </c>
      <c r="E140" s="0" t="inlineStr">
        <is>
          <t>2001.03.</t>
        </is>
      </c>
      <c r="F140" s="0" t="n">
        <v>17</v>
      </c>
      <c r="G140" s="0" t="n">
        <v>15.83</v>
      </c>
      <c r="H140" s="0" t="n">
        <v>52.36</v>
      </c>
      <c r="I140" s="0" t="n">
        <v>14.01</v>
      </c>
      <c r="J140" s="0" t="n">
        <v>46.32</v>
      </c>
      <c r="K140" s="0" t="n">
        <v>3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52</v>
      </c>
      <c r="X140" s="0" t="n">
        <v>6</v>
      </c>
      <c r="Y140" s="0" t="n">
        <v>5</v>
      </c>
      <c r="Z140" s="0" t="inlineStr">
        <is>
          <t>https://new.land.naver.com/complexes/10029?tab=detail&amp;rf=Y</t>
        </is>
      </c>
      <c r="AA140" s="0" t="inlineStr">
        <is>
          <t>인천시 남동구 간석동 110-2</t>
        </is>
      </c>
      <c r="AB140" s="0" t="inlineStr">
        <is>
          <t>인천시</t>
        </is>
      </c>
      <c r="AC140" s="0" t="inlineStr">
        <is>
          <t>남동구</t>
        </is>
      </c>
      <c r="AD140" s="0" t="inlineStr">
        <is>
          <t>간석동</t>
        </is>
      </c>
      <c r="AG140" s="0" t="inlineStr">
        <is>
          <t>인천시 남동구 경인로644번길 8</t>
        </is>
      </c>
      <c r="AH140" s="0" t="n">
        <v>0</v>
      </c>
      <c r="AI140" s="0" t="n">
        <v>359</v>
      </c>
      <c r="AJ140" s="0" t="n">
        <v>71</v>
      </c>
      <c r="AK140" s="0" t="n">
        <v>5</v>
      </c>
      <c r="AL140" s="0" t="n">
        <v>0.29</v>
      </c>
    </row>
    <row r="141">
      <c r="A141" s="0" t="inlineStr">
        <is>
          <t>[간석동]</t>
        </is>
      </c>
      <c r="B141" s="0" t="n">
        <v>11148</v>
      </c>
      <c r="C141" s="0" t="n">
        <v>1</v>
      </c>
      <c r="D141" s="0" t="inlineStr">
        <is>
          <t>한국(393-1)</t>
        </is>
      </c>
      <c r="E141" s="0" t="inlineStr">
        <is>
          <t>1988.06.</t>
        </is>
      </c>
      <c r="F141" s="0" t="n">
        <v>144</v>
      </c>
      <c r="G141" s="0" t="n">
        <v>14.56</v>
      </c>
      <c r="H141" s="0" t="n">
        <v>48.16</v>
      </c>
      <c r="I141" s="0" t="n">
        <v>10.12</v>
      </c>
      <c r="J141" s="0" t="n">
        <v>33.48</v>
      </c>
      <c r="K141" s="0" t="n">
        <v>14</v>
      </c>
      <c r="T141" s="0" t="n">
        <v>2</v>
      </c>
      <c r="U141" s="0" t="n">
        <v>1</v>
      </c>
      <c r="V141" s="0" t="inlineStr">
        <is>
          <t>계단식</t>
        </is>
      </c>
      <c r="W141" s="0" t="inlineStr">
        <is>
          <t>48A</t>
        </is>
      </c>
      <c r="X141" s="0" t="n">
        <v>5</v>
      </c>
      <c r="Y141" s="0" t="n">
        <v>5</v>
      </c>
      <c r="Z141" s="0" t="inlineStr">
        <is>
          <t>https://new.land.naver.com/complexes/11148?tab=detail&amp;rf=Y</t>
        </is>
      </c>
      <c r="AA141" s="0" t="inlineStr">
        <is>
          <t>인천시 남동구 간석동 393-1</t>
        </is>
      </c>
      <c r="AB141" s="0" t="inlineStr">
        <is>
          <t>인천시</t>
        </is>
      </c>
      <c r="AC141" s="0" t="inlineStr">
        <is>
          <t>남동구</t>
        </is>
      </c>
      <c r="AD141" s="0" t="inlineStr">
        <is>
          <t>간석동</t>
        </is>
      </c>
      <c r="AG141" s="0" t="inlineStr">
        <is>
          <t>인천시 남동구 주안로235번길 19</t>
        </is>
      </c>
      <c r="AH141" s="0" t="n">
        <v>0</v>
      </c>
      <c r="AI141" s="0" t="n">
        <v>147</v>
      </c>
      <c r="AJ141" s="0" t="n">
        <v>29</v>
      </c>
      <c r="AK141" s="0" t="n">
        <v>0</v>
      </c>
      <c r="AL141" s="0" t="n">
        <v>0</v>
      </c>
    </row>
    <row r="142">
      <c r="A142" s="0" t="inlineStr">
        <is>
          <t>[간석동]</t>
        </is>
      </c>
      <c r="B142" s="0" t="n">
        <v>11148</v>
      </c>
      <c r="C142" s="0" t="n">
        <v>2</v>
      </c>
      <c r="D142" s="0" t="inlineStr">
        <is>
          <t>한국(393-1)</t>
        </is>
      </c>
      <c r="E142" s="0" t="inlineStr">
        <is>
          <t>1988.06.</t>
        </is>
      </c>
      <c r="F142" s="0" t="n">
        <v>144</v>
      </c>
      <c r="G142" s="0" t="n">
        <v>15.38</v>
      </c>
      <c r="H142" s="0" t="n">
        <v>50.86</v>
      </c>
      <c r="I142" s="0" t="n">
        <v>10.94</v>
      </c>
      <c r="J142" s="0" t="n">
        <v>36.18</v>
      </c>
      <c r="K142" s="0" t="n">
        <v>50</v>
      </c>
      <c r="T142" s="0" t="n">
        <v>2</v>
      </c>
      <c r="U142" s="0" t="n">
        <v>1</v>
      </c>
      <c r="V142" s="0" t="inlineStr">
        <is>
          <t>계단식</t>
        </is>
      </c>
      <c r="W142" s="0" t="inlineStr">
        <is>
          <t>50B</t>
        </is>
      </c>
      <c r="X142" s="0" t="n">
        <v>5</v>
      </c>
      <c r="Y142" s="0" t="n">
        <v>5</v>
      </c>
      <c r="Z142" s="0" t="inlineStr">
        <is>
          <t>https://new.land.naver.com/complexes/11148?tab=detail&amp;rf=Y</t>
        </is>
      </c>
      <c r="AA142" s="0" t="inlineStr">
        <is>
          <t>인천시 남동구 간석동 393-1</t>
        </is>
      </c>
      <c r="AB142" s="0" t="inlineStr">
        <is>
          <t>인천시</t>
        </is>
      </c>
      <c r="AC142" s="0" t="inlineStr">
        <is>
          <t>남동구</t>
        </is>
      </c>
      <c r="AD142" s="0" t="inlineStr">
        <is>
          <t>간석동</t>
        </is>
      </c>
      <c r="AG142" s="0" t="inlineStr">
        <is>
          <t>인천시 남동구 주안로235번길 19</t>
        </is>
      </c>
      <c r="AH142" s="0" t="n">
        <v>0</v>
      </c>
      <c r="AI142" s="0" t="n">
        <v>147</v>
      </c>
      <c r="AJ142" s="0" t="n">
        <v>29</v>
      </c>
      <c r="AK142" s="0" t="n">
        <v>0</v>
      </c>
      <c r="AL142" s="0" t="n">
        <v>0</v>
      </c>
    </row>
    <row r="143">
      <c r="A143" s="0" t="inlineStr">
        <is>
          <t>[간석동]</t>
        </is>
      </c>
      <c r="B143" s="0" t="n">
        <v>11148</v>
      </c>
      <c r="C143" s="0" t="n">
        <v>3</v>
      </c>
      <c r="D143" s="0" t="inlineStr">
        <is>
          <t>한국(393-1)</t>
        </is>
      </c>
      <c r="E143" s="0" t="inlineStr">
        <is>
          <t>1988.06.</t>
        </is>
      </c>
      <c r="F143" s="0" t="n">
        <v>144</v>
      </c>
      <c r="G143" s="0" t="n">
        <v>17.73</v>
      </c>
      <c r="H143" s="0" t="n">
        <v>58.64</v>
      </c>
      <c r="I143" s="0" t="n">
        <v>12.98</v>
      </c>
      <c r="J143" s="0" t="n">
        <v>42.93</v>
      </c>
      <c r="K143" s="0" t="n">
        <v>45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5</v>
      </c>
      <c r="Y143" s="0" t="n">
        <v>5</v>
      </c>
      <c r="Z143" s="0" t="inlineStr">
        <is>
          <t>https://new.land.naver.com/complexes/11148?tab=detail&amp;rf=Y</t>
        </is>
      </c>
      <c r="AA143" s="0" t="inlineStr">
        <is>
          <t>인천시 남동구 간석동 393-1</t>
        </is>
      </c>
      <c r="AB143" s="0" t="inlineStr">
        <is>
          <t>인천시</t>
        </is>
      </c>
      <c r="AC143" s="0" t="inlineStr">
        <is>
          <t>남동구</t>
        </is>
      </c>
      <c r="AD143" s="0" t="inlineStr">
        <is>
          <t>간석동</t>
        </is>
      </c>
      <c r="AG143" s="0" t="inlineStr">
        <is>
          <t>인천시 남동구 주안로235번길 19</t>
        </is>
      </c>
      <c r="AH143" s="0" t="n">
        <v>0</v>
      </c>
      <c r="AI143" s="0" t="n">
        <v>147</v>
      </c>
      <c r="AJ143" s="0" t="n">
        <v>29</v>
      </c>
      <c r="AK143" s="0" t="n">
        <v>0</v>
      </c>
      <c r="AL143" s="0" t="n">
        <v>0</v>
      </c>
    </row>
    <row r="144">
      <c r="A144" s="0" t="inlineStr">
        <is>
          <t>[간석동]</t>
        </is>
      </c>
      <c r="B144" s="0" t="n">
        <v>11148</v>
      </c>
      <c r="C144" s="0" t="n">
        <v>4</v>
      </c>
      <c r="D144" s="0" t="inlineStr">
        <is>
          <t>한국(393-1)</t>
        </is>
      </c>
      <c r="E144" s="0" t="inlineStr">
        <is>
          <t>1988.06.</t>
        </is>
      </c>
      <c r="F144" s="0" t="n">
        <v>144</v>
      </c>
      <c r="G144" s="0" t="n">
        <v>18.17</v>
      </c>
      <c r="H144" s="0" t="n">
        <v>60.09</v>
      </c>
      <c r="I144" s="0" t="n">
        <v>12.08</v>
      </c>
      <c r="J144" s="0" t="n">
        <v>39.96</v>
      </c>
      <c r="K144" s="0" t="n">
        <v>1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60A</t>
        </is>
      </c>
      <c r="X144" s="0" t="n">
        <v>5</v>
      </c>
      <c r="Y144" s="0" t="n">
        <v>5</v>
      </c>
      <c r="Z144" s="0" t="inlineStr">
        <is>
          <t>https://new.land.naver.com/complexes/11148?tab=detail&amp;rf=Y</t>
        </is>
      </c>
      <c r="AA144" s="0" t="inlineStr">
        <is>
          <t>인천시 남동구 간석동 393-1</t>
        </is>
      </c>
      <c r="AB144" s="0" t="inlineStr">
        <is>
          <t>인천시</t>
        </is>
      </c>
      <c r="AC144" s="0" t="inlineStr">
        <is>
          <t>남동구</t>
        </is>
      </c>
      <c r="AD144" s="0" t="inlineStr">
        <is>
          <t>간석동</t>
        </is>
      </c>
      <c r="AG144" s="0" t="inlineStr">
        <is>
          <t>인천시 남동구 주안로235번길 19</t>
        </is>
      </c>
      <c r="AH144" s="0" t="n">
        <v>0</v>
      </c>
      <c r="AI144" s="0" t="n">
        <v>147</v>
      </c>
      <c r="AJ144" s="0" t="n">
        <v>29</v>
      </c>
      <c r="AK144" s="0" t="n">
        <v>0</v>
      </c>
      <c r="AL144" s="0" t="n">
        <v>0</v>
      </c>
    </row>
    <row r="145">
      <c r="A145" s="0" t="inlineStr">
        <is>
          <t>[간석동]</t>
        </is>
      </c>
      <c r="B145" s="0" t="n">
        <v>11148</v>
      </c>
      <c r="C145" s="0" t="n">
        <v>5</v>
      </c>
      <c r="D145" s="0" t="inlineStr">
        <is>
          <t>한국(393-1)</t>
        </is>
      </c>
      <c r="E145" s="0" t="inlineStr">
        <is>
          <t>1988.06.</t>
        </is>
      </c>
      <c r="F145" s="0" t="n">
        <v>144</v>
      </c>
      <c r="G145" s="0" t="n">
        <v>18.5</v>
      </c>
      <c r="H145" s="0" t="n">
        <v>61.16</v>
      </c>
      <c r="I145" s="0" t="n">
        <v>13.74</v>
      </c>
      <c r="J145" s="0" t="n">
        <v>45.45</v>
      </c>
      <c r="K145" s="0" t="n">
        <v>25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5</v>
      </c>
      <c r="Y145" s="0" t="n">
        <v>5</v>
      </c>
      <c r="Z145" s="0" t="inlineStr">
        <is>
          <t>https://new.land.naver.com/complexes/11148?tab=detail&amp;rf=Y</t>
        </is>
      </c>
      <c r="AA145" s="0" t="inlineStr">
        <is>
          <t>인천시 남동구 간석동 393-1</t>
        </is>
      </c>
      <c r="AB145" s="0" t="inlineStr">
        <is>
          <t>인천시</t>
        </is>
      </c>
      <c r="AC145" s="0" t="inlineStr">
        <is>
          <t>남동구</t>
        </is>
      </c>
      <c r="AD145" s="0" t="inlineStr">
        <is>
          <t>간석동</t>
        </is>
      </c>
      <c r="AG145" s="0" t="inlineStr">
        <is>
          <t>인천시 남동구 주안로235번길 19</t>
        </is>
      </c>
      <c r="AH145" s="0" t="n">
        <v>0</v>
      </c>
      <c r="AI145" s="0" t="n">
        <v>147</v>
      </c>
      <c r="AJ145" s="0" t="n">
        <v>29</v>
      </c>
      <c r="AK145" s="0" t="n">
        <v>0</v>
      </c>
      <c r="AL145" s="0" t="n">
        <v>0</v>
      </c>
    </row>
    <row r="146">
      <c r="A146" s="0" t="inlineStr">
        <is>
          <t>[간석동]</t>
        </is>
      </c>
      <c r="B146" s="0" t="n">
        <v>11148</v>
      </c>
      <c r="C146" s="0" t="n">
        <v>6</v>
      </c>
      <c r="D146" s="0" t="inlineStr">
        <is>
          <t>한국(393-1)</t>
        </is>
      </c>
      <c r="E146" s="0" t="inlineStr">
        <is>
          <t>1988.06.</t>
        </is>
      </c>
      <c r="F146" s="0" t="n">
        <v>144</v>
      </c>
      <c r="G146" s="0" t="n">
        <v>18.5</v>
      </c>
      <c r="H146" s="0" t="n">
        <v>61.16</v>
      </c>
      <c r="I146" s="0" t="n">
        <v>12.11</v>
      </c>
      <c r="J146" s="0" t="n">
        <v>40.05</v>
      </c>
      <c r="K146" s="0" t="n">
        <v>5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61A</t>
        </is>
      </c>
      <c r="X146" s="0" t="n">
        <v>5</v>
      </c>
      <c r="Y146" s="0" t="n">
        <v>5</v>
      </c>
      <c r="Z146" s="0" t="inlineStr">
        <is>
          <t>https://new.land.naver.com/complexes/11148?tab=detail&amp;rf=Y</t>
        </is>
      </c>
      <c r="AA146" s="0" t="inlineStr">
        <is>
          <t>인천시 남동구 간석동 393-1</t>
        </is>
      </c>
      <c r="AB146" s="0" t="inlineStr">
        <is>
          <t>인천시</t>
        </is>
      </c>
      <c r="AC146" s="0" t="inlineStr">
        <is>
          <t>남동구</t>
        </is>
      </c>
      <c r="AD146" s="0" t="inlineStr">
        <is>
          <t>간석동</t>
        </is>
      </c>
      <c r="AG146" s="0" t="inlineStr">
        <is>
          <t>인천시 남동구 주안로235번길 19</t>
        </is>
      </c>
      <c r="AH146" s="0" t="n">
        <v>0</v>
      </c>
      <c r="AI146" s="0" t="n">
        <v>147</v>
      </c>
      <c r="AJ146" s="0" t="n">
        <v>29</v>
      </c>
      <c r="AK146" s="0" t="n">
        <v>0</v>
      </c>
      <c r="AL146" s="0" t="n">
        <v>0</v>
      </c>
    </row>
    <row r="147">
      <c r="A147" s="0" t="inlineStr">
        <is>
          <t>[간석동]</t>
        </is>
      </c>
      <c r="B147" s="0" t="n">
        <v>11148</v>
      </c>
      <c r="C147" s="0" t="n">
        <v>7</v>
      </c>
      <c r="D147" s="0" t="inlineStr">
        <is>
          <t>한국(393-1)</t>
        </is>
      </c>
      <c r="E147" s="0" t="inlineStr">
        <is>
          <t>1988.06.</t>
        </is>
      </c>
      <c r="F147" s="0" t="n">
        <v>144</v>
      </c>
      <c r="G147" s="0" t="n">
        <v>24.52</v>
      </c>
      <c r="H147" s="0" t="n">
        <v>81.06</v>
      </c>
      <c r="I147" s="0" t="n">
        <v>20.03</v>
      </c>
      <c r="J147" s="0" t="n">
        <v>66.23999999999999</v>
      </c>
      <c r="K147" s="0" t="n">
        <v>4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81</v>
      </c>
      <c r="X147" s="0" t="n">
        <v>5</v>
      </c>
      <c r="Y147" s="0" t="n">
        <v>5</v>
      </c>
      <c r="Z147" s="0" t="inlineStr">
        <is>
          <t>https://new.land.naver.com/complexes/11148?tab=detail&amp;rf=Y</t>
        </is>
      </c>
      <c r="AA147" s="0" t="inlineStr">
        <is>
          <t>인천시 남동구 간석동 393-1</t>
        </is>
      </c>
      <c r="AB147" s="0" t="inlineStr">
        <is>
          <t>인천시</t>
        </is>
      </c>
      <c r="AC147" s="0" t="inlineStr">
        <is>
          <t>남동구</t>
        </is>
      </c>
      <c r="AD147" s="0" t="inlineStr">
        <is>
          <t>간석동</t>
        </is>
      </c>
      <c r="AG147" s="0" t="inlineStr">
        <is>
          <t>인천시 남동구 주안로235번길 19</t>
        </is>
      </c>
      <c r="AH147" s="0" t="n">
        <v>0</v>
      </c>
      <c r="AI147" s="0" t="n">
        <v>147</v>
      </c>
      <c r="AJ147" s="0" t="n">
        <v>29</v>
      </c>
      <c r="AK147" s="0" t="n">
        <v>0</v>
      </c>
      <c r="AL147" s="0" t="n">
        <v>0</v>
      </c>
    </row>
    <row r="148">
      <c r="A148" s="0" t="inlineStr">
        <is>
          <t>[간석동]</t>
        </is>
      </c>
      <c r="B148" s="0" t="n">
        <v>117871</v>
      </c>
      <c r="C148" s="0" t="n">
        <v>1</v>
      </c>
      <c r="D148" s="0" t="inlineStr">
        <is>
          <t>하이베리원</t>
        </is>
      </c>
      <c r="E148" s="0" t="inlineStr">
        <is>
          <t>2017.07.</t>
        </is>
      </c>
      <c r="F148" s="0" t="n">
        <v>8</v>
      </c>
      <c r="G148" s="0" t="n">
        <v>20.4</v>
      </c>
      <c r="H148" s="0" t="n">
        <v>67.47</v>
      </c>
      <c r="I148" s="0" t="n">
        <v>17.41</v>
      </c>
      <c r="J148" s="0" t="n">
        <v>57.56</v>
      </c>
      <c r="K148" s="0" t="n">
        <v>2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67</v>
      </c>
      <c r="X148" s="0" t="n">
        <v>13</v>
      </c>
      <c r="Y148" s="0" t="n">
        <v>12</v>
      </c>
      <c r="Z148" s="0" t="inlineStr">
        <is>
          <t>https://new.land.naver.com/complexes/117871?tab=detail&amp;rf=Y</t>
        </is>
      </c>
      <c r="AA148" s="0" t="inlineStr">
        <is>
          <t>인천시 남동구 간석동 120-7</t>
        </is>
      </c>
      <c r="AB148" s="0" t="inlineStr">
        <is>
          <t>인천시</t>
        </is>
      </c>
      <c r="AC148" s="0" t="inlineStr">
        <is>
          <t>남동구</t>
        </is>
      </c>
      <c r="AD148" s="0" t="inlineStr">
        <is>
          <t>간석동</t>
        </is>
      </c>
      <c r="AG148" s="0" t="inlineStr">
        <is>
          <t>인천시 남동구 경인로644번길 120</t>
        </is>
      </c>
      <c r="AH148" s="0" t="n">
        <v>0</v>
      </c>
      <c r="AI148" s="0" t="n">
        <v>878</v>
      </c>
      <c r="AJ148" s="0" t="n">
        <v>77</v>
      </c>
      <c r="AK148" s="0" t="n">
        <v>6</v>
      </c>
      <c r="AL148" s="0" t="n">
        <v>0.75</v>
      </c>
    </row>
    <row r="149">
      <c r="A149" s="0" t="inlineStr">
        <is>
          <t>[간석동]</t>
        </is>
      </c>
      <c r="B149" s="0" t="n">
        <v>117871</v>
      </c>
      <c r="C149" s="0" t="n">
        <v>2</v>
      </c>
      <c r="D149" s="0" t="inlineStr">
        <is>
          <t>하이베리원</t>
        </is>
      </c>
      <c r="E149" s="0" t="inlineStr">
        <is>
          <t>2017.07.</t>
        </is>
      </c>
      <c r="F149" s="0" t="n">
        <v>8</v>
      </c>
      <c r="G149" s="0" t="n">
        <v>24.99</v>
      </c>
      <c r="H149" s="0" t="n">
        <v>82.64</v>
      </c>
      <c r="I149" s="0" t="n">
        <v>21.22</v>
      </c>
      <c r="J149" s="0" t="n">
        <v>70.16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82</v>
      </c>
      <c r="X149" s="0" t="n">
        <v>13</v>
      </c>
      <c r="Y149" s="0" t="n">
        <v>12</v>
      </c>
      <c r="Z149" s="0" t="inlineStr">
        <is>
          <t>https://new.land.naver.com/complexes/117871?tab=detail&amp;rf=Y</t>
        </is>
      </c>
      <c r="AA149" s="0" t="inlineStr">
        <is>
          <t>인천시 남동구 간석동 120-7</t>
        </is>
      </c>
      <c r="AB149" s="0" t="inlineStr">
        <is>
          <t>인천시</t>
        </is>
      </c>
      <c r="AC149" s="0" t="inlineStr">
        <is>
          <t>남동구</t>
        </is>
      </c>
      <c r="AD149" s="0" t="inlineStr">
        <is>
          <t>간석동</t>
        </is>
      </c>
      <c r="AG149" s="0" t="inlineStr">
        <is>
          <t>인천시 남동구 경인로644번길 120</t>
        </is>
      </c>
      <c r="AH149" s="0" t="n">
        <v>0</v>
      </c>
      <c r="AI149" s="0" t="n">
        <v>878</v>
      </c>
      <c r="AJ149" s="0" t="n">
        <v>77</v>
      </c>
      <c r="AK149" s="0" t="n">
        <v>6</v>
      </c>
      <c r="AL149" s="0" t="n">
        <v>0.75</v>
      </c>
    </row>
    <row r="150">
      <c r="A150" s="0" t="inlineStr">
        <is>
          <t>[간석동]</t>
        </is>
      </c>
      <c r="B150" s="0" t="n">
        <v>117871</v>
      </c>
      <c r="C150" s="0" t="n">
        <v>3</v>
      </c>
      <c r="D150" s="0" t="inlineStr">
        <is>
          <t>하이베리원</t>
        </is>
      </c>
      <c r="E150" s="0" t="inlineStr">
        <is>
          <t>2017.07.</t>
        </is>
      </c>
      <c r="F150" s="0" t="n">
        <v>8</v>
      </c>
      <c r="G150" s="0" t="n">
        <v>27.03</v>
      </c>
      <c r="H150" s="0" t="n">
        <v>89.36</v>
      </c>
      <c r="I150" s="0" t="n">
        <v>22.98</v>
      </c>
      <c r="J150" s="0" t="n">
        <v>75.97</v>
      </c>
      <c r="K150" s="0" t="n">
        <v>2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89</v>
      </c>
      <c r="X150" s="0" t="n">
        <v>13</v>
      </c>
      <c r="Y150" s="0" t="n">
        <v>12</v>
      </c>
      <c r="Z150" s="0" t="inlineStr">
        <is>
          <t>https://new.land.naver.com/complexes/117871?tab=detail&amp;rf=Y</t>
        </is>
      </c>
      <c r="AA150" s="0" t="inlineStr">
        <is>
          <t>인천시 남동구 간석동 120-7</t>
        </is>
      </c>
      <c r="AB150" s="0" t="inlineStr">
        <is>
          <t>인천시</t>
        </is>
      </c>
      <c r="AC150" s="0" t="inlineStr">
        <is>
          <t>남동구</t>
        </is>
      </c>
      <c r="AD150" s="0" t="inlineStr">
        <is>
          <t>간석동</t>
        </is>
      </c>
      <c r="AG150" s="0" t="inlineStr">
        <is>
          <t>인천시 남동구 경인로644번길 120</t>
        </is>
      </c>
      <c r="AH150" s="0" t="n">
        <v>0</v>
      </c>
      <c r="AI150" s="0" t="n">
        <v>878</v>
      </c>
      <c r="AJ150" s="0" t="n">
        <v>77</v>
      </c>
      <c r="AK150" s="0" t="n">
        <v>6</v>
      </c>
      <c r="AL150" s="0" t="n">
        <v>0.75</v>
      </c>
    </row>
    <row r="151">
      <c r="A151" s="0" t="inlineStr">
        <is>
          <t>[간석동]</t>
        </is>
      </c>
      <c r="B151" s="0" t="n">
        <v>130959</v>
      </c>
      <c r="C151" s="0" t="n">
        <v>1</v>
      </c>
      <c r="D151" s="0" t="inlineStr">
        <is>
          <t>대준블루온</t>
        </is>
      </c>
      <c r="E151" s="0" t="inlineStr">
        <is>
          <t>2019.11.</t>
        </is>
      </c>
      <c r="F151" s="0" t="n">
        <v>16</v>
      </c>
      <c r="G151" s="0" t="n">
        <v>24.6</v>
      </c>
      <c r="H151" s="0" t="n">
        <v>81.34999999999999</v>
      </c>
      <c r="I151" s="0" t="n">
        <v>19.47</v>
      </c>
      <c r="J151" s="0" t="n">
        <v>64.37</v>
      </c>
      <c r="K151" s="0" t="n">
        <v>4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81A</t>
        </is>
      </c>
      <c r="X151" s="0" t="n">
        <v>6</v>
      </c>
      <c r="Y151" s="0" t="n">
        <v>6</v>
      </c>
      <c r="Z151" s="0" t="inlineStr">
        <is>
          <t>https://new.land.naver.com/complexes/130959?tab=detail&amp;rf=Y</t>
        </is>
      </c>
      <c r="AA151" s="0" t="inlineStr">
        <is>
          <t>인천시 남동구 간석동 175-1</t>
        </is>
      </c>
      <c r="AB151" s="0" t="inlineStr">
        <is>
          <t>인천시</t>
        </is>
      </c>
      <c r="AC151" s="0" t="inlineStr">
        <is>
          <t>남동구</t>
        </is>
      </c>
      <c r="AD151" s="0" t="inlineStr">
        <is>
          <t>간석동</t>
        </is>
      </c>
      <c r="AG151" s="0" t="inlineStr">
        <is>
          <t>인천시 남동구 남동대로922번길 32</t>
        </is>
      </c>
      <c r="AH151" s="0" t="n">
        <v>0</v>
      </c>
      <c r="AI151" s="0" t="n">
        <v>728</v>
      </c>
      <c r="AJ151" s="0" t="n">
        <v>74</v>
      </c>
      <c r="AK151" s="0" t="n">
        <v>16</v>
      </c>
      <c r="AL151" s="0" t="n">
        <v>1</v>
      </c>
    </row>
    <row r="152">
      <c r="A152" s="0" t="inlineStr">
        <is>
          <t>[간석동]</t>
        </is>
      </c>
      <c r="B152" s="0" t="n">
        <v>130959</v>
      </c>
      <c r="C152" s="0" t="n">
        <v>2</v>
      </c>
      <c r="D152" s="0" t="inlineStr">
        <is>
          <t>대준블루온</t>
        </is>
      </c>
      <c r="E152" s="0" t="inlineStr">
        <is>
          <t>2019.11.</t>
        </is>
      </c>
      <c r="F152" s="0" t="n">
        <v>16</v>
      </c>
      <c r="G152" s="0" t="n">
        <v>24.78</v>
      </c>
      <c r="H152" s="0" t="n">
        <v>81.95</v>
      </c>
      <c r="I152" s="0" t="n">
        <v>19.47</v>
      </c>
      <c r="J152" s="0" t="n">
        <v>64.38</v>
      </c>
      <c r="K152" s="0" t="n">
        <v>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81B</t>
        </is>
      </c>
      <c r="X152" s="0" t="n">
        <v>6</v>
      </c>
      <c r="Y152" s="0" t="n">
        <v>6</v>
      </c>
      <c r="Z152" s="0" t="inlineStr">
        <is>
          <t>https://new.land.naver.com/complexes/130959?tab=detail&amp;rf=Y</t>
        </is>
      </c>
      <c r="AA152" s="0" t="inlineStr">
        <is>
          <t>인천시 남동구 간석동 175-1</t>
        </is>
      </c>
      <c r="AB152" s="0" t="inlineStr">
        <is>
          <t>인천시</t>
        </is>
      </c>
      <c r="AC152" s="0" t="inlineStr">
        <is>
          <t>남동구</t>
        </is>
      </c>
      <c r="AD152" s="0" t="inlineStr">
        <is>
          <t>간석동</t>
        </is>
      </c>
      <c r="AG152" s="0" t="inlineStr">
        <is>
          <t>인천시 남동구 남동대로922번길 32</t>
        </is>
      </c>
      <c r="AH152" s="0" t="n">
        <v>0</v>
      </c>
      <c r="AI152" s="0" t="n">
        <v>728</v>
      </c>
      <c r="AJ152" s="0" t="n">
        <v>74</v>
      </c>
      <c r="AK152" s="0" t="n">
        <v>16</v>
      </c>
      <c r="AL152" s="0" t="n">
        <v>1</v>
      </c>
    </row>
    <row r="153">
      <c r="A153" s="0" t="inlineStr">
        <is>
          <t>[간석동]</t>
        </is>
      </c>
      <c r="B153" s="0" t="n">
        <v>130959</v>
      </c>
      <c r="C153" s="0" t="n">
        <v>3</v>
      </c>
      <c r="D153" s="0" t="inlineStr">
        <is>
          <t>대준블루온</t>
        </is>
      </c>
      <c r="E153" s="0" t="inlineStr">
        <is>
          <t>2019.11.</t>
        </is>
      </c>
      <c r="F153" s="0" t="n">
        <v>16</v>
      </c>
      <c r="G153" s="0" t="n">
        <v>25.56</v>
      </c>
      <c r="H153" s="0" t="n">
        <v>84.51000000000001</v>
      </c>
      <c r="I153" s="0" t="n">
        <v>20.07</v>
      </c>
      <c r="J153" s="0" t="n">
        <v>66.37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84A</t>
        </is>
      </c>
      <c r="X153" s="0" t="n">
        <v>6</v>
      </c>
      <c r="Y153" s="0" t="n">
        <v>6</v>
      </c>
      <c r="Z153" s="0" t="inlineStr">
        <is>
          <t>https://new.land.naver.com/complexes/130959?tab=detail&amp;rf=Y</t>
        </is>
      </c>
      <c r="AA153" s="0" t="inlineStr">
        <is>
          <t>인천시 남동구 간석동 175-1</t>
        </is>
      </c>
      <c r="AB153" s="0" t="inlineStr">
        <is>
          <t>인천시</t>
        </is>
      </c>
      <c r="AC153" s="0" t="inlineStr">
        <is>
          <t>남동구</t>
        </is>
      </c>
      <c r="AD153" s="0" t="inlineStr">
        <is>
          <t>간석동</t>
        </is>
      </c>
      <c r="AG153" s="0" t="inlineStr">
        <is>
          <t>인천시 남동구 남동대로922번길 32</t>
        </is>
      </c>
      <c r="AH153" s="0" t="n">
        <v>0</v>
      </c>
      <c r="AI153" s="0" t="n">
        <v>728</v>
      </c>
      <c r="AJ153" s="0" t="n">
        <v>74</v>
      </c>
      <c r="AK153" s="0" t="n">
        <v>16</v>
      </c>
      <c r="AL153" s="0" t="n">
        <v>1</v>
      </c>
    </row>
    <row r="154">
      <c r="A154" s="0" t="inlineStr">
        <is>
          <t>[간석동]</t>
        </is>
      </c>
      <c r="B154" s="0" t="n">
        <v>130959</v>
      </c>
      <c r="C154" s="0" t="n">
        <v>4</v>
      </c>
      <c r="D154" s="0" t="inlineStr">
        <is>
          <t>대준블루온</t>
        </is>
      </c>
      <c r="E154" s="0" t="inlineStr">
        <is>
          <t>2019.11.</t>
        </is>
      </c>
      <c r="F154" s="0" t="n">
        <v>16</v>
      </c>
      <c r="G154" s="0" t="n">
        <v>26.16</v>
      </c>
      <c r="H154" s="0" t="n">
        <v>86.48</v>
      </c>
      <c r="I154" s="0" t="n">
        <v>20.4</v>
      </c>
      <c r="J154" s="0" t="n">
        <v>67.45</v>
      </c>
      <c r="K154" s="0" t="n">
        <v>4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86B</t>
        </is>
      </c>
      <c r="X154" s="0" t="n">
        <v>6</v>
      </c>
      <c r="Y154" s="0" t="n">
        <v>6</v>
      </c>
      <c r="Z154" s="0" t="inlineStr">
        <is>
          <t>https://new.land.naver.com/complexes/130959?tab=detail&amp;rf=Y</t>
        </is>
      </c>
      <c r="AA154" s="0" t="inlineStr">
        <is>
          <t>인천시 남동구 간석동 175-1</t>
        </is>
      </c>
      <c r="AB154" s="0" t="inlineStr">
        <is>
          <t>인천시</t>
        </is>
      </c>
      <c r="AC154" s="0" t="inlineStr">
        <is>
          <t>남동구</t>
        </is>
      </c>
      <c r="AD154" s="0" t="inlineStr">
        <is>
          <t>간석동</t>
        </is>
      </c>
      <c r="AG154" s="0" t="inlineStr">
        <is>
          <t>인천시 남동구 남동대로922번길 32</t>
        </is>
      </c>
      <c r="AH154" s="0" t="n">
        <v>0</v>
      </c>
      <c r="AI154" s="0" t="n">
        <v>728</v>
      </c>
      <c r="AJ154" s="0" t="n">
        <v>74</v>
      </c>
      <c r="AK154" s="0" t="n">
        <v>16</v>
      </c>
      <c r="AL154" s="0" t="n">
        <v>1</v>
      </c>
    </row>
    <row r="155">
      <c r="A155" s="0" t="inlineStr">
        <is>
          <t>[간석동]</t>
        </is>
      </c>
      <c r="B155" s="0" t="n">
        <v>117045</v>
      </c>
      <c r="C155" s="0" t="n">
        <v>1</v>
      </c>
      <c r="D155" s="0" t="inlineStr">
        <is>
          <t>로젠하임</t>
        </is>
      </c>
      <c r="E155" s="0" t="inlineStr">
        <is>
          <t>2012.12.</t>
        </is>
      </c>
      <c r="F155" s="0" t="n">
        <v>15</v>
      </c>
      <c r="G155" s="0" t="n">
        <v>17.7</v>
      </c>
      <c r="H155" s="0" t="n">
        <v>58.52</v>
      </c>
      <c r="I155" s="0" t="n">
        <v>15.73</v>
      </c>
      <c r="J155" s="0" t="n">
        <v>52.03</v>
      </c>
      <c r="K155" s="0" t="n">
        <v>1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58</v>
      </c>
      <c r="X155" s="0" t="n">
        <v>12</v>
      </c>
      <c r="Y155" s="0" t="n">
        <v>11</v>
      </c>
      <c r="Z155" s="0" t="inlineStr">
        <is>
          <t>https://new.land.naver.com/complexes/117045?tab=detail&amp;rf=Y</t>
        </is>
      </c>
      <c r="AA155" s="0" t="inlineStr">
        <is>
          <t>인천시 남동구 간석동 68-10</t>
        </is>
      </c>
      <c r="AB155" s="0" t="inlineStr">
        <is>
          <t>인천시</t>
        </is>
      </c>
      <c r="AC155" s="0" t="inlineStr">
        <is>
          <t>남동구</t>
        </is>
      </c>
      <c r="AD155" s="0" t="inlineStr">
        <is>
          <t>간석동</t>
        </is>
      </c>
      <c r="AG155" s="0" t="inlineStr">
        <is>
          <t>인천시 남동구 풀무로 17</t>
        </is>
      </c>
      <c r="AH155" s="0" t="n">
        <v>0</v>
      </c>
      <c r="AI155" s="0" t="n">
        <v>439</v>
      </c>
      <c r="AJ155" s="0" t="n">
        <v>46</v>
      </c>
      <c r="AK155" s="0" t="n">
        <v>16</v>
      </c>
      <c r="AL155" s="0" t="n">
        <v>1.07</v>
      </c>
    </row>
    <row r="156">
      <c r="A156" s="0" t="inlineStr">
        <is>
          <t>[간석동]</t>
        </is>
      </c>
      <c r="B156" s="0" t="n">
        <v>117045</v>
      </c>
      <c r="C156" s="0" t="n">
        <v>2</v>
      </c>
      <c r="D156" s="0" t="inlineStr">
        <is>
          <t>로젠하임</t>
        </is>
      </c>
      <c r="E156" s="0" t="inlineStr">
        <is>
          <t>2012.12.</t>
        </is>
      </c>
      <c r="F156" s="0" t="n">
        <v>15</v>
      </c>
      <c r="G156" s="0" t="n">
        <v>19.3</v>
      </c>
      <c r="H156" s="0" t="n">
        <v>63.82</v>
      </c>
      <c r="I156" s="0" t="n">
        <v>17.16</v>
      </c>
      <c r="J156" s="0" t="n">
        <v>56.74</v>
      </c>
      <c r="K156" s="0" t="n">
        <v>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63A</t>
        </is>
      </c>
      <c r="X156" s="0" t="n">
        <v>12</v>
      </c>
      <c r="Y156" s="0" t="n">
        <v>11</v>
      </c>
      <c r="Z156" s="0" t="inlineStr">
        <is>
          <t>https://new.land.naver.com/complexes/117045?tab=detail&amp;rf=Y</t>
        </is>
      </c>
      <c r="AA156" s="0" t="inlineStr">
        <is>
          <t>인천시 남동구 간석동 68-10</t>
        </is>
      </c>
      <c r="AB156" s="0" t="inlineStr">
        <is>
          <t>인천시</t>
        </is>
      </c>
      <c r="AC156" s="0" t="inlineStr">
        <is>
          <t>남동구</t>
        </is>
      </c>
      <c r="AD156" s="0" t="inlineStr">
        <is>
          <t>간석동</t>
        </is>
      </c>
      <c r="AG156" s="0" t="inlineStr">
        <is>
          <t>인천시 남동구 풀무로 17</t>
        </is>
      </c>
      <c r="AH156" s="0" t="n">
        <v>0</v>
      </c>
      <c r="AI156" s="0" t="n">
        <v>439</v>
      </c>
      <c r="AJ156" s="0" t="n">
        <v>46</v>
      </c>
      <c r="AK156" s="0" t="n">
        <v>16</v>
      </c>
      <c r="AL156" s="0" t="n">
        <v>1.07</v>
      </c>
    </row>
    <row r="157">
      <c r="A157" s="0" t="inlineStr">
        <is>
          <t>[간석동]</t>
        </is>
      </c>
      <c r="B157" s="0" t="n">
        <v>117045</v>
      </c>
      <c r="C157" s="0" t="n">
        <v>3</v>
      </c>
      <c r="D157" s="0" t="inlineStr">
        <is>
          <t>로젠하임</t>
        </is>
      </c>
      <c r="E157" s="0" t="inlineStr">
        <is>
          <t>2012.12.</t>
        </is>
      </c>
      <c r="F157" s="0" t="n">
        <v>15</v>
      </c>
      <c r="G157" s="0" t="n">
        <v>19.38</v>
      </c>
      <c r="H157" s="0" t="n">
        <v>64.06999999999999</v>
      </c>
      <c r="I157" s="0" t="n">
        <v>17.23</v>
      </c>
      <c r="J157" s="0" t="n">
        <v>56.97</v>
      </c>
      <c r="K157" s="0" t="n">
        <v>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64B</t>
        </is>
      </c>
      <c r="X157" s="0" t="n">
        <v>12</v>
      </c>
      <c r="Y157" s="0" t="n">
        <v>11</v>
      </c>
      <c r="Z157" s="0" t="inlineStr">
        <is>
          <t>https://new.land.naver.com/complexes/117045?tab=detail&amp;rf=Y</t>
        </is>
      </c>
      <c r="AA157" s="0" t="inlineStr">
        <is>
          <t>인천시 남동구 간석동 68-10</t>
        </is>
      </c>
      <c r="AB157" s="0" t="inlineStr">
        <is>
          <t>인천시</t>
        </is>
      </c>
      <c r="AC157" s="0" t="inlineStr">
        <is>
          <t>남동구</t>
        </is>
      </c>
      <c r="AD157" s="0" t="inlineStr">
        <is>
          <t>간석동</t>
        </is>
      </c>
      <c r="AG157" s="0" t="inlineStr">
        <is>
          <t>인천시 남동구 풀무로 17</t>
        </is>
      </c>
      <c r="AH157" s="0" t="n">
        <v>0</v>
      </c>
      <c r="AI157" s="0" t="n">
        <v>439</v>
      </c>
      <c r="AJ157" s="0" t="n">
        <v>46</v>
      </c>
      <c r="AK157" s="0" t="n">
        <v>16</v>
      </c>
      <c r="AL157" s="0" t="n">
        <v>1.07</v>
      </c>
    </row>
    <row r="158">
      <c r="A158" s="0" t="inlineStr">
        <is>
          <t>[간석동]</t>
        </is>
      </c>
      <c r="B158" s="0" t="n">
        <v>117045</v>
      </c>
      <c r="C158" s="0" t="n">
        <v>4</v>
      </c>
      <c r="D158" s="0" t="inlineStr">
        <is>
          <t>로젠하임</t>
        </is>
      </c>
      <c r="E158" s="0" t="inlineStr">
        <is>
          <t>2012.12.</t>
        </is>
      </c>
      <c r="F158" s="0" t="n">
        <v>15</v>
      </c>
      <c r="G158" s="0" t="n">
        <v>19.81</v>
      </c>
      <c r="H158" s="0" t="n">
        <v>65.51000000000001</v>
      </c>
      <c r="I158" s="0" t="n">
        <v>17.62</v>
      </c>
      <c r="J158" s="0" t="n">
        <v>58.25</v>
      </c>
      <c r="K158" s="0" t="n">
        <v>1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65A</t>
        </is>
      </c>
      <c r="X158" s="0" t="n">
        <v>12</v>
      </c>
      <c r="Y158" s="0" t="n">
        <v>11</v>
      </c>
      <c r="Z158" s="0" t="inlineStr">
        <is>
          <t>https://new.land.naver.com/complexes/117045?tab=detail&amp;rf=Y</t>
        </is>
      </c>
      <c r="AA158" s="0" t="inlineStr">
        <is>
          <t>인천시 남동구 간석동 68-10</t>
        </is>
      </c>
      <c r="AB158" s="0" t="inlineStr">
        <is>
          <t>인천시</t>
        </is>
      </c>
      <c r="AC158" s="0" t="inlineStr">
        <is>
          <t>남동구</t>
        </is>
      </c>
      <c r="AD158" s="0" t="inlineStr">
        <is>
          <t>간석동</t>
        </is>
      </c>
      <c r="AG158" s="0" t="inlineStr">
        <is>
          <t>인천시 남동구 풀무로 17</t>
        </is>
      </c>
      <c r="AH158" s="0" t="n">
        <v>0</v>
      </c>
      <c r="AI158" s="0" t="n">
        <v>439</v>
      </c>
      <c r="AJ158" s="0" t="n">
        <v>46</v>
      </c>
      <c r="AK158" s="0" t="n">
        <v>16</v>
      </c>
      <c r="AL158" s="0" t="n">
        <v>1.07</v>
      </c>
    </row>
    <row r="159">
      <c r="A159" s="0" t="inlineStr">
        <is>
          <t>[간석동]</t>
        </is>
      </c>
      <c r="B159" s="0" t="n">
        <v>117045</v>
      </c>
      <c r="C159" s="0" t="n">
        <v>5</v>
      </c>
      <c r="D159" s="0" t="inlineStr">
        <is>
          <t>로젠하임</t>
        </is>
      </c>
      <c r="E159" s="0" t="inlineStr">
        <is>
          <t>2012.12.</t>
        </is>
      </c>
      <c r="F159" s="0" t="n">
        <v>15</v>
      </c>
      <c r="G159" s="0" t="n">
        <v>19.9</v>
      </c>
      <c r="H159" s="0" t="n">
        <v>65.8</v>
      </c>
      <c r="I159" s="0" t="n">
        <v>17.69</v>
      </c>
      <c r="J159" s="0" t="n">
        <v>58.5</v>
      </c>
      <c r="K159" s="0" t="n">
        <v>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65B</t>
        </is>
      </c>
      <c r="X159" s="0" t="n">
        <v>12</v>
      </c>
      <c r="Y159" s="0" t="n">
        <v>11</v>
      </c>
      <c r="Z159" s="0" t="inlineStr">
        <is>
          <t>https://new.land.naver.com/complexes/117045?tab=detail&amp;rf=Y</t>
        </is>
      </c>
      <c r="AA159" s="0" t="inlineStr">
        <is>
          <t>인천시 남동구 간석동 68-10</t>
        </is>
      </c>
      <c r="AB159" s="0" t="inlineStr">
        <is>
          <t>인천시</t>
        </is>
      </c>
      <c r="AC159" s="0" t="inlineStr">
        <is>
          <t>남동구</t>
        </is>
      </c>
      <c r="AD159" s="0" t="inlineStr">
        <is>
          <t>간석동</t>
        </is>
      </c>
      <c r="AG159" s="0" t="inlineStr">
        <is>
          <t>인천시 남동구 풀무로 17</t>
        </is>
      </c>
      <c r="AH159" s="0" t="n">
        <v>0</v>
      </c>
      <c r="AI159" s="0" t="n">
        <v>439</v>
      </c>
      <c r="AJ159" s="0" t="n">
        <v>46</v>
      </c>
      <c r="AK159" s="0" t="n">
        <v>16</v>
      </c>
      <c r="AL159" s="0" t="n">
        <v>1.07</v>
      </c>
    </row>
    <row r="160">
      <c r="A160" s="0" t="inlineStr">
        <is>
          <t>[간석동]</t>
        </is>
      </c>
      <c r="B160" s="0" t="n">
        <v>117045</v>
      </c>
      <c r="C160" s="0" t="n">
        <v>6</v>
      </c>
      <c r="D160" s="0" t="inlineStr">
        <is>
          <t>로젠하임</t>
        </is>
      </c>
      <c r="E160" s="0" t="inlineStr">
        <is>
          <t>2012.12.</t>
        </is>
      </c>
      <c r="F160" s="0" t="n">
        <v>15</v>
      </c>
      <c r="G160" s="0" t="n">
        <v>19.94</v>
      </c>
      <c r="H160" s="0" t="n">
        <v>65.93000000000001</v>
      </c>
      <c r="I160" s="0" t="n">
        <v>17.73</v>
      </c>
      <c r="J160" s="0" t="n">
        <v>58.62</v>
      </c>
      <c r="K160" s="0" t="n">
        <v>1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65C</t>
        </is>
      </c>
      <c r="X160" s="0" t="n">
        <v>12</v>
      </c>
      <c r="Y160" s="0" t="n">
        <v>11</v>
      </c>
      <c r="Z160" s="0" t="inlineStr">
        <is>
          <t>https://new.land.naver.com/complexes/117045?tab=detail&amp;rf=Y</t>
        </is>
      </c>
      <c r="AA160" s="0" t="inlineStr">
        <is>
          <t>인천시 남동구 간석동 68-10</t>
        </is>
      </c>
      <c r="AB160" s="0" t="inlineStr">
        <is>
          <t>인천시</t>
        </is>
      </c>
      <c r="AC160" s="0" t="inlineStr">
        <is>
          <t>남동구</t>
        </is>
      </c>
      <c r="AD160" s="0" t="inlineStr">
        <is>
          <t>간석동</t>
        </is>
      </c>
      <c r="AG160" s="0" t="inlineStr">
        <is>
          <t>인천시 남동구 풀무로 17</t>
        </is>
      </c>
      <c r="AH160" s="0" t="n">
        <v>0</v>
      </c>
      <c r="AI160" s="0" t="n">
        <v>439</v>
      </c>
      <c r="AJ160" s="0" t="n">
        <v>46</v>
      </c>
      <c r="AK160" s="0" t="n">
        <v>16</v>
      </c>
      <c r="AL160" s="0" t="n">
        <v>1.07</v>
      </c>
    </row>
    <row r="161">
      <c r="A161" s="0" t="inlineStr">
        <is>
          <t>[간석동]</t>
        </is>
      </c>
      <c r="B161" s="0" t="n">
        <v>117045</v>
      </c>
      <c r="C161" s="0" t="n">
        <v>7</v>
      </c>
      <c r="D161" s="0" t="inlineStr">
        <is>
          <t>로젠하임</t>
        </is>
      </c>
      <c r="E161" s="0" t="inlineStr">
        <is>
          <t>2012.12.</t>
        </is>
      </c>
      <c r="F161" s="0" t="n">
        <v>15</v>
      </c>
      <c r="G161" s="0" t="n">
        <v>20.91</v>
      </c>
      <c r="H161" s="0" t="n">
        <v>69.14</v>
      </c>
      <c r="I161" s="0" t="n">
        <v>18.59</v>
      </c>
      <c r="J161" s="0" t="n">
        <v>61.47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69A</t>
        </is>
      </c>
      <c r="X161" s="0" t="n">
        <v>12</v>
      </c>
      <c r="Y161" s="0" t="n">
        <v>11</v>
      </c>
      <c r="Z161" s="0" t="inlineStr">
        <is>
          <t>https://new.land.naver.com/complexes/117045?tab=detail&amp;rf=Y</t>
        </is>
      </c>
      <c r="AA161" s="0" t="inlineStr">
        <is>
          <t>인천시 남동구 간석동 68-10</t>
        </is>
      </c>
      <c r="AB161" s="0" t="inlineStr">
        <is>
          <t>인천시</t>
        </is>
      </c>
      <c r="AC161" s="0" t="inlineStr">
        <is>
          <t>남동구</t>
        </is>
      </c>
      <c r="AD161" s="0" t="inlineStr">
        <is>
          <t>간석동</t>
        </is>
      </c>
      <c r="AG161" s="0" t="inlineStr">
        <is>
          <t>인천시 남동구 풀무로 17</t>
        </is>
      </c>
      <c r="AH161" s="0" t="n">
        <v>0</v>
      </c>
      <c r="AI161" s="0" t="n">
        <v>439</v>
      </c>
      <c r="AJ161" s="0" t="n">
        <v>46</v>
      </c>
      <c r="AK161" s="0" t="n">
        <v>16</v>
      </c>
      <c r="AL161" s="0" t="n">
        <v>1.07</v>
      </c>
    </row>
    <row r="162">
      <c r="A162" s="0" t="inlineStr">
        <is>
          <t>[간석동]</t>
        </is>
      </c>
      <c r="B162" s="0" t="n">
        <v>117045</v>
      </c>
      <c r="C162" s="0" t="n">
        <v>8</v>
      </c>
      <c r="D162" s="0" t="inlineStr">
        <is>
          <t>로젠하임</t>
        </is>
      </c>
      <c r="E162" s="0" t="inlineStr">
        <is>
          <t>2012.12.</t>
        </is>
      </c>
      <c r="F162" s="0" t="n">
        <v>15</v>
      </c>
      <c r="G162" s="0" t="n">
        <v>20.95</v>
      </c>
      <c r="H162" s="0" t="n">
        <v>69.27</v>
      </c>
      <c r="I162" s="0" t="n">
        <v>18.63</v>
      </c>
      <c r="J162" s="0" t="n">
        <v>61.59</v>
      </c>
      <c r="K162" s="0" t="n">
        <v>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69B</t>
        </is>
      </c>
      <c r="X162" s="0" t="n">
        <v>12</v>
      </c>
      <c r="Y162" s="0" t="n">
        <v>11</v>
      </c>
      <c r="Z162" s="0" t="inlineStr">
        <is>
          <t>https://new.land.naver.com/complexes/117045?tab=detail&amp;rf=Y</t>
        </is>
      </c>
      <c r="AA162" s="0" t="inlineStr">
        <is>
          <t>인천시 남동구 간석동 68-10</t>
        </is>
      </c>
      <c r="AB162" s="0" t="inlineStr">
        <is>
          <t>인천시</t>
        </is>
      </c>
      <c r="AC162" s="0" t="inlineStr">
        <is>
          <t>남동구</t>
        </is>
      </c>
      <c r="AD162" s="0" t="inlineStr">
        <is>
          <t>간석동</t>
        </is>
      </c>
      <c r="AG162" s="0" t="inlineStr">
        <is>
          <t>인천시 남동구 풀무로 17</t>
        </is>
      </c>
      <c r="AH162" s="0" t="n">
        <v>0</v>
      </c>
      <c r="AI162" s="0" t="n">
        <v>439</v>
      </c>
      <c r="AJ162" s="0" t="n">
        <v>46</v>
      </c>
      <c r="AK162" s="0" t="n">
        <v>16</v>
      </c>
      <c r="AL162" s="0" t="n">
        <v>1.07</v>
      </c>
    </row>
    <row r="163">
      <c r="A163" s="0" t="inlineStr">
        <is>
          <t>[간석동]</t>
        </is>
      </c>
      <c r="B163" s="0" t="n">
        <v>117045</v>
      </c>
      <c r="C163" s="0" t="n">
        <v>9</v>
      </c>
      <c r="D163" s="0" t="inlineStr">
        <is>
          <t>로젠하임</t>
        </is>
      </c>
      <c r="E163" s="0" t="inlineStr">
        <is>
          <t>2012.12.</t>
        </is>
      </c>
      <c r="F163" s="0" t="n">
        <v>15</v>
      </c>
      <c r="G163" s="0" t="n">
        <v>36.92</v>
      </c>
      <c r="H163" s="0" t="n">
        <v>122.05</v>
      </c>
      <c r="I163" s="0" t="n">
        <v>32.82</v>
      </c>
      <c r="J163" s="0" t="n">
        <v>108.51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122</v>
      </c>
      <c r="X163" s="0" t="n">
        <v>12</v>
      </c>
      <c r="Y163" s="0" t="n">
        <v>11</v>
      </c>
      <c r="Z163" s="0" t="inlineStr">
        <is>
          <t>https://new.land.naver.com/complexes/117045?tab=detail&amp;rf=Y</t>
        </is>
      </c>
      <c r="AA163" s="0" t="inlineStr">
        <is>
          <t>인천시 남동구 간석동 68-10</t>
        </is>
      </c>
      <c r="AB163" s="0" t="inlineStr">
        <is>
          <t>인천시</t>
        </is>
      </c>
      <c r="AC163" s="0" t="inlineStr">
        <is>
          <t>남동구</t>
        </is>
      </c>
      <c r="AD163" s="0" t="inlineStr">
        <is>
          <t>간석동</t>
        </is>
      </c>
      <c r="AG163" s="0" t="inlineStr">
        <is>
          <t>인천시 남동구 풀무로 17</t>
        </is>
      </c>
      <c r="AH163" s="0" t="n">
        <v>0</v>
      </c>
      <c r="AI163" s="0" t="n">
        <v>439</v>
      </c>
      <c r="AJ163" s="0" t="n">
        <v>46</v>
      </c>
      <c r="AK163" s="0" t="n">
        <v>16</v>
      </c>
      <c r="AL163" s="0" t="n">
        <v>1.07</v>
      </c>
    </row>
    <row r="164">
      <c r="A164" s="0" t="inlineStr">
        <is>
          <t>[간석동]</t>
        </is>
      </c>
      <c r="B164" s="0" t="n">
        <v>120144</v>
      </c>
      <c r="C164" s="0" t="n">
        <v>1</v>
      </c>
      <c r="D164" s="0" t="inlineStr">
        <is>
          <t>행복팰리스</t>
        </is>
      </c>
      <c r="E164" s="0" t="inlineStr">
        <is>
          <t>2018.02.</t>
        </is>
      </c>
      <c r="F164" s="0" t="n">
        <v>15</v>
      </c>
      <c r="G164" s="0" t="n">
        <v>14.53</v>
      </c>
      <c r="H164" s="0" t="n">
        <v>48.06</v>
      </c>
      <c r="I164" s="0" t="n">
        <v>11.33</v>
      </c>
      <c r="J164" s="0" t="n">
        <v>37.46</v>
      </c>
      <c r="K164" s="0" t="n">
        <v>3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48</v>
      </c>
      <c r="X164" s="0" t="n">
        <v>14</v>
      </c>
      <c r="Y164" s="0" t="n">
        <v>14</v>
      </c>
      <c r="Z164" s="0" t="inlineStr">
        <is>
          <t>https://new.land.naver.com/complexes/120144?tab=detail&amp;rf=Y</t>
        </is>
      </c>
      <c r="AA164" s="0" t="inlineStr">
        <is>
          <t>인천시 남동구 간석동 103-7</t>
        </is>
      </c>
      <c r="AB164" s="0" t="inlineStr">
        <is>
          <t>인천시</t>
        </is>
      </c>
      <c r="AC164" s="0" t="inlineStr">
        <is>
          <t>남동구</t>
        </is>
      </c>
      <c r="AD164" s="0" t="inlineStr">
        <is>
          <t>간석동</t>
        </is>
      </c>
      <c r="AG164" s="0" t="inlineStr">
        <is>
          <t>인천시 남동구 경인로644번길 45</t>
        </is>
      </c>
      <c r="AH164" s="0" t="n">
        <v>0</v>
      </c>
      <c r="AI164" s="0" t="n">
        <v>801</v>
      </c>
      <c r="AJ164" s="0" t="n">
        <v>73</v>
      </c>
      <c r="AK164" s="0" t="n">
        <v>10</v>
      </c>
      <c r="AL164" s="0" t="n">
        <v>0.67</v>
      </c>
    </row>
    <row r="165">
      <c r="A165" s="0" t="inlineStr">
        <is>
          <t>[간석동]</t>
        </is>
      </c>
      <c r="B165" s="0" t="n">
        <v>120144</v>
      </c>
      <c r="C165" s="0" t="n">
        <v>2</v>
      </c>
      <c r="D165" s="0" t="inlineStr">
        <is>
          <t>행복팰리스</t>
        </is>
      </c>
      <c r="E165" s="0" t="inlineStr">
        <is>
          <t>2018.02.</t>
        </is>
      </c>
      <c r="F165" s="0" t="n">
        <v>15</v>
      </c>
      <c r="G165" s="0" t="n">
        <v>19.17</v>
      </c>
      <c r="H165" s="0" t="n">
        <v>63.39</v>
      </c>
      <c r="I165" s="0" t="n">
        <v>15.09</v>
      </c>
      <c r="J165" s="0" t="n">
        <v>49.89</v>
      </c>
      <c r="K165" s="0" t="n">
        <v>3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63B</t>
        </is>
      </c>
      <c r="X165" s="0" t="n">
        <v>14</v>
      </c>
      <c r="Y165" s="0" t="n">
        <v>14</v>
      </c>
      <c r="Z165" s="0" t="inlineStr">
        <is>
          <t>https://new.land.naver.com/complexes/120144?tab=detail&amp;rf=Y</t>
        </is>
      </c>
      <c r="AA165" s="0" t="inlineStr">
        <is>
          <t>인천시 남동구 간석동 103-7</t>
        </is>
      </c>
      <c r="AB165" s="0" t="inlineStr">
        <is>
          <t>인천시</t>
        </is>
      </c>
      <c r="AC165" s="0" t="inlineStr">
        <is>
          <t>남동구</t>
        </is>
      </c>
      <c r="AD165" s="0" t="inlineStr">
        <is>
          <t>간석동</t>
        </is>
      </c>
      <c r="AG165" s="0" t="inlineStr">
        <is>
          <t>인천시 남동구 경인로644번길 45</t>
        </is>
      </c>
      <c r="AH165" s="0" t="n">
        <v>0</v>
      </c>
      <c r="AI165" s="0" t="n">
        <v>801</v>
      </c>
      <c r="AJ165" s="0" t="n">
        <v>73</v>
      </c>
      <c r="AK165" s="0" t="n">
        <v>10</v>
      </c>
      <c r="AL165" s="0" t="n">
        <v>0.67</v>
      </c>
    </row>
    <row r="166">
      <c r="A166" s="0" t="inlineStr">
        <is>
          <t>[간석동]</t>
        </is>
      </c>
      <c r="B166" s="0" t="n">
        <v>120144</v>
      </c>
      <c r="C166" s="0" t="n">
        <v>3</v>
      </c>
      <c r="D166" s="0" t="inlineStr">
        <is>
          <t>행복팰리스</t>
        </is>
      </c>
      <c r="E166" s="0" t="inlineStr">
        <is>
          <t>2018.02.</t>
        </is>
      </c>
      <c r="F166" s="0" t="n">
        <v>15</v>
      </c>
      <c r="G166" s="0" t="n">
        <v>19.42</v>
      </c>
      <c r="H166" s="0" t="n">
        <v>64.22</v>
      </c>
      <c r="I166" s="0" t="n">
        <v>15</v>
      </c>
      <c r="J166" s="0" t="n">
        <v>49.59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64A</t>
        </is>
      </c>
      <c r="X166" s="0" t="n">
        <v>14</v>
      </c>
      <c r="Y166" s="0" t="n">
        <v>14</v>
      </c>
      <c r="Z166" s="0" t="inlineStr">
        <is>
          <t>https://new.land.naver.com/complexes/120144?tab=detail&amp;rf=Y</t>
        </is>
      </c>
      <c r="AA166" s="0" t="inlineStr">
        <is>
          <t>인천시 남동구 간석동 103-7</t>
        </is>
      </c>
      <c r="AB166" s="0" t="inlineStr">
        <is>
          <t>인천시</t>
        </is>
      </c>
      <c r="AC166" s="0" t="inlineStr">
        <is>
          <t>남동구</t>
        </is>
      </c>
      <c r="AD166" s="0" t="inlineStr">
        <is>
          <t>간석동</t>
        </is>
      </c>
      <c r="AG166" s="0" t="inlineStr">
        <is>
          <t>인천시 남동구 경인로644번길 45</t>
        </is>
      </c>
      <c r="AH166" s="0" t="n">
        <v>0</v>
      </c>
      <c r="AI166" s="0" t="n">
        <v>801</v>
      </c>
      <c r="AJ166" s="0" t="n">
        <v>73</v>
      </c>
      <c r="AK166" s="0" t="n">
        <v>10</v>
      </c>
      <c r="AL166" s="0" t="n">
        <v>0.67</v>
      </c>
    </row>
    <row r="167">
      <c r="A167" s="0" t="inlineStr">
        <is>
          <t>[간석동]</t>
        </is>
      </c>
      <c r="B167" s="0" t="n">
        <v>120144</v>
      </c>
      <c r="C167" s="0" t="n">
        <v>4</v>
      </c>
      <c r="D167" s="0" t="inlineStr">
        <is>
          <t>행복팰리스</t>
        </is>
      </c>
      <c r="E167" s="0" t="inlineStr">
        <is>
          <t>2018.02.</t>
        </is>
      </c>
      <c r="F167" s="0" t="n">
        <v>15</v>
      </c>
      <c r="G167" s="0" t="n">
        <v>19.39</v>
      </c>
      <c r="H167" s="0" t="n">
        <v>64.12</v>
      </c>
      <c r="I167" s="0" t="n">
        <v>15.16</v>
      </c>
      <c r="J167" s="0" t="n">
        <v>50.14</v>
      </c>
      <c r="K167" s="0" t="n">
        <v>3</v>
      </c>
      <c r="T167" s="0" t="n">
        <v>2</v>
      </c>
      <c r="U167" s="0" t="n">
        <v>1</v>
      </c>
      <c r="V167" s="0" t="inlineStr">
        <is>
          <t>복합식</t>
        </is>
      </c>
      <c r="W167" s="0" t="n">
        <v>64</v>
      </c>
      <c r="X167" s="0" t="n">
        <v>14</v>
      </c>
      <c r="Y167" s="0" t="n">
        <v>14</v>
      </c>
      <c r="Z167" s="0" t="inlineStr">
        <is>
          <t>https://new.land.naver.com/complexes/120144?tab=detail&amp;rf=Y</t>
        </is>
      </c>
      <c r="AA167" s="0" t="inlineStr">
        <is>
          <t>인천시 남동구 간석동 103-7</t>
        </is>
      </c>
      <c r="AB167" s="0" t="inlineStr">
        <is>
          <t>인천시</t>
        </is>
      </c>
      <c r="AC167" s="0" t="inlineStr">
        <is>
          <t>남동구</t>
        </is>
      </c>
      <c r="AD167" s="0" t="inlineStr">
        <is>
          <t>간석동</t>
        </is>
      </c>
      <c r="AG167" s="0" t="inlineStr">
        <is>
          <t>인천시 남동구 경인로644번길 45</t>
        </is>
      </c>
      <c r="AH167" s="0" t="n">
        <v>0</v>
      </c>
      <c r="AI167" s="0" t="n">
        <v>801</v>
      </c>
      <c r="AJ167" s="0" t="n">
        <v>73</v>
      </c>
      <c r="AK167" s="0" t="n">
        <v>10</v>
      </c>
      <c r="AL167" s="0" t="n">
        <v>0.67</v>
      </c>
    </row>
    <row r="168">
      <c r="A168" s="0" t="inlineStr">
        <is>
          <t>[간석동]</t>
        </is>
      </c>
      <c r="B168" s="0" t="n">
        <v>129942</v>
      </c>
      <c r="C168" s="0" t="n">
        <v>1</v>
      </c>
      <c r="D168" s="0" t="inlineStr">
        <is>
          <t>리젠시아(도시형)</t>
        </is>
      </c>
      <c r="E168" s="0" t="inlineStr">
        <is>
          <t>2014.03.</t>
        </is>
      </c>
      <c r="F168" s="0" t="n">
        <v>19</v>
      </c>
      <c r="G168" s="0" t="n">
        <v>16.95</v>
      </c>
      <c r="H168" s="0" t="n">
        <v>56.05</v>
      </c>
      <c r="I168" s="0" t="n">
        <v>13.76</v>
      </c>
      <c r="J168" s="0" t="n">
        <v>45.49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56</v>
      </c>
      <c r="X168" s="0" t="n">
        <v>8</v>
      </c>
      <c r="Y168" s="0" t="n">
        <v>8</v>
      </c>
      <c r="Z168" s="0" t="inlineStr">
        <is>
          <t>https://new.land.naver.com/complexes/129942?tab=detail&amp;rf=Y</t>
        </is>
      </c>
      <c r="AA168" s="0" t="inlineStr">
        <is>
          <t>인천시 남동구 간석동 49-22</t>
        </is>
      </c>
      <c r="AB168" s="0" t="inlineStr">
        <is>
          <t>인천시</t>
        </is>
      </c>
      <c r="AC168" s="0" t="inlineStr">
        <is>
          <t>남동구</t>
        </is>
      </c>
      <c r="AD168" s="0" t="inlineStr">
        <is>
          <t>간석동</t>
        </is>
      </c>
      <c r="AG168" s="0" t="inlineStr">
        <is>
          <t>인천시 남동구 용천로176번길 5</t>
        </is>
      </c>
      <c r="AH168" s="0" t="n">
        <v>0</v>
      </c>
      <c r="AI168" s="0" t="n">
        <v>555</v>
      </c>
      <c r="AJ168" s="0" t="n">
        <v>74</v>
      </c>
      <c r="AK168" s="0" t="n">
        <v>16</v>
      </c>
      <c r="AL168" s="0" t="n">
        <v>0.84</v>
      </c>
    </row>
    <row r="169">
      <c r="A169" s="0" t="inlineStr">
        <is>
          <t>[간석동]</t>
        </is>
      </c>
      <c r="B169" s="0" t="n">
        <v>129942</v>
      </c>
      <c r="C169" s="0" t="n">
        <v>2</v>
      </c>
      <c r="D169" s="0" t="inlineStr">
        <is>
          <t>리젠시아(도시형)</t>
        </is>
      </c>
      <c r="E169" s="0" t="inlineStr">
        <is>
          <t>2014.03.</t>
        </is>
      </c>
      <c r="F169" s="0" t="n">
        <v>19</v>
      </c>
      <c r="G169" s="0" t="n">
        <v>17.92</v>
      </c>
      <c r="H169" s="0" t="n">
        <v>59.26</v>
      </c>
      <c r="I169" s="0" t="n">
        <v>14.55</v>
      </c>
      <c r="J169" s="0" t="n">
        <v>48.1</v>
      </c>
      <c r="K169" s="0" t="n">
        <v>5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59A</t>
        </is>
      </c>
      <c r="X169" s="0" t="n">
        <v>8</v>
      </c>
      <c r="Y169" s="0" t="n">
        <v>8</v>
      </c>
      <c r="Z169" s="0" t="inlineStr">
        <is>
          <t>https://new.land.naver.com/complexes/129942?tab=detail&amp;rf=Y</t>
        </is>
      </c>
      <c r="AA169" s="0" t="inlineStr">
        <is>
          <t>인천시 남동구 간석동 49-22</t>
        </is>
      </c>
      <c r="AB169" s="0" t="inlineStr">
        <is>
          <t>인천시</t>
        </is>
      </c>
      <c r="AC169" s="0" t="inlineStr">
        <is>
          <t>남동구</t>
        </is>
      </c>
      <c r="AD169" s="0" t="inlineStr">
        <is>
          <t>간석동</t>
        </is>
      </c>
      <c r="AG169" s="0" t="inlineStr">
        <is>
          <t>인천시 남동구 용천로176번길 5</t>
        </is>
      </c>
      <c r="AH169" s="0" t="n">
        <v>0</v>
      </c>
      <c r="AI169" s="0" t="n">
        <v>555</v>
      </c>
      <c r="AJ169" s="0" t="n">
        <v>74</v>
      </c>
      <c r="AK169" s="0" t="n">
        <v>16</v>
      </c>
      <c r="AL169" s="0" t="n">
        <v>0.84</v>
      </c>
    </row>
    <row r="170">
      <c r="A170" s="0" t="inlineStr">
        <is>
          <t>[간석동]</t>
        </is>
      </c>
      <c r="B170" s="0" t="n">
        <v>129942</v>
      </c>
      <c r="C170" s="0" t="n">
        <v>3</v>
      </c>
      <c r="D170" s="0" t="inlineStr">
        <is>
          <t>리젠시아(도시형)</t>
        </is>
      </c>
      <c r="E170" s="0" t="inlineStr">
        <is>
          <t>2014.03.</t>
        </is>
      </c>
      <c r="F170" s="0" t="n">
        <v>19</v>
      </c>
      <c r="G170" s="0" t="n">
        <v>18.2</v>
      </c>
      <c r="H170" s="0" t="n">
        <v>60.18</v>
      </c>
      <c r="I170" s="0" t="n">
        <v>14.77</v>
      </c>
      <c r="J170" s="0" t="n">
        <v>48.84</v>
      </c>
      <c r="K170" s="0" t="n">
        <v>5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60B</t>
        </is>
      </c>
      <c r="X170" s="0" t="n">
        <v>8</v>
      </c>
      <c r="Y170" s="0" t="n">
        <v>8</v>
      </c>
      <c r="Z170" s="0" t="inlineStr">
        <is>
          <t>https://new.land.naver.com/complexes/129942?tab=detail&amp;rf=Y</t>
        </is>
      </c>
      <c r="AA170" s="0" t="inlineStr">
        <is>
          <t>인천시 남동구 간석동 49-22</t>
        </is>
      </c>
      <c r="AB170" s="0" t="inlineStr">
        <is>
          <t>인천시</t>
        </is>
      </c>
      <c r="AC170" s="0" t="inlineStr">
        <is>
          <t>남동구</t>
        </is>
      </c>
      <c r="AD170" s="0" t="inlineStr">
        <is>
          <t>간석동</t>
        </is>
      </c>
      <c r="AG170" s="0" t="inlineStr">
        <is>
          <t>인천시 남동구 용천로176번길 5</t>
        </is>
      </c>
      <c r="AH170" s="0" t="n">
        <v>0</v>
      </c>
      <c r="AI170" s="0" t="n">
        <v>555</v>
      </c>
      <c r="AJ170" s="0" t="n">
        <v>74</v>
      </c>
      <c r="AK170" s="0" t="n">
        <v>16</v>
      </c>
      <c r="AL170" s="0" t="n">
        <v>0.84</v>
      </c>
    </row>
    <row r="171">
      <c r="A171" s="0" t="inlineStr">
        <is>
          <t>[간석동]</t>
        </is>
      </c>
      <c r="B171" s="0" t="n">
        <v>129942</v>
      </c>
      <c r="C171" s="0" t="n">
        <v>4</v>
      </c>
      <c r="D171" s="0" t="inlineStr">
        <is>
          <t>리젠시아(도시형)</t>
        </is>
      </c>
      <c r="E171" s="0" t="inlineStr">
        <is>
          <t>2014.03.</t>
        </is>
      </c>
      <c r="F171" s="0" t="n">
        <v>19</v>
      </c>
      <c r="G171" s="0" t="n">
        <v>18.38</v>
      </c>
      <c r="H171" s="0" t="n">
        <v>60.79</v>
      </c>
      <c r="I171" s="0" t="n">
        <v>14.92</v>
      </c>
      <c r="J171" s="0" t="n">
        <v>49.34</v>
      </c>
      <c r="K171" s="0" t="n">
        <v>2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60C</t>
        </is>
      </c>
      <c r="X171" s="0" t="n">
        <v>8</v>
      </c>
      <c r="Y171" s="0" t="n">
        <v>8</v>
      </c>
      <c r="Z171" s="0" t="inlineStr">
        <is>
          <t>https://new.land.naver.com/complexes/129942?tab=detail&amp;rf=Y</t>
        </is>
      </c>
      <c r="AA171" s="0" t="inlineStr">
        <is>
          <t>인천시 남동구 간석동 49-22</t>
        </is>
      </c>
      <c r="AB171" s="0" t="inlineStr">
        <is>
          <t>인천시</t>
        </is>
      </c>
      <c r="AC171" s="0" t="inlineStr">
        <is>
          <t>남동구</t>
        </is>
      </c>
      <c r="AD171" s="0" t="inlineStr">
        <is>
          <t>간석동</t>
        </is>
      </c>
      <c r="AG171" s="0" t="inlineStr">
        <is>
          <t>인천시 남동구 용천로176번길 5</t>
        </is>
      </c>
      <c r="AH171" s="0" t="n">
        <v>0</v>
      </c>
      <c r="AI171" s="0" t="n">
        <v>555</v>
      </c>
      <c r="AJ171" s="0" t="n">
        <v>74</v>
      </c>
      <c r="AK171" s="0" t="n">
        <v>16</v>
      </c>
      <c r="AL171" s="0" t="n">
        <v>0.84</v>
      </c>
    </row>
    <row r="172">
      <c r="A172" s="0" t="inlineStr">
        <is>
          <t>[간석동]</t>
        </is>
      </c>
      <c r="B172" s="0" t="n">
        <v>129942</v>
      </c>
      <c r="C172" s="0" t="n">
        <v>5</v>
      </c>
      <c r="D172" s="0" t="inlineStr">
        <is>
          <t>리젠시아(도시형)</t>
        </is>
      </c>
      <c r="E172" s="0" t="inlineStr">
        <is>
          <t>2014.03.</t>
        </is>
      </c>
      <c r="F172" s="0" t="n">
        <v>19</v>
      </c>
      <c r="G172" s="0" t="n">
        <v>18.58</v>
      </c>
      <c r="H172" s="0" t="n">
        <v>61.43</v>
      </c>
      <c r="I172" s="0" t="n">
        <v>15.08</v>
      </c>
      <c r="J172" s="0" t="n">
        <v>49.86</v>
      </c>
      <c r="K172" s="0" t="n">
        <v>5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61</v>
      </c>
      <c r="X172" s="0" t="n">
        <v>8</v>
      </c>
      <c r="Y172" s="0" t="n">
        <v>8</v>
      </c>
      <c r="Z172" s="0" t="inlineStr">
        <is>
          <t>https://new.land.naver.com/complexes/129942?tab=detail&amp;rf=Y</t>
        </is>
      </c>
      <c r="AA172" s="0" t="inlineStr">
        <is>
          <t>인천시 남동구 간석동 49-22</t>
        </is>
      </c>
      <c r="AB172" s="0" t="inlineStr">
        <is>
          <t>인천시</t>
        </is>
      </c>
      <c r="AC172" s="0" t="inlineStr">
        <is>
          <t>남동구</t>
        </is>
      </c>
      <c r="AD172" s="0" t="inlineStr">
        <is>
          <t>간석동</t>
        </is>
      </c>
      <c r="AG172" s="0" t="inlineStr">
        <is>
          <t>인천시 남동구 용천로176번길 5</t>
        </is>
      </c>
      <c r="AH172" s="0" t="n">
        <v>0</v>
      </c>
      <c r="AI172" s="0" t="n">
        <v>555</v>
      </c>
      <c r="AJ172" s="0" t="n">
        <v>74</v>
      </c>
      <c r="AK172" s="0" t="n">
        <v>16</v>
      </c>
      <c r="AL172" s="0" t="n">
        <v>0.84</v>
      </c>
    </row>
    <row r="173">
      <c r="A173" s="0" t="inlineStr">
        <is>
          <t>[간석동]</t>
        </is>
      </c>
      <c r="B173" s="0" t="n">
        <v>123817</v>
      </c>
      <c r="C173" s="0" t="n">
        <v>1</v>
      </c>
      <c r="D173" s="0" t="inlineStr">
        <is>
          <t>삼성타워</t>
        </is>
      </c>
      <c r="E173" s="0" t="inlineStr">
        <is>
          <t>2017.11.</t>
        </is>
      </c>
      <c r="F173" s="0" t="n">
        <v>8</v>
      </c>
      <c r="G173" s="0" t="n">
        <v>20.9</v>
      </c>
      <c r="H173" s="0" t="n">
        <v>69.11</v>
      </c>
      <c r="I173" s="0" t="n">
        <v>17.65</v>
      </c>
      <c r="J173" s="0" t="n">
        <v>58.36</v>
      </c>
      <c r="K173" s="0" t="n">
        <v>4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69</v>
      </c>
      <c r="X173" s="0" t="n">
        <v>5</v>
      </c>
      <c r="Y173" s="0" t="n">
        <v>5</v>
      </c>
      <c r="Z173" s="0" t="inlineStr">
        <is>
          <t>https://new.land.naver.com/complexes/123817?tab=detail&amp;rf=Y</t>
        </is>
      </c>
      <c r="AA173" s="0" t="inlineStr">
        <is>
          <t>인천시 남동구 간석동 102-12</t>
        </is>
      </c>
      <c r="AB173" s="0" t="inlineStr">
        <is>
          <t>인천시</t>
        </is>
      </c>
      <c r="AC173" s="0" t="inlineStr">
        <is>
          <t>남동구</t>
        </is>
      </c>
      <c r="AD173" s="0" t="inlineStr">
        <is>
          <t>간석동</t>
        </is>
      </c>
      <c r="AG173" s="0" t="inlineStr">
        <is>
          <t>인천시 남동구 백범로360번길 21</t>
        </is>
      </c>
      <c r="AH173" s="0" t="n">
        <v>0</v>
      </c>
      <c r="AI173" s="0" t="n">
        <v>822</v>
      </c>
      <c r="AJ173" s="0" t="n">
        <v>77</v>
      </c>
      <c r="AK173" s="0" t="n">
        <v>8</v>
      </c>
      <c r="AL173" s="0" t="n">
        <v>1</v>
      </c>
    </row>
    <row r="174">
      <c r="A174" s="0" t="inlineStr">
        <is>
          <t>[간석동]</t>
        </is>
      </c>
      <c r="B174" s="0" t="n">
        <v>123817</v>
      </c>
      <c r="C174" s="0" t="n">
        <v>2</v>
      </c>
      <c r="D174" s="0" t="inlineStr">
        <is>
          <t>삼성타워</t>
        </is>
      </c>
      <c r="E174" s="0" t="inlineStr">
        <is>
          <t>2017.11.</t>
        </is>
      </c>
      <c r="F174" s="0" t="n">
        <v>8</v>
      </c>
      <c r="G174" s="0" t="n">
        <v>26.23</v>
      </c>
      <c r="H174" s="0" t="n">
        <v>86.73</v>
      </c>
      <c r="I174" s="0" t="n">
        <v>22.08</v>
      </c>
      <c r="J174" s="0" t="n">
        <v>73.01000000000001</v>
      </c>
      <c r="K174" s="0" t="n">
        <v>4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86</v>
      </c>
      <c r="X174" s="0" t="n">
        <v>5</v>
      </c>
      <c r="Y174" s="0" t="n">
        <v>5</v>
      </c>
      <c r="Z174" s="0" t="inlineStr">
        <is>
          <t>https://new.land.naver.com/complexes/123817?tab=detail&amp;rf=Y</t>
        </is>
      </c>
      <c r="AA174" s="0" t="inlineStr">
        <is>
          <t>인천시 남동구 간석동 102-12</t>
        </is>
      </c>
      <c r="AB174" s="0" t="inlineStr">
        <is>
          <t>인천시</t>
        </is>
      </c>
      <c r="AC174" s="0" t="inlineStr">
        <is>
          <t>남동구</t>
        </is>
      </c>
      <c r="AD174" s="0" t="inlineStr">
        <is>
          <t>간석동</t>
        </is>
      </c>
      <c r="AG174" s="0" t="inlineStr">
        <is>
          <t>인천시 남동구 백범로360번길 21</t>
        </is>
      </c>
      <c r="AH174" s="0" t="n">
        <v>0</v>
      </c>
      <c r="AI174" s="0" t="n">
        <v>822</v>
      </c>
      <c r="AJ174" s="0" t="n">
        <v>77</v>
      </c>
      <c r="AK174" s="0" t="n">
        <v>8</v>
      </c>
      <c r="AL174" s="0" t="n">
        <v>1</v>
      </c>
    </row>
    <row r="175">
      <c r="A175" s="0" t="inlineStr">
        <is>
          <t>[간석동]</t>
        </is>
      </c>
      <c r="B175" s="0" t="n">
        <v>2236</v>
      </c>
      <c r="C175" s="0" t="n">
        <v>1</v>
      </c>
      <c r="D175" s="0" t="inlineStr">
        <is>
          <t>극동</t>
        </is>
      </c>
      <c r="E175" s="0" t="inlineStr">
        <is>
          <t>1989.05.</t>
        </is>
      </c>
      <c r="F175" s="0" t="n">
        <v>760</v>
      </c>
      <c r="G175" s="0" t="n">
        <v>16.23</v>
      </c>
      <c r="H175" s="0" t="n">
        <v>53.67</v>
      </c>
      <c r="I175" s="0" t="n">
        <v>12.29</v>
      </c>
      <c r="J175" s="0" t="n">
        <v>40.63</v>
      </c>
      <c r="K175" s="0" t="n">
        <v>96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53</v>
      </c>
      <c r="X175" s="0" t="n">
        <v>13</v>
      </c>
      <c r="Y175" s="0" t="n">
        <v>12</v>
      </c>
      <c r="Z175" s="0" t="inlineStr">
        <is>
          <t>https://new.land.naver.com/complexes/2236?tab=detail&amp;rf=Y</t>
        </is>
      </c>
      <c r="AA175" s="0" t="inlineStr">
        <is>
          <t>인천시 남동구 간석동 501</t>
        </is>
      </c>
      <c r="AB175" s="0" t="inlineStr">
        <is>
          <t>인천시</t>
        </is>
      </c>
      <c r="AC175" s="0" t="inlineStr">
        <is>
          <t>남동구</t>
        </is>
      </c>
      <c r="AD175" s="0" t="inlineStr">
        <is>
          <t>간석동</t>
        </is>
      </c>
      <c r="AG175" s="0" t="inlineStr">
        <is>
          <t>인천시 남동구 구월로 78</t>
        </is>
      </c>
      <c r="AH175" s="0" t="n">
        <v>0</v>
      </c>
      <c r="AI175" s="0" t="n">
        <v>192</v>
      </c>
      <c r="AJ175" s="0" t="n">
        <v>17</v>
      </c>
      <c r="AK175" s="0" t="n">
        <v>0</v>
      </c>
      <c r="AL175" s="0" t="n">
        <v>0</v>
      </c>
    </row>
    <row r="176">
      <c r="A176" s="0" t="inlineStr">
        <is>
          <t>[간석동]</t>
        </is>
      </c>
      <c r="B176" s="0" t="n">
        <v>2236</v>
      </c>
      <c r="C176" s="0" t="n">
        <v>2</v>
      </c>
      <c r="D176" s="0" t="inlineStr">
        <is>
          <t>극동</t>
        </is>
      </c>
      <c r="E176" s="0" t="inlineStr">
        <is>
          <t>1989.05.</t>
        </is>
      </c>
      <c r="F176" s="0" t="n">
        <v>760</v>
      </c>
      <c r="G176" s="0" t="n">
        <v>18.66</v>
      </c>
      <c r="H176" s="0" t="n">
        <v>61.7</v>
      </c>
      <c r="I176" s="0" t="n">
        <v>14.13</v>
      </c>
      <c r="J176" s="0" t="n">
        <v>46.74</v>
      </c>
      <c r="K176" s="0" t="n">
        <v>96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61</v>
      </c>
      <c r="X176" s="0" t="n">
        <v>13</v>
      </c>
      <c r="Y176" s="0" t="n">
        <v>12</v>
      </c>
      <c r="Z176" s="0" t="inlineStr">
        <is>
          <t>https://new.land.naver.com/complexes/2236?tab=detail&amp;rf=Y</t>
        </is>
      </c>
      <c r="AA176" s="0" t="inlineStr">
        <is>
          <t>인천시 남동구 간석동 501</t>
        </is>
      </c>
      <c r="AB176" s="0" t="inlineStr">
        <is>
          <t>인천시</t>
        </is>
      </c>
      <c r="AC176" s="0" t="inlineStr">
        <is>
          <t>남동구</t>
        </is>
      </c>
      <c r="AD176" s="0" t="inlineStr">
        <is>
          <t>간석동</t>
        </is>
      </c>
      <c r="AG176" s="0" t="inlineStr">
        <is>
          <t>인천시 남동구 구월로 78</t>
        </is>
      </c>
      <c r="AH176" s="0" t="n">
        <v>0</v>
      </c>
      <c r="AI176" s="0" t="n">
        <v>192</v>
      </c>
      <c r="AJ176" s="0" t="n">
        <v>17</v>
      </c>
      <c r="AK176" s="0" t="n">
        <v>0</v>
      </c>
      <c r="AL176" s="0" t="n">
        <v>0</v>
      </c>
    </row>
    <row r="177">
      <c r="A177" s="0" t="inlineStr">
        <is>
          <t>[간석동]</t>
        </is>
      </c>
      <c r="B177" s="0" t="n">
        <v>2236</v>
      </c>
      <c r="C177" s="0" t="n">
        <v>3</v>
      </c>
      <c r="D177" s="0" t="inlineStr">
        <is>
          <t>극동</t>
        </is>
      </c>
      <c r="E177" s="0" t="inlineStr">
        <is>
          <t>1989.05.</t>
        </is>
      </c>
      <c r="F177" s="0" t="n">
        <v>760</v>
      </c>
      <c r="G177" s="0" t="n">
        <v>19.59</v>
      </c>
      <c r="H177" s="0" t="n">
        <v>64.79000000000001</v>
      </c>
      <c r="I177" s="0" t="n">
        <v>15.4</v>
      </c>
      <c r="J177" s="0" t="n">
        <v>50.93</v>
      </c>
      <c r="K177" s="0" t="n">
        <v>148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64</v>
      </c>
      <c r="X177" s="0" t="n">
        <v>13</v>
      </c>
      <c r="Y177" s="0" t="n">
        <v>12</v>
      </c>
      <c r="Z177" s="0" t="inlineStr">
        <is>
          <t>https://new.land.naver.com/complexes/2236?tab=detail&amp;rf=Y</t>
        </is>
      </c>
      <c r="AA177" s="0" t="inlineStr">
        <is>
          <t>인천시 남동구 간석동 501</t>
        </is>
      </c>
      <c r="AB177" s="0" t="inlineStr">
        <is>
          <t>인천시</t>
        </is>
      </c>
      <c r="AC177" s="0" t="inlineStr">
        <is>
          <t>남동구</t>
        </is>
      </c>
      <c r="AD177" s="0" t="inlineStr">
        <is>
          <t>간석동</t>
        </is>
      </c>
      <c r="AG177" s="0" t="inlineStr">
        <is>
          <t>인천시 남동구 구월로 78</t>
        </is>
      </c>
      <c r="AH177" s="0" t="n">
        <v>0</v>
      </c>
      <c r="AI177" s="0" t="n">
        <v>192</v>
      </c>
      <c r="AJ177" s="0" t="n">
        <v>17</v>
      </c>
      <c r="AK177" s="0" t="n">
        <v>0</v>
      </c>
      <c r="AL177" s="0" t="n">
        <v>0</v>
      </c>
    </row>
    <row r="178">
      <c r="A178" s="0" t="inlineStr">
        <is>
          <t>[간석동]</t>
        </is>
      </c>
      <c r="B178" s="0" t="n">
        <v>2236</v>
      </c>
      <c r="C178" s="0" t="n">
        <v>4</v>
      </c>
      <c r="D178" s="0" t="inlineStr">
        <is>
          <t>극동</t>
        </is>
      </c>
      <c r="E178" s="0" t="inlineStr">
        <is>
          <t>1989.05.</t>
        </is>
      </c>
      <c r="F178" s="0" t="n">
        <v>760</v>
      </c>
      <c r="G178" s="0" t="n">
        <v>21.69</v>
      </c>
      <c r="H178" s="0" t="n">
        <v>71.70999999999999</v>
      </c>
      <c r="I178" s="0" t="n">
        <v>17.05</v>
      </c>
      <c r="J178" s="0" t="n">
        <v>56.37</v>
      </c>
      <c r="K178" s="0" t="n">
        <v>148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71</v>
      </c>
      <c r="X178" s="0" t="n">
        <v>13</v>
      </c>
      <c r="Y178" s="0" t="n">
        <v>12</v>
      </c>
      <c r="Z178" s="0" t="inlineStr">
        <is>
          <t>https://new.land.naver.com/complexes/2236?tab=detail&amp;rf=Y</t>
        </is>
      </c>
      <c r="AA178" s="0" t="inlineStr">
        <is>
          <t>인천시 남동구 간석동 501</t>
        </is>
      </c>
      <c r="AB178" s="0" t="inlineStr">
        <is>
          <t>인천시</t>
        </is>
      </c>
      <c r="AC178" s="0" t="inlineStr">
        <is>
          <t>남동구</t>
        </is>
      </c>
      <c r="AD178" s="0" t="inlineStr">
        <is>
          <t>간석동</t>
        </is>
      </c>
      <c r="AG178" s="0" t="inlineStr">
        <is>
          <t>인천시 남동구 구월로 78</t>
        </is>
      </c>
      <c r="AH178" s="0" t="n">
        <v>0</v>
      </c>
      <c r="AI178" s="0" t="n">
        <v>192</v>
      </c>
      <c r="AJ178" s="0" t="n">
        <v>17</v>
      </c>
      <c r="AK178" s="0" t="n">
        <v>0</v>
      </c>
      <c r="AL178" s="0" t="n">
        <v>0</v>
      </c>
    </row>
    <row r="179">
      <c r="A179" s="0" t="inlineStr">
        <is>
          <t>[간석동]</t>
        </is>
      </c>
      <c r="B179" s="0" t="n">
        <v>2236</v>
      </c>
      <c r="C179" s="0" t="n">
        <v>5</v>
      </c>
      <c r="D179" s="0" t="inlineStr">
        <is>
          <t>극동</t>
        </is>
      </c>
      <c r="E179" s="0" t="inlineStr">
        <is>
          <t>1989.05.</t>
        </is>
      </c>
      <c r="F179" s="0" t="n">
        <v>760</v>
      </c>
      <c r="G179" s="0" t="n">
        <v>26.02</v>
      </c>
      <c r="H179" s="0" t="n">
        <v>86.02</v>
      </c>
      <c r="I179" s="0" t="n">
        <v>21.41</v>
      </c>
      <c r="J179" s="0" t="n">
        <v>70.8</v>
      </c>
      <c r="K179" s="0" t="n">
        <v>200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86</v>
      </c>
      <c r="X179" s="0" t="n">
        <v>13</v>
      </c>
      <c r="Y179" s="0" t="n">
        <v>12</v>
      </c>
      <c r="Z179" s="0" t="inlineStr">
        <is>
          <t>https://new.land.naver.com/complexes/2236?tab=detail&amp;rf=Y</t>
        </is>
      </c>
      <c r="AA179" s="0" t="inlineStr">
        <is>
          <t>인천시 남동구 간석동 501</t>
        </is>
      </c>
      <c r="AB179" s="0" t="inlineStr">
        <is>
          <t>인천시</t>
        </is>
      </c>
      <c r="AC179" s="0" t="inlineStr">
        <is>
          <t>남동구</t>
        </is>
      </c>
      <c r="AD179" s="0" t="inlineStr">
        <is>
          <t>간석동</t>
        </is>
      </c>
      <c r="AG179" s="0" t="inlineStr">
        <is>
          <t>인천시 남동구 구월로 78</t>
        </is>
      </c>
      <c r="AH179" s="0" t="n">
        <v>0</v>
      </c>
      <c r="AI179" s="0" t="n">
        <v>192</v>
      </c>
      <c r="AJ179" s="0" t="n">
        <v>17</v>
      </c>
      <c r="AK179" s="0" t="n">
        <v>0</v>
      </c>
      <c r="AL179" s="0" t="n">
        <v>0</v>
      </c>
    </row>
    <row r="180">
      <c r="A180" s="0" t="inlineStr">
        <is>
          <t>[간석동]</t>
        </is>
      </c>
      <c r="B180" s="0" t="n">
        <v>2236</v>
      </c>
      <c r="C180" s="0" t="n">
        <v>6</v>
      </c>
      <c r="D180" s="0" t="inlineStr">
        <is>
          <t>극동</t>
        </is>
      </c>
      <c r="E180" s="0" t="inlineStr">
        <is>
          <t>1989.05.</t>
        </is>
      </c>
      <c r="F180" s="0" t="n">
        <v>760</v>
      </c>
      <c r="G180" s="0" t="n">
        <v>31.24</v>
      </c>
      <c r="H180" s="0" t="n">
        <v>103.28</v>
      </c>
      <c r="I180" s="0" t="n">
        <v>25.7</v>
      </c>
      <c r="J180" s="0" t="n">
        <v>84.98</v>
      </c>
      <c r="K180" s="0" t="n">
        <v>72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103</v>
      </c>
      <c r="X180" s="0" t="n">
        <v>13</v>
      </c>
      <c r="Y180" s="0" t="n">
        <v>12</v>
      </c>
      <c r="Z180" s="0" t="inlineStr">
        <is>
          <t>https://new.land.naver.com/complexes/2236?tab=detail&amp;rf=Y</t>
        </is>
      </c>
      <c r="AA180" s="0" t="inlineStr">
        <is>
          <t>인천시 남동구 간석동 501</t>
        </is>
      </c>
      <c r="AB180" s="0" t="inlineStr">
        <is>
          <t>인천시</t>
        </is>
      </c>
      <c r="AC180" s="0" t="inlineStr">
        <is>
          <t>남동구</t>
        </is>
      </c>
      <c r="AD180" s="0" t="inlineStr">
        <is>
          <t>간석동</t>
        </is>
      </c>
      <c r="AG180" s="0" t="inlineStr">
        <is>
          <t>인천시 남동구 구월로 78</t>
        </is>
      </c>
      <c r="AH180" s="0" t="n">
        <v>0</v>
      </c>
      <c r="AI180" s="0" t="n">
        <v>192</v>
      </c>
      <c r="AJ180" s="0" t="n">
        <v>17</v>
      </c>
      <c r="AK180" s="0" t="n">
        <v>0</v>
      </c>
      <c r="AL180" s="0" t="n">
        <v>0</v>
      </c>
    </row>
    <row r="181">
      <c r="A181" s="0" t="inlineStr">
        <is>
          <t>[간석동]</t>
        </is>
      </c>
      <c r="B181" s="0" t="n">
        <v>105991</v>
      </c>
      <c r="C181" s="0" t="n">
        <v>1</v>
      </c>
      <c r="D181" s="0" t="inlineStr">
        <is>
          <t>코지빌(도시형)</t>
        </is>
      </c>
      <c r="E181" s="0" t="inlineStr">
        <is>
          <t>2012.01.</t>
        </is>
      </c>
      <c r="F181" s="0" t="n">
        <v>120</v>
      </c>
      <c r="G181" s="0" t="n">
        <v>5.3</v>
      </c>
      <c r="H181" s="0" t="n">
        <v>17.54</v>
      </c>
      <c r="I181" s="0" t="n">
        <v>5.19</v>
      </c>
      <c r="J181" s="0" t="n">
        <v>17.16</v>
      </c>
      <c r="K181" s="0" t="n">
        <v>33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17B</t>
        </is>
      </c>
      <c r="X181" s="0" t="n">
        <v>8</v>
      </c>
      <c r="Y181" s="0" t="n">
        <v>8</v>
      </c>
      <c r="Z181" s="0" t="inlineStr">
        <is>
          <t>https://new.land.naver.com/complexes/105991?tab=detail&amp;rf=Y</t>
        </is>
      </c>
      <c r="AA181" s="0" t="inlineStr">
        <is>
          <t>인천시 남동구 간석동 248-1</t>
        </is>
      </c>
      <c r="AB181" s="0" t="inlineStr">
        <is>
          <t>인천시</t>
        </is>
      </c>
      <c r="AC181" s="0" t="inlineStr">
        <is>
          <t>남동구</t>
        </is>
      </c>
      <c r="AD181" s="0" t="inlineStr">
        <is>
          <t>간석동</t>
        </is>
      </c>
      <c r="AG181" s="0" t="inlineStr">
        <is>
          <t>인천시 남동구 예술로346번길 70</t>
        </is>
      </c>
      <c r="AH181" s="0" t="n">
        <v>0</v>
      </c>
      <c r="AI181" s="0" t="n">
        <v>0</v>
      </c>
      <c r="AJ181" s="0" t="n">
        <v>0</v>
      </c>
      <c r="AK181" s="0" t="n">
        <v>23</v>
      </c>
      <c r="AL181" s="0" t="n">
        <v>0.19</v>
      </c>
    </row>
    <row r="182">
      <c r="A182" s="0" t="inlineStr">
        <is>
          <t>[간석동]</t>
        </is>
      </c>
      <c r="B182" s="0" t="n">
        <v>105991</v>
      </c>
      <c r="C182" s="0" t="n">
        <v>2</v>
      </c>
      <c r="D182" s="0" t="inlineStr">
        <is>
          <t>코지빌(도시형)</t>
        </is>
      </c>
      <c r="E182" s="0" t="inlineStr">
        <is>
          <t>2012.01.</t>
        </is>
      </c>
      <c r="F182" s="0" t="n">
        <v>120</v>
      </c>
      <c r="G182" s="0" t="n">
        <v>5.43</v>
      </c>
      <c r="H182" s="0" t="n">
        <v>17.96</v>
      </c>
      <c r="I182" s="0" t="n">
        <v>5.31</v>
      </c>
      <c r="J182" s="0" t="n">
        <v>17.57</v>
      </c>
      <c r="K182" s="0" t="n">
        <v>9</v>
      </c>
      <c r="T182" s="0" t="n">
        <v>1</v>
      </c>
      <c r="U182" s="0" t="n">
        <v>1</v>
      </c>
      <c r="V182" s="0" t="inlineStr">
        <is>
          <t>복도식</t>
        </is>
      </c>
      <c r="W182" s="0" t="inlineStr">
        <is>
          <t>17A</t>
        </is>
      </c>
      <c r="X182" s="0" t="n">
        <v>8</v>
      </c>
      <c r="Y182" s="0" t="n">
        <v>8</v>
      </c>
      <c r="Z182" s="0" t="inlineStr">
        <is>
          <t>https://new.land.naver.com/complexes/105991?tab=detail&amp;rf=Y</t>
        </is>
      </c>
      <c r="AA182" s="0" t="inlineStr">
        <is>
          <t>인천시 남동구 간석동 248-1</t>
        </is>
      </c>
      <c r="AB182" s="0" t="inlineStr">
        <is>
          <t>인천시</t>
        </is>
      </c>
      <c r="AC182" s="0" t="inlineStr">
        <is>
          <t>남동구</t>
        </is>
      </c>
      <c r="AD182" s="0" t="inlineStr">
        <is>
          <t>간석동</t>
        </is>
      </c>
      <c r="AG182" s="0" t="inlineStr">
        <is>
          <t>인천시 남동구 예술로346번길 70</t>
        </is>
      </c>
      <c r="AH182" s="0" t="n">
        <v>0</v>
      </c>
      <c r="AI182" s="0" t="n">
        <v>0</v>
      </c>
      <c r="AJ182" s="0" t="n">
        <v>0</v>
      </c>
      <c r="AK182" s="0" t="n">
        <v>23</v>
      </c>
      <c r="AL182" s="0" t="n">
        <v>0.19</v>
      </c>
    </row>
    <row r="183">
      <c r="A183" s="0" t="inlineStr">
        <is>
          <t>[간석동]</t>
        </is>
      </c>
      <c r="B183" s="0" t="n">
        <v>105991</v>
      </c>
      <c r="C183" s="0" t="n">
        <v>3</v>
      </c>
      <c r="D183" s="0" t="inlineStr">
        <is>
          <t>코지빌(도시형)</t>
        </is>
      </c>
      <c r="E183" s="0" t="inlineStr">
        <is>
          <t>2012.01.</t>
        </is>
      </c>
      <c r="F183" s="0" t="n">
        <v>120</v>
      </c>
      <c r="G183" s="0" t="n">
        <v>5.72</v>
      </c>
      <c r="H183" s="0" t="n">
        <v>18.93</v>
      </c>
      <c r="I183" s="0" t="n">
        <v>5.59</v>
      </c>
      <c r="J183" s="0" t="n">
        <v>18.48</v>
      </c>
      <c r="K183" s="0" t="n">
        <v>12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18B</t>
        </is>
      </c>
      <c r="X183" s="0" t="n">
        <v>8</v>
      </c>
      <c r="Y183" s="0" t="n">
        <v>8</v>
      </c>
      <c r="Z183" s="0" t="inlineStr">
        <is>
          <t>https://new.land.naver.com/complexes/105991?tab=detail&amp;rf=Y</t>
        </is>
      </c>
      <c r="AA183" s="0" t="inlineStr">
        <is>
          <t>인천시 남동구 간석동 248-1</t>
        </is>
      </c>
      <c r="AB183" s="0" t="inlineStr">
        <is>
          <t>인천시</t>
        </is>
      </c>
      <c r="AC183" s="0" t="inlineStr">
        <is>
          <t>남동구</t>
        </is>
      </c>
      <c r="AD183" s="0" t="inlineStr">
        <is>
          <t>간석동</t>
        </is>
      </c>
      <c r="AG183" s="0" t="inlineStr">
        <is>
          <t>인천시 남동구 예술로346번길 70</t>
        </is>
      </c>
      <c r="AH183" s="0" t="n">
        <v>0</v>
      </c>
      <c r="AI183" s="0" t="n">
        <v>0</v>
      </c>
      <c r="AJ183" s="0" t="n">
        <v>0</v>
      </c>
      <c r="AK183" s="0" t="n">
        <v>23</v>
      </c>
      <c r="AL183" s="0" t="n">
        <v>0.19</v>
      </c>
    </row>
    <row r="184">
      <c r="A184" s="0" t="inlineStr">
        <is>
          <t>[간석동]</t>
        </is>
      </c>
      <c r="B184" s="0" t="n">
        <v>105991</v>
      </c>
      <c r="C184" s="0" t="n">
        <v>4</v>
      </c>
      <c r="D184" s="0" t="inlineStr">
        <is>
          <t>코지빌(도시형)</t>
        </is>
      </c>
      <c r="E184" s="0" t="inlineStr">
        <is>
          <t>2012.01.</t>
        </is>
      </c>
      <c r="F184" s="0" t="n">
        <v>120</v>
      </c>
      <c r="G184" s="0" t="n">
        <v>6.11</v>
      </c>
      <c r="H184" s="0" t="n">
        <v>20.22</v>
      </c>
      <c r="I184" s="0" t="n">
        <v>5.98</v>
      </c>
      <c r="J184" s="0" t="n">
        <v>19.78</v>
      </c>
      <c r="K184" s="0" t="n">
        <v>3</v>
      </c>
      <c r="T184" s="0" t="n">
        <v>1</v>
      </c>
      <c r="U184" s="0" t="n">
        <v>1</v>
      </c>
      <c r="V184" s="0" t="inlineStr">
        <is>
          <t>복합식</t>
        </is>
      </c>
      <c r="W184" s="0" t="inlineStr">
        <is>
          <t>20A</t>
        </is>
      </c>
      <c r="X184" s="0" t="n">
        <v>8</v>
      </c>
      <c r="Y184" s="0" t="n">
        <v>8</v>
      </c>
      <c r="Z184" s="0" t="inlineStr">
        <is>
          <t>https://new.land.naver.com/complexes/105991?tab=detail&amp;rf=Y</t>
        </is>
      </c>
      <c r="AA184" s="0" t="inlineStr">
        <is>
          <t>인천시 남동구 간석동 248-1</t>
        </is>
      </c>
      <c r="AB184" s="0" t="inlineStr">
        <is>
          <t>인천시</t>
        </is>
      </c>
      <c r="AC184" s="0" t="inlineStr">
        <is>
          <t>남동구</t>
        </is>
      </c>
      <c r="AD184" s="0" t="inlineStr">
        <is>
          <t>간석동</t>
        </is>
      </c>
      <c r="AG184" s="0" t="inlineStr">
        <is>
          <t>인천시 남동구 예술로346번길 70</t>
        </is>
      </c>
      <c r="AH184" s="0" t="n">
        <v>0</v>
      </c>
      <c r="AI184" s="0" t="n">
        <v>0</v>
      </c>
      <c r="AJ184" s="0" t="n">
        <v>0</v>
      </c>
      <c r="AK184" s="0" t="n">
        <v>23</v>
      </c>
      <c r="AL184" s="0" t="n">
        <v>0.19</v>
      </c>
    </row>
    <row r="185">
      <c r="A185" s="0" t="inlineStr">
        <is>
          <t>[간석동]</t>
        </is>
      </c>
      <c r="B185" s="0" t="n">
        <v>105991</v>
      </c>
      <c r="C185" s="0" t="n">
        <v>5</v>
      </c>
      <c r="D185" s="0" t="inlineStr">
        <is>
          <t>코지빌(도시형)</t>
        </is>
      </c>
      <c r="E185" s="0" t="inlineStr">
        <is>
          <t>2012.01.</t>
        </is>
      </c>
      <c r="F185" s="0" t="n">
        <v>120</v>
      </c>
      <c r="G185" s="0" t="n">
        <v>7.68</v>
      </c>
      <c r="H185" s="0" t="n">
        <v>25.39</v>
      </c>
      <c r="I185" s="0" t="n">
        <v>5.65</v>
      </c>
      <c r="J185" s="0" t="n">
        <v>18.69</v>
      </c>
      <c r="K185" s="0" t="n">
        <v>14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25B</t>
        </is>
      </c>
      <c r="X185" s="0" t="n">
        <v>8</v>
      </c>
      <c r="Y185" s="0" t="n">
        <v>8</v>
      </c>
      <c r="Z185" s="0" t="inlineStr">
        <is>
          <t>https://new.land.naver.com/complexes/105991?tab=detail&amp;rf=Y</t>
        </is>
      </c>
      <c r="AA185" s="0" t="inlineStr">
        <is>
          <t>인천시 남동구 간석동 248-1</t>
        </is>
      </c>
      <c r="AB185" s="0" t="inlineStr">
        <is>
          <t>인천시</t>
        </is>
      </c>
      <c r="AC185" s="0" t="inlineStr">
        <is>
          <t>남동구</t>
        </is>
      </c>
      <c r="AD185" s="0" t="inlineStr">
        <is>
          <t>간석동</t>
        </is>
      </c>
      <c r="AG185" s="0" t="inlineStr">
        <is>
          <t>인천시 남동구 예술로346번길 70</t>
        </is>
      </c>
      <c r="AH185" s="0" t="n">
        <v>0</v>
      </c>
      <c r="AI185" s="0" t="n">
        <v>0</v>
      </c>
      <c r="AJ185" s="0" t="n">
        <v>0</v>
      </c>
      <c r="AK185" s="0" t="n">
        <v>23</v>
      </c>
      <c r="AL185" s="0" t="n">
        <v>0.19</v>
      </c>
    </row>
    <row r="186">
      <c r="A186" s="0" t="inlineStr">
        <is>
          <t>[간석동]</t>
        </is>
      </c>
      <c r="B186" s="0" t="n">
        <v>105991</v>
      </c>
      <c r="C186" s="0" t="n">
        <v>6</v>
      </c>
      <c r="D186" s="0" t="inlineStr">
        <is>
          <t>코지빌(도시형)</t>
        </is>
      </c>
      <c r="E186" s="0" t="inlineStr">
        <is>
          <t>2012.01.</t>
        </is>
      </c>
      <c r="F186" s="0" t="n">
        <v>120</v>
      </c>
      <c r="G186" s="0" t="n">
        <v>7.56</v>
      </c>
      <c r="H186" s="0" t="n">
        <v>25</v>
      </c>
      <c r="I186" s="0" t="n">
        <v>7.39</v>
      </c>
      <c r="J186" s="0" t="n">
        <v>24.44</v>
      </c>
      <c r="K186" s="0" t="n">
        <v>3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25A</t>
        </is>
      </c>
      <c r="X186" s="0" t="n">
        <v>8</v>
      </c>
      <c r="Y186" s="0" t="n">
        <v>8</v>
      </c>
      <c r="Z186" s="0" t="inlineStr">
        <is>
          <t>https://new.land.naver.com/complexes/105991?tab=detail&amp;rf=Y</t>
        </is>
      </c>
      <c r="AA186" s="0" t="inlineStr">
        <is>
          <t>인천시 남동구 간석동 248-1</t>
        </is>
      </c>
      <c r="AB186" s="0" t="inlineStr">
        <is>
          <t>인천시</t>
        </is>
      </c>
      <c r="AC186" s="0" t="inlineStr">
        <is>
          <t>남동구</t>
        </is>
      </c>
      <c r="AD186" s="0" t="inlineStr">
        <is>
          <t>간석동</t>
        </is>
      </c>
      <c r="AG186" s="0" t="inlineStr">
        <is>
          <t>인천시 남동구 예술로346번길 70</t>
        </is>
      </c>
      <c r="AH186" s="0" t="n">
        <v>0</v>
      </c>
      <c r="AI186" s="0" t="n">
        <v>0</v>
      </c>
      <c r="AJ186" s="0" t="n">
        <v>0</v>
      </c>
      <c r="AK186" s="0" t="n">
        <v>23</v>
      </c>
      <c r="AL186" s="0" t="n">
        <v>0.19</v>
      </c>
    </row>
    <row r="187">
      <c r="A187" s="0" t="inlineStr">
        <is>
          <t>[간석동]</t>
        </is>
      </c>
      <c r="B187" s="0" t="n">
        <v>105991</v>
      </c>
      <c r="C187" s="0" t="n">
        <v>7</v>
      </c>
      <c r="D187" s="0" t="inlineStr">
        <is>
          <t>코지빌(도시형)</t>
        </is>
      </c>
      <c r="E187" s="0" t="inlineStr">
        <is>
          <t>2012.01.</t>
        </is>
      </c>
      <c r="F187" s="0" t="n">
        <v>120</v>
      </c>
      <c r="G187" s="0" t="n">
        <v>7.88</v>
      </c>
      <c r="H187" s="0" t="n">
        <v>26.05</v>
      </c>
      <c r="I187" s="0" t="n">
        <v>5.8</v>
      </c>
      <c r="J187" s="0" t="n">
        <v>19.18</v>
      </c>
      <c r="K187" s="0" t="n">
        <v>44</v>
      </c>
      <c r="T187" s="0" t="n">
        <v>1</v>
      </c>
      <c r="U187" s="0" t="n">
        <v>1</v>
      </c>
      <c r="V187" s="0" t="inlineStr">
        <is>
          <t>복도식</t>
        </is>
      </c>
      <c r="W187" s="0" t="inlineStr">
        <is>
          <t>26C</t>
        </is>
      </c>
      <c r="X187" s="0" t="n">
        <v>8</v>
      </c>
      <c r="Y187" s="0" t="n">
        <v>8</v>
      </c>
      <c r="Z187" s="0" t="inlineStr">
        <is>
          <t>https://new.land.naver.com/complexes/105991?tab=detail&amp;rf=Y</t>
        </is>
      </c>
      <c r="AA187" s="0" t="inlineStr">
        <is>
          <t>인천시 남동구 간석동 248-1</t>
        </is>
      </c>
      <c r="AB187" s="0" t="inlineStr">
        <is>
          <t>인천시</t>
        </is>
      </c>
      <c r="AC187" s="0" t="inlineStr">
        <is>
          <t>남동구</t>
        </is>
      </c>
      <c r="AD187" s="0" t="inlineStr">
        <is>
          <t>간석동</t>
        </is>
      </c>
      <c r="AG187" s="0" t="inlineStr">
        <is>
          <t>인천시 남동구 예술로346번길 70</t>
        </is>
      </c>
      <c r="AH187" s="0" t="n">
        <v>0</v>
      </c>
      <c r="AI187" s="0" t="n">
        <v>0</v>
      </c>
      <c r="AJ187" s="0" t="n">
        <v>0</v>
      </c>
      <c r="AK187" s="0" t="n">
        <v>23</v>
      </c>
      <c r="AL187" s="0" t="n">
        <v>0.19</v>
      </c>
    </row>
    <row r="188">
      <c r="A188" s="0" t="inlineStr">
        <is>
          <t>[간석동]</t>
        </is>
      </c>
      <c r="B188" s="0" t="n">
        <v>105991</v>
      </c>
      <c r="C188" s="0" t="n">
        <v>8</v>
      </c>
      <c r="D188" s="0" t="inlineStr">
        <is>
          <t>코지빌(도시형)</t>
        </is>
      </c>
      <c r="E188" s="0" t="inlineStr">
        <is>
          <t>2012.01.</t>
        </is>
      </c>
      <c r="F188" s="0" t="n">
        <v>120</v>
      </c>
      <c r="G188" s="0" t="n">
        <v>11.89</v>
      </c>
      <c r="H188" s="0" t="n">
        <v>39.32</v>
      </c>
      <c r="I188" s="0" t="n">
        <v>8.73</v>
      </c>
      <c r="J188" s="0" t="n">
        <v>28.88</v>
      </c>
      <c r="K188" s="0" t="n">
        <v>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39</v>
      </c>
      <c r="X188" s="0" t="n">
        <v>8</v>
      </c>
      <c r="Y188" s="0" t="n">
        <v>8</v>
      </c>
      <c r="Z188" s="0" t="inlineStr">
        <is>
          <t>https://new.land.naver.com/complexes/105991?tab=detail&amp;rf=Y</t>
        </is>
      </c>
      <c r="AA188" s="0" t="inlineStr">
        <is>
          <t>인천시 남동구 간석동 248-1</t>
        </is>
      </c>
      <c r="AB188" s="0" t="inlineStr">
        <is>
          <t>인천시</t>
        </is>
      </c>
      <c r="AC188" s="0" t="inlineStr">
        <is>
          <t>남동구</t>
        </is>
      </c>
      <c r="AD188" s="0" t="inlineStr">
        <is>
          <t>간석동</t>
        </is>
      </c>
      <c r="AG188" s="0" t="inlineStr">
        <is>
          <t>인천시 남동구 예술로346번길 70</t>
        </is>
      </c>
      <c r="AH188" s="0" t="n">
        <v>0</v>
      </c>
      <c r="AI188" s="0" t="n">
        <v>0</v>
      </c>
      <c r="AJ188" s="0" t="n">
        <v>0</v>
      </c>
      <c r="AK188" s="0" t="n">
        <v>23</v>
      </c>
      <c r="AL188" s="0" t="n">
        <v>0.19</v>
      </c>
    </row>
    <row r="189">
      <c r="A189" s="0" t="inlineStr">
        <is>
          <t>[간석동]</t>
        </is>
      </c>
      <c r="B189" s="0" t="n">
        <v>135885</v>
      </c>
      <c r="C189" s="0" t="n">
        <v>1</v>
      </c>
      <c r="D189" s="0" t="inlineStr">
        <is>
          <t>이츠(49-29)</t>
        </is>
      </c>
      <c r="E189" s="0" t="inlineStr">
        <is>
          <t>2014.01.</t>
        </is>
      </c>
      <c r="F189" s="0" t="n">
        <v>19</v>
      </c>
      <c r="G189" s="0" t="n">
        <v>18.97</v>
      </c>
      <c r="H189" s="0" t="n">
        <v>62.73</v>
      </c>
      <c r="I189" s="0" t="n">
        <v>15.09</v>
      </c>
      <c r="J189" s="0" t="n">
        <v>49.91</v>
      </c>
      <c r="K189" s="0" t="n">
        <v>10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62B</t>
        </is>
      </c>
      <c r="X189" s="0" t="n">
        <v>6</v>
      </c>
      <c r="Y189" s="0" t="n">
        <v>6</v>
      </c>
      <c r="Z189" s="0" t="inlineStr">
        <is>
          <t>https://new.land.naver.com/complexes/135885?tab=detail&amp;rf=Y</t>
        </is>
      </c>
      <c r="AA189" s="0" t="inlineStr">
        <is>
          <t>인천시 남동구 간석동 49-29</t>
        </is>
      </c>
      <c r="AB189" s="0" t="inlineStr">
        <is>
          <t>인천시</t>
        </is>
      </c>
      <c r="AC189" s="0" t="inlineStr">
        <is>
          <t>남동구</t>
        </is>
      </c>
      <c r="AD189" s="0" t="inlineStr">
        <is>
          <t>간석동</t>
        </is>
      </c>
      <c r="AG189" s="0" t="inlineStr">
        <is>
          <t>인천시 남동구 용천로176번길 9</t>
        </is>
      </c>
      <c r="AH189" s="0" t="n">
        <v>0</v>
      </c>
      <c r="AI189" s="0" t="n">
        <v>379</v>
      </c>
      <c r="AJ189" s="0" t="n">
        <v>64</v>
      </c>
      <c r="AK189" s="0" t="n">
        <v>14</v>
      </c>
      <c r="AL189" s="0" t="n">
        <v>0.74</v>
      </c>
    </row>
    <row r="190">
      <c r="A190" s="0" t="inlineStr">
        <is>
          <t>[간석동]</t>
        </is>
      </c>
      <c r="B190" s="0" t="n">
        <v>135885</v>
      </c>
      <c r="C190" s="0" t="n">
        <v>2</v>
      </c>
      <c r="D190" s="0" t="inlineStr">
        <is>
          <t>이츠(49-29)</t>
        </is>
      </c>
      <c r="E190" s="0" t="inlineStr">
        <is>
          <t>2014.01.</t>
        </is>
      </c>
      <c r="F190" s="0" t="n">
        <v>19</v>
      </c>
      <c r="G190" s="0" t="n">
        <v>18.99</v>
      </c>
      <c r="H190" s="0" t="n">
        <v>62.79</v>
      </c>
      <c r="I190" s="0" t="n">
        <v>15.09</v>
      </c>
      <c r="J190" s="0" t="n">
        <v>49.9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62A</t>
        </is>
      </c>
      <c r="X190" s="0" t="n">
        <v>6</v>
      </c>
      <c r="Y190" s="0" t="n">
        <v>6</v>
      </c>
      <c r="Z190" s="0" t="inlineStr">
        <is>
          <t>https://new.land.naver.com/complexes/135885?tab=detail&amp;rf=Y</t>
        </is>
      </c>
      <c r="AA190" s="0" t="inlineStr">
        <is>
          <t>인천시 남동구 간석동 49-29</t>
        </is>
      </c>
      <c r="AB190" s="0" t="inlineStr">
        <is>
          <t>인천시</t>
        </is>
      </c>
      <c r="AC190" s="0" t="inlineStr">
        <is>
          <t>남동구</t>
        </is>
      </c>
      <c r="AD190" s="0" t="inlineStr">
        <is>
          <t>간석동</t>
        </is>
      </c>
      <c r="AG190" s="0" t="inlineStr">
        <is>
          <t>인천시 남동구 용천로176번길 9</t>
        </is>
      </c>
      <c r="AH190" s="0" t="n">
        <v>0</v>
      </c>
      <c r="AI190" s="0" t="n">
        <v>379</v>
      </c>
      <c r="AJ190" s="0" t="n">
        <v>64</v>
      </c>
      <c r="AK190" s="0" t="n">
        <v>14</v>
      </c>
      <c r="AL190" s="0" t="n">
        <v>0.74</v>
      </c>
    </row>
    <row r="191">
      <c r="A191" s="0" t="inlineStr">
        <is>
          <t>[간석동]</t>
        </is>
      </c>
      <c r="B191" s="0" t="n">
        <v>135885</v>
      </c>
      <c r="C191" s="0" t="n">
        <v>3</v>
      </c>
      <c r="D191" s="0" t="inlineStr">
        <is>
          <t>이츠(49-29)</t>
        </is>
      </c>
      <c r="E191" s="0" t="inlineStr">
        <is>
          <t>2014.01.</t>
        </is>
      </c>
      <c r="F191" s="0" t="n">
        <v>19</v>
      </c>
      <c r="G191" s="0" t="n">
        <v>19.19</v>
      </c>
      <c r="H191" s="0" t="n">
        <v>63.46</v>
      </c>
      <c r="I191" s="0" t="n">
        <v>15.11</v>
      </c>
      <c r="J191" s="0" t="n">
        <v>49.98</v>
      </c>
      <c r="K191" s="0" t="n">
        <v>5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63C</t>
        </is>
      </c>
      <c r="X191" s="0" t="n">
        <v>6</v>
      </c>
      <c r="Y191" s="0" t="n">
        <v>6</v>
      </c>
      <c r="Z191" s="0" t="inlineStr">
        <is>
          <t>https://new.land.naver.com/complexes/135885?tab=detail&amp;rf=Y</t>
        </is>
      </c>
      <c r="AA191" s="0" t="inlineStr">
        <is>
          <t>인천시 남동구 간석동 49-29</t>
        </is>
      </c>
      <c r="AB191" s="0" t="inlineStr">
        <is>
          <t>인천시</t>
        </is>
      </c>
      <c r="AC191" s="0" t="inlineStr">
        <is>
          <t>남동구</t>
        </is>
      </c>
      <c r="AD191" s="0" t="inlineStr">
        <is>
          <t>간석동</t>
        </is>
      </c>
      <c r="AG191" s="0" t="inlineStr">
        <is>
          <t>인천시 남동구 용천로176번길 9</t>
        </is>
      </c>
      <c r="AH191" s="0" t="n">
        <v>0</v>
      </c>
      <c r="AI191" s="0" t="n">
        <v>379</v>
      </c>
      <c r="AJ191" s="0" t="n">
        <v>64</v>
      </c>
      <c r="AK191" s="0" t="n">
        <v>14</v>
      </c>
      <c r="AL191" s="0" t="n">
        <v>0.74</v>
      </c>
    </row>
    <row r="192">
      <c r="A192" s="0" t="inlineStr">
        <is>
          <t>[간석동]</t>
        </is>
      </c>
      <c r="B192" s="0" t="n">
        <v>119717</v>
      </c>
      <c r="C192" s="0" t="n">
        <v>1</v>
      </c>
      <c r="D192" s="0" t="inlineStr">
        <is>
          <t>베네시안2차</t>
        </is>
      </c>
      <c r="E192" s="0" t="inlineStr">
        <is>
          <t>2017.04.</t>
        </is>
      </c>
      <c r="F192" s="0" t="n">
        <v>9</v>
      </c>
      <c r="G192" s="0" t="n">
        <v>23.24</v>
      </c>
      <c r="H192" s="0" t="n">
        <v>76.83</v>
      </c>
      <c r="I192" s="0" t="n">
        <v>18.1</v>
      </c>
      <c r="J192" s="0" t="n">
        <v>59.85</v>
      </c>
      <c r="K192" s="0" t="n">
        <v>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76</v>
      </c>
      <c r="X192" s="0" t="n">
        <v>10</v>
      </c>
      <c r="Y192" s="0" t="n">
        <v>10</v>
      </c>
      <c r="Z192" s="0" t="inlineStr">
        <is>
          <t>https://new.land.naver.com/complexes/119717?tab=detail&amp;rf=Y</t>
        </is>
      </c>
      <c r="AA192" s="0" t="inlineStr">
        <is>
          <t>인천시 남동구 간석동 106-7</t>
        </is>
      </c>
      <c r="AB192" s="0" t="inlineStr">
        <is>
          <t>인천시</t>
        </is>
      </c>
      <c r="AC192" s="0" t="inlineStr">
        <is>
          <t>남동구</t>
        </is>
      </c>
      <c r="AD192" s="0" t="inlineStr">
        <is>
          <t>간석동</t>
        </is>
      </c>
      <c r="AG192" s="0" t="inlineStr">
        <is>
          <t>인천시 남동구 간석로 14</t>
        </is>
      </c>
      <c r="AH192" s="0" t="n">
        <v>0</v>
      </c>
      <c r="AI192" s="0" t="n">
        <v>647</v>
      </c>
      <c r="AJ192" s="0" t="n">
        <v>78</v>
      </c>
      <c r="AK192" s="0" t="n">
        <v>6</v>
      </c>
      <c r="AL192" s="0" t="n">
        <v>0.67</v>
      </c>
    </row>
    <row r="193">
      <c r="A193" s="0" t="inlineStr">
        <is>
          <t>[간석동]</t>
        </is>
      </c>
      <c r="B193" s="0" t="n">
        <v>106139</v>
      </c>
      <c r="C193" s="0" t="n">
        <v>1</v>
      </c>
      <c r="D193" s="0" t="inlineStr">
        <is>
          <t>세종</t>
        </is>
      </c>
      <c r="E193" s="0" t="inlineStr">
        <is>
          <t>2002.09.</t>
        </is>
      </c>
      <c r="F193" s="0" t="n">
        <v>10</v>
      </c>
      <c r="G193" s="0" t="n">
        <v>17.31</v>
      </c>
      <c r="H193" s="0" t="n">
        <v>57.25</v>
      </c>
      <c r="I193" s="0" t="n">
        <v>15.82</v>
      </c>
      <c r="J193" s="0" t="n">
        <v>52.32</v>
      </c>
      <c r="K193" s="0" t="n">
        <v>1</v>
      </c>
      <c r="T193" s="0" t="n">
        <v>2</v>
      </c>
      <c r="U193" s="0" t="n">
        <v>1</v>
      </c>
      <c r="V193" s="0" t="inlineStr">
        <is>
          <t>복합식</t>
        </is>
      </c>
      <c r="W193" s="0" t="n">
        <v>57</v>
      </c>
      <c r="X193" s="0" t="n">
        <v>5</v>
      </c>
      <c r="Y193" s="0" t="n">
        <v>5</v>
      </c>
      <c r="Z193" s="0" t="inlineStr">
        <is>
          <t>https://new.land.naver.com/complexes/106139?tab=detail&amp;rf=Y</t>
        </is>
      </c>
      <c r="AA193" s="0" t="inlineStr">
        <is>
          <t>인천시 남동구 간석동 94-12</t>
        </is>
      </c>
      <c r="AB193" s="0" t="inlineStr">
        <is>
          <t>인천시</t>
        </is>
      </c>
      <c r="AC193" s="0" t="inlineStr">
        <is>
          <t>남동구</t>
        </is>
      </c>
      <c r="AD193" s="0" t="inlineStr">
        <is>
          <t>간석동</t>
        </is>
      </c>
      <c r="AG193" s="0" t="inlineStr">
        <is>
          <t>인천시 남동구 경인로644번길 99</t>
        </is>
      </c>
      <c r="AH193" s="0" t="n">
        <v>0</v>
      </c>
      <c r="AI193" s="0" t="n">
        <v>354</v>
      </c>
      <c r="AJ193" s="0" t="n">
        <v>73</v>
      </c>
      <c r="AK193" s="0" t="n">
        <v>5</v>
      </c>
      <c r="AL193" s="0" t="n">
        <v>0.5</v>
      </c>
    </row>
    <row r="194">
      <c r="A194" s="0" t="inlineStr">
        <is>
          <t>[간석동]</t>
        </is>
      </c>
      <c r="B194" s="0" t="n">
        <v>106139</v>
      </c>
      <c r="C194" s="0" t="n">
        <v>2</v>
      </c>
      <c r="D194" s="0" t="inlineStr">
        <is>
          <t>세종</t>
        </is>
      </c>
      <c r="E194" s="0" t="inlineStr">
        <is>
          <t>2002.09.</t>
        </is>
      </c>
      <c r="F194" s="0" t="n">
        <v>10</v>
      </c>
      <c r="G194" s="0" t="n">
        <v>19.54</v>
      </c>
      <c r="H194" s="0" t="n">
        <v>64.62</v>
      </c>
      <c r="I194" s="0" t="n">
        <v>18.07</v>
      </c>
      <c r="J194" s="0" t="n">
        <v>59.74</v>
      </c>
      <c r="K194" s="0" t="n">
        <v>4</v>
      </c>
      <c r="T194" s="0" t="n">
        <v>2</v>
      </c>
      <c r="U194" s="0" t="n">
        <v>1</v>
      </c>
      <c r="V194" s="0" t="inlineStr">
        <is>
          <t>복합식</t>
        </is>
      </c>
      <c r="W194" s="0" t="n">
        <v>64</v>
      </c>
      <c r="X194" s="0" t="n">
        <v>5</v>
      </c>
      <c r="Y194" s="0" t="n">
        <v>5</v>
      </c>
      <c r="Z194" s="0" t="inlineStr">
        <is>
          <t>https://new.land.naver.com/complexes/106139?tab=detail&amp;rf=Y</t>
        </is>
      </c>
      <c r="AA194" s="0" t="inlineStr">
        <is>
          <t>인천시 남동구 간석동 94-12</t>
        </is>
      </c>
      <c r="AB194" s="0" t="inlineStr">
        <is>
          <t>인천시</t>
        </is>
      </c>
      <c r="AC194" s="0" t="inlineStr">
        <is>
          <t>남동구</t>
        </is>
      </c>
      <c r="AD194" s="0" t="inlineStr">
        <is>
          <t>간석동</t>
        </is>
      </c>
      <c r="AG194" s="0" t="inlineStr">
        <is>
          <t>인천시 남동구 경인로644번길 99</t>
        </is>
      </c>
      <c r="AH194" s="0" t="n">
        <v>0</v>
      </c>
      <c r="AI194" s="0" t="n">
        <v>354</v>
      </c>
      <c r="AJ194" s="0" t="n">
        <v>73</v>
      </c>
      <c r="AK194" s="0" t="n">
        <v>5</v>
      </c>
      <c r="AL194" s="0" t="n">
        <v>0.5</v>
      </c>
    </row>
    <row r="195">
      <c r="A195" s="0" t="inlineStr">
        <is>
          <t>[간석동]</t>
        </is>
      </c>
      <c r="B195" s="0" t="n">
        <v>106139</v>
      </c>
      <c r="C195" s="0" t="n">
        <v>3</v>
      </c>
      <c r="D195" s="0" t="inlineStr">
        <is>
          <t>세종</t>
        </is>
      </c>
      <c r="E195" s="0" t="inlineStr">
        <is>
          <t>2002.09.</t>
        </is>
      </c>
      <c r="F195" s="0" t="n">
        <v>10</v>
      </c>
      <c r="G195" s="0" t="n">
        <v>21.05</v>
      </c>
      <c r="H195" s="0" t="n">
        <v>69.61</v>
      </c>
      <c r="I195" s="0" t="n">
        <v>19.24</v>
      </c>
      <c r="J195" s="0" t="n">
        <v>63.62</v>
      </c>
      <c r="K195" s="0" t="n">
        <v>1</v>
      </c>
      <c r="T195" s="0" t="n">
        <v>2</v>
      </c>
      <c r="U195" s="0" t="n">
        <v>1</v>
      </c>
      <c r="V195" s="0" t="inlineStr">
        <is>
          <t>복합식</t>
        </is>
      </c>
      <c r="W195" s="0" t="n">
        <v>69</v>
      </c>
      <c r="X195" s="0" t="n">
        <v>5</v>
      </c>
      <c r="Y195" s="0" t="n">
        <v>5</v>
      </c>
      <c r="Z195" s="0" t="inlineStr">
        <is>
          <t>https://new.land.naver.com/complexes/106139?tab=detail&amp;rf=Y</t>
        </is>
      </c>
      <c r="AA195" s="0" t="inlineStr">
        <is>
          <t>인천시 남동구 간석동 94-12</t>
        </is>
      </c>
      <c r="AB195" s="0" t="inlineStr">
        <is>
          <t>인천시</t>
        </is>
      </c>
      <c r="AC195" s="0" t="inlineStr">
        <is>
          <t>남동구</t>
        </is>
      </c>
      <c r="AD195" s="0" t="inlineStr">
        <is>
          <t>간석동</t>
        </is>
      </c>
      <c r="AG195" s="0" t="inlineStr">
        <is>
          <t>인천시 남동구 경인로644번길 99</t>
        </is>
      </c>
      <c r="AH195" s="0" t="n">
        <v>0</v>
      </c>
      <c r="AI195" s="0" t="n">
        <v>354</v>
      </c>
      <c r="AJ195" s="0" t="n">
        <v>73</v>
      </c>
      <c r="AK195" s="0" t="n">
        <v>5</v>
      </c>
      <c r="AL195" s="0" t="n">
        <v>0.5</v>
      </c>
    </row>
    <row r="196">
      <c r="A196" s="0" t="inlineStr">
        <is>
          <t>[간석동]</t>
        </is>
      </c>
      <c r="B196" s="0" t="n">
        <v>106139</v>
      </c>
      <c r="C196" s="0" t="n">
        <v>4</v>
      </c>
      <c r="D196" s="0" t="inlineStr">
        <is>
          <t>세종</t>
        </is>
      </c>
      <c r="E196" s="0" t="inlineStr">
        <is>
          <t>2002.09.</t>
        </is>
      </c>
      <c r="F196" s="0" t="n">
        <v>10</v>
      </c>
      <c r="G196" s="0" t="n">
        <v>24.16</v>
      </c>
      <c r="H196" s="0" t="n">
        <v>79.88</v>
      </c>
      <c r="I196" s="0" t="n">
        <v>22.33</v>
      </c>
      <c r="J196" s="0" t="n">
        <v>73.84</v>
      </c>
      <c r="K196" s="0" t="n">
        <v>4</v>
      </c>
      <c r="T196" s="0" t="n">
        <v>2</v>
      </c>
      <c r="U196" s="0" t="n">
        <v>1</v>
      </c>
      <c r="V196" s="0" t="inlineStr">
        <is>
          <t>복합식</t>
        </is>
      </c>
      <c r="W196" s="0" t="n">
        <v>79</v>
      </c>
      <c r="X196" s="0" t="n">
        <v>5</v>
      </c>
      <c r="Y196" s="0" t="n">
        <v>5</v>
      </c>
      <c r="Z196" s="0" t="inlineStr">
        <is>
          <t>https://new.land.naver.com/complexes/106139?tab=detail&amp;rf=Y</t>
        </is>
      </c>
      <c r="AA196" s="0" t="inlineStr">
        <is>
          <t>인천시 남동구 간석동 94-12</t>
        </is>
      </c>
      <c r="AB196" s="0" t="inlineStr">
        <is>
          <t>인천시</t>
        </is>
      </c>
      <c r="AC196" s="0" t="inlineStr">
        <is>
          <t>남동구</t>
        </is>
      </c>
      <c r="AD196" s="0" t="inlineStr">
        <is>
          <t>간석동</t>
        </is>
      </c>
      <c r="AG196" s="0" t="inlineStr">
        <is>
          <t>인천시 남동구 경인로644번길 99</t>
        </is>
      </c>
      <c r="AH196" s="0" t="n">
        <v>0</v>
      </c>
      <c r="AI196" s="0" t="n">
        <v>354</v>
      </c>
      <c r="AJ196" s="0" t="n">
        <v>73</v>
      </c>
      <c r="AK196" s="0" t="n">
        <v>5</v>
      </c>
      <c r="AL196" s="0" t="n">
        <v>0.5</v>
      </c>
    </row>
    <row r="197">
      <c r="A197" s="0" t="inlineStr">
        <is>
          <t>[간석동]</t>
        </is>
      </c>
      <c r="B197" s="0" t="n">
        <v>11383</v>
      </c>
      <c r="C197" s="0" t="n">
        <v>1</v>
      </c>
      <c r="D197" s="0" t="inlineStr">
        <is>
          <t>어울림마을</t>
        </is>
      </c>
      <c r="E197" s="0" t="inlineStr">
        <is>
          <t>2005.10.</t>
        </is>
      </c>
      <c r="F197" s="0" t="n">
        <v>1733</v>
      </c>
      <c r="G197" s="0" t="n">
        <v>23.5</v>
      </c>
      <c r="H197" s="0" t="n">
        <v>77.69</v>
      </c>
      <c r="I197" s="0" t="n">
        <v>18.11</v>
      </c>
      <c r="J197" s="0" t="n">
        <v>59.87</v>
      </c>
      <c r="K197" s="0" t="n">
        <v>160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77</v>
      </c>
      <c r="X197" s="0" t="n">
        <v>25</v>
      </c>
      <c r="Y197" s="0" t="n">
        <v>18</v>
      </c>
      <c r="Z197" s="0" t="inlineStr">
        <is>
          <t>https://new.land.naver.com/complexes/11383?tab=detail&amp;rf=Y</t>
        </is>
      </c>
      <c r="AA197" s="0" t="inlineStr">
        <is>
          <t>인천시 남동구 간석동 938-1</t>
        </is>
      </c>
      <c r="AB197" s="0" t="inlineStr">
        <is>
          <t>인천시</t>
        </is>
      </c>
      <c r="AC197" s="0" t="inlineStr">
        <is>
          <t>남동구</t>
        </is>
      </c>
      <c r="AD197" s="0" t="inlineStr">
        <is>
          <t>간석동</t>
        </is>
      </c>
      <c r="AG197" s="0" t="inlineStr">
        <is>
          <t>인천시 남동구 석산로 138</t>
        </is>
      </c>
      <c r="AH197" s="0" t="n">
        <v>0</v>
      </c>
      <c r="AI197" s="0" t="n">
        <v>349</v>
      </c>
      <c r="AJ197" s="0" t="n">
        <v>20</v>
      </c>
      <c r="AK197" s="0" t="n">
        <v>2056</v>
      </c>
      <c r="AL197" s="0" t="n">
        <v>1.19</v>
      </c>
    </row>
    <row r="198">
      <c r="A198" s="0" t="inlineStr">
        <is>
          <t>[간석동]</t>
        </is>
      </c>
      <c r="B198" s="0" t="n">
        <v>11383</v>
      </c>
      <c r="C198" s="0" t="n">
        <v>2</v>
      </c>
      <c r="D198" s="0" t="inlineStr">
        <is>
          <t>어울림마을</t>
        </is>
      </c>
      <c r="E198" s="0" t="inlineStr">
        <is>
          <t>2005.10.</t>
        </is>
      </c>
      <c r="F198" s="0" t="n">
        <v>1733</v>
      </c>
      <c r="G198" s="0" t="n">
        <v>30.96</v>
      </c>
      <c r="H198" s="0" t="n">
        <v>102.38</v>
      </c>
      <c r="I198" s="0" t="n">
        <v>23.86</v>
      </c>
      <c r="J198" s="0" t="n">
        <v>78.90000000000001</v>
      </c>
      <c r="K198" s="0" t="n">
        <v>72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102</v>
      </c>
      <c r="X198" s="0" t="n">
        <v>25</v>
      </c>
      <c r="Y198" s="0" t="n">
        <v>18</v>
      </c>
      <c r="Z198" s="0" t="inlineStr">
        <is>
          <t>https://new.land.naver.com/complexes/11383?tab=detail&amp;rf=Y</t>
        </is>
      </c>
      <c r="AA198" s="0" t="inlineStr">
        <is>
          <t>인천시 남동구 간석동 938-1</t>
        </is>
      </c>
      <c r="AB198" s="0" t="inlineStr">
        <is>
          <t>인천시</t>
        </is>
      </c>
      <c r="AC198" s="0" t="inlineStr">
        <is>
          <t>남동구</t>
        </is>
      </c>
      <c r="AD198" s="0" t="inlineStr">
        <is>
          <t>간석동</t>
        </is>
      </c>
      <c r="AG198" s="0" t="inlineStr">
        <is>
          <t>인천시 남동구 석산로 138</t>
        </is>
      </c>
      <c r="AH198" s="0" t="n">
        <v>0</v>
      </c>
      <c r="AI198" s="0" t="n">
        <v>349</v>
      </c>
      <c r="AJ198" s="0" t="n">
        <v>20</v>
      </c>
      <c r="AK198" s="0" t="n">
        <v>2056</v>
      </c>
      <c r="AL198" s="0" t="n">
        <v>1.19</v>
      </c>
    </row>
    <row r="199">
      <c r="A199" s="0" t="inlineStr">
        <is>
          <t>[간석동]</t>
        </is>
      </c>
      <c r="B199" s="0" t="n">
        <v>11383</v>
      </c>
      <c r="C199" s="0" t="n">
        <v>3</v>
      </c>
      <c r="D199" s="0" t="inlineStr">
        <is>
          <t>어울림마을</t>
        </is>
      </c>
      <c r="E199" s="0" t="inlineStr">
        <is>
          <t>2005.10.</t>
        </is>
      </c>
      <c r="F199" s="0" t="n">
        <v>1733</v>
      </c>
      <c r="G199" s="0" t="n">
        <v>33.34</v>
      </c>
      <c r="H199" s="0" t="n">
        <v>110.22</v>
      </c>
      <c r="I199" s="0" t="n">
        <v>25.7</v>
      </c>
      <c r="J199" s="0" t="n">
        <v>84.95999999999999</v>
      </c>
      <c r="K199" s="0" t="n">
        <v>988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110</v>
      </c>
      <c r="X199" s="0" t="n">
        <v>25</v>
      </c>
      <c r="Y199" s="0" t="n">
        <v>18</v>
      </c>
      <c r="Z199" s="0" t="inlineStr">
        <is>
          <t>https://new.land.naver.com/complexes/11383?tab=detail&amp;rf=Y</t>
        </is>
      </c>
      <c r="AA199" s="0" t="inlineStr">
        <is>
          <t>인천시 남동구 간석동 938-1</t>
        </is>
      </c>
      <c r="AB199" s="0" t="inlineStr">
        <is>
          <t>인천시</t>
        </is>
      </c>
      <c r="AC199" s="0" t="inlineStr">
        <is>
          <t>남동구</t>
        </is>
      </c>
      <c r="AD199" s="0" t="inlineStr">
        <is>
          <t>간석동</t>
        </is>
      </c>
      <c r="AG199" s="0" t="inlineStr">
        <is>
          <t>인천시 남동구 석산로 138</t>
        </is>
      </c>
      <c r="AH199" s="0" t="n">
        <v>0</v>
      </c>
      <c r="AI199" s="0" t="n">
        <v>349</v>
      </c>
      <c r="AJ199" s="0" t="n">
        <v>20</v>
      </c>
      <c r="AK199" s="0" t="n">
        <v>2056</v>
      </c>
      <c r="AL199" s="0" t="n">
        <v>1.19</v>
      </c>
    </row>
    <row r="200">
      <c r="A200" s="0" t="inlineStr">
        <is>
          <t>[간석동]</t>
        </is>
      </c>
      <c r="B200" s="0" t="n">
        <v>11383</v>
      </c>
      <c r="C200" s="0" t="n">
        <v>4</v>
      </c>
      <c r="D200" s="0" t="inlineStr">
        <is>
          <t>어울림마을</t>
        </is>
      </c>
      <c r="E200" s="0" t="inlineStr">
        <is>
          <t>2005.10.</t>
        </is>
      </c>
      <c r="F200" s="0" t="n">
        <v>1733</v>
      </c>
      <c r="G200" s="0" t="n">
        <v>39.58</v>
      </c>
      <c r="H200" s="0" t="n">
        <v>130.85</v>
      </c>
      <c r="I200" s="0" t="n">
        <v>30.51</v>
      </c>
      <c r="J200" s="0" t="n">
        <v>100.86</v>
      </c>
      <c r="K200" s="0" t="n">
        <v>96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25</v>
      </c>
      <c r="Y200" s="0" t="n">
        <v>18</v>
      </c>
      <c r="Z200" s="0" t="inlineStr">
        <is>
          <t>https://new.land.naver.com/complexes/11383?tab=detail&amp;rf=Y</t>
        </is>
      </c>
      <c r="AA200" s="0" t="inlineStr">
        <is>
          <t>인천시 남동구 간석동 938-1</t>
        </is>
      </c>
      <c r="AB200" s="0" t="inlineStr">
        <is>
          <t>인천시</t>
        </is>
      </c>
      <c r="AC200" s="0" t="inlineStr">
        <is>
          <t>남동구</t>
        </is>
      </c>
      <c r="AD200" s="0" t="inlineStr">
        <is>
          <t>간석동</t>
        </is>
      </c>
      <c r="AG200" s="0" t="inlineStr">
        <is>
          <t>인천시 남동구 석산로 138</t>
        </is>
      </c>
      <c r="AH200" s="0" t="n">
        <v>0</v>
      </c>
      <c r="AI200" s="0" t="n">
        <v>349</v>
      </c>
      <c r="AJ200" s="0" t="n">
        <v>20</v>
      </c>
      <c r="AK200" s="0" t="n">
        <v>2056</v>
      </c>
      <c r="AL200" s="0" t="n">
        <v>1.19</v>
      </c>
    </row>
    <row r="201">
      <c r="A201" s="0" t="inlineStr">
        <is>
          <t>[간석동]</t>
        </is>
      </c>
      <c r="B201" s="0" t="n">
        <v>11383</v>
      </c>
      <c r="C201" s="0" t="n">
        <v>5</v>
      </c>
      <c r="D201" s="0" t="inlineStr">
        <is>
          <t>어울림마을</t>
        </is>
      </c>
      <c r="E201" s="0" t="inlineStr">
        <is>
          <t>2005.10.</t>
        </is>
      </c>
      <c r="F201" s="0" t="n">
        <v>1733</v>
      </c>
      <c r="G201" s="0" t="n">
        <v>39.91</v>
      </c>
      <c r="H201" s="0" t="n">
        <v>131.95</v>
      </c>
      <c r="I201" s="0" t="n">
        <v>30.76</v>
      </c>
      <c r="J201" s="0" t="n">
        <v>101.69</v>
      </c>
      <c r="K201" s="0" t="n">
        <v>139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25</v>
      </c>
      <c r="Y201" s="0" t="n">
        <v>18</v>
      </c>
      <c r="Z201" s="0" t="inlineStr">
        <is>
          <t>https://new.land.naver.com/complexes/11383?tab=detail&amp;rf=Y</t>
        </is>
      </c>
      <c r="AA201" s="0" t="inlineStr">
        <is>
          <t>인천시 남동구 간석동 938-1</t>
        </is>
      </c>
      <c r="AB201" s="0" t="inlineStr">
        <is>
          <t>인천시</t>
        </is>
      </c>
      <c r="AC201" s="0" t="inlineStr">
        <is>
          <t>남동구</t>
        </is>
      </c>
      <c r="AD201" s="0" t="inlineStr">
        <is>
          <t>간석동</t>
        </is>
      </c>
      <c r="AG201" s="0" t="inlineStr">
        <is>
          <t>인천시 남동구 석산로 138</t>
        </is>
      </c>
      <c r="AH201" s="0" t="n">
        <v>0</v>
      </c>
      <c r="AI201" s="0" t="n">
        <v>349</v>
      </c>
      <c r="AJ201" s="0" t="n">
        <v>20</v>
      </c>
      <c r="AK201" s="0" t="n">
        <v>2056</v>
      </c>
      <c r="AL201" s="0" t="n">
        <v>1.19</v>
      </c>
    </row>
    <row r="202">
      <c r="A202" s="0" t="inlineStr">
        <is>
          <t>[간석동]</t>
        </is>
      </c>
      <c r="B202" s="0" t="n">
        <v>11383</v>
      </c>
      <c r="C202" s="0" t="n">
        <v>6</v>
      </c>
      <c r="D202" s="0" t="inlineStr">
        <is>
          <t>어울림마을</t>
        </is>
      </c>
      <c r="E202" s="0" t="inlineStr">
        <is>
          <t>2005.10.</t>
        </is>
      </c>
      <c r="F202" s="0" t="n">
        <v>1733</v>
      </c>
      <c r="G202" s="0" t="n">
        <v>49.56</v>
      </c>
      <c r="H202" s="0" t="n">
        <v>163.86</v>
      </c>
      <c r="I202" s="0" t="n">
        <v>38.2</v>
      </c>
      <c r="J202" s="0" t="n">
        <v>126.29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163</v>
      </c>
      <c r="X202" s="0" t="n">
        <v>25</v>
      </c>
      <c r="Y202" s="0" t="n">
        <v>18</v>
      </c>
      <c r="Z202" s="0" t="inlineStr">
        <is>
          <t>https://new.land.naver.com/complexes/11383?tab=detail&amp;rf=Y</t>
        </is>
      </c>
      <c r="AA202" s="0" t="inlineStr">
        <is>
          <t>인천시 남동구 간석동 938-1</t>
        </is>
      </c>
      <c r="AB202" s="0" t="inlineStr">
        <is>
          <t>인천시</t>
        </is>
      </c>
      <c r="AC202" s="0" t="inlineStr">
        <is>
          <t>남동구</t>
        </is>
      </c>
      <c r="AD202" s="0" t="inlineStr">
        <is>
          <t>간석동</t>
        </is>
      </c>
      <c r="AG202" s="0" t="inlineStr">
        <is>
          <t>인천시 남동구 석산로 138</t>
        </is>
      </c>
      <c r="AH202" s="0" t="n">
        <v>0</v>
      </c>
      <c r="AI202" s="0" t="n">
        <v>349</v>
      </c>
      <c r="AJ202" s="0" t="n">
        <v>20</v>
      </c>
      <c r="AK202" s="0" t="n">
        <v>2056</v>
      </c>
      <c r="AL202" s="0" t="n">
        <v>1.19</v>
      </c>
    </row>
    <row r="203">
      <c r="A203" s="0" t="inlineStr">
        <is>
          <t>[간석동]</t>
        </is>
      </c>
      <c r="B203" s="0" t="n">
        <v>9736</v>
      </c>
      <c r="C203" s="0" t="n">
        <v>1</v>
      </c>
      <c r="D203" s="0" t="inlineStr">
        <is>
          <t>광명(894-1)</t>
        </is>
      </c>
      <c r="E203" s="0" t="inlineStr">
        <is>
          <t>1989.05.</t>
        </is>
      </c>
      <c r="F203" s="0" t="n">
        <v>192</v>
      </c>
      <c r="G203" s="0" t="n">
        <v>19.18</v>
      </c>
      <c r="H203" s="0" t="n">
        <v>63.42</v>
      </c>
      <c r="I203" s="0" t="n">
        <v>14.87</v>
      </c>
      <c r="J203" s="0" t="n">
        <v>49.17</v>
      </c>
      <c r="K203" s="0" t="n">
        <v>84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63</v>
      </c>
      <c r="X203" s="0" t="n">
        <v>6</v>
      </c>
      <c r="Y203" s="0" t="n">
        <v>6</v>
      </c>
      <c r="Z203" s="0" t="inlineStr">
        <is>
          <t>https://new.land.naver.com/complexes/9736?tab=detail&amp;rf=Y</t>
        </is>
      </c>
      <c r="AA203" s="0" t="inlineStr">
        <is>
          <t>인천시 남동구 간석동 894-1</t>
        </is>
      </c>
      <c r="AB203" s="0" t="inlineStr">
        <is>
          <t>인천시</t>
        </is>
      </c>
      <c r="AC203" s="0" t="inlineStr">
        <is>
          <t>남동구</t>
        </is>
      </c>
      <c r="AD203" s="0" t="inlineStr">
        <is>
          <t>간석동</t>
        </is>
      </c>
      <c r="AG203" s="0" t="inlineStr">
        <is>
          <t>인천시 남동구 방축로 492</t>
        </is>
      </c>
      <c r="AH203" s="0" t="n">
        <v>0</v>
      </c>
      <c r="AI203" s="0" t="n">
        <v>168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[간석동]</t>
        </is>
      </c>
      <c r="B204" s="0" t="n">
        <v>9736</v>
      </c>
      <c r="C204" s="0" t="n">
        <v>2</v>
      </c>
      <c r="D204" s="0" t="inlineStr">
        <is>
          <t>광명(894-1)</t>
        </is>
      </c>
      <c r="E204" s="0" t="inlineStr">
        <is>
          <t>1989.05.</t>
        </is>
      </c>
      <c r="F204" s="0" t="n">
        <v>192</v>
      </c>
      <c r="G204" s="0" t="n">
        <v>23.06</v>
      </c>
      <c r="H204" s="0" t="n">
        <v>76.25</v>
      </c>
      <c r="I204" s="0" t="n">
        <v>18.07</v>
      </c>
      <c r="J204" s="0" t="n">
        <v>59.76</v>
      </c>
      <c r="K204" s="0" t="n">
        <v>84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https://new.land.naver.com/complexes/9736?tab=detail&amp;rf=Y</t>
        </is>
      </c>
      <c r="AA204" s="0" t="inlineStr">
        <is>
          <t>인천시 남동구 간석동 894-1</t>
        </is>
      </c>
      <c r="AB204" s="0" t="inlineStr">
        <is>
          <t>인천시</t>
        </is>
      </c>
      <c r="AC204" s="0" t="inlineStr">
        <is>
          <t>남동구</t>
        </is>
      </c>
      <c r="AD204" s="0" t="inlineStr">
        <is>
          <t>간석동</t>
        </is>
      </c>
      <c r="AG204" s="0" t="inlineStr">
        <is>
          <t>인천시 남동구 방축로 492</t>
        </is>
      </c>
      <c r="AH204" s="0" t="n">
        <v>0</v>
      </c>
      <c r="AI204" s="0" t="n">
        <v>168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[간석동]</t>
        </is>
      </c>
      <c r="B205" s="0" t="n">
        <v>9736</v>
      </c>
      <c r="C205" s="0" t="n">
        <v>3</v>
      </c>
      <c r="D205" s="0" t="inlineStr">
        <is>
          <t>광명(894-1)</t>
        </is>
      </c>
      <c r="E205" s="0" t="inlineStr">
        <is>
          <t>1989.05.</t>
        </is>
      </c>
      <c r="F205" s="0" t="n">
        <v>192</v>
      </c>
      <c r="G205" s="0" t="n">
        <v>25.14</v>
      </c>
      <c r="H205" s="0" t="n">
        <v>83.13</v>
      </c>
      <c r="I205" s="0" t="n">
        <v>19.87</v>
      </c>
      <c r="J205" s="0" t="n">
        <v>65.7</v>
      </c>
      <c r="K205" s="0" t="n">
        <v>24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83</v>
      </c>
      <c r="X205" s="0" t="n">
        <v>6</v>
      </c>
      <c r="Y205" s="0" t="n">
        <v>6</v>
      </c>
      <c r="Z205" s="0" t="inlineStr">
        <is>
          <t>https://new.land.naver.com/complexes/9736?tab=detail&amp;rf=Y</t>
        </is>
      </c>
      <c r="AA205" s="0" t="inlineStr">
        <is>
          <t>인천시 남동구 간석동 894-1</t>
        </is>
      </c>
      <c r="AB205" s="0" t="inlineStr">
        <is>
          <t>인천시</t>
        </is>
      </c>
      <c r="AC205" s="0" t="inlineStr">
        <is>
          <t>남동구</t>
        </is>
      </c>
      <c r="AD205" s="0" t="inlineStr">
        <is>
          <t>간석동</t>
        </is>
      </c>
      <c r="AG205" s="0" t="inlineStr">
        <is>
          <t>인천시 남동구 방축로 492</t>
        </is>
      </c>
      <c r="AH205" s="0" t="n">
        <v>0</v>
      </c>
      <c r="AI205" s="0" t="n">
        <v>168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[간석동]</t>
        </is>
      </c>
      <c r="B206" s="0" t="n">
        <v>11602</v>
      </c>
      <c r="C206" s="0" t="n">
        <v>1</v>
      </c>
      <c r="D206" s="0" t="inlineStr">
        <is>
          <t>복음</t>
        </is>
      </c>
      <c r="E206" s="0" t="inlineStr">
        <is>
          <t>1983.03.</t>
        </is>
      </c>
      <c r="F206" s="0" t="n">
        <v>60</v>
      </c>
      <c r="G206" s="0" t="n">
        <v>19.65</v>
      </c>
      <c r="H206" s="0" t="n">
        <v>64.98</v>
      </c>
      <c r="I206" s="0" t="n">
        <v>15.97</v>
      </c>
      <c r="J206" s="0" t="n">
        <v>52.8</v>
      </c>
      <c r="K206" s="0" t="n">
        <v>25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64A</t>
        </is>
      </c>
      <c r="X206" s="0" t="n">
        <v>5</v>
      </c>
      <c r="Y206" s="0" t="n">
        <v>5</v>
      </c>
      <c r="Z206" s="0" t="inlineStr">
        <is>
          <t>https://new.land.naver.com/complexes/11602?tab=detail&amp;rf=Y</t>
        </is>
      </c>
      <c r="AA206" s="0" t="inlineStr">
        <is>
          <t>인천시 남동구 간석동 384-3</t>
        </is>
      </c>
      <c r="AB206" s="0" t="inlineStr">
        <is>
          <t>인천시</t>
        </is>
      </c>
      <c r="AC206" s="0" t="inlineStr">
        <is>
          <t>남동구</t>
        </is>
      </c>
      <c r="AD206" s="0" t="inlineStr">
        <is>
          <t>간석동</t>
        </is>
      </c>
      <c r="AG206" s="0" t="inlineStr">
        <is>
          <t>인천시 남동구 주안로259번길 18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[간석동]</t>
        </is>
      </c>
      <c r="B207" s="0" t="n">
        <v>11602</v>
      </c>
      <c r="C207" s="0" t="n">
        <v>2</v>
      </c>
      <c r="D207" s="0" t="inlineStr">
        <is>
          <t>복음</t>
        </is>
      </c>
      <c r="E207" s="0" t="inlineStr">
        <is>
          <t>1983.03.</t>
        </is>
      </c>
      <c r="F207" s="0" t="n">
        <v>60</v>
      </c>
      <c r="G207" s="0" t="n">
        <v>19.76</v>
      </c>
      <c r="H207" s="0" t="n">
        <v>65.34</v>
      </c>
      <c r="I207" s="0" t="n">
        <v>16.13</v>
      </c>
      <c r="J207" s="0" t="n">
        <v>53.34</v>
      </c>
      <c r="K207" s="0" t="n">
        <v>30</v>
      </c>
      <c r="T207" s="0" t="n">
        <v>2</v>
      </c>
      <c r="U207" s="0" t="n">
        <v>1</v>
      </c>
      <c r="V207" s="0" t="inlineStr">
        <is>
          <t>계단식</t>
        </is>
      </c>
      <c r="W207" s="0" t="inlineStr">
        <is>
          <t>65B</t>
        </is>
      </c>
      <c r="X207" s="0" t="n">
        <v>5</v>
      </c>
      <c r="Y207" s="0" t="n">
        <v>5</v>
      </c>
      <c r="Z207" s="0" t="inlineStr">
        <is>
          <t>https://new.land.naver.com/complexes/11602?tab=detail&amp;rf=Y</t>
        </is>
      </c>
      <c r="AA207" s="0" t="inlineStr">
        <is>
          <t>인천시 남동구 간석동 384-3</t>
        </is>
      </c>
      <c r="AB207" s="0" t="inlineStr">
        <is>
          <t>인천시</t>
        </is>
      </c>
      <c r="AC207" s="0" t="inlineStr">
        <is>
          <t>남동구</t>
        </is>
      </c>
      <c r="AD207" s="0" t="inlineStr">
        <is>
          <t>간석동</t>
        </is>
      </c>
      <c r="AG207" s="0" t="inlineStr">
        <is>
          <t>인천시 남동구 주안로259번길 18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[간석동]</t>
        </is>
      </c>
      <c r="B208" s="0" t="n">
        <v>11602</v>
      </c>
      <c r="C208" s="0" t="n">
        <v>3</v>
      </c>
      <c r="D208" s="0" t="inlineStr">
        <is>
          <t>복음</t>
        </is>
      </c>
      <c r="E208" s="0" t="inlineStr">
        <is>
          <t>1983.03.</t>
        </is>
      </c>
      <c r="F208" s="0" t="n">
        <v>60</v>
      </c>
      <c r="G208" s="0" t="n">
        <v>23.36</v>
      </c>
      <c r="H208" s="0" t="n">
        <v>77.23</v>
      </c>
      <c r="I208" s="0" t="n">
        <v>19.09</v>
      </c>
      <c r="J208" s="0" t="n">
        <v>63.13</v>
      </c>
      <c r="K208" s="0" t="n">
        <v>5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77</v>
      </c>
      <c r="X208" s="0" t="n">
        <v>5</v>
      </c>
      <c r="Y208" s="0" t="n">
        <v>5</v>
      </c>
      <c r="Z208" s="0" t="inlineStr">
        <is>
          <t>https://new.land.naver.com/complexes/11602?tab=detail&amp;rf=Y</t>
        </is>
      </c>
      <c r="AA208" s="0" t="inlineStr">
        <is>
          <t>인천시 남동구 간석동 384-3</t>
        </is>
      </c>
      <c r="AB208" s="0" t="inlineStr">
        <is>
          <t>인천시</t>
        </is>
      </c>
      <c r="AC208" s="0" t="inlineStr">
        <is>
          <t>남동구</t>
        </is>
      </c>
      <c r="AD208" s="0" t="inlineStr">
        <is>
          <t>간석동</t>
        </is>
      </c>
      <c r="AG208" s="0" t="inlineStr">
        <is>
          <t>인천시 남동구 주안로259번길 18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[간석동]</t>
        </is>
      </c>
      <c r="B209" s="0" t="n">
        <v>125858</v>
      </c>
      <c r="C209" s="0" t="n">
        <v>1</v>
      </c>
      <c r="D209" s="0" t="inlineStr">
        <is>
          <t>해냄스토리아파트2</t>
        </is>
      </c>
      <c r="E209" s="0" t="inlineStr">
        <is>
          <t>2018.05.</t>
        </is>
      </c>
      <c r="F209" s="0" t="n">
        <v>28</v>
      </c>
      <c r="G209" s="0" t="n">
        <v>20.71</v>
      </c>
      <c r="H209" s="0" t="n">
        <v>68.48999999999999</v>
      </c>
      <c r="I209" s="0" t="n">
        <v>18.3</v>
      </c>
      <c r="J209" s="0" t="n">
        <v>60.5</v>
      </c>
      <c r="K209" s="0" t="n">
        <v>28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68</v>
      </c>
      <c r="X209" s="0" t="n">
        <v>15</v>
      </c>
      <c r="Y209" s="0" t="n">
        <v>15</v>
      </c>
      <c r="Z209" s="0" t="inlineStr">
        <is>
          <t>https://new.land.naver.com/complexes/125858?tab=detail&amp;rf=Y</t>
        </is>
      </c>
      <c r="AA209" s="0" t="inlineStr">
        <is>
          <t>인천시 남동구 간석동 383-17</t>
        </is>
      </c>
      <c r="AB209" s="0" t="inlineStr">
        <is>
          <t>인천시</t>
        </is>
      </c>
      <c r="AC209" s="0" t="inlineStr">
        <is>
          <t>남동구</t>
        </is>
      </c>
      <c r="AD209" s="0" t="inlineStr">
        <is>
          <t>간석동</t>
        </is>
      </c>
      <c r="AG209" s="0" t="inlineStr">
        <is>
          <t>인천시 남동구 주안로 263</t>
        </is>
      </c>
      <c r="AH209" s="0" t="n">
        <v>0</v>
      </c>
      <c r="AI209" s="0" t="n">
        <v>248</v>
      </c>
      <c r="AJ209" s="0" t="n">
        <v>43</v>
      </c>
      <c r="AK209" s="0" t="n">
        <v>28</v>
      </c>
      <c r="AL209" s="0" t="n">
        <v>1</v>
      </c>
    </row>
    <row r="210">
      <c r="A210" s="0" t="inlineStr">
        <is>
          <t>[간석동]</t>
        </is>
      </c>
      <c r="B210" s="0" t="n">
        <v>10728</v>
      </c>
      <c r="C210" s="0" t="n">
        <v>1</v>
      </c>
      <c r="D210" s="0" t="inlineStr">
        <is>
          <t>은하</t>
        </is>
      </c>
      <c r="E210" s="0" t="inlineStr">
        <is>
          <t>1985.03.</t>
        </is>
      </c>
      <c r="F210" s="0" t="n">
        <v>55</v>
      </c>
      <c r="G210" s="0" t="n">
        <v>31.78</v>
      </c>
      <c r="H210" s="0" t="n">
        <v>105.09</v>
      </c>
      <c r="I210" s="0" t="n">
        <v>26.48</v>
      </c>
      <c r="J210" s="0" t="n">
        <v>87.56999999999999</v>
      </c>
      <c r="K210" s="0" t="n">
        <v>30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105</v>
      </c>
      <c r="X210" s="0" t="n">
        <v>5</v>
      </c>
      <c r="Y210" s="0" t="n">
        <v>5</v>
      </c>
      <c r="Z210" s="0" t="inlineStr">
        <is>
          <t>https://new.land.naver.com/complexes/10728?tab=detail&amp;rf=Y</t>
        </is>
      </c>
      <c r="AA210" s="0" t="inlineStr">
        <is>
          <t>인천시 남동구 간석동 292-1</t>
        </is>
      </c>
      <c r="AB210" s="0" t="inlineStr">
        <is>
          <t>인천시</t>
        </is>
      </c>
      <c r="AC210" s="0" t="inlineStr">
        <is>
          <t>남동구</t>
        </is>
      </c>
      <c r="AD210" s="0" t="inlineStr">
        <is>
          <t>간석동</t>
        </is>
      </c>
      <c r="AG210" s="0" t="inlineStr">
        <is>
          <t>인천시 남동구 구월로157번길 6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[간석동]</t>
        </is>
      </c>
      <c r="B211" s="0" t="n">
        <v>10728</v>
      </c>
      <c r="C211" s="0" t="n">
        <v>2</v>
      </c>
      <c r="D211" s="0" t="inlineStr">
        <is>
          <t>은하</t>
        </is>
      </c>
      <c r="E211" s="0" t="inlineStr">
        <is>
          <t>1985.03.</t>
        </is>
      </c>
      <c r="F211" s="0" t="n">
        <v>55</v>
      </c>
      <c r="G211" s="0" t="n">
        <v>32.53</v>
      </c>
      <c r="H211" s="0" t="n">
        <v>107.56</v>
      </c>
      <c r="I211" s="0" t="n">
        <v>27.11</v>
      </c>
      <c r="J211" s="0" t="n">
        <v>89.64</v>
      </c>
      <c r="K211" s="0" t="n">
        <v>20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107</v>
      </c>
      <c r="X211" s="0" t="n">
        <v>5</v>
      </c>
      <c r="Y211" s="0" t="n">
        <v>5</v>
      </c>
      <c r="Z211" s="0" t="inlineStr">
        <is>
          <t>https://new.land.naver.com/complexes/10728?tab=detail&amp;rf=Y</t>
        </is>
      </c>
      <c r="AA211" s="0" t="inlineStr">
        <is>
          <t>인천시 남동구 간석동 292-1</t>
        </is>
      </c>
      <c r="AB211" s="0" t="inlineStr">
        <is>
          <t>인천시</t>
        </is>
      </c>
      <c r="AC211" s="0" t="inlineStr">
        <is>
          <t>남동구</t>
        </is>
      </c>
      <c r="AD211" s="0" t="inlineStr">
        <is>
          <t>간석동</t>
        </is>
      </c>
      <c r="AG211" s="0" t="inlineStr">
        <is>
          <t>인천시 남동구 구월로157번길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[간석동]</t>
        </is>
      </c>
      <c r="B212" s="0" t="n">
        <v>10728</v>
      </c>
      <c r="C212" s="0" t="n">
        <v>3</v>
      </c>
      <c r="D212" s="0" t="inlineStr">
        <is>
          <t>은하</t>
        </is>
      </c>
      <c r="E212" s="0" t="inlineStr">
        <is>
          <t>1985.03.</t>
        </is>
      </c>
      <c r="F212" s="0" t="n">
        <v>55</v>
      </c>
      <c r="G212" s="0" t="n">
        <v>34.15</v>
      </c>
      <c r="H212" s="0" t="n">
        <v>112.9</v>
      </c>
      <c r="I212" s="0" t="n">
        <v>28.45</v>
      </c>
      <c r="J212" s="0" t="n">
        <v>94.05</v>
      </c>
      <c r="K212" s="0" t="n">
        <v>5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112</v>
      </c>
      <c r="X212" s="0" t="n">
        <v>5</v>
      </c>
      <c r="Y212" s="0" t="n">
        <v>5</v>
      </c>
      <c r="Z212" s="0" t="inlineStr">
        <is>
          <t>https://new.land.naver.com/complexes/10728?tab=detail&amp;rf=Y</t>
        </is>
      </c>
      <c r="AA212" s="0" t="inlineStr">
        <is>
          <t>인천시 남동구 간석동 292-1</t>
        </is>
      </c>
      <c r="AB212" s="0" t="inlineStr">
        <is>
          <t>인천시</t>
        </is>
      </c>
      <c r="AC212" s="0" t="inlineStr">
        <is>
          <t>남동구</t>
        </is>
      </c>
      <c r="AD212" s="0" t="inlineStr">
        <is>
          <t>간석동</t>
        </is>
      </c>
      <c r="AG212" s="0" t="inlineStr">
        <is>
          <t>인천시 남동구 구월로157번길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[간석동]</t>
        </is>
      </c>
      <c r="B213" s="0" t="n">
        <v>111822</v>
      </c>
      <c r="C213" s="0" t="n">
        <v>1</v>
      </c>
      <c r="D213" s="0" t="inlineStr">
        <is>
          <t>신승바이올렛</t>
        </is>
      </c>
      <c r="E213" s="0" t="inlineStr">
        <is>
          <t>2012.03.</t>
        </is>
      </c>
      <c r="F213" s="0" t="n">
        <v>19</v>
      </c>
      <c r="G213" s="0" t="n">
        <v>23.13</v>
      </c>
      <c r="H213" s="0" t="n">
        <v>76.47</v>
      </c>
      <c r="I213" s="0" t="n">
        <v>20.18</v>
      </c>
      <c r="J213" s="0" t="n">
        <v>66.73</v>
      </c>
      <c r="K213" s="0" t="n">
        <v>8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76A</t>
        </is>
      </c>
      <c r="X213" s="0" t="n">
        <v>10</v>
      </c>
      <c r="Y213" s="0" t="n">
        <v>9</v>
      </c>
      <c r="Z213" s="0" t="inlineStr">
        <is>
          <t>https://new.land.naver.com/complexes/111822?tab=detail&amp;rf=Y</t>
        </is>
      </c>
      <c r="AA213" s="0" t="inlineStr">
        <is>
          <t>인천시 남동구 간석동 42-6</t>
        </is>
      </c>
      <c r="AB213" s="0" t="inlineStr">
        <is>
          <t>인천시</t>
        </is>
      </c>
      <c r="AC213" s="0" t="inlineStr">
        <is>
          <t>남동구</t>
        </is>
      </c>
      <c r="AD213" s="0" t="inlineStr">
        <is>
          <t>간석동</t>
        </is>
      </c>
      <c r="AG213" s="0" t="inlineStr">
        <is>
          <t>인천시 남동구 용천로168번길 10</t>
        </is>
      </c>
      <c r="AH213" s="0" t="n">
        <v>0</v>
      </c>
      <c r="AI213" s="0" t="n">
        <v>459</v>
      </c>
      <c r="AJ213" s="0" t="n">
        <v>59</v>
      </c>
      <c r="AK213" s="0" t="n">
        <v>20</v>
      </c>
      <c r="AL213" s="0" t="n">
        <v>1.05</v>
      </c>
    </row>
    <row r="214">
      <c r="A214" s="0" t="inlineStr">
        <is>
          <t>[간석동]</t>
        </is>
      </c>
      <c r="B214" s="0" t="n">
        <v>111822</v>
      </c>
      <c r="C214" s="0" t="n">
        <v>2</v>
      </c>
      <c r="D214" s="0" t="inlineStr">
        <is>
          <t>신승바이올렛</t>
        </is>
      </c>
      <c r="E214" s="0" t="inlineStr">
        <is>
          <t>2012.03.</t>
        </is>
      </c>
      <c r="F214" s="0" t="n">
        <v>19</v>
      </c>
      <c r="G214" s="0" t="n">
        <v>23.43</v>
      </c>
      <c r="H214" s="0" t="n">
        <v>77.47</v>
      </c>
      <c r="I214" s="0" t="n">
        <v>20.45</v>
      </c>
      <c r="J214" s="0" t="n">
        <v>67.61</v>
      </c>
      <c r="K214" s="0" t="n">
        <v>8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77B</t>
        </is>
      </c>
      <c r="X214" s="0" t="n">
        <v>10</v>
      </c>
      <c r="Y214" s="0" t="n">
        <v>9</v>
      </c>
      <c r="Z214" s="0" t="inlineStr">
        <is>
          <t>https://new.land.naver.com/complexes/111822?tab=detail&amp;rf=Y</t>
        </is>
      </c>
      <c r="AA214" s="0" t="inlineStr">
        <is>
          <t>인천시 남동구 간석동 42-6</t>
        </is>
      </c>
      <c r="AB214" s="0" t="inlineStr">
        <is>
          <t>인천시</t>
        </is>
      </c>
      <c r="AC214" s="0" t="inlineStr">
        <is>
          <t>남동구</t>
        </is>
      </c>
      <c r="AD214" s="0" t="inlineStr">
        <is>
          <t>간석동</t>
        </is>
      </c>
      <c r="AG214" s="0" t="inlineStr">
        <is>
          <t>인천시 남동구 용천로168번길 10</t>
        </is>
      </c>
      <c r="AH214" s="0" t="n">
        <v>0</v>
      </c>
      <c r="AI214" s="0" t="n">
        <v>459</v>
      </c>
      <c r="AJ214" s="0" t="n">
        <v>59</v>
      </c>
      <c r="AK214" s="0" t="n">
        <v>20</v>
      </c>
      <c r="AL214" s="0" t="n">
        <v>1.05</v>
      </c>
    </row>
    <row r="215">
      <c r="A215" s="0" t="inlineStr">
        <is>
          <t>[간석동]</t>
        </is>
      </c>
      <c r="B215" s="0" t="n">
        <v>111822</v>
      </c>
      <c r="C215" s="0" t="n">
        <v>3</v>
      </c>
      <c r="D215" s="0" t="inlineStr">
        <is>
          <t>신승바이올렛</t>
        </is>
      </c>
      <c r="E215" s="0" t="inlineStr">
        <is>
          <t>2012.03.</t>
        </is>
      </c>
      <c r="F215" s="0" t="n">
        <v>19</v>
      </c>
      <c r="G215" s="0" t="n">
        <v>23.63</v>
      </c>
      <c r="H215" s="0" t="n">
        <v>78.13</v>
      </c>
      <c r="I215" s="0" t="n">
        <v>20.62</v>
      </c>
      <c r="J215" s="0" t="n">
        <v>68.18000000000001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78A</t>
        </is>
      </c>
      <c r="X215" s="0" t="n">
        <v>10</v>
      </c>
      <c r="Y215" s="0" t="n">
        <v>9</v>
      </c>
      <c r="Z215" s="0" t="inlineStr">
        <is>
          <t>https://new.land.naver.com/complexes/111822?tab=detail&amp;rf=Y</t>
        </is>
      </c>
      <c r="AA215" s="0" t="inlineStr">
        <is>
          <t>인천시 남동구 간석동 42-6</t>
        </is>
      </c>
      <c r="AB215" s="0" t="inlineStr">
        <is>
          <t>인천시</t>
        </is>
      </c>
      <c r="AC215" s="0" t="inlineStr">
        <is>
          <t>남동구</t>
        </is>
      </c>
      <c r="AD215" s="0" t="inlineStr">
        <is>
          <t>간석동</t>
        </is>
      </c>
      <c r="AG215" s="0" t="inlineStr">
        <is>
          <t>인천시 남동구 용천로168번길 10</t>
        </is>
      </c>
      <c r="AH215" s="0" t="n">
        <v>0</v>
      </c>
      <c r="AI215" s="0" t="n">
        <v>459</v>
      </c>
      <c r="AJ215" s="0" t="n">
        <v>59</v>
      </c>
      <c r="AK215" s="0" t="n">
        <v>20</v>
      </c>
      <c r="AL215" s="0" t="n">
        <v>1.05</v>
      </c>
    </row>
    <row r="216">
      <c r="A216" s="0" t="inlineStr">
        <is>
          <t>[간석동]</t>
        </is>
      </c>
      <c r="B216" s="0" t="n">
        <v>111822</v>
      </c>
      <c r="C216" s="0" t="n">
        <v>4</v>
      </c>
      <c r="D216" s="0" t="inlineStr">
        <is>
          <t>신승바이올렛</t>
        </is>
      </c>
      <c r="E216" s="0" t="inlineStr">
        <is>
          <t>2012.03.</t>
        </is>
      </c>
      <c r="F216" s="0" t="n">
        <v>19</v>
      </c>
      <c r="G216" s="0" t="n">
        <v>24.13</v>
      </c>
      <c r="H216" s="0" t="n">
        <v>79.8</v>
      </c>
      <c r="I216" s="0" t="n">
        <v>21.06</v>
      </c>
      <c r="J216" s="0" t="n">
        <v>69.63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79B</t>
        </is>
      </c>
      <c r="X216" s="0" t="n">
        <v>10</v>
      </c>
      <c r="Y216" s="0" t="n">
        <v>9</v>
      </c>
      <c r="Z216" s="0" t="inlineStr">
        <is>
          <t>https://new.land.naver.com/complexes/111822?tab=detail&amp;rf=Y</t>
        </is>
      </c>
      <c r="AA216" s="0" t="inlineStr">
        <is>
          <t>인천시 남동구 간석동 42-6</t>
        </is>
      </c>
      <c r="AB216" s="0" t="inlineStr">
        <is>
          <t>인천시</t>
        </is>
      </c>
      <c r="AC216" s="0" t="inlineStr">
        <is>
          <t>남동구</t>
        </is>
      </c>
      <c r="AD216" s="0" t="inlineStr">
        <is>
          <t>간석동</t>
        </is>
      </c>
      <c r="AG216" s="0" t="inlineStr">
        <is>
          <t>인천시 남동구 용천로168번길 10</t>
        </is>
      </c>
      <c r="AH216" s="0" t="n">
        <v>0</v>
      </c>
      <c r="AI216" s="0" t="n">
        <v>459</v>
      </c>
      <c r="AJ216" s="0" t="n">
        <v>59</v>
      </c>
      <c r="AK216" s="0" t="n">
        <v>20</v>
      </c>
      <c r="AL216" s="0" t="n">
        <v>1.05</v>
      </c>
    </row>
    <row r="217">
      <c r="A217" s="0" t="inlineStr">
        <is>
          <t>[간석동]</t>
        </is>
      </c>
      <c r="B217" s="0" t="n">
        <v>111822</v>
      </c>
      <c r="C217" s="0" t="n">
        <v>5</v>
      </c>
      <c r="D217" s="0" t="inlineStr">
        <is>
          <t>신승바이올렛</t>
        </is>
      </c>
      <c r="E217" s="0" t="inlineStr">
        <is>
          <t>2012.03.</t>
        </is>
      </c>
      <c r="F217" s="0" t="n">
        <v>19</v>
      </c>
      <c r="G217" s="0" t="n">
        <v>24.16</v>
      </c>
      <c r="H217" s="0" t="n">
        <v>79.89</v>
      </c>
      <c r="I217" s="0" t="n">
        <v>21.08</v>
      </c>
      <c r="J217" s="0" t="n">
        <v>69.70999999999999</v>
      </c>
      <c r="K217" s="0" t="n">
        <v>1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79C</t>
        </is>
      </c>
      <c r="X217" s="0" t="n">
        <v>10</v>
      </c>
      <c r="Y217" s="0" t="n">
        <v>9</v>
      </c>
      <c r="Z217" s="0" t="inlineStr">
        <is>
          <t>https://new.land.naver.com/complexes/111822?tab=detail&amp;rf=Y</t>
        </is>
      </c>
      <c r="AA217" s="0" t="inlineStr">
        <is>
          <t>인천시 남동구 간석동 42-6</t>
        </is>
      </c>
      <c r="AB217" s="0" t="inlineStr">
        <is>
          <t>인천시</t>
        </is>
      </c>
      <c r="AC217" s="0" t="inlineStr">
        <is>
          <t>남동구</t>
        </is>
      </c>
      <c r="AD217" s="0" t="inlineStr">
        <is>
          <t>간석동</t>
        </is>
      </c>
      <c r="AG217" s="0" t="inlineStr">
        <is>
          <t>인천시 남동구 용천로168번길 10</t>
        </is>
      </c>
      <c r="AH217" s="0" t="n">
        <v>0</v>
      </c>
      <c r="AI217" s="0" t="n">
        <v>459</v>
      </c>
      <c r="AJ217" s="0" t="n">
        <v>59</v>
      </c>
      <c r="AK217" s="0" t="n">
        <v>20</v>
      </c>
      <c r="AL217" s="0" t="n">
        <v>1.05</v>
      </c>
    </row>
    <row r="218">
      <c r="A218" s="0" t="inlineStr">
        <is>
          <t>[간석동]</t>
        </is>
      </c>
      <c r="B218" s="0" t="n">
        <v>120366</v>
      </c>
      <c r="C218" s="0" t="n">
        <v>1</v>
      </c>
      <c r="D218" s="0" t="inlineStr">
        <is>
          <t>신화팰리스</t>
        </is>
      </c>
      <c r="E218" s="0" t="inlineStr">
        <is>
          <t>2015.01.</t>
        </is>
      </c>
      <c r="F218" s="0" t="n">
        <v>12</v>
      </c>
      <c r="G218" s="0" t="n">
        <v>13.5</v>
      </c>
      <c r="H218" s="0" t="n">
        <v>44.64</v>
      </c>
      <c r="I218" s="0" t="n">
        <v>11.86</v>
      </c>
      <c r="J218" s="0" t="n">
        <v>39.21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inlineStr">
        <is>
          <t>44A</t>
        </is>
      </c>
      <c r="X218" s="0" t="n">
        <v>14</v>
      </c>
      <c r="Y218" s="0" t="n">
        <v>14</v>
      </c>
      <c r="Z218" s="0" t="inlineStr">
        <is>
          <t>https://new.land.naver.com/complexes/120366?tab=detail&amp;rf=Y</t>
        </is>
      </c>
      <c r="AA218" s="0" t="inlineStr">
        <is>
          <t>인천시 남동구 간석동 394-4</t>
        </is>
      </c>
      <c r="AB218" s="0" t="inlineStr">
        <is>
          <t>인천시</t>
        </is>
      </c>
      <c r="AC218" s="0" t="inlineStr">
        <is>
          <t>남동구</t>
        </is>
      </c>
      <c r="AD218" s="0" t="inlineStr">
        <is>
          <t>간석동</t>
        </is>
      </c>
      <c r="AG218" s="0" t="inlineStr">
        <is>
          <t>인천시 남동구 석산로 3-2</t>
        </is>
      </c>
      <c r="AH218" s="0" t="n">
        <v>0</v>
      </c>
      <c r="AI218" s="0" t="n">
        <v>459</v>
      </c>
      <c r="AJ218" s="0" t="n">
        <v>51</v>
      </c>
      <c r="AK218" s="0" t="n">
        <v>12</v>
      </c>
      <c r="AL218" s="0" t="n">
        <v>1</v>
      </c>
    </row>
    <row r="219">
      <c r="A219" s="0" t="inlineStr">
        <is>
          <t>[간석동]</t>
        </is>
      </c>
      <c r="B219" s="0" t="n">
        <v>120366</v>
      </c>
      <c r="C219" s="0" t="n">
        <v>2</v>
      </c>
      <c r="D219" s="0" t="inlineStr">
        <is>
          <t>신화팰리스</t>
        </is>
      </c>
      <c r="E219" s="0" t="inlineStr">
        <is>
          <t>2015.01.</t>
        </is>
      </c>
      <c r="F219" s="0" t="n">
        <v>12</v>
      </c>
      <c r="G219" s="0" t="n">
        <v>14.22</v>
      </c>
      <c r="H219" s="0" t="n">
        <v>47.01</v>
      </c>
      <c r="I219" s="0" t="n">
        <v>12.49</v>
      </c>
      <c r="J219" s="0" t="n">
        <v>41.29</v>
      </c>
      <c r="K219" s="0" t="n">
        <v>4</v>
      </c>
      <c r="T219" s="0" t="n">
        <v>1</v>
      </c>
      <c r="U219" s="0" t="n">
        <v>1</v>
      </c>
      <c r="V219" s="0" t="inlineStr">
        <is>
          <t>계단식</t>
        </is>
      </c>
      <c r="W219" s="0" t="inlineStr">
        <is>
          <t>47B</t>
        </is>
      </c>
      <c r="X219" s="0" t="n">
        <v>14</v>
      </c>
      <c r="Y219" s="0" t="n">
        <v>14</v>
      </c>
      <c r="Z219" s="0" t="inlineStr">
        <is>
          <t>https://new.land.naver.com/complexes/120366?tab=detail&amp;rf=Y</t>
        </is>
      </c>
      <c r="AA219" s="0" t="inlineStr">
        <is>
          <t>인천시 남동구 간석동 394-4</t>
        </is>
      </c>
      <c r="AB219" s="0" t="inlineStr">
        <is>
          <t>인천시</t>
        </is>
      </c>
      <c r="AC219" s="0" t="inlineStr">
        <is>
          <t>남동구</t>
        </is>
      </c>
      <c r="AD219" s="0" t="inlineStr">
        <is>
          <t>간석동</t>
        </is>
      </c>
      <c r="AG219" s="0" t="inlineStr">
        <is>
          <t>인천시 남동구 석산로 3-2</t>
        </is>
      </c>
      <c r="AH219" s="0" t="n">
        <v>0</v>
      </c>
      <c r="AI219" s="0" t="n">
        <v>459</v>
      </c>
      <c r="AJ219" s="0" t="n">
        <v>51</v>
      </c>
      <c r="AK219" s="0" t="n">
        <v>12</v>
      </c>
      <c r="AL219" s="0" t="n">
        <v>1</v>
      </c>
    </row>
    <row r="220">
      <c r="A220" s="0" t="inlineStr">
        <is>
          <t>[간석동]</t>
        </is>
      </c>
      <c r="B220" s="0" t="n">
        <v>120366</v>
      </c>
      <c r="C220" s="0" t="n">
        <v>3</v>
      </c>
      <c r="D220" s="0" t="inlineStr">
        <is>
          <t>신화팰리스</t>
        </is>
      </c>
      <c r="E220" s="0" t="inlineStr">
        <is>
          <t>2015.01.</t>
        </is>
      </c>
      <c r="F220" s="0" t="n">
        <v>12</v>
      </c>
      <c r="G220" s="0" t="n">
        <v>16</v>
      </c>
      <c r="H220" s="0" t="n">
        <v>52.92</v>
      </c>
      <c r="I220" s="0" t="n">
        <v>14.06</v>
      </c>
      <c r="J220" s="0" t="n">
        <v>46.48</v>
      </c>
      <c r="K220" s="0" t="n">
        <v>4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52</v>
      </c>
      <c r="X220" s="0" t="n">
        <v>14</v>
      </c>
      <c r="Y220" s="0" t="n">
        <v>14</v>
      </c>
      <c r="Z220" s="0" t="inlineStr">
        <is>
          <t>https://new.land.naver.com/complexes/120366?tab=detail&amp;rf=Y</t>
        </is>
      </c>
      <c r="AA220" s="0" t="inlineStr">
        <is>
          <t>인천시 남동구 간석동 394-4</t>
        </is>
      </c>
      <c r="AB220" s="0" t="inlineStr">
        <is>
          <t>인천시</t>
        </is>
      </c>
      <c r="AC220" s="0" t="inlineStr">
        <is>
          <t>남동구</t>
        </is>
      </c>
      <c r="AD220" s="0" t="inlineStr">
        <is>
          <t>간석동</t>
        </is>
      </c>
      <c r="AG220" s="0" t="inlineStr">
        <is>
          <t>인천시 남동구 석산로 3-2</t>
        </is>
      </c>
      <c r="AH220" s="0" t="n">
        <v>0</v>
      </c>
      <c r="AI220" s="0" t="n">
        <v>459</v>
      </c>
      <c r="AJ220" s="0" t="n">
        <v>51</v>
      </c>
      <c r="AK220" s="0" t="n">
        <v>12</v>
      </c>
      <c r="AL220" s="0" t="n">
        <v>1</v>
      </c>
    </row>
    <row r="221">
      <c r="A221" s="0" t="inlineStr">
        <is>
          <t>[간석동]</t>
        </is>
      </c>
      <c r="B221" s="0" t="n">
        <v>2564</v>
      </c>
      <c r="C221" s="0" t="n">
        <v>1</v>
      </c>
      <c r="D221" s="0" t="inlineStr">
        <is>
          <t>팬더A동</t>
        </is>
      </c>
      <c r="E221" s="0" t="inlineStr">
        <is>
          <t>1988.06.</t>
        </is>
      </c>
      <c r="F221" s="0" t="n">
        <v>48</v>
      </c>
      <c r="G221" s="0" t="n">
        <v>20.54</v>
      </c>
      <c r="H221" s="0" t="n">
        <v>67.92</v>
      </c>
      <c r="I221" s="0" t="n">
        <v>16.36</v>
      </c>
      <c r="J221" s="0" t="n">
        <v>54.09</v>
      </c>
      <c r="K221" s="0" t="n">
        <v>48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67</v>
      </c>
      <c r="X221" s="0" t="n">
        <v>6</v>
      </c>
      <c r="Y221" s="0" t="n">
        <v>6</v>
      </c>
      <c r="Z221" s="0" t="inlineStr">
        <is>
          <t>https://new.land.naver.com/complexes/2564?tab=detail&amp;rf=Y</t>
        </is>
      </c>
      <c r="AA221" s="0" t="inlineStr">
        <is>
          <t>인천시 남동구 간석동 774-8</t>
        </is>
      </c>
      <c r="AB221" s="0" t="inlineStr">
        <is>
          <t>인천시</t>
        </is>
      </c>
      <c r="AC221" s="0" t="inlineStr">
        <is>
          <t>남동구</t>
        </is>
      </c>
      <c r="AD221" s="0" t="inlineStr">
        <is>
          <t>간석동</t>
        </is>
      </c>
      <c r="AG221" s="0" t="inlineStr">
        <is>
          <t>인천시 남동구 경인로742번길 36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[간석동]</t>
        </is>
      </c>
      <c r="B222" s="0" t="n">
        <v>112721</v>
      </c>
      <c r="C222" s="0" t="n">
        <v>1</v>
      </c>
      <c r="D222" s="0" t="inlineStr">
        <is>
          <t>삼마탑클래스</t>
        </is>
      </c>
      <c r="E222" s="0" t="inlineStr">
        <is>
          <t>2016.07.</t>
        </is>
      </c>
      <c r="F222" s="0" t="n">
        <v>90</v>
      </c>
      <c r="G222" s="0" t="n">
        <v>24.15</v>
      </c>
      <c r="H222" s="0" t="n">
        <v>79.84999999999999</v>
      </c>
      <c r="I222" s="0" t="n">
        <v>18.07</v>
      </c>
      <c r="J222" s="0" t="n">
        <v>59.75</v>
      </c>
      <c r="K222" s="0" t="n">
        <v>20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79A</t>
        </is>
      </c>
      <c r="X222" s="0" t="n">
        <v>15</v>
      </c>
      <c r="Y222" s="0" t="n">
        <v>11</v>
      </c>
      <c r="Z222" s="0" t="inlineStr">
        <is>
          <t>https://new.land.naver.com/complexes/112721?tab=detail&amp;rf=Y</t>
        </is>
      </c>
      <c r="AA222" s="0" t="inlineStr">
        <is>
          <t>인천시 남동구 간석동 517-1</t>
        </is>
      </c>
      <c r="AB222" s="0" t="inlineStr">
        <is>
          <t>인천시</t>
        </is>
      </c>
      <c r="AC222" s="0" t="inlineStr">
        <is>
          <t>남동구</t>
        </is>
      </c>
      <c r="AD222" s="0" t="inlineStr">
        <is>
          <t>간석동</t>
        </is>
      </c>
      <c r="AG222" s="0" t="inlineStr">
        <is>
          <t>인천시 남동구 석산로62번길 11</t>
        </is>
      </c>
      <c r="AH222" s="0" t="n">
        <v>0</v>
      </c>
      <c r="AI222" s="0" t="n">
        <v>249</v>
      </c>
      <c r="AJ222" s="0" t="n">
        <v>45</v>
      </c>
      <c r="AK222" s="0" t="n">
        <v>75</v>
      </c>
      <c r="AL222" s="0" t="n">
        <v>0.83</v>
      </c>
    </row>
    <row r="223">
      <c r="A223" s="0" t="inlineStr">
        <is>
          <t>[간석동]</t>
        </is>
      </c>
      <c r="B223" s="0" t="n">
        <v>112721</v>
      </c>
      <c r="C223" s="0" t="n">
        <v>2</v>
      </c>
      <c r="D223" s="0" t="inlineStr">
        <is>
          <t>삼마탑클래스</t>
        </is>
      </c>
      <c r="E223" s="0" t="inlineStr">
        <is>
          <t>2016.07.</t>
        </is>
      </c>
      <c r="F223" s="0" t="n">
        <v>90</v>
      </c>
      <c r="G223" s="0" t="n">
        <v>24.44</v>
      </c>
      <c r="H223" s="0" t="n">
        <v>80.8</v>
      </c>
      <c r="I223" s="0" t="n">
        <v>17.99</v>
      </c>
      <c r="J223" s="0" t="n">
        <v>59.5</v>
      </c>
      <c r="K223" s="0" t="n">
        <v>14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80B</t>
        </is>
      </c>
      <c r="X223" s="0" t="n">
        <v>15</v>
      </c>
      <c r="Y223" s="0" t="n">
        <v>11</v>
      </c>
      <c r="Z223" s="0" t="inlineStr">
        <is>
          <t>https://new.land.naver.com/complexes/112721?tab=detail&amp;rf=Y</t>
        </is>
      </c>
      <c r="AA223" s="0" t="inlineStr">
        <is>
          <t>인천시 남동구 간석동 517-1</t>
        </is>
      </c>
      <c r="AB223" s="0" t="inlineStr">
        <is>
          <t>인천시</t>
        </is>
      </c>
      <c r="AC223" s="0" t="inlineStr">
        <is>
          <t>남동구</t>
        </is>
      </c>
      <c r="AD223" s="0" t="inlineStr">
        <is>
          <t>간석동</t>
        </is>
      </c>
      <c r="AG223" s="0" t="inlineStr">
        <is>
          <t>인천시 남동구 석산로62번길 11</t>
        </is>
      </c>
      <c r="AH223" s="0" t="n">
        <v>0</v>
      </c>
      <c r="AI223" s="0" t="n">
        <v>249</v>
      </c>
      <c r="AJ223" s="0" t="n">
        <v>45</v>
      </c>
      <c r="AK223" s="0" t="n">
        <v>75</v>
      </c>
      <c r="AL223" s="0" t="n">
        <v>0.83</v>
      </c>
    </row>
    <row r="224">
      <c r="A224" s="0" t="inlineStr">
        <is>
          <t>[간석동]</t>
        </is>
      </c>
      <c r="B224" s="0" t="n">
        <v>112721</v>
      </c>
      <c r="C224" s="0" t="n">
        <v>3</v>
      </c>
      <c r="D224" s="0" t="inlineStr">
        <is>
          <t>삼마탑클래스</t>
        </is>
      </c>
      <c r="E224" s="0" t="inlineStr">
        <is>
          <t>2016.07.</t>
        </is>
      </c>
      <c r="F224" s="0" t="n">
        <v>90</v>
      </c>
      <c r="G224" s="0" t="n">
        <v>24.57</v>
      </c>
      <c r="H224" s="0" t="n">
        <v>81.23999999999999</v>
      </c>
      <c r="I224" s="0" t="n">
        <v>18.09</v>
      </c>
      <c r="J224" s="0" t="n">
        <v>59.83</v>
      </c>
      <c r="K224" s="0" t="n">
        <v>14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15</v>
      </c>
      <c r="Y224" s="0" t="n">
        <v>11</v>
      </c>
      <c r="Z224" s="0" t="inlineStr">
        <is>
          <t>https://new.land.naver.com/complexes/112721?tab=detail&amp;rf=Y</t>
        </is>
      </c>
      <c r="AA224" s="0" t="inlineStr">
        <is>
          <t>인천시 남동구 간석동 517-1</t>
        </is>
      </c>
      <c r="AB224" s="0" t="inlineStr">
        <is>
          <t>인천시</t>
        </is>
      </c>
      <c r="AC224" s="0" t="inlineStr">
        <is>
          <t>남동구</t>
        </is>
      </c>
      <c r="AD224" s="0" t="inlineStr">
        <is>
          <t>간석동</t>
        </is>
      </c>
      <c r="AG224" s="0" t="inlineStr">
        <is>
          <t>인천시 남동구 석산로62번길 11</t>
        </is>
      </c>
      <c r="AH224" s="0" t="n">
        <v>0</v>
      </c>
      <c r="AI224" s="0" t="n">
        <v>249</v>
      </c>
      <c r="AJ224" s="0" t="n">
        <v>45</v>
      </c>
      <c r="AK224" s="0" t="n">
        <v>75</v>
      </c>
      <c r="AL224" s="0" t="n">
        <v>0.83</v>
      </c>
    </row>
    <row r="225">
      <c r="A225" s="0" t="inlineStr">
        <is>
          <t>[간석동]</t>
        </is>
      </c>
      <c r="B225" s="0" t="n">
        <v>112721</v>
      </c>
      <c r="C225" s="0" t="n">
        <v>4</v>
      </c>
      <c r="D225" s="0" t="inlineStr">
        <is>
          <t>삼마탑클래스</t>
        </is>
      </c>
      <c r="E225" s="0" t="inlineStr">
        <is>
          <t>2016.07.</t>
        </is>
      </c>
      <c r="F225" s="0" t="n">
        <v>90</v>
      </c>
      <c r="G225" s="0" t="n">
        <v>28.51</v>
      </c>
      <c r="H225" s="0" t="n">
        <v>94.27</v>
      </c>
      <c r="I225" s="0" t="n">
        <v>21.34</v>
      </c>
      <c r="J225" s="0" t="n">
        <v>70.56999999999999</v>
      </c>
      <c r="K225" s="0" t="n">
        <v>28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94D</t>
        </is>
      </c>
      <c r="X225" s="0" t="n">
        <v>15</v>
      </c>
      <c r="Y225" s="0" t="n">
        <v>11</v>
      </c>
      <c r="Z225" s="0" t="inlineStr">
        <is>
          <t>https://new.land.naver.com/complexes/112721?tab=detail&amp;rf=Y</t>
        </is>
      </c>
      <c r="AA225" s="0" t="inlineStr">
        <is>
          <t>인천시 남동구 간석동 517-1</t>
        </is>
      </c>
      <c r="AB225" s="0" t="inlineStr">
        <is>
          <t>인천시</t>
        </is>
      </c>
      <c r="AC225" s="0" t="inlineStr">
        <is>
          <t>남동구</t>
        </is>
      </c>
      <c r="AD225" s="0" t="inlineStr">
        <is>
          <t>간석동</t>
        </is>
      </c>
      <c r="AG225" s="0" t="inlineStr">
        <is>
          <t>인천시 남동구 석산로62번길 11</t>
        </is>
      </c>
      <c r="AH225" s="0" t="n">
        <v>0</v>
      </c>
      <c r="AI225" s="0" t="n">
        <v>249</v>
      </c>
      <c r="AJ225" s="0" t="n">
        <v>45</v>
      </c>
      <c r="AK225" s="0" t="n">
        <v>75</v>
      </c>
      <c r="AL225" s="0" t="n">
        <v>0.83</v>
      </c>
    </row>
    <row r="226">
      <c r="A226" s="0" t="inlineStr">
        <is>
          <t>[간석동]</t>
        </is>
      </c>
      <c r="B226" s="0" t="n">
        <v>112721</v>
      </c>
      <c r="C226" s="0" t="n">
        <v>5</v>
      </c>
      <c r="D226" s="0" t="inlineStr">
        <is>
          <t>삼마탑클래스</t>
        </is>
      </c>
      <c r="E226" s="0" t="inlineStr">
        <is>
          <t>2016.07.</t>
        </is>
      </c>
      <c r="F226" s="0" t="n">
        <v>90</v>
      </c>
      <c r="G226" s="0" t="n">
        <v>28.69</v>
      </c>
      <c r="H226" s="0" t="n">
        <v>94.87</v>
      </c>
      <c r="I226" s="0" t="n">
        <v>21.25</v>
      </c>
      <c r="J226" s="0" t="n">
        <v>70.25</v>
      </c>
      <c r="K226" s="0" t="n">
        <v>14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94A</t>
        </is>
      </c>
      <c r="X226" s="0" t="n">
        <v>15</v>
      </c>
      <c r="Y226" s="0" t="n">
        <v>11</v>
      </c>
      <c r="Z226" s="0" t="inlineStr">
        <is>
          <t>https://new.land.naver.com/complexes/112721?tab=detail&amp;rf=Y</t>
        </is>
      </c>
      <c r="AA226" s="0" t="inlineStr">
        <is>
          <t>인천시 남동구 간석동 517-1</t>
        </is>
      </c>
      <c r="AB226" s="0" t="inlineStr">
        <is>
          <t>인천시</t>
        </is>
      </c>
      <c r="AC226" s="0" t="inlineStr">
        <is>
          <t>남동구</t>
        </is>
      </c>
      <c r="AD226" s="0" t="inlineStr">
        <is>
          <t>간석동</t>
        </is>
      </c>
      <c r="AG226" s="0" t="inlineStr">
        <is>
          <t>인천시 남동구 석산로62번길 11</t>
        </is>
      </c>
      <c r="AH226" s="0" t="n">
        <v>0</v>
      </c>
      <c r="AI226" s="0" t="n">
        <v>249</v>
      </c>
      <c r="AJ226" s="0" t="n">
        <v>45</v>
      </c>
      <c r="AK226" s="0" t="n">
        <v>75</v>
      </c>
      <c r="AL226" s="0" t="n">
        <v>0.83</v>
      </c>
    </row>
    <row r="227">
      <c r="A227" s="0" t="inlineStr">
        <is>
          <t>[간석동]</t>
        </is>
      </c>
      <c r="B227" s="0" t="n">
        <v>119879</v>
      </c>
      <c r="C227" s="0" t="n">
        <v>1</v>
      </c>
      <c r="D227" s="0" t="inlineStr">
        <is>
          <t>성은(도시형)</t>
        </is>
      </c>
      <c r="E227" s="0" t="inlineStr">
        <is>
          <t>2007.01.</t>
        </is>
      </c>
      <c r="F227" s="0" t="n">
        <v>10</v>
      </c>
      <c r="G227" s="0" t="n">
        <v>10.05</v>
      </c>
      <c r="H227" s="0" t="n">
        <v>33.24</v>
      </c>
      <c r="I227" s="0" t="n">
        <v>6.35</v>
      </c>
      <c r="J227" s="0" t="n">
        <v>21</v>
      </c>
      <c r="K227" s="0" t="n">
        <v>4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33</v>
      </c>
      <c r="X227" s="0" t="n">
        <v>3</v>
      </c>
      <c r="Y227" s="0" t="n">
        <v>3</v>
      </c>
      <c r="Z227" s="0" t="inlineStr">
        <is>
          <t>https://new.land.naver.com/complexes/119879?tab=detail&amp;rf=Y</t>
        </is>
      </c>
      <c r="AA227" s="0" t="inlineStr">
        <is>
          <t>인천시 남동구 간석동 122-26</t>
        </is>
      </c>
      <c r="AB227" s="0" t="inlineStr">
        <is>
          <t>인천시</t>
        </is>
      </c>
      <c r="AC227" s="0" t="inlineStr">
        <is>
          <t>남동구</t>
        </is>
      </c>
      <c r="AD227" s="0" t="inlineStr">
        <is>
          <t>간석동</t>
        </is>
      </c>
      <c r="AG227" s="0" t="inlineStr">
        <is>
          <t>인천시 남동구 용천로153번길 16</t>
        </is>
      </c>
      <c r="AH227" s="0" t="n">
        <v>0</v>
      </c>
      <c r="AI227" s="0" t="n">
        <v>461</v>
      </c>
      <c r="AJ227" s="0" t="n">
        <v>78</v>
      </c>
      <c r="AK227" s="0" t="n">
        <v>5</v>
      </c>
      <c r="AL227" s="0" t="n">
        <v>0.5</v>
      </c>
    </row>
    <row r="228">
      <c r="A228" s="0" t="inlineStr">
        <is>
          <t>[간석동]</t>
        </is>
      </c>
      <c r="B228" s="0" t="n">
        <v>119879</v>
      </c>
      <c r="C228" s="0" t="n">
        <v>2</v>
      </c>
      <c r="D228" s="0" t="inlineStr">
        <is>
          <t>성은(도시형)</t>
        </is>
      </c>
      <c r="E228" s="0" t="inlineStr">
        <is>
          <t>2007.01.</t>
        </is>
      </c>
      <c r="F228" s="0" t="n">
        <v>10</v>
      </c>
      <c r="G228" s="0" t="n">
        <v>11.25</v>
      </c>
      <c r="H228" s="0" t="n">
        <v>37.2</v>
      </c>
      <c r="I228" s="0" t="n">
        <v>7.1</v>
      </c>
      <c r="J228" s="0" t="n">
        <v>23.5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n">
        <v>37</v>
      </c>
      <c r="X228" s="0" t="n">
        <v>3</v>
      </c>
      <c r="Y228" s="0" t="n">
        <v>3</v>
      </c>
      <c r="Z228" s="0" t="inlineStr">
        <is>
          <t>https://new.land.naver.com/complexes/119879?tab=detail&amp;rf=Y</t>
        </is>
      </c>
      <c r="AA228" s="0" t="inlineStr">
        <is>
          <t>인천시 남동구 간석동 122-26</t>
        </is>
      </c>
      <c r="AB228" s="0" t="inlineStr">
        <is>
          <t>인천시</t>
        </is>
      </c>
      <c r="AC228" s="0" t="inlineStr">
        <is>
          <t>남동구</t>
        </is>
      </c>
      <c r="AD228" s="0" t="inlineStr">
        <is>
          <t>간석동</t>
        </is>
      </c>
      <c r="AG228" s="0" t="inlineStr">
        <is>
          <t>인천시 남동구 용천로153번길 16</t>
        </is>
      </c>
      <c r="AH228" s="0" t="n">
        <v>0</v>
      </c>
      <c r="AI228" s="0" t="n">
        <v>461</v>
      </c>
      <c r="AJ228" s="0" t="n">
        <v>78</v>
      </c>
      <c r="AK228" s="0" t="n">
        <v>5</v>
      </c>
      <c r="AL228" s="0" t="n">
        <v>0.5</v>
      </c>
    </row>
    <row r="229">
      <c r="A229" s="0" t="inlineStr">
        <is>
          <t>[간석동]</t>
        </is>
      </c>
      <c r="B229" s="0" t="n">
        <v>119879</v>
      </c>
      <c r="C229" s="0" t="n">
        <v>3</v>
      </c>
      <c r="D229" s="0" t="inlineStr">
        <is>
          <t>성은(도시형)</t>
        </is>
      </c>
      <c r="E229" s="0" t="inlineStr">
        <is>
          <t>2007.01.</t>
        </is>
      </c>
      <c r="F229" s="0" t="n">
        <v>10</v>
      </c>
      <c r="G229" s="0" t="n">
        <v>14.36</v>
      </c>
      <c r="H229" s="0" t="n">
        <v>47.49</v>
      </c>
      <c r="I229" s="0" t="n">
        <v>9.07</v>
      </c>
      <c r="J229" s="0" t="n">
        <v>30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47A</t>
        </is>
      </c>
      <c r="X229" s="0" t="n">
        <v>3</v>
      </c>
      <c r="Y229" s="0" t="n">
        <v>3</v>
      </c>
      <c r="Z229" s="0" t="inlineStr">
        <is>
          <t>https://new.land.naver.com/complexes/119879?tab=detail&amp;rf=Y</t>
        </is>
      </c>
      <c r="AA229" s="0" t="inlineStr">
        <is>
          <t>인천시 남동구 간석동 122-26</t>
        </is>
      </c>
      <c r="AB229" s="0" t="inlineStr">
        <is>
          <t>인천시</t>
        </is>
      </c>
      <c r="AC229" s="0" t="inlineStr">
        <is>
          <t>남동구</t>
        </is>
      </c>
      <c r="AD229" s="0" t="inlineStr">
        <is>
          <t>간석동</t>
        </is>
      </c>
      <c r="AG229" s="0" t="inlineStr">
        <is>
          <t>인천시 남동구 용천로153번길 16</t>
        </is>
      </c>
      <c r="AH229" s="0" t="n">
        <v>0</v>
      </c>
      <c r="AI229" s="0" t="n">
        <v>461</v>
      </c>
      <c r="AJ229" s="0" t="n">
        <v>78</v>
      </c>
      <c r="AK229" s="0" t="n">
        <v>5</v>
      </c>
      <c r="AL229" s="0" t="n">
        <v>0.5</v>
      </c>
    </row>
    <row r="230">
      <c r="A230" s="0" t="inlineStr">
        <is>
          <t>[간석동]</t>
        </is>
      </c>
      <c r="B230" s="0" t="n">
        <v>119879</v>
      </c>
      <c r="C230" s="0" t="n">
        <v>4</v>
      </c>
      <c r="D230" s="0" t="inlineStr">
        <is>
          <t>성은(도시형)</t>
        </is>
      </c>
      <c r="E230" s="0" t="inlineStr">
        <is>
          <t>2007.01.</t>
        </is>
      </c>
      <c r="F230" s="0" t="n">
        <v>10</v>
      </c>
      <c r="G230" s="0" t="n">
        <v>14.37</v>
      </c>
      <c r="H230" s="0" t="n">
        <v>47.52</v>
      </c>
      <c r="I230" s="0" t="n">
        <v>9.07</v>
      </c>
      <c r="J230" s="0" t="n">
        <v>30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47B</t>
        </is>
      </c>
      <c r="X230" s="0" t="n">
        <v>3</v>
      </c>
      <c r="Y230" s="0" t="n">
        <v>3</v>
      </c>
      <c r="Z230" s="0" t="inlineStr">
        <is>
          <t>https://new.land.naver.com/complexes/119879?tab=detail&amp;rf=Y</t>
        </is>
      </c>
      <c r="AA230" s="0" t="inlineStr">
        <is>
          <t>인천시 남동구 간석동 122-26</t>
        </is>
      </c>
      <c r="AB230" s="0" t="inlineStr">
        <is>
          <t>인천시</t>
        </is>
      </c>
      <c r="AC230" s="0" t="inlineStr">
        <is>
          <t>남동구</t>
        </is>
      </c>
      <c r="AD230" s="0" t="inlineStr">
        <is>
          <t>간석동</t>
        </is>
      </c>
      <c r="AG230" s="0" t="inlineStr">
        <is>
          <t>인천시 남동구 용천로153번길 16</t>
        </is>
      </c>
      <c r="AH230" s="0" t="n">
        <v>0</v>
      </c>
      <c r="AI230" s="0" t="n">
        <v>461</v>
      </c>
      <c r="AJ230" s="0" t="n">
        <v>78</v>
      </c>
      <c r="AK230" s="0" t="n">
        <v>5</v>
      </c>
      <c r="AL230" s="0" t="n">
        <v>0.5</v>
      </c>
    </row>
    <row r="231">
      <c r="A231" s="0" t="inlineStr">
        <is>
          <t>[간석동]</t>
        </is>
      </c>
      <c r="B231" s="0" t="n">
        <v>119879</v>
      </c>
      <c r="C231" s="0" t="n">
        <v>5</v>
      </c>
      <c r="D231" s="0" t="inlineStr">
        <is>
          <t>성은(도시형)</t>
        </is>
      </c>
      <c r="E231" s="0" t="inlineStr">
        <is>
          <t>2007.01.</t>
        </is>
      </c>
      <c r="F231" s="0" t="n">
        <v>10</v>
      </c>
      <c r="G231" s="0" t="n">
        <v>16.12</v>
      </c>
      <c r="H231" s="0" t="n">
        <v>53.32</v>
      </c>
      <c r="I231" s="0" t="n">
        <v>10.19</v>
      </c>
      <c r="J231" s="0" t="n">
        <v>33.69</v>
      </c>
      <c r="K231" s="0" t="n">
        <v>2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53</v>
      </c>
      <c r="X231" s="0" t="n">
        <v>3</v>
      </c>
      <c r="Y231" s="0" t="n">
        <v>3</v>
      </c>
      <c r="Z231" s="0" t="inlineStr">
        <is>
          <t>https://new.land.naver.com/complexes/119879?tab=detail&amp;rf=Y</t>
        </is>
      </c>
      <c r="AA231" s="0" t="inlineStr">
        <is>
          <t>인천시 남동구 간석동 122-26</t>
        </is>
      </c>
      <c r="AB231" s="0" t="inlineStr">
        <is>
          <t>인천시</t>
        </is>
      </c>
      <c r="AC231" s="0" t="inlineStr">
        <is>
          <t>남동구</t>
        </is>
      </c>
      <c r="AD231" s="0" t="inlineStr">
        <is>
          <t>간석동</t>
        </is>
      </c>
      <c r="AG231" s="0" t="inlineStr">
        <is>
          <t>인천시 남동구 용천로153번길 16</t>
        </is>
      </c>
      <c r="AH231" s="0" t="n">
        <v>0</v>
      </c>
      <c r="AI231" s="0" t="n">
        <v>461</v>
      </c>
      <c r="AJ231" s="0" t="n">
        <v>78</v>
      </c>
      <c r="AK231" s="0" t="n">
        <v>5</v>
      </c>
      <c r="AL231" s="0" t="n">
        <v>0.5</v>
      </c>
    </row>
    <row r="232">
      <c r="A232" s="0" t="inlineStr">
        <is>
          <t>[간석동]</t>
        </is>
      </c>
      <c r="B232" s="0" t="n">
        <v>126922</v>
      </c>
      <c r="C232" s="0" t="n">
        <v>1</v>
      </c>
      <c r="D232" s="0" t="inlineStr">
        <is>
          <t>트라움</t>
        </is>
      </c>
      <c r="E232" s="0" t="inlineStr">
        <is>
          <t>2018.01.</t>
        </is>
      </c>
      <c r="F232" s="0" t="n">
        <v>12</v>
      </c>
      <c r="G232" s="0" t="n">
        <v>17.68</v>
      </c>
      <c r="H232" s="0" t="n">
        <v>58.47</v>
      </c>
      <c r="I232" s="0" t="n">
        <v>15.42</v>
      </c>
      <c r="J232" s="0" t="n">
        <v>51</v>
      </c>
      <c r="K232" s="0" t="n">
        <v>1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58A</t>
        </is>
      </c>
      <c r="X232" s="0" t="n">
        <v>15</v>
      </c>
      <c r="Y232" s="0" t="n">
        <v>14</v>
      </c>
      <c r="Z232" s="0" t="inlineStr">
        <is>
          <t>https://new.land.naver.com/complexes/126922?tab=detail&amp;rf=Y</t>
        </is>
      </c>
      <c r="AA232" s="0" t="inlineStr">
        <is>
          <t>인천시 남동구 간석동 234-4</t>
        </is>
      </c>
      <c r="AB232" s="0" t="inlineStr">
        <is>
          <t>인천시</t>
        </is>
      </c>
      <c r="AC232" s="0" t="inlineStr">
        <is>
          <t>남동구</t>
        </is>
      </c>
      <c r="AD232" s="0" t="inlineStr">
        <is>
          <t>간석동</t>
        </is>
      </c>
      <c r="AG232" s="0" t="inlineStr">
        <is>
          <t>인천시 남동구 백범로422번길 6</t>
        </is>
      </c>
      <c r="AH232" s="0" t="n">
        <v>0</v>
      </c>
      <c r="AI232" s="0" t="n">
        <v>498</v>
      </c>
      <c r="AJ232" s="0" t="n">
        <v>59</v>
      </c>
      <c r="AK232" s="0" t="n">
        <v>12</v>
      </c>
      <c r="AL232" s="0" t="n">
        <v>1</v>
      </c>
    </row>
    <row r="233">
      <c r="A233" s="0" t="inlineStr">
        <is>
          <t>[간석동]</t>
        </is>
      </c>
      <c r="B233" s="0" t="n">
        <v>126922</v>
      </c>
      <c r="C233" s="0" t="n">
        <v>2</v>
      </c>
      <c r="D233" s="0" t="inlineStr">
        <is>
          <t>트라움</t>
        </is>
      </c>
      <c r="E233" s="0" t="inlineStr">
        <is>
          <t>2018.01.</t>
        </is>
      </c>
      <c r="F233" s="0" t="n">
        <v>12</v>
      </c>
      <c r="G233" s="0" t="n">
        <v>17.99</v>
      </c>
      <c r="H233" s="0" t="n">
        <v>59.49</v>
      </c>
      <c r="I233" s="0" t="n">
        <v>15.69</v>
      </c>
      <c r="J233" s="0" t="n">
        <v>51.88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59C</t>
        </is>
      </c>
      <c r="X233" s="0" t="n">
        <v>15</v>
      </c>
      <c r="Y233" s="0" t="n">
        <v>14</v>
      </c>
      <c r="Z233" s="0" t="inlineStr">
        <is>
          <t>https://new.land.naver.com/complexes/126922?tab=detail&amp;rf=Y</t>
        </is>
      </c>
      <c r="AA233" s="0" t="inlineStr">
        <is>
          <t>인천시 남동구 간석동 234-4</t>
        </is>
      </c>
      <c r="AB233" s="0" t="inlineStr">
        <is>
          <t>인천시</t>
        </is>
      </c>
      <c r="AC233" s="0" t="inlineStr">
        <is>
          <t>남동구</t>
        </is>
      </c>
      <c r="AD233" s="0" t="inlineStr">
        <is>
          <t>간석동</t>
        </is>
      </c>
      <c r="AG233" s="0" t="inlineStr">
        <is>
          <t>인천시 남동구 백범로422번길 6</t>
        </is>
      </c>
      <c r="AH233" s="0" t="n">
        <v>0</v>
      </c>
      <c r="AI233" s="0" t="n">
        <v>498</v>
      </c>
      <c r="AJ233" s="0" t="n">
        <v>59</v>
      </c>
      <c r="AK233" s="0" t="n">
        <v>12</v>
      </c>
      <c r="AL233" s="0" t="n">
        <v>1</v>
      </c>
    </row>
    <row r="234">
      <c r="A234" s="0" t="inlineStr">
        <is>
          <t>[간석동]</t>
        </is>
      </c>
      <c r="B234" s="0" t="n">
        <v>126922</v>
      </c>
      <c r="C234" s="0" t="n">
        <v>3</v>
      </c>
      <c r="D234" s="0" t="inlineStr">
        <is>
          <t>트라움</t>
        </is>
      </c>
      <c r="E234" s="0" t="inlineStr">
        <is>
          <t>2018.01.</t>
        </is>
      </c>
      <c r="F234" s="0" t="n">
        <v>12</v>
      </c>
      <c r="G234" s="0" t="n">
        <v>17.85</v>
      </c>
      <c r="H234" s="0" t="n">
        <v>59.03</v>
      </c>
      <c r="I234" s="0" t="n">
        <v>15.54</v>
      </c>
      <c r="J234" s="0" t="n">
        <v>51.4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inlineStr">
        <is>
          <t>59B</t>
        </is>
      </c>
      <c r="X234" s="0" t="n">
        <v>15</v>
      </c>
      <c r="Y234" s="0" t="n">
        <v>14</v>
      </c>
      <c r="Z234" s="0" t="inlineStr">
        <is>
          <t>https://new.land.naver.com/complexes/126922?tab=detail&amp;rf=Y</t>
        </is>
      </c>
      <c r="AA234" s="0" t="inlineStr">
        <is>
          <t>인천시 남동구 간석동 234-4</t>
        </is>
      </c>
      <c r="AB234" s="0" t="inlineStr">
        <is>
          <t>인천시</t>
        </is>
      </c>
      <c r="AC234" s="0" t="inlineStr">
        <is>
          <t>남동구</t>
        </is>
      </c>
      <c r="AD234" s="0" t="inlineStr">
        <is>
          <t>간석동</t>
        </is>
      </c>
      <c r="AG234" s="0" t="inlineStr">
        <is>
          <t>인천시 남동구 백범로422번길 6</t>
        </is>
      </c>
      <c r="AH234" s="0" t="n">
        <v>0</v>
      </c>
      <c r="AI234" s="0" t="n">
        <v>498</v>
      </c>
      <c r="AJ234" s="0" t="n">
        <v>59</v>
      </c>
      <c r="AK234" s="0" t="n">
        <v>12</v>
      </c>
      <c r="AL234" s="0" t="n">
        <v>1</v>
      </c>
    </row>
    <row r="235">
      <c r="A235" s="0" t="inlineStr">
        <is>
          <t>[간석동]</t>
        </is>
      </c>
      <c r="B235" s="0" t="n">
        <v>126922</v>
      </c>
      <c r="C235" s="0" t="n">
        <v>4</v>
      </c>
      <c r="D235" s="0" t="inlineStr">
        <is>
          <t>트라움</t>
        </is>
      </c>
      <c r="E235" s="0" t="inlineStr">
        <is>
          <t>2018.01.</t>
        </is>
      </c>
      <c r="F235" s="0" t="n">
        <v>12</v>
      </c>
      <c r="G235" s="0" t="n">
        <v>18.1</v>
      </c>
      <c r="H235" s="0" t="n">
        <v>59.86</v>
      </c>
      <c r="I235" s="0" t="n">
        <v>15.77</v>
      </c>
      <c r="J235" s="0" t="n">
        <v>52.15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59D</t>
        </is>
      </c>
      <c r="X235" s="0" t="n">
        <v>15</v>
      </c>
      <c r="Y235" s="0" t="n">
        <v>14</v>
      </c>
      <c r="Z235" s="0" t="inlineStr">
        <is>
          <t>https://new.land.naver.com/complexes/126922?tab=detail&amp;rf=Y</t>
        </is>
      </c>
      <c r="AA235" s="0" t="inlineStr">
        <is>
          <t>인천시 남동구 간석동 234-4</t>
        </is>
      </c>
      <c r="AB235" s="0" t="inlineStr">
        <is>
          <t>인천시</t>
        </is>
      </c>
      <c r="AC235" s="0" t="inlineStr">
        <is>
          <t>남동구</t>
        </is>
      </c>
      <c r="AD235" s="0" t="inlineStr">
        <is>
          <t>간석동</t>
        </is>
      </c>
      <c r="AG235" s="0" t="inlineStr">
        <is>
          <t>인천시 남동구 백범로422번길 6</t>
        </is>
      </c>
      <c r="AH235" s="0" t="n">
        <v>0</v>
      </c>
      <c r="AI235" s="0" t="n">
        <v>498</v>
      </c>
      <c r="AJ235" s="0" t="n">
        <v>59</v>
      </c>
      <c r="AK235" s="0" t="n">
        <v>12</v>
      </c>
      <c r="AL235" s="0" t="n">
        <v>1</v>
      </c>
    </row>
    <row r="236">
      <c r="A236" s="0" t="inlineStr">
        <is>
          <t>[간석동]</t>
        </is>
      </c>
      <c r="B236" s="0" t="n">
        <v>126922</v>
      </c>
      <c r="C236" s="0" t="n">
        <v>5</v>
      </c>
      <c r="D236" s="0" t="inlineStr">
        <is>
          <t>트라움</t>
        </is>
      </c>
      <c r="E236" s="0" t="inlineStr">
        <is>
          <t>2018.01.</t>
        </is>
      </c>
      <c r="F236" s="0" t="n">
        <v>12</v>
      </c>
      <c r="G236" s="0" t="n">
        <v>18.54</v>
      </c>
      <c r="H236" s="0" t="n">
        <v>61.32</v>
      </c>
      <c r="I236" s="0" t="n">
        <v>16.09</v>
      </c>
      <c r="J236" s="0" t="n">
        <v>53.2</v>
      </c>
      <c r="K236" s="0" t="n">
        <v>1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61A</t>
        </is>
      </c>
      <c r="X236" s="0" t="n">
        <v>15</v>
      </c>
      <c r="Y236" s="0" t="n">
        <v>14</v>
      </c>
      <c r="Z236" s="0" t="inlineStr">
        <is>
          <t>https://new.land.naver.com/complexes/126922?tab=detail&amp;rf=Y</t>
        </is>
      </c>
      <c r="AA236" s="0" t="inlineStr">
        <is>
          <t>인천시 남동구 간석동 234-4</t>
        </is>
      </c>
      <c r="AB236" s="0" t="inlineStr">
        <is>
          <t>인천시</t>
        </is>
      </c>
      <c r="AC236" s="0" t="inlineStr">
        <is>
          <t>남동구</t>
        </is>
      </c>
      <c r="AD236" s="0" t="inlineStr">
        <is>
          <t>간석동</t>
        </is>
      </c>
      <c r="AG236" s="0" t="inlineStr">
        <is>
          <t>인천시 남동구 백범로422번길 6</t>
        </is>
      </c>
      <c r="AH236" s="0" t="n">
        <v>0</v>
      </c>
      <c r="AI236" s="0" t="n">
        <v>498</v>
      </c>
      <c r="AJ236" s="0" t="n">
        <v>59</v>
      </c>
      <c r="AK236" s="0" t="n">
        <v>12</v>
      </c>
      <c r="AL236" s="0" t="n">
        <v>1</v>
      </c>
    </row>
    <row r="237">
      <c r="A237" s="0" t="inlineStr">
        <is>
          <t>[간석동]</t>
        </is>
      </c>
      <c r="B237" s="0" t="n">
        <v>126922</v>
      </c>
      <c r="C237" s="0" t="n">
        <v>6</v>
      </c>
      <c r="D237" s="0" t="inlineStr">
        <is>
          <t>트라움</t>
        </is>
      </c>
      <c r="E237" s="0" t="inlineStr">
        <is>
          <t>2018.01.</t>
        </is>
      </c>
      <c r="F237" s="0" t="n">
        <v>12</v>
      </c>
      <c r="G237" s="0" t="n">
        <v>18.55</v>
      </c>
      <c r="H237" s="0" t="n">
        <v>61.34</v>
      </c>
      <c r="I237" s="0" t="n">
        <v>16.18</v>
      </c>
      <c r="J237" s="0" t="n">
        <v>53.51</v>
      </c>
      <c r="K237" s="0" t="n">
        <v>1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61B</t>
        </is>
      </c>
      <c r="X237" s="0" t="n">
        <v>15</v>
      </c>
      <c r="Y237" s="0" t="n">
        <v>14</v>
      </c>
      <c r="Z237" s="0" t="inlineStr">
        <is>
          <t>https://new.land.naver.com/complexes/126922?tab=detail&amp;rf=Y</t>
        </is>
      </c>
      <c r="AA237" s="0" t="inlineStr">
        <is>
          <t>인천시 남동구 간석동 234-4</t>
        </is>
      </c>
      <c r="AB237" s="0" t="inlineStr">
        <is>
          <t>인천시</t>
        </is>
      </c>
      <c r="AC237" s="0" t="inlineStr">
        <is>
          <t>남동구</t>
        </is>
      </c>
      <c r="AD237" s="0" t="inlineStr">
        <is>
          <t>간석동</t>
        </is>
      </c>
      <c r="AG237" s="0" t="inlineStr">
        <is>
          <t>인천시 남동구 백범로422번길 6</t>
        </is>
      </c>
      <c r="AH237" s="0" t="n">
        <v>0</v>
      </c>
      <c r="AI237" s="0" t="n">
        <v>498</v>
      </c>
      <c r="AJ237" s="0" t="n">
        <v>59</v>
      </c>
      <c r="AK237" s="0" t="n">
        <v>12</v>
      </c>
      <c r="AL237" s="0" t="n">
        <v>1</v>
      </c>
    </row>
    <row r="238">
      <c r="A238" s="0" t="inlineStr">
        <is>
          <t>[간석동]</t>
        </is>
      </c>
      <c r="B238" s="0" t="n">
        <v>126922</v>
      </c>
      <c r="C238" s="0" t="n">
        <v>7</v>
      </c>
      <c r="D238" s="0" t="inlineStr">
        <is>
          <t>트라움</t>
        </is>
      </c>
      <c r="E238" s="0" t="inlineStr">
        <is>
          <t>2018.01.</t>
        </is>
      </c>
      <c r="F238" s="0" t="n">
        <v>12</v>
      </c>
      <c r="G238" s="0" t="n">
        <v>18.86</v>
      </c>
      <c r="H238" s="0" t="n">
        <v>62.35</v>
      </c>
      <c r="I238" s="0" t="n">
        <v>16.35</v>
      </c>
      <c r="J238" s="0" t="n">
        <v>54.08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62C</t>
        </is>
      </c>
      <c r="X238" s="0" t="n">
        <v>15</v>
      </c>
      <c r="Y238" s="0" t="n">
        <v>14</v>
      </c>
      <c r="Z238" s="0" t="inlineStr">
        <is>
          <t>https://new.land.naver.com/complexes/126922?tab=detail&amp;rf=Y</t>
        </is>
      </c>
      <c r="AA238" s="0" t="inlineStr">
        <is>
          <t>인천시 남동구 간석동 234-4</t>
        </is>
      </c>
      <c r="AB238" s="0" t="inlineStr">
        <is>
          <t>인천시</t>
        </is>
      </c>
      <c r="AC238" s="0" t="inlineStr">
        <is>
          <t>남동구</t>
        </is>
      </c>
      <c r="AD238" s="0" t="inlineStr">
        <is>
          <t>간석동</t>
        </is>
      </c>
      <c r="AG238" s="0" t="inlineStr">
        <is>
          <t>인천시 남동구 백범로422번길 6</t>
        </is>
      </c>
      <c r="AH238" s="0" t="n">
        <v>0</v>
      </c>
      <c r="AI238" s="0" t="n">
        <v>498</v>
      </c>
      <c r="AJ238" s="0" t="n">
        <v>59</v>
      </c>
      <c r="AK238" s="0" t="n">
        <v>12</v>
      </c>
      <c r="AL238" s="0" t="n">
        <v>1</v>
      </c>
    </row>
    <row r="239">
      <c r="A239" s="0" t="inlineStr">
        <is>
          <t>[간석동]</t>
        </is>
      </c>
      <c r="B239" s="0" t="n">
        <v>126922</v>
      </c>
      <c r="C239" s="0" t="n">
        <v>8</v>
      </c>
      <c r="D239" s="0" t="inlineStr">
        <is>
          <t>트라움</t>
        </is>
      </c>
      <c r="E239" s="0" t="inlineStr">
        <is>
          <t>2018.01.</t>
        </is>
      </c>
      <c r="F239" s="0" t="n">
        <v>12</v>
      </c>
      <c r="G239" s="0" t="n">
        <v>18.81</v>
      </c>
      <c r="H239" s="0" t="n">
        <v>62.19</v>
      </c>
      <c r="I239" s="0" t="n">
        <v>16.45</v>
      </c>
      <c r="J239" s="0" t="n">
        <v>54.41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62D</t>
        </is>
      </c>
      <c r="X239" s="0" t="n">
        <v>15</v>
      </c>
      <c r="Y239" s="0" t="n">
        <v>14</v>
      </c>
      <c r="Z239" s="0" t="inlineStr">
        <is>
          <t>https://new.land.naver.com/complexes/126922?tab=detail&amp;rf=Y</t>
        </is>
      </c>
      <c r="AA239" s="0" t="inlineStr">
        <is>
          <t>인천시 남동구 간석동 234-4</t>
        </is>
      </c>
      <c r="AB239" s="0" t="inlineStr">
        <is>
          <t>인천시</t>
        </is>
      </c>
      <c r="AC239" s="0" t="inlineStr">
        <is>
          <t>남동구</t>
        </is>
      </c>
      <c r="AD239" s="0" t="inlineStr">
        <is>
          <t>간석동</t>
        </is>
      </c>
      <c r="AG239" s="0" t="inlineStr">
        <is>
          <t>인천시 남동구 백범로422번길 6</t>
        </is>
      </c>
      <c r="AH239" s="0" t="n">
        <v>0</v>
      </c>
      <c r="AI239" s="0" t="n">
        <v>498</v>
      </c>
      <c r="AJ239" s="0" t="n">
        <v>59</v>
      </c>
      <c r="AK239" s="0" t="n">
        <v>12</v>
      </c>
      <c r="AL239" s="0" t="n">
        <v>1</v>
      </c>
    </row>
    <row r="240">
      <c r="A240" s="0" t="inlineStr">
        <is>
          <t>[간석동]</t>
        </is>
      </c>
      <c r="B240" s="0" t="n">
        <v>126922</v>
      </c>
      <c r="C240" s="0" t="n">
        <v>9</v>
      </c>
      <c r="D240" s="0" t="inlineStr">
        <is>
          <t>트라움</t>
        </is>
      </c>
      <c r="E240" s="0" t="inlineStr">
        <is>
          <t>2018.01.</t>
        </is>
      </c>
      <c r="F240" s="0" t="n">
        <v>12</v>
      </c>
      <c r="G240" s="0" t="n">
        <v>18.86</v>
      </c>
      <c r="H240" s="0" t="n">
        <v>62.38</v>
      </c>
      <c r="I240" s="0" t="n">
        <v>16.45</v>
      </c>
      <c r="J240" s="0" t="n">
        <v>54.41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62E</t>
        </is>
      </c>
      <c r="X240" s="0" t="n">
        <v>15</v>
      </c>
      <c r="Y240" s="0" t="n">
        <v>14</v>
      </c>
      <c r="Z240" s="0" t="inlineStr">
        <is>
          <t>https://new.land.naver.com/complexes/126922?tab=detail&amp;rf=Y</t>
        </is>
      </c>
      <c r="AA240" s="0" t="inlineStr">
        <is>
          <t>인천시 남동구 간석동 234-4</t>
        </is>
      </c>
      <c r="AB240" s="0" t="inlineStr">
        <is>
          <t>인천시</t>
        </is>
      </c>
      <c r="AC240" s="0" t="inlineStr">
        <is>
          <t>남동구</t>
        </is>
      </c>
      <c r="AD240" s="0" t="inlineStr">
        <is>
          <t>간석동</t>
        </is>
      </c>
      <c r="AG240" s="0" t="inlineStr">
        <is>
          <t>인천시 남동구 백범로422번길 6</t>
        </is>
      </c>
      <c r="AH240" s="0" t="n">
        <v>0</v>
      </c>
      <c r="AI240" s="0" t="n">
        <v>498</v>
      </c>
      <c r="AJ240" s="0" t="n">
        <v>59</v>
      </c>
      <c r="AK240" s="0" t="n">
        <v>12</v>
      </c>
      <c r="AL240" s="0" t="n">
        <v>1</v>
      </c>
    </row>
    <row r="241">
      <c r="A241" s="0" t="inlineStr">
        <is>
          <t>[간석동]</t>
        </is>
      </c>
      <c r="B241" s="0" t="n">
        <v>126922</v>
      </c>
      <c r="C241" s="0" t="n">
        <v>10</v>
      </c>
      <c r="D241" s="0" t="inlineStr">
        <is>
          <t>트라움</t>
        </is>
      </c>
      <c r="E241" s="0" t="inlineStr">
        <is>
          <t>2018.01.</t>
        </is>
      </c>
      <c r="F241" s="0" t="n">
        <v>12</v>
      </c>
      <c r="G241" s="0" t="n">
        <v>19.69</v>
      </c>
      <c r="H241" s="0" t="n">
        <v>65.12</v>
      </c>
      <c r="I241" s="0" t="n">
        <v>17.21</v>
      </c>
      <c r="J241" s="0" t="n">
        <v>56.92</v>
      </c>
      <c r="K241" s="0" t="n">
        <v>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65A</t>
        </is>
      </c>
      <c r="X241" s="0" t="n">
        <v>15</v>
      </c>
      <c r="Y241" s="0" t="n">
        <v>14</v>
      </c>
      <c r="Z241" s="0" t="inlineStr">
        <is>
          <t>https://new.land.naver.com/complexes/126922?tab=detail&amp;rf=Y</t>
        </is>
      </c>
      <c r="AA241" s="0" t="inlineStr">
        <is>
          <t>인천시 남동구 간석동 234-4</t>
        </is>
      </c>
      <c r="AB241" s="0" t="inlineStr">
        <is>
          <t>인천시</t>
        </is>
      </c>
      <c r="AC241" s="0" t="inlineStr">
        <is>
          <t>남동구</t>
        </is>
      </c>
      <c r="AD241" s="0" t="inlineStr">
        <is>
          <t>간석동</t>
        </is>
      </c>
      <c r="AG241" s="0" t="inlineStr">
        <is>
          <t>인천시 남동구 백범로422번길 6</t>
        </is>
      </c>
      <c r="AH241" s="0" t="n">
        <v>0</v>
      </c>
      <c r="AI241" s="0" t="n">
        <v>498</v>
      </c>
      <c r="AJ241" s="0" t="n">
        <v>59</v>
      </c>
      <c r="AK241" s="0" t="n">
        <v>12</v>
      </c>
      <c r="AL241" s="0" t="n">
        <v>1</v>
      </c>
    </row>
    <row r="242">
      <c r="A242" s="0" t="inlineStr">
        <is>
          <t>[간석동]</t>
        </is>
      </c>
      <c r="B242" s="0" t="n">
        <v>126922</v>
      </c>
      <c r="C242" s="0" t="n">
        <v>11</v>
      </c>
      <c r="D242" s="0" t="inlineStr">
        <is>
          <t>트라움</t>
        </is>
      </c>
      <c r="E242" s="0" t="inlineStr">
        <is>
          <t>2018.01.</t>
        </is>
      </c>
      <c r="F242" s="0" t="n">
        <v>12</v>
      </c>
      <c r="G242" s="0" t="n">
        <v>20</v>
      </c>
      <c r="H242" s="0" t="n">
        <v>66.14</v>
      </c>
      <c r="I242" s="0" t="n">
        <v>17.43</v>
      </c>
      <c r="J242" s="0" t="n">
        <v>57.63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66B</t>
        </is>
      </c>
      <c r="X242" s="0" t="n">
        <v>15</v>
      </c>
      <c r="Y242" s="0" t="n">
        <v>14</v>
      </c>
      <c r="Z242" s="0" t="inlineStr">
        <is>
          <t>https://new.land.naver.com/complexes/126922?tab=detail&amp;rf=Y</t>
        </is>
      </c>
      <c r="AA242" s="0" t="inlineStr">
        <is>
          <t>인천시 남동구 간석동 234-4</t>
        </is>
      </c>
      <c r="AB242" s="0" t="inlineStr">
        <is>
          <t>인천시</t>
        </is>
      </c>
      <c r="AC242" s="0" t="inlineStr">
        <is>
          <t>남동구</t>
        </is>
      </c>
      <c r="AD242" s="0" t="inlineStr">
        <is>
          <t>간석동</t>
        </is>
      </c>
      <c r="AG242" s="0" t="inlineStr">
        <is>
          <t>인천시 남동구 백범로422번길 6</t>
        </is>
      </c>
      <c r="AH242" s="0" t="n">
        <v>0</v>
      </c>
      <c r="AI242" s="0" t="n">
        <v>498</v>
      </c>
      <c r="AJ242" s="0" t="n">
        <v>59</v>
      </c>
      <c r="AK242" s="0" t="n">
        <v>12</v>
      </c>
      <c r="AL242" s="0" t="n">
        <v>1</v>
      </c>
    </row>
    <row r="243">
      <c r="A243" s="0" t="inlineStr">
        <is>
          <t>[간석동]</t>
        </is>
      </c>
      <c r="B243" s="0" t="n">
        <v>123829</v>
      </c>
      <c r="C243" s="0" t="n">
        <v>1</v>
      </c>
      <c r="D243" s="0" t="inlineStr">
        <is>
          <t>헤이미쉬</t>
        </is>
      </c>
      <c r="E243" s="0" t="inlineStr">
        <is>
          <t>2016.08.</t>
        </is>
      </c>
      <c r="F243" s="0" t="n">
        <v>8</v>
      </c>
      <c r="G243" s="0" t="n">
        <v>23.05</v>
      </c>
      <c r="H243" s="0" t="n">
        <v>76.23</v>
      </c>
      <c r="I243" s="0" t="n">
        <v>19.33</v>
      </c>
      <c r="J243" s="0" t="n">
        <v>63.91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76</v>
      </c>
      <c r="X243" s="0" t="n">
        <v>14</v>
      </c>
      <c r="Y243" s="0" t="n">
        <v>14</v>
      </c>
      <c r="Z243" s="0" t="inlineStr">
        <is>
          <t>https://new.land.naver.com/complexes/123829?tab=detail&amp;rf=Y</t>
        </is>
      </c>
      <c r="AA243" s="0" t="inlineStr">
        <is>
          <t>인천시 남동구 간석동 115-1</t>
        </is>
      </c>
      <c r="AB243" s="0" t="inlineStr">
        <is>
          <t>인천시</t>
        </is>
      </c>
      <c r="AC243" s="0" t="inlineStr">
        <is>
          <t>남동구</t>
        </is>
      </c>
      <c r="AD243" s="0" t="inlineStr">
        <is>
          <t>간석동</t>
        </is>
      </c>
      <c r="AG243" s="0" t="inlineStr">
        <is>
          <t>인천시 남동구 경인로644번길 68</t>
        </is>
      </c>
      <c r="AH243" s="0" t="n">
        <v>0</v>
      </c>
      <c r="AI243" s="0" t="n">
        <v>885</v>
      </c>
      <c r="AJ243" s="0" t="n">
        <v>78</v>
      </c>
      <c r="AK243" s="0" t="n">
        <v>8</v>
      </c>
      <c r="AL243" s="0" t="n">
        <v>1</v>
      </c>
    </row>
    <row r="244">
      <c r="A244" s="0" t="inlineStr">
        <is>
          <t>[간석동]</t>
        </is>
      </c>
      <c r="B244" s="0" t="n">
        <v>123829</v>
      </c>
      <c r="C244" s="0" t="n">
        <v>2</v>
      </c>
      <c r="D244" s="0" t="inlineStr">
        <is>
          <t>헤이미쉬</t>
        </is>
      </c>
      <c r="E244" s="0" t="inlineStr">
        <is>
          <t>2016.08.</t>
        </is>
      </c>
      <c r="F244" s="0" t="n">
        <v>8</v>
      </c>
      <c r="G244" s="0" t="n">
        <v>24.42</v>
      </c>
      <c r="H244" s="0" t="n">
        <v>80.73</v>
      </c>
      <c r="I244" s="0" t="n">
        <v>20.55</v>
      </c>
      <c r="J244" s="0" t="n">
        <v>67.95</v>
      </c>
      <c r="K244" s="0" t="n">
        <v>2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80</v>
      </c>
      <c r="X244" s="0" t="n">
        <v>14</v>
      </c>
      <c r="Y244" s="0" t="n">
        <v>14</v>
      </c>
      <c r="Z244" s="0" t="inlineStr">
        <is>
          <t>https://new.land.naver.com/complexes/123829?tab=detail&amp;rf=Y</t>
        </is>
      </c>
      <c r="AA244" s="0" t="inlineStr">
        <is>
          <t>인천시 남동구 간석동 115-1</t>
        </is>
      </c>
      <c r="AB244" s="0" t="inlineStr">
        <is>
          <t>인천시</t>
        </is>
      </c>
      <c r="AC244" s="0" t="inlineStr">
        <is>
          <t>남동구</t>
        </is>
      </c>
      <c r="AD244" s="0" t="inlineStr">
        <is>
          <t>간석동</t>
        </is>
      </c>
      <c r="AG244" s="0" t="inlineStr">
        <is>
          <t>인천시 남동구 경인로644번길 68</t>
        </is>
      </c>
      <c r="AH244" s="0" t="n">
        <v>0</v>
      </c>
      <c r="AI244" s="0" t="n">
        <v>885</v>
      </c>
      <c r="AJ244" s="0" t="n">
        <v>78</v>
      </c>
      <c r="AK244" s="0" t="n">
        <v>8</v>
      </c>
      <c r="AL244" s="0" t="n">
        <v>1</v>
      </c>
    </row>
    <row r="245">
      <c r="A245" s="0" t="inlineStr">
        <is>
          <t>[간석동]</t>
        </is>
      </c>
      <c r="B245" s="0" t="n">
        <v>123829</v>
      </c>
      <c r="C245" s="0" t="n">
        <v>3</v>
      </c>
      <c r="D245" s="0" t="inlineStr">
        <is>
          <t>헤이미쉬</t>
        </is>
      </c>
      <c r="E245" s="0" t="inlineStr">
        <is>
          <t>2016.08.</t>
        </is>
      </c>
      <c r="F245" s="0" t="n">
        <v>8</v>
      </c>
      <c r="G245" s="0" t="n">
        <v>24.8</v>
      </c>
      <c r="H245" s="0" t="n">
        <v>81.98999999999999</v>
      </c>
      <c r="I245" s="0" t="n">
        <v>20.91</v>
      </c>
      <c r="J245" s="0" t="n">
        <v>69.15000000000001</v>
      </c>
      <c r="K245" s="0" t="n">
        <v>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81B</t>
        </is>
      </c>
      <c r="X245" s="0" t="n">
        <v>14</v>
      </c>
      <c r="Y245" s="0" t="n">
        <v>14</v>
      </c>
      <c r="Z245" s="0" t="inlineStr">
        <is>
          <t>https://new.land.naver.com/complexes/123829?tab=detail&amp;rf=Y</t>
        </is>
      </c>
      <c r="AA245" s="0" t="inlineStr">
        <is>
          <t>인천시 남동구 간석동 115-1</t>
        </is>
      </c>
      <c r="AB245" s="0" t="inlineStr">
        <is>
          <t>인천시</t>
        </is>
      </c>
      <c r="AC245" s="0" t="inlineStr">
        <is>
          <t>남동구</t>
        </is>
      </c>
      <c r="AD245" s="0" t="inlineStr">
        <is>
          <t>간석동</t>
        </is>
      </c>
      <c r="AG245" s="0" t="inlineStr">
        <is>
          <t>인천시 남동구 경인로644번길 68</t>
        </is>
      </c>
      <c r="AH245" s="0" t="n">
        <v>0</v>
      </c>
      <c r="AI245" s="0" t="n">
        <v>885</v>
      </c>
      <c r="AJ245" s="0" t="n">
        <v>78</v>
      </c>
      <c r="AK245" s="0" t="n">
        <v>8</v>
      </c>
      <c r="AL245" s="0" t="n">
        <v>1</v>
      </c>
    </row>
    <row r="246">
      <c r="A246" s="0" t="inlineStr">
        <is>
          <t>[간석동]</t>
        </is>
      </c>
      <c r="B246" s="0" t="n">
        <v>123829</v>
      </c>
      <c r="C246" s="0" t="n">
        <v>4</v>
      </c>
      <c r="D246" s="0" t="inlineStr">
        <is>
          <t>헤이미쉬</t>
        </is>
      </c>
      <c r="E246" s="0" t="inlineStr">
        <is>
          <t>2016.08.</t>
        </is>
      </c>
      <c r="F246" s="0" t="n">
        <v>8</v>
      </c>
      <c r="G246" s="0" t="n">
        <v>24.88</v>
      </c>
      <c r="H246" s="0" t="n">
        <v>82.27</v>
      </c>
      <c r="I246" s="0" t="n">
        <v>20.89</v>
      </c>
      <c r="J246" s="0" t="n">
        <v>69.08</v>
      </c>
      <c r="K246" s="0" t="n">
        <v>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14</v>
      </c>
      <c r="Y246" s="0" t="n">
        <v>14</v>
      </c>
      <c r="Z246" s="0" t="inlineStr">
        <is>
          <t>https://new.land.naver.com/complexes/123829?tab=detail&amp;rf=Y</t>
        </is>
      </c>
      <c r="AA246" s="0" t="inlineStr">
        <is>
          <t>인천시 남동구 간석동 115-1</t>
        </is>
      </c>
      <c r="AB246" s="0" t="inlineStr">
        <is>
          <t>인천시</t>
        </is>
      </c>
      <c r="AC246" s="0" t="inlineStr">
        <is>
          <t>남동구</t>
        </is>
      </c>
      <c r="AD246" s="0" t="inlineStr">
        <is>
          <t>간석동</t>
        </is>
      </c>
      <c r="AG246" s="0" t="inlineStr">
        <is>
          <t>인천시 남동구 경인로644번길 68</t>
        </is>
      </c>
      <c r="AH246" s="0" t="n">
        <v>0</v>
      </c>
      <c r="AI246" s="0" t="n">
        <v>885</v>
      </c>
      <c r="AJ246" s="0" t="n">
        <v>78</v>
      </c>
      <c r="AK246" s="0" t="n">
        <v>8</v>
      </c>
      <c r="AL246" s="0" t="n">
        <v>1</v>
      </c>
    </row>
    <row r="247">
      <c r="A247" s="0" t="inlineStr">
        <is>
          <t>[간석동]</t>
        </is>
      </c>
      <c r="B247" s="0" t="n">
        <v>24392</v>
      </c>
      <c r="C247" s="0" t="n">
        <v>1</v>
      </c>
      <c r="D247" s="0" t="inlineStr">
        <is>
          <t>유성</t>
        </is>
      </c>
      <c r="E247" s="0" t="inlineStr">
        <is>
          <t>2005.11.</t>
        </is>
      </c>
      <c r="F247" s="0" t="n">
        <v>18</v>
      </c>
      <c r="G247" s="0" t="n">
        <v>27.72</v>
      </c>
      <c r="H247" s="0" t="n">
        <v>91.65000000000001</v>
      </c>
      <c r="I247" s="0" t="n">
        <v>22.63</v>
      </c>
      <c r="J247" s="0" t="n">
        <v>74.81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91</v>
      </c>
      <c r="X247" s="0" t="n">
        <v>10</v>
      </c>
      <c r="Y247" s="0" t="n">
        <v>10</v>
      </c>
      <c r="Z247" s="0" t="inlineStr">
        <is>
          <t>https://new.land.naver.com/complexes/24392?tab=detail&amp;rf=Y</t>
        </is>
      </c>
      <c r="AA247" s="0" t="inlineStr">
        <is>
          <t>인천시 남동구 간석동 234-21</t>
        </is>
      </c>
      <c r="AB247" s="0" t="inlineStr">
        <is>
          <t>인천시</t>
        </is>
      </c>
      <c r="AC247" s="0" t="inlineStr">
        <is>
          <t>남동구</t>
        </is>
      </c>
      <c r="AD247" s="0" t="inlineStr">
        <is>
          <t>간석동</t>
        </is>
      </c>
      <c r="AG247" s="0" t="inlineStr">
        <is>
          <t>인천시 남동구 백범로 416</t>
        </is>
      </c>
      <c r="AH247" s="0" t="n">
        <v>0</v>
      </c>
      <c r="AI247" s="0" t="n">
        <v>0</v>
      </c>
      <c r="AJ247" s="0" t="n">
        <v>0</v>
      </c>
      <c r="AK247" s="0" t="n">
        <v>20</v>
      </c>
      <c r="AL247" s="0" t="n">
        <v>1.11</v>
      </c>
    </row>
    <row r="248">
      <c r="A248" s="0" t="inlineStr">
        <is>
          <t>[간석동]</t>
        </is>
      </c>
      <c r="B248" s="0" t="n">
        <v>111343</v>
      </c>
      <c r="C248" s="0" t="n">
        <v>1</v>
      </c>
      <c r="D248" s="0" t="inlineStr">
        <is>
          <t>이츠(249-6)</t>
        </is>
      </c>
      <c r="E248" s="0" t="inlineStr">
        <is>
          <t>2015.11.</t>
        </is>
      </c>
      <c r="F248" s="0" t="n">
        <v>39</v>
      </c>
      <c r="G248" s="0" t="n">
        <v>17.81</v>
      </c>
      <c r="H248" s="0" t="n">
        <v>58.88</v>
      </c>
      <c r="I248" s="0" t="n">
        <v>14.19</v>
      </c>
      <c r="J248" s="0" t="n">
        <v>46.92</v>
      </c>
      <c r="K248" s="0" t="n">
        <v>13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58</v>
      </c>
      <c r="X248" s="0" t="n">
        <v>14</v>
      </c>
      <c r="Y248" s="0" t="n">
        <v>14</v>
      </c>
      <c r="Z248" s="0" t="inlineStr">
        <is>
          <t>https://new.land.naver.com/complexes/111343?tab=detail&amp;rf=Y</t>
        </is>
      </c>
      <c r="AA248" s="0" t="inlineStr">
        <is>
          <t>인천시 남동구 간석동 249-6</t>
        </is>
      </c>
      <c r="AB248" s="0" t="inlineStr">
        <is>
          <t>인천시</t>
        </is>
      </c>
      <c r="AC248" s="0" t="inlineStr">
        <is>
          <t>남동구</t>
        </is>
      </c>
      <c r="AD248" s="0" t="inlineStr">
        <is>
          <t>간석동</t>
        </is>
      </c>
      <c r="AG248" s="0" t="inlineStr">
        <is>
          <t>인천시 남동구 경인로 619</t>
        </is>
      </c>
      <c r="AH248" s="0" t="n">
        <v>0</v>
      </c>
      <c r="AI248" s="0" t="n">
        <v>748</v>
      </c>
      <c r="AJ248" s="0" t="n">
        <v>73</v>
      </c>
      <c r="AK248" s="0" t="n">
        <v>39</v>
      </c>
      <c r="AL248" s="0" t="n">
        <v>1</v>
      </c>
    </row>
    <row r="249">
      <c r="A249" s="0" t="inlineStr">
        <is>
          <t>[간석동]</t>
        </is>
      </c>
      <c r="B249" s="0" t="n">
        <v>111343</v>
      </c>
      <c r="C249" s="0" t="n">
        <v>2</v>
      </c>
      <c r="D249" s="0" t="inlineStr">
        <is>
          <t>이츠(249-6)</t>
        </is>
      </c>
      <c r="E249" s="0" t="inlineStr">
        <is>
          <t>2015.11.</t>
        </is>
      </c>
      <c r="F249" s="0" t="n">
        <v>39</v>
      </c>
      <c r="G249" s="0" t="n">
        <v>20.75</v>
      </c>
      <c r="H249" s="0" t="n">
        <v>68.61</v>
      </c>
      <c r="I249" s="0" t="n">
        <v>16.43</v>
      </c>
      <c r="J249" s="0" t="n">
        <v>54.33</v>
      </c>
      <c r="K249" s="0" t="n">
        <v>13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68</v>
      </c>
      <c r="X249" s="0" t="n">
        <v>14</v>
      </c>
      <c r="Y249" s="0" t="n">
        <v>14</v>
      </c>
      <c r="Z249" s="0" t="inlineStr">
        <is>
          <t>https://new.land.naver.com/complexes/111343?tab=detail&amp;rf=Y</t>
        </is>
      </c>
      <c r="AA249" s="0" t="inlineStr">
        <is>
          <t>인천시 남동구 간석동 249-6</t>
        </is>
      </c>
      <c r="AB249" s="0" t="inlineStr">
        <is>
          <t>인천시</t>
        </is>
      </c>
      <c r="AC249" s="0" t="inlineStr">
        <is>
          <t>남동구</t>
        </is>
      </c>
      <c r="AD249" s="0" t="inlineStr">
        <is>
          <t>간석동</t>
        </is>
      </c>
      <c r="AG249" s="0" t="inlineStr">
        <is>
          <t>인천시 남동구 경인로 619</t>
        </is>
      </c>
      <c r="AH249" s="0" t="n">
        <v>0</v>
      </c>
      <c r="AI249" s="0" t="n">
        <v>748</v>
      </c>
      <c r="AJ249" s="0" t="n">
        <v>73</v>
      </c>
      <c r="AK249" s="0" t="n">
        <v>39</v>
      </c>
      <c r="AL249" s="0" t="n">
        <v>1</v>
      </c>
    </row>
    <row r="250">
      <c r="A250" s="0" t="inlineStr">
        <is>
          <t>[간석동]</t>
        </is>
      </c>
      <c r="B250" s="0" t="n">
        <v>111343</v>
      </c>
      <c r="C250" s="0" t="n">
        <v>3</v>
      </c>
      <c r="D250" s="0" t="inlineStr">
        <is>
          <t>이츠(249-6)</t>
        </is>
      </c>
      <c r="E250" s="0" t="inlineStr">
        <is>
          <t>2015.11.</t>
        </is>
      </c>
      <c r="F250" s="0" t="n">
        <v>39</v>
      </c>
      <c r="G250" s="0" t="n">
        <v>23.25</v>
      </c>
      <c r="H250" s="0" t="n">
        <v>76.89</v>
      </c>
      <c r="I250" s="0" t="n">
        <v>18.75</v>
      </c>
      <c r="J250" s="0" t="n">
        <v>61.99</v>
      </c>
      <c r="K250" s="0" t="n">
        <v>13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76</v>
      </c>
      <c r="X250" s="0" t="n">
        <v>14</v>
      </c>
      <c r="Y250" s="0" t="n">
        <v>14</v>
      </c>
      <c r="Z250" s="0" t="inlineStr">
        <is>
          <t>https://new.land.naver.com/complexes/111343?tab=detail&amp;rf=Y</t>
        </is>
      </c>
      <c r="AA250" s="0" t="inlineStr">
        <is>
          <t>인천시 남동구 간석동 249-6</t>
        </is>
      </c>
      <c r="AB250" s="0" t="inlineStr">
        <is>
          <t>인천시</t>
        </is>
      </c>
      <c r="AC250" s="0" t="inlineStr">
        <is>
          <t>남동구</t>
        </is>
      </c>
      <c r="AD250" s="0" t="inlineStr">
        <is>
          <t>간석동</t>
        </is>
      </c>
      <c r="AG250" s="0" t="inlineStr">
        <is>
          <t>인천시 남동구 경인로 619</t>
        </is>
      </c>
      <c r="AH250" s="0" t="n">
        <v>0</v>
      </c>
      <c r="AI250" s="0" t="n">
        <v>748</v>
      </c>
      <c r="AJ250" s="0" t="n">
        <v>73</v>
      </c>
      <c r="AK250" s="0" t="n">
        <v>39</v>
      </c>
      <c r="AL250" s="0" t="n">
        <v>1</v>
      </c>
    </row>
    <row r="251">
      <c r="A251" s="0" t="inlineStr">
        <is>
          <t>[간석동]</t>
        </is>
      </c>
      <c r="B251" s="0" t="n">
        <v>11561</v>
      </c>
      <c r="C251" s="0" t="n">
        <v>1</v>
      </c>
      <c r="D251" s="0" t="inlineStr">
        <is>
          <t>동국</t>
        </is>
      </c>
      <c r="E251" s="0" t="inlineStr">
        <is>
          <t>1982.12.</t>
        </is>
      </c>
      <c r="F251" s="0" t="n">
        <v>121</v>
      </c>
      <c r="G251" s="0" t="n">
        <v>22.2</v>
      </c>
      <c r="H251" s="0" t="n">
        <v>73.39</v>
      </c>
      <c r="I251" s="0" t="n">
        <v>18.5</v>
      </c>
      <c r="J251" s="0" t="n">
        <v>61.16</v>
      </c>
      <c r="K251" s="0" t="n">
        <v>76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73</v>
      </c>
      <c r="X251" s="0" t="n">
        <v>5</v>
      </c>
      <c r="Y251" s="0" t="n">
        <v>5</v>
      </c>
      <c r="Z251" s="0" t="inlineStr">
        <is>
          <t>https://new.land.naver.com/complexes/11561?tab=detail&amp;rf=Y</t>
        </is>
      </c>
      <c r="AA251" s="0" t="inlineStr">
        <is>
          <t>인천시 남동구 간석동 899</t>
        </is>
      </c>
      <c r="AB251" s="0" t="inlineStr">
        <is>
          <t>인천시</t>
        </is>
      </c>
      <c r="AC251" s="0" t="inlineStr">
        <is>
          <t>남동구</t>
        </is>
      </c>
      <c r="AD251" s="0" t="inlineStr">
        <is>
          <t>간석동</t>
        </is>
      </c>
      <c r="AG251" s="0" t="inlineStr">
        <is>
          <t>인천시 남동구 구월로37번길 20</t>
        </is>
      </c>
      <c r="AH251" s="0" t="n">
        <v>0</v>
      </c>
      <c r="AI251" s="0" t="n">
        <v>131</v>
      </c>
      <c r="AJ251" s="0" t="n">
        <v>26</v>
      </c>
      <c r="AK251" s="0" t="n">
        <v>0</v>
      </c>
      <c r="AL251" s="0" t="n">
        <v>0</v>
      </c>
    </row>
    <row r="252">
      <c r="A252" s="0" t="inlineStr">
        <is>
          <t>[간석동]</t>
        </is>
      </c>
      <c r="B252" s="0" t="n">
        <v>11561</v>
      </c>
      <c r="C252" s="0" t="n">
        <v>2</v>
      </c>
      <c r="D252" s="0" t="inlineStr">
        <is>
          <t>동국</t>
        </is>
      </c>
      <c r="E252" s="0" t="inlineStr">
        <is>
          <t>1982.12.</t>
        </is>
      </c>
      <c r="F252" s="0" t="n">
        <v>121</v>
      </c>
      <c r="G252" s="0" t="n">
        <v>23.17</v>
      </c>
      <c r="H252" s="0" t="n">
        <v>76.61</v>
      </c>
      <c r="I252" s="0" t="n">
        <v>19.31</v>
      </c>
      <c r="J252" s="0" t="n">
        <v>63.84</v>
      </c>
      <c r="K252" s="0" t="n">
        <v>10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76</v>
      </c>
      <c r="X252" s="0" t="n">
        <v>5</v>
      </c>
      <c r="Y252" s="0" t="n">
        <v>5</v>
      </c>
      <c r="Z252" s="0" t="inlineStr">
        <is>
          <t>https://new.land.naver.com/complexes/11561?tab=detail&amp;rf=Y</t>
        </is>
      </c>
      <c r="AA252" s="0" t="inlineStr">
        <is>
          <t>인천시 남동구 간석동 899</t>
        </is>
      </c>
      <c r="AB252" s="0" t="inlineStr">
        <is>
          <t>인천시</t>
        </is>
      </c>
      <c r="AC252" s="0" t="inlineStr">
        <is>
          <t>남동구</t>
        </is>
      </c>
      <c r="AD252" s="0" t="inlineStr">
        <is>
          <t>간석동</t>
        </is>
      </c>
      <c r="AG252" s="0" t="inlineStr">
        <is>
          <t>인천시 남동구 구월로37번길 20</t>
        </is>
      </c>
      <c r="AH252" s="0" t="n">
        <v>0</v>
      </c>
      <c r="AI252" s="0" t="n">
        <v>131</v>
      </c>
      <c r="AJ252" s="0" t="n">
        <v>26</v>
      </c>
      <c r="AK252" s="0" t="n">
        <v>0</v>
      </c>
      <c r="AL252" s="0" t="n">
        <v>0</v>
      </c>
    </row>
    <row r="253">
      <c r="A253" s="0" t="inlineStr">
        <is>
          <t>[간석동]</t>
        </is>
      </c>
      <c r="B253" s="0" t="n">
        <v>11561</v>
      </c>
      <c r="C253" s="0" t="n">
        <v>3</v>
      </c>
      <c r="D253" s="0" t="inlineStr">
        <is>
          <t>동국</t>
        </is>
      </c>
      <c r="E253" s="0" t="inlineStr">
        <is>
          <t>1982.12.</t>
        </is>
      </c>
      <c r="F253" s="0" t="n">
        <v>121</v>
      </c>
      <c r="G253" s="0" t="n">
        <v>23.67</v>
      </c>
      <c r="H253" s="0" t="n">
        <v>78.27</v>
      </c>
      <c r="I253" s="0" t="n">
        <v>19.73</v>
      </c>
      <c r="J253" s="0" t="n">
        <v>65.23</v>
      </c>
      <c r="K253" s="0" t="n">
        <v>30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78A</t>
        </is>
      </c>
      <c r="X253" s="0" t="n">
        <v>5</v>
      </c>
      <c r="Y253" s="0" t="n">
        <v>5</v>
      </c>
      <c r="Z253" s="0" t="inlineStr">
        <is>
          <t>https://new.land.naver.com/complexes/11561?tab=detail&amp;rf=Y</t>
        </is>
      </c>
      <c r="AA253" s="0" t="inlineStr">
        <is>
          <t>인천시 남동구 간석동 899</t>
        </is>
      </c>
      <c r="AB253" s="0" t="inlineStr">
        <is>
          <t>인천시</t>
        </is>
      </c>
      <c r="AC253" s="0" t="inlineStr">
        <is>
          <t>남동구</t>
        </is>
      </c>
      <c r="AD253" s="0" t="inlineStr">
        <is>
          <t>간석동</t>
        </is>
      </c>
      <c r="AG253" s="0" t="inlineStr">
        <is>
          <t>인천시 남동구 구월로37번길 20</t>
        </is>
      </c>
      <c r="AH253" s="0" t="n">
        <v>0</v>
      </c>
      <c r="AI253" s="0" t="n">
        <v>131</v>
      </c>
      <c r="AJ253" s="0" t="n">
        <v>26</v>
      </c>
      <c r="AK253" s="0" t="n">
        <v>0</v>
      </c>
      <c r="AL253" s="0" t="n">
        <v>0</v>
      </c>
    </row>
    <row r="254">
      <c r="A254" s="0" t="inlineStr">
        <is>
          <t>[간석동]</t>
        </is>
      </c>
      <c r="B254" s="0" t="n">
        <v>11561</v>
      </c>
      <c r="C254" s="0" t="n">
        <v>4</v>
      </c>
      <c r="D254" s="0" t="inlineStr">
        <is>
          <t>동국</t>
        </is>
      </c>
      <c r="E254" s="0" t="inlineStr">
        <is>
          <t>1982.12.</t>
        </is>
      </c>
      <c r="F254" s="0" t="n">
        <v>121</v>
      </c>
      <c r="G254" s="0" t="n">
        <v>23.86</v>
      </c>
      <c r="H254" s="0" t="n">
        <v>78.90000000000001</v>
      </c>
      <c r="I254" s="0" t="n">
        <v>19.79</v>
      </c>
      <c r="J254" s="0" t="n">
        <v>65.45</v>
      </c>
      <c r="K254" s="0" t="n">
        <v>5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78B</t>
        </is>
      </c>
      <c r="X254" s="0" t="n">
        <v>5</v>
      </c>
      <c r="Y254" s="0" t="n">
        <v>5</v>
      </c>
      <c r="Z254" s="0" t="inlineStr">
        <is>
          <t>https://new.land.naver.com/complexes/11561?tab=detail&amp;rf=Y</t>
        </is>
      </c>
      <c r="AA254" s="0" t="inlineStr">
        <is>
          <t>인천시 남동구 간석동 899</t>
        </is>
      </c>
      <c r="AB254" s="0" t="inlineStr">
        <is>
          <t>인천시</t>
        </is>
      </c>
      <c r="AC254" s="0" t="inlineStr">
        <is>
          <t>남동구</t>
        </is>
      </c>
      <c r="AD254" s="0" t="inlineStr">
        <is>
          <t>간석동</t>
        </is>
      </c>
      <c r="AG254" s="0" t="inlineStr">
        <is>
          <t>인천시 남동구 구월로37번길 20</t>
        </is>
      </c>
      <c r="AH254" s="0" t="n">
        <v>0</v>
      </c>
      <c r="AI254" s="0" t="n">
        <v>131</v>
      </c>
      <c r="AJ254" s="0" t="n">
        <v>26</v>
      </c>
      <c r="AK254" s="0" t="n">
        <v>0</v>
      </c>
      <c r="AL254" s="0" t="n">
        <v>0</v>
      </c>
    </row>
    <row r="255">
      <c r="A255" s="0" t="inlineStr">
        <is>
          <t>[간석동]</t>
        </is>
      </c>
      <c r="B255" s="0" t="n">
        <v>13089</v>
      </c>
      <c r="C255" s="0" t="n">
        <v>1</v>
      </c>
      <c r="D255" s="0" t="inlineStr">
        <is>
          <t>성호</t>
        </is>
      </c>
      <c r="E255" s="0" t="inlineStr">
        <is>
          <t>1992.04.</t>
        </is>
      </c>
      <c r="F255" s="0" t="n">
        <v>18</v>
      </c>
      <c r="G255" s="0" t="n">
        <v>41.8</v>
      </c>
      <c r="H255" s="0" t="n">
        <v>138.19</v>
      </c>
      <c r="I255" s="0" t="n">
        <v>35.41</v>
      </c>
      <c r="J255" s="0" t="n">
        <v>117.06</v>
      </c>
      <c r="K255" s="0" t="n">
        <v>6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138</v>
      </c>
      <c r="X255" s="0" t="n">
        <v>8</v>
      </c>
      <c r="Y255" s="0" t="n">
        <v>8</v>
      </c>
      <c r="Z255" s="0" t="inlineStr">
        <is>
          <t>https://new.land.naver.com/complexes/13089?tab=detail&amp;rf=Y</t>
        </is>
      </c>
      <c r="AA255" s="0" t="inlineStr">
        <is>
          <t>인천시 남동구 간석동 611-8</t>
        </is>
      </c>
      <c r="AB255" s="0" t="inlineStr">
        <is>
          <t>인천시</t>
        </is>
      </c>
      <c r="AC255" s="0" t="inlineStr">
        <is>
          <t>남동구</t>
        </is>
      </c>
      <c r="AD255" s="0" t="inlineStr">
        <is>
          <t>간석동</t>
        </is>
      </c>
      <c r="AG255" s="0" t="inlineStr">
        <is>
          <t>인천시 남동구 석정로565번길 20-4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[간석동]</t>
        </is>
      </c>
      <c r="B256" s="0" t="n">
        <v>13089</v>
      </c>
      <c r="C256" s="0" t="n">
        <v>2</v>
      </c>
      <c r="D256" s="0" t="inlineStr">
        <is>
          <t>성호</t>
        </is>
      </c>
      <c r="E256" s="0" t="inlineStr">
        <is>
          <t>1992.04.</t>
        </is>
      </c>
      <c r="F256" s="0" t="n">
        <v>18</v>
      </c>
      <c r="G256" s="0" t="n">
        <v>45.33</v>
      </c>
      <c r="H256" s="0" t="n">
        <v>149.87</v>
      </c>
      <c r="I256" s="0" t="n">
        <v>38.4</v>
      </c>
      <c r="J256" s="0" t="n">
        <v>126.96</v>
      </c>
      <c r="K256" s="0" t="n">
        <v>6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149</v>
      </c>
      <c r="X256" s="0" t="n">
        <v>8</v>
      </c>
      <c r="Y256" s="0" t="n">
        <v>8</v>
      </c>
      <c r="Z256" s="0" t="inlineStr">
        <is>
          <t>https://new.land.naver.com/complexes/13089?tab=detail&amp;rf=Y</t>
        </is>
      </c>
      <c r="AA256" s="0" t="inlineStr">
        <is>
          <t>인천시 남동구 간석동 611-8</t>
        </is>
      </c>
      <c r="AB256" s="0" t="inlineStr">
        <is>
          <t>인천시</t>
        </is>
      </c>
      <c r="AC256" s="0" t="inlineStr">
        <is>
          <t>남동구</t>
        </is>
      </c>
      <c r="AD256" s="0" t="inlineStr">
        <is>
          <t>간석동</t>
        </is>
      </c>
      <c r="AG256" s="0" t="inlineStr">
        <is>
          <t>인천시 남동구 석정로565번길 20-4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[간석동]</t>
        </is>
      </c>
      <c r="B257" s="0" t="n">
        <v>13089</v>
      </c>
      <c r="C257" s="0" t="n">
        <v>3</v>
      </c>
      <c r="D257" s="0" t="inlineStr">
        <is>
          <t>성호</t>
        </is>
      </c>
      <c r="E257" s="0" t="inlineStr">
        <is>
          <t>1992.04.</t>
        </is>
      </c>
      <c r="F257" s="0" t="n">
        <v>18</v>
      </c>
      <c r="G257" s="0" t="n">
        <v>49.09</v>
      </c>
      <c r="H257" s="0" t="n">
        <v>162.3</v>
      </c>
      <c r="I257" s="0" t="n">
        <v>41.59</v>
      </c>
      <c r="J257" s="0" t="n">
        <v>137.49</v>
      </c>
      <c r="K257" s="0" t="n">
        <v>6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162</v>
      </c>
      <c r="X257" s="0" t="n">
        <v>8</v>
      </c>
      <c r="Y257" s="0" t="n">
        <v>8</v>
      </c>
      <c r="Z257" s="0" t="inlineStr">
        <is>
          <t>https://new.land.naver.com/complexes/13089?tab=detail&amp;rf=Y</t>
        </is>
      </c>
      <c r="AA257" s="0" t="inlineStr">
        <is>
          <t>인천시 남동구 간석동 611-8</t>
        </is>
      </c>
      <c r="AB257" s="0" t="inlineStr">
        <is>
          <t>인천시</t>
        </is>
      </c>
      <c r="AC257" s="0" t="inlineStr">
        <is>
          <t>남동구</t>
        </is>
      </c>
      <c r="AD257" s="0" t="inlineStr">
        <is>
          <t>간석동</t>
        </is>
      </c>
      <c r="AG257" s="0" t="inlineStr">
        <is>
          <t>인천시 남동구 석정로565번길 20-4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[간석동]</t>
        </is>
      </c>
      <c r="B258" s="0" t="n">
        <v>102976</v>
      </c>
      <c r="C258" s="0" t="n">
        <v>1</v>
      </c>
      <c r="D258" s="0" t="inlineStr">
        <is>
          <t>팬더</t>
        </is>
      </c>
      <c r="E258" s="0" t="inlineStr">
        <is>
          <t>1988.06.</t>
        </is>
      </c>
      <c r="F258" s="0" t="n">
        <v>246</v>
      </c>
      <c r="G258" s="0" t="n">
        <v>14.27</v>
      </c>
      <c r="H258" s="0" t="n">
        <v>47.2</v>
      </c>
      <c r="I258" s="0" t="n">
        <v>10.77</v>
      </c>
      <c r="J258" s="0" t="n">
        <v>35.61</v>
      </c>
      <c r="K258" s="0" t="n">
        <v>8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6</v>
      </c>
      <c r="Y258" s="0" t="n">
        <v>6</v>
      </c>
      <c r="Z258" s="0" t="inlineStr">
        <is>
          <t>https://new.land.naver.com/complexes/102976?tab=detail&amp;rf=Y</t>
        </is>
      </c>
      <c r="AA258" s="0" t="inlineStr">
        <is>
          <t>인천시 남동구 간석동 775-1</t>
        </is>
      </c>
      <c r="AB258" s="0" t="inlineStr">
        <is>
          <t>인천시</t>
        </is>
      </c>
      <c r="AC258" s="0" t="inlineStr">
        <is>
          <t>남동구</t>
        </is>
      </c>
      <c r="AD258" s="0" t="inlineStr">
        <is>
          <t>간석동</t>
        </is>
      </c>
      <c r="AG258" s="0" t="inlineStr">
        <is>
          <t>인천시 남동구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[간석동]</t>
        </is>
      </c>
      <c r="B259" s="0" t="n">
        <v>102976</v>
      </c>
      <c r="C259" s="0" t="n">
        <v>2</v>
      </c>
      <c r="D259" s="0" t="inlineStr">
        <is>
          <t>팬더</t>
        </is>
      </c>
      <c r="E259" s="0" t="inlineStr">
        <is>
          <t>1988.06.</t>
        </is>
      </c>
      <c r="F259" s="0" t="n">
        <v>246</v>
      </c>
      <c r="G259" s="0" t="n">
        <v>15.23</v>
      </c>
      <c r="H259" s="0" t="n">
        <v>50.35</v>
      </c>
      <c r="I259" s="0" t="n">
        <v>11.73</v>
      </c>
      <c r="J259" s="0" t="n">
        <v>38.79</v>
      </c>
      <c r="K259" s="0" t="n">
        <v>40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50</v>
      </c>
      <c r="X259" s="0" t="n">
        <v>6</v>
      </c>
      <c r="Y259" s="0" t="n">
        <v>6</v>
      </c>
      <c r="Z259" s="0" t="inlineStr">
        <is>
          <t>https://new.land.naver.com/complexes/102976?tab=detail&amp;rf=Y</t>
        </is>
      </c>
      <c r="AA259" s="0" t="inlineStr">
        <is>
          <t>인천시 남동구 간석동 775-1</t>
        </is>
      </c>
      <c r="AB259" s="0" t="inlineStr">
        <is>
          <t>인천시</t>
        </is>
      </c>
      <c r="AC259" s="0" t="inlineStr">
        <is>
          <t>남동구</t>
        </is>
      </c>
      <c r="AD259" s="0" t="inlineStr">
        <is>
          <t>간석동</t>
        </is>
      </c>
      <c r="AG259" s="0" t="inlineStr">
        <is>
          <t>인천시 남동구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[간석동]</t>
        </is>
      </c>
      <c r="B260" s="0" t="n">
        <v>102976</v>
      </c>
      <c r="C260" s="0" t="n">
        <v>3</v>
      </c>
      <c r="D260" s="0" t="inlineStr">
        <is>
          <t>팬더</t>
        </is>
      </c>
      <c r="E260" s="0" t="inlineStr">
        <is>
          <t>1988.06.</t>
        </is>
      </c>
      <c r="F260" s="0" t="n">
        <v>246</v>
      </c>
      <c r="G260" s="0" t="n">
        <v>15.99</v>
      </c>
      <c r="H260" s="0" t="n">
        <v>52.88</v>
      </c>
      <c r="I260" s="0" t="n">
        <v>12.88</v>
      </c>
      <c r="J260" s="0" t="n">
        <v>42.6</v>
      </c>
      <c r="K260" s="0" t="n">
        <v>102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52</v>
      </c>
      <c r="X260" s="0" t="n">
        <v>6</v>
      </c>
      <c r="Y260" s="0" t="n">
        <v>6</v>
      </c>
      <c r="Z260" s="0" t="inlineStr">
        <is>
          <t>https://new.land.naver.com/complexes/102976?tab=detail&amp;rf=Y</t>
        </is>
      </c>
      <c r="AA260" s="0" t="inlineStr">
        <is>
          <t>인천시 남동구 간석동 775-1</t>
        </is>
      </c>
      <c r="AB260" s="0" t="inlineStr">
        <is>
          <t>인천시</t>
        </is>
      </c>
      <c r="AC260" s="0" t="inlineStr">
        <is>
          <t>남동구</t>
        </is>
      </c>
      <c r="AD260" s="0" t="inlineStr">
        <is>
          <t>간석동</t>
        </is>
      </c>
      <c r="AG260" s="0" t="inlineStr">
        <is>
          <t>인천시 남동구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[간석동]</t>
        </is>
      </c>
      <c r="B261" s="0" t="n">
        <v>102976</v>
      </c>
      <c r="C261" s="0" t="n">
        <v>4</v>
      </c>
      <c r="D261" s="0" t="inlineStr">
        <is>
          <t>팬더</t>
        </is>
      </c>
      <c r="E261" s="0" t="inlineStr">
        <is>
          <t>1988.06.</t>
        </is>
      </c>
      <c r="F261" s="0" t="n">
        <v>246</v>
      </c>
      <c r="G261" s="0" t="n">
        <v>17.5</v>
      </c>
      <c r="H261" s="0" t="n">
        <v>57.88</v>
      </c>
      <c r="I261" s="0" t="n">
        <v>14.04</v>
      </c>
      <c r="J261" s="0" t="n">
        <v>46.44</v>
      </c>
      <c r="K261" s="0" t="n">
        <v>48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57</v>
      </c>
      <c r="X261" s="0" t="n">
        <v>6</v>
      </c>
      <c r="Y261" s="0" t="n">
        <v>6</v>
      </c>
      <c r="Z261" s="0" t="inlineStr">
        <is>
          <t>https://new.land.naver.com/complexes/102976?tab=detail&amp;rf=Y</t>
        </is>
      </c>
      <c r="AA261" s="0" t="inlineStr">
        <is>
          <t>인천시 남동구 간석동 775-1</t>
        </is>
      </c>
      <c r="AB261" s="0" t="inlineStr">
        <is>
          <t>인천시</t>
        </is>
      </c>
      <c r="AC261" s="0" t="inlineStr">
        <is>
          <t>남동구</t>
        </is>
      </c>
      <c r="AD261" s="0" t="inlineStr">
        <is>
          <t>간석동</t>
        </is>
      </c>
      <c r="AG261" s="0" t="inlineStr">
        <is>
          <t>인천시 남동구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[간석동]</t>
        </is>
      </c>
      <c r="B262" s="0" t="n">
        <v>102976</v>
      </c>
      <c r="C262" s="0" t="n">
        <v>5</v>
      </c>
      <c r="D262" s="0" t="inlineStr">
        <is>
          <t>팬더</t>
        </is>
      </c>
      <c r="E262" s="0" t="inlineStr">
        <is>
          <t>1988.06.</t>
        </is>
      </c>
      <c r="F262" s="0" t="n">
        <v>246</v>
      </c>
      <c r="G262" s="0" t="n">
        <v>19.73</v>
      </c>
      <c r="H262" s="0" t="n">
        <v>65.23999999999999</v>
      </c>
      <c r="I262" s="0" t="n">
        <v>16.25</v>
      </c>
      <c r="J262" s="0" t="n">
        <v>53.73</v>
      </c>
      <c r="K262" s="0" t="n">
        <v>48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65</v>
      </c>
      <c r="X262" s="0" t="n">
        <v>6</v>
      </c>
      <c r="Y262" s="0" t="n">
        <v>6</v>
      </c>
      <c r="Z262" s="0" t="inlineStr">
        <is>
          <t>https://new.land.naver.com/complexes/102976?tab=detail&amp;rf=Y</t>
        </is>
      </c>
      <c r="AA262" s="0" t="inlineStr">
        <is>
          <t>인천시 남동구 간석동 775-1</t>
        </is>
      </c>
      <c r="AB262" s="0" t="inlineStr">
        <is>
          <t>인천시</t>
        </is>
      </c>
      <c r="AC262" s="0" t="inlineStr">
        <is>
          <t>남동구</t>
        </is>
      </c>
      <c r="AD262" s="0" t="inlineStr">
        <is>
          <t>간석동</t>
        </is>
      </c>
      <c r="AG262" s="0" t="inlineStr">
        <is>
          <t>인천시 남동구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[간석동]</t>
        </is>
      </c>
      <c r="B263" s="0" t="n">
        <v>2240</v>
      </c>
      <c r="C263" s="0" t="n">
        <v>1</v>
      </c>
      <c r="D263" s="0" t="inlineStr">
        <is>
          <t>간석우성2차</t>
        </is>
      </c>
      <c r="E263" s="0" t="inlineStr">
        <is>
          <t>1992.07.</t>
        </is>
      </c>
      <c r="F263" s="0" t="n">
        <v>108</v>
      </c>
      <c r="G263" s="0" t="n">
        <v>23.2</v>
      </c>
      <c r="H263" s="0" t="n">
        <v>76.7</v>
      </c>
      <c r="I263" s="0" t="n">
        <v>17.5</v>
      </c>
      <c r="J263" s="0" t="n">
        <v>57.86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n">
        <v>76</v>
      </c>
      <c r="X263" s="0" t="n">
        <v>9</v>
      </c>
      <c r="Y263" s="0" t="n">
        <v>9</v>
      </c>
      <c r="Z263" s="0" t="inlineStr">
        <is>
          <t>https://new.land.naver.com/complexes/2240?tab=detail&amp;rf=Y</t>
        </is>
      </c>
      <c r="AA263" s="0" t="inlineStr">
        <is>
          <t>인천시 남동구 간석동 609</t>
        </is>
      </c>
      <c r="AB263" s="0" t="inlineStr">
        <is>
          <t>인천시</t>
        </is>
      </c>
      <c r="AC263" s="0" t="inlineStr">
        <is>
          <t>남동구</t>
        </is>
      </c>
      <c r="AD263" s="0" t="inlineStr">
        <is>
          <t>간석동</t>
        </is>
      </c>
      <c r="AG263" s="0" t="inlineStr">
        <is>
          <t>인천시 남동구 석정로551번길 20</t>
        </is>
      </c>
      <c r="AH263" s="0" t="n">
        <v>0</v>
      </c>
      <c r="AI263" s="0" t="n">
        <v>170</v>
      </c>
      <c r="AJ263" s="0" t="n">
        <v>26</v>
      </c>
      <c r="AK263" s="0" t="n">
        <v>73</v>
      </c>
      <c r="AL263" s="0" t="n">
        <v>0.68</v>
      </c>
    </row>
    <row r="264">
      <c r="A264" s="0" t="inlineStr">
        <is>
          <t>[간석동]</t>
        </is>
      </c>
      <c r="B264" s="0" t="n">
        <v>2240</v>
      </c>
      <c r="C264" s="0" t="n">
        <v>2</v>
      </c>
      <c r="D264" s="0" t="inlineStr">
        <is>
          <t>간석우성2차</t>
        </is>
      </c>
      <c r="E264" s="0" t="inlineStr">
        <is>
          <t>1992.07.</t>
        </is>
      </c>
      <c r="F264" s="0" t="n">
        <v>108</v>
      </c>
      <c r="G264" s="0" t="n">
        <v>31.33</v>
      </c>
      <c r="H264" s="0" t="n">
        <v>103.59</v>
      </c>
      <c r="I264" s="0" t="n">
        <v>25.66</v>
      </c>
      <c r="J264" s="0" t="n">
        <v>84.83</v>
      </c>
      <c r="K264" s="0" t="n">
        <v>54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103</v>
      </c>
      <c r="X264" s="0" t="n">
        <v>9</v>
      </c>
      <c r="Y264" s="0" t="n">
        <v>9</v>
      </c>
      <c r="Z264" s="0" t="inlineStr">
        <is>
          <t>https://new.land.naver.com/complexes/2240?tab=detail&amp;rf=Y</t>
        </is>
      </c>
      <c r="AA264" s="0" t="inlineStr">
        <is>
          <t>인천시 남동구 간석동 609</t>
        </is>
      </c>
      <c r="AB264" s="0" t="inlineStr">
        <is>
          <t>인천시</t>
        </is>
      </c>
      <c r="AC264" s="0" t="inlineStr">
        <is>
          <t>남동구</t>
        </is>
      </c>
      <c r="AD264" s="0" t="inlineStr">
        <is>
          <t>간석동</t>
        </is>
      </c>
      <c r="AG264" s="0" t="inlineStr">
        <is>
          <t>인천시 남동구 석정로551번길 20</t>
        </is>
      </c>
      <c r="AH264" s="0" t="n">
        <v>0</v>
      </c>
      <c r="AI264" s="0" t="n">
        <v>170</v>
      </c>
      <c r="AJ264" s="0" t="n">
        <v>26</v>
      </c>
      <c r="AK264" s="0" t="n">
        <v>73</v>
      </c>
      <c r="AL264" s="0" t="n">
        <v>0.68</v>
      </c>
    </row>
    <row r="265">
      <c r="A265" s="0" t="inlineStr">
        <is>
          <t>[간석동]</t>
        </is>
      </c>
      <c r="B265" s="0" t="n">
        <v>118363</v>
      </c>
      <c r="C265" s="0" t="n">
        <v>1</v>
      </c>
      <c r="D265" s="0" t="inlineStr">
        <is>
          <t>센트라움</t>
        </is>
      </c>
      <c r="E265" s="0" t="inlineStr">
        <is>
          <t>2017.06.</t>
        </is>
      </c>
      <c r="F265" s="0" t="n">
        <v>56</v>
      </c>
      <c r="G265" s="0" t="n">
        <v>19.02</v>
      </c>
      <c r="H265" s="0" t="n">
        <v>62.9</v>
      </c>
      <c r="I265" s="0" t="n">
        <v>13.84</v>
      </c>
      <c r="J265" s="0" t="n">
        <v>45.78</v>
      </c>
      <c r="K265" s="0" t="n">
        <v>14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62A</t>
        </is>
      </c>
      <c r="X265" s="0" t="n">
        <v>15</v>
      </c>
      <c r="Y265" s="0" t="n">
        <v>15</v>
      </c>
      <c r="Z265" s="0" t="inlineStr">
        <is>
          <t>https://new.land.naver.com/complexes/118363?tab=detail&amp;rf=Y</t>
        </is>
      </c>
      <c r="AA265" s="0" t="inlineStr">
        <is>
          <t>인천시 남동구 간석동 316-3</t>
        </is>
      </c>
      <c r="AB265" s="0" t="inlineStr">
        <is>
          <t>인천시</t>
        </is>
      </c>
      <c r="AC265" s="0" t="inlineStr">
        <is>
          <t>남동구</t>
        </is>
      </c>
      <c r="AD265" s="0" t="inlineStr">
        <is>
          <t>간석동</t>
        </is>
      </c>
      <c r="AG265" s="0" t="inlineStr">
        <is>
          <t>인천시 남동구 남동대로921번길 30</t>
        </is>
      </c>
      <c r="AH265" s="0" t="n">
        <v>0</v>
      </c>
      <c r="AI265" s="0" t="n">
        <v>849</v>
      </c>
      <c r="AJ265" s="0" t="n">
        <v>71</v>
      </c>
      <c r="AK265" s="0" t="n">
        <v>36</v>
      </c>
      <c r="AL265" s="0" t="n">
        <v>0.64</v>
      </c>
    </row>
    <row r="266">
      <c r="A266" s="0" t="inlineStr">
        <is>
          <t>[간석동]</t>
        </is>
      </c>
      <c r="B266" s="0" t="n">
        <v>118363</v>
      </c>
      <c r="C266" s="0" t="n">
        <v>2</v>
      </c>
      <c r="D266" s="0" t="inlineStr">
        <is>
          <t>센트라움</t>
        </is>
      </c>
      <c r="E266" s="0" t="inlineStr">
        <is>
          <t>2017.06.</t>
        </is>
      </c>
      <c r="F266" s="0" t="n">
        <v>56</v>
      </c>
      <c r="G266" s="0" t="n">
        <v>19.05</v>
      </c>
      <c r="H266" s="0" t="n">
        <v>62.99</v>
      </c>
      <c r="I266" s="0" t="n">
        <v>14.02</v>
      </c>
      <c r="J266" s="0" t="n">
        <v>46.35</v>
      </c>
      <c r="K266" s="0" t="n">
        <v>14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62B</t>
        </is>
      </c>
      <c r="X266" s="0" t="n">
        <v>15</v>
      </c>
      <c r="Y266" s="0" t="n">
        <v>15</v>
      </c>
      <c r="Z266" s="0" t="inlineStr">
        <is>
          <t>https://new.land.naver.com/complexes/118363?tab=detail&amp;rf=Y</t>
        </is>
      </c>
      <c r="AA266" s="0" t="inlineStr">
        <is>
          <t>인천시 남동구 간석동 316-3</t>
        </is>
      </c>
      <c r="AB266" s="0" t="inlineStr">
        <is>
          <t>인천시</t>
        </is>
      </c>
      <c r="AC266" s="0" t="inlineStr">
        <is>
          <t>남동구</t>
        </is>
      </c>
      <c r="AD266" s="0" t="inlineStr">
        <is>
          <t>간석동</t>
        </is>
      </c>
      <c r="AG266" s="0" t="inlineStr">
        <is>
          <t>인천시 남동구 남동대로921번길 30</t>
        </is>
      </c>
      <c r="AH266" s="0" t="n">
        <v>0</v>
      </c>
      <c r="AI266" s="0" t="n">
        <v>849</v>
      </c>
      <c r="AJ266" s="0" t="n">
        <v>71</v>
      </c>
      <c r="AK266" s="0" t="n">
        <v>36</v>
      </c>
      <c r="AL266" s="0" t="n">
        <v>0.64</v>
      </c>
    </row>
    <row r="267">
      <c r="A267" s="0" t="inlineStr">
        <is>
          <t>[간석동]</t>
        </is>
      </c>
      <c r="B267" s="0" t="n">
        <v>118363</v>
      </c>
      <c r="C267" s="0" t="n">
        <v>3</v>
      </c>
      <c r="D267" s="0" t="inlineStr">
        <is>
          <t>센트라움</t>
        </is>
      </c>
      <c r="E267" s="0" t="inlineStr">
        <is>
          <t>2017.06.</t>
        </is>
      </c>
      <c r="F267" s="0" t="n">
        <v>56</v>
      </c>
      <c r="G267" s="0" t="n">
        <v>19.09</v>
      </c>
      <c r="H267" s="0" t="n">
        <v>63.13</v>
      </c>
      <c r="I267" s="0" t="n">
        <v>13.89</v>
      </c>
      <c r="J267" s="0" t="n">
        <v>45.93</v>
      </c>
      <c r="K267" s="0" t="n">
        <v>14</v>
      </c>
      <c r="T267" s="0" t="n">
        <v>2</v>
      </c>
      <c r="U267" s="0" t="n">
        <v>1</v>
      </c>
      <c r="V267" s="0" t="inlineStr">
        <is>
          <t>계단식</t>
        </is>
      </c>
      <c r="W267" s="0" t="inlineStr">
        <is>
          <t>63C</t>
        </is>
      </c>
      <c r="X267" s="0" t="n">
        <v>15</v>
      </c>
      <c r="Y267" s="0" t="n">
        <v>15</v>
      </c>
      <c r="Z267" s="0" t="inlineStr">
        <is>
          <t>https://new.land.naver.com/complexes/118363?tab=detail&amp;rf=Y</t>
        </is>
      </c>
      <c r="AA267" s="0" t="inlineStr">
        <is>
          <t>인천시 남동구 간석동 316-3</t>
        </is>
      </c>
      <c r="AB267" s="0" t="inlineStr">
        <is>
          <t>인천시</t>
        </is>
      </c>
      <c r="AC267" s="0" t="inlineStr">
        <is>
          <t>남동구</t>
        </is>
      </c>
      <c r="AD267" s="0" t="inlineStr">
        <is>
          <t>간석동</t>
        </is>
      </c>
      <c r="AG267" s="0" t="inlineStr">
        <is>
          <t>인천시 남동구 남동대로921번길 30</t>
        </is>
      </c>
      <c r="AH267" s="0" t="n">
        <v>0</v>
      </c>
      <c r="AI267" s="0" t="n">
        <v>849</v>
      </c>
      <c r="AJ267" s="0" t="n">
        <v>71</v>
      </c>
      <c r="AK267" s="0" t="n">
        <v>36</v>
      </c>
      <c r="AL267" s="0" t="n">
        <v>0.64</v>
      </c>
    </row>
    <row r="268">
      <c r="A268" s="0" t="inlineStr">
        <is>
          <t>[간석동]</t>
        </is>
      </c>
      <c r="B268" s="0" t="n">
        <v>118363</v>
      </c>
      <c r="C268" s="0" t="n">
        <v>4</v>
      </c>
      <c r="D268" s="0" t="inlineStr">
        <is>
          <t>센트라움</t>
        </is>
      </c>
      <c r="E268" s="0" t="inlineStr">
        <is>
          <t>2017.06.</t>
        </is>
      </c>
      <c r="F268" s="0" t="n">
        <v>56</v>
      </c>
      <c r="G268" s="0" t="n">
        <v>19.31</v>
      </c>
      <c r="H268" s="0" t="n">
        <v>63.85</v>
      </c>
      <c r="I268" s="0" t="n">
        <v>14.22</v>
      </c>
      <c r="J268" s="0" t="n">
        <v>47.02</v>
      </c>
      <c r="K268" s="0" t="n">
        <v>14</v>
      </c>
      <c r="T268" s="0" t="n">
        <v>2</v>
      </c>
      <c r="U268" s="0" t="n">
        <v>1</v>
      </c>
      <c r="V268" s="0" t="inlineStr">
        <is>
          <t>계단식</t>
        </is>
      </c>
      <c r="W268" s="0" t="inlineStr">
        <is>
          <t>63D</t>
        </is>
      </c>
      <c r="X268" s="0" t="n">
        <v>15</v>
      </c>
      <c r="Y268" s="0" t="n">
        <v>15</v>
      </c>
      <c r="Z268" s="0" t="inlineStr">
        <is>
          <t>https://new.land.naver.com/complexes/118363?tab=detail&amp;rf=Y</t>
        </is>
      </c>
      <c r="AA268" s="0" t="inlineStr">
        <is>
          <t>인천시 남동구 간석동 316-3</t>
        </is>
      </c>
      <c r="AB268" s="0" t="inlineStr">
        <is>
          <t>인천시</t>
        </is>
      </c>
      <c r="AC268" s="0" t="inlineStr">
        <is>
          <t>남동구</t>
        </is>
      </c>
      <c r="AD268" s="0" t="inlineStr">
        <is>
          <t>간석동</t>
        </is>
      </c>
      <c r="AG268" s="0" t="inlineStr">
        <is>
          <t>인천시 남동구 남동대로921번길 30</t>
        </is>
      </c>
      <c r="AH268" s="0" t="n">
        <v>0</v>
      </c>
      <c r="AI268" s="0" t="n">
        <v>849</v>
      </c>
      <c r="AJ268" s="0" t="n">
        <v>71</v>
      </c>
      <c r="AK268" s="0" t="n">
        <v>36</v>
      </c>
      <c r="AL268" s="0" t="n">
        <v>0.64</v>
      </c>
    </row>
    <row r="269">
      <c r="A269" s="0" t="inlineStr">
        <is>
          <t>[간석동]</t>
        </is>
      </c>
      <c r="B269" s="0" t="n">
        <v>10299</v>
      </c>
      <c r="C269" s="0" t="n">
        <v>1</v>
      </c>
      <c r="D269" s="0" t="inlineStr">
        <is>
          <t>삼용</t>
        </is>
      </c>
      <c r="E269" s="0" t="inlineStr">
        <is>
          <t>1987.08.</t>
        </is>
      </c>
      <c r="F269" s="0" t="n">
        <v>75</v>
      </c>
      <c r="G269" s="0" t="n">
        <v>13.85</v>
      </c>
      <c r="H269" s="0" t="n">
        <v>45.8</v>
      </c>
      <c r="I269" s="0" t="n">
        <v>10.83</v>
      </c>
      <c r="J269" s="0" t="n">
        <v>35.82</v>
      </c>
      <c r="K269" s="0" t="n">
        <v>5</v>
      </c>
      <c r="T269" s="0" t="n">
        <v>1</v>
      </c>
      <c r="U269" s="0" t="n">
        <v>1</v>
      </c>
      <c r="V269" s="0" t="inlineStr">
        <is>
          <t>복합식</t>
        </is>
      </c>
      <c r="W269" s="0" t="n">
        <v>45</v>
      </c>
      <c r="X269" s="0" t="n">
        <v>5</v>
      </c>
      <c r="Y269" s="0" t="n">
        <v>5</v>
      </c>
      <c r="Z269" s="0" t="inlineStr">
        <is>
          <t>https://new.land.naver.com/complexes/10299?tab=detail&amp;rf=Y</t>
        </is>
      </c>
      <c r="AA269" s="0" t="inlineStr">
        <is>
          <t>인천시 남동구 간석동 293-2</t>
        </is>
      </c>
      <c r="AB269" s="0" t="inlineStr">
        <is>
          <t>인천시</t>
        </is>
      </c>
      <c r="AC269" s="0" t="inlineStr">
        <is>
          <t>남동구</t>
        </is>
      </c>
      <c r="AD269" s="0" t="inlineStr">
        <is>
          <t>간석동</t>
        </is>
      </c>
      <c r="AG269" s="0" t="inlineStr">
        <is>
          <t>인천시 남동구 남동대로837번길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[간석동]</t>
        </is>
      </c>
      <c r="B270" s="0" t="n">
        <v>10299</v>
      </c>
      <c r="C270" s="0" t="n">
        <v>2</v>
      </c>
      <c r="D270" s="0" t="inlineStr">
        <is>
          <t>삼용</t>
        </is>
      </c>
      <c r="E270" s="0" t="inlineStr">
        <is>
          <t>1987.08.</t>
        </is>
      </c>
      <c r="F270" s="0" t="n">
        <v>75</v>
      </c>
      <c r="G270" s="0" t="n">
        <v>16.64</v>
      </c>
      <c r="H270" s="0" t="n">
        <v>55.01</v>
      </c>
      <c r="I270" s="0" t="n">
        <v>13.61</v>
      </c>
      <c r="J270" s="0" t="n">
        <v>45</v>
      </c>
      <c r="K270" s="0" t="n">
        <v>65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55B</t>
        </is>
      </c>
      <c r="X270" s="0" t="n">
        <v>5</v>
      </c>
      <c r="Y270" s="0" t="n">
        <v>5</v>
      </c>
      <c r="Z270" s="0" t="inlineStr">
        <is>
          <t>https://new.land.naver.com/complexes/10299?tab=detail&amp;rf=Y</t>
        </is>
      </c>
      <c r="AA270" s="0" t="inlineStr">
        <is>
          <t>인천시 남동구 간석동 293-2</t>
        </is>
      </c>
      <c r="AB270" s="0" t="inlineStr">
        <is>
          <t>인천시</t>
        </is>
      </c>
      <c r="AC270" s="0" t="inlineStr">
        <is>
          <t>남동구</t>
        </is>
      </c>
      <c r="AD270" s="0" t="inlineStr">
        <is>
          <t>간석동</t>
        </is>
      </c>
      <c r="AG270" s="0" t="inlineStr">
        <is>
          <t>인천시 남동구 남동대로837번길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[간석동]</t>
        </is>
      </c>
      <c r="B271" s="0" t="n">
        <v>10299</v>
      </c>
      <c r="C271" s="0" t="n">
        <v>3</v>
      </c>
      <c r="D271" s="0" t="inlineStr">
        <is>
          <t>삼용</t>
        </is>
      </c>
      <c r="E271" s="0" t="inlineStr">
        <is>
          <t>1987.08.</t>
        </is>
      </c>
      <c r="F271" s="0" t="n">
        <v>75</v>
      </c>
      <c r="G271" s="0" t="n">
        <v>16.64</v>
      </c>
      <c r="H271" s="0" t="n">
        <v>55.01</v>
      </c>
      <c r="I271" s="0" t="n">
        <v>11.97</v>
      </c>
      <c r="J271" s="0" t="n">
        <v>39.6</v>
      </c>
      <c r="K271" s="0" t="n">
        <v>5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55A</t>
        </is>
      </c>
      <c r="X271" s="0" t="n">
        <v>5</v>
      </c>
      <c r="Y271" s="0" t="n">
        <v>5</v>
      </c>
      <c r="Z271" s="0" t="inlineStr">
        <is>
          <t>https://new.land.naver.com/complexes/10299?tab=detail&amp;rf=Y</t>
        </is>
      </c>
      <c r="AA271" s="0" t="inlineStr">
        <is>
          <t>인천시 남동구 간석동 293-2</t>
        </is>
      </c>
      <c r="AB271" s="0" t="inlineStr">
        <is>
          <t>인천시</t>
        </is>
      </c>
      <c r="AC271" s="0" t="inlineStr">
        <is>
          <t>남동구</t>
        </is>
      </c>
      <c r="AD271" s="0" t="inlineStr">
        <is>
          <t>간석동</t>
        </is>
      </c>
      <c r="AG271" s="0" t="inlineStr">
        <is>
          <t>인천시 남동구 남동대로837번길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[간석동]</t>
        </is>
      </c>
      <c r="B272" s="0" t="n">
        <v>117062</v>
      </c>
      <c r="C272" s="0" t="n">
        <v>1</v>
      </c>
      <c r="D272" s="0" t="inlineStr">
        <is>
          <t>JH타워Ⅲ</t>
        </is>
      </c>
      <c r="E272" s="0" t="inlineStr">
        <is>
          <t>2017.04.</t>
        </is>
      </c>
      <c r="F272" s="0" t="n">
        <v>20</v>
      </c>
      <c r="G272" s="0" t="n">
        <v>18.21</v>
      </c>
      <c r="H272" s="0" t="n">
        <v>60.21</v>
      </c>
      <c r="I272" s="0" t="n">
        <v>14.99</v>
      </c>
      <c r="J272" s="0" t="n">
        <v>49.56</v>
      </c>
      <c r="K272" s="0" t="n">
        <v>4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60</v>
      </c>
      <c r="X272" s="0" t="n">
        <v>14</v>
      </c>
      <c r="Y272" s="0" t="n">
        <v>14</v>
      </c>
      <c r="Z272" s="0" t="inlineStr">
        <is>
          <t>https://new.land.naver.com/complexes/117062?tab=detail&amp;rf=Y</t>
        </is>
      </c>
      <c r="AA272" s="0" t="inlineStr">
        <is>
          <t>인천시 남동구 간석동 214-11</t>
        </is>
      </c>
      <c r="AB272" s="0" t="inlineStr">
        <is>
          <t>인천시</t>
        </is>
      </c>
      <c r="AC272" s="0" t="inlineStr">
        <is>
          <t>남동구</t>
        </is>
      </c>
      <c r="AD272" s="0" t="inlineStr">
        <is>
          <t>간석동</t>
        </is>
      </c>
      <c r="AG272" s="0" t="inlineStr">
        <is>
          <t>인천시 남동구 남동대로934번길 19</t>
        </is>
      </c>
      <c r="AH272" s="0" t="n">
        <v>0</v>
      </c>
      <c r="AI272" s="0" t="n">
        <v>874</v>
      </c>
      <c r="AJ272" s="0" t="n">
        <v>76</v>
      </c>
      <c r="AK272" s="0" t="n">
        <v>14</v>
      </c>
      <c r="AL272" s="0" t="n">
        <v>0.7</v>
      </c>
    </row>
    <row r="273">
      <c r="A273" s="0" t="inlineStr">
        <is>
          <t>[간석동]</t>
        </is>
      </c>
      <c r="B273" s="0" t="n">
        <v>117062</v>
      </c>
      <c r="C273" s="0" t="n">
        <v>2</v>
      </c>
      <c r="D273" s="0" t="inlineStr">
        <is>
          <t>JH타워Ⅲ</t>
        </is>
      </c>
      <c r="E273" s="0" t="inlineStr">
        <is>
          <t>2017.04.</t>
        </is>
      </c>
      <c r="F273" s="0" t="n">
        <v>20</v>
      </c>
      <c r="G273" s="0" t="n">
        <v>19.34</v>
      </c>
      <c r="H273" s="0" t="n">
        <v>63.94</v>
      </c>
      <c r="I273" s="0" t="n">
        <v>15.93</v>
      </c>
      <c r="J273" s="0" t="n">
        <v>52.69</v>
      </c>
      <c r="K273" s="0" t="n">
        <v>4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63</v>
      </c>
      <c r="X273" s="0" t="n">
        <v>14</v>
      </c>
      <c r="Y273" s="0" t="n">
        <v>14</v>
      </c>
      <c r="Z273" s="0" t="inlineStr">
        <is>
          <t>https://new.land.naver.com/complexes/117062?tab=detail&amp;rf=Y</t>
        </is>
      </c>
      <c r="AA273" s="0" t="inlineStr">
        <is>
          <t>인천시 남동구 간석동 214-11</t>
        </is>
      </c>
      <c r="AB273" s="0" t="inlineStr">
        <is>
          <t>인천시</t>
        </is>
      </c>
      <c r="AC273" s="0" t="inlineStr">
        <is>
          <t>남동구</t>
        </is>
      </c>
      <c r="AD273" s="0" t="inlineStr">
        <is>
          <t>간석동</t>
        </is>
      </c>
      <c r="AG273" s="0" t="inlineStr">
        <is>
          <t>인천시 남동구 남동대로934번길 19</t>
        </is>
      </c>
      <c r="AH273" s="0" t="n">
        <v>0</v>
      </c>
      <c r="AI273" s="0" t="n">
        <v>874</v>
      </c>
      <c r="AJ273" s="0" t="n">
        <v>76</v>
      </c>
      <c r="AK273" s="0" t="n">
        <v>14</v>
      </c>
      <c r="AL273" s="0" t="n">
        <v>0.7</v>
      </c>
    </row>
    <row r="274">
      <c r="A274" s="0" t="inlineStr">
        <is>
          <t>[간석동]</t>
        </is>
      </c>
      <c r="B274" s="0" t="n">
        <v>117062</v>
      </c>
      <c r="C274" s="0" t="n">
        <v>3</v>
      </c>
      <c r="D274" s="0" t="inlineStr">
        <is>
          <t>JH타워Ⅲ</t>
        </is>
      </c>
      <c r="E274" s="0" t="inlineStr">
        <is>
          <t>2017.04.</t>
        </is>
      </c>
      <c r="F274" s="0" t="n">
        <v>20</v>
      </c>
      <c r="G274" s="0" t="n">
        <v>21.33</v>
      </c>
      <c r="H274" s="0" t="n">
        <v>70.52</v>
      </c>
      <c r="I274" s="0" t="n">
        <v>17.51</v>
      </c>
      <c r="J274" s="0" t="n">
        <v>57.9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70</v>
      </c>
      <c r="X274" s="0" t="n">
        <v>14</v>
      </c>
      <c r="Y274" s="0" t="n">
        <v>14</v>
      </c>
      <c r="Z274" s="0" t="inlineStr">
        <is>
          <t>https://new.land.naver.com/complexes/117062?tab=detail&amp;rf=Y</t>
        </is>
      </c>
      <c r="AA274" s="0" t="inlineStr">
        <is>
          <t>인천시 남동구 간석동 214-11</t>
        </is>
      </c>
      <c r="AB274" s="0" t="inlineStr">
        <is>
          <t>인천시</t>
        </is>
      </c>
      <c r="AC274" s="0" t="inlineStr">
        <is>
          <t>남동구</t>
        </is>
      </c>
      <c r="AD274" s="0" t="inlineStr">
        <is>
          <t>간석동</t>
        </is>
      </c>
      <c r="AG274" s="0" t="inlineStr">
        <is>
          <t>인천시 남동구 남동대로934번길 19</t>
        </is>
      </c>
      <c r="AH274" s="0" t="n">
        <v>0</v>
      </c>
      <c r="AI274" s="0" t="n">
        <v>874</v>
      </c>
      <c r="AJ274" s="0" t="n">
        <v>76</v>
      </c>
      <c r="AK274" s="0" t="n">
        <v>14</v>
      </c>
      <c r="AL274" s="0" t="n">
        <v>0.7</v>
      </c>
    </row>
    <row r="275">
      <c r="A275" s="0" t="inlineStr">
        <is>
          <t>[간석동]</t>
        </is>
      </c>
      <c r="B275" s="0" t="n">
        <v>117062</v>
      </c>
      <c r="C275" s="0" t="n">
        <v>4</v>
      </c>
      <c r="D275" s="0" t="inlineStr">
        <is>
          <t>JH타워Ⅲ</t>
        </is>
      </c>
      <c r="E275" s="0" t="inlineStr">
        <is>
          <t>2017.04.</t>
        </is>
      </c>
      <c r="F275" s="0" t="n">
        <v>20</v>
      </c>
      <c r="G275" s="0" t="n">
        <v>21.74</v>
      </c>
      <c r="H275" s="0" t="n">
        <v>71.87</v>
      </c>
      <c r="I275" s="0" t="n">
        <v>17.52</v>
      </c>
      <c r="J275" s="0" t="n">
        <v>57.92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14</v>
      </c>
      <c r="Y275" s="0" t="n">
        <v>14</v>
      </c>
      <c r="Z275" s="0" t="inlineStr">
        <is>
          <t>https://new.land.naver.com/complexes/117062?tab=detail&amp;rf=Y</t>
        </is>
      </c>
      <c r="AA275" s="0" t="inlineStr">
        <is>
          <t>인천시 남동구 간석동 214-11</t>
        </is>
      </c>
      <c r="AB275" s="0" t="inlineStr">
        <is>
          <t>인천시</t>
        </is>
      </c>
      <c r="AC275" s="0" t="inlineStr">
        <is>
          <t>남동구</t>
        </is>
      </c>
      <c r="AD275" s="0" t="inlineStr">
        <is>
          <t>간석동</t>
        </is>
      </c>
      <c r="AG275" s="0" t="inlineStr">
        <is>
          <t>인천시 남동구 남동대로934번길 19</t>
        </is>
      </c>
      <c r="AH275" s="0" t="n">
        <v>0</v>
      </c>
      <c r="AI275" s="0" t="n">
        <v>874</v>
      </c>
      <c r="AJ275" s="0" t="n">
        <v>76</v>
      </c>
      <c r="AK275" s="0" t="n">
        <v>14</v>
      </c>
      <c r="AL275" s="0" t="n">
        <v>0.7</v>
      </c>
    </row>
    <row r="276">
      <c r="A276" s="0" t="inlineStr">
        <is>
          <t>[간석동]</t>
        </is>
      </c>
      <c r="B276" s="0" t="n">
        <v>117062</v>
      </c>
      <c r="C276" s="0" t="n">
        <v>5</v>
      </c>
      <c r="D276" s="0" t="inlineStr">
        <is>
          <t>JH타워Ⅲ</t>
        </is>
      </c>
      <c r="E276" s="0" t="inlineStr">
        <is>
          <t>2017.04.</t>
        </is>
      </c>
      <c r="F276" s="0" t="n">
        <v>20</v>
      </c>
      <c r="G276" s="0" t="n">
        <v>22.04</v>
      </c>
      <c r="H276" s="0" t="n">
        <v>72.89</v>
      </c>
      <c r="I276" s="0" t="n">
        <v>18.14</v>
      </c>
      <c r="J276" s="0" t="n">
        <v>59.97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72B</t>
        </is>
      </c>
      <c r="X276" s="0" t="n">
        <v>14</v>
      </c>
      <c r="Y276" s="0" t="n">
        <v>14</v>
      </c>
      <c r="Z276" s="0" t="inlineStr">
        <is>
          <t>https://new.land.naver.com/complexes/117062?tab=detail&amp;rf=Y</t>
        </is>
      </c>
      <c r="AA276" s="0" t="inlineStr">
        <is>
          <t>인천시 남동구 간석동 214-11</t>
        </is>
      </c>
      <c r="AB276" s="0" t="inlineStr">
        <is>
          <t>인천시</t>
        </is>
      </c>
      <c r="AC276" s="0" t="inlineStr">
        <is>
          <t>남동구</t>
        </is>
      </c>
      <c r="AD276" s="0" t="inlineStr">
        <is>
          <t>간석동</t>
        </is>
      </c>
      <c r="AG276" s="0" t="inlineStr">
        <is>
          <t>인천시 남동구 남동대로934번길 19</t>
        </is>
      </c>
      <c r="AH276" s="0" t="n">
        <v>0</v>
      </c>
      <c r="AI276" s="0" t="n">
        <v>874</v>
      </c>
      <c r="AJ276" s="0" t="n">
        <v>76</v>
      </c>
      <c r="AK276" s="0" t="n">
        <v>14</v>
      </c>
      <c r="AL276" s="0" t="n">
        <v>0.7</v>
      </c>
    </row>
    <row r="277">
      <c r="A277" s="0" t="inlineStr">
        <is>
          <t>[간석동]</t>
        </is>
      </c>
      <c r="B277" s="0" t="n">
        <v>117062</v>
      </c>
      <c r="C277" s="0" t="n">
        <v>6</v>
      </c>
      <c r="D277" s="0" t="inlineStr">
        <is>
          <t>JH타워Ⅲ</t>
        </is>
      </c>
      <c r="E277" s="0" t="inlineStr">
        <is>
          <t>2017.04.</t>
        </is>
      </c>
      <c r="F277" s="0" t="n">
        <v>20</v>
      </c>
      <c r="G277" s="0" t="n">
        <v>24.16</v>
      </c>
      <c r="H277" s="0" t="n">
        <v>79.87</v>
      </c>
      <c r="I277" s="0" t="n">
        <v>19.88</v>
      </c>
      <c r="J277" s="0" t="n">
        <v>65.72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n">
        <v>79</v>
      </c>
      <c r="X277" s="0" t="n">
        <v>14</v>
      </c>
      <c r="Y277" s="0" t="n">
        <v>14</v>
      </c>
      <c r="Z277" s="0" t="inlineStr">
        <is>
          <t>https://new.land.naver.com/complexes/117062?tab=detail&amp;rf=Y</t>
        </is>
      </c>
      <c r="AA277" s="0" t="inlineStr">
        <is>
          <t>인천시 남동구 간석동 214-11</t>
        </is>
      </c>
      <c r="AB277" s="0" t="inlineStr">
        <is>
          <t>인천시</t>
        </is>
      </c>
      <c r="AC277" s="0" t="inlineStr">
        <is>
          <t>남동구</t>
        </is>
      </c>
      <c r="AD277" s="0" t="inlineStr">
        <is>
          <t>간석동</t>
        </is>
      </c>
      <c r="AG277" s="0" t="inlineStr">
        <is>
          <t>인천시 남동구 남동대로934번길 19</t>
        </is>
      </c>
      <c r="AH277" s="0" t="n">
        <v>0</v>
      </c>
      <c r="AI277" s="0" t="n">
        <v>874</v>
      </c>
      <c r="AJ277" s="0" t="n">
        <v>76</v>
      </c>
      <c r="AK277" s="0" t="n">
        <v>14</v>
      </c>
      <c r="AL277" s="0" t="n">
        <v>0.7</v>
      </c>
    </row>
    <row r="278">
      <c r="A278" s="0" t="inlineStr">
        <is>
          <t>[간석동]</t>
        </is>
      </c>
      <c r="B278" s="0" t="n">
        <v>2561</v>
      </c>
      <c r="C278" s="0" t="n">
        <v>1</v>
      </c>
      <c r="D278" s="0" t="inlineStr">
        <is>
          <t>신한</t>
        </is>
      </c>
      <c r="E278" s="0" t="inlineStr">
        <is>
          <t>1990.04.</t>
        </is>
      </c>
      <c r="F278" s="0" t="n">
        <v>216</v>
      </c>
      <c r="G278" s="0" t="n">
        <v>19.58</v>
      </c>
      <c r="H278" s="0" t="n">
        <v>64.75</v>
      </c>
      <c r="I278" s="0" t="n">
        <v>15.63</v>
      </c>
      <c r="J278" s="0" t="n">
        <v>51.67</v>
      </c>
      <c r="K278" s="0" t="n">
        <v>6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64</v>
      </c>
      <c r="X278" s="0" t="n">
        <v>6</v>
      </c>
      <c r="Y278" s="0" t="n">
        <v>6</v>
      </c>
      <c r="Z278" s="0" t="inlineStr">
        <is>
          <t>https://new.land.naver.com/complexes/2561?tab=detail&amp;rf=Y</t>
        </is>
      </c>
      <c r="AA278" s="0" t="inlineStr">
        <is>
          <t>인천시 남동구 간석동 32-5</t>
        </is>
      </c>
      <c r="AB278" s="0" t="inlineStr">
        <is>
          <t>인천시</t>
        </is>
      </c>
      <c r="AC278" s="0" t="inlineStr">
        <is>
          <t>남동구</t>
        </is>
      </c>
      <c r="AD278" s="0" t="inlineStr">
        <is>
          <t>간석동</t>
        </is>
      </c>
      <c r="AG278" s="0" t="inlineStr">
        <is>
          <t>인천시 남동구 용천로 200</t>
        </is>
      </c>
      <c r="AH278" s="0" t="n">
        <v>0</v>
      </c>
      <c r="AI278" s="0" t="n">
        <v>192</v>
      </c>
      <c r="AJ278" s="0" t="n">
        <v>33</v>
      </c>
      <c r="AK278" s="0" t="n">
        <v>240</v>
      </c>
      <c r="AL278" s="0" t="n">
        <v>1.11</v>
      </c>
    </row>
    <row r="279">
      <c r="A279" s="0" t="inlineStr">
        <is>
          <t>[간석동]</t>
        </is>
      </c>
      <c r="B279" s="0" t="n">
        <v>2561</v>
      </c>
      <c r="C279" s="0" t="n">
        <v>2</v>
      </c>
      <c r="D279" s="0" t="inlineStr">
        <is>
          <t>신한</t>
        </is>
      </c>
      <c r="E279" s="0" t="inlineStr">
        <is>
          <t>1990.04.</t>
        </is>
      </c>
      <c r="F279" s="0" t="n">
        <v>216</v>
      </c>
      <c r="G279" s="0" t="n">
        <v>20.54</v>
      </c>
      <c r="H279" s="0" t="n">
        <v>67.93000000000001</v>
      </c>
      <c r="I279" s="0" t="n">
        <v>16.47</v>
      </c>
      <c r="J279" s="0" t="n">
        <v>54.46</v>
      </c>
      <c r="K279" s="0" t="n">
        <v>60</v>
      </c>
      <c r="T279" s="0" t="n">
        <v>3</v>
      </c>
      <c r="U279" s="0" t="n">
        <v>1</v>
      </c>
      <c r="V279" s="0" t="inlineStr">
        <is>
          <t>계단식</t>
        </is>
      </c>
      <c r="W279" s="0" t="inlineStr">
        <is>
          <t>67A</t>
        </is>
      </c>
      <c r="X279" s="0" t="n">
        <v>6</v>
      </c>
      <c r="Y279" s="0" t="n">
        <v>6</v>
      </c>
      <c r="Z279" s="0" t="inlineStr">
        <is>
          <t>https://new.land.naver.com/complexes/2561?tab=detail&amp;rf=Y</t>
        </is>
      </c>
      <c r="AA279" s="0" t="inlineStr">
        <is>
          <t>인천시 남동구 간석동 32-5</t>
        </is>
      </c>
      <c r="AB279" s="0" t="inlineStr">
        <is>
          <t>인천시</t>
        </is>
      </c>
      <c r="AC279" s="0" t="inlineStr">
        <is>
          <t>남동구</t>
        </is>
      </c>
      <c r="AD279" s="0" t="inlineStr">
        <is>
          <t>간석동</t>
        </is>
      </c>
      <c r="AG279" s="0" t="inlineStr">
        <is>
          <t>인천시 남동구 용천로 200</t>
        </is>
      </c>
      <c r="AH279" s="0" t="n">
        <v>0</v>
      </c>
      <c r="AI279" s="0" t="n">
        <v>192</v>
      </c>
      <c r="AJ279" s="0" t="n">
        <v>33</v>
      </c>
      <c r="AK279" s="0" t="n">
        <v>240</v>
      </c>
      <c r="AL279" s="0" t="n">
        <v>1.11</v>
      </c>
    </row>
    <row r="280">
      <c r="A280" s="0" t="inlineStr">
        <is>
          <t>[간석동]</t>
        </is>
      </c>
      <c r="B280" s="0" t="n">
        <v>2561</v>
      </c>
      <c r="C280" s="0" t="n">
        <v>3</v>
      </c>
      <c r="D280" s="0" t="inlineStr">
        <is>
          <t>신한</t>
        </is>
      </c>
      <c r="E280" s="0" t="inlineStr">
        <is>
          <t>1990.04.</t>
        </is>
      </c>
      <c r="F280" s="0" t="n">
        <v>216</v>
      </c>
      <c r="G280" s="0" t="n">
        <v>21.16</v>
      </c>
      <c r="H280" s="0" t="n">
        <v>69.98</v>
      </c>
      <c r="I280" s="0" t="n">
        <v>17.01</v>
      </c>
      <c r="J280" s="0" t="n">
        <v>56.26</v>
      </c>
      <c r="K280" s="0" t="n">
        <v>12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69B</t>
        </is>
      </c>
      <c r="X280" s="0" t="n">
        <v>6</v>
      </c>
      <c r="Y280" s="0" t="n">
        <v>6</v>
      </c>
      <c r="Z280" s="0" t="inlineStr">
        <is>
          <t>https://new.land.naver.com/complexes/2561?tab=detail&amp;rf=Y</t>
        </is>
      </c>
      <c r="AA280" s="0" t="inlineStr">
        <is>
          <t>인천시 남동구 간석동 32-5</t>
        </is>
      </c>
      <c r="AB280" s="0" t="inlineStr">
        <is>
          <t>인천시</t>
        </is>
      </c>
      <c r="AC280" s="0" t="inlineStr">
        <is>
          <t>남동구</t>
        </is>
      </c>
      <c r="AD280" s="0" t="inlineStr">
        <is>
          <t>간석동</t>
        </is>
      </c>
      <c r="AG280" s="0" t="inlineStr">
        <is>
          <t>인천시 남동구 용천로 200</t>
        </is>
      </c>
      <c r="AH280" s="0" t="n">
        <v>0</v>
      </c>
      <c r="AI280" s="0" t="n">
        <v>192</v>
      </c>
      <c r="AJ280" s="0" t="n">
        <v>33</v>
      </c>
      <c r="AK280" s="0" t="n">
        <v>240</v>
      </c>
      <c r="AL280" s="0" t="n">
        <v>1.11</v>
      </c>
    </row>
    <row r="281">
      <c r="A281" s="0" t="inlineStr">
        <is>
          <t>[간석동]</t>
        </is>
      </c>
      <c r="B281" s="0" t="n">
        <v>2561</v>
      </c>
      <c r="C281" s="0" t="n">
        <v>4</v>
      </c>
      <c r="D281" s="0" t="inlineStr">
        <is>
          <t>신한</t>
        </is>
      </c>
      <c r="E281" s="0" t="inlineStr">
        <is>
          <t>1990.04.</t>
        </is>
      </c>
      <c r="F281" s="0" t="n">
        <v>216</v>
      </c>
      <c r="G281" s="0" t="n">
        <v>22.16</v>
      </c>
      <c r="H281" s="0" t="n">
        <v>73.27</v>
      </c>
      <c r="I281" s="0" t="n">
        <v>17.88</v>
      </c>
      <c r="J281" s="0" t="n">
        <v>59.14</v>
      </c>
      <c r="K281" s="0" t="n">
        <v>48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73A</t>
        </is>
      </c>
      <c r="X281" s="0" t="n">
        <v>6</v>
      </c>
      <c r="Y281" s="0" t="n">
        <v>6</v>
      </c>
      <c r="Z281" s="0" t="inlineStr">
        <is>
          <t>https://new.land.naver.com/complexes/2561?tab=detail&amp;rf=Y</t>
        </is>
      </c>
      <c r="AA281" s="0" t="inlineStr">
        <is>
          <t>인천시 남동구 간석동 32-5</t>
        </is>
      </c>
      <c r="AB281" s="0" t="inlineStr">
        <is>
          <t>인천시</t>
        </is>
      </c>
      <c r="AC281" s="0" t="inlineStr">
        <is>
          <t>남동구</t>
        </is>
      </c>
      <c r="AD281" s="0" t="inlineStr">
        <is>
          <t>간석동</t>
        </is>
      </c>
      <c r="AG281" s="0" t="inlineStr">
        <is>
          <t>인천시 남동구 용천로 200</t>
        </is>
      </c>
      <c r="AH281" s="0" t="n">
        <v>0</v>
      </c>
      <c r="AI281" s="0" t="n">
        <v>192</v>
      </c>
      <c r="AJ281" s="0" t="n">
        <v>33</v>
      </c>
      <c r="AK281" s="0" t="n">
        <v>240</v>
      </c>
      <c r="AL281" s="0" t="n">
        <v>1.11</v>
      </c>
    </row>
    <row r="282">
      <c r="A282" s="0" t="inlineStr">
        <is>
          <t>[간석동]</t>
        </is>
      </c>
      <c r="B282" s="0" t="n">
        <v>2561</v>
      </c>
      <c r="C282" s="0" t="n">
        <v>5</v>
      </c>
      <c r="D282" s="0" t="inlineStr">
        <is>
          <t>신한</t>
        </is>
      </c>
      <c r="E282" s="0" t="inlineStr">
        <is>
          <t>1990.04.</t>
        </is>
      </c>
      <c r="F282" s="0" t="n">
        <v>216</v>
      </c>
      <c r="G282" s="0" t="n">
        <v>22.46</v>
      </c>
      <c r="H282" s="0" t="n">
        <v>74.26000000000001</v>
      </c>
      <c r="I282" s="0" t="n">
        <v>18.1</v>
      </c>
      <c r="J282" s="0" t="n">
        <v>59.85</v>
      </c>
      <c r="K282" s="0" t="n">
        <v>60</v>
      </c>
      <c r="T282" s="0" t="n">
        <v>3</v>
      </c>
      <c r="U282" s="0" t="n">
        <v>1</v>
      </c>
      <c r="V282" s="0" t="inlineStr">
        <is>
          <t>계단식</t>
        </is>
      </c>
      <c r="W282" s="0" t="inlineStr">
        <is>
          <t>74B</t>
        </is>
      </c>
      <c r="X282" s="0" t="n">
        <v>6</v>
      </c>
      <c r="Y282" s="0" t="n">
        <v>6</v>
      </c>
      <c r="Z282" s="0" t="inlineStr">
        <is>
          <t>https://new.land.naver.com/complexes/2561?tab=detail&amp;rf=Y</t>
        </is>
      </c>
      <c r="AA282" s="0" t="inlineStr">
        <is>
          <t>인천시 남동구 간석동 32-5</t>
        </is>
      </c>
      <c r="AB282" s="0" t="inlineStr">
        <is>
          <t>인천시</t>
        </is>
      </c>
      <c r="AC282" s="0" t="inlineStr">
        <is>
          <t>남동구</t>
        </is>
      </c>
      <c r="AD282" s="0" t="inlineStr">
        <is>
          <t>간석동</t>
        </is>
      </c>
      <c r="AG282" s="0" t="inlineStr">
        <is>
          <t>인천시 남동구 용천로 200</t>
        </is>
      </c>
      <c r="AH282" s="0" t="n">
        <v>0</v>
      </c>
      <c r="AI282" s="0" t="n">
        <v>192</v>
      </c>
      <c r="AJ282" s="0" t="n">
        <v>33</v>
      </c>
      <c r="AK282" s="0" t="n">
        <v>240</v>
      </c>
      <c r="AL282" s="0" t="n">
        <v>1.11</v>
      </c>
    </row>
    <row r="283">
      <c r="A283" s="0" t="inlineStr">
        <is>
          <t>[간석동]</t>
        </is>
      </c>
      <c r="B283" s="0" t="n">
        <v>2561</v>
      </c>
      <c r="C283" s="0" t="n">
        <v>6</v>
      </c>
      <c r="D283" s="0" t="inlineStr">
        <is>
          <t>신한</t>
        </is>
      </c>
      <c r="E283" s="0" t="inlineStr">
        <is>
          <t>1990.04.</t>
        </is>
      </c>
      <c r="F283" s="0" t="n">
        <v>216</v>
      </c>
      <c r="G283" s="0" t="n">
        <v>25.71</v>
      </c>
      <c r="H283" s="0" t="n">
        <v>85.02</v>
      </c>
      <c r="I283" s="0" t="n">
        <v>21.01</v>
      </c>
      <c r="J283" s="0" t="n">
        <v>69.45999999999999</v>
      </c>
      <c r="K283" s="0" t="n">
        <v>30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6</v>
      </c>
      <c r="Y283" s="0" t="n">
        <v>6</v>
      </c>
      <c r="Z283" s="0" t="inlineStr">
        <is>
          <t>https://new.land.naver.com/complexes/2561?tab=detail&amp;rf=Y</t>
        </is>
      </c>
      <c r="AA283" s="0" t="inlineStr">
        <is>
          <t>인천시 남동구 간석동 32-5</t>
        </is>
      </c>
      <c r="AB283" s="0" t="inlineStr">
        <is>
          <t>인천시</t>
        </is>
      </c>
      <c r="AC283" s="0" t="inlineStr">
        <is>
          <t>남동구</t>
        </is>
      </c>
      <c r="AD283" s="0" t="inlineStr">
        <is>
          <t>간석동</t>
        </is>
      </c>
      <c r="AG283" s="0" t="inlineStr">
        <is>
          <t>인천시 남동구 용천로 200</t>
        </is>
      </c>
      <c r="AH283" s="0" t="n">
        <v>0</v>
      </c>
      <c r="AI283" s="0" t="n">
        <v>192</v>
      </c>
      <c r="AJ283" s="0" t="n">
        <v>33</v>
      </c>
      <c r="AK283" s="0" t="n">
        <v>240</v>
      </c>
      <c r="AL283" s="0" t="n">
        <v>1.11</v>
      </c>
    </row>
    <row r="284">
      <c r="A284" s="0" t="inlineStr">
        <is>
          <t>[간석동]</t>
        </is>
      </c>
      <c r="B284" s="0" t="n">
        <v>102354</v>
      </c>
      <c r="C284" s="0" t="n">
        <v>1</v>
      </c>
      <c r="D284" s="0" t="inlineStr">
        <is>
          <t>정도타워빌</t>
        </is>
      </c>
      <c r="E284" s="0" t="inlineStr">
        <is>
          <t>2003.10.</t>
        </is>
      </c>
      <c r="F284" s="0" t="n">
        <v>8</v>
      </c>
      <c r="G284" s="0" t="n">
        <v>24.31</v>
      </c>
      <c r="H284" s="0" t="n">
        <v>80.38</v>
      </c>
      <c r="I284" s="0" t="n">
        <v>21.59</v>
      </c>
      <c r="J284" s="0" t="n">
        <v>71.40000000000001</v>
      </c>
      <c r="K284" s="0" t="n">
        <v>8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80</v>
      </c>
      <c r="X284" s="0" t="n">
        <v>7</v>
      </c>
      <c r="Y284" s="0" t="n">
        <v>7</v>
      </c>
      <c r="Z284" s="0" t="inlineStr">
        <is>
          <t>https://new.land.naver.com/complexes/102354?tab=detail&amp;rf=Y</t>
        </is>
      </c>
      <c r="AA284" s="0" t="inlineStr">
        <is>
          <t>인천시 남동구 간석동 138-10</t>
        </is>
      </c>
      <c r="AB284" s="0" t="inlineStr">
        <is>
          <t>인천시</t>
        </is>
      </c>
      <c r="AC284" s="0" t="inlineStr">
        <is>
          <t>남동구</t>
        </is>
      </c>
      <c r="AD284" s="0" t="inlineStr">
        <is>
          <t>간석동</t>
        </is>
      </c>
      <c r="AG284" s="0" t="inlineStr">
        <is>
          <t>인천시 남동구 석산로 201</t>
        </is>
      </c>
      <c r="AH284" s="0" t="n">
        <v>0</v>
      </c>
      <c r="AI284" s="0" t="n">
        <v>241</v>
      </c>
      <c r="AJ284" s="0" t="n">
        <v>39</v>
      </c>
      <c r="AK284" s="0" t="n">
        <v>11</v>
      </c>
      <c r="AL284" s="0" t="n">
        <v>1.38</v>
      </c>
    </row>
    <row r="285">
      <c r="A285" s="0" t="inlineStr">
        <is>
          <t>[간석동]</t>
        </is>
      </c>
      <c r="B285" s="0" t="n">
        <v>143160</v>
      </c>
      <c r="C285" s="0" t="n">
        <v>1</v>
      </c>
      <c r="D285" s="0" t="inlineStr">
        <is>
          <t>더포레스트</t>
        </is>
      </c>
      <c r="E285" s="0" t="inlineStr">
        <is>
          <t>2021.07.</t>
        </is>
      </c>
      <c r="F285" s="0" t="n">
        <v>26</v>
      </c>
      <c r="G285" s="0" t="n">
        <v>20.08</v>
      </c>
      <c r="H285" s="0" t="n">
        <v>66.41</v>
      </c>
      <c r="I285" s="0" t="n">
        <v>15.99</v>
      </c>
      <c r="J285" s="0" t="n">
        <v>52.86</v>
      </c>
      <c r="K285" s="0" t="n">
        <v>9</v>
      </c>
      <c r="T285" s="0" t="n">
        <v>3</v>
      </c>
      <c r="U285" s="0" t="n">
        <v>1</v>
      </c>
      <c r="V285" s="0" t="inlineStr">
        <is>
          <t>복합식</t>
        </is>
      </c>
      <c r="W285" s="0" t="n">
        <v>66</v>
      </c>
      <c r="X285" s="0" t="n">
        <v>15</v>
      </c>
      <c r="Y285" s="0" t="n">
        <v>14</v>
      </c>
      <c r="Z285" s="0" t="inlineStr">
        <is>
          <t>https://new.land.naver.com/complexes/143160?tab=detail&amp;rf=Y</t>
        </is>
      </c>
      <c r="AA285" s="0" t="inlineStr">
        <is>
          <t>인천시 남동구 간석동 44-10</t>
        </is>
      </c>
      <c r="AB285" s="0" t="inlineStr">
        <is>
          <t>인천시</t>
        </is>
      </c>
      <c r="AC285" s="0" t="inlineStr">
        <is>
          <t>남동구</t>
        </is>
      </c>
      <c r="AD285" s="0" t="inlineStr">
        <is>
          <t>간석동</t>
        </is>
      </c>
      <c r="AG285" s="0" t="inlineStr">
        <is>
          <t>인천시 남동구 간석로72번길 42</t>
        </is>
      </c>
      <c r="AH285" s="0" t="n">
        <v>0</v>
      </c>
      <c r="AI285" s="0" t="n">
        <v>721</v>
      </c>
      <c r="AJ285" s="0" t="n">
        <v>72</v>
      </c>
      <c r="AK285" s="0" t="n">
        <v>20</v>
      </c>
      <c r="AL285" s="0" t="n">
        <v>0.77</v>
      </c>
    </row>
    <row r="286">
      <c r="A286" s="0" t="inlineStr">
        <is>
          <t>[간석동]</t>
        </is>
      </c>
      <c r="B286" s="0" t="n">
        <v>143160</v>
      </c>
      <c r="C286" s="0" t="n">
        <v>2</v>
      </c>
      <c r="D286" s="0" t="inlineStr">
        <is>
          <t>더포레스트</t>
        </is>
      </c>
      <c r="E286" s="0" t="inlineStr">
        <is>
          <t>2021.07.</t>
        </is>
      </c>
      <c r="F286" s="0" t="n">
        <v>26</v>
      </c>
      <c r="G286" s="0" t="n">
        <v>22.16</v>
      </c>
      <c r="H286" s="0" t="n">
        <v>73.28</v>
      </c>
      <c r="I286" s="0" t="n">
        <v>17.7</v>
      </c>
      <c r="J286" s="0" t="n">
        <v>58.52</v>
      </c>
      <c r="K286" s="0" t="n">
        <v>8</v>
      </c>
      <c r="T286" s="0" t="n">
        <v>3</v>
      </c>
      <c r="U286" s="0" t="n">
        <v>1</v>
      </c>
      <c r="V286" s="0" t="inlineStr">
        <is>
          <t>복합식</t>
        </is>
      </c>
      <c r="W286" s="0" t="n">
        <v>73</v>
      </c>
      <c r="X286" s="0" t="n">
        <v>15</v>
      </c>
      <c r="Y286" s="0" t="n">
        <v>14</v>
      </c>
      <c r="Z286" s="0" t="inlineStr">
        <is>
          <t>https://new.land.naver.com/complexes/143160?tab=detail&amp;rf=Y</t>
        </is>
      </c>
      <c r="AA286" s="0" t="inlineStr">
        <is>
          <t>인천시 남동구 간석동 44-10</t>
        </is>
      </c>
      <c r="AB286" s="0" t="inlineStr">
        <is>
          <t>인천시</t>
        </is>
      </c>
      <c r="AC286" s="0" t="inlineStr">
        <is>
          <t>남동구</t>
        </is>
      </c>
      <c r="AD286" s="0" t="inlineStr">
        <is>
          <t>간석동</t>
        </is>
      </c>
      <c r="AG286" s="0" t="inlineStr">
        <is>
          <t>인천시 남동구 간석로72번길 42</t>
        </is>
      </c>
      <c r="AH286" s="0" t="n">
        <v>0</v>
      </c>
      <c r="AI286" s="0" t="n">
        <v>721</v>
      </c>
      <c r="AJ286" s="0" t="n">
        <v>72</v>
      </c>
      <c r="AK286" s="0" t="n">
        <v>20</v>
      </c>
      <c r="AL286" s="0" t="n">
        <v>0.77</v>
      </c>
    </row>
    <row r="287">
      <c r="A287" s="0" t="inlineStr">
        <is>
          <t>[간석동]</t>
        </is>
      </c>
      <c r="B287" s="0" t="n">
        <v>143160</v>
      </c>
      <c r="C287" s="0" t="n">
        <v>3</v>
      </c>
      <c r="D287" s="0" t="inlineStr">
        <is>
          <t>더포레스트</t>
        </is>
      </c>
      <c r="E287" s="0" t="inlineStr">
        <is>
          <t>2021.07.</t>
        </is>
      </c>
      <c r="F287" s="0" t="n">
        <v>26</v>
      </c>
      <c r="G287" s="0" t="n">
        <v>22.93</v>
      </c>
      <c r="H287" s="0" t="n">
        <v>75.81</v>
      </c>
      <c r="I287" s="0" t="n">
        <v>18.12</v>
      </c>
      <c r="J287" s="0" t="n">
        <v>59.93</v>
      </c>
      <c r="K287" s="0" t="n">
        <v>1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75A</t>
        </is>
      </c>
      <c r="X287" s="0" t="n">
        <v>15</v>
      </c>
      <c r="Y287" s="0" t="n">
        <v>14</v>
      </c>
      <c r="Z287" s="0" t="inlineStr">
        <is>
          <t>https://new.land.naver.com/complexes/143160?tab=detail&amp;rf=Y</t>
        </is>
      </c>
      <c r="AA287" s="0" t="inlineStr">
        <is>
          <t>인천시 남동구 간석동 44-10</t>
        </is>
      </c>
      <c r="AB287" s="0" t="inlineStr">
        <is>
          <t>인천시</t>
        </is>
      </c>
      <c r="AC287" s="0" t="inlineStr">
        <is>
          <t>남동구</t>
        </is>
      </c>
      <c r="AD287" s="0" t="inlineStr">
        <is>
          <t>간석동</t>
        </is>
      </c>
      <c r="AG287" s="0" t="inlineStr">
        <is>
          <t>인천시 남동구 간석로72번길 42</t>
        </is>
      </c>
      <c r="AH287" s="0" t="n">
        <v>0</v>
      </c>
      <c r="AI287" s="0" t="n">
        <v>721</v>
      </c>
      <c r="AJ287" s="0" t="n">
        <v>72</v>
      </c>
      <c r="AK287" s="0" t="n">
        <v>20</v>
      </c>
      <c r="AL287" s="0" t="n">
        <v>0.77</v>
      </c>
    </row>
    <row r="288">
      <c r="A288" s="0" t="inlineStr">
        <is>
          <t>[간석동]</t>
        </is>
      </c>
      <c r="B288" s="0" t="n">
        <v>143160</v>
      </c>
      <c r="C288" s="0" t="n">
        <v>4</v>
      </c>
      <c r="D288" s="0" t="inlineStr">
        <is>
          <t>더포레스트</t>
        </is>
      </c>
      <c r="E288" s="0" t="inlineStr">
        <is>
          <t>2021.07.</t>
        </is>
      </c>
      <c r="F288" s="0" t="n">
        <v>26</v>
      </c>
      <c r="G288" s="0" t="n">
        <v>23.05</v>
      </c>
      <c r="H288" s="0" t="n">
        <v>76.23</v>
      </c>
      <c r="I288" s="0" t="n">
        <v>18.14</v>
      </c>
      <c r="J288" s="0" t="n">
        <v>59.99</v>
      </c>
      <c r="K288" s="0" t="n">
        <v>8</v>
      </c>
      <c r="T288" s="0" t="n">
        <v>3</v>
      </c>
      <c r="U288" s="0" t="n">
        <v>1</v>
      </c>
      <c r="V288" s="0" t="inlineStr">
        <is>
          <t>계단식</t>
        </is>
      </c>
      <c r="W288" s="0" t="inlineStr">
        <is>
          <t>76B</t>
        </is>
      </c>
      <c r="X288" s="0" t="n">
        <v>15</v>
      </c>
      <c r="Y288" s="0" t="n">
        <v>14</v>
      </c>
      <c r="Z288" s="0" t="inlineStr">
        <is>
          <t>https://new.land.naver.com/complexes/143160?tab=detail&amp;rf=Y</t>
        </is>
      </c>
      <c r="AA288" s="0" t="inlineStr">
        <is>
          <t>인천시 남동구 간석동 44-10</t>
        </is>
      </c>
      <c r="AB288" s="0" t="inlineStr">
        <is>
          <t>인천시</t>
        </is>
      </c>
      <c r="AC288" s="0" t="inlineStr">
        <is>
          <t>남동구</t>
        </is>
      </c>
      <c r="AD288" s="0" t="inlineStr">
        <is>
          <t>간석동</t>
        </is>
      </c>
      <c r="AG288" s="0" t="inlineStr">
        <is>
          <t>인천시 남동구 간석로72번길 42</t>
        </is>
      </c>
      <c r="AH288" s="0" t="n">
        <v>0</v>
      </c>
      <c r="AI288" s="0" t="n">
        <v>721</v>
      </c>
      <c r="AJ288" s="0" t="n">
        <v>72</v>
      </c>
      <c r="AK288" s="0" t="n">
        <v>20</v>
      </c>
      <c r="AL288" s="0" t="n">
        <v>0.77</v>
      </c>
    </row>
    <row r="289">
      <c r="A289" s="0" t="inlineStr">
        <is>
          <t>[간석동]</t>
        </is>
      </c>
      <c r="B289" s="0" t="n">
        <v>117670</v>
      </c>
      <c r="C289" s="0" t="n">
        <v>1</v>
      </c>
      <c r="D289" s="0" t="inlineStr">
        <is>
          <t>아띠프랑스(도시형)</t>
        </is>
      </c>
      <c r="E289" s="0" t="inlineStr">
        <is>
          <t>2016.12.</t>
        </is>
      </c>
      <c r="F289" s="0" t="n">
        <v>8</v>
      </c>
      <c r="G289" s="0" t="n">
        <v>17.4</v>
      </c>
      <c r="H289" s="0" t="n">
        <v>57.55</v>
      </c>
      <c r="I289" s="0" t="n">
        <v>14.34</v>
      </c>
      <c r="J289" s="0" t="n">
        <v>47.41</v>
      </c>
      <c r="K289" s="0" t="n">
        <v>2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57</v>
      </c>
      <c r="X289" s="0" t="n">
        <v>13</v>
      </c>
      <c r="Y289" s="0" t="n">
        <v>13</v>
      </c>
      <c r="Z289" s="0" t="inlineStr">
        <is>
          <t>https://new.land.naver.com/complexes/117670?tab=detail&amp;rf=Y</t>
        </is>
      </c>
      <c r="AA289" s="0" t="inlineStr">
        <is>
          <t>인천시 남동구 간석동 113-4</t>
        </is>
      </c>
      <c r="AB289" s="0" t="inlineStr">
        <is>
          <t>인천시</t>
        </is>
      </c>
      <c r="AC289" s="0" t="inlineStr">
        <is>
          <t>남동구</t>
        </is>
      </c>
      <c r="AD289" s="0" t="inlineStr">
        <is>
          <t>간석동</t>
        </is>
      </c>
      <c r="AG289" s="0" t="inlineStr">
        <is>
          <t>인천시 남동구 경인로644번길 40</t>
        </is>
      </c>
      <c r="AH289" s="0" t="n">
        <v>0</v>
      </c>
      <c r="AI289" s="0" t="n">
        <v>935</v>
      </c>
      <c r="AJ289" s="0" t="n">
        <v>79</v>
      </c>
      <c r="AK289" s="0" t="n">
        <v>5</v>
      </c>
      <c r="AL289" s="0" t="n">
        <v>0.62</v>
      </c>
    </row>
    <row r="290">
      <c r="A290" s="0" t="inlineStr">
        <is>
          <t>[간석동]</t>
        </is>
      </c>
      <c r="B290" s="0" t="n">
        <v>117670</v>
      </c>
      <c r="C290" s="0" t="n">
        <v>2</v>
      </c>
      <c r="D290" s="0" t="inlineStr">
        <is>
          <t>아띠프랑스(도시형)</t>
        </is>
      </c>
      <c r="E290" s="0" t="inlineStr">
        <is>
          <t>2016.12.</t>
        </is>
      </c>
      <c r="F290" s="0" t="n">
        <v>8</v>
      </c>
      <c r="G290" s="0" t="n">
        <v>17.59</v>
      </c>
      <c r="H290" s="0" t="n">
        <v>58.16</v>
      </c>
      <c r="I290" s="0" t="n">
        <v>14.52</v>
      </c>
      <c r="J290" s="0" t="n">
        <v>48.03</v>
      </c>
      <c r="K290" s="0" t="n">
        <v>2</v>
      </c>
      <c r="T290" s="0" t="n">
        <v>2</v>
      </c>
      <c r="U290" s="0" t="n">
        <v>1</v>
      </c>
      <c r="V290" s="0" t="inlineStr">
        <is>
          <t>계단식</t>
        </is>
      </c>
      <c r="W290" s="0" t="inlineStr">
        <is>
          <t>58A</t>
        </is>
      </c>
      <c r="X290" s="0" t="n">
        <v>13</v>
      </c>
      <c r="Y290" s="0" t="n">
        <v>13</v>
      </c>
      <c r="Z290" s="0" t="inlineStr">
        <is>
          <t>https://new.land.naver.com/complexes/117670?tab=detail&amp;rf=Y</t>
        </is>
      </c>
      <c r="AA290" s="0" t="inlineStr">
        <is>
          <t>인천시 남동구 간석동 113-4</t>
        </is>
      </c>
      <c r="AB290" s="0" t="inlineStr">
        <is>
          <t>인천시</t>
        </is>
      </c>
      <c r="AC290" s="0" t="inlineStr">
        <is>
          <t>남동구</t>
        </is>
      </c>
      <c r="AD290" s="0" t="inlineStr">
        <is>
          <t>간석동</t>
        </is>
      </c>
      <c r="AG290" s="0" t="inlineStr">
        <is>
          <t>인천시 남동구 경인로644번길 40</t>
        </is>
      </c>
      <c r="AH290" s="0" t="n">
        <v>0</v>
      </c>
      <c r="AI290" s="0" t="n">
        <v>935</v>
      </c>
      <c r="AJ290" s="0" t="n">
        <v>79</v>
      </c>
      <c r="AK290" s="0" t="n">
        <v>5</v>
      </c>
      <c r="AL290" s="0" t="n">
        <v>0.62</v>
      </c>
    </row>
    <row r="291">
      <c r="A291" s="0" t="inlineStr">
        <is>
          <t>[간석동]</t>
        </is>
      </c>
      <c r="B291" s="0" t="n">
        <v>117670</v>
      </c>
      <c r="C291" s="0" t="n">
        <v>3</v>
      </c>
      <c r="D291" s="0" t="inlineStr">
        <is>
          <t>아띠프랑스(도시형)</t>
        </is>
      </c>
      <c r="E291" s="0" t="inlineStr">
        <is>
          <t>2016.12.</t>
        </is>
      </c>
      <c r="F291" s="0" t="n">
        <v>8</v>
      </c>
      <c r="G291" s="0" t="n">
        <v>17.74</v>
      </c>
      <c r="H291" s="0" t="n">
        <v>58.65</v>
      </c>
      <c r="I291" s="0" t="n">
        <v>14.67</v>
      </c>
      <c r="J291" s="0" t="n">
        <v>48.52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inlineStr">
        <is>
          <t>58B</t>
        </is>
      </c>
      <c r="X291" s="0" t="n">
        <v>13</v>
      </c>
      <c r="Y291" s="0" t="n">
        <v>13</v>
      </c>
      <c r="Z291" s="0" t="inlineStr">
        <is>
          <t>https://new.land.naver.com/complexes/117670?tab=detail&amp;rf=Y</t>
        </is>
      </c>
      <c r="AA291" s="0" t="inlineStr">
        <is>
          <t>인천시 남동구 간석동 113-4</t>
        </is>
      </c>
      <c r="AB291" s="0" t="inlineStr">
        <is>
          <t>인천시</t>
        </is>
      </c>
      <c r="AC291" s="0" t="inlineStr">
        <is>
          <t>남동구</t>
        </is>
      </c>
      <c r="AD291" s="0" t="inlineStr">
        <is>
          <t>간석동</t>
        </is>
      </c>
      <c r="AG291" s="0" t="inlineStr">
        <is>
          <t>인천시 남동구 경인로644번길 40</t>
        </is>
      </c>
      <c r="AH291" s="0" t="n">
        <v>0</v>
      </c>
      <c r="AI291" s="0" t="n">
        <v>935</v>
      </c>
      <c r="AJ291" s="0" t="n">
        <v>79</v>
      </c>
      <c r="AK291" s="0" t="n">
        <v>5</v>
      </c>
      <c r="AL291" s="0" t="n">
        <v>0.62</v>
      </c>
    </row>
    <row r="292">
      <c r="A292" s="0" t="inlineStr">
        <is>
          <t>[간석동]</t>
        </is>
      </c>
      <c r="B292" s="0" t="n">
        <v>117670</v>
      </c>
      <c r="C292" s="0" t="n">
        <v>4</v>
      </c>
      <c r="D292" s="0" t="inlineStr">
        <is>
          <t>아띠프랑스(도시형)</t>
        </is>
      </c>
      <c r="E292" s="0" t="inlineStr">
        <is>
          <t>2016.12.</t>
        </is>
      </c>
      <c r="F292" s="0" t="n">
        <v>8</v>
      </c>
      <c r="G292" s="0" t="n">
        <v>17.74</v>
      </c>
      <c r="H292" s="0" t="n">
        <v>58.65</v>
      </c>
      <c r="I292" s="0" t="n">
        <v>14.67</v>
      </c>
      <c r="J292" s="0" t="n">
        <v>48.52</v>
      </c>
      <c r="K292" s="0" t="n">
        <v>1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58C</t>
        </is>
      </c>
      <c r="X292" s="0" t="n">
        <v>13</v>
      </c>
      <c r="Y292" s="0" t="n">
        <v>13</v>
      </c>
      <c r="Z292" s="0" t="inlineStr">
        <is>
          <t>https://new.land.naver.com/complexes/117670?tab=detail&amp;rf=Y</t>
        </is>
      </c>
      <c r="AA292" s="0" t="inlineStr">
        <is>
          <t>인천시 남동구 간석동 113-4</t>
        </is>
      </c>
      <c r="AB292" s="0" t="inlineStr">
        <is>
          <t>인천시</t>
        </is>
      </c>
      <c r="AC292" s="0" t="inlineStr">
        <is>
          <t>남동구</t>
        </is>
      </c>
      <c r="AD292" s="0" t="inlineStr">
        <is>
          <t>간석동</t>
        </is>
      </c>
      <c r="AG292" s="0" t="inlineStr">
        <is>
          <t>인천시 남동구 경인로644번길 40</t>
        </is>
      </c>
      <c r="AH292" s="0" t="n">
        <v>0</v>
      </c>
      <c r="AI292" s="0" t="n">
        <v>935</v>
      </c>
      <c r="AJ292" s="0" t="n">
        <v>79</v>
      </c>
      <c r="AK292" s="0" t="n">
        <v>5</v>
      </c>
      <c r="AL292" s="0" t="n">
        <v>0.62</v>
      </c>
    </row>
    <row r="293">
      <c r="A293" s="0" t="inlineStr">
        <is>
          <t>[간석동]</t>
        </is>
      </c>
      <c r="B293" s="0" t="n">
        <v>117670</v>
      </c>
      <c r="C293" s="0" t="n">
        <v>5</v>
      </c>
      <c r="D293" s="0" t="inlineStr">
        <is>
          <t>아띠프랑스(도시형)</t>
        </is>
      </c>
      <c r="E293" s="0" t="inlineStr">
        <is>
          <t>2016.12.</t>
        </is>
      </c>
      <c r="F293" s="0" t="n">
        <v>8</v>
      </c>
      <c r="G293" s="0" t="n">
        <v>18.03</v>
      </c>
      <c r="H293" s="0" t="n">
        <v>59.63</v>
      </c>
      <c r="I293" s="0" t="n">
        <v>14.9</v>
      </c>
      <c r="J293" s="0" t="n">
        <v>49.27</v>
      </c>
      <c r="K293" s="0" t="n">
        <v>2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59D</t>
        </is>
      </c>
      <c r="X293" s="0" t="n">
        <v>13</v>
      </c>
      <c r="Y293" s="0" t="n">
        <v>13</v>
      </c>
      <c r="Z293" s="0" t="inlineStr">
        <is>
          <t>https://new.land.naver.com/complexes/117670?tab=detail&amp;rf=Y</t>
        </is>
      </c>
      <c r="AA293" s="0" t="inlineStr">
        <is>
          <t>인천시 남동구 간석동 113-4</t>
        </is>
      </c>
      <c r="AB293" s="0" t="inlineStr">
        <is>
          <t>인천시</t>
        </is>
      </c>
      <c r="AC293" s="0" t="inlineStr">
        <is>
          <t>남동구</t>
        </is>
      </c>
      <c r="AD293" s="0" t="inlineStr">
        <is>
          <t>간석동</t>
        </is>
      </c>
      <c r="AG293" s="0" t="inlineStr">
        <is>
          <t>인천시 남동구 경인로644번길 40</t>
        </is>
      </c>
      <c r="AH293" s="0" t="n">
        <v>0</v>
      </c>
      <c r="AI293" s="0" t="n">
        <v>935</v>
      </c>
      <c r="AJ293" s="0" t="n">
        <v>79</v>
      </c>
      <c r="AK293" s="0" t="n">
        <v>5</v>
      </c>
      <c r="AL293" s="0" t="n">
        <v>0.62</v>
      </c>
    </row>
    <row r="294">
      <c r="A294" s="0" t="inlineStr">
        <is>
          <t>[간석동]</t>
        </is>
      </c>
      <c r="B294" s="0" t="n">
        <v>22834</v>
      </c>
      <c r="C294" s="0" t="n">
        <v>1</v>
      </c>
      <c r="D294" s="0" t="inlineStr">
        <is>
          <t>유영(129-7)</t>
        </is>
      </c>
      <c r="E294" s="0" t="inlineStr">
        <is>
          <t>2005.06.</t>
        </is>
      </c>
      <c r="F294" s="0" t="n">
        <v>49</v>
      </c>
      <c r="G294" s="0" t="n">
        <v>25.04</v>
      </c>
      <c r="H294" s="0" t="n">
        <v>82.78</v>
      </c>
      <c r="I294" s="0" t="n">
        <v>19.42</v>
      </c>
      <c r="J294" s="0" t="n">
        <v>64.23</v>
      </c>
      <c r="K294" s="0" t="n">
        <v>23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82A</t>
        </is>
      </c>
      <c r="X294" s="0" t="n">
        <v>13</v>
      </c>
      <c r="Y294" s="0" t="n">
        <v>7</v>
      </c>
      <c r="Z294" s="0" t="inlineStr">
        <is>
          <t>https://new.land.naver.com/complexes/22834?tab=detail&amp;rf=Y</t>
        </is>
      </c>
      <c r="AA294" s="0" t="inlineStr">
        <is>
          <t>인천시 남동구 간석동 129-7</t>
        </is>
      </c>
      <c r="AB294" s="0" t="inlineStr">
        <is>
          <t>인천시</t>
        </is>
      </c>
      <c r="AC294" s="0" t="inlineStr">
        <is>
          <t>남동구</t>
        </is>
      </c>
      <c r="AD294" s="0" t="inlineStr">
        <is>
          <t>간석동</t>
        </is>
      </c>
      <c r="AG294" s="0" t="inlineStr">
        <is>
          <t>인천시 남동구 남동대로916번길 76</t>
        </is>
      </c>
      <c r="AH294" s="0" t="n">
        <v>0</v>
      </c>
      <c r="AI294" s="0" t="n">
        <v>232</v>
      </c>
      <c r="AJ294" s="0" t="n">
        <v>27</v>
      </c>
      <c r="AK294" s="0" t="n">
        <v>49</v>
      </c>
      <c r="AL294" s="0" t="n">
        <v>1</v>
      </c>
    </row>
    <row r="295">
      <c r="A295" s="0" t="inlineStr">
        <is>
          <t>[간석동]</t>
        </is>
      </c>
      <c r="B295" s="0" t="n">
        <v>22834</v>
      </c>
      <c r="C295" s="0" t="n">
        <v>2</v>
      </c>
      <c r="D295" s="0" t="inlineStr">
        <is>
          <t>유영(129-7)</t>
        </is>
      </c>
      <c r="E295" s="0" t="inlineStr">
        <is>
          <t>2005.06.</t>
        </is>
      </c>
      <c r="F295" s="0" t="n">
        <v>49</v>
      </c>
      <c r="G295" s="0" t="n">
        <v>25.04</v>
      </c>
      <c r="H295" s="0" t="n">
        <v>82.78</v>
      </c>
      <c r="I295" s="0" t="n">
        <v>19.42</v>
      </c>
      <c r="J295" s="0" t="n">
        <v>64.23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82B</t>
        </is>
      </c>
      <c r="X295" s="0" t="n">
        <v>13</v>
      </c>
      <c r="Y295" s="0" t="n">
        <v>7</v>
      </c>
      <c r="Z295" s="0" t="inlineStr">
        <is>
          <t>https://new.land.naver.com/complexes/22834?tab=detail&amp;rf=Y</t>
        </is>
      </c>
      <c r="AA295" s="0" t="inlineStr">
        <is>
          <t>인천시 남동구 간석동 129-7</t>
        </is>
      </c>
      <c r="AB295" s="0" t="inlineStr">
        <is>
          <t>인천시</t>
        </is>
      </c>
      <c r="AC295" s="0" t="inlineStr">
        <is>
          <t>남동구</t>
        </is>
      </c>
      <c r="AD295" s="0" t="inlineStr">
        <is>
          <t>간석동</t>
        </is>
      </c>
      <c r="AG295" s="0" t="inlineStr">
        <is>
          <t>인천시 남동구 남동대로916번길 76</t>
        </is>
      </c>
      <c r="AH295" s="0" t="n">
        <v>0</v>
      </c>
      <c r="AI295" s="0" t="n">
        <v>232</v>
      </c>
      <c r="AJ295" s="0" t="n">
        <v>27</v>
      </c>
      <c r="AK295" s="0" t="n">
        <v>49</v>
      </c>
      <c r="AL295" s="0" t="n">
        <v>1</v>
      </c>
    </row>
    <row r="296">
      <c r="A296" s="0" t="inlineStr">
        <is>
          <t>[간석동]</t>
        </is>
      </c>
      <c r="B296" s="0" t="n">
        <v>22834</v>
      </c>
      <c r="C296" s="0" t="n">
        <v>3</v>
      </c>
      <c r="D296" s="0" t="inlineStr">
        <is>
          <t>유영(129-7)</t>
        </is>
      </c>
      <c r="E296" s="0" t="inlineStr">
        <is>
          <t>2005.06.</t>
        </is>
      </c>
      <c r="F296" s="0" t="n">
        <v>49</v>
      </c>
      <c r="G296" s="0" t="n">
        <v>29.89</v>
      </c>
      <c r="H296" s="0" t="n">
        <v>98.81999999999999</v>
      </c>
      <c r="I296" s="0" t="n">
        <v>23.16</v>
      </c>
      <c r="J296" s="0" t="n">
        <v>76.59</v>
      </c>
      <c r="K296" s="0" t="n">
        <v>16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98</v>
      </c>
      <c r="X296" s="0" t="n">
        <v>13</v>
      </c>
      <c r="Y296" s="0" t="n">
        <v>7</v>
      </c>
      <c r="Z296" s="0" t="inlineStr">
        <is>
          <t>https://new.land.naver.com/complexes/22834?tab=detail&amp;rf=Y</t>
        </is>
      </c>
      <c r="AA296" s="0" t="inlineStr">
        <is>
          <t>인천시 남동구 간석동 129-7</t>
        </is>
      </c>
      <c r="AB296" s="0" t="inlineStr">
        <is>
          <t>인천시</t>
        </is>
      </c>
      <c r="AC296" s="0" t="inlineStr">
        <is>
          <t>남동구</t>
        </is>
      </c>
      <c r="AD296" s="0" t="inlineStr">
        <is>
          <t>간석동</t>
        </is>
      </c>
      <c r="AG296" s="0" t="inlineStr">
        <is>
          <t>인천시 남동구 남동대로916번길 76</t>
        </is>
      </c>
      <c r="AH296" s="0" t="n">
        <v>0</v>
      </c>
      <c r="AI296" s="0" t="n">
        <v>232</v>
      </c>
      <c r="AJ296" s="0" t="n">
        <v>27</v>
      </c>
      <c r="AK296" s="0" t="n">
        <v>49</v>
      </c>
      <c r="AL296" s="0" t="n">
        <v>1</v>
      </c>
    </row>
    <row r="297">
      <c r="A297" s="0" t="inlineStr">
        <is>
          <t>[간석동]</t>
        </is>
      </c>
      <c r="B297" s="0" t="n">
        <v>22834</v>
      </c>
      <c r="C297" s="0" t="n">
        <v>4</v>
      </c>
      <c r="D297" s="0" t="inlineStr">
        <is>
          <t>유영(129-7)</t>
        </is>
      </c>
      <c r="E297" s="0" t="inlineStr">
        <is>
          <t>2005.06.</t>
        </is>
      </c>
      <c r="F297" s="0" t="n">
        <v>49</v>
      </c>
      <c r="G297" s="0" t="n">
        <v>32.95</v>
      </c>
      <c r="H297" s="0" t="n">
        <v>108.94</v>
      </c>
      <c r="I297" s="0" t="n">
        <v>25.52</v>
      </c>
      <c r="J297" s="0" t="n">
        <v>84.37</v>
      </c>
      <c r="K297" s="0" t="n">
        <v>9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108</v>
      </c>
      <c r="X297" s="0" t="n">
        <v>13</v>
      </c>
      <c r="Y297" s="0" t="n">
        <v>7</v>
      </c>
      <c r="Z297" s="0" t="inlineStr">
        <is>
          <t>https://new.land.naver.com/complexes/22834?tab=detail&amp;rf=Y</t>
        </is>
      </c>
      <c r="AA297" s="0" t="inlineStr">
        <is>
          <t>인천시 남동구 간석동 129-7</t>
        </is>
      </c>
      <c r="AB297" s="0" t="inlineStr">
        <is>
          <t>인천시</t>
        </is>
      </c>
      <c r="AC297" s="0" t="inlineStr">
        <is>
          <t>남동구</t>
        </is>
      </c>
      <c r="AD297" s="0" t="inlineStr">
        <is>
          <t>간석동</t>
        </is>
      </c>
      <c r="AG297" s="0" t="inlineStr">
        <is>
          <t>인천시 남동구 남동대로916번길 76</t>
        </is>
      </c>
      <c r="AH297" s="0" t="n">
        <v>0</v>
      </c>
      <c r="AI297" s="0" t="n">
        <v>232</v>
      </c>
      <c r="AJ297" s="0" t="n">
        <v>27</v>
      </c>
      <c r="AK297" s="0" t="n">
        <v>49</v>
      </c>
      <c r="AL297" s="0" t="n">
        <v>1</v>
      </c>
    </row>
    <row r="298">
      <c r="A298" s="0" t="inlineStr">
        <is>
          <t>[간석동]</t>
        </is>
      </c>
      <c r="B298" s="0" t="n">
        <v>123472</v>
      </c>
      <c r="C298" s="0" t="n">
        <v>1</v>
      </c>
      <c r="D298" s="0" t="inlineStr">
        <is>
          <t>에이원</t>
        </is>
      </c>
      <c r="E298" s="0" t="inlineStr">
        <is>
          <t>2018.09.</t>
        </is>
      </c>
      <c r="F298" s="0" t="n">
        <v>16</v>
      </c>
      <c r="G298" s="0" t="n">
        <v>17.71</v>
      </c>
      <c r="H298" s="0" t="n">
        <v>58.57</v>
      </c>
      <c r="I298" s="0" t="n">
        <v>14.05</v>
      </c>
      <c r="J298" s="0" t="n">
        <v>46.46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n">
        <v>58</v>
      </c>
      <c r="X298" s="0" t="n">
        <v>13</v>
      </c>
      <c r="Y298" s="0" t="n">
        <v>13</v>
      </c>
      <c r="Z298" s="0" t="inlineStr">
        <is>
          <t>https://new.land.naver.com/complexes/123472?tab=detail&amp;rf=Y</t>
        </is>
      </c>
      <c r="AA298" s="0" t="inlineStr">
        <is>
          <t>인천시 남동구 간석동 114-1</t>
        </is>
      </c>
      <c r="AB298" s="0" t="inlineStr">
        <is>
          <t>인천시</t>
        </is>
      </c>
      <c r="AC298" s="0" t="inlineStr">
        <is>
          <t>남동구</t>
        </is>
      </c>
      <c r="AD298" s="0" t="inlineStr">
        <is>
          <t>간석동</t>
        </is>
      </c>
      <c r="AG298" s="0" t="inlineStr">
        <is>
          <t>인천시 남동구 경인로644번길 62</t>
        </is>
      </c>
      <c r="AH298" s="0" t="n">
        <v>0</v>
      </c>
      <c r="AI298" s="0" t="n">
        <v>781</v>
      </c>
      <c r="AJ298" s="0" t="n">
        <v>71</v>
      </c>
      <c r="AK298" s="0" t="n">
        <v>11</v>
      </c>
      <c r="AL298" s="0" t="n">
        <v>0.6899999999999999</v>
      </c>
    </row>
    <row r="299">
      <c r="A299" s="0" t="inlineStr">
        <is>
          <t>[간석동]</t>
        </is>
      </c>
      <c r="B299" s="0" t="n">
        <v>123472</v>
      </c>
      <c r="C299" s="0" t="n">
        <v>2</v>
      </c>
      <c r="D299" s="0" t="inlineStr">
        <is>
          <t>에이원</t>
        </is>
      </c>
      <c r="E299" s="0" t="inlineStr">
        <is>
          <t>2018.09.</t>
        </is>
      </c>
      <c r="F299" s="0" t="n">
        <v>16</v>
      </c>
      <c r="G299" s="0" t="n">
        <v>19.15</v>
      </c>
      <c r="H299" s="0" t="n">
        <v>63.33</v>
      </c>
      <c r="I299" s="0" t="n">
        <v>15.31</v>
      </c>
      <c r="J299" s="0" t="n">
        <v>50.63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63</v>
      </c>
      <c r="X299" s="0" t="n">
        <v>13</v>
      </c>
      <c r="Y299" s="0" t="n">
        <v>13</v>
      </c>
      <c r="Z299" s="0" t="inlineStr">
        <is>
          <t>https://new.land.naver.com/complexes/123472?tab=detail&amp;rf=Y</t>
        </is>
      </c>
      <c r="AA299" s="0" t="inlineStr">
        <is>
          <t>인천시 남동구 간석동 114-1</t>
        </is>
      </c>
      <c r="AB299" s="0" t="inlineStr">
        <is>
          <t>인천시</t>
        </is>
      </c>
      <c r="AC299" s="0" t="inlineStr">
        <is>
          <t>남동구</t>
        </is>
      </c>
      <c r="AD299" s="0" t="inlineStr">
        <is>
          <t>간석동</t>
        </is>
      </c>
      <c r="AG299" s="0" t="inlineStr">
        <is>
          <t>인천시 남동구 경인로644번길 62</t>
        </is>
      </c>
      <c r="AH299" s="0" t="n">
        <v>0</v>
      </c>
      <c r="AI299" s="0" t="n">
        <v>781</v>
      </c>
      <c r="AJ299" s="0" t="n">
        <v>71</v>
      </c>
      <c r="AK299" s="0" t="n">
        <v>11</v>
      </c>
      <c r="AL299" s="0" t="n">
        <v>0.6899999999999999</v>
      </c>
    </row>
    <row r="300">
      <c r="A300" s="0" t="inlineStr">
        <is>
          <t>[간석동]</t>
        </is>
      </c>
      <c r="B300" s="0" t="n">
        <v>123472</v>
      </c>
      <c r="C300" s="0" t="n">
        <v>3</v>
      </c>
      <c r="D300" s="0" t="inlineStr">
        <is>
          <t>에이원</t>
        </is>
      </c>
      <c r="E300" s="0" t="inlineStr">
        <is>
          <t>2018.09.</t>
        </is>
      </c>
      <c r="F300" s="0" t="n">
        <v>16</v>
      </c>
      <c r="G300" s="0" t="n">
        <v>19.63</v>
      </c>
      <c r="H300" s="0" t="n">
        <v>64.91</v>
      </c>
      <c r="I300" s="0" t="n">
        <v>15.7</v>
      </c>
      <c r="J300" s="0" t="n">
        <v>51.93</v>
      </c>
      <c r="K300" s="0" t="n">
        <v>4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64A</t>
        </is>
      </c>
      <c r="X300" s="0" t="n">
        <v>13</v>
      </c>
      <c r="Y300" s="0" t="n">
        <v>13</v>
      </c>
      <c r="Z300" s="0" t="inlineStr">
        <is>
          <t>https://new.land.naver.com/complexes/123472?tab=detail&amp;rf=Y</t>
        </is>
      </c>
      <c r="AA300" s="0" t="inlineStr">
        <is>
          <t>인천시 남동구 간석동 114-1</t>
        </is>
      </c>
      <c r="AB300" s="0" t="inlineStr">
        <is>
          <t>인천시</t>
        </is>
      </c>
      <c r="AC300" s="0" t="inlineStr">
        <is>
          <t>남동구</t>
        </is>
      </c>
      <c r="AD300" s="0" t="inlineStr">
        <is>
          <t>간석동</t>
        </is>
      </c>
      <c r="AG300" s="0" t="inlineStr">
        <is>
          <t>인천시 남동구 경인로644번길 62</t>
        </is>
      </c>
      <c r="AH300" s="0" t="n">
        <v>0</v>
      </c>
      <c r="AI300" s="0" t="n">
        <v>781</v>
      </c>
      <c r="AJ300" s="0" t="n">
        <v>71</v>
      </c>
      <c r="AK300" s="0" t="n">
        <v>11</v>
      </c>
      <c r="AL300" s="0" t="n">
        <v>0.6899999999999999</v>
      </c>
    </row>
    <row r="301">
      <c r="A301" s="0" t="inlineStr">
        <is>
          <t>[간석동]</t>
        </is>
      </c>
      <c r="B301" s="0" t="n">
        <v>123472</v>
      </c>
      <c r="C301" s="0" t="n">
        <v>4</v>
      </c>
      <c r="D301" s="0" t="inlineStr">
        <is>
          <t>에이원</t>
        </is>
      </c>
      <c r="E301" s="0" t="inlineStr">
        <is>
          <t>2018.09.</t>
        </is>
      </c>
      <c r="F301" s="0" t="n">
        <v>16</v>
      </c>
      <c r="G301" s="0" t="n">
        <v>19.81</v>
      </c>
      <c r="H301" s="0" t="n">
        <v>65.52</v>
      </c>
      <c r="I301" s="0" t="n">
        <v>15.86</v>
      </c>
      <c r="J301" s="0" t="n">
        <v>52.45</v>
      </c>
      <c r="K301" s="0" t="n">
        <v>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65B</t>
        </is>
      </c>
      <c r="X301" s="0" t="n">
        <v>13</v>
      </c>
      <c r="Y301" s="0" t="n">
        <v>13</v>
      </c>
      <c r="Z301" s="0" t="inlineStr">
        <is>
          <t>https://new.land.naver.com/complexes/123472?tab=detail&amp;rf=Y</t>
        </is>
      </c>
      <c r="AA301" s="0" t="inlineStr">
        <is>
          <t>인천시 남동구 간석동 114-1</t>
        </is>
      </c>
      <c r="AB301" s="0" t="inlineStr">
        <is>
          <t>인천시</t>
        </is>
      </c>
      <c r="AC301" s="0" t="inlineStr">
        <is>
          <t>남동구</t>
        </is>
      </c>
      <c r="AD301" s="0" t="inlineStr">
        <is>
          <t>간석동</t>
        </is>
      </c>
      <c r="AG301" s="0" t="inlineStr">
        <is>
          <t>인천시 남동구 경인로644번길 62</t>
        </is>
      </c>
      <c r="AH301" s="0" t="n">
        <v>0</v>
      </c>
      <c r="AI301" s="0" t="n">
        <v>781</v>
      </c>
      <c r="AJ301" s="0" t="n">
        <v>71</v>
      </c>
      <c r="AK301" s="0" t="n">
        <v>11</v>
      </c>
      <c r="AL301" s="0" t="n">
        <v>0.6899999999999999</v>
      </c>
    </row>
    <row r="302">
      <c r="A302" s="0" t="inlineStr">
        <is>
          <t>[간석동]</t>
        </is>
      </c>
      <c r="B302" s="0" t="n">
        <v>101372</v>
      </c>
      <c r="C302" s="0" t="n">
        <v>1</v>
      </c>
      <c r="D302" s="0" t="inlineStr">
        <is>
          <t>광명(192)</t>
        </is>
      </c>
      <c r="E302" s="0" t="inlineStr">
        <is>
          <t>1980.10.</t>
        </is>
      </c>
      <c r="F302" s="0" t="n">
        <v>48</v>
      </c>
      <c r="G302" s="0" t="n">
        <v>20.94</v>
      </c>
      <c r="H302" s="0" t="n">
        <v>69.23</v>
      </c>
      <c r="I302" s="0" t="n">
        <v>17.78</v>
      </c>
      <c r="J302" s="0" t="n">
        <v>58.79</v>
      </c>
      <c r="K302" s="0" t="n">
        <v>48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3</v>
      </c>
      <c r="Y302" s="0" t="n">
        <v>3</v>
      </c>
      <c r="Z302" s="0" t="inlineStr">
        <is>
          <t>https://new.land.naver.com/complexes/101372?tab=detail&amp;rf=Y</t>
        </is>
      </c>
      <c r="AA302" s="0" t="inlineStr">
        <is>
          <t>인천시 남동구 간석동 192</t>
        </is>
      </c>
      <c r="AB302" s="0" t="inlineStr">
        <is>
          <t>인천시</t>
        </is>
      </c>
      <c r="AC302" s="0" t="inlineStr">
        <is>
          <t>남동구</t>
        </is>
      </c>
      <c r="AD302" s="0" t="inlineStr">
        <is>
          <t>간석동</t>
        </is>
      </c>
      <c r="AG302" s="0" t="inlineStr">
        <is>
          <t>인천시 남동구 남동대로884번길 21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[간석동]</t>
        </is>
      </c>
      <c r="B303" s="0" t="n">
        <v>118471</v>
      </c>
      <c r="C303" s="0" t="n">
        <v>1</v>
      </c>
      <c r="D303" s="0" t="inlineStr">
        <is>
          <t>정우팰리스(도시형)</t>
        </is>
      </c>
      <c r="E303" s="0" t="inlineStr">
        <is>
          <t>2017.07.</t>
        </is>
      </c>
      <c r="F303" s="0" t="n">
        <v>39</v>
      </c>
      <c r="G303" s="0" t="n">
        <v>16.71</v>
      </c>
      <c r="H303" s="0" t="n">
        <v>55.27</v>
      </c>
      <c r="I303" s="0" t="n">
        <v>13.78</v>
      </c>
      <c r="J303" s="0" t="n">
        <v>45.56</v>
      </c>
      <c r="K303" s="0" t="n">
        <v>24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55A</t>
        </is>
      </c>
      <c r="X303" s="0" t="n">
        <v>14</v>
      </c>
      <c r="Y303" s="0" t="n">
        <v>14</v>
      </c>
      <c r="Z303" s="0" t="inlineStr">
        <is>
          <t>https://new.land.naver.com/complexes/118471?tab=detail&amp;rf=Y</t>
        </is>
      </c>
      <c r="AA303" s="0" t="inlineStr">
        <is>
          <t>인천시 남동구 간석동 111-16</t>
        </is>
      </c>
      <c r="AB303" s="0" t="inlineStr">
        <is>
          <t>인천시</t>
        </is>
      </c>
      <c r="AC303" s="0" t="inlineStr">
        <is>
          <t>남동구</t>
        </is>
      </c>
      <c r="AD303" s="0" t="inlineStr">
        <is>
          <t>간석동</t>
        </is>
      </c>
      <c r="AG303" s="0" t="inlineStr">
        <is>
          <t>인천시 남동구 경인로644번길 26</t>
        </is>
      </c>
      <c r="AH303" s="0" t="n">
        <v>0</v>
      </c>
      <c r="AI303" s="0" t="n">
        <v>699</v>
      </c>
      <c r="AJ303" s="0" t="n">
        <v>70</v>
      </c>
      <c r="AK303" s="0" t="n">
        <v>30</v>
      </c>
      <c r="AL303" s="0" t="n">
        <v>0.77</v>
      </c>
    </row>
    <row r="304">
      <c r="A304" s="0" t="inlineStr">
        <is>
          <t>[간석동]</t>
        </is>
      </c>
      <c r="B304" s="0" t="n">
        <v>118471</v>
      </c>
      <c r="C304" s="0" t="n">
        <v>2</v>
      </c>
      <c r="D304" s="0" t="inlineStr">
        <is>
          <t>정우팰리스(도시형)</t>
        </is>
      </c>
      <c r="E304" s="0" t="inlineStr">
        <is>
          <t>2017.07.</t>
        </is>
      </c>
      <c r="F304" s="0" t="n">
        <v>39</v>
      </c>
      <c r="G304" s="0" t="n">
        <v>16.72</v>
      </c>
      <c r="H304" s="0" t="n">
        <v>55.29</v>
      </c>
      <c r="I304" s="0" t="n">
        <v>13.78</v>
      </c>
      <c r="J304" s="0" t="n">
        <v>45.56</v>
      </c>
      <c r="K304" s="0" t="n">
        <v>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55B</t>
        </is>
      </c>
      <c r="X304" s="0" t="n">
        <v>14</v>
      </c>
      <c r="Y304" s="0" t="n">
        <v>14</v>
      </c>
      <c r="Z304" s="0" t="inlineStr">
        <is>
          <t>https://new.land.naver.com/complexes/118471?tab=detail&amp;rf=Y</t>
        </is>
      </c>
      <c r="AA304" s="0" t="inlineStr">
        <is>
          <t>인천시 남동구 간석동 111-16</t>
        </is>
      </c>
      <c r="AB304" s="0" t="inlineStr">
        <is>
          <t>인천시</t>
        </is>
      </c>
      <c r="AC304" s="0" t="inlineStr">
        <is>
          <t>남동구</t>
        </is>
      </c>
      <c r="AD304" s="0" t="inlineStr">
        <is>
          <t>간석동</t>
        </is>
      </c>
      <c r="AG304" s="0" t="inlineStr">
        <is>
          <t>인천시 남동구 경인로644번길 26</t>
        </is>
      </c>
      <c r="AH304" s="0" t="n">
        <v>0</v>
      </c>
      <c r="AI304" s="0" t="n">
        <v>699</v>
      </c>
      <c r="AJ304" s="0" t="n">
        <v>70</v>
      </c>
      <c r="AK304" s="0" t="n">
        <v>30</v>
      </c>
      <c r="AL304" s="0" t="n">
        <v>0.77</v>
      </c>
    </row>
    <row r="305">
      <c r="A305" s="0" t="inlineStr">
        <is>
          <t>[간석동]</t>
        </is>
      </c>
      <c r="B305" s="0" t="n">
        <v>118471</v>
      </c>
      <c r="C305" s="0" t="n">
        <v>3</v>
      </c>
      <c r="D305" s="0" t="inlineStr">
        <is>
          <t>정우팰리스(도시형)</t>
        </is>
      </c>
      <c r="E305" s="0" t="inlineStr">
        <is>
          <t>2017.07.</t>
        </is>
      </c>
      <c r="F305" s="0" t="n">
        <v>39</v>
      </c>
      <c r="G305" s="0" t="n">
        <v>17.62</v>
      </c>
      <c r="H305" s="0" t="n">
        <v>58.26</v>
      </c>
      <c r="I305" s="0" t="n">
        <v>14.15</v>
      </c>
      <c r="J305" s="0" t="n">
        <v>46.78</v>
      </c>
      <c r="K305" s="0" t="n">
        <v>12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58A</t>
        </is>
      </c>
      <c r="X305" s="0" t="n">
        <v>14</v>
      </c>
      <c r="Y305" s="0" t="n">
        <v>14</v>
      </c>
      <c r="Z305" s="0" t="inlineStr">
        <is>
          <t>https://new.land.naver.com/complexes/118471?tab=detail&amp;rf=Y</t>
        </is>
      </c>
      <c r="AA305" s="0" t="inlineStr">
        <is>
          <t>인천시 남동구 간석동 111-16</t>
        </is>
      </c>
      <c r="AB305" s="0" t="inlineStr">
        <is>
          <t>인천시</t>
        </is>
      </c>
      <c r="AC305" s="0" t="inlineStr">
        <is>
          <t>남동구</t>
        </is>
      </c>
      <c r="AD305" s="0" t="inlineStr">
        <is>
          <t>간석동</t>
        </is>
      </c>
      <c r="AG305" s="0" t="inlineStr">
        <is>
          <t>인천시 남동구 경인로644번길 26</t>
        </is>
      </c>
      <c r="AH305" s="0" t="n">
        <v>0</v>
      </c>
      <c r="AI305" s="0" t="n">
        <v>699</v>
      </c>
      <c r="AJ305" s="0" t="n">
        <v>70</v>
      </c>
      <c r="AK305" s="0" t="n">
        <v>30</v>
      </c>
      <c r="AL305" s="0" t="n">
        <v>0.77</v>
      </c>
    </row>
    <row r="306">
      <c r="A306" s="0" t="inlineStr">
        <is>
          <t>[간석동]</t>
        </is>
      </c>
      <c r="B306" s="0" t="n">
        <v>118471</v>
      </c>
      <c r="C306" s="0" t="n">
        <v>4</v>
      </c>
      <c r="D306" s="0" t="inlineStr">
        <is>
          <t>정우팰리스(도시형)</t>
        </is>
      </c>
      <c r="E306" s="0" t="inlineStr">
        <is>
          <t>2017.07.</t>
        </is>
      </c>
      <c r="F306" s="0" t="n">
        <v>39</v>
      </c>
      <c r="G306" s="0" t="n">
        <v>17.62</v>
      </c>
      <c r="H306" s="0" t="n">
        <v>58.28</v>
      </c>
      <c r="I306" s="0" t="n">
        <v>14.15</v>
      </c>
      <c r="J306" s="0" t="n">
        <v>46.78</v>
      </c>
      <c r="K306" s="0" t="n">
        <v>1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58B</t>
        </is>
      </c>
      <c r="X306" s="0" t="n">
        <v>14</v>
      </c>
      <c r="Y306" s="0" t="n">
        <v>14</v>
      </c>
      <c r="Z306" s="0" t="inlineStr">
        <is>
          <t>https://new.land.naver.com/complexes/118471?tab=detail&amp;rf=Y</t>
        </is>
      </c>
      <c r="AA306" s="0" t="inlineStr">
        <is>
          <t>인천시 남동구 간석동 111-16</t>
        </is>
      </c>
      <c r="AB306" s="0" t="inlineStr">
        <is>
          <t>인천시</t>
        </is>
      </c>
      <c r="AC306" s="0" t="inlineStr">
        <is>
          <t>남동구</t>
        </is>
      </c>
      <c r="AD306" s="0" t="inlineStr">
        <is>
          <t>간석동</t>
        </is>
      </c>
      <c r="AG306" s="0" t="inlineStr">
        <is>
          <t>인천시 남동구 경인로644번길 26</t>
        </is>
      </c>
      <c r="AH306" s="0" t="n">
        <v>0</v>
      </c>
      <c r="AI306" s="0" t="n">
        <v>699</v>
      </c>
      <c r="AJ306" s="0" t="n">
        <v>70</v>
      </c>
      <c r="AK306" s="0" t="n">
        <v>30</v>
      </c>
      <c r="AL306" s="0" t="n">
        <v>0.77</v>
      </c>
    </row>
    <row r="307">
      <c r="A307" s="0" t="inlineStr">
        <is>
          <t>[간석동]</t>
        </is>
      </c>
      <c r="B307" s="0" t="n">
        <v>11147</v>
      </c>
      <c r="C307" s="0" t="n">
        <v>1</v>
      </c>
      <c r="D307" s="0" t="inlineStr">
        <is>
          <t>한국(387)</t>
        </is>
      </c>
      <c r="E307" s="0" t="inlineStr">
        <is>
          <t>1989.11.</t>
        </is>
      </c>
      <c r="F307" s="0" t="n">
        <v>132</v>
      </c>
      <c r="G307" s="0" t="n">
        <v>17.81</v>
      </c>
      <c r="H307" s="0" t="n">
        <v>58.88</v>
      </c>
      <c r="I307" s="0" t="n">
        <v>13.71</v>
      </c>
      <c r="J307" s="0" t="n">
        <v>45.35</v>
      </c>
      <c r="K307" s="0" t="n">
        <v>48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58</v>
      </c>
      <c r="X307" s="0" t="n">
        <v>6</v>
      </c>
      <c r="Y307" s="0" t="n">
        <v>6</v>
      </c>
      <c r="Z307" s="0" t="inlineStr">
        <is>
          <t>https://new.land.naver.com/complexes/11147?tab=detail&amp;rf=Y</t>
        </is>
      </c>
      <c r="AA307" s="0" t="inlineStr">
        <is>
          <t>인천시 남동구 간석동 387</t>
        </is>
      </c>
      <c r="AB307" s="0" t="inlineStr">
        <is>
          <t>인천시</t>
        </is>
      </c>
      <c r="AC307" s="0" t="inlineStr">
        <is>
          <t>남동구</t>
        </is>
      </c>
      <c r="AD307" s="0" t="inlineStr">
        <is>
          <t>간석동</t>
        </is>
      </c>
      <c r="AG307" s="0" t="inlineStr">
        <is>
          <t>인천시 남동구 주안로259번길 27</t>
        </is>
      </c>
      <c r="AH307" s="0" t="n">
        <v>0</v>
      </c>
      <c r="AI307" s="0" t="n">
        <v>177</v>
      </c>
      <c r="AJ307" s="0" t="n">
        <v>29</v>
      </c>
      <c r="AK307" s="0" t="n">
        <v>0</v>
      </c>
      <c r="AL307" s="0" t="n">
        <v>0</v>
      </c>
    </row>
    <row r="308">
      <c r="A308" s="0" t="inlineStr">
        <is>
          <t>[간석동]</t>
        </is>
      </c>
      <c r="B308" s="0" t="n">
        <v>11147</v>
      </c>
      <c r="C308" s="0" t="n">
        <v>2</v>
      </c>
      <c r="D308" s="0" t="inlineStr">
        <is>
          <t>한국(387)</t>
        </is>
      </c>
      <c r="E308" s="0" t="inlineStr">
        <is>
          <t>1989.11.</t>
        </is>
      </c>
      <c r="F308" s="0" t="n">
        <v>132</v>
      </c>
      <c r="G308" s="0" t="n">
        <v>18.94</v>
      </c>
      <c r="H308" s="0" t="n">
        <v>62.62</v>
      </c>
      <c r="I308" s="0" t="n">
        <v>14.68</v>
      </c>
      <c r="J308" s="0" t="n">
        <v>48.56</v>
      </c>
      <c r="K308" s="0" t="n">
        <v>84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62</v>
      </c>
      <c r="X308" s="0" t="n">
        <v>6</v>
      </c>
      <c r="Y308" s="0" t="n">
        <v>6</v>
      </c>
      <c r="Z308" s="0" t="inlineStr">
        <is>
          <t>https://new.land.naver.com/complexes/11147?tab=detail&amp;rf=Y</t>
        </is>
      </c>
      <c r="AA308" s="0" t="inlineStr">
        <is>
          <t>인천시 남동구 간석동 387</t>
        </is>
      </c>
      <c r="AB308" s="0" t="inlineStr">
        <is>
          <t>인천시</t>
        </is>
      </c>
      <c r="AC308" s="0" t="inlineStr">
        <is>
          <t>남동구</t>
        </is>
      </c>
      <c r="AD308" s="0" t="inlineStr">
        <is>
          <t>간석동</t>
        </is>
      </c>
      <c r="AG308" s="0" t="inlineStr">
        <is>
          <t>인천시 남동구 주안로259번길 27</t>
        </is>
      </c>
      <c r="AH308" s="0" t="n">
        <v>0</v>
      </c>
      <c r="AI308" s="0" t="n">
        <v>177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[간석동]</t>
        </is>
      </c>
      <c r="B309" s="0" t="n">
        <v>128465</v>
      </c>
      <c r="C309" s="0" t="n">
        <v>1</v>
      </c>
      <c r="D309" s="0" t="inlineStr">
        <is>
          <t>타워블레스</t>
        </is>
      </c>
      <c r="E309" s="0" t="inlineStr">
        <is>
          <t>2018.02.</t>
        </is>
      </c>
      <c r="F309" s="0" t="n">
        <v>28</v>
      </c>
      <c r="G309" s="0" t="n">
        <v>14.33</v>
      </c>
      <c r="H309" s="0" t="n">
        <v>47.38</v>
      </c>
      <c r="I309" s="0" t="n">
        <v>10.02</v>
      </c>
      <c r="J309" s="0" t="n">
        <v>33.13</v>
      </c>
      <c r="K309" s="0" t="n">
        <v>7</v>
      </c>
      <c r="T309" s="0" t="n">
        <v>1</v>
      </c>
      <c r="U309" s="0" t="n">
        <v>1</v>
      </c>
      <c r="V309" s="0" t="inlineStr">
        <is>
          <t>계단식</t>
        </is>
      </c>
      <c r="W309" s="0" t="n">
        <v>47</v>
      </c>
      <c r="X309" s="0" t="n">
        <v>10</v>
      </c>
      <c r="Y309" s="0" t="n">
        <v>10</v>
      </c>
      <c r="Z309" s="0" t="inlineStr">
        <is>
          <t>https://new.land.naver.com/complexes/128465?tab=detail&amp;rf=Y</t>
        </is>
      </c>
      <c r="AA309" s="0" t="inlineStr">
        <is>
          <t>인천시 남동구 간석동 214-6</t>
        </is>
      </c>
      <c r="AB309" s="0" t="inlineStr">
        <is>
          <t>인천시</t>
        </is>
      </c>
      <c r="AC309" s="0" t="inlineStr">
        <is>
          <t>남동구</t>
        </is>
      </c>
      <c r="AD309" s="0" t="inlineStr">
        <is>
          <t>간석동</t>
        </is>
      </c>
      <c r="AG309" s="0" t="inlineStr">
        <is>
          <t>인천시 남동구 백범로 379-1</t>
        </is>
      </c>
      <c r="AH309" s="0" t="n">
        <v>0</v>
      </c>
      <c r="AI309" s="0" t="n">
        <v>476</v>
      </c>
      <c r="AJ309" s="0" t="n">
        <v>65</v>
      </c>
      <c r="AK309" s="0" t="n">
        <v>28</v>
      </c>
      <c r="AL309" s="0" t="n">
        <v>1</v>
      </c>
    </row>
    <row r="310">
      <c r="A310" s="0" t="inlineStr">
        <is>
          <t>[간석동]</t>
        </is>
      </c>
      <c r="B310" s="0" t="n">
        <v>128465</v>
      </c>
      <c r="C310" s="0" t="n">
        <v>2</v>
      </c>
      <c r="D310" s="0" t="inlineStr">
        <is>
          <t>타워블레스</t>
        </is>
      </c>
      <c r="E310" s="0" t="inlineStr">
        <is>
          <t>2018.02.</t>
        </is>
      </c>
      <c r="F310" s="0" t="n">
        <v>28</v>
      </c>
      <c r="G310" s="0" t="n">
        <v>14.63</v>
      </c>
      <c r="H310" s="0" t="n">
        <v>48.38</v>
      </c>
      <c r="I310" s="0" t="n">
        <v>10.23</v>
      </c>
      <c r="J310" s="0" t="n">
        <v>33.83</v>
      </c>
      <c r="K310" s="0" t="n">
        <v>7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48</v>
      </c>
      <c r="X310" s="0" t="n">
        <v>10</v>
      </c>
      <c r="Y310" s="0" t="n">
        <v>10</v>
      </c>
      <c r="Z310" s="0" t="inlineStr">
        <is>
          <t>https://new.land.naver.com/complexes/128465?tab=detail&amp;rf=Y</t>
        </is>
      </c>
      <c r="AA310" s="0" t="inlineStr">
        <is>
          <t>인천시 남동구 간석동 214-6</t>
        </is>
      </c>
      <c r="AB310" s="0" t="inlineStr">
        <is>
          <t>인천시</t>
        </is>
      </c>
      <c r="AC310" s="0" t="inlineStr">
        <is>
          <t>남동구</t>
        </is>
      </c>
      <c r="AD310" s="0" t="inlineStr">
        <is>
          <t>간석동</t>
        </is>
      </c>
      <c r="AG310" s="0" t="inlineStr">
        <is>
          <t>인천시 남동구 백범로 379-1</t>
        </is>
      </c>
      <c r="AH310" s="0" t="n">
        <v>0</v>
      </c>
      <c r="AI310" s="0" t="n">
        <v>476</v>
      </c>
      <c r="AJ310" s="0" t="n">
        <v>65</v>
      </c>
      <c r="AK310" s="0" t="n">
        <v>28</v>
      </c>
      <c r="AL310" s="0" t="n">
        <v>1</v>
      </c>
    </row>
    <row r="311">
      <c r="A311" s="0" t="inlineStr">
        <is>
          <t>[간석동]</t>
        </is>
      </c>
      <c r="B311" s="0" t="n">
        <v>128465</v>
      </c>
      <c r="C311" s="0" t="n">
        <v>3</v>
      </c>
      <c r="D311" s="0" t="inlineStr">
        <is>
          <t>타워블레스</t>
        </is>
      </c>
      <c r="E311" s="0" t="inlineStr">
        <is>
          <t>2018.02.</t>
        </is>
      </c>
      <c r="F311" s="0" t="n">
        <v>28</v>
      </c>
      <c r="G311" s="0" t="n">
        <v>15.9</v>
      </c>
      <c r="H311" s="0" t="n">
        <v>52.59</v>
      </c>
      <c r="I311" s="0" t="n">
        <v>11.12</v>
      </c>
      <c r="J311" s="0" t="n">
        <v>36.77</v>
      </c>
      <c r="K311" s="0" t="n">
        <v>7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52</v>
      </c>
      <c r="X311" s="0" t="n">
        <v>10</v>
      </c>
      <c r="Y311" s="0" t="n">
        <v>10</v>
      </c>
      <c r="Z311" s="0" t="inlineStr">
        <is>
          <t>https://new.land.naver.com/complexes/128465?tab=detail&amp;rf=Y</t>
        </is>
      </c>
      <c r="AA311" s="0" t="inlineStr">
        <is>
          <t>인천시 남동구 간석동 214-6</t>
        </is>
      </c>
      <c r="AB311" s="0" t="inlineStr">
        <is>
          <t>인천시</t>
        </is>
      </c>
      <c r="AC311" s="0" t="inlineStr">
        <is>
          <t>남동구</t>
        </is>
      </c>
      <c r="AD311" s="0" t="inlineStr">
        <is>
          <t>간석동</t>
        </is>
      </c>
      <c r="AG311" s="0" t="inlineStr">
        <is>
          <t>인천시 남동구 백범로 379-1</t>
        </is>
      </c>
      <c r="AH311" s="0" t="n">
        <v>0</v>
      </c>
      <c r="AI311" s="0" t="n">
        <v>476</v>
      </c>
      <c r="AJ311" s="0" t="n">
        <v>65</v>
      </c>
      <c r="AK311" s="0" t="n">
        <v>28</v>
      </c>
      <c r="AL311" s="0" t="n">
        <v>1</v>
      </c>
    </row>
    <row r="312">
      <c r="A312" s="0" t="inlineStr">
        <is>
          <t>[간석동]</t>
        </is>
      </c>
      <c r="B312" s="0" t="n">
        <v>128465</v>
      </c>
      <c r="C312" s="0" t="n">
        <v>4</v>
      </c>
      <c r="D312" s="0" t="inlineStr">
        <is>
          <t>타워블레스</t>
        </is>
      </c>
      <c r="E312" s="0" t="inlineStr">
        <is>
          <t>2018.02.</t>
        </is>
      </c>
      <c r="F312" s="0" t="n">
        <v>28</v>
      </c>
      <c r="G312" s="0" t="n">
        <v>18.8</v>
      </c>
      <c r="H312" s="0" t="n">
        <v>62.16</v>
      </c>
      <c r="I312" s="0" t="n">
        <v>13.14</v>
      </c>
      <c r="J312" s="0" t="n">
        <v>43.47</v>
      </c>
      <c r="K312" s="0" t="n">
        <v>7</v>
      </c>
      <c r="T312" s="0" t="n">
        <v>2</v>
      </c>
      <c r="U312" s="0" t="n">
        <v>1</v>
      </c>
      <c r="V312" s="0" t="inlineStr">
        <is>
          <t>복합식</t>
        </is>
      </c>
      <c r="W312" s="0" t="n">
        <v>62</v>
      </c>
      <c r="X312" s="0" t="n">
        <v>10</v>
      </c>
      <c r="Y312" s="0" t="n">
        <v>10</v>
      </c>
      <c r="Z312" s="0" t="inlineStr">
        <is>
          <t>https://new.land.naver.com/complexes/128465?tab=detail&amp;rf=Y</t>
        </is>
      </c>
      <c r="AA312" s="0" t="inlineStr">
        <is>
          <t>인천시 남동구 간석동 214-6</t>
        </is>
      </c>
      <c r="AB312" s="0" t="inlineStr">
        <is>
          <t>인천시</t>
        </is>
      </c>
      <c r="AC312" s="0" t="inlineStr">
        <is>
          <t>남동구</t>
        </is>
      </c>
      <c r="AD312" s="0" t="inlineStr">
        <is>
          <t>간석동</t>
        </is>
      </c>
      <c r="AG312" s="0" t="inlineStr">
        <is>
          <t>인천시 남동구 백범로 379-1</t>
        </is>
      </c>
      <c r="AH312" s="0" t="n">
        <v>0</v>
      </c>
      <c r="AI312" s="0" t="n">
        <v>476</v>
      </c>
      <c r="AJ312" s="0" t="n">
        <v>65</v>
      </c>
      <c r="AK312" s="0" t="n">
        <v>28</v>
      </c>
      <c r="AL312" s="0" t="n">
        <v>1</v>
      </c>
    </row>
    <row r="313">
      <c r="A313" s="0" t="inlineStr">
        <is>
          <t>[간석동]</t>
        </is>
      </c>
      <c r="B313" s="0" t="n">
        <v>118282</v>
      </c>
      <c r="C313" s="0" t="n">
        <v>1</v>
      </c>
      <c r="D313" s="0" t="inlineStr">
        <is>
          <t>간석트인자리애(도시형)</t>
        </is>
      </c>
      <c r="E313" s="0" t="inlineStr">
        <is>
          <t>2016.04.</t>
        </is>
      </c>
      <c r="F313" s="0" t="n">
        <v>30</v>
      </c>
      <c r="G313" s="0" t="n">
        <v>15.76</v>
      </c>
      <c r="H313" s="0" t="n">
        <v>52.12</v>
      </c>
      <c r="I313" s="0" t="n">
        <v>12.23</v>
      </c>
      <c r="J313" s="0" t="n">
        <v>40.43</v>
      </c>
      <c r="K313" s="0" t="n">
        <v>6</v>
      </c>
      <c r="T313" s="0" t="n">
        <v>2</v>
      </c>
      <c r="U313" s="0" t="n">
        <v>1</v>
      </c>
      <c r="V313" s="0" t="inlineStr">
        <is>
          <t>계단식</t>
        </is>
      </c>
      <c r="W313" s="0" t="inlineStr">
        <is>
          <t>52A</t>
        </is>
      </c>
      <c r="X313" s="0" t="n">
        <v>14</v>
      </c>
      <c r="Y313" s="0" t="n">
        <v>14</v>
      </c>
      <c r="Z313" s="0" t="inlineStr">
        <is>
          <t>https://new.land.naver.com/complexes/118282?tab=detail&amp;rf=Y</t>
        </is>
      </c>
      <c r="AA313" s="0" t="inlineStr">
        <is>
          <t>인천시 남동구 간석동 315-5</t>
        </is>
      </c>
      <c r="AB313" s="0" t="inlineStr">
        <is>
          <t>인천시</t>
        </is>
      </c>
      <c r="AC313" s="0" t="inlineStr">
        <is>
          <t>남동구</t>
        </is>
      </c>
      <c r="AD313" s="0" t="inlineStr">
        <is>
          <t>간석동</t>
        </is>
      </c>
      <c r="AG313" s="0" t="inlineStr">
        <is>
          <t>인천시 남동구 남동대로915번길 24</t>
        </is>
      </c>
      <c r="AH313" s="0" t="n">
        <v>0</v>
      </c>
      <c r="AI313" s="0" t="n">
        <v>795</v>
      </c>
      <c r="AJ313" s="0" t="n">
        <v>68</v>
      </c>
      <c r="AK313" s="0" t="n">
        <v>22</v>
      </c>
      <c r="AL313" s="0" t="n">
        <v>0.73</v>
      </c>
    </row>
    <row r="314">
      <c r="A314" s="0" t="inlineStr">
        <is>
          <t>[간석동]</t>
        </is>
      </c>
      <c r="B314" s="0" t="n">
        <v>118282</v>
      </c>
      <c r="C314" s="0" t="n">
        <v>2</v>
      </c>
      <c r="D314" s="0" t="inlineStr">
        <is>
          <t>간석트인자리애(도시형)</t>
        </is>
      </c>
      <c r="E314" s="0" t="inlineStr">
        <is>
          <t>2016.04.</t>
        </is>
      </c>
      <c r="F314" s="0" t="n">
        <v>30</v>
      </c>
      <c r="G314" s="0" t="n">
        <v>15.95</v>
      </c>
      <c r="H314" s="0" t="n">
        <v>52.76</v>
      </c>
      <c r="I314" s="0" t="n">
        <v>12.39</v>
      </c>
      <c r="J314" s="0" t="n">
        <v>40.99</v>
      </c>
      <c r="K314" s="0" t="n">
        <v>6</v>
      </c>
      <c r="T314" s="0" t="n">
        <v>2</v>
      </c>
      <c r="U314" s="0" t="n">
        <v>1</v>
      </c>
      <c r="V314" s="0" t="inlineStr">
        <is>
          <t>계단식</t>
        </is>
      </c>
      <c r="W314" s="0" t="inlineStr">
        <is>
          <t>52B</t>
        </is>
      </c>
      <c r="X314" s="0" t="n">
        <v>14</v>
      </c>
      <c r="Y314" s="0" t="n">
        <v>14</v>
      </c>
      <c r="Z314" s="0" t="inlineStr">
        <is>
          <t>https://new.land.naver.com/complexes/118282?tab=detail&amp;rf=Y</t>
        </is>
      </c>
      <c r="AA314" s="0" t="inlineStr">
        <is>
          <t>인천시 남동구 간석동 315-5</t>
        </is>
      </c>
      <c r="AB314" s="0" t="inlineStr">
        <is>
          <t>인천시</t>
        </is>
      </c>
      <c r="AC314" s="0" t="inlineStr">
        <is>
          <t>남동구</t>
        </is>
      </c>
      <c r="AD314" s="0" t="inlineStr">
        <is>
          <t>간석동</t>
        </is>
      </c>
      <c r="AG314" s="0" t="inlineStr">
        <is>
          <t>인천시 남동구 남동대로915번길 24</t>
        </is>
      </c>
      <c r="AH314" s="0" t="n">
        <v>0</v>
      </c>
      <c r="AI314" s="0" t="n">
        <v>795</v>
      </c>
      <c r="AJ314" s="0" t="n">
        <v>68</v>
      </c>
      <c r="AK314" s="0" t="n">
        <v>22</v>
      </c>
      <c r="AL314" s="0" t="n">
        <v>0.73</v>
      </c>
    </row>
    <row r="315">
      <c r="A315" s="0" t="inlineStr">
        <is>
          <t>[간석동]</t>
        </is>
      </c>
      <c r="B315" s="0" t="n">
        <v>118282</v>
      </c>
      <c r="C315" s="0" t="n">
        <v>3</v>
      </c>
      <c r="D315" s="0" t="inlineStr">
        <is>
          <t>간석트인자리애(도시형)</t>
        </is>
      </c>
      <c r="E315" s="0" t="inlineStr">
        <is>
          <t>2016.04.</t>
        </is>
      </c>
      <c r="F315" s="0" t="n">
        <v>30</v>
      </c>
      <c r="G315" s="0" t="n">
        <v>18.2</v>
      </c>
      <c r="H315" s="0" t="n">
        <v>60.17</v>
      </c>
      <c r="I315" s="0" t="n">
        <v>14.15</v>
      </c>
      <c r="J315" s="0" t="n">
        <v>46.8</v>
      </c>
      <c r="K315" s="0" t="n">
        <v>6</v>
      </c>
      <c r="T315" s="0" t="n">
        <v>2</v>
      </c>
      <c r="U315" s="0" t="n">
        <v>1</v>
      </c>
      <c r="V315" s="0" t="inlineStr">
        <is>
          <t>계단식</t>
        </is>
      </c>
      <c r="W315" s="0" t="inlineStr">
        <is>
          <t>60A</t>
        </is>
      </c>
      <c r="X315" s="0" t="n">
        <v>14</v>
      </c>
      <c r="Y315" s="0" t="n">
        <v>14</v>
      </c>
      <c r="Z315" s="0" t="inlineStr">
        <is>
          <t>https://new.land.naver.com/complexes/118282?tab=detail&amp;rf=Y</t>
        </is>
      </c>
      <c r="AA315" s="0" t="inlineStr">
        <is>
          <t>인천시 남동구 간석동 315-5</t>
        </is>
      </c>
      <c r="AB315" s="0" t="inlineStr">
        <is>
          <t>인천시</t>
        </is>
      </c>
      <c r="AC315" s="0" t="inlineStr">
        <is>
          <t>남동구</t>
        </is>
      </c>
      <c r="AD315" s="0" t="inlineStr">
        <is>
          <t>간석동</t>
        </is>
      </c>
      <c r="AG315" s="0" t="inlineStr">
        <is>
          <t>인천시 남동구 남동대로915번길 24</t>
        </is>
      </c>
      <c r="AH315" s="0" t="n">
        <v>0</v>
      </c>
      <c r="AI315" s="0" t="n">
        <v>795</v>
      </c>
      <c r="AJ315" s="0" t="n">
        <v>68</v>
      </c>
      <c r="AK315" s="0" t="n">
        <v>22</v>
      </c>
      <c r="AL315" s="0" t="n">
        <v>0.73</v>
      </c>
    </row>
    <row r="316">
      <c r="A316" s="0" t="inlineStr">
        <is>
          <t>[간석동]</t>
        </is>
      </c>
      <c r="B316" s="0" t="n">
        <v>118282</v>
      </c>
      <c r="C316" s="0" t="n">
        <v>4</v>
      </c>
      <c r="D316" s="0" t="inlineStr">
        <is>
          <t>간석트인자리애(도시형)</t>
        </is>
      </c>
      <c r="E316" s="0" t="inlineStr">
        <is>
          <t>2016.04.</t>
        </is>
      </c>
      <c r="F316" s="0" t="n">
        <v>30</v>
      </c>
      <c r="G316" s="0" t="n">
        <v>18.22</v>
      </c>
      <c r="H316" s="0" t="n">
        <v>60.26</v>
      </c>
      <c r="I316" s="0" t="n">
        <v>14.19</v>
      </c>
      <c r="J316" s="0" t="n">
        <v>46.93</v>
      </c>
      <c r="K316" s="0" t="n">
        <v>6</v>
      </c>
      <c r="T316" s="0" t="n">
        <v>2</v>
      </c>
      <c r="U316" s="0" t="n">
        <v>1</v>
      </c>
      <c r="V316" s="0" t="inlineStr">
        <is>
          <t>계단식</t>
        </is>
      </c>
      <c r="W316" s="0" t="inlineStr">
        <is>
          <t>60B</t>
        </is>
      </c>
      <c r="X316" s="0" t="n">
        <v>14</v>
      </c>
      <c r="Y316" s="0" t="n">
        <v>14</v>
      </c>
      <c r="Z316" s="0" t="inlineStr">
        <is>
          <t>https://new.land.naver.com/complexes/118282?tab=detail&amp;rf=Y</t>
        </is>
      </c>
      <c r="AA316" s="0" t="inlineStr">
        <is>
          <t>인천시 남동구 간석동 315-5</t>
        </is>
      </c>
      <c r="AB316" s="0" t="inlineStr">
        <is>
          <t>인천시</t>
        </is>
      </c>
      <c r="AC316" s="0" t="inlineStr">
        <is>
          <t>남동구</t>
        </is>
      </c>
      <c r="AD316" s="0" t="inlineStr">
        <is>
          <t>간석동</t>
        </is>
      </c>
      <c r="AG316" s="0" t="inlineStr">
        <is>
          <t>인천시 남동구 남동대로915번길 24</t>
        </is>
      </c>
      <c r="AH316" s="0" t="n">
        <v>0</v>
      </c>
      <c r="AI316" s="0" t="n">
        <v>795</v>
      </c>
      <c r="AJ316" s="0" t="n">
        <v>68</v>
      </c>
      <c r="AK316" s="0" t="n">
        <v>22</v>
      </c>
      <c r="AL316" s="0" t="n">
        <v>0.73</v>
      </c>
    </row>
    <row r="317">
      <c r="A317" s="0" t="inlineStr">
        <is>
          <t>[간석동]</t>
        </is>
      </c>
      <c r="B317" s="0" t="n">
        <v>118282</v>
      </c>
      <c r="C317" s="0" t="n">
        <v>5</v>
      </c>
      <c r="D317" s="0" t="inlineStr">
        <is>
          <t>간석트인자리애(도시형)</t>
        </is>
      </c>
      <c r="E317" s="0" t="inlineStr">
        <is>
          <t>2016.04.</t>
        </is>
      </c>
      <c r="F317" s="0" t="n">
        <v>30</v>
      </c>
      <c r="G317" s="0" t="n">
        <v>18.34</v>
      </c>
      <c r="H317" s="0" t="n">
        <v>60.64</v>
      </c>
      <c r="I317" s="0" t="n">
        <v>14.26</v>
      </c>
      <c r="J317" s="0" t="n">
        <v>47.16</v>
      </c>
      <c r="K317" s="0" t="n">
        <v>6</v>
      </c>
      <c r="T317" s="0" t="n">
        <v>2</v>
      </c>
      <c r="U317" s="0" t="n">
        <v>1</v>
      </c>
      <c r="V317" s="0" t="inlineStr">
        <is>
          <t>계단식</t>
        </is>
      </c>
      <c r="W317" s="0" t="inlineStr">
        <is>
          <t>60C</t>
        </is>
      </c>
      <c r="X317" s="0" t="n">
        <v>14</v>
      </c>
      <c r="Y317" s="0" t="n">
        <v>14</v>
      </c>
      <c r="Z317" s="0" t="inlineStr">
        <is>
          <t>https://new.land.naver.com/complexes/118282?tab=detail&amp;rf=Y</t>
        </is>
      </c>
      <c r="AA317" s="0" t="inlineStr">
        <is>
          <t>인천시 남동구 간석동 315-5</t>
        </is>
      </c>
      <c r="AB317" s="0" t="inlineStr">
        <is>
          <t>인천시</t>
        </is>
      </c>
      <c r="AC317" s="0" t="inlineStr">
        <is>
          <t>남동구</t>
        </is>
      </c>
      <c r="AD317" s="0" t="inlineStr">
        <is>
          <t>간석동</t>
        </is>
      </c>
      <c r="AG317" s="0" t="inlineStr">
        <is>
          <t>인천시 남동구 남동대로915번길 24</t>
        </is>
      </c>
      <c r="AH317" s="0" t="n">
        <v>0</v>
      </c>
      <c r="AI317" s="0" t="n">
        <v>795</v>
      </c>
      <c r="AJ317" s="0" t="n">
        <v>68</v>
      </c>
      <c r="AK317" s="0" t="n">
        <v>22</v>
      </c>
      <c r="AL317" s="0" t="n">
        <v>0.73</v>
      </c>
    </row>
    <row r="318">
      <c r="A318" s="0" t="inlineStr">
        <is>
          <t>[간석동]</t>
        </is>
      </c>
      <c r="B318" s="0" t="n">
        <v>123308</v>
      </c>
      <c r="C318" s="0" t="n">
        <v>1</v>
      </c>
      <c r="D318" s="0" t="inlineStr">
        <is>
          <t>더샵퍼스트</t>
        </is>
      </c>
      <c r="E318" s="0" t="inlineStr">
        <is>
          <t>2018.10.</t>
        </is>
      </c>
      <c r="F318" s="0" t="n">
        <v>24</v>
      </c>
      <c r="G318" s="0" t="n">
        <v>20.18</v>
      </c>
      <c r="H318" s="0" t="n">
        <v>66.73999999999999</v>
      </c>
      <c r="I318" s="0" t="n">
        <v>16.99</v>
      </c>
      <c r="J318" s="0" t="n">
        <v>56.18</v>
      </c>
      <c r="K318" s="0" t="n">
        <v>13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66A</t>
        </is>
      </c>
      <c r="X318" s="0" t="n">
        <v>14</v>
      </c>
      <c r="Y318" s="0" t="n">
        <v>14</v>
      </c>
      <c r="Z318" s="0" t="inlineStr">
        <is>
          <t>https://new.land.naver.com/complexes/123308?tab=detail&amp;rf=Y</t>
        </is>
      </c>
      <c r="AA318" s="0" t="inlineStr">
        <is>
          <t>인천시 남동구 간석동 276-1</t>
        </is>
      </c>
      <c r="AB318" s="0" t="inlineStr">
        <is>
          <t>인천시</t>
        </is>
      </c>
      <c r="AC318" s="0" t="inlineStr">
        <is>
          <t>남동구</t>
        </is>
      </c>
      <c r="AD318" s="0" t="inlineStr">
        <is>
          <t>간석동</t>
        </is>
      </c>
      <c r="AG318" s="0" t="inlineStr">
        <is>
          <t>인천시 남동구 경인로626번길 19</t>
        </is>
      </c>
      <c r="AH318" s="0" t="n">
        <v>0</v>
      </c>
      <c r="AI318" s="0" t="n">
        <v>821</v>
      </c>
      <c r="AJ318" s="0" t="n">
        <v>79</v>
      </c>
      <c r="AK318" s="0" t="n">
        <v>24</v>
      </c>
      <c r="AL318" s="0" t="n">
        <v>1</v>
      </c>
    </row>
    <row r="319">
      <c r="A319" s="0" t="inlineStr">
        <is>
          <t>[간석동]</t>
        </is>
      </c>
      <c r="B319" s="0" t="n">
        <v>123308</v>
      </c>
      <c r="C319" s="0" t="n">
        <v>2</v>
      </c>
      <c r="D319" s="0" t="inlineStr">
        <is>
          <t>더샵퍼스트</t>
        </is>
      </c>
      <c r="E319" s="0" t="inlineStr">
        <is>
          <t>2018.10.</t>
        </is>
      </c>
      <c r="F319" s="0" t="n">
        <v>24</v>
      </c>
      <c r="G319" s="0" t="n">
        <v>20.37</v>
      </c>
      <c r="H319" s="0" t="n">
        <v>67.34999999999999</v>
      </c>
      <c r="I319" s="0" t="n">
        <v>17.05</v>
      </c>
      <c r="J319" s="0" t="n">
        <v>56.39</v>
      </c>
      <c r="K319" s="0" t="n">
        <v>11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67B</t>
        </is>
      </c>
      <c r="X319" s="0" t="n">
        <v>14</v>
      </c>
      <c r="Y319" s="0" t="n">
        <v>14</v>
      </c>
      <c r="Z319" s="0" t="inlineStr">
        <is>
          <t>https://new.land.naver.com/complexes/123308?tab=detail&amp;rf=Y</t>
        </is>
      </c>
      <c r="AA319" s="0" t="inlineStr">
        <is>
          <t>인천시 남동구 간석동 276-1</t>
        </is>
      </c>
      <c r="AB319" s="0" t="inlineStr">
        <is>
          <t>인천시</t>
        </is>
      </c>
      <c r="AC319" s="0" t="inlineStr">
        <is>
          <t>남동구</t>
        </is>
      </c>
      <c r="AD319" s="0" t="inlineStr">
        <is>
          <t>간석동</t>
        </is>
      </c>
      <c r="AG319" s="0" t="inlineStr">
        <is>
          <t>인천시 남동구 경인로626번길 19</t>
        </is>
      </c>
      <c r="AH319" s="0" t="n">
        <v>0</v>
      </c>
      <c r="AI319" s="0" t="n">
        <v>821</v>
      </c>
      <c r="AJ319" s="0" t="n">
        <v>79</v>
      </c>
      <c r="AK319" s="0" t="n">
        <v>24</v>
      </c>
      <c r="AL319" s="0" t="n">
        <v>1</v>
      </c>
    </row>
    <row r="320">
      <c r="A320" s="0" t="inlineStr">
        <is>
          <t>[간석동]</t>
        </is>
      </c>
      <c r="B320" s="0" t="n">
        <v>9102</v>
      </c>
      <c r="C320" s="0" t="n">
        <v>1</v>
      </c>
      <c r="D320" s="0" t="inlineStr">
        <is>
          <t>동진</t>
        </is>
      </c>
      <c r="E320" s="0" t="inlineStr">
        <is>
          <t>1988.04.</t>
        </is>
      </c>
      <c r="F320" s="0" t="n">
        <v>55</v>
      </c>
      <c r="G320" s="0" t="n">
        <v>14.01</v>
      </c>
      <c r="H320" s="0" t="n">
        <v>46.33</v>
      </c>
      <c r="I320" s="0" t="n">
        <v>10.14</v>
      </c>
      <c r="J320" s="0" t="n">
        <v>33.54</v>
      </c>
      <c r="K320" s="0" t="n">
        <v>30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46</v>
      </c>
      <c r="X320" s="0" t="n">
        <v>5</v>
      </c>
      <c r="Y320" s="0" t="n">
        <v>5</v>
      </c>
      <c r="Z320" s="0" t="inlineStr">
        <is>
          <t>https://new.land.naver.com/complexes/9102?tab=detail&amp;rf=Y</t>
        </is>
      </c>
      <c r="AA320" s="0" t="inlineStr">
        <is>
          <t>인천시 남동구 간석동 156-8</t>
        </is>
      </c>
      <c r="AB320" s="0" t="inlineStr">
        <is>
          <t>인천시</t>
        </is>
      </c>
      <c r="AC320" s="0" t="inlineStr">
        <is>
          <t>남동구</t>
        </is>
      </c>
      <c r="AD320" s="0" t="inlineStr">
        <is>
          <t>간석동</t>
        </is>
      </c>
      <c r="AG320" s="0" t="inlineStr">
        <is>
          <t>인천시 남동구 석산로169번길 26</t>
        </is>
      </c>
      <c r="AH320" s="0" t="n">
        <v>0</v>
      </c>
      <c r="AI320" s="0" t="n">
        <v>0</v>
      </c>
      <c r="AJ320" s="0" t="n">
        <v>0</v>
      </c>
      <c r="AK320" s="0" t="n">
        <v>0</v>
      </c>
      <c r="AL320" s="0" t="n">
        <v>0</v>
      </c>
    </row>
    <row r="321">
      <c r="A321" s="0" t="inlineStr">
        <is>
          <t>[간석동]</t>
        </is>
      </c>
      <c r="B321" s="0" t="n">
        <v>9102</v>
      </c>
      <c r="C321" s="0" t="n">
        <v>2</v>
      </c>
      <c r="D321" s="0" t="inlineStr">
        <is>
          <t>동진</t>
        </is>
      </c>
      <c r="E321" s="0" t="inlineStr">
        <is>
          <t>1988.04.</t>
        </is>
      </c>
      <c r="F321" s="0" t="n">
        <v>55</v>
      </c>
      <c r="G321" s="0" t="n">
        <v>15.53</v>
      </c>
      <c r="H321" s="0" t="n">
        <v>51.36</v>
      </c>
      <c r="I321" s="0" t="n">
        <v>11.39</v>
      </c>
      <c r="J321" s="0" t="n">
        <v>37.66</v>
      </c>
      <c r="K321" s="0" t="n">
        <v>20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https://new.land.naver.com/complexes/9102?tab=detail&amp;rf=Y</t>
        </is>
      </c>
      <c r="AA321" s="0" t="inlineStr">
        <is>
          <t>인천시 남동구 간석동 156-8</t>
        </is>
      </c>
      <c r="AB321" s="0" t="inlineStr">
        <is>
          <t>인천시</t>
        </is>
      </c>
      <c r="AC321" s="0" t="inlineStr">
        <is>
          <t>남동구</t>
        </is>
      </c>
      <c r="AD321" s="0" t="inlineStr">
        <is>
          <t>간석동</t>
        </is>
      </c>
      <c r="AG321" s="0" t="inlineStr">
        <is>
          <t>인천시 남동구 석산로169번길 26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[간석동]</t>
        </is>
      </c>
      <c r="B322" s="0" t="n">
        <v>9102</v>
      </c>
      <c r="C322" s="0" t="n">
        <v>3</v>
      </c>
      <c r="D322" s="0" t="inlineStr">
        <is>
          <t>동진</t>
        </is>
      </c>
      <c r="E322" s="0" t="inlineStr">
        <is>
          <t>1988.04.</t>
        </is>
      </c>
      <c r="F322" s="0" t="n">
        <v>55</v>
      </c>
      <c r="G322" s="0" t="n">
        <v>18.77</v>
      </c>
      <c r="H322" s="0" t="n">
        <v>62.05</v>
      </c>
      <c r="I322" s="0" t="n">
        <v>12.7</v>
      </c>
      <c r="J322" s="0" t="n">
        <v>41.99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62</v>
      </c>
      <c r="X322" s="0" t="n">
        <v>5</v>
      </c>
      <c r="Y322" s="0" t="n">
        <v>5</v>
      </c>
      <c r="Z322" s="0" t="inlineStr">
        <is>
          <t>https://new.land.naver.com/complexes/9102?tab=detail&amp;rf=Y</t>
        </is>
      </c>
      <c r="AA322" s="0" t="inlineStr">
        <is>
          <t>인천시 남동구 간석동 156-8</t>
        </is>
      </c>
      <c r="AB322" s="0" t="inlineStr">
        <is>
          <t>인천시</t>
        </is>
      </c>
      <c r="AC322" s="0" t="inlineStr">
        <is>
          <t>남동구</t>
        </is>
      </c>
      <c r="AD322" s="0" t="inlineStr">
        <is>
          <t>간석동</t>
        </is>
      </c>
      <c r="AG322" s="0" t="inlineStr">
        <is>
          <t>인천시 남동구 석산로169번길 26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[간석동]</t>
        </is>
      </c>
      <c r="B323" s="0" t="n">
        <v>19585</v>
      </c>
      <c r="C323" s="0" t="n">
        <v>1</v>
      </c>
      <c r="D323" s="0" t="inlineStr">
        <is>
          <t>서해그린</t>
        </is>
      </c>
      <c r="E323" s="0" t="inlineStr">
        <is>
          <t>2002.02.</t>
        </is>
      </c>
      <c r="F323" s="0" t="n">
        <v>12</v>
      </c>
      <c r="G323" s="0" t="n">
        <v>15.41</v>
      </c>
      <c r="H323" s="0" t="n">
        <v>50.96</v>
      </c>
      <c r="I323" s="0" t="n">
        <v>13.7</v>
      </c>
      <c r="J323" s="0" t="n">
        <v>45.29</v>
      </c>
      <c r="K323" s="0" t="n">
        <v>4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50</v>
      </c>
      <c r="X323" s="0" t="n">
        <v>5</v>
      </c>
      <c r="Y323" s="0" t="n">
        <v>5</v>
      </c>
      <c r="Z323" s="0" t="inlineStr">
        <is>
          <t>https://new.land.naver.com/complexes/19585?tab=detail&amp;rf=Y</t>
        </is>
      </c>
      <c r="AA323" s="0" t="inlineStr">
        <is>
          <t>인천시 남동구 간석동 99-3</t>
        </is>
      </c>
      <c r="AB323" s="0" t="inlineStr">
        <is>
          <t>인천시</t>
        </is>
      </c>
      <c r="AC323" s="0" t="inlineStr">
        <is>
          <t>남동구</t>
        </is>
      </c>
      <c r="AD323" s="0" t="inlineStr">
        <is>
          <t>간석동</t>
        </is>
      </c>
      <c r="AG323" s="0" t="inlineStr">
        <is>
          <t>인천시 남동구 간석로42번길 13</t>
        </is>
      </c>
      <c r="AH323" s="0" t="n">
        <v>0</v>
      </c>
      <c r="AI323" s="0" t="n">
        <v>303</v>
      </c>
      <c r="AJ323" s="0" t="n">
        <v>69</v>
      </c>
      <c r="AK323" s="0" t="n">
        <v>5</v>
      </c>
      <c r="AL323" s="0" t="n">
        <v>0.42</v>
      </c>
    </row>
    <row r="324">
      <c r="A324" s="0" t="inlineStr">
        <is>
          <t>[간석동]</t>
        </is>
      </c>
      <c r="B324" s="0" t="n">
        <v>19585</v>
      </c>
      <c r="C324" s="0" t="n">
        <v>2</v>
      </c>
      <c r="D324" s="0" t="inlineStr">
        <is>
          <t>서해그린</t>
        </is>
      </c>
      <c r="E324" s="0" t="inlineStr">
        <is>
          <t>2002.02.</t>
        </is>
      </c>
      <c r="F324" s="0" t="n">
        <v>12</v>
      </c>
      <c r="G324" s="0" t="n">
        <v>15.5</v>
      </c>
      <c r="H324" s="0" t="n">
        <v>51.27</v>
      </c>
      <c r="I324" s="0" t="n">
        <v>13.78</v>
      </c>
      <c r="J324" s="0" t="n">
        <v>45.56</v>
      </c>
      <c r="K324" s="0" t="n">
        <v>4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51A</t>
        </is>
      </c>
      <c r="X324" s="0" t="n">
        <v>5</v>
      </c>
      <c r="Y324" s="0" t="n">
        <v>5</v>
      </c>
      <c r="Z324" s="0" t="inlineStr">
        <is>
          <t>https://new.land.naver.com/complexes/19585?tab=detail&amp;rf=Y</t>
        </is>
      </c>
      <c r="AA324" s="0" t="inlineStr">
        <is>
          <t>인천시 남동구 간석동 99-3</t>
        </is>
      </c>
      <c r="AB324" s="0" t="inlineStr">
        <is>
          <t>인천시</t>
        </is>
      </c>
      <c r="AC324" s="0" t="inlineStr">
        <is>
          <t>남동구</t>
        </is>
      </c>
      <c r="AD324" s="0" t="inlineStr">
        <is>
          <t>간석동</t>
        </is>
      </c>
      <c r="AG324" s="0" t="inlineStr">
        <is>
          <t>인천시 남동구 간석로42번길 13</t>
        </is>
      </c>
      <c r="AH324" s="0" t="n">
        <v>0</v>
      </c>
      <c r="AI324" s="0" t="n">
        <v>303</v>
      </c>
      <c r="AJ324" s="0" t="n">
        <v>69</v>
      </c>
      <c r="AK324" s="0" t="n">
        <v>5</v>
      </c>
      <c r="AL324" s="0" t="n">
        <v>0.42</v>
      </c>
    </row>
    <row r="325">
      <c r="A325" s="0" t="inlineStr">
        <is>
          <t>[간석동]</t>
        </is>
      </c>
      <c r="B325" s="0" t="n">
        <v>19585</v>
      </c>
      <c r="C325" s="0" t="n">
        <v>3</v>
      </c>
      <c r="D325" s="0" t="inlineStr">
        <is>
          <t>서해그린</t>
        </is>
      </c>
      <c r="E325" s="0" t="inlineStr">
        <is>
          <t>2002.02.</t>
        </is>
      </c>
      <c r="F325" s="0" t="n">
        <v>12</v>
      </c>
      <c r="G325" s="0" t="n">
        <v>16.41</v>
      </c>
      <c r="H325" s="0" t="n">
        <v>54.25</v>
      </c>
      <c r="I325" s="0" t="n">
        <v>14.58</v>
      </c>
      <c r="J325" s="0" t="n">
        <v>48.21</v>
      </c>
      <c r="K325" s="0" t="n">
        <v>4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54B</t>
        </is>
      </c>
      <c r="X325" s="0" t="n">
        <v>5</v>
      </c>
      <c r="Y325" s="0" t="n">
        <v>5</v>
      </c>
      <c r="Z325" s="0" t="inlineStr">
        <is>
          <t>https://new.land.naver.com/complexes/19585?tab=detail&amp;rf=Y</t>
        </is>
      </c>
      <c r="AA325" s="0" t="inlineStr">
        <is>
          <t>인천시 남동구 간석동 99-3</t>
        </is>
      </c>
      <c r="AB325" s="0" t="inlineStr">
        <is>
          <t>인천시</t>
        </is>
      </c>
      <c r="AC325" s="0" t="inlineStr">
        <is>
          <t>남동구</t>
        </is>
      </c>
      <c r="AD325" s="0" t="inlineStr">
        <is>
          <t>간석동</t>
        </is>
      </c>
      <c r="AG325" s="0" t="inlineStr">
        <is>
          <t>인천시 남동구 간석로42번길 13</t>
        </is>
      </c>
      <c r="AH325" s="0" t="n">
        <v>0</v>
      </c>
      <c r="AI325" s="0" t="n">
        <v>303</v>
      </c>
      <c r="AJ325" s="0" t="n">
        <v>69</v>
      </c>
      <c r="AK325" s="0" t="n">
        <v>5</v>
      </c>
      <c r="AL325" s="0" t="n">
        <v>0.42</v>
      </c>
    </row>
    <row r="326">
      <c r="A326" s="0" t="inlineStr">
        <is>
          <t>[간석동]</t>
        </is>
      </c>
      <c r="B326" s="0" t="n">
        <v>107050</v>
      </c>
      <c r="C326" s="0" t="n">
        <v>1</v>
      </c>
      <c r="D326" s="0" t="inlineStr">
        <is>
          <t>동민캐슬</t>
        </is>
      </c>
      <c r="E326" s="0" t="inlineStr">
        <is>
          <t>2011.06.</t>
        </is>
      </c>
      <c r="F326" s="0" t="n">
        <v>28</v>
      </c>
      <c r="G326" s="0" t="n">
        <v>29.17</v>
      </c>
      <c r="H326" s="0" t="n">
        <v>96.45</v>
      </c>
      <c r="I326" s="0" t="n">
        <v>21.1</v>
      </c>
      <c r="J326" s="0" t="n">
        <v>69.77</v>
      </c>
      <c r="K326" s="0" t="n">
        <v>14</v>
      </c>
      <c r="T326" s="0" t="n">
        <v>3</v>
      </c>
      <c r="U326" s="0" t="n">
        <v>2</v>
      </c>
      <c r="V326" s="0" t="inlineStr">
        <is>
          <t>복합식</t>
        </is>
      </c>
      <c r="W326" s="0" t="inlineStr">
        <is>
          <t>96C</t>
        </is>
      </c>
      <c r="X326" s="0" t="n">
        <v>10</v>
      </c>
      <c r="Y326" s="0" t="n">
        <v>10</v>
      </c>
      <c r="Z326" s="0" t="inlineStr">
        <is>
          <t>https://new.land.naver.com/complexes/107050?tab=detail&amp;rf=Y</t>
        </is>
      </c>
      <c r="AA326" s="0" t="inlineStr">
        <is>
          <t>인천시 남동구 간석동 102-3</t>
        </is>
      </c>
      <c r="AB326" s="0" t="inlineStr">
        <is>
          <t>인천시</t>
        </is>
      </c>
      <c r="AC326" s="0" t="inlineStr">
        <is>
          <t>남동구</t>
        </is>
      </c>
      <c r="AD326" s="0" t="inlineStr">
        <is>
          <t>간석동</t>
        </is>
      </c>
      <c r="AG326" s="0" t="inlineStr">
        <is>
          <t>인천시 남동구 간석로32번길 17</t>
        </is>
      </c>
      <c r="AH326" s="0" t="n">
        <v>0</v>
      </c>
      <c r="AI326" s="0" t="n">
        <v>483</v>
      </c>
      <c r="AJ326" s="0" t="n">
        <v>70</v>
      </c>
      <c r="AK326" s="0" t="n">
        <v>28</v>
      </c>
      <c r="AL326" s="0" t="n">
        <v>1</v>
      </c>
    </row>
    <row r="327">
      <c r="A327" s="0" t="inlineStr">
        <is>
          <t>[간석동]</t>
        </is>
      </c>
      <c r="B327" s="0" t="n">
        <v>107050</v>
      </c>
      <c r="C327" s="0" t="n">
        <v>2</v>
      </c>
      <c r="D327" s="0" t="inlineStr">
        <is>
          <t>동민캐슬</t>
        </is>
      </c>
      <c r="E327" s="0" t="inlineStr">
        <is>
          <t>2011.06.</t>
        </is>
      </c>
      <c r="F327" s="0" t="n">
        <v>28</v>
      </c>
      <c r="G327" s="0" t="n">
        <v>29.13</v>
      </c>
      <c r="H327" s="0" t="n">
        <v>96.31999999999999</v>
      </c>
      <c r="I327" s="0" t="n">
        <v>21.07</v>
      </c>
      <c r="J327" s="0" t="n">
        <v>69.67</v>
      </c>
      <c r="K327" s="0" t="n">
        <v>7</v>
      </c>
      <c r="T327" s="0" t="n">
        <v>3</v>
      </c>
      <c r="U327" s="0" t="n">
        <v>2</v>
      </c>
      <c r="V327" s="0" t="inlineStr">
        <is>
          <t>복합식</t>
        </is>
      </c>
      <c r="W327" s="0" t="inlineStr">
        <is>
          <t>96A</t>
        </is>
      </c>
      <c r="X327" s="0" t="n">
        <v>10</v>
      </c>
      <c r="Y327" s="0" t="n">
        <v>10</v>
      </c>
      <c r="Z327" s="0" t="inlineStr">
        <is>
          <t>https://new.land.naver.com/complexes/107050?tab=detail&amp;rf=Y</t>
        </is>
      </c>
      <c r="AA327" s="0" t="inlineStr">
        <is>
          <t>인천시 남동구 간석동 102-3</t>
        </is>
      </c>
      <c r="AB327" s="0" t="inlineStr">
        <is>
          <t>인천시</t>
        </is>
      </c>
      <c r="AC327" s="0" t="inlineStr">
        <is>
          <t>남동구</t>
        </is>
      </c>
      <c r="AD327" s="0" t="inlineStr">
        <is>
          <t>간석동</t>
        </is>
      </c>
      <c r="AG327" s="0" t="inlineStr">
        <is>
          <t>인천시 남동구 간석로32번길 17</t>
        </is>
      </c>
      <c r="AH327" s="0" t="n">
        <v>0</v>
      </c>
      <c r="AI327" s="0" t="n">
        <v>483</v>
      </c>
      <c r="AJ327" s="0" t="n">
        <v>70</v>
      </c>
      <c r="AK327" s="0" t="n">
        <v>28</v>
      </c>
      <c r="AL327" s="0" t="n">
        <v>1</v>
      </c>
    </row>
    <row r="328">
      <c r="A328" s="0" t="inlineStr">
        <is>
          <t>[간석동]</t>
        </is>
      </c>
      <c r="B328" s="0" t="n">
        <v>107050</v>
      </c>
      <c r="C328" s="0" t="n">
        <v>3</v>
      </c>
      <c r="D328" s="0" t="inlineStr">
        <is>
          <t>동민캐슬</t>
        </is>
      </c>
      <c r="E328" s="0" t="inlineStr">
        <is>
          <t>2011.06.</t>
        </is>
      </c>
      <c r="F328" s="0" t="n">
        <v>28</v>
      </c>
      <c r="G328" s="0" t="n">
        <v>29.16</v>
      </c>
      <c r="H328" s="0" t="n">
        <v>96.41</v>
      </c>
      <c r="I328" s="0" t="n">
        <v>21.09</v>
      </c>
      <c r="J328" s="0" t="n">
        <v>69.73999999999999</v>
      </c>
      <c r="K328" s="0" t="n">
        <v>7</v>
      </c>
      <c r="T328" s="0" t="n">
        <v>3</v>
      </c>
      <c r="U328" s="0" t="n">
        <v>2</v>
      </c>
      <c r="V328" s="0" t="inlineStr">
        <is>
          <t>복합식</t>
        </is>
      </c>
      <c r="W328" s="0" t="inlineStr">
        <is>
          <t>96B</t>
        </is>
      </c>
      <c r="X328" s="0" t="n">
        <v>10</v>
      </c>
      <c r="Y328" s="0" t="n">
        <v>10</v>
      </c>
      <c r="Z328" s="0" t="inlineStr">
        <is>
          <t>https://new.land.naver.com/complexes/107050?tab=detail&amp;rf=Y</t>
        </is>
      </c>
      <c r="AA328" s="0" t="inlineStr">
        <is>
          <t>인천시 남동구 간석동 102-3</t>
        </is>
      </c>
      <c r="AB328" s="0" t="inlineStr">
        <is>
          <t>인천시</t>
        </is>
      </c>
      <c r="AC328" s="0" t="inlineStr">
        <is>
          <t>남동구</t>
        </is>
      </c>
      <c r="AD328" s="0" t="inlineStr">
        <is>
          <t>간석동</t>
        </is>
      </c>
      <c r="AG328" s="0" t="inlineStr">
        <is>
          <t>인천시 남동구 간석로32번길 17</t>
        </is>
      </c>
      <c r="AH328" s="0" t="n">
        <v>0</v>
      </c>
      <c r="AI328" s="0" t="n">
        <v>483</v>
      </c>
      <c r="AJ328" s="0" t="n">
        <v>70</v>
      </c>
      <c r="AK328" s="0" t="n">
        <v>28</v>
      </c>
      <c r="AL328" s="0" t="n">
        <v>1</v>
      </c>
    </row>
    <row r="329">
      <c r="A329" s="0" t="inlineStr">
        <is>
          <t>[간석동]</t>
        </is>
      </c>
      <c r="B329" s="0" t="n">
        <v>9221</v>
      </c>
      <c r="C329" s="0" t="n">
        <v>1</v>
      </c>
      <c r="D329" s="0" t="inlineStr">
        <is>
          <t>현대홈타운</t>
        </is>
      </c>
      <c r="E329" s="0" t="inlineStr">
        <is>
          <t>2003.04.</t>
        </is>
      </c>
      <c r="F329" s="0" t="n">
        <v>649</v>
      </c>
      <c r="G329" s="0" t="n">
        <v>27.43</v>
      </c>
      <c r="H329" s="0" t="n">
        <v>90.7</v>
      </c>
      <c r="I329" s="0" t="n">
        <v>23.06</v>
      </c>
      <c r="J329" s="0" t="n">
        <v>76.25</v>
      </c>
      <c r="K329" s="0" t="n">
        <v>19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90</v>
      </c>
      <c r="X329" s="0" t="n">
        <v>25</v>
      </c>
      <c r="Y329" s="0" t="n">
        <v>9</v>
      </c>
      <c r="Z329" s="0" t="inlineStr">
        <is>
          <t>https://new.land.naver.com/complexes/9221?tab=detail&amp;rf=Y</t>
        </is>
      </c>
      <c r="AA329" s="0" t="inlineStr">
        <is>
          <t>인천시 남동구 간석동 900-153</t>
        </is>
      </c>
      <c r="AB329" s="0" t="inlineStr">
        <is>
          <t>인천시</t>
        </is>
      </c>
      <c r="AC329" s="0" t="inlineStr">
        <is>
          <t>남동구</t>
        </is>
      </c>
      <c r="AD329" s="0" t="inlineStr">
        <is>
          <t>간석동</t>
        </is>
      </c>
      <c r="AG329" s="0" t="inlineStr">
        <is>
          <t>인천시 남동구 구월로 65</t>
        </is>
      </c>
      <c r="AH329" s="0" t="n">
        <v>0</v>
      </c>
      <c r="AI329" s="0" t="n">
        <v>351</v>
      </c>
      <c r="AJ329" s="0" t="n">
        <v>22</v>
      </c>
      <c r="AK329" s="0" t="n">
        <v>910</v>
      </c>
      <c r="AL329" s="0" t="n">
        <v>1.4</v>
      </c>
    </row>
    <row r="330">
      <c r="A330" s="0" t="inlineStr">
        <is>
          <t>[간석동]</t>
        </is>
      </c>
      <c r="B330" s="0" t="n">
        <v>9221</v>
      </c>
      <c r="C330" s="0" t="n">
        <v>2</v>
      </c>
      <c r="D330" s="0" t="inlineStr">
        <is>
          <t>현대홈타운</t>
        </is>
      </c>
      <c r="E330" s="0" t="inlineStr">
        <is>
          <t>2003.04.</t>
        </is>
      </c>
      <c r="F330" s="0" t="n">
        <v>649</v>
      </c>
      <c r="G330" s="0" t="n">
        <v>30.67</v>
      </c>
      <c r="H330" s="0" t="n">
        <v>101.39</v>
      </c>
      <c r="I330" s="0" t="n">
        <v>25.67</v>
      </c>
      <c r="J330" s="0" t="n">
        <v>84.86</v>
      </c>
      <c r="K330" s="0" t="n">
        <v>274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101</v>
      </c>
      <c r="X330" s="0" t="n">
        <v>25</v>
      </c>
      <c r="Y330" s="0" t="n">
        <v>9</v>
      </c>
      <c r="Z330" s="0" t="inlineStr">
        <is>
          <t>https://new.land.naver.com/complexes/9221?tab=detail&amp;rf=Y</t>
        </is>
      </c>
      <c r="AA330" s="0" t="inlineStr">
        <is>
          <t>인천시 남동구 간석동 900-153</t>
        </is>
      </c>
      <c r="AB330" s="0" t="inlineStr">
        <is>
          <t>인천시</t>
        </is>
      </c>
      <c r="AC330" s="0" t="inlineStr">
        <is>
          <t>남동구</t>
        </is>
      </c>
      <c r="AD330" s="0" t="inlineStr">
        <is>
          <t>간석동</t>
        </is>
      </c>
      <c r="AG330" s="0" t="inlineStr">
        <is>
          <t>인천시 남동구 구월로 65</t>
        </is>
      </c>
      <c r="AH330" s="0" t="n">
        <v>0</v>
      </c>
      <c r="AI330" s="0" t="n">
        <v>351</v>
      </c>
      <c r="AJ330" s="0" t="n">
        <v>22</v>
      </c>
      <c r="AK330" s="0" t="n">
        <v>910</v>
      </c>
      <c r="AL330" s="0" t="n">
        <v>1.4</v>
      </c>
    </row>
    <row r="331">
      <c r="A331" s="0" t="inlineStr">
        <is>
          <t>[간석동]</t>
        </is>
      </c>
      <c r="B331" s="0" t="n">
        <v>9221</v>
      </c>
      <c r="C331" s="0" t="n">
        <v>3</v>
      </c>
      <c r="D331" s="0" t="inlineStr">
        <is>
          <t>현대홈타운</t>
        </is>
      </c>
      <c r="E331" s="0" t="inlineStr">
        <is>
          <t>2003.04.</t>
        </is>
      </c>
      <c r="F331" s="0" t="n">
        <v>649</v>
      </c>
      <c r="G331" s="0" t="n">
        <v>37.01</v>
      </c>
      <c r="H331" s="0" t="n">
        <v>122.37</v>
      </c>
      <c r="I331" s="0" t="n">
        <v>31.8</v>
      </c>
      <c r="J331" s="0" t="n">
        <v>105.14</v>
      </c>
      <c r="K331" s="0" t="n">
        <v>160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122</v>
      </c>
      <c r="X331" s="0" t="n">
        <v>25</v>
      </c>
      <c r="Y331" s="0" t="n">
        <v>9</v>
      </c>
      <c r="Z331" s="0" t="inlineStr">
        <is>
          <t>https://new.land.naver.com/complexes/9221?tab=detail&amp;rf=Y</t>
        </is>
      </c>
      <c r="AA331" s="0" t="inlineStr">
        <is>
          <t>인천시 남동구 간석동 900-153</t>
        </is>
      </c>
      <c r="AB331" s="0" t="inlineStr">
        <is>
          <t>인천시</t>
        </is>
      </c>
      <c r="AC331" s="0" t="inlineStr">
        <is>
          <t>남동구</t>
        </is>
      </c>
      <c r="AD331" s="0" t="inlineStr">
        <is>
          <t>간석동</t>
        </is>
      </c>
      <c r="AG331" s="0" t="inlineStr">
        <is>
          <t>인천시 남동구 구월로 65</t>
        </is>
      </c>
      <c r="AH331" s="0" t="n">
        <v>0</v>
      </c>
      <c r="AI331" s="0" t="n">
        <v>351</v>
      </c>
      <c r="AJ331" s="0" t="n">
        <v>22</v>
      </c>
      <c r="AK331" s="0" t="n">
        <v>910</v>
      </c>
      <c r="AL331" s="0" t="n">
        <v>1.4</v>
      </c>
    </row>
    <row r="332">
      <c r="A332" s="0" t="inlineStr">
        <is>
          <t>[간석동]</t>
        </is>
      </c>
      <c r="B332" s="0" t="n">
        <v>9221</v>
      </c>
      <c r="C332" s="0" t="n">
        <v>4</v>
      </c>
      <c r="D332" s="0" t="inlineStr">
        <is>
          <t>현대홈타운</t>
        </is>
      </c>
      <c r="E332" s="0" t="inlineStr">
        <is>
          <t>2003.04.</t>
        </is>
      </c>
      <c r="F332" s="0" t="n">
        <v>649</v>
      </c>
      <c r="G332" s="0" t="n">
        <v>42.52</v>
      </c>
      <c r="H332" s="0" t="n">
        <v>140.59</v>
      </c>
      <c r="I332" s="0" t="n">
        <v>37.23</v>
      </c>
      <c r="J332" s="0" t="n">
        <v>123.1</v>
      </c>
      <c r="K332" s="0" t="n">
        <v>110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140</v>
      </c>
      <c r="X332" s="0" t="n">
        <v>25</v>
      </c>
      <c r="Y332" s="0" t="n">
        <v>9</v>
      </c>
      <c r="Z332" s="0" t="inlineStr">
        <is>
          <t>https://new.land.naver.com/complexes/9221?tab=detail&amp;rf=Y</t>
        </is>
      </c>
      <c r="AA332" s="0" t="inlineStr">
        <is>
          <t>인천시 남동구 간석동 900-153</t>
        </is>
      </c>
      <c r="AB332" s="0" t="inlineStr">
        <is>
          <t>인천시</t>
        </is>
      </c>
      <c r="AC332" s="0" t="inlineStr">
        <is>
          <t>남동구</t>
        </is>
      </c>
      <c r="AD332" s="0" t="inlineStr">
        <is>
          <t>간석동</t>
        </is>
      </c>
      <c r="AG332" s="0" t="inlineStr">
        <is>
          <t>인천시 남동구 구월로 65</t>
        </is>
      </c>
      <c r="AH332" s="0" t="n">
        <v>0</v>
      </c>
      <c r="AI332" s="0" t="n">
        <v>351</v>
      </c>
      <c r="AJ332" s="0" t="n">
        <v>22</v>
      </c>
      <c r="AK332" s="0" t="n">
        <v>910</v>
      </c>
      <c r="AL332" s="0" t="n">
        <v>1.4</v>
      </c>
    </row>
    <row r="333">
      <c r="A333" s="0" t="inlineStr">
        <is>
          <t>[간석동]</t>
        </is>
      </c>
      <c r="B333" s="0" t="n">
        <v>9221</v>
      </c>
      <c r="C333" s="0" t="n">
        <v>5</v>
      </c>
      <c r="D333" s="0" t="inlineStr">
        <is>
          <t>현대홈타운</t>
        </is>
      </c>
      <c r="E333" s="0" t="inlineStr">
        <is>
          <t>2003.04.</t>
        </is>
      </c>
      <c r="F333" s="0" t="n">
        <v>649</v>
      </c>
      <c r="G333" s="0" t="n">
        <v>48.09</v>
      </c>
      <c r="H333" s="0" t="n">
        <v>158.99</v>
      </c>
      <c r="I333" s="0" t="n">
        <v>42.97</v>
      </c>
      <c r="J333" s="0" t="n">
        <v>142.05</v>
      </c>
      <c r="K333" s="0" t="n">
        <v>86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25</v>
      </c>
      <c r="Y333" s="0" t="n">
        <v>9</v>
      </c>
      <c r="Z333" s="0" t="inlineStr">
        <is>
          <t>https://new.land.naver.com/complexes/9221?tab=detail&amp;rf=Y</t>
        </is>
      </c>
      <c r="AA333" s="0" t="inlineStr">
        <is>
          <t>인천시 남동구 간석동 900-153</t>
        </is>
      </c>
      <c r="AB333" s="0" t="inlineStr">
        <is>
          <t>인천시</t>
        </is>
      </c>
      <c r="AC333" s="0" t="inlineStr">
        <is>
          <t>남동구</t>
        </is>
      </c>
      <c r="AD333" s="0" t="inlineStr">
        <is>
          <t>간석동</t>
        </is>
      </c>
      <c r="AG333" s="0" t="inlineStr">
        <is>
          <t>인천시 남동구 구월로 65</t>
        </is>
      </c>
      <c r="AH333" s="0" t="n">
        <v>0</v>
      </c>
      <c r="AI333" s="0" t="n">
        <v>351</v>
      </c>
      <c r="AJ333" s="0" t="n">
        <v>22</v>
      </c>
      <c r="AK333" s="0" t="n">
        <v>910</v>
      </c>
      <c r="AL333" s="0" t="n">
        <v>1.4</v>
      </c>
    </row>
    <row r="334">
      <c r="A334" s="0" t="inlineStr">
        <is>
          <t>[간석동]</t>
        </is>
      </c>
      <c r="B334" s="0" t="n">
        <v>144862</v>
      </c>
      <c r="C334" s="0" t="n">
        <v>1</v>
      </c>
      <c r="D334" s="0" t="inlineStr">
        <is>
          <t>해마루플러스(283-4)</t>
        </is>
      </c>
      <c r="E334" s="0" t="inlineStr">
        <is>
          <t>2012.01.</t>
        </is>
      </c>
      <c r="F334" s="0" t="n">
        <v>9</v>
      </c>
      <c r="G334" s="0" t="n">
        <v>23.2</v>
      </c>
      <c r="H334" s="0" t="n">
        <v>76.70999999999999</v>
      </c>
      <c r="I334" s="0" t="n">
        <v>15.61</v>
      </c>
      <c r="J334" s="0" t="n">
        <v>51.61</v>
      </c>
      <c r="K334" s="0" t="n">
        <v>3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76</v>
      </c>
      <c r="X334" s="0" t="n">
        <v>4</v>
      </c>
      <c r="Y334" s="0" t="n">
        <v>4</v>
      </c>
      <c r="Z334" s="0" t="inlineStr">
        <is>
          <t>https://new.land.naver.com/complexes/144862?tab=detail&amp;rf=Y</t>
        </is>
      </c>
      <c r="AA334" s="0" t="inlineStr">
        <is>
          <t>인천시 남동구 간석동 283-4</t>
        </is>
      </c>
      <c r="AB334" s="0" t="inlineStr">
        <is>
          <t>인천시</t>
        </is>
      </c>
      <c r="AC334" s="0" t="inlineStr">
        <is>
          <t>남동구</t>
        </is>
      </c>
      <c r="AD334" s="0" t="inlineStr">
        <is>
          <t>간석동</t>
        </is>
      </c>
      <c r="AG334" s="0" t="inlineStr">
        <is>
          <t>인천시 남동구 석산로141번길 36</t>
        </is>
      </c>
      <c r="AH334" s="0" t="n">
        <v>0</v>
      </c>
      <c r="AI334" s="0" t="n">
        <v>459</v>
      </c>
      <c r="AJ334" s="0" t="n">
        <v>59</v>
      </c>
      <c r="AK334" s="0" t="n">
        <v>9</v>
      </c>
      <c r="AL334" s="0" t="n">
        <v>1</v>
      </c>
    </row>
    <row r="335">
      <c r="A335" s="0" t="inlineStr">
        <is>
          <t>[간석동]</t>
        </is>
      </c>
      <c r="B335" s="0" t="n">
        <v>144862</v>
      </c>
      <c r="C335" s="0" t="n">
        <v>2</v>
      </c>
      <c r="D335" s="0" t="inlineStr">
        <is>
          <t>해마루플러스(283-4)</t>
        </is>
      </c>
      <c r="E335" s="0" t="inlineStr">
        <is>
          <t>2012.01.</t>
        </is>
      </c>
      <c r="F335" s="0" t="n">
        <v>9</v>
      </c>
      <c r="G335" s="0" t="n">
        <v>25.84</v>
      </c>
      <c r="H335" s="0" t="n">
        <v>85.45</v>
      </c>
      <c r="I335" s="0" t="n">
        <v>17.39</v>
      </c>
      <c r="J335" s="0" t="n">
        <v>57.49</v>
      </c>
      <c r="K335" s="0" t="n">
        <v>3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85</v>
      </c>
      <c r="X335" s="0" t="n">
        <v>4</v>
      </c>
      <c r="Y335" s="0" t="n">
        <v>4</v>
      </c>
      <c r="Z335" s="0" t="inlineStr">
        <is>
          <t>https://new.land.naver.com/complexes/144862?tab=detail&amp;rf=Y</t>
        </is>
      </c>
      <c r="AA335" s="0" t="inlineStr">
        <is>
          <t>인천시 남동구 간석동 283-4</t>
        </is>
      </c>
      <c r="AB335" s="0" t="inlineStr">
        <is>
          <t>인천시</t>
        </is>
      </c>
      <c r="AC335" s="0" t="inlineStr">
        <is>
          <t>남동구</t>
        </is>
      </c>
      <c r="AD335" s="0" t="inlineStr">
        <is>
          <t>간석동</t>
        </is>
      </c>
      <c r="AG335" s="0" t="inlineStr">
        <is>
          <t>인천시 남동구 석산로141번길 36</t>
        </is>
      </c>
      <c r="AH335" s="0" t="n">
        <v>0</v>
      </c>
      <c r="AI335" s="0" t="n">
        <v>459</v>
      </c>
      <c r="AJ335" s="0" t="n">
        <v>59</v>
      </c>
      <c r="AK335" s="0" t="n">
        <v>9</v>
      </c>
      <c r="AL335" s="0" t="n">
        <v>1</v>
      </c>
    </row>
    <row r="336">
      <c r="A336" s="0" t="inlineStr">
        <is>
          <t>[간석동]</t>
        </is>
      </c>
      <c r="B336" s="0" t="n">
        <v>144862</v>
      </c>
      <c r="C336" s="0" t="n">
        <v>3</v>
      </c>
      <c r="D336" s="0" t="inlineStr">
        <is>
          <t>해마루플러스(283-4)</t>
        </is>
      </c>
      <c r="E336" s="0" t="inlineStr">
        <is>
          <t>2012.01.</t>
        </is>
      </c>
      <c r="F336" s="0" t="n">
        <v>9</v>
      </c>
      <c r="G336" s="0" t="n">
        <v>28.91</v>
      </c>
      <c r="H336" s="0" t="n">
        <v>95.59</v>
      </c>
      <c r="I336" s="0" t="n">
        <v>19.45</v>
      </c>
      <c r="J336" s="0" t="n">
        <v>64.31</v>
      </c>
      <c r="K336" s="0" t="n">
        <v>3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95</v>
      </c>
      <c r="X336" s="0" t="n">
        <v>4</v>
      </c>
      <c r="Y336" s="0" t="n">
        <v>4</v>
      </c>
      <c r="Z336" s="0" t="inlineStr">
        <is>
          <t>https://new.land.naver.com/complexes/144862?tab=detail&amp;rf=Y</t>
        </is>
      </c>
      <c r="AA336" s="0" t="inlineStr">
        <is>
          <t>인천시 남동구 간석동 283-4</t>
        </is>
      </c>
      <c r="AB336" s="0" t="inlineStr">
        <is>
          <t>인천시</t>
        </is>
      </c>
      <c r="AC336" s="0" t="inlineStr">
        <is>
          <t>남동구</t>
        </is>
      </c>
      <c r="AD336" s="0" t="inlineStr">
        <is>
          <t>간석동</t>
        </is>
      </c>
      <c r="AG336" s="0" t="inlineStr">
        <is>
          <t>인천시 남동구 석산로141번길 36</t>
        </is>
      </c>
      <c r="AH336" s="0" t="n">
        <v>0</v>
      </c>
      <c r="AI336" s="0" t="n">
        <v>459</v>
      </c>
      <c r="AJ336" s="0" t="n">
        <v>59</v>
      </c>
      <c r="AK336" s="0" t="n">
        <v>9</v>
      </c>
      <c r="AL336" s="0" t="n">
        <v>1</v>
      </c>
    </row>
    <row r="337">
      <c r="A337" s="0" t="inlineStr">
        <is>
          <t>[간석동]</t>
        </is>
      </c>
      <c r="B337" s="0" t="n">
        <v>105429</v>
      </c>
      <c r="C337" s="0" t="n">
        <v>1</v>
      </c>
      <c r="D337" s="0" t="inlineStr">
        <is>
          <t>인천간석LH2단지</t>
        </is>
      </c>
      <c r="E337" s="0" t="inlineStr">
        <is>
          <t>2014.10.</t>
        </is>
      </c>
      <c r="F337" s="0" t="n">
        <v>792</v>
      </c>
      <c r="G337" s="0" t="n">
        <v>26.21</v>
      </c>
      <c r="H337" s="0" t="n">
        <v>86.67</v>
      </c>
      <c r="I337" s="0" t="n">
        <v>18.12</v>
      </c>
      <c r="J337" s="0" t="n">
        <v>59.93</v>
      </c>
      <c r="K337" s="0" t="n">
        <v>88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86A</t>
        </is>
      </c>
      <c r="X337" s="0" t="n">
        <v>28</v>
      </c>
      <c r="Y337" s="0" t="n">
        <v>18</v>
      </c>
      <c r="Z337" s="0" t="inlineStr">
        <is>
          <t>https://new.land.naver.com/complexes/105429?tab=detail&amp;rf=Y</t>
        </is>
      </c>
      <c r="AA337" s="0" t="inlineStr">
        <is>
          <t>인천시 남동구 간석동 941</t>
        </is>
      </c>
      <c r="AB337" s="0" t="inlineStr">
        <is>
          <t>인천시</t>
        </is>
      </c>
      <c r="AC337" s="0" t="inlineStr">
        <is>
          <t>남동구</t>
        </is>
      </c>
      <c r="AD337" s="0" t="inlineStr">
        <is>
          <t>간석동</t>
        </is>
      </c>
      <c r="AG337" s="0" t="inlineStr">
        <is>
          <t>인천시 남동구 백범로294번길 16</t>
        </is>
      </c>
      <c r="AH337" s="0" t="n">
        <v>0</v>
      </c>
      <c r="AI337" s="0" t="n">
        <v>226</v>
      </c>
      <c r="AJ337" s="0" t="n">
        <v>14</v>
      </c>
      <c r="AK337" s="0" t="n">
        <v>920</v>
      </c>
      <c r="AL337" s="0" t="n">
        <v>1.16</v>
      </c>
    </row>
    <row r="338">
      <c r="A338" s="0" t="inlineStr">
        <is>
          <t>[간석동]</t>
        </is>
      </c>
      <c r="B338" s="0" t="n">
        <v>105429</v>
      </c>
      <c r="C338" s="0" t="n">
        <v>2</v>
      </c>
      <c r="D338" s="0" t="inlineStr">
        <is>
          <t>인천간석LH2단지</t>
        </is>
      </c>
      <c r="E338" s="0" t="inlineStr">
        <is>
          <t>2014.10.</t>
        </is>
      </c>
      <c r="F338" s="0" t="n">
        <v>792</v>
      </c>
      <c r="G338" s="0" t="n">
        <v>29.86</v>
      </c>
      <c r="H338" s="0" t="n">
        <v>98.73999999999999</v>
      </c>
      <c r="I338" s="0" t="n">
        <v>22.67</v>
      </c>
      <c r="J338" s="0" t="n">
        <v>74.97</v>
      </c>
      <c r="K338" s="0" t="n">
        <v>50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98A</t>
        </is>
      </c>
      <c r="X338" s="0" t="n">
        <v>28</v>
      </c>
      <c r="Y338" s="0" t="n">
        <v>18</v>
      </c>
      <c r="Z338" s="0" t="inlineStr">
        <is>
          <t>https://new.land.naver.com/complexes/105429?tab=detail&amp;rf=Y</t>
        </is>
      </c>
      <c r="AA338" s="0" t="inlineStr">
        <is>
          <t>인천시 남동구 간석동 941</t>
        </is>
      </c>
      <c r="AB338" s="0" t="inlineStr">
        <is>
          <t>인천시</t>
        </is>
      </c>
      <c r="AC338" s="0" t="inlineStr">
        <is>
          <t>남동구</t>
        </is>
      </c>
      <c r="AD338" s="0" t="inlineStr">
        <is>
          <t>간석동</t>
        </is>
      </c>
      <c r="AG338" s="0" t="inlineStr">
        <is>
          <t>인천시 남동구 백범로294번길 16</t>
        </is>
      </c>
      <c r="AH338" s="0" t="n">
        <v>0</v>
      </c>
      <c r="AI338" s="0" t="n">
        <v>226</v>
      </c>
      <c r="AJ338" s="0" t="n">
        <v>14</v>
      </c>
      <c r="AK338" s="0" t="n">
        <v>920</v>
      </c>
      <c r="AL338" s="0" t="n">
        <v>1.16</v>
      </c>
    </row>
    <row r="339">
      <c r="A339" s="0" t="inlineStr">
        <is>
          <t>[간석동]</t>
        </is>
      </c>
      <c r="B339" s="0" t="n">
        <v>105429</v>
      </c>
      <c r="C339" s="0" t="n">
        <v>3</v>
      </c>
      <c r="D339" s="0" t="inlineStr">
        <is>
          <t>인천간석LH2단지</t>
        </is>
      </c>
      <c r="E339" s="0" t="inlineStr">
        <is>
          <t>2014.10.</t>
        </is>
      </c>
      <c r="F339" s="0" t="n">
        <v>792</v>
      </c>
      <c r="G339" s="0" t="n">
        <v>29.86</v>
      </c>
      <c r="H339" s="0" t="n">
        <v>98.73999999999999</v>
      </c>
      <c r="I339" s="0" t="n">
        <v>22.67</v>
      </c>
      <c r="J339" s="0" t="n">
        <v>74.97</v>
      </c>
      <c r="K339" s="0" t="n">
        <v>36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98C</t>
        </is>
      </c>
      <c r="X339" s="0" t="n">
        <v>28</v>
      </c>
      <c r="Y339" s="0" t="n">
        <v>18</v>
      </c>
      <c r="Z339" s="0" t="inlineStr">
        <is>
          <t>https://new.land.naver.com/complexes/105429?tab=detail&amp;rf=Y</t>
        </is>
      </c>
      <c r="AA339" s="0" t="inlineStr">
        <is>
          <t>인천시 남동구 간석동 941</t>
        </is>
      </c>
      <c r="AB339" s="0" t="inlineStr">
        <is>
          <t>인천시</t>
        </is>
      </c>
      <c r="AC339" s="0" t="inlineStr">
        <is>
          <t>남동구</t>
        </is>
      </c>
      <c r="AD339" s="0" t="inlineStr">
        <is>
          <t>간석동</t>
        </is>
      </c>
      <c r="AG339" s="0" t="inlineStr">
        <is>
          <t>인천시 남동구 백범로294번길 16</t>
        </is>
      </c>
      <c r="AH339" s="0" t="n">
        <v>0</v>
      </c>
      <c r="AI339" s="0" t="n">
        <v>226</v>
      </c>
      <c r="AJ339" s="0" t="n">
        <v>14</v>
      </c>
      <c r="AK339" s="0" t="n">
        <v>920</v>
      </c>
      <c r="AL339" s="0" t="n">
        <v>1.16</v>
      </c>
    </row>
    <row r="340">
      <c r="A340" s="0" t="inlineStr">
        <is>
          <t>[간석동]</t>
        </is>
      </c>
      <c r="B340" s="0" t="n">
        <v>105429</v>
      </c>
      <c r="C340" s="0" t="n">
        <v>4</v>
      </c>
      <c r="D340" s="0" t="inlineStr">
        <is>
          <t>인천간석LH2단지</t>
        </is>
      </c>
      <c r="E340" s="0" t="inlineStr">
        <is>
          <t>2014.10.</t>
        </is>
      </c>
      <c r="F340" s="0" t="n">
        <v>792</v>
      </c>
      <c r="G340" s="0" t="n">
        <v>29.77</v>
      </c>
      <c r="H340" s="0" t="n">
        <v>98.44</v>
      </c>
      <c r="I340" s="0" t="n">
        <v>22.6</v>
      </c>
      <c r="J340" s="0" t="n">
        <v>74.73999999999999</v>
      </c>
      <c r="K340" s="0" t="n">
        <v>18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98B</t>
        </is>
      </c>
      <c r="X340" s="0" t="n">
        <v>28</v>
      </c>
      <c r="Y340" s="0" t="n">
        <v>18</v>
      </c>
      <c r="Z340" s="0" t="inlineStr">
        <is>
          <t>https://new.land.naver.com/complexes/105429?tab=detail&amp;rf=Y</t>
        </is>
      </c>
      <c r="AA340" s="0" t="inlineStr">
        <is>
          <t>인천시 남동구 간석동 941</t>
        </is>
      </c>
      <c r="AB340" s="0" t="inlineStr">
        <is>
          <t>인천시</t>
        </is>
      </c>
      <c r="AC340" s="0" t="inlineStr">
        <is>
          <t>남동구</t>
        </is>
      </c>
      <c r="AD340" s="0" t="inlineStr">
        <is>
          <t>간석동</t>
        </is>
      </c>
      <c r="AG340" s="0" t="inlineStr">
        <is>
          <t>인천시 남동구 백범로294번길 16</t>
        </is>
      </c>
      <c r="AH340" s="0" t="n">
        <v>0</v>
      </c>
      <c r="AI340" s="0" t="n">
        <v>226</v>
      </c>
      <c r="AJ340" s="0" t="n">
        <v>14</v>
      </c>
      <c r="AK340" s="0" t="n">
        <v>920</v>
      </c>
      <c r="AL340" s="0" t="n">
        <v>1.16</v>
      </c>
    </row>
    <row r="341">
      <c r="A341" s="0" t="inlineStr">
        <is>
          <t>[간석동]</t>
        </is>
      </c>
      <c r="B341" s="0" t="n">
        <v>105429</v>
      </c>
      <c r="C341" s="0" t="n">
        <v>5</v>
      </c>
      <c r="D341" s="0" t="inlineStr">
        <is>
          <t>인천간석LH2단지</t>
        </is>
      </c>
      <c r="E341" s="0" t="inlineStr">
        <is>
          <t>2014.10.</t>
        </is>
      </c>
      <c r="F341" s="0" t="n">
        <v>792</v>
      </c>
      <c r="G341" s="0" t="n">
        <v>34.34</v>
      </c>
      <c r="H341" s="0" t="n">
        <v>113.54</v>
      </c>
      <c r="I341" s="0" t="n">
        <v>25.63</v>
      </c>
      <c r="J341" s="0" t="n">
        <v>84.76000000000001</v>
      </c>
      <c r="K341" s="0" t="n">
        <v>183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113A</t>
        </is>
      </c>
      <c r="X341" s="0" t="n">
        <v>28</v>
      </c>
      <c r="Y341" s="0" t="n">
        <v>18</v>
      </c>
      <c r="Z341" s="0" t="inlineStr">
        <is>
          <t>https://new.land.naver.com/complexes/105429?tab=detail&amp;rf=Y</t>
        </is>
      </c>
      <c r="AA341" s="0" t="inlineStr">
        <is>
          <t>인천시 남동구 간석동 941</t>
        </is>
      </c>
      <c r="AB341" s="0" t="inlineStr">
        <is>
          <t>인천시</t>
        </is>
      </c>
      <c r="AC341" s="0" t="inlineStr">
        <is>
          <t>남동구</t>
        </is>
      </c>
      <c r="AD341" s="0" t="inlineStr">
        <is>
          <t>간석동</t>
        </is>
      </c>
      <c r="AG341" s="0" t="inlineStr">
        <is>
          <t>인천시 남동구 백범로294번길 16</t>
        </is>
      </c>
      <c r="AH341" s="0" t="n">
        <v>0</v>
      </c>
      <c r="AI341" s="0" t="n">
        <v>226</v>
      </c>
      <c r="AJ341" s="0" t="n">
        <v>14</v>
      </c>
      <c r="AK341" s="0" t="n">
        <v>920</v>
      </c>
      <c r="AL341" s="0" t="n">
        <v>1.16</v>
      </c>
    </row>
    <row r="342">
      <c r="A342" s="0" t="inlineStr">
        <is>
          <t>[간석동]</t>
        </is>
      </c>
      <c r="B342" s="0" t="n">
        <v>105429</v>
      </c>
      <c r="C342" s="0" t="n">
        <v>6</v>
      </c>
      <c r="D342" s="0" t="inlineStr">
        <is>
          <t>인천간석LH2단지</t>
        </is>
      </c>
      <c r="E342" s="0" t="inlineStr">
        <is>
          <t>2014.10.</t>
        </is>
      </c>
      <c r="F342" s="0" t="n">
        <v>792</v>
      </c>
      <c r="G342" s="0" t="n">
        <v>34.79</v>
      </c>
      <c r="H342" s="0" t="n">
        <v>115.02</v>
      </c>
      <c r="I342" s="0" t="n">
        <v>25.67</v>
      </c>
      <c r="J342" s="0" t="n">
        <v>84.86</v>
      </c>
      <c r="K342" s="0" t="n">
        <v>162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115C</t>
        </is>
      </c>
      <c r="X342" s="0" t="n">
        <v>28</v>
      </c>
      <c r="Y342" s="0" t="n">
        <v>18</v>
      </c>
      <c r="Z342" s="0" t="inlineStr">
        <is>
          <t>https://new.land.naver.com/complexes/105429?tab=detail&amp;rf=Y</t>
        </is>
      </c>
      <c r="AA342" s="0" t="inlineStr">
        <is>
          <t>인천시 남동구 간석동 941</t>
        </is>
      </c>
      <c r="AB342" s="0" t="inlineStr">
        <is>
          <t>인천시</t>
        </is>
      </c>
      <c r="AC342" s="0" t="inlineStr">
        <is>
          <t>남동구</t>
        </is>
      </c>
      <c r="AD342" s="0" t="inlineStr">
        <is>
          <t>간석동</t>
        </is>
      </c>
      <c r="AG342" s="0" t="inlineStr">
        <is>
          <t>인천시 남동구 백범로294번길 16</t>
        </is>
      </c>
      <c r="AH342" s="0" t="n">
        <v>0</v>
      </c>
      <c r="AI342" s="0" t="n">
        <v>226</v>
      </c>
      <c r="AJ342" s="0" t="n">
        <v>14</v>
      </c>
      <c r="AK342" s="0" t="n">
        <v>920</v>
      </c>
      <c r="AL342" s="0" t="n">
        <v>1.16</v>
      </c>
    </row>
    <row r="343">
      <c r="A343" s="0" t="inlineStr">
        <is>
          <t>[간석동]</t>
        </is>
      </c>
      <c r="B343" s="0" t="n">
        <v>105429</v>
      </c>
      <c r="C343" s="0" t="n">
        <v>7</v>
      </c>
      <c r="D343" s="0" t="inlineStr">
        <is>
          <t>인천간석LH2단지</t>
        </is>
      </c>
      <c r="E343" s="0" t="inlineStr">
        <is>
          <t>2014.10.</t>
        </is>
      </c>
      <c r="F343" s="0" t="n">
        <v>792</v>
      </c>
      <c r="G343" s="0" t="n">
        <v>34.79</v>
      </c>
      <c r="H343" s="0" t="n">
        <v>115.03</v>
      </c>
      <c r="I343" s="0" t="n">
        <v>25.67</v>
      </c>
      <c r="J343" s="0" t="n">
        <v>84.87</v>
      </c>
      <c r="K343" s="0" t="n">
        <v>128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115D</t>
        </is>
      </c>
      <c r="X343" s="0" t="n">
        <v>28</v>
      </c>
      <c r="Y343" s="0" t="n">
        <v>18</v>
      </c>
      <c r="Z343" s="0" t="inlineStr">
        <is>
          <t>https://new.land.naver.com/complexes/105429?tab=detail&amp;rf=Y</t>
        </is>
      </c>
      <c r="AA343" s="0" t="inlineStr">
        <is>
          <t>인천시 남동구 간석동 941</t>
        </is>
      </c>
      <c r="AB343" s="0" t="inlineStr">
        <is>
          <t>인천시</t>
        </is>
      </c>
      <c r="AC343" s="0" t="inlineStr">
        <is>
          <t>남동구</t>
        </is>
      </c>
      <c r="AD343" s="0" t="inlineStr">
        <is>
          <t>간석동</t>
        </is>
      </c>
      <c r="AG343" s="0" t="inlineStr">
        <is>
          <t>인천시 남동구 백범로294번길 16</t>
        </is>
      </c>
      <c r="AH343" s="0" t="n">
        <v>0</v>
      </c>
      <c r="AI343" s="0" t="n">
        <v>226</v>
      </c>
      <c r="AJ343" s="0" t="n">
        <v>14</v>
      </c>
      <c r="AK343" s="0" t="n">
        <v>920</v>
      </c>
      <c r="AL343" s="0" t="n">
        <v>1.16</v>
      </c>
    </row>
    <row r="344">
      <c r="A344" s="0" t="inlineStr">
        <is>
          <t>[간석동]</t>
        </is>
      </c>
      <c r="B344" s="0" t="n">
        <v>105429</v>
      </c>
      <c r="C344" s="0" t="n">
        <v>8</v>
      </c>
      <c r="D344" s="0" t="inlineStr">
        <is>
          <t>인천간석LH2단지</t>
        </is>
      </c>
      <c r="E344" s="0" t="inlineStr">
        <is>
          <t>2014.10.</t>
        </is>
      </c>
      <c r="F344" s="0" t="n">
        <v>792</v>
      </c>
      <c r="G344" s="0" t="n">
        <v>34.88</v>
      </c>
      <c r="H344" s="0" t="n">
        <v>115.32</v>
      </c>
      <c r="I344" s="0" t="n">
        <v>25.7</v>
      </c>
      <c r="J344" s="0" t="n">
        <v>84.98999999999999</v>
      </c>
      <c r="K344" s="0" t="n">
        <v>101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115B</t>
        </is>
      </c>
      <c r="X344" s="0" t="n">
        <v>28</v>
      </c>
      <c r="Y344" s="0" t="n">
        <v>18</v>
      </c>
      <c r="Z344" s="0" t="inlineStr">
        <is>
          <t>https://new.land.naver.com/complexes/105429?tab=detail&amp;rf=Y</t>
        </is>
      </c>
      <c r="AA344" s="0" t="inlineStr">
        <is>
          <t>인천시 남동구 간석동 941</t>
        </is>
      </c>
      <c r="AB344" s="0" t="inlineStr">
        <is>
          <t>인천시</t>
        </is>
      </c>
      <c r="AC344" s="0" t="inlineStr">
        <is>
          <t>남동구</t>
        </is>
      </c>
      <c r="AD344" s="0" t="inlineStr">
        <is>
          <t>간석동</t>
        </is>
      </c>
      <c r="AG344" s="0" t="inlineStr">
        <is>
          <t>인천시 남동구 백범로294번길 16</t>
        </is>
      </c>
      <c r="AH344" s="0" t="n">
        <v>0</v>
      </c>
      <c r="AI344" s="0" t="n">
        <v>226</v>
      </c>
      <c r="AJ344" s="0" t="n">
        <v>14</v>
      </c>
      <c r="AK344" s="0" t="n">
        <v>920</v>
      </c>
      <c r="AL344" s="0" t="n">
        <v>1.16</v>
      </c>
    </row>
    <row r="345">
      <c r="A345" s="0" t="inlineStr">
        <is>
          <t>[간석동]</t>
        </is>
      </c>
      <c r="B345" s="0" t="n">
        <v>105429</v>
      </c>
      <c r="C345" s="0" t="n">
        <v>9</v>
      </c>
      <c r="D345" s="0" t="inlineStr">
        <is>
          <t>인천간석LH2단지</t>
        </is>
      </c>
      <c r="E345" s="0" t="inlineStr">
        <is>
          <t>2014.10.</t>
        </is>
      </c>
      <c r="F345" s="0" t="n">
        <v>792</v>
      </c>
      <c r="G345" s="0" t="n">
        <v>34.79</v>
      </c>
      <c r="H345" s="0" t="n">
        <v>115.03</v>
      </c>
      <c r="I345" s="0" t="n">
        <v>25.67</v>
      </c>
      <c r="J345" s="0" t="n">
        <v>84.87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115DN</t>
        </is>
      </c>
      <c r="X345" s="0" t="n">
        <v>28</v>
      </c>
      <c r="Y345" s="0" t="n">
        <v>18</v>
      </c>
      <c r="Z345" s="0" t="inlineStr">
        <is>
          <t>https://new.land.naver.com/complexes/105429?tab=detail&amp;rf=Y</t>
        </is>
      </c>
      <c r="AA345" s="0" t="inlineStr">
        <is>
          <t>인천시 남동구 간석동 941</t>
        </is>
      </c>
      <c r="AB345" s="0" t="inlineStr">
        <is>
          <t>인천시</t>
        </is>
      </c>
      <c r="AC345" s="0" t="inlineStr">
        <is>
          <t>남동구</t>
        </is>
      </c>
      <c r="AD345" s="0" t="inlineStr">
        <is>
          <t>간석동</t>
        </is>
      </c>
      <c r="AG345" s="0" t="inlineStr">
        <is>
          <t>인천시 남동구 백범로294번길 16</t>
        </is>
      </c>
      <c r="AH345" s="0" t="n">
        <v>0</v>
      </c>
      <c r="AI345" s="0" t="n">
        <v>226</v>
      </c>
      <c r="AJ345" s="0" t="n">
        <v>14</v>
      </c>
      <c r="AK345" s="0" t="n">
        <v>920</v>
      </c>
      <c r="AL345" s="0" t="n">
        <v>1.16</v>
      </c>
    </row>
    <row r="346">
      <c r="A346" s="0" t="inlineStr">
        <is>
          <t>[간석동]</t>
        </is>
      </c>
      <c r="B346" s="0" t="n">
        <v>115491</v>
      </c>
      <c r="C346" s="0" t="n">
        <v>1</v>
      </c>
      <c r="D346" s="0" t="inlineStr">
        <is>
          <t>우리드란</t>
        </is>
      </c>
      <c r="E346" s="0" t="inlineStr">
        <is>
          <t>2016.10.</t>
        </is>
      </c>
      <c r="F346" s="0" t="n">
        <v>16</v>
      </c>
      <c r="G346" s="0" t="n">
        <v>22.33</v>
      </c>
      <c r="H346" s="0" t="n">
        <v>73.84999999999999</v>
      </c>
      <c r="I346" s="0" t="n">
        <v>18.07</v>
      </c>
      <c r="J346" s="0" t="n">
        <v>59.76</v>
      </c>
      <c r="K346" s="0" t="n">
        <v>4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73B</t>
        </is>
      </c>
      <c r="X346" s="0" t="n">
        <v>5</v>
      </c>
      <c r="Y346" s="0" t="n">
        <v>5</v>
      </c>
      <c r="Z346" s="0" t="inlineStr">
        <is>
          <t>https://new.land.naver.com/complexes/115491?tab=detail&amp;rf=Y</t>
        </is>
      </c>
      <c r="AA346" s="0" t="inlineStr">
        <is>
          <t>인천시 남동구 간석동 285-3</t>
        </is>
      </c>
      <c r="AB346" s="0" t="inlineStr">
        <is>
          <t>인천시</t>
        </is>
      </c>
      <c r="AC346" s="0" t="inlineStr">
        <is>
          <t>남동구</t>
        </is>
      </c>
      <c r="AD346" s="0" t="inlineStr">
        <is>
          <t>간석동</t>
        </is>
      </c>
      <c r="AG346" s="0" t="inlineStr">
        <is>
          <t>인천시 남동구 석산로141번길 6</t>
        </is>
      </c>
      <c r="AH346" s="0" t="n">
        <v>0</v>
      </c>
      <c r="AI346" s="0" t="n">
        <v>456</v>
      </c>
      <c r="AJ346" s="0" t="n">
        <v>55</v>
      </c>
      <c r="AK346" s="0" t="n">
        <v>14</v>
      </c>
      <c r="AL346" s="0" t="n">
        <v>0.88</v>
      </c>
    </row>
    <row r="347">
      <c r="A347" s="0" t="inlineStr">
        <is>
          <t>[간석동]</t>
        </is>
      </c>
      <c r="B347" s="0" t="n">
        <v>115491</v>
      </c>
      <c r="C347" s="0" t="n">
        <v>2</v>
      </c>
      <c r="D347" s="0" t="inlineStr">
        <is>
          <t>우리드란</t>
        </is>
      </c>
      <c r="E347" s="0" t="inlineStr">
        <is>
          <t>2016.10.</t>
        </is>
      </c>
      <c r="F347" s="0" t="n">
        <v>16</v>
      </c>
      <c r="G347" s="0" t="n">
        <v>22.23</v>
      </c>
      <c r="H347" s="0" t="n">
        <v>73.5</v>
      </c>
      <c r="I347" s="0" t="n">
        <v>18.14</v>
      </c>
      <c r="J347" s="0" t="n">
        <v>59.97</v>
      </c>
      <c r="K347" s="0" t="n">
        <v>4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73C</t>
        </is>
      </c>
      <c r="X347" s="0" t="n">
        <v>5</v>
      </c>
      <c r="Y347" s="0" t="n">
        <v>5</v>
      </c>
      <c r="Z347" s="0" t="inlineStr">
        <is>
          <t>https://new.land.naver.com/complexes/115491?tab=detail&amp;rf=Y</t>
        </is>
      </c>
      <c r="AA347" s="0" t="inlineStr">
        <is>
          <t>인천시 남동구 간석동 285-3</t>
        </is>
      </c>
      <c r="AB347" s="0" t="inlineStr">
        <is>
          <t>인천시</t>
        </is>
      </c>
      <c r="AC347" s="0" t="inlineStr">
        <is>
          <t>남동구</t>
        </is>
      </c>
      <c r="AD347" s="0" t="inlineStr">
        <is>
          <t>간석동</t>
        </is>
      </c>
      <c r="AG347" s="0" t="inlineStr">
        <is>
          <t>인천시 남동구 석산로141번길 6</t>
        </is>
      </c>
      <c r="AH347" s="0" t="n">
        <v>0</v>
      </c>
      <c r="AI347" s="0" t="n">
        <v>456</v>
      </c>
      <c r="AJ347" s="0" t="n">
        <v>55</v>
      </c>
      <c r="AK347" s="0" t="n">
        <v>14</v>
      </c>
      <c r="AL347" s="0" t="n">
        <v>0.88</v>
      </c>
    </row>
    <row r="348">
      <c r="A348" s="0" t="inlineStr">
        <is>
          <t>[간석동]</t>
        </is>
      </c>
      <c r="B348" s="0" t="n">
        <v>115491</v>
      </c>
      <c r="C348" s="0" t="n">
        <v>3</v>
      </c>
      <c r="D348" s="0" t="inlineStr">
        <is>
          <t>우리드란</t>
        </is>
      </c>
      <c r="E348" s="0" t="inlineStr">
        <is>
          <t>2016.10.</t>
        </is>
      </c>
      <c r="F348" s="0" t="n">
        <v>16</v>
      </c>
      <c r="G348" s="0" t="n">
        <v>22.65</v>
      </c>
      <c r="H348" s="0" t="n">
        <v>74.89</v>
      </c>
      <c r="I348" s="0" t="n">
        <v>18.05</v>
      </c>
      <c r="J348" s="0" t="n">
        <v>59.68</v>
      </c>
      <c r="K348" s="0" t="n">
        <v>4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74</v>
      </c>
      <c r="X348" s="0" t="n">
        <v>5</v>
      </c>
      <c r="Y348" s="0" t="n">
        <v>5</v>
      </c>
      <c r="Z348" s="0" t="inlineStr">
        <is>
          <t>https://new.land.naver.com/complexes/115491?tab=detail&amp;rf=Y</t>
        </is>
      </c>
      <c r="AA348" s="0" t="inlineStr">
        <is>
          <t>인천시 남동구 간석동 285-3</t>
        </is>
      </c>
      <c r="AB348" s="0" t="inlineStr">
        <is>
          <t>인천시</t>
        </is>
      </c>
      <c r="AC348" s="0" t="inlineStr">
        <is>
          <t>남동구</t>
        </is>
      </c>
      <c r="AD348" s="0" t="inlineStr">
        <is>
          <t>간석동</t>
        </is>
      </c>
      <c r="AG348" s="0" t="inlineStr">
        <is>
          <t>인천시 남동구 석산로141번길 6</t>
        </is>
      </c>
      <c r="AH348" s="0" t="n">
        <v>0</v>
      </c>
      <c r="AI348" s="0" t="n">
        <v>456</v>
      </c>
      <c r="AJ348" s="0" t="n">
        <v>55</v>
      </c>
      <c r="AK348" s="0" t="n">
        <v>14</v>
      </c>
      <c r="AL348" s="0" t="n">
        <v>0.88</v>
      </c>
    </row>
    <row r="349">
      <c r="A349" s="0" t="inlineStr">
        <is>
          <t>[간석동]</t>
        </is>
      </c>
      <c r="B349" s="0" t="n">
        <v>115491</v>
      </c>
      <c r="C349" s="0" t="n">
        <v>4</v>
      </c>
      <c r="D349" s="0" t="inlineStr">
        <is>
          <t>우리드란</t>
        </is>
      </c>
      <c r="E349" s="0" t="inlineStr">
        <is>
          <t>2016.10.</t>
        </is>
      </c>
      <c r="F349" s="0" t="n">
        <v>16</v>
      </c>
      <c r="G349" s="0" t="n">
        <v>22.47</v>
      </c>
      <c r="H349" s="0" t="n">
        <v>74.31</v>
      </c>
      <c r="I349" s="0" t="n">
        <v>18.05</v>
      </c>
      <c r="J349" s="0" t="n">
        <v>59.67</v>
      </c>
      <c r="K349" s="0" t="n">
        <v>4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74A</t>
        </is>
      </c>
      <c r="X349" s="0" t="n">
        <v>5</v>
      </c>
      <c r="Y349" s="0" t="n">
        <v>5</v>
      </c>
      <c r="Z349" s="0" t="inlineStr">
        <is>
          <t>https://new.land.naver.com/complexes/115491?tab=detail&amp;rf=Y</t>
        </is>
      </c>
      <c r="AA349" s="0" t="inlineStr">
        <is>
          <t>인천시 남동구 간석동 285-3</t>
        </is>
      </c>
      <c r="AB349" s="0" t="inlineStr">
        <is>
          <t>인천시</t>
        </is>
      </c>
      <c r="AC349" s="0" t="inlineStr">
        <is>
          <t>남동구</t>
        </is>
      </c>
      <c r="AD349" s="0" t="inlineStr">
        <is>
          <t>간석동</t>
        </is>
      </c>
      <c r="AG349" s="0" t="inlineStr">
        <is>
          <t>인천시 남동구 석산로141번길 6</t>
        </is>
      </c>
      <c r="AH349" s="0" t="n">
        <v>0</v>
      </c>
      <c r="AI349" s="0" t="n">
        <v>456</v>
      </c>
      <c r="AJ349" s="0" t="n">
        <v>55</v>
      </c>
      <c r="AK349" s="0" t="n">
        <v>14</v>
      </c>
      <c r="AL349" s="0" t="n">
        <v>0.88</v>
      </c>
    </row>
    <row r="350">
      <c r="A350" s="0" t="inlineStr">
        <is>
          <t>[간석동]</t>
        </is>
      </c>
      <c r="B350" s="0" t="n">
        <v>22865</v>
      </c>
      <c r="C350" s="0" t="n">
        <v>1</v>
      </c>
      <c r="D350" s="0" t="inlineStr">
        <is>
          <t>우성꾸메마을1차</t>
        </is>
      </c>
      <c r="E350" s="0" t="inlineStr">
        <is>
          <t>2005.08.</t>
        </is>
      </c>
      <c r="F350" s="0" t="n">
        <v>28</v>
      </c>
      <c r="G350" s="0" t="n">
        <v>31.03</v>
      </c>
      <c r="H350" s="0" t="n">
        <v>102.61</v>
      </c>
      <c r="I350" s="0" t="n">
        <v>25.69</v>
      </c>
      <c r="J350" s="0" t="n">
        <v>84.93000000000001</v>
      </c>
      <c r="K350" s="0" t="n">
        <v>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102</v>
      </c>
      <c r="X350" s="0" t="n">
        <v>10</v>
      </c>
      <c r="Y350" s="0" t="n">
        <v>10</v>
      </c>
      <c r="Z350" s="0" t="inlineStr">
        <is>
          <t>https://new.land.naver.com/complexes/22865?tab=detail&amp;rf=Y</t>
        </is>
      </c>
      <c r="AA350" s="0" t="inlineStr">
        <is>
          <t>인천시 남동구 간석동 51-1</t>
        </is>
      </c>
      <c r="AB350" s="0" t="inlineStr">
        <is>
          <t>인천시</t>
        </is>
      </c>
      <c r="AC350" s="0" t="inlineStr">
        <is>
          <t>남동구</t>
        </is>
      </c>
      <c r="AD350" s="0" t="inlineStr">
        <is>
          <t>간석동</t>
        </is>
      </c>
      <c r="AG350" s="0" t="inlineStr">
        <is>
          <t>인천시 남동구 용천로 181</t>
        </is>
      </c>
      <c r="AH350" s="0" t="n">
        <v>0</v>
      </c>
      <c r="AI350" s="0" t="n">
        <v>409</v>
      </c>
      <c r="AJ350" s="0" t="n">
        <v>79</v>
      </c>
      <c r="AK350" s="0" t="n">
        <v>33</v>
      </c>
      <c r="AL350" s="0" t="n">
        <v>1.18</v>
      </c>
    </row>
    <row r="351">
      <c r="A351" s="0" t="inlineStr">
        <is>
          <t>[간석동]</t>
        </is>
      </c>
      <c r="B351" s="0" t="n">
        <v>11348</v>
      </c>
      <c r="C351" s="0" t="n">
        <v>1</v>
      </c>
      <c r="D351" s="0" t="inlineStr">
        <is>
          <t>청실</t>
        </is>
      </c>
      <c r="E351" s="0" t="inlineStr">
        <is>
          <t>1984.12.</t>
        </is>
      </c>
      <c r="F351" s="0" t="n">
        <v>100</v>
      </c>
      <c r="G351" s="0" t="n">
        <v>20.65</v>
      </c>
      <c r="H351" s="0" t="n">
        <v>68.28</v>
      </c>
      <c r="I351" s="0" t="n">
        <v>18.71</v>
      </c>
      <c r="J351" s="0" t="n">
        <v>61.88</v>
      </c>
      <c r="K351" s="0" t="n">
        <v>25</v>
      </c>
      <c r="T351" s="0" t="n">
        <v>3</v>
      </c>
      <c r="U351" s="0" t="n">
        <v>1</v>
      </c>
      <c r="V351" s="0" t="inlineStr">
        <is>
          <t>복합식</t>
        </is>
      </c>
      <c r="W351" s="0" t="n">
        <v>68</v>
      </c>
      <c r="X351" s="0" t="n">
        <v>5</v>
      </c>
      <c r="Y351" s="0" t="n">
        <v>5</v>
      </c>
      <c r="Z351" s="0" t="inlineStr">
        <is>
          <t>https://new.land.naver.com/complexes/11348?tab=detail&amp;rf=Y</t>
        </is>
      </c>
      <c r="AA351" s="0" t="inlineStr">
        <is>
          <t>인천시 남동구 간석동 585</t>
        </is>
      </c>
      <c r="AB351" s="0" t="inlineStr">
        <is>
          <t>인천시</t>
        </is>
      </c>
      <c r="AC351" s="0" t="inlineStr">
        <is>
          <t>남동구</t>
        </is>
      </c>
      <c r="AD351" s="0" t="inlineStr">
        <is>
          <t>간석동</t>
        </is>
      </c>
      <c r="AG351" s="0" t="inlineStr">
        <is>
          <t>인천시 남동구 석정로566번길 13</t>
        </is>
      </c>
      <c r="AH351" s="0" t="n">
        <v>0</v>
      </c>
      <c r="AI351" s="0" t="n">
        <v>154</v>
      </c>
      <c r="AJ351" s="0" t="n">
        <v>30</v>
      </c>
      <c r="AK351" s="0" t="n">
        <v>0</v>
      </c>
      <c r="AL351" s="0" t="n">
        <v>0</v>
      </c>
    </row>
    <row r="352">
      <c r="A352" s="0" t="inlineStr">
        <is>
          <t>[간석동]</t>
        </is>
      </c>
      <c r="B352" s="0" t="n">
        <v>11348</v>
      </c>
      <c r="C352" s="0" t="n">
        <v>2</v>
      </c>
      <c r="D352" s="0" t="inlineStr">
        <is>
          <t>청실</t>
        </is>
      </c>
      <c r="E352" s="0" t="inlineStr">
        <is>
          <t>1984.12.</t>
        </is>
      </c>
      <c r="F352" s="0" t="n">
        <v>100</v>
      </c>
      <c r="G352" s="0" t="n">
        <v>22.48</v>
      </c>
      <c r="H352" s="0" t="n">
        <v>74.34</v>
      </c>
      <c r="I352" s="0" t="n">
        <v>18.73</v>
      </c>
      <c r="J352" s="0" t="n">
        <v>61.95</v>
      </c>
      <c r="K352" s="0" t="n">
        <v>60</v>
      </c>
      <c r="T352" s="0" t="n">
        <v>3</v>
      </c>
      <c r="U352" s="0" t="n">
        <v>1</v>
      </c>
      <c r="V352" s="0" t="inlineStr">
        <is>
          <t>복합식</t>
        </is>
      </c>
      <c r="W352" s="0" t="n">
        <v>74</v>
      </c>
      <c r="X352" s="0" t="n">
        <v>5</v>
      </c>
      <c r="Y352" s="0" t="n">
        <v>5</v>
      </c>
      <c r="Z352" s="0" t="inlineStr">
        <is>
          <t>https://new.land.naver.com/complexes/11348?tab=detail&amp;rf=Y</t>
        </is>
      </c>
      <c r="AA352" s="0" t="inlineStr">
        <is>
          <t>인천시 남동구 간석동 585</t>
        </is>
      </c>
      <c r="AB352" s="0" t="inlineStr">
        <is>
          <t>인천시</t>
        </is>
      </c>
      <c r="AC352" s="0" t="inlineStr">
        <is>
          <t>남동구</t>
        </is>
      </c>
      <c r="AD352" s="0" t="inlineStr">
        <is>
          <t>간석동</t>
        </is>
      </c>
      <c r="AG352" s="0" t="inlineStr">
        <is>
          <t>인천시 남동구 석정로566번길 13</t>
        </is>
      </c>
      <c r="AH352" s="0" t="n">
        <v>0</v>
      </c>
      <c r="AI352" s="0" t="n">
        <v>154</v>
      </c>
      <c r="AJ352" s="0" t="n">
        <v>30</v>
      </c>
      <c r="AK352" s="0" t="n">
        <v>0</v>
      </c>
      <c r="AL352" s="0" t="n">
        <v>0</v>
      </c>
    </row>
    <row r="353">
      <c r="A353" s="0" t="inlineStr">
        <is>
          <t>[간석동]</t>
        </is>
      </c>
      <c r="B353" s="0" t="n">
        <v>11348</v>
      </c>
      <c r="C353" s="0" t="n">
        <v>3</v>
      </c>
      <c r="D353" s="0" t="inlineStr">
        <is>
          <t>청실</t>
        </is>
      </c>
      <c r="E353" s="0" t="inlineStr">
        <is>
          <t>1984.12.</t>
        </is>
      </c>
      <c r="F353" s="0" t="n">
        <v>100</v>
      </c>
      <c r="G353" s="0" t="n">
        <v>23.71</v>
      </c>
      <c r="H353" s="0" t="n">
        <v>78.40000000000001</v>
      </c>
      <c r="I353" s="0" t="n">
        <v>21.78</v>
      </c>
      <c r="J353" s="0" t="n">
        <v>72</v>
      </c>
      <c r="K353" s="0" t="n">
        <v>5</v>
      </c>
      <c r="T353" s="0" t="n">
        <v>3</v>
      </c>
      <c r="U353" s="0" t="n">
        <v>1</v>
      </c>
      <c r="V353" s="0" t="inlineStr">
        <is>
          <t>계단식</t>
        </is>
      </c>
      <c r="W353" s="0" t="n">
        <v>78</v>
      </c>
      <c r="X353" s="0" t="n">
        <v>5</v>
      </c>
      <c r="Y353" s="0" t="n">
        <v>5</v>
      </c>
      <c r="Z353" s="0" t="inlineStr">
        <is>
          <t>https://new.land.naver.com/complexes/11348?tab=detail&amp;rf=Y</t>
        </is>
      </c>
      <c r="AA353" s="0" t="inlineStr">
        <is>
          <t>인천시 남동구 간석동 585</t>
        </is>
      </c>
      <c r="AB353" s="0" t="inlineStr">
        <is>
          <t>인천시</t>
        </is>
      </c>
      <c r="AC353" s="0" t="inlineStr">
        <is>
          <t>남동구</t>
        </is>
      </c>
      <c r="AD353" s="0" t="inlineStr">
        <is>
          <t>간석동</t>
        </is>
      </c>
      <c r="AG353" s="0" t="inlineStr">
        <is>
          <t>인천시 남동구 석정로566번길 13</t>
        </is>
      </c>
      <c r="AH353" s="0" t="n">
        <v>0</v>
      </c>
      <c r="AI353" s="0" t="n">
        <v>154</v>
      </c>
      <c r="AJ353" s="0" t="n">
        <v>30</v>
      </c>
      <c r="AK353" s="0" t="n">
        <v>0</v>
      </c>
      <c r="AL353" s="0" t="n">
        <v>0</v>
      </c>
    </row>
    <row r="354">
      <c r="A354" s="0" t="inlineStr">
        <is>
          <t>[간석동]</t>
        </is>
      </c>
      <c r="B354" s="0" t="n">
        <v>11348</v>
      </c>
      <c r="C354" s="0" t="n">
        <v>4</v>
      </c>
      <c r="D354" s="0" t="inlineStr">
        <is>
          <t>청실</t>
        </is>
      </c>
      <c r="E354" s="0" t="inlineStr">
        <is>
          <t>1984.12.</t>
        </is>
      </c>
      <c r="F354" s="0" t="n">
        <v>100</v>
      </c>
      <c r="G354" s="0" t="n">
        <v>25.42</v>
      </c>
      <c r="H354" s="0" t="n">
        <v>84.06</v>
      </c>
      <c r="I354" s="0" t="n">
        <v>21.68</v>
      </c>
      <c r="J354" s="0" t="n">
        <v>71.67</v>
      </c>
      <c r="K354" s="0" t="n">
        <v>10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84</v>
      </c>
      <c r="X354" s="0" t="n">
        <v>5</v>
      </c>
      <c r="Y354" s="0" t="n">
        <v>5</v>
      </c>
      <c r="Z354" s="0" t="inlineStr">
        <is>
          <t>https://new.land.naver.com/complexes/11348?tab=detail&amp;rf=Y</t>
        </is>
      </c>
      <c r="AA354" s="0" t="inlineStr">
        <is>
          <t>인천시 남동구 간석동 585</t>
        </is>
      </c>
      <c r="AB354" s="0" t="inlineStr">
        <is>
          <t>인천시</t>
        </is>
      </c>
      <c r="AC354" s="0" t="inlineStr">
        <is>
          <t>남동구</t>
        </is>
      </c>
      <c r="AD354" s="0" t="inlineStr">
        <is>
          <t>간석동</t>
        </is>
      </c>
      <c r="AG354" s="0" t="inlineStr">
        <is>
          <t>인천시 남동구 석정로566번길 13</t>
        </is>
      </c>
      <c r="AH354" s="0" t="n">
        <v>0</v>
      </c>
      <c r="AI354" s="0" t="n">
        <v>154</v>
      </c>
      <c r="AJ354" s="0" t="n">
        <v>30</v>
      </c>
      <c r="AK354" s="0" t="n">
        <v>0</v>
      </c>
      <c r="AL354" s="0" t="n">
        <v>0</v>
      </c>
    </row>
    <row r="355">
      <c r="A355" s="0" t="inlineStr">
        <is>
          <t>[간석동]</t>
        </is>
      </c>
      <c r="B355" s="0" t="n">
        <v>107137</v>
      </c>
      <c r="C355" s="0" t="n">
        <v>1</v>
      </c>
      <c r="D355" s="0" t="inlineStr">
        <is>
          <t>스카이타운</t>
        </is>
      </c>
      <c r="E355" s="0" t="inlineStr">
        <is>
          <t>2002.11.</t>
        </is>
      </c>
      <c r="F355" s="0" t="n">
        <v>49</v>
      </c>
      <c r="G355" s="0" t="n">
        <v>13.25</v>
      </c>
      <c r="H355" s="0" t="n">
        <v>43.82</v>
      </c>
      <c r="I355" s="0" t="n">
        <v>9.029999999999999</v>
      </c>
      <c r="J355" s="0" t="n">
        <v>29.88</v>
      </c>
      <c r="K355" s="0" t="n">
        <v>15</v>
      </c>
      <c r="T355" s="0" t="n">
        <v>1</v>
      </c>
      <c r="U355" s="0" t="n">
        <v>1</v>
      </c>
      <c r="V355" s="0" t="inlineStr">
        <is>
          <t>복합식</t>
        </is>
      </c>
      <c r="W355" s="0" t="n">
        <v>43</v>
      </c>
      <c r="X355" s="0" t="n">
        <v>8</v>
      </c>
      <c r="Y355" s="0" t="n">
        <v>8</v>
      </c>
      <c r="Z355" s="0" t="inlineStr">
        <is>
          <t>https://new.land.naver.com/complexes/107137?tab=detail&amp;rf=Y</t>
        </is>
      </c>
      <c r="AA355" s="0" t="inlineStr">
        <is>
          <t>인천시 남동구 간석동 210-1</t>
        </is>
      </c>
      <c r="AB355" s="0" t="inlineStr">
        <is>
          <t>인천시</t>
        </is>
      </c>
      <c r="AC355" s="0" t="inlineStr">
        <is>
          <t>남동구</t>
        </is>
      </c>
      <c r="AD355" s="0" t="inlineStr">
        <is>
          <t>간석동</t>
        </is>
      </c>
      <c r="AG355" s="0" t="inlineStr">
        <is>
          <t>인천시 남동구 남동대로916번길 6</t>
        </is>
      </c>
      <c r="AH355" s="0" t="n">
        <v>0</v>
      </c>
      <c r="AI355" s="0" t="n">
        <v>349</v>
      </c>
      <c r="AJ355" s="0" t="n">
        <v>59</v>
      </c>
      <c r="AK355" s="0" t="n">
        <v>48</v>
      </c>
      <c r="AL355" s="0" t="n">
        <v>0.98</v>
      </c>
    </row>
    <row r="356">
      <c r="A356" s="0" t="inlineStr">
        <is>
          <t>[간석동]</t>
        </is>
      </c>
      <c r="B356" s="0" t="n">
        <v>107137</v>
      </c>
      <c r="C356" s="0" t="n">
        <v>2</v>
      </c>
      <c r="D356" s="0" t="inlineStr">
        <is>
          <t>스카이타운</t>
        </is>
      </c>
      <c r="E356" s="0" t="inlineStr">
        <is>
          <t>2002.11.</t>
        </is>
      </c>
      <c r="F356" s="0" t="n">
        <v>49</v>
      </c>
      <c r="G356" s="0" t="n">
        <v>16.61</v>
      </c>
      <c r="H356" s="0" t="n">
        <v>54.91</v>
      </c>
      <c r="I356" s="0" t="n">
        <v>11.32</v>
      </c>
      <c r="J356" s="0" t="n">
        <v>37.44</v>
      </c>
      <c r="K356" s="0" t="n">
        <v>30</v>
      </c>
      <c r="T356" s="0" t="n">
        <v>2</v>
      </c>
      <c r="U356" s="0" t="n">
        <v>1</v>
      </c>
      <c r="V356" s="0" t="inlineStr">
        <is>
          <t>복합식</t>
        </is>
      </c>
      <c r="W356" s="0" t="n">
        <v>54</v>
      </c>
      <c r="X356" s="0" t="n">
        <v>8</v>
      </c>
      <c r="Y356" s="0" t="n">
        <v>8</v>
      </c>
      <c r="Z356" s="0" t="inlineStr">
        <is>
          <t>https://new.land.naver.com/complexes/107137?tab=detail&amp;rf=Y</t>
        </is>
      </c>
      <c r="AA356" s="0" t="inlineStr">
        <is>
          <t>인천시 남동구 간석동 210-1</t>
        </is>
      </c>
      <c r="AB356" s="0" t="inlineStr">
        <is>
          <t>인천시</t>
        </is>
      </c>
      <c r="AC356" s="0" t="inlineStr">
        <is>
          <t>남동구</t>
        </is>
      </c>
      <c r="AD356" s="0" t="inlineStr">
        <is>
          <t>간석동</t>
        </is>
      </c>
      <c r="AG356" s="0" t="inlineStr">
        <is>
          <t>인천시 남동구 남동대로916번길 6</t>
        </is>
      </c>
      <c r="AH356" s="0" t="n">
        <v>0</v>
      </c>
      <c r="AI356" s="0" t="n">
        <v>349</v>
      </c>
      <c r="AJ356" s="0" t="n">
        <v>59</v>
      </c>
      <c r="AK356" s="0" t="n">
        <v>48</v>
      </c>
      <c r="AL356" s="0" t="n">
        <v>0.98</v>
      </c>
    </row>
    <row r="357">
      <c r="A357" s="0" t="inlineStr">
        <is>
          <t>[간석동]</t>
        </is>
      </c>
      <c r="B357" s="0" t="n">
        <v>107137</v>
      </c>
      <c r="C357" s="0" t="n">
        <v>3</v>
      </c>
      <c r="D357" s="0" t="inlineStr">
        <is>
          <t>스카이타운</t>
        </is>
      </c>
      <c r="E357" s="0" t="inlineStr">
        <is>
          <t>2002.11.</t>
        </is>
      </c>
      <c r="F357" s="0" t="n">
        <v>49</v>
      </c>
      <c r="G357" s="0" t="n">
        <v>19.52</v>
      </c>
      <c r="H357" s="0" t="n">
        <v>64.55</v>
      </c>
      <c r="I357" s="0" t="n">
        <v>13.31</v>
      </c>
      <c r="J357" s="0" t="n">
        <v>44.01</v>
      </c>
      <c r="K357" s="0" t="n">
        <v>4</v>
      </c>
      <c r="T357" s="0" t="n">
        <v>2</v>
      </c>
      <c r="U357" s="0" t="n">
        <v>1</v>
      </c>
      <c r="V357" s="0" t="inlineStr">
        <is>
          <t>복합식</t>
        </is>
      </c>
      <c r="W357" s="0" t="n">
        <v>64</v>
      </c>
      <c r="X357" s="0" t="n">
        <v>8</v>
      </c>
      <c r="Y357" s="0" t="n">
        <v>8</v>
      </c>
      <c r="Z357" s="0" t="inlineStr">
        <is>
          <t>https://new.land.naver.com/complexes/107137?tab=detail&amp;rf=Y</t>
        </is>
      </c>
      <c r="AA357" s="0" t="inlineStr">
        <is>
          <t>인천시 남동구 간석동 210-1</t>
        </is>
      </c>
      <c r="AB357" s="0" t="inlineStr">
        <is>
          <t>인천시</t>
        </is>
      </c>
      <c r="AC357" s="0" t="inlineStr">
        <is>
          <t>남동구</t>
        </is>
      </c>
      <c r="AD357" s="0" t="inlineStr">
        <is>
          <t>간석동</t>
        </is>
      </c>
      <c r="AG357" s="0" t="inlineStr">
        <is>
          <t>인천시 남동구 남동대로916번길 6</t>
        </is>
      </c>
      <c r="AH357" s="0" t="n">
        <v>0</v>
      </c>
      <c r="AI357" s="0" t="n">
        <v>349</v>
      </c>
      <c r="AJ357" s="0" t="n">
        <v>59</v>
      </c>
      <c r="AK357" s="0" t="n">
        <v>48</v>
      </c>
      <c r="AL357" s="0" t="n">
        <v>0.98</v>
      </c>
    </row>
    <row r="358">
      <c r="A358" s="0" t="inlineStr">
        <is>
          <t>[간석동]</t>
        </is>
      </c>
      <c r="B358" s="0" t="n">
        <v>123162</v>
      </c>
      <c r="C358" s="0" t="n">
        <v>1</v>
      </c>
      <c r="D358" s="0" t="inlineStr">
        <is>
          <t>세종케슬</t>
        </is>
      </c>
      <c r="E358" s="0" t="inlineStr">
        <is>
          <t>2017.12.</t>
        </is>
      </c>
      <c r="F358" s="0" t="n">
        <v>8</v>
      </c>
      <c r="G358" s="0" t="n">
        <v>23</v>
      </c>
      <c r="H358" s="0" t="n">
        <v>76.06</v>
      </c>
      <c r="I358" s="0" t="n">
        <v>18.88</v>
      </c>
      <c r="J358" s="0" t="n">
        <v>62.42</v>
      </c>
      <c r="K358" s="0" t="n">
        <v>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76</v>
      </c>
      <c r="X358" s="0" t="n">
        <v>11</v>
      </c>
      <c r="Y358" s="0" t="n">
        <v>11</v>
      </c>
      <c r="Z358" s="0" t="inlineStr">
        <is>
          <t>https://new.land.naver.com/complexes/123162?tab=detail&amp;rf=Y</t>
        </is>
      </c>
      <c r="AA358" s="0" t="inlineStr">
        <is>
          <t>인천시 남동구 간석동 98-2</t>
        </is>
      </c>
      <c r="AB358" s="0" t="inlineStr">
        <is>
          <t>인천시</t>
        </is>
      </c>
      <c r="AC358" s="0" t="inlineStr">
        <is>
          <t>남동구</t>
        </is>
      </c>
      <c r="AD358" s="0" t="inlineStr">
        <is>
          <t>간석동</t>
        </is>
      </c>
      <c r="AG358" s="0" t="inlineStr">
        <is>
          <t>인천시 남동구 간석로42번길 5</t>
        </is>
      </c>
      <c r="AH358" s="0" t="n">
        <v>0</v>
      </c>
      <c r="AI358" s="0" t="n">
        <v>791</v>
      </c>
      <c r="AJ358" s="0" t="n">
        <v>77</v>
      </c>
      <c r="AK358" s="0" t="n">
        <v>8</v>
      </c>
      <c r="AL358" s="0" t="n">
        <v>1</v>
      </c>
    </row>
    <row r="359">
      <c r="A359" s="0" t="inlineStr">
        <is>
          <t>[간석동]</t>
        </is>
      </c>
      <c r="B359" s="0" t="n">
        <v>123162</v>
      </c>
      <c r="C359" s="0" t="n">
        <v>2</v>
      </c>
      <c r="D359" s="0" t="inlineStr">
        <is>
          <t>세종케슬</t>
        </is>
      </c>
      <c r="E359" s="0" t="inlineStr">
        <is>
          <t>2017.12.</t>
        </is>
      </c>
      <c r="F359" s="0" t="n">
        <v>8</v>
      </c>
      <c r="G359" s="0" t="n">
        <v>24.73</v>
      </c>
      <c r="H359" s="0" t="n">
        <v>81.76000000000001</v>
      </c>
      <c r="I359" s="0" t="n">
        <v>20.4</v>
      </c>
      <c r="J359" s="0" t="n">
        <v>67.45999999999999</v>
      </c>
      <c r="K359" s="0" t="n">
        <v>2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81A</t>
        </is>
      </c>
      <c r="X359" s="0" t="n">
        <v>11</v>
      </c>
      <c r="Y359" s="0" t="n">
        <v>11</v>
      </c>
      <c r="Z359" s="0" t="inlineStr">
        <is>
          <t>https://new.land.naver.com/complexes/123162?tab=detail&amp;rf=Y</t>
        </is>
      </c>
      <c r="AA359" s="0" t="inlineStr">
        <is>
          <t>인천시 남동구 간석동 98-2</t>
        </is>
      </c>
      <c r="AB359" s="0" t="inlineStr">
        <is>
          <t>인천시</t>
        </is>
      </c>
      <c r="AC359" s="0" t="inlineStr">
        <is>
          <t>남동구</t>
        </is>
      </c>
      <c r="AD359" s="0" t="inlineStr">
        <is>
          <t>간석동</t>
        </is>
      </c>
      <c r="AG359" s="0" t="inlineStr">
        <is>
          <t>인천시 남동구 간석로42번길 5</t>
        </is>
      </c>
      <c r="AH359" s="0" t="n">
        <v>0</v>
      </c>
      <c r="AI359" s="0" t="n">
        <v>791</v>
      </c>
      <c r="AJ359" s="0" t="n">
        <v>77</v>
      </c>
      <c r="AK359" s="0" t="n">
        <v>8</v>
      </c>
      <c r="AL359" s="0" t="n">
        <v>1</v>
      </c>
    </row>
    <row r="360">
      <c r="A360" s="0" t="inlineStr">
        <is>
          <t>[간석동]</t>
        </is>
      </c>
      <c r="B360" s="0" t="n">
        <v>123162</v>
      </c>
      <c r="C360" s="0" t="n">
        <v>3</v>
      </c>
      <c r="D360" s="0" t="inlineStr">
        <is>
          <t>세종케슬</t>
        </is>
      </c>
      <c r="E360" s="0" t="inlineStr">
        <is>
          <t>2017.12.</t>
        </is>
      </c>
      <c r="F360" s="0" t="n">
        <v>8</v>
      </c>
      <c r="G360" s="0" t="n">
        <v>25.22</v>
      </c>
      <c r="H360" s="0" t="n">
        <v>83.38</v>
      </c>
      <c r="I360" s="0" t="n">
        <v>20.81</v>
      </c>
      <c r="J360" s="0" t="n">
        <v>68.81999999999999</v>
      </c>
      <c r="K360" s="0" t="n">
        <v>2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83B</t>
        </is>
      </c>
      <c r="X360" s="0" t="n">
        <v>11</v>
      </c>
      <c r="Y360" s="0" t="n">
        <v>11</v>
      </c>
      <c r="Z360" s="0" t="inlineStr">
        <is>
          <t>https://new.land.naver.com/complexes/123162?tab=detail&amp;rf=Y</t>
        </is>
      </c>
      <c r="AA360" s="0" t="inlineStr">
        <is>
          <t>인천시 남동구 간석동 98-2</t>
        </is>
      </c>
      <c r="AB360" s="0" t="inlineStr">
        <is>
          <t>인천시</t>
        </is>
      </c>
      <c r="AC360" s="0" t="inlineStr">
        <is>
          <t>남동구</t>
        </is>
      </c>
      <c r="AD360" s="0" t="inlineStr">
        <is>
          <t>간석동</t>
        </is>
      </c>
      <c r="AG360" s="0" t="inlineStr">
        <is>
          <t>인천시 남동구 간석로42번길 5</t>
        </is>
      </c>
      <c r="AH360" s="0" t="n">
        <v>0</v>
      </c>
      <c r="AI360" s="0" t="n">
        <v>791</v>
      </c>
      <c r="AJ360" s="0" t="n">
        <v>77</v>
      </c>
      <c r="AK360" s="0" t="n">
        <v>8</v>
      </c>
      <c r="AL360" s="0" t="n">
        <v>1</v>
      </c>
    </row>
    <row r="361">
      <c r="A361" s="0" t="inlineStr">
        <is>
          <t>[간석동]</t>
        </is>
      </c>
      <c r="B361" s="0" t="n">
        <v>123162</v>
      </c>
      <c r="C361" s="0" t="n">
        <v>4</v>
      </c>
      <c r="D361" s="0" t="inlineStr">
        <is>
          <t>세종케슬</t>
        </is>
      </c>
      <c r="E361" s="0" t="inlineStr">
        <is>
          <t>2017.12.</t>
        </is>
      </c>
      <c r="F361" s="0" t="n">
        <v>8</v>
      </c>
      <c r="G361" s="0" t="n">
        <v>25.42</v>
      </c>
      <c r="H361" s="0" t="n">
        <v>84.06</v>
      </c>
      <c r="I361" s="0" t="n">
        <v>21.12</v>
      </c>
      <c r="J361" s="0" t="n">
        <v>69.84999999999999</v>
      </c>
      <c r="K361" s="0" t="n">
        <v>2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84C</t>
        </is>
      </c>
      <c r="X361" s="0" t="n">
        <v>11</v>
      </c>
      <c r="Y361" s="0" t="n">
        <v>11</v>
      </c>
      <c r="Z361" s="0" t="inlineStr">
        <is>
          <t>https://new.land.naver.com/complexes/123162?tab=detail&amp;rf=Y</t>
        </is>
      </c>
      <c r="AA361" s="0" t="inlineStr">
        <is>
          <t>인천시 남동구 간석동 98-2</t>
        </is>
      </c>
      <c r="AB361" s="0" t="inlineStr">
        <is>
          <t>인천시</t>
        </is>
      </c>
      <c r="AC361" s="0" t="inlineStr">
        <is>
          <t>남동구</t>
        </is>
      </c>
      <c r="AD361" s="0" t="inlineStr">
        <is>
          <t>간석동</t>
        </is>
      </c>
      <c r="AG361" s="0" t="inlineStr">
        <is>
          <t>인천시 남동구 간석로42번길 5</t>
        </is>
      </c>
      <c r="AH361" s="0" t="n">
        <v>0</v>
      </c>
      <c r="AI361" s="0" t="n">
        <v>791</v>
      </c>
      <c r="AJ361" s="0" t="n">
        <v>77</v>
      </c>
      <c r="AK361" s="0" t="n">
        <v>8</v>
      </c>
      <c r="AL361" s="0" t="n">
        <v>1</v>
      </c>
    </row>
    <row r="362">
      <c r="A362" s="0" t="inlineStr">
        <is>
          <t>[간석동]</t>
        </is>
      </c>
      <c r="B362" s="0" t="n">
        <v>120408</v>
      </c>
      <c r="C362" s="0" t="n">
        <v>1</v>
      </c>
      <c r="D362" s="0" t="inlineStr">
        <is>
          <t>팰리스타운</t>
        </is>
      </c>
      <c r="E362" s="0" t="inlineStr">
        <is>
          <t>2012.09.</t>
        </is>
      </c>
      <c r="F362" s="0" t="n">
        <v>16</v>
      </c>
      <c r="G362" s="0" t="n">
        <v>22.34</v>
      </c>
      <c r="H362" s="0" t="n">
        <v>73.88</v>
      </c>
      <c r="I362" s="0" t="n">
        <v>19.15</v>
      </c>
      <c r="J362" s="0" t="n">
        <v>63.33</v>
      </c>
      <c r="K362" s="0" t="n">
        <v>4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73</v>
      </c>
      <c r="X362" s="0" t="n">
        <v>5</v>
      </c>
      <c r="Y362" s="0" t="n">
        <v>5</v>
      </c>
      <c r="Z362" s="0" t="inlineStr">
        <is>
          <t>https://new.land.naver.com/complexes/120408?tab=detail&amp;rf=Y</t>
        </is>
      </c>
      <c r="AA362" s="0" t="inlineStr">
        <is>
          <t>인천시 남동구 간석동 919-1</t>
        </is>
      </c>
      <c r="AB362" s="0" t="inlineStr">
        <is>
          <t>인천시</t>
        </is>
      </c>
      <c r="AC362" s="0" t="inlineStr">
        <is>
          <t>남동구</t>
        </is>
      </c>
      <c r="AD362" s="0" t="inlineStr">
        <is>
          <t>간석동</t>
        </is>
      </c>
      <c r="AG362" s="0" t="inlineStr">
        <is>
          <t>인천시 남동구 호구포로900번길 6</t>
        </is>
      </c>
      <c r="AH362" s="0" t="n">
        <v>0</v>
      </c>
      <c r="AI362" s="0" t="n">
        <v>401</v>
      </c>
      <c r="AJ362" s="0" t="n">
        <v>59</v>
      </c>
      <c r="AK362" s="0" t="n">
        <v>16</v>
      </c>
      <c r="AL362" s="0" t="n">
        <v>1</v>
      </c>
    </row>
    <row r="363">
      <c r="A363" s="0" t="inlineStr">
        <is>
          <t>[간석동]</t>
        </is>
      </c>
      <c r="B363" s="0" t="n">
        <v>120408</v>
      </c>
      <c r="C363" s="0" t="n">
        <v>2</v>
      </c>
      <c r="D363" s="0" t="inlineStr">
        <is>
          <t>팰리스타운</t>
        </is>
      </c>
      <c r="E363" s="0" t="inlineStr">
        <is>
          <t>2012.09.</t>
        </is>
      </c>
      <c r="F363" s="0" t="n">
        <v>16</v>
      </c>
      <c r="G363" s="0" t="n">
        <v>22.93</v>
      </c>
      <c r="H363" s="0" t="n">
        <v>75.81</v>
      </c>
      <c r="I363" s="0" t="n">
        <v>19.65</v>
      </c>
      <c r="J363" s="0" t="n">
        <v>64.98999999999999</v>
      </c>
      <c r="K363" s="0" t="n">
        <v>4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75A</t>
        </is>
      </c>
      <c r="X363" s="0" t="n">
        <v>5</v>
      </c>
      <c r="Y363" s="0" t="n">
        <v>5</v>
      </c>
      <c r="Z363" s="0" t="inlineStr">
        <is>
          <t>https://new.land.naver.com/complexes/120408?tab=detail&amp;rf=Y</t>
        </is>
      </c>
      <c r="AA363" s="0" t="inlineStr">
        <is>
          <t>인천시 남동구 간석동 919-1</t>
        </is>
      </c>
      <c r="AB363" s="0" t="inlineStr">
        <is>
          <t>인천시</t>
        </is>
      </c>
      <c r="AC363" s="0" t="inlineStr">
        <is>
          <t>남동구</t>
        </is>
      </c>
      <c r="AD363" s="0" t="inlineStr">
        <is>
          <t>간석동</t>
        </is>
      </c>
      <c r="AG363" s="0" t="inlineStr">
        <is>
          <t>인천시 남동구 호구포로900번길 6</t>
        </is>
      </c>
      <c r="AH363" s="0" t="n">
        <v>0</v>
      </c>
      <c r="AI363" s="0" t="n">
        <v>401</v>
      </c>
      <c r="AJ363" s="0" t="n">
        <v>59</v>
      </c>
      <c r="AK363" s="0" t="n">
        <v>16</v>
      </c>
      <c r="AL363" s="0" t="n">
        <v>1</v>
      </c>
    </row>
    <row r="364">
      <c r="A364" s="0" t="inlineStr">
        <is>
          <t>[간석동]</t>
        </is>
      </c>
      <c r="B364" s="0" t="n">
        <v>120408</v>
      </c>
      <c r="C364" s="0" t="n">
        <v>3</v>
      </c>
      <c r="D364" s="0" t="inlineStr">
        <is>
          <t>팰리스타운</t>
        </is>
      </c>
      <c r="E364" s="0" t="inlineStr">
        <is>
          <t>2012.09.</t>
        </is>
      </c>
      <c r="F364" s="0" t="n">
        <v>16</v>
      </c>
      <c r="G364" s="0" t="n">
        <v>23.19</v>
      </c>
      <c r="H364" s="0" t="n">
        <v>76.69</v>
      </c>
      <c r="I364" s="0" t="n">
        <v>19.88</v>
      </c>
      <c r="J364" s="0" t="n">
        <v>65.73999999999999</v>
      </c>
      <c r="K364" s="0" t="n">
        <v>4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76B</t>
        </is>
      </c>
      <c r="X364" s="0" t="n">
        <v>5</v>
      </c>
      <c r="Y364" s="0" t="n">
        <v>5</v>
      </c>
      <c r="Z364" s="0" t="inlineStr">
        <is>
          <t>https://new.land.naver.com/complexes/120408?tab=detail&amp;rf=Y</t>
        </is>
      </c>
      <c r="AA364" s="0" t="inlineStr">
        <is>
          <t>인천시 남동구 간석동 919-1</t>
        </is>
      </c>
      <c r="AB364" s="0" t="inlineStr">
        <is>
          <t>인천시</t>
        </is>
      </c>
      <c r="AC364" s="0" t="inlineStr">
        <is>
          <t>남동구</t>
        </is>
      </c>
      <c r="AD364" s="0" t="inlineStr">
        <is>
          <t>간석동</t>
        </is>
      </c>
      <c r="AG364" s="0" t="inlineStr">
        <is>
          <t>인천시 남동구 호구포로900번길 6</t>
        </is>
      </c>
      <c r="AH364" s="0" t="n">
        <v>0</v>
      </c>
      <c r="AI364" s="0" t="n">
        <v>401</v>
      </c>
      <c r="AJ364" s="0" t="n">
        <v>59</v>
      </c>
      <c r="AK364" s="0" t="n">
        <v>16</v>
      </c>
      <c r="AL364" s="0" t="n">
        <v>1</v>
      </c>
    </row>
    <row r="365">
      <c r="A365" s="0" t="inlineStr">
        <is>
          <t>[간석동]</t>
        </is>
      </c>
      <c r="B365" s="0" t="n">
        <v>120408</v>
      </c>
      <c r="C365" s="0" t="n">
        <v>4</v>
      </c>
      <c r="D365" s="0" t="inlineStr">
        <is>
          <t>팰리스타운</t>
        </is>
      </c>
      <c r="E365" s="0" t="inlineStr">
        <is>
          <t>2012.09.</t>
        </is>
      </c>
      <c r="F365" s="0" t="n">
        <v>16</v>
      </c>
      <c r="G365" s="0" t="n">
        <v>23.59</v>
      </c>
      <c r="H365" s="0" t="n">
        <v>78</v>
      </c>
      <c r="I365" s="0" t="n">
        <v>20.22</v>
      </c>
      <c r="J365" s="0" t="n">
        <v>66.86</v>
      </c>
      <c r="K365" s="0" t="n">
        <v>4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78</v>
      </c>
      <c r="X365" s="0" t="n">
        <v>5</v>
      </c>
      <c r="Y365" s="0" t="n">
        <v>5</v>
      </c>
      <c r="Z365" s="0" t="inlineStr">
        <is>
          <t>https://new.land.naver.com/complexes/120408?tab=detail&amp;rf=Y</t>
        </is>
      </c>
      <c r="AA365" s="0" t="inlineStr">
        <is>
          <t>인천시 남동구 간석동 919-1</t>
        </is>
      </c>
      <c r="AB365" s="0" t="inlineStr">
        <is>
          <t>인천시</t>
        </is>
      </c>
      <c r="AC365" s="0" t="inlineStr">
        <is>
          <t>남동구</t>
        </is>
      </c>
      <c r="AD365" s="0" t="inlineStr">
        <is>
          <t>간석동</t>
        </is>
      </c>
      <c r="AG365" s="0" t="inlineStr">
        <is>
          <t>인천시 남동구 호구포로900번길 6</t>
        </is>
      </c>
      <c r="AH365" s="0" t="n">
        <v>0</v>
      </c>
      <c r="AI365" s="0" t="n">
        <v>401</v>
      </c>
      <c r="AJ365" s="0" t="n">
        <v>59</v>
      </c>
      <c r="AK365" s="0" t="n">
        <v>16</v>
      </c>
      <c r="AL365" s="0" t="n">
        <v>1</v>
      </c>
    </row>
    <row r="366">
      <c r="A366" s="0" t="inlineStr">
        <is>
          <t>[간석동]</t>
        </is>
      </c>
      <c r="B366" s="0" t="n">
        <v>103322</v>
      </c>
      <c r="C366" s="0" t="n">
        <v>1</v>
      </c>
      <c r="D366" s="0" t="inlineStr">
        <is>
          <t>세중</t>
        </is>
      </c>
      <c r="E366" s="0" t="inlineStr">
        <is>
          <t>2003.07.</t>
        </is>
      </c>
      <c r="F366" s="0" t="n">
        <v>14</v>
      </c>
      <c r="G366" s="0" t="n">
        <v>28.12</v>
      </c>
      <c r="H366" s="0" t="n">
        <v>92.95999999999999</v>
      </c>
      <c r="I366" s="0" t="n">
        <v>23.19</v>
      </c>
      <c r="J366" s="0" t="n">
        <v>76.69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92</v>
      </c>
      <c r="X366" s="0" t="n">
        <v>9</v>
      </c>
      <c r="Y366" s="0" t="n">
        <v>9</v>
      </c>
      <c r="Z366" s="0" t="inlineStr">
        <is>
          <t>https://new.land.naver.com/complexes/103322?tab=detail&amp;rf=Y</t>
        </is>
      </c>
      <c r="AA366" s="0" t="inlineStr">
        <is>
          <t>인천시 남동구 간석동 93-3</t>
        </is>
      </c>
      <c r="AB366" s="0" t="inlineStr">
        <is>
          <t>인천시</t>
        </is>
      </c>
      <c r="AC366" s="0" t="inlineStr">
        <is>
          <t>남동구</t>
        </is>
      </c>
      <c r="AD366" s="0" t="inlineStr">
        <is>
          <t>간석동</t>
        </is>
      </c>
      <c r="AG366" s="0" t="inlineStr">
        <is>
          <t>인천시 남동구 간석로50번길 13-5</t>
        </is>
      </c>
      <c r="AH366" s="0" t="n">
        <v>0</v>
      </c>
      <c r="AI366" s="0" t="n">
        <v>294</v>
      </c>
      <c r="AJ366" s="0" t="n">
        <v>61</v>
      </c>
      <c r="AK366" s="0" t="n">
        <v>14</v>
      </c>
      <c r="AL366" s="0" t="n">
        <v>1</v>
      </c>
    </row>
    <row r="367">
      <c r="A367" s="0" t="inlineStr">
        <is>
          <t>[간석동]</t>
        </is>
      </c>
      <c r="B367" s="0" t="n">
        <v>2558</v>
      </c>
      <c r="C367" s="0" t="n">
        <v>1</v>
      </c>
      <c r="D367" s="0" t="inlineStr">
        <is>
          <t>희망(1,2동)</t>
        </is>
      </c>
      <c r="E367" s="0" t="inlineStr">
        <is>
          <t>1983.10.</t>
        </is>
      </c>
      <c r="F367" s="0" t="n">
        <v>160</v>
      </c>
      <c r="G367" s="0" t="n">
        <v>22.08</v>
      </c>
      <c r="H367" s="0" t="n">
        <v>73.01000000000001</v>
      </c>
      <c r="I367" s="0" t="n">
        <v>18.67</v>
      </c>
      <c r="J367" s="0" t="n">
        <v>61.74</v>
      </c>
      <c r="K367" s="0" t="n">
        <v>80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73</v>
      </c>
      <c r="X367" s="0" t="n">
        <v>5</v>
      </c>
      <c r="Y367" s="0" t="n">
        <v>5</v>
      </c>
      <c r="Z367" s="0" t="inlineStr">
        <is>
          <t>https://new.land.naver.com/complexes/2558?tab=detail&amp;rf=Y</t>
        </is>
      </c>
      <c r="AA367" s="0" t="inlineStr">
        <is>
          <t>인천시 남동구 간석동 193-2</t>
        </is>
      </c>
      <c r="AB367" s="0" t="inlineStr">
        <is>
          <t>인천시</t>
        </is>
      </c>
      <c r="AC367" s="0" t="inlineStr">
        <is>
          <t>남동구</t>
        </is>
      </c>
      <c r="AD367" s="0" t="inlineStr">
        <is>
          <t>간석동</t>
        </is>
      </c>
      <c r="AG367" s="0" t="inlineStr">
        <is>
          <t>인천시 남동구 석촌로 8</t>
        </is>
      </c>
      <c r="AH367" s="0" t="n">
        <v>0</v>
      </c>
      <c r="AI367" s="0" t="n">
        <v>178</v>
      </c>
      <c r="AJ367" s="0" t="n">
        <v>35</v>
      </c>
      <c r="AK367" s="0" t="n">
        <v>0</v>
      </c>
      <c r="AL367" s="0" t="n">
        <v>0</v>
      </c>
    </row>
    <row r="368">
      <c r="A368" s="0" t="inlineStr">
        <is>
          <t>[간석동]</t>
        </is>
      </c>
      <c r="B368" s="0" t="n">
        <v>2558</v>
      </c>
      <c r="C368" s="0" t="n">
        <v>2</v>
      </c>
      <c r="D368" s="0" t="inlineStr">
        <is>
          <t>희망(1,2동)</t>
        </is>
      </c>
      <c r="E368" s="0" t="inlineStr">
        <is>
          <t>1983.10.</t>
        </is>
      </c>
      <c r="F368" s="0" t="n">
        <v>160</v>
      </c>
      <c r="G368" s="0" t="n">
        <v>23.45</v>
      </c>
      <c r="H368" s="0" t="n">
        <v>77.55</v>
      </c>
      <c r="I368" s="0" t="n">
        <v>19.81</v>
      </c>
      <c r="J368" s="0" t="n">
        <v>65.52</v>
      </c>
      <c r="K368" s="0" t="n">
        <v>80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77</v>
      </c>
      <c r="X368" s="0" t="n">
        <v>5</v>
      </c>
      <c r="Y368" s="0" t="n">
        <v>5</v>
      </c>
      <c r="Z368" s="0" t="inlineStr">
        <is>
          <t>https://new.land.naver.com/complexes/2558?tab=detail&amp;rf=Y</t>
        </is>
      </c>
      <c r="AA368" s="0" t="inlineStr">
        <is>
          <t>인천시 남동구 간석동 193-2</t>
        </is>
      </c>
      <c r="AB368" s="0" t="inlineStr">
        <is>
          <t>인천시</t>
        </is>
      </c>
      <c r="AC368" s="0" t="inlineStr">
        <is>
          <t>남동구</t>
        </is>
      </c>
      <c r="AD368" s="0" t="inlineStr">
        <is>
          <t>간석동</t>
        </is>
      </c>
      <c r="AG368" s="0" t="inlineStr">
        <is>
          <t>인천시 남동구 석촌로 8</t>
        </is>
      </c>
      <c r="AH368" s="0" t="n">
        <v>0</v>
      </c>
      <c r="AI368" s="0" t="n">
        <v>178</v>
      </c>
      <c r="AJ368" s="0" t="n">
        <v>35</v>
      </c>
      <c r="AK368" s="0" t="n">
        <v>0</v>
      </c>
      <c r="AL368" s="0" t="n">
        <v>0</v>
      </c>
    </row>
    <row r="369">
      <c r="A369" s="0" t="inlineStr">
        <is>
          <t>[간석동]</t>
        </is>
      </c>
      <c r="B369" s="0" t="n">
        <v>114793</v>
      </c>
      <c r="C369" s="0" t="n">
        <v>1</v>
      </c>
      <c r="D369" s="0" t="inlineStr">
        <is>
          <t>간석오피앙(도시형)</t>
        </is>
      </c>
      <c r="E369" s="0" t="inlineStr">
        <is>
          <t>2007.03.</t>
        </is>
      </c>
      <c r="F369" s="0" t="n">
        <v>56</v>
      </c>
      <c r="G369" s="0" t="n">
        <v>5.8</v>
      </c>
      <c r="H369" s="0" t="n">
        <v>19.18</v>
      </c>
      <c r="I369" s="0" t="n">
        <v>3.63</v>
      </c>
      <c r="J369" s="0" t="n">
        <v>12</v>
      </c>
      <c r="K369" s="0" t="n">
        <v>9</v>
      </c>
      <c r="T369" s="0" t="n">
        <v>1</v>
      </c>
      <c r="U369" s="0" t="n">
        <v>1</v>
      </c>
      <c r="V369" s="0" t="inlineStr">
        <is>
          <t>복도식</t>
        </is>
      </c>
      <c r="W369" s="0" t="inlineStr">
        <is>
          <t>19B</t>
        </is>
      </c>
      <c r="X369" s="0" t="n">
        <v>3</v>
      </c>
      <c r="Y369" s="0" t="n">
        <v>3</v>
      </c>
      <c r="Z369" s="0" t="inlineStr">
        <is>
          <t>https://new.land.naver.com/complexes/114793?tab=detail&amp;rf=Y</t>
        </is>
      </c>
      <c r="AA369" s="0" t="inlineStr">
        <is>
          <t>인천시 남동구 간석동 250-1</t>
        </is>
      </c>
      <c r="AB369" s="0" t="inlineStr">
        <is>
          <t>인천시</t>
        </is>
      </c>
      <c r="AC369" s="0" t="inlineStr">
        <is>
          <t>남동구</t>
        </is>
      </c>
      <c r="AD369" s="0" t="inlineStr">
        <is>
          <t>간석동</t>
        </is>
      </c>
      <c r="AG369" s="0" t="inlineStr">
        <is>
          <t>인천시 남동구 경인로 611</t>
        </is>
      </c>
      <c r="AH369" s="0" t="n">
        <v>0</v>
      </c>
      <c r="AI369" s="0" t="n">
        <v>918</v>
      </c>
      <c r="AJ369" s="0" t="n">
        <v>78</v>
      </c>
      <c r="AK369" s="0" t="n">
        <v>69</v>
      </c>
      <c r="AL369" s="0" t="n">
        <v>1.23</v>
      </c>
    </row>
    <row r="370">
      <c r="A370" s="0" t="inlineStr">
        <is>
          <t>[간석동]</t>
        </is>
      </c>
      <c r="B370" s="0" t="n">
        <v>114793</v>
      </c>
      <c r="C370" s="0" t="n">
        <v>2</v>
      </c>
      <c r="D370" s="0" t="inlineStr">
        <is>
          <t>간석오피앙(도시형)</t>
        </is>
      </c>
      <c r="E370" s="0" t="inlineStr">
        <is>
          <t>2007.03.</t>
        </is>
      </c>
      <c r="F370" s="0" t="n">
        <v>56</v>
      </c>
      <c r="G370" s="0" t="n">
        <v>5.8</v>
      </c>
      <c r="H370" s="0" t="n">
        <v>19.2</v>
      </c>
      <c r="I370" s="0" t="n">
        <v>3.63</v>
      </c>
      <c r="J370" s="0" t="n">
        <v>12.02</v>
      </c>
      <c r="K370" s="0" t="n">
        <v>9</v>
      </c>
      <c r="T370" s="0" t="n">
        <v>1</v>
      </c>
      <c r="U370" s="0" t="n">
        <v>1</v>
      </c>
      <c r="V370" s="0" t="inlineStr">
        <is>
          <t>복도식</t>
        </is>
      </c>
      <c r="W370" s="0" t="inlineStr">
        <is>
          <t>19C</t>
        </is>
      </c>
      <c r="X370" s="0" t="n">
        <v>3</v>
      </c>
      <c r="Y370" s="0" t="n">
        <v>3</v>
      </c>
      <c r="Z370" s="0" t="inlineStr">
        <is>
          <t>https://new.land.naver.com/complexes/114793?tab=detail&amp;rf=Y</t>
        </is>
      </c>
      <c r="AA370" s="0" t="inlineStr">
        <is>
          <t>인천시 남동구 간석동 250-1</t>
        </is>
      </c>
      <c r="AB370" s="0" t="inlineStr">
        <is>
          <t>인천시</t>
        </is>
      </c>
      <c r="AC370" s="0" t="inlineStr">
        <is>
          <t>남동구</t>
        </is>
      </c>
      <c r="AD370" s="0" t="inlineStr">
        <is>
          <t>간석동</t>
        </is>
      </c>
      <c r="AG370" s="0" t="inlineStr">
        <is>
          <t>인천시 남동구 경인로 611</t>
        </is>
      </c>
      <c r="AH370" s="0" t="n">
        <v>0</v>
      </c>
      <c r="AI370" s="0" t="n">
        <v>918</v>
      </c>
      <c r="AJ370" s="0" t="n">
        <v>78</v>
      </c>
      <c r="AK370" s="0" t="n">
        <v>69</v>
      </c>
      <c r="AL370" s="0" t="n">
        <v>1.23</v>
      </c>
    </row>
    <row r="371">
      <c r="A371" s="0" t="inlineStr">
        <is>
          <t>[간석동]</t>
        </is>
      </c>
      <c r="B371" s="0" t="n">
        <v>114793</v>
      </c>
      <c r="C371" s="0" t="n">
        <v>3</v>
      </c>
      <c r="D371" s="0" t="inlineStr">
        <is>
          <t>간석오피앙(도시형)</t>
        </is>
      </c>
      <c r="E371" s="0" t="inlineStr">
        <is>
          <t>2007.03.</t>
        </is>
      </c>
      <c r="F371" s="0" t="n">
        <v>56</v>
      </c>
      <c r="G371" s="0" t="n">
        <v>5.9</v>
      </c>
      <c r="H371" s="0" t="n">
        <v>19.52</v>
      </c>
      <c r="I371" s="0" t="n">
        <v>3.69</v>
      </c>
      <c r="J371" s="0" t="n">
        <v>12.22</v>
      </c>
      <c r="K371" s="0" t="n">
        <v>5</v>
      </c>
      <c r="T371" s="0" t="n">
        <v>3</v>
      </c>
      <c r="U371" s="0" t="n">
        <v>2</v>
      </c>
      <c r="V371" s="0" t="inlineStr">
        <is>
          <t>복도식</t>
        </is>
      </c>
      <c r="W371" s="0" t="inlineStr">
        <is>
          <t>19D</t>
        </is>
      </c>
      <c r="X371" s="0" t="n">
        <v>3</v>
      </c>
      <c r="Y371" s="0" t="n">
        <v>3</v>
      </c>
      <c r="Z371" s="0" t="inlineStr">
        <is>
          <t>https://new.land.naver.com/complexes/114793?tab=detail&amp;rf=Y</t>
        </is>
      </c>
      <c r="AA371" s="0" t="inlineStr">
        <is>
          <t>인천시 남동구 간석동 250-1</t>
        </is>
      </c>
      <c r="AB371" s="0" t="inlineStr">
        <is>
          <t>인천시</t>
        </is>
      </c>
      <c r="AC371" s="0" t="inlineStr">
        <is>
          <t>남동구</t>
        </is>
      </c>
      <c r="AD371" s="0" t="inlineStr">
        <is>
          <t>간석동</t>
        </is>
      </c>
      <c r="AG371" s="0" t="inlineStr">
        <is>
          <t>인천시 남동구 경인로 611</t>
        </is>
      </c>
      <c r="AH371" s="0" t="n">
        <v>0</v>
      </c>
      <c r="AI371" s="0" t="n">
        <v>918</v>
      </c>
      <c r="AJ371" s="0" t="n">
        <v>78</v>
      </c>
      <c r="AK371" s="0" t="n">
        <v>69</v>
      </c>
      <c r="AL371" s="0" t="n">
        <v>1.23</v>
      </c>
    </row>
    <row r="372">
      <c r="A372" s="0" t="inlineStr">
        <is>
          <t>[간석동]</t>
        </is>
      </c>
      <c r="B372" s="0" t="n">
        <v>114793</v>
      </c>
      <c r="C372" s="0" t="n">
        <v>4</v>
      </c>
      <c r="D372" s="0" t="inlineStr">
        <is>
          <t>간석오피앙(도시형)</t>
        </is>
      </c>
      <c r="E372" s="0" t="inlineStr">
        <is>
          <t>2007.03.</t>
        </is>
      </c>
      <c r="F372" s="0" t="n">
        <v>56</v>
      </c>
      <c r="G372" s="0" t="n">
        <v>5.78</v>
      </c>
      <c r="H372" s="0" t="n">
        <v>19.14</v>
      </c>
      <c r="I372" s="0" t="n">
        <v>3.62</v>
      </c>
      <c r="J372" s="0" t="n">
        <v>11.98</v>
      </c>
      <c r="K372" s="0" t="n">
        <v>1</v>
      </c>
      <c r="T372" s="0" t="n">
        <v>1</v>
      </c>
      <c r="U372" s="0" t="n">
        <v>1</v>
      </c>
      <c r="V372" s="0" t="inlineStr">
        <is>
          <t>복도식</t>
        </is>
      </c>
      <c r="W372" s="0" t="inlineStr">
        <is>
          <t>19A</t>
        </is>
      </c>
      <c r="X372" s="0" t="n">
        <v>3</v>
      </c>
      <c r="Y372" s="0" t="n">
        <v>3</v>
      </c>
      <c r="Z372" s="0" t="inlineStr">
        <is>
          <t>https://new.land.naver.com/complexes/114793?tab=detail&amp;rf=Y</t>
        </is>
      </c>
      <c r="AA372" s="0" t="inlineStr">
        <is>
          <t>인천시 남동구 간석동 250-1</t>
        </is>
      </c>
      <c r="AB372" s="0" t="inlineStr">
        <is>
          <t>인천시</t>
        </is>
      </c>
      <c r="AC372" s="0" t="inlineStr">
        <is>
          <t>남동구</t>
        </is>
      </c>
      <c r="AD372" s="0" t="inlineStr">
        <is>
          <t>간석동</t>
        </is>
      </c>
      <c r="AG372" s="0" t="inlineStr">
        <is>
          <t>인천시 남동구 경인로 611</t>
        </is>
      </c>
      <c r="AH372" s="0" t="n">
        <v>0</v>
      </c>
      <c r="AI372" s="0" t="n">
        <v>918</v>
      </c>
      <c r="AJ372" s="0" t="n">
        <v>78</v>
      </c>
      <c r="AK372" s="0" t="n">
        <v>69</v>
      </c>
      <c r="AL372" s="0" t="n">
        <v>1.23</v>
      </c>
    </row>
    <row r="373">
      <c r="A373" s="0" t="inlineStr">
        <is>
          <t>[간석동]</t>
        </is>
      </c>
      <c r="B373" s="0" t="n">
        <v>114793</v>
      </c>
      <c r="C373" s="0" t="n">
        <v>5</v>
      </c>
      <c r="D373" s="0" t="inlineStr">
        <is>
          <t>간석오피앙(도시형)</t>
        </is>
      </c>
      <c r="E373" s="0" t="inlineStr">
        <is>
          <t>2007.03.</t>
        </is>
      </c>
      <c r="F373" s="0" t="n">
        <v>56</v>
      </c>
      <c r="G373" s="0" t="n">
        <v>5.96</v>
      </c>
      <c r="H373" s="0" t="n">
        <v>19.73</v>
      </c>
      <c r="I373" s="0" t="n">
        <v>3.73</v>
      </c>
      <c r="J373" s="0" t="n">
        <v>12.35</v>
      </c>
      <c r="K373" s="0" t="n">
        <v>1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19E</t>
        </is>
      </c>
      <c r="X373" s="0" t="n">
        <v>3</v>
      </c>
      <c r="Y373" s="0" t="n">
        <v>3</v>
      </c>
      <c r="Z373" s="0" t="inlineStr">
        <is>
          <t>https://new.land.naver.com/complexes/114793?tab=detail&amp;rf=Y</t>
        </is>
      </c>
      <c r="AA373" s="0" t="inlineStr">
        <is>
          <t>인천시 남동구 간석동 250-1</t>
        </is>
      </c>
      <c r="AB373" s="0" t="inlineStr">
        <is>
          <t>인천시</t>
        </is>
      </c>
      <c r="AC373" s="0" t="inlineStr">
        <is>
          <t>남동구</t>
        </is>
      </c>
      <c r="AD373" s="0" t="inlineStr">
        <is>
          <t>간석동</t>
        </is>
      </c>
      <c r="AG373" s="0" t="inlineStr">
        <is>
          <t>인천시 남동구 경인로 611</t>
        </is>
      </c>
      <c r="AH373" s="0" t="n">
        <v>0</v>
      </c>
      <c r="AI373" s="0" t="n">
        <v>918</v>
      </c>
      <c r="AJ373" s="0" t="n">
        <v>78</v>
      </c>
      <c r="AK373" s="0" t="n">
        <v>69</v>
      </c>
      <c r="AL373" s="0" t="n">
        <v>1.23</v>
      </c>
    </row>
    <row r="374">
      <c r="A374" s="0" t="inlineStr">
        <is>
          <t>[간석동]</t>
        </is>
      </c>
      <c r="B374" s="0" t="n">
        <v>114793</v>
      </c>
      <c r="C374" s="0" t="n">
        <v>6</v>
      </c>
      <c r="D374" s="0" t="inlineStr">
        <is>
          <t>간석오피앙(도시형)</t>
        </is>
      </c>
      <c r="E374" s="0" t="inlineStr">
        <is>
          <t>2007.03.</t>
        </is>
      </c>
      <c r="F374" s="0" t="n">
        <v>56</v>
      </c>
      <c r="G374" s="0" t="n">
        <v>6.29</v>
      </c>
      <c r="H374" s="0" t="n">
        <v>20.8</v>
      </c>
      <c r="I374" s="0" t="n">
        <v>3.93</v>
      </c>
      <c r="J374" s="0" t="n">
        <v>13.02</v>
      </c>
      <c r="K374" s="0" t="n">
        <v>3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20G</t>
        </is>
      </c>
      <c r="X374" s="0" t="n">
        <v>3</v>
      </c>
      <c r="Y374" s="0" t="n">
        <v>3</v>
      </c>
      <c r="Z374" s="0" t="inlineStr">
        <is>
          <t>https://new.land.naver.com/complexes/114793?tab=detail&amp;rf=Y</t>
        </is>
      </c>
      <c r="AA374" s="0" t="inlineStr">
        <is>
          <t>인천시 남동구 간석동 250-1</t>
        </is>
      </c>
      <c r="AB374" s="0" t="inlineStr">
        <is>
          <t>인천시</t>
        </is>
      </c>
      <c r="AC374" s="0" t="inlineStr">
        <is>
          <t>남동구</t>
        </is>
      </c>
      <c r="AD374" s="0" t="inlineStr">
        <is>
          <t>간석동</t>
        </is>
      </c>
      <c r="AG374" s="0" t="inlineStr">
        <is>
          <t>인천시 남동구 경인로 611</t>
        </is>
      </c>
      <c r="AH374" s="0" t="n">
        <v>0</v>
      </c>
      <c r="AI374" s="0" t="n">
        <v>918</v>
      </c>
      <c r="AJ374" s="0" t="n">
        <v>78</v>
      </c>
      <c r="AK374" s="0" t="n">
        <v>69</v>
      </c>
      <c r="AL374" s="0" t="n">
        <v>1.23</v>
      </c>
    </row>
    <row r="375">
      <c r="A375" s="0" t="inlineStr">
        <is>
          <t>[간석동]</t>
        </is>
      </c>
      <c r="B375" s="0" t="n">
        <v>114793</v>
      </c>
      <c r="C375" s="0" t="n">
        <v>7</v>
      </c>
      <c r="D375" s="0" t="inlineStr">
        <is>
          <t>간석오피앙(도시형)</t>
        </is>
      </c>
      <c r="E375" s="0" t="inlineStr">
        <is>
          <t>2007.03.</t>
        </is>
      </c>
      <c r="F375" s="0" t="n">
        <v>56</v>
      </c>
      <c r="G375" s="0" t="n">
        <v>6.34</v>
      </c>
      <c r="H375" s="0" t="n">
        <v>20.98</v>
      </c>
      <c r="I375" s="0" t="n">
        <v>3.97</v>
      </c>
      <c r="J375" s="0" t="n">
        <v>13.13</v>
      </c>
      <c r="K375" s="0" t="n">
        <v>2</v>
      </c>
      <c r="T375" s="0" t="n">
        <v>1</v>
      </c>
      <c r="U375" s="0" t="n">
        <v>1</v>
      </c>
      <c r="V375" s="0" t="inlineStr">
        <is>
          <t>복도식</t>
        </is>
      </c>
      <c r="W375" s="0" t="inlineStr">
        <is>
          <t>20I</t>
        </is>
      </c>
      <c r="X375" s="0" t="n">
        <v>3</v>
      </c>
      <c r="Y375" s="0" t="n">
        <v>3</v>
      </c>
      <c r="Z375" s="0" t="inlineStr">
        <is>
          <t>https://new.land.naver.com/complexes/114793?tab=detail&amp;rf=Y</t>
        </is>
      </c>
      <c r="AA375" s="0" t="inlineStr">
        <is>
          <t>인천시 남동구 간석동 250-1</t>
        </is>
      </c>
      <c r="AB375" s="0" t="inlineStr">
        <is>
          <t>인천시</t>
        </is>
      </c>
      <c r="AC375" s="0" t="inlineStr">
        <is>
          <t>남동구</t>
        </is>
      </c>
      <c r="AD375" s="0" t="inlineStr">
        <is>
          <t>간석동</t>
        </is>
      </c>
      <c r="AG375" s="0" t="inlineStr">
        <is>
          <t>인천시 남동구 경인로 611</t>
        </is>
      </c>
      <c r="AH375" s="0" t="n">
        <v>0</v>
      </c>
      <c r="AI375" s="0" t="n">
        <v>918</v>
      </c>
      <c r="AJ375" s="0" t="n">
        <v>78</v>
      </c>
      <c r="AK375" s="0" t="n">
        <v>69</v>
      </c>
      <c r="AL375" s="0" t="n">
        <v>1.23</v>
      </c>
    </row>
    <row r="376">
      <c r="A376" s="0" t="inlineStr">
        <is>
          <t>[간석동]</t>
        </is>
      </c>
      <c r="B376" s="0" t="n">
        <v>114793</v>
      </c>
      <c r="C376" s="0" t="n">
        <v>8</v>
      </c>
      <c r="D376" s="0" t="inlineStr">
        <is>
          <t>간석오피앙(도시형)</t>
        </is>
      </c>
      <c r="E376" s="0" t="inlineStr">
        <is>
          <t>2007.03.</t>
        </is>
      </c>
      <c r="F376" s="0" t="n">
        <v>56</v>
      </c>
      <c r="G376" s="0" t="n">
        <v>6.26</v>
      </c>
      <c r="H376" s="0" t="n">
        <v>20.71</v>
      </c>
      <c r="I376" s="0" t="n">
        <v>3.92</v>
      </c>
      <c r="J376" s="0" t="n">
        <v>12.96</v>
      </c>
      <c r="K376" s="0" t="n">
        <v>1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20F</t>
        </is>
      </c>
      <c r="X376" s="0" t="n">
        <v>3</v>
      </c>
      <c r="Y376" s="0" t="n">
        <v>3</v>
      </c>
      <c r="Z376" s="0" t="inlineStr">
        <is>
          <t>https://new.land.naver.com/complexes/114793?tab=detail&amp;rf=Y</t>
        </is>
      </c>
      <c r="AA376" s="0" t="inlineStr">
        <is>
          <t>인천시 남동구 간석동 250-1</t>
        </is>
      </c>
      <c r="AB376" s="0" t="inlineStr">
        <is>
          <t>인천시</t>
        </is>
      </c>
      <c r="AC376" s="0" t="inlineStr">
        <is>
          <t>남동구</t>
        </is>
      </c>
      <c r="AD376" s="0" t="inlineStr">
        <is>
          <t>간석동</t>
        </is>
      </c>
      <c r="AG376" s="0" t="inlineStr">
        <is>
          <t>인천시 남동구 경인로 611</t>
        </is>
      </c>
      <c r="AH376" s="0" t="n">
        <v>0</v>
      </c>
      <c r="AI376" s="0" t="n">
        <v>918</v>
      </c>
      <c r="AJ376" s="0" t="n">
        <v>78</v>
      </c>
      <c r="AK376" s="0" t="n">
        <v>69</v>
      </c>
      <c r="AL376" s="0" t="n">
        <v>1.23</v>
      </c>
    </row>
    <row r="377">
      <c r="A377" s="0" t="inlineStr">
        <is>
          <t>[간석동]</t>
        </is>
      </c>
      <c r="B377" s="0" t="n">
        <v>114793</v>
      </c>
      <c r="C377" s="0" t="n">
        <v>9</v>
      </c>
      <c r="D377" s="0" t="inlineStr">
        <is>
          <t>간석오피앙(도시형)</t>
        </is>
      </c>
      <c r="E377" s="0" t="inlineStr">
        <is>
          <t>2007.03.</t>
        </is>
      </c>
      <c r="F377" s="0" t="n">
        <v>56</v>
      </c>
      <c r="G377" s="0" t="n">
        <v>6.34</v>
      </c>
      <c r="H377" s="0" t="n">
        <v>20.98</v>
      </c>
      <c r="I377" s="0" t="n">
        <v>3.97</v>
      </c>
      <c r="J377" s="0" t="n">
        <v>13.13</v>
      </c>
      <c r="K377" s="0" t="n">
        <v>1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20H</t>
        </is>
      </c>
      <c r="X377" s="0" t="n">
        <v>3</v>
      </c>
      <c r="Y377" s="0" t="n">
        <v>3</v>
      </c>
      <c r="Z377" s="0" t="inlineStr">
        <is>
          <t>https://new.land.naver.com/complexes/114793?tab=detail&amp;rf=Y</t>
        </is>
      </c>
      <c r="AA377" s="0" t="inlineStr">
        <is>
          <t>인천시 남동구 간석동 250-1</t>
        </is>
      </c>
      <c r="AB377" s="0" t="inlineStr">
        <is>
          <t>인천시</t>
        </is>
      </c>
      <c r="AC377" s="0" t="inlineStr">
        <is>
          <t>남동구</t>
        </is>
      </c>
      <c r="AD377" s="0" t="inlineStr">
        <is>
          <t>간석동</t>
        </is>
      </c>
      <c r="AG377" s="0" t="inlineStr">
        <is>
          <t>인천시 남동구 경인로 611</t>
        </is>
      </c>
      <c r="AH377" s="0" t="n">
        <v>0</v>
      </c>
      <c r="AI377" s="0" t="n">
        <v>918</v>
      </c>
      <c r="AJ377" s="0" t="n">
        <v>78</v>
      </c>
      <c r="AK377" s="0" t="n">
        <v>69</v>
      </c>
      <c r="AL377" s="0" t="n">
        <v>1.23</v>
      </c>
    </row>
    <row r="378">
      <c r="A378" s="0" t="inlineStr">
        <is>
          <t>[간석동]</t>
        </is>
      </c>
      <c r="B378" s="0" t="n">
        <v>114793</v>
      </c>
      <c r="C378" s="0" t="n">
        <v>10</v>
      </c>
      <c r="D378" s="0" t="inlineStr">
        <is>
          <t>간석오피앙(도시형)</t>
        </is>
      </c>
      <c r="E378" s="0" t="inlineStr">
        <is>
          <t>2007.03.</t>
        </is>
      </c>
      <c r="F378" s="0" t="n">
        <v>56</v>
      </c>
      <c r="G378" s="0" t="n">
        <v>6.44</v>
      </c>
      <c r="H378" s="0" t="n">
        <v>21.31</v>
      </c>
      <c r="I378" s="0" t="n">
        <v>4.03</v>
      </c>
      <c r="J378" s="0" t="n">
        <v>13.34</v>
      </c>
      <c r="K378" s="0" t="n">
        <v>1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21J</t>
        </is>
      </c>
      <c r="X378" s="0" t="n">
        <v>3</v>
      </c>
      <c r="Y378" s="0" t="n">
        <v>3</v>
      </c>
      <c r="Z378" s="0" t="inlineStr">
        <is>
          <t>https://new.land.naver.com/complexes/114793?tab=detail&amp;rf=Y</t>
        </is>
      </c>
      <c r="AA378" s="0" t="inlineStr">
        <is>
          <t>인천시 남동구 간석동 250-1</t>
        </is>
      </c>
      <c r="AB378" s="0" t="inlineStr">
        <is>
          <t>인천시</t>
        </is>
      </c>
      <c r="AC378" s="0" t="inlineStr">
        <is>
          <t>남동구</t>
        </is>
      </c>
      <c r="AD378" s="0" t="inlineStr">
        <is>
          <t>간석동</t>
        </is>
      </c>
      <c r="AG378" s="0" t="inlineStr">
        <is>
          <t>인천시 남동구 경인로 611</t>
        </is>
      </c>
      <c r="AH378" s="0" t="n">
        <v>0</v>
      </c>
      <c r="AI378" s="0" t="n">
        <v>918</v>
      </c>
      <c r="AJ378" s="0" t="n">
        <v>78</v>
      </c>
      <c r="AK378" s="0" t="n">
        <v>69</v>
      </c>
      <c r="AL378" s="0" t="n">
        <v>1.23</v>
      </c>
    </row>
    <row r="379">
      <c r="A379" s="0" t="inlineStr">
        <is>
          <t>[간석동]</t>
        </is>
      </c>
      <c r="B379" s="0" t="n">
        <v>114793</v>
      </c>
      <c r="C379" s="0" t="n">
        <v>11</v>
      </c>
      <c r="D379" s="0" t="inlineStr">
        <is>
          <t>간석오피앙(도시형)</t>
        </is>
      </c>
      <c r="E379" s="0" t="inlineStr">
        <is>
          <t>2007.03.</t>
        </is>
      </c>
      <c r="F379" s="0" t="n">
        <v>56</v>
      </c>
      <c r="G379" s="0" t="n">
        <v>7.21</v>
      </c>
      <c r="H379" s="0" t="n">
        <v>23.84</v>
      </c>
      <c r="I379" s="0" t="n">
        <v>4.53</v>
      </c>
      <c r="J379" s="0" t="n">
        <v>14.98</v>
      </c>
      <c r="K379" s="0" t="n">
        <v>2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23B</t>
        </is>
      </c>
      <c r="X379" s="0" t="n">
        <v>3</v>
      </c>
      <c r="Y379" s="0" t="n">
        <v>3</v>
      </c>
      <c r="Z379" s="0" t="inlineStr">
        <is>
          <t>https://new.land.naver.com/complexes/114793?tab=detail&amp;rf=Y</t>
        </is>
      </c>
      <c r="AA379" s="0" t="inlineStr">
        <is>
          <t>인천시 남동구 간석동 250-1</t>
        </is>
      </c>
      <c r="AB379" s="0" t="inlineStr">
        <is>
          <t>인천시</t>
        </is>
      </c>
      <c r="AC379" s="0" t="inlineStr">
        <is>
          <t>남동구</t>
        </is>
      </c>
      <c r="AD379" s="0" t="inlineStr">
        <is>
          <t>간석동</t>
        </is>
      </c>
      <c r="AG379" s="0" t="inlineStr">
        <is>
          <t>인천시 남동구 경인로 611</t>
        </is>
      </c>
      <c r="AH379" s="0" t="n">
        <v>0</v>
      </c>
      <c r="AI379" s="0" t="n">
        <v>918</v>
      </c>
      <c r="AJ379" s="0" t="n">
        <v>78</v>
      </c>
      <c r="AK379" s="0" t="n">
        <v>69</v>
      </c>
      <c r="AL379" s="0" t="n">
        <v>1.23</v>
      </c>
    </row>
    <row r="380">
      <c r="A380" s="0" t="inlineStr">
        <is>
          <t>[간석동]</t>
        </is>
      </c>
      <c r="B380" s="0" t="n">
        <v>114793</v>
      </c>
      <c r="C380" s="0" t="n">
        <v>12</v>
      </c>
      <c r="D380" s="0" t="inlineStr">
        <is>
          <t>간석오피앙(도시형)</t>
        </is>
      </c>
      <c r="E380" s="0" t="inlineStr">
        <is>
          <t>2007.03.</t>
        </is>
      </c>
      <c r="F380" s="0" t="n">
        <v>56</v>
      </c>
      <c r="G380" s="0" t="n">
        <v>7.13</v>
      </c>
      <c r="H380" s="0" t="n">
        <v>23.58</v>
      </c>
      <c r="I380" s="0" t="n">
        <v>4.46</v>
      </c>
      <c r="J380" s="0" t="n">
        <v>14.76</v>
      </c>
      <c r="K380" s="0" t="n">
        <v>1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23A</t>
        </is>
      </c>
      <c r="X380" s="0" t="n">
        <v>3</v>
      </c>
      <c r="Y380" s="0" t="n">
        <v>3</v>
      </c>
      <c r="Z380" s="0" t="inlineStr">
        <is>
          <t>https://new.land.naver.com/complexes/114793?tab=detail&amp;rf=Y</t>
        </is>
      </c>
      <c r="AA380" s="0" t="inlineStr">
        <is>
          <t>인천시 남동구 간석동 250-1</t>
        </is>
      </c>
      <c r="AB380" s="0" t="inlineStr">
        <is>
          <t>인천시</t>
        </is>
      </c>
      <c r="AC380" s="0" t="inlineStr">
        <is>
          <t>남동구</t>
        </is>
      </c>
      <c r="AD380" s="0" t="inlineStr">
        <is>
          <t>간석동</t>
        </is>
      </c>
      <c r="AG380" s="0" t="inlineStr">
        <is>
          <t>인천시 남동구 경인로 611</t>
        </is>
      </c>
      <c r="AH380" s="0" t="n">
        <v>0</v>
      </c>
      <c r="AI380" s="0" t="n">
        <v>918</v>
      </c>
      <c r="AJ380" s="0" t="n">
        <v>78</v>
      </c>
      <c r="AK380" s="0" t="n">
        <v>69</v>
      </c>
      <c r="AL380" s="0" t="n">
        <v>1.23</v>
      </c>
    </row>
    <row r="381">
      <c r="A381" s="0" t="inlineStr">
        <is>
          <t>[간석동]</t>
        </is>
      </c>
      <c r="B381" s="0" t="n">
        <v>114793</v>
      </c>
      <c r="C381" s="0" t="n">
        <v>13</v>
      </c>
      <c r="D381" s="0" t="inlineStr">
        <is>
          <t>간석오피앙(도시형)</t>
        </is>
      </c>
      <c r="E381" s="0" t="inlineStr">
        <is>
          <t>2007.03.</t>
        </is>
      </c>
      <c r="F381" s="0" t="n">
        <v>56</v>
      </c>
      <c r="G381" s="0" t="n">
        <v>7.26</v>
      </c>
      <c r="H381" s="0" t="n">
        <v>24</v>
      </c>
      <c r="I381" s="0" t="n">
        <v>4.54</v>
      </c>
      <c r="J381" s="0" t="n">
        <v>15.02</v>
      </c>
      <c r="K381" s="0" t="n">
        <v>9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24C</t>
        </is>
      </c>
      <c r="X381" s="0" t="n">
        <v>3</v>
      </c>
      <c r="Y381" s="0" t="n">
        <v>3</v>
      </c>
      <c r="Z381" s="0" t="inlineStr">
        <is>
          <t>https://new.land.naver.com/complexes/114793?tab=detail&amp;rf=Y</t>
        </is>
      </c>
      <c r="AA381" s="0" t="inlineStr">
        <is>
          <t>인천시 남동구 간석동 250-1</t>
        </is>
      </c>
      <c r="AB381" s="0" t="inlineStr">
        <is>
          <t>인천시</t>
        </is>
      </c>
      <c r="AC381" s="0" t="inlineStr">
        <is>
          <t>남동구</t>
        </is>
      </c>
      <c r="AD381" s="0" t="inlineStr">
        <is>
          <t>간석동</t>
        </is>
      </c>
      <c r="AG381" s="0" t="inlineStr">
        <is>
          <t>인천시 남동구 경인로 611</t>
        </is>
      </c>
      <c r="AH381" s="0" t="n">
        <v>0</v>
      </c>
      <c r="AI381" s="0" t="n">
        <v>918</v>
      </c>
      <c r="AJ381" s="0" t="n">
        <v>78</v>
      </c>
      <c r="AK381" s="0" t="n">
        <v>69</v>
      </c>
      <c r="AL381" s="0" t="n">
        <v>1.23</v>
      </c>
    </row>
    <row r="382">
      <c r="A382" s="0" t="inlineStr">
        <is>
          <t>[간석동]</t>
        </is>
      </c>
      <c r="B382" s="0" t="n">
        <v>114793</v>
      </c>
      <c r="C382" s="0" t="n">
        <v>14</v>
      </c>
      <c r="D382" s="0" t="inlineStr">
        <is>
          <t>간석오피앙(도시형)</t>
        </is>
      </c>
      <c r="E382" s="0" t="inlineStr">
        <is>
          <t>2007.03.</t>
        </is>
      </c>
      <c r="F382" s="0" t="n">
        <v>56</v>
      </c>
      <c r="G382" s="0" t="n">
        <v>7.7</v>
      </c>
      <c r="H382" s="0" t="n">
        <v>25.47</v>
      </c>
      <c r="I382" s="0" t="n">
        <v>4.82</v>
      </c>
      <c r="J382" s="0" t="n">
        <v>15.94</v>
      </c>
      <c r="K382" s="0" t="n">
        <v>2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25</v>
      </c>
      <c r="X382" s="0" t="n">
        <v>3</v>
      </c>
      <c r="Y382" s="0" t="n">
        <v>3</v>
      </c>
      <c r="Z382" s="0" t="inlineStr">
        <is>
          <t>https://new.land.naver.com/complexes/114793?tab=detail&amp;rf=Y</t>
        </is>
      </c>
      <c r="AA382" s="0" t="inlineStr">
        <is>
          <t>인천시 남동구 간석동 250-1</t>
        </is>
      </c>
      <c r="AB382" s="0" t="inlineStr">
        <is>
          <t>인천시</t>
        </is>
      </c>
      <c r="AC382" s="0" t="inlineStr">
        <is>
          <t>남동구</t>
        </is>
      </c>
      <c r="AD382" s="0" t="inlineStr">
        <is>
          <t>간석동</t>
        </is>
      </c>
      <c r="AG382" s="0" t="inlineStr">
        <is>
          <t>인천시 남동구 경인로 611</t>
        </is>
      </c>
      <c r="AH382" s="0" t="n">
        <v>0</v>
      </c>
      <c r="AI382" s="0" t="n">
        <v>918</v>
      </c>
      <c r="AJ382" s="0" t="n">
        <v>78</v>
      </c>
      <c r="AK382" s="0" t="n">
        <v>69</v>
      </c>
      <c r="AL382" s="0" t="n">
        <v>1.23</v>
      </c>
    </row>
    <row r="383">
      <c r="A383" s="0" t="inlineStr">
        <is>
          <t>[간석동]</t>
        </is>
      </c>
      <c r="B383" s="0" t="n">
        <v>114793</v>
      </c>
      <c r="C383" s="0" t="n">
        <v>15</v>
      </c>
      <c r="D383" s="0" t="inlineStr">
        <is>
          <t>간석오피앙(도시형)</t>
        </is>
      </c>
      <c r="E383" s="0" t="inlineStr">
        <is>
          <t>2007.03.</t>
        </is>
      </c>
      <c r="F383" s="0" t="n">
        <v>56</v>
      </c>
      <c r="G383" s="0" t="n">
        <v>9.07</v>
      </c>
      <c r="H383" s="0" t="n">
        <v>30.01</v>
      </c>
      <c r="I383" s="0" t="n">
        <v>5.68</v>
      </c>
      <c r="J383" s="0" t="n">
        <v>18.78</v>
      </c>
      <c r="K383" s="0" t="n">
        <v>1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30A</t>
        </is>
      </c>
      <c r="X383" s="0" t="n">
        <v>3</v>
      </c>
      <c r="Y383" s="0" t="n">
        <v>3</v>
      </c>
      <c r="Z383" s="0" t="inlineStr">
        <is>
          <t>https://new.land.naver.com/complexes/114793?tab=detail&amp;rf=Y</t>
        </is>
      </c>
      <c r="AA383" s="0" t="inlineStr">
        <is>
          <t>인천시 남동구 간석동 250-1</t>
        </is>
      </c>
      <c r="AB383" s="0" t="inlineStr">
        <is>
          <t>인천시</t>
        </is>
      </c>
      <c r="AC383" s="0" t="inlineStr">
        <is>
          <t>남동구</t>
        </is>
      </c>
      <c r="AD383" s="0" t="inlineStr">
        <is>
          <t>간석동</t>
        </is>
      </c>
      <c r="AG383" s="0" t="inlineStr">
        <is>
          <t>인천시 남동구 경인로 611</t>
        </is>
      </c>
      <c r="AH383" s="0" t="n">
        <v>0</v>
      </c>
      <c r="AI383" s="0" t="n">
        <v>918</v>
      </c>
      <c r="AJ383" s="0" t="n">
        <v>78</v>
      </c>
      <c r="AK383" s="0" t="n">
        <v>69</v>
      </c>
      <c r="AL383" s="0" t="n">
        <v>1.23</v>
      </c>
    </row>
    <row r="384">
      <c r="A384" s="0" t="inlineStr">
        <is>
          <t>[간석동]</t>
        </is>
      </c>
      <c r="B384" s="0" t="n">
        <v>114793</v>
      </c>
      <c r="C384" s="0" t="n">
        <v>16</v>
      </c>
      <c r="D384" s="0" t="inlineStr">
        <is>
          <t>간석오피앙(도시형)</t>
        </is>
      </c>
      <c r="E384" s="0" t="inlineStr">
        <is>
          <t>2007.03.</t>
        </is>
      </c>
      <c r="F384" s="0" t="n">
        <v>56</v>
      </c>
      <c r="G384" s="0" t="n">
        <v>9.35</v>
      </c>
      <c r="H384" s="0" t="n">
        <v>30.94</v>
      </c>
      <c r="I384" s="0" t="n">
        <v>5.85</v>
      </c>
      <c r="J384" s="0" t="n">
        <v>19.37</v>
      </c>
      <c r="K384" s="0" t="n">
        <v>1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3</v>
      </c>
      <c r="Y384" s="0" t="n">
        <v>3</v>
      </c>
      <c r="Z384" s="0" t="inlineStr">
        <is>
          <t>https://new.land.naver.com/complexes/114793?tab=detail&amp;rf=Y</t>
        </is>
      </c>
      <c r="AA384" s="0" t="inlineStr">
        <is>
          <t>인천시 남동구 간석동 250-1</t>
        </is>
      </c>
      <c r="AB384" s="0" t="inlineStr">
        <is>
          <t>인천시</t>
        </is>
      </c>
      <c r="AC384" s="0" t="inlineStr">
        <is>
          <t>남동구</t>
        </is>
      </c>
      <c r="AD384" s="0" t="inlineStr">
        <is>
          <t>간석동</t>
        </is>
      </c>
      <c r="AG384" s="0" t="inlineStr">
        <is>
          <t>인천시 남동구 경인로 611</t>
        </is>
      </c>
      <c r="AH384" s="0" t="n">
        <v>0</v>
      </c>
      <c r="AI384" s="0" t="n">
        <v>918</v>
      </c>
      <c r="AJ384" s="0" t="n">
        <v>78</v>
      </c>
      <c r="AK384" s="0" t="n">
        <v>69</v>
      </c>
      <c r="AL384" s="0" t="n">
        <v>1.23</v>
      </c>
    </row>
    <row r="385">
      <c r="A385" s="0" t="inlineStr">
        <is>
          <t>[간석동]</t>
        </is>
      </c>
      <c r="B385" s="0" t="n">
        <v>114793</v>
      </c>
      <c r="C385" s="0" t="n">
        <v>17</v>
      </c>
      <c r="D385" s="0" t="inlineStr">
        <is>
          <t>간석오피앙(도시형)</t>
        </is>
      </c>
      <c r="E385" s="0" t="inlineStr">
        <is>
          <t>2007.03.</t>
        </is>
      </c>
      <c r="F385" s="0" t="n">
        <v>56</v>
      </c>
      <c r="G385" s="0" t="n">
        <v>9.66</v>
      </c>
      <c r="H385" s="0" t="n">
        <v>31.96</v>
      </c>
      <c r="I385" s="0" t="n">
        <v>6.05</v>
      </c>
      <c r="J385" s="0" t="n">
        <v>20</v>
      </c>
      <c r="K385" s="0" t="n">
        <v>1</v>
      </c>
      <c r="T385" s="0" t="n">
        <v>1</v>
      </c>
      <c r="U385" s="0" t="n">
        <v>1</v>
      </c>
      <c r="V385" s="0" t="inlineStr">
        <is>
          <t>복도식</t>
        </is>
      </c>
      <c r="W385" s="0" t="inlineStr">
        <is>
          <t>31A</t>
        </is>
      </c>
      <c r="X385" s="0" t="n">
        <v>3</v>
      </c>
      <c r="Y385" s="0" t="n">
        <v>3</v>
      </c>
      <c r="Z385" s="0" t="inlineStr">
        <is>
          <t>https://new.land.naver.com/complexes/114793?tab=detail&amp;rf=Y</t>
        </is>
      </c>
      <c r="AA385" s="0" t="inlineStr">
        <is>
          <t>인천시 남동구 간석동 250-1</t>
        </is>
      </c>
      <c r="AB385" s="0" t="inlineStr">
        <is>
          <t>인천시</t>
        </is>
      </c>
      <c r="AC385" s="0" t="inlineStr">
        <is>
          <t>남동구</t>
        </is>
      </c>
      <c r="AD385" s="0" t="inlineStr">
        <is>
          <t>간석동</t>
        </is>
      </c>
      <c r="AG385" s="0" t="inlineStr">
        <is>
          <t>인천시 남동구 경인로 611</t>
        </is>
      </c>
      <c r="AH385" s="0" t="n">
        <v>0</v>
      </c>
      <c r="AI385" s="0" t="n">
        <v>918</v>
      </c>
      <c r="AJ385" s="0" t="n">
        <v>78</v>
      </c>
      <c r="AK385" s="0" t="n">
        <v>69</v>
      </c>
      <c r="AL385" s="0" t="n">
        <v>1.23</v>
      </c>
    </row>
    <row r="386">
      <c r="A386" s="0" t="inlineStr">
        <is>
          <t>[간석동]</t>
        </is>
      </c>
      <c r="B386" s="0" t="n">
        <v>114793</v>
      </c>
      <c r="C386" s="0" t="n">
        <v>18</v>
      </c>
      <c r="D386" s="0" t="inlineStr">
        <is>
          <t>간석오피앙(도시형)</t>
        </is>
      </c>
      <c r="E386" s="0" t="inlineStr">
        <is>
          <t>2007.03.</t>
        </is>
      </c>
      <c r="F386" s="0" t="n">
        <v>56</v>
      </c>
      <c r="G386" s="0" t="n">
        <v>9.859999999999999</v>
      </c>
      <c r="H386" s="0" t="n">
        <v>32.61</v>
      </c>
      <c r="I386" s="0" t="n">
        <v>6.17</v>
      </c>
      <c r="J386" s="0" t="n">
        <v>20.41</v>
      </c>
      <c r="K386" s="0" t="n">
        <v>1</v>
      </c>
      <c r="T386" s="0" t="n">
        <v>1</v>
      </c>
      <c r="U386" s="0" t="n">
        <v>1</v>
      </c>
      <c r="V386" s="0" t="inlineStr">
        <is>
          <t>복도식</t>
        </is>
      </c>
      <c r="W386" s="0" t="inlineStr">
        <is>
          <t>32B</t>
        </is>
      </c>
      <c r="X386" s="0" t="n">
        <v>3</v>
      </c>
      <c r="Y386" s="0" t="n">
        <v>3</v>
      </c>
      <c r="Z386" s="0" t="inlineStr">
        <is>
          <t>https://new.land.naver.com/complexes/114793?tab=detail&amp;rf=Y</t>
        </is>
      </c>
      <c r="AA386" s="0" t="inlineStr">
        <is>
          <t>인천시 남동구 간석동 250-1</t>
        </is>
      </c>
      <c r="AB386" s="0" t="inlineStr">
        <is>
          <t>인천시</t>
        </is>
      </c>
      <c r="AC386" s="0" t="inlineStr">
        <is>
          <t>남동구</t>
        </is>
      </c>
      <c r="AD386" s="0" t="inlineStr">
        <is>
          <t>간석동</t>
        </is>
      </c>
      <c r="AG386" s="0" t="inlineStr">
        <is>
          <t>인천시 남동구 경인로 611</t>
        </is>
      </c>
      <c r="AH386" s="0" t="n">
        <v>0</v>
      </c>
      <c r="AI386" s="0" t="n">
        <v>918</v>
      </c>
      <c r="AJ386" s="0" t="n">
        <v>78</v>
      </c>
      <c r="AK386" s="0" t="n">
        <v>69</v>
      </c>
      <c r="AL386" s="0" t="n">
        <v>1.23</v>
      </c>
    </row>
    <row r="387">
      <c r="A387" s="0" t="inlineStr">
        <is>
          <t>[간석동]</t>
        </is>
      </c>
      <c r="B387" s="0" t="n">
        <v>114793</v>
      </c>
      <c r="C387" s="0" t="n">
        <v>19</v>
      </c>
      <c r="D387" s="0" t="inlineStr">
        <is>
          <t>간석오피앙(도시형)</t>
        </is>
      </c>
      <c r="E387" s="0" t="inlineStr">
        <is>
          <t>2007.03.</t>
        </is>
      </c>
      <c r="F387" s="0" t="n">
        <v>56</v>
      </c>
      <c r="G387" s="0" t="n">
        <v>9.91</v>
      </c>
      <c r="H387" s="0" t="n">
        <v>32.78</v>
      </c>
      <c r="I387" s="0" t="n">
        <v>6.2</v>
      </c>
      <c r="J387" s="0" t="n">
        <v>20.51</v>
      </c>
      <c r="K387" s="0" t="n">
        <v>1</v>
      </c>
      <c r="T387" s="0" t="n">
        <v>1</v>
      </c>
      <c r="U387" s="0" t="n">
        <v>1</v>
      </c>
      <c r="V387" s="0" t="inlineStr">
        <is>
          <t>복도식</t>
        </is>
      </c>
      <c r="W387" s="0" t="inlineStr">
        <is>
          <t>32C</t>
        </is>
      </c>
      <c r="X387" s="0" t="n">
        <v>3</v>
      </c>
      <c r="Y387" s="0" t="n">
        <v>3</v>
      </c>
      <c r="Z387" s="0" t="inlineStr">
        <is>
          <t>https://new.land.naver.com/complexes/114793?tab=detail&amp;rf=Y</t>
        </is>
      </c>
      <c r="AA387" s="0" t="inlineStr">
        <is>
          <t>인천시 남동구 간석동 250-1</t>
        </is>
      </c>
      <c r="AB387" s="0" t="inlineStr">
        <is>
          <t>인천시</t>
        </is>
      </c>
      <c r="AC387" s="0" t="inlineStr">
        <is>
          <t>남동구</t>
        </is>
      </c>
      <c r="AD387" s="0" t="inlineStr">
        <is>
          <t>간석동</t>
        </is>
      </c>
      <c r="AG387" s="0" t="inlineStr">
        <is>
          <t>인천시 남동구 경인로 611</t>
        </is>
      </c>
      <c r="AH387" s="0" t="n">
        <v>0</v>
      </c>
      <c r="AI387" s="0" t="n">
        <v>918</v>
      </c>
      <c r="AJ387" s="0" t="n">
        <v>78</v>
      </c>
      <c r="AK387" s="0" t="n">
        <v>69</v>
      </c>
      <c r="AL387" s="0" t="n">
        <v>1.23</v>
      </c>
    </row>
    <row r="388">
      <c r="A388" s="0" t="inlineStr">
        <is>
          <t>[간석동]</t>
        </is>
      </c>
      <c r="B388" s="0" t="n">
        <v>114793</v>
      </c>
      <c r="C388" s="0" t="n">
        <v>20</v>
      </c>
      <c r="D388" s="0" t="inlineStr">
        <is>
          <t>간석오피앙(도시형)</t>
        </is>
      </c>
      <c r="E388" s="0" t="inlineStr">
        <is>
          <t>2007.03.</t>
        </is>
      </c>
      <c r="F388" s="0" t="n">
        <v>56</v>
      </c>
      <c r="G388" s="0" t="n">
        <v>10.52</v>
      </c>
      <c r="H388" s="0" t="n">
        <v>34.8</v>
      </c>
      <c r="I388" s="0" t="n">
        <v>6.58</v>
      </c>
      <c r="J388" s="0" t="n">
        <v>21.78</v>
      </c>
      <c r="K388" s="0" t="n">
        <v>2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34A</t>
        </is>
      </c>
      <c r="X388" s="0" t="n">
        <v>3</v>
      </c>
      <c r="Y388" s="0" t="n">
        <v>3</v>
      </c>
      <c r="Z388" s="0" t="inlineStr">
        <is>
          <t>https://new.land.naver.com/complexes/114793?tab=detail&amp;rf=Y</t>
        </is>
      </c>
      <c r="AA388" s="0" t="inlineStr">
        <is>
          <t>인천시 남동구 간석동 250-1</t>
        </is>
      </c>
      <c r="AB388" s="0" t="inlineStr">
        <is>
          <t>인천시</t>
        </is>
      </c>
      <c r="AC388" s="0" t="inlineStr">
        <is>
          <t>남동구</t>
        </is>
      </c>
      <c r="AD388" s="0" t="inlineStr">
        <is>
          <t>간석동</t>
        </is>
      </c>
      <c r="AG388" s="0" t="inlineStr">
        <is>
          <t>인천시 남동구 경인로 611</t>
        </is>
      </c>
      <c r="AH388" s="0" t="n">
        <v>0</v>
      </c>
      <c r="AI388" s="0" t="n">
        <v>918</v>
      </c>
      <c r="AJ388" s="0" t="n">
        <v>78</v>
      </c>
      <c r="AK388" s="0" t="n">
        <v>69</v>
      </c>
      <c r="AL388" s="0" t="n">
        <v>1.23</v>
      </c>
    </row>
    <row r="389">
      <c r="A389" s="0" t="inlineStr">
        <is>
          <t>[간석동]</t>
        </is>
      </c>
      <c r="B389" s="0" t="n">
        <v>114793</v>
      </c>
      <c r="C389" s="0" t="n">
        <v>21</v>
      </c>
      <c r="D389" s="0" t="inlineStr">
        <is>
          <t>간석오피앙(도시형)</t>
        </is>
      </c>
      <c r="E389" s="0" t="inlineStr">
        <is>
          <t>2007.03.</t>
        </is>
      </c>
      <c r="F389" s="0" t="n">
        <v>56</v>
      </c>
      <c r="G389" s="0" t="n">
        <v>10.69</v>
      </c>
      <c r="H389" s="0" t="n">
        <v>35.36</v>
      </c>
      <c r="I389" s="0" t="n">
        <v>6.69</v>
      </c>
      <c r="J389" s="0" t="n">
        <v>22.13</v>
      </c>
      <c r="K389" s="0" t="n">
        <v>1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35B</t>
        </is>
      </c>
      <c r="X389" s="0" t="n">
        <v>3</v>
      </c>
      <c r="Y389" s="0" t="n">
        <v>3</v>
      </c>
      <c r="Z389" s="0" t="inlineStr">
        <is>
          <t>https://new.land.naver.com/complexes/114793?tab=detail&amp;rf=Y</t>
        </is>
      </c>
      <c r="AA389" s="0" t="inlineStr">
        <is>
          <t>인천시 남동구 간석동 250-1</t>
        </is>
      </c>
      <c r="AB389" s="0" t="inlineStr">
        <is>
          <t>인천시</t>
        </is>
      </c>
      <c r="AC389" s="0" t="inlineStr">
        <is>
          <t>남동구</t>
        </is>
      </c>
      <c r="AD389" s="0" t="inlineStr">
        <is>
          <t>간석동</t>
        </is>
      </c>
      <c r="AG389" s="0" t="inlineStr">
        <is>
          <t>인천시 남동구 경인로 611</t>
        </is>
      </c>
      <c r="AH389" s="0" t="n">
        <v>0</v>
      </c>
      <c r="AI389" s="0" t="n">
        <v>918</v>
      </c>
      <c r="AJ389" s="0" t="n">
        <v>78</v>
      </c>
      <c r="AK389" s="0" t="n">
        <v>69</v>
      </c>
      <c r="AL389" s="0" t="n">
        <v>1.23</v>
      </c>
    </row>
    <row r="390">
      <c r="A390" s="0" t="inlineStr">
        <is>
          <t>[간석동]</t>
        </is>
      </c>
      <c r="B390" s="0" t="n">
        <v>132904</v>
      </c>
      <c r="C390" s="0" t="n">
        <v>1</v>
      </c>
      <c r="D390" s="0" t="inlineStr">
        <is>
          <t>아크로팰리스</t>
        </is>
      </c>
      <c r="E390" s="0" t="inlineStr">
        <is>
          <t>2020.04.</t>
        </is>
      </c>
      <c r="F390" s="0" t="n">
        <v>52</v>
      </c>
      <c r="G390" s="0" t="n">
        <v>22.54</v>
      </c>
      <c r="H390" s="0" t="n">
        <v>74.54000000000001</v>
      </c>
      <c r="I390" s="0" t="n">
        <v>17.55</v>
      </c>
      <c r="J390" s="0" t="n">
        <v>58.03</v>
      </c>
      <c r="K390" s="0" t="n">
        <v>13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74A</t>
        </is>
      </c>
      <c r="X390" s="0" t="n">
        <v>14</v>
      </c>
      <c r="Y390" s="0" t="n">
        <v>14</v>
      </c>
      <c r="Z390" s="0" t="inlineStr">
        <is>
          <t>https://new.land.naver.com/complexes/132904?tab=detail&amp;rf=Y</t>
        </is>
      </c>
      <c r="AA390" s="0" t="inlineStr">
        <is>
          <t>인천시 남동구 간석동 217-2</t>
        </is>
      </c>
      <c r="AB390" s="0" t="inlineStr">
        <is>
          <t>인천시</t>
        </is>
      </c>
      <c r="AC390" s="0" t="inlineStr">
        <is>
          <t>남동구</t>
        </is>
      </c>
      <c r="AD390" s="0" t="inlineStr">
        <is>
          <t>간석동</t>
        </is>
      </c>
      <c r="AG390" s="0" t="inlineStr">
        <is>
          <t>인천시 남동구 경인로653번길 21</t>
        </is>
      </c>
      <c r="AH390" s="0" t="n">
        <v>0</v>
      </c>
      <c r="AI390" s="0" t="n">
        <v>753</v>
      </c>
      <c r="AJ390" s="0" t="n">
        <v>78</v>
      </c>
      <c r="AK390" s="0" t="n">
        <v>48</v>
      </c>
      <c r="AL390" s="0" t="n">
        <v>0.92</v>
      </c>
    </row>
    <row r="391">
      <c r="A391" s="0" t="inlineStr">
        <is>
          <t>[간석동]</t>
        </is>
      </c>
      <c r="B391" s="0" t="n">
        <v>132904</v>
      </c>
      <c r="C391" s="0" t="n">
        <v>2</v>
      </c>
      <c r="D391" s="0" t="inlineStr">
        <is>
          <t>아크로팰리스</t>
        </is>
      </c>
      <c r="E391" s="0" t="inlineStr">
        <is>
          <t>2020.04.</t>
        </is>
      </c>
      <c r="F391" s="0" t="n">
        <v>52</v>
      </c>
      <c r="G391" s="0" t="n">
        <v>22.96</v>
      </c>
      <c r="H391" s="0" t="n">
        <v>75.91</v>
      </c>
      <c r="I391" s="0" t="n">
        <v>17.8</v>
      </c>
      <c r="J391" s="0" t="n">
        <v>58.86</v>
      </c>
      <c r="K391" s="0" t="n">
        <v>13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75B</t>
        </is>
      </c>
      <c r="X391" s="0" t="n">
        <v>14</v>
      </c>
      <c r="Y391" s="0" t="n">
        <v>14</v>
      </c>
      <c r="Z391" s="0" t="inlineStr">
        <is>
          <t>https://new.land.naver.com/complexes/132904?tab=detail&amp;rf=Y</t>
        </is>
      </c>
      <c r="AA391" s="0" t="inlineStr">
        <is>
          <t>인천시 남동구 간석동 217-2</t>
        </is>
      </c>
      <c r="AB391" s="0" t="inlineStr">
        <is>
          <t>인천시</t>
        </is>
      </c>
      <c r="AC391" s="0" t="inlineStr">
        <is>
          <t>남동구</t>
        </is>
      </c>
      <c r="AD391" s="0" t="inlineStr">
        <is>
          <t>간석동</t>
        </is>
      </c>
      <c r="AG391" s="0" t="inlineStr">
        <is>
          <t>인천시 남동구 경인로653번길 21</t>
        </is>
      </c>
      <c r="AH391" s="0" t="n">
        <v>0</v>
      </c>
      <c r="AI391" s="0" t="n">
        <v>753</v>
      </c>
      <c r="AJ391" s="0" t="n">
        <v>78</v>
      </c>
      <c r="AK391" s="0" t="n">
        <v>48</v>
      </c>
      <c r="AL391" s="0" t="n">
        <v>0.92</v>
      </c>
    </row>
    <row r="392">
      <c r="A392" s="0" t="inlineStr">
        <is>
          <t>[간석동]</t>
        </is>
      </c>
      <c r="B392" s="0" t="n">
        <v>132904</v>
      </c>
      <c r="C392" s="0" t="n">
        <v>3</v>
      </c>
      <c r="D392" s="0" t="inlineStr">
        <is>
          <t>아크로팰리스</t>
        </is>
      </c>
      <c r="E392" s="0" t="inlineStr">
        <is>
          <t>2020.04.</t>
        </is>
      </c>
      <c r="F392" s="0" t="n">
        <v>52</v>
      </c>
      <c r="G392" s="0" t="n">
        <v>28.52</v>
      </c>
      <c r="H392" s="0" t="n">
        <v>94.3</v>
      </c>
      <c r="I392" s="0" t="n">
        <v>21.97</v>
      </c>
      <c r="J392" s="0" t="n">
        <v>72.64</v>
      </c>
      <c r="K392" s="0" t="n">
        <v>13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94</v>
      </c>
      <c r="X392" s="0" t="n">
        <v>14</v>
      </c>
      <c r="Y392" s="0" t="n">
        <v>14</v>
      </c>
      <c r="Z392" s="0" t="inlineStr">
        <is>
          <t>https://new.land.naver.com/complexes/132904?tab=detail&amp;rf=Y</t>
        </is>
      </c>
      <c r="AA392" s="0" t="inlineStr">
        <is>
          <t>인천시 남동구 간석동 217-2</t>
        </is>
      </c>
      <c r="AB392" s="0" t="inlineStr">
        <is>
          <t>인천시</t>
        </is>
      </c>
      <c r="AC392" s="0" t="inlineStr">
        <is>
          <t>남동구</t>
        </is>
      </c>
      <c r="AD392" s="0" t="inlineStr">
        <is>
          <t>간석동</t>
        </is>
      </c>
      <c r="AG392" s="0" t="inlineStr">
        <is>
          <t>인천시 남동구 경인로653번길 21</t>
        </is>
      </c>
      <c r="AH392" s="0" t="n">
        <v>0</v>
      </c>
      <c r="AI392" s="0" t="n">
        <v>753</v>
      </c>
      <c r="AJ392" s="0" t="n">
        <v>78</v>
      </c>
      <c r="AK392" s="0" t="n">
        <v>48</v>
      </c>
      <c r="AL392" s="0" t="n">
        <v>0.92</v>
      </c>
    </row>
    <row r="393">
      <c r="A393" s="0" t="inlineStr">
        <is>
          <t>[간석동]</t>
        </is>
      </c>
      <c r="B393" s="0" t="n">
        <v>132904</v>
      </c>
      <c r="C393" s="0" t="n">
        <v>4</v>
      </c>
      <c r="D393" s="0" t="inlineStr">
        <is>
          <t>아크로팰리스</t>
        </is>
      </c>
      <c r="E393" s="0" t="inlineStr">
        <is>
          <t>2020.04.</t>
        </is>
      </c>
      <c r="F393" s="0" t="n">
        <v>52</v>
      </c>
      <c r="G393" s="0" t="n">
        <v>29.57</v>
      </c>
      <c r="H393" s="0" t="n">
        <v>97.77</v>
      </c>
      <c r="I393" s="0" t="n">
        <v>22.83</v>
      </c>
      <c r="J393" s="0" t="n">
        <v>75.48999999999999</v>
      </c>
      <c r="K393" s="0" t="n">
        <v>13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97</v>
      </c>
      <c r="X393" s="0" t="n">
        <v>14</v>
      </c>
      <c r="Y393" s="0" t="n">
        <v>14</v>
      </c>
      <c r="Z393" s="0" t="inlineStr">
        <is>
          <t>https://new.land.naver.com/complexes/132904?tab=detail&amp;rf=Y</t>
        </is>
      </c>
      <c r="AA393" s="0" t="inlineStr">
        <is>
          <t>인천시 남동구 간석동 217-2</t>
        </is>
      </c>
      <c r="AB393" s="0" t="inlineStr">
        <is>
          <t>인천시</t>
        </is>
      </c>
      <c r="AC393" s="0" t="inlineStr">
        <is>
          <t>남동구</t>
        </is>
      </c>
      <c r="AD393" s="0" t="inlineStr">
        <is>
          <t>간석동</t>
        </is>
      </c>
      <c r="AG393" s="0" t="inlineStr">
        <is>
          <t>인천시 남동구 경인로653번길 21</t>
        </is>
      </c>
      <c r="AH393" s="0" t="n">
        <v>0</v>
      </c>
      <c r="AI393" s="0" t="n">
        <v>753</v>
      </c>
      <c r="AJ393" s="0" t="n">
        <v>78</v>
      </c>
      <c r="AK393" s="0" t="n">
        <v>48</v>
      </c>
      <c r="AL393" s="0" t="n">
        <v>0.92</v>
      </c>
    </row>
    <row r="394">
      <c r="A394" s="0" t="inlineStr">
        <is>
          <t>[간석동]</t>
        </is>
      </c>
      <c r="B394" s="0" t="n">
        <v>2242</v>
      </c>
      <c r="C394" s="0" t="n">
        <v>1</v>
      </c>
      <c r="D394" s="0" t="inlineStr">
        <is>
          <t>현대</t>
        </is>
      </c>
      <c r="E394" s="0" t="inlineStr">
        <is>
          <t>1991.08.</t>
        </is>
      </c>
      <c r="F394" s="0" t="n">
        <v>390</v>
      </c>
      <c r="G394" s="0" t="n">
        <v>33.29</v>
      </c>
      <c r="H394" s="0" t="n">
        <v>110.08</v>
      </c>
      <c r="I394" s="0" t="n">
        <v>25.7</v>
      </c>
      <c r="J394" s="0" t="n">
        <v>84.98999999999999</v>
      </c>
      <c r="K394" s="0" t="n">
        <v>270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110</v>
      </c>
      <c r="X394" s="0" t="n">
        <v>15</v>
      </c>
      <c r="Y394" s="0" t="n">
        <v>15</v>
      </c>
      <c r="Z394" s="0" t="inlineStr">
        <is>
          <t>https://new.land.naver.com/complexes/2242?tab=detail&amp;rf=Y</t>
        </is>
      </c>
      <c r="AA394" s="0" t="inlineStr">
        <is>
          <t>인천시 남동구 간석동 893</t>
        </is>
      </c>
      <c r="AB394" s="0" t="inlineStr">
        <is>
          <t>인천시</t>
        </is>
      </c>
      <c r="AC394" s="0" t="inlineStr">
        <is>
          <t>남동구</t>
        </is>
      </c>
      <c r="AD394" s="0" t="inlineStr">
        <is>
          <t>간석동</t>
        </is>
      </c>
      <c r="AG394" s="0" t="inlineStr">
        <is>
          <t>인천시 남동구 방축로 493</t>
        </is>
      </c>
      <c r="AH394" s="0" t="n">
        <v>0</v>
      </c>
      <c r="AI394" s="0" t="n">
        <v>226</v>
      </c>
      <c r="AJ394" s="0" t="n">
        <v>12</v>
      </c>
      <c r="AK394" s="0" t="n">
        <v>390</v>
      </c>
      <c r="AL394" s="0" t="n">
        <v>1</v>
      </c>
    </row>
    <row r="395">
      <c r="A395" s="0" t="inlineStr">
        <is>
          <t>[간석동]</t>
        </is>
      </c>
      <c r="B395" s="0" t="n">
        <v>2242</v>
      </c>
      <c r="C395" s="0" t="n">
        <v>2</v>
      </c>
      <c r="D395" s="0" t="inlineStr">
        <is>
          <t>현대</t>
        </is>
      </c>
      <c r="E395" s="0" t="inlineStr">
        <is>
          <t>1991.08.</t>
        </is>
      </c>
      <c r="F395" s="0" t="n">
        <v>390</v>
      </c>
      <c r="G395" s="0" t="n">
        <v>47.6</v>
      </c>
      <c r="H395" s="0" t="n">
        <v>157.38</v>
      </c>
      <c r="I395" s="0" t="n">
        <v>38.42</v>
      </c>
      <c r="J395" s="0" t="n">
        <v>127.03</v>
      </c>
      <c r="K395" s="0" t="n">
        <v>120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157</v>
      </c>
      <c r="X395" s="0" t="n">
        <v>15</v>
      </c>
      <c r="Y395" s="0" t="n">
        <v>15</v>
      </c>
      <c r="Z395" s="0" t="inlineStr">
        <is>
          <t>https://new.land.naver.com/complexes/2242?tab=detail&amp;rf=Y</t>
        </is>
      </c>
      <c r="AA395" s="0" t="inlineStr">
        <is>
          <t>인천시 남동구 간석동 893</t>
        </is>
      </c>
      <c r="AB395" s="0" t="inlineStr">
        <is>
          <t>인천시</t>
        </is>
      </c>
      <c r="AC395" s="0" t="inlineStr">
        <is>
          <t>남동구</t>
        </is>
      </c>
      <c r="AD395" s="0" t="inlineStr">
        <is>
          <t>간석동</t>
        </is>
      </c>
      <c r="AG395" s="0" t="inlineStr">
        <is>
          <t>인천시 남동구 방축로 493</t>
        </is>
      </c>
      <c r="AH395" s="0" t="n">
        <v>0</v>
      </c>
      <c r="AI395" s="0" t="n">
        <v>226</v>
      </c>
      <c r="AJ395" s="0" t="n">
        <v>12</v>
      </c>
      <c r="AK395" s="0" t="n">
        <v>390</v>
      </c>
      <c r="AL395" s="0" t="n">
        <v>1</v>
      </c>
    </row>
    <row r="396">
      <c r="A396" s="0" t="inlineStr">
        <is>
          <t>[간석동]</t>
        </is>
      </c>
      <c r="B396" s="0" t="n">
        <v>10767</v>
      </c>
      <c r="C396" s="0" t="n">
        <v>1</v>
      </c>
      <c r="D396" s="0" t="inlineStr">
        <is>
          <t>동암</t>
        </is>
      </c>
      <c r="E396" s="0" t="inlineStr">
        <is>
          <t>1983.12.</t>
        </is>
      </c>
      <c r="F396" s="0" t="n">
        <v>60</v>
      </c>
      <c r="G396" s="0" t="n">
        <v>18.59</v>
      </c>
      <c r="H396" s="0" t="n">
        <v>61.48</v>
      </c>
      <c r="I396" s="0" t="n">
        <v>16.98</v>
      </c>
      <c r="J396" s="0" t="n">
        <v>56.16</v>
      </c>
      <c r="K396" s="0" t="n">
        <v>40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61</v>
      </c>
      <c r="X396" s="0" t="n">
        <v>5</v>
      </c>
      <c r="Y396" s="0" t="n">
        <v>5</v>
      </c>
      <c r="Z396" s="0" t="inlineStr">
        <is>
          <t>https://new.land.naver.com/complexes/10767?tab=detail&amp;rf=Y</t>
        </is>
      </c>
      <c r="AA396" s="0" t="inlineStr">
        <is>
          <t>인천시 남동구 간석동 187-1</t>
        </is>
      </c>
      <c r="AB396" s="0" t="inlineStr">
        <is>
          <t>인천시</t>
        </is>
      </c>
      <c r="AC396" s="0" t="inlineStr">
        <is>
          <t>남동구</t>
        </is>
      </c>
      <c r="AD396" s="0" t="inlineStr">
        <is>
          <t>간석동</t>
        </is>
      </c>
      <c r="AG396" s="0" t="inlineStr">
        <is>
          <t>인천시 남동구 석산로169번길 49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[간석동]</t>
        </is>
      </c>
      <c r="B397" s="0" t="n">
        <v>10767</v>
      </c>
      <c r="C397" s="0" t="n">
        <v>2</v>
      </c>
      <c r="D397" s="0" t="inlineStr">
        <is>
          <t>동암</t>
        </is>
      </c>
      <c r="E397" s="0" t="inlineStr">
        <is>
          <t>1983.12.</t>
        </is>
      </c>
      <c r="F397" s="0" t="n">
        <v>60</v>
      </c>
      <c r="G397" s="0" t="n">
        <v>20.33</v>
      </c>
      <c r="H397" s="0" t="n">
        <v>67.23</v>
      </c>
      <c r="I397" s="0" t="n">
        <v>18.56</v>
      </c>
      <c r="J397" s="0" t="n">
        <v>61.38</v>
      </c>
      <c r="K397" s="0" t="n">
        <v>20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67</v>
      </c>
      <c r="X397" s="0" t="n">
        <v>5</v>
      </c>
      <c r="Y397" s="0" t="n">
        <v>5</v>
      </c>
      <c r="Z397" s="0" t="inlineStr">
        <is>
          <t>https://new.land.naver.com/complexes/10767?tab=detail&amp;rf=Y</t>
        </is>
      </c>
      <c r="AA397" s="0" t="inlineStr">
        <is>
          <t>인천시 남동구 간석동 187-1</t>
        </is>
      </c>
      <c r="AB397" s="0" t="inlineStr">
        <is>
          <t>인천시</t>
        </is>
      </c>
      <c r="AC397" s="0" t="inlineStr">
        <is>
          <t>남동구</t>
        </is>
      </c>
      <c r="AD397" s="0" t="inlineStr">
        <is>
          <t>간석동</t>
        </is>
      </c>
      <c r="AG397" s="0" t="inlineStr">
        <is>
          <t>인천시 남동구 석산로169번길 49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[간석동]</t>
        </is>
      </c>
      <c r="B398" s="0" t="n">
        <v>9670</v>
      </c>
      <c r="C398" s="0" t="n">
        <v>1</v>
      </c>
      <c r="D398" s="0" t="inlineStr">
        <is>
          <t>현광(616-13)</t>
        </is>
      </c>
      <c r="E398" s="0" t="inlineStr">
        <is>
          <t>1990.05.</t>
        </is>
      </c>
      <c r="F398" s="0" t="n">
        <v>144</v>
      </c>
      <c r="G398" s="0" t="n">
        <v>19.18</v>
      </c>
      <c r="H398" s="0" t="n">
        <v>63.42</v>
      </c>
      <c r="I398" s="0" t="n">
        <v>14.68</v>
      </c>
      <c r="J398" s="0" t="n">
        <v>48.54</v>
      </c>
      <c r="K398" s="0" t="n">
        <v>48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6</v>
      </c>
      <c r="Y398" s="0" t="n">
        <v>6</v>
      </c>
      <c r="Z398" s="0" t="inlineStr">
        <is>
          <t>https://new.land.naver.com/complexes/9670?tab=detail&amp;rf=Y</t>
        </is>
      </c>
      <c r="AA398" s="0" t="inlineStr">
        <is>
          <t>인천시 남동구 간석동 616-13</t>
        </is>
      </c>
      <c r="AB398" s="0" t="inlineStr">
        <is>
          <t>인천시</t>
        </is>
      </c>
      <c r="AC398" s="0" t="inlineStr">
        <is>
          <t>남동구</t>
        </is>
      </c>
      <c r="AD398" s="0" t="inlineStr">
        <is>
          <t>간석동</t>
        </is>
      </c>
      <c r="AG398" s="0" t="inlineStr">
        <is>
          <t>인천시 남동구 경원대로939번길 45</t>
        </is>
      </c>
      <c r="AH398" s="0" t="n">
        <v>0</v>
      </c>
      <c r="AI398" s="0" t="n">
        <v>173</v>
      </c>
      <c r="AJ398" s="0" t="n">
        <v>29</v>
      </c>
      <c r="AK398" s="0" t="n">
        <v>0</v>
      </c>
      <c r="AL398" s="0" t="n">
        <v>0</v>
      </c>
    </row>
    <row r="399">
      <c r="A399" s="0" t="inlineStr">
        <is>
          <t>[간석동]</t>
        </is>
      </c>
      <c r="B399" s="0" t="n">
        <v>9670</v>
      </c>
      <c r="C399" s="0" t="n">
        <v>2</v>
      </c>
      <c r="D399" s="0" t="inlineStr">
        <is>
          <t>현광(616-13)</t>
        </is>
      </c>
      <c r="E399" s="0" t="inlineStr">
        <is>
          <t>1990.05.</t>
        </is>
      </c>
      <c r="F399" s="0" t="n">
        <v>144</v>
      </c>
      <c r="G399" s="0" t="n">
        <v>20.37</v>
      </c>
      <c r="H399" s="0" t="n">
        <v>67.37</v>
      </c>
      <c r="I399" s="0" t="n">
        <v>15.69</v>
      </c>
      <c r="J399" s="0" t="n">
        <v>51.87</v>
      </c>
      <c r="K399" s="0" t="n">
        <v>48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67</v>
      </c>
      <c r="X399" s="0" t="n">
        <v>6</v>
      </c>
      <c r="Y399" s="0" t="n">
        <v>6</v>
      </c>
      <c r="Z399" s="0" t="inlineStr">
        <is>
          <t>https://new.land.naver.com/complexes/9670?tab=detail&amp;rf=Y</t>
        </is>
      </c>
      <c r="AA399" s="0" t="inlineStr">
        <is>
          <t>인천시 남동구 간석동 616-13</t>
        </is>
      </c>
      <c r="AB399" s="0" t="inlineStr">
        <is>
          <t>인천시</t>
        </is>
      </c>
      <c r="AC399" s="0" t="inlineStr">
        <is>
          <t>남동구</t>
        </is>
      </c>
      <c r="AD399" s="0" t="inlineStr">
        <is>
          <t>간석동</t>
        </is>
      </c>
      <c r="AG399" s="0" t="inlineStr">
        <is>
          <t>인천시 남동구 경원대로939번길 45</t>
        </is>
      </c>
      <c r="AH399" s="0" t="n">
        <v>0</v>
      </c>
      <c r="AI399" s="0" t="n">
        <v>173</v>
      </c>
      <c r="AJ399" s="0" t="n">
        <v>29</v>
      </c>
      <c r="AK399" s="0" t="n">
        <v>0</v>
      </c>
      <c r="AL399" s="0" t="n">
        <v>0</v>
      </c>
    </row>
    <row r="400">
      <c r="A400" s="0" t="inlineStr">
        <is>
          <t>[간석동]</t>
        </is>
      </c>
      <c r="B400" s="0" t="n">
        <v>9670</v>
      </c>
      <c r="C400" s="0" t="n">
        <v>3</v>
      </c>
      <c r="D400" s="0" t="inlineStr">
        <is>
          <t>현광(616-13)</t>
        </is>
      </c>
      <c r="E400" s="0" t="inlineStr">
        <is>
          <t>1990.05.</t>
        </is>
      </c>
      <c r="F400" s="0" t="n">
        <v>144</v>
      </c>
      <c r="G400" s="0" t="n">
        <v>24.45</v>
      </c>
      <c r="H400" s="0" t="n">
        <v>80.84999999999999</v>
      </c>
      <c r="I400" s="0" t="n">
        <v>19.19</v>
      </c>
      <c r="J400" s="0" t="n">
        <v>63.45</v>
      </c>
      <c r="K400" s="0" t="n">
        <v>48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6</v>
      </c>
      <c r="Y400" s="0" t="n">
        <v>6</v>
      </c>
      <c r="Z400" s="0" t="inlineStr">
        <is>
          <t>https://new.land.naver.com/complexes/9670?tab=detail&amp;rf=Y</t>
        </is>
      </c>
      <c r="AA400" s="0" t="inlineStr">
        <is>
          <t>인천시 남동구 간석동 616-13</t>
        </is>
      </c>
      <c r="AB400" s="0" t="inlineStr">
        <is>
          <t>인천시</t>
        </is>
      </c>
      <c r="AC400" s="0" t="inlineStr">
        <is>
          <t>남동구</t>
        </is>
      </c>
      <c r="AD400" s="0" t="inlineStr">
        <is>
          <t>간석동</t>
        </is>
      </c>
      <c r="AG400" s="0" t="inlineStr">
        <is>
          <t>인천시 남동구 경원대로939번길 45</t>
        </is>
      </c>
      <c r="AH400" s="0" t="n">
        <v>0</v>
      </c>
      <c r="AI400" s="0" t="n">
        <v>173</v>
      </c>
      <c r="AJ400" s="0" t="n">
        <v>29</v>
      </c>
      <c r="AK400" s="0" t="n">
        <v>0</v>
      </c>
      <c r="AL400" s="0" t="n">
        <v>0</v>
      </c>
    </row>
    <row r="401">
      <c r="A401" s="0" t="inlineStr">
        <is>
          <t>[간석동]</t>
        </is>
      </c>
      <c r="B401" s="0" t="n">
        <v>118467</v>
      </c>
      <c r="C401" s="0" t="n">
        <v>1</v>
      </c>
      <c r="D401" s="0" t="inlineStr">
        <is>
          <t>씨엠쎄레니티힐</t>
        </is>
      </c>
      <c r="E401" s="0" t="inlineStr">
        <is>
          <t>2017.08.</t>
        </is>
      </c>
      <c r="F401" s="0" t="n">
        <v>12</v>
      </c>
      <c r="G401" s="0" t="n">
        <v>17.77</v>
      </c>
      <c r="H401" s="0" t="n">
        <v>58.76</v>
      </c>
      <c r="I401" s="0" t="n">
        <v>14.78</v>
      </c>
      <c r="J401" s="0" t="n">
        <v>48.89</v>
      </c>
      <c r="K401" s="0" t="n">
        <v>12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58</v>
      </c>
      <c r="X401" s="0" t="n">
        <v>13</v>
      </c>
      <c r="Y401" s="0" t="n">
        <v>13</v>
      </c>
      <c r="Z401" s="0" t="inlineStr">
        <is>
          <t>https://new.land.naver.com/complexes/118467?tab=detail&amp;rf=Y</t>
        </is>
      </c>
      <c r="AA401" s="0" t="inlineStr">
        <is>
          <t>인천시 남동구 간석동 108-1</t>
        </is>
      </c>
      <c r="AB401" s="0" t="inlineStr">
        <is>
          <t>인천시</t>
        </is>
      </c>
      <c r="AC401" s="0" t="inlineStr">
        <is>
          <t>남동구</t>
        </is>
      </c>
      <c r="AD401" s="0" t="inlineStr">
        <is>
          <t>간석동</t>
        </is>
      </c>
      <c r="AG401" s="0" t="inlineStr">
        <is>
          <t>인천시 남동구 간석로6번길 7</t>
        </is>
      </c>
      <c r="AH401" s="0" t="n">
        <v>0</v>
      </c>
      <c r="AI401" s="0" t="n">
        <v>936</v>
      </c>
      <c r="AJ401" s="0" t="n">
        <v>78</v>
      </c>
      <c r="AK401" s="0" t="n">
        <v>8</v>
      </c>
      <c r="AL401" s="0" t="n">
        <v>0.67</v>
      </c>
    </row>
    <row r="402">
      <c r="A402" s="0" t="inlineStr">
        <is>
          <t>[간석동]</t>
        </is>
      </c>
      <c r="B402" s="0" t="n">
        <v>114368</v>
      </c>
      <c r="C402" s="0" t="n">
        <v>1</v>
      </c>
      <c r="D402" s="0" t="inlineStr">
        <is>
          <t>TK리즈빌(도시형)</t>
        </is>
      </c>
      <c r="E402" s="0" t="inlineStr">
        <is>
          <t>2016.12.</t>
        </is>
      </c>
      <c r="F402" s="0" t="n">
        <v>88</v>
      </c>
      <c r="G402" s="0" t="n">
        <v>11.77</v>
      </c>
      <c r="H402" s="0" t="n">
        <v>38.93</v>
      </c>
      <c r="I402" s="0" t="n">
        <v>9.59</v>
      </c>
      <c r="J402" s="0" t="n">
        <v>31.73</v>
      </c>
      <c r="K402" s="0" t="n">
        <v>8</v>
      </c>
      <c r="T402" s="0" t="n">
        <v>1</v>
      </c>
      <c r="U402" s="0" t="n">
        <v>1</v>
      </c>
      <c r="V402" s="0" t="inlineStr">
        <is>
          <t>복도식</t>
        </is>
      </c>
      <c r="W402" s="0" t="n">
        <v>38</v>
      </c>
      <c r="X402" s="0" t="n">
        <v>15</v>
      </c>
      <c r="Y402" s="0" t="n">
        <v>15</v>
      </c>
      <c r="Z402" s="0" t="inlineStr">
        <is>
          <t>https://new.land.naver.com/complexes/114368?tab=detail&amp;rf=Y</t>
        </is>
      </c>
      <c r="AA402" s="0" t="inlineStr">
        <is>
          <t>인천시 남동구 간석동 216-18</t>
        </is>
      </c>
      <c r="AB402" s="0" t="inlineStr">
        <is>
          <t>인천시</t>
        </is>
      </c>
      <c r="AC402" s="0" t="inlineStr">
        <is>
          <t>남동구</t>
        </is>
      </c>
      <c r="AD402" s="0" t="inlineStr">
        <is>
          <t>간석동</t>
        </is>
      </c>
      <c r="AG402" s="0" t="inlineStr">
        <is>
          <t>인천시 남동구 경인로 649</t>
        </is>
      </c>
      <c r="AH402" s="0" t="n">
        <v>0</v>
      </c>
      <c r="AI402" s="0" t="n">
        <v>799</v>
      </c>
      <c r="AJ402" s="0" t="n">
        <v>78</v>
      </c>
      <c r="AK402" s="0" t="n">
        <v>55</v>
      </c>
      <c r="AL402" s="0" t="n">
        <v>0.62</v>
      </c>
    </row>
    <row r="403">
      <c r="A403" s="0" t="inlineStr">
        <is>
          <t>[간석동]</t>
        </is>
      </c>
      <c r="B403" s="0" t="n">
        <v>114368</v>
      </c>
      <c r="C403" s="0" t="n">
        <v>2</v>
      </c>
      <c r="D403" s="0" t="inlineStr">
        <is>
          <t>TK리즈빌(도시형)</t>
        </is>
      </c>
      <c r="E403" s="0" t="inlineStr">
        <is>
          <t>2016.12.</t>
        </is>
      </c>
      <c r="F403" s="0" t="n">
        <v>88</v>
      </c>
      <c r="G403" s="0" t="n">
        <v>13.18</v>
      </c>
      <c r="H403" s="0" t="n">
        <v>43.59</v>
      </c>
      <c r="I403" s="0" t="n">
        <v>10.67</v>
      </c>
      <c r="J403" s="0" t="n">
        <v>35.29</v>
      </c>
      <c r="K403" s="0" t="n">
        <v>8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43</v>
      </c>
      <c r="X403" s="0" t="n">
        <v>15</v>
      </c>
      <c r="Y403" s="0" t="n">
        <v>15</v>
      </c>
      <c r="Z403" s="0" t="inlineStr">
        <is>
          <t>https://new.land.naver.com/complexes/114368?tab=detail&amp;rf=Y</t>
        </is>
      </c>
      <c r="AA403" s="0" t="inlineStr">
        <is>
          <t>인천시 남동구 간석동 216-18</t>
        </is>
      </c>
      <c r="AB403" s="0" t="inlineStr">
        <is>
          <t>인천시</t>
        </is>
      </c>
      <c r="AC403" s="0" t="inlineStr">
        <is>
          <t>남동구</t>
        </is>
      </c>
      <c r="AD403" s="0" t="inlineStr">
        <is>
          <t>간석동</t>
        </is>
      </c>
      <c r="AG403" s="0" t="inlineStr">
        <is>
          <t>인천시 남동구 경인로 649</t>
        </is>
      </c>
      <c r="AH403" s="0" t="n">
        <v>0</v>
      </c>
      <c r="AI403" s="0" t="n">
        <v>799</v>
      </c>
      <c r="AJ403" s="0" t="n">
        <v>78</v>
      </c>
      <c r="AK403" s="0" t="n">
        <v>55</v>
      </c>
      <c r="AL403" s="0" t="n">
        <v>0.62</v>
      </c>
    </row>
    <row r="404">
      <c r="A404" s="0" t="inlineStr">
        <is>
          <t>[간석동]</t>
        </is>
      </c>
      <c r="B404" s="0" t="n">
        <v>114368</v>
      </c>
      <c r="C404" s="0" t="n">
        <v>3</v>
      </c>
      <c r="D404" s="0" t="inlineStr">
        <is>
          <t>TK리즈빌(도시형)</t>
        </is>
      </c>
      <c r="E404" s="0" t="inlineStr">
        <is>
          <t>2016.12.</t>
        </is>
      </c>
      <c r="F404" s="0" t="n">
        <v>88</v>
      </c>
      <c r="G404" s="0" t="n">
        <v>14.77</v>
      </c>
      <c r="H404" s="0" t="n">
        <v>48.84</v>
      </c>
      <c r="I404" s="0" t="n">
        <v>12.17</v>
      </c>
      <c r="J404" s="0" t="n">
        <v>40.24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48A</t>
        </is>
      </c>
      <c r="X404" s="0" t="n">
        <v>15</v>
      </c>
      <c r="Y404" s="0" t="n">
        <v>15</v>
      </c>
      <c r="Z404" s="0" t="inlineStr">
        <is>
          <t>https://new.land.naver.com/complexes/114368?tab=detail&amp;rf=Y</t>
        </is>
      </c>
      <c r="AA404" s="0" t="inlineStr">
        <is>
          <t>인천시 남동구 간석동 216-18</t>
        </is>
      </c>
      <c r="AB404" s="0" t="inlineStr">
        <is>
          <t>인천시</t>
        </is>
      </c>
      <c r="AC404" s="0" t="inlineStr">
        <is>
          <t>남동구</t>
        </is>
      </c>
      <c r="AD404" s="0" t="inlineStr">
        <is>
          <t>간석동</t>
        </is>
      </c>
      <c r="AG404" s="0" t="inlineStr">
        <is>
          <t>인천시 남동구 경인로 649</t>
        </is>
      </c>
      <c r="AH404" s="0" t="n">
        <v>0</v>
      </c>
      <c r="AI404" s="0" t="n">
        <v>799</v>
      </c>
      <c r="AJ404" s="0" t="n">
        <v>78</v>
      </c>
      <c r="AK404" s="0" t="n">
        <v>55</v>
      </c>
      <c r="AL404" s="0" t="n">
        <v>0.62</v>
      </c>
    </row>
    <row r="405">
      <c r="A405" s="0" t="inlineStr">
        <is>
          <t>[간석동]</t>
        </is>
      </c>
      <c r="B405" s="0" t="n">
        <v>114368</v>
      </c>
      <c r="C405" s="0" t="n">
        <v>4</v>
      </c>
      <c r="D405" s="0" t="inlineStr">
        <is>
          <t>TK리즈빌(도시형)</t>
        </is>
      </c>
      <c r="E405" s="0" t="inlineStr">
        <is>
          <t>2016.12.</t>
        </is>
      </c>
      <c r="F405" s="0" t="n">
        <v>88</v>
      </c>
      <c r="G405" s="0" t="n">
        <v>15.35</v>
      </c>
      <c r="H405" s="0" t="n">
        <v>50.75</v>
      </c>
      <c r="I405" s="0" t="n">
        <v>12.54</v>
      </c>
      <c r="J405" s="0" t="n">
        <v>41.46</v>
      </c>
      <c r="K405" s="0" t="n">
        <v>8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50C</t>
        </is>
      </c>
      <c r="X405" s="0" t="n">
        <v>15</v>
      </c>
      <c r="Y405" s="0" t="n">
        <v>15</v>
      </c>
      <c r="Z405" s="0" t="inlineStr">
        <is>
          <t>https://new.land.naver.com/complexes/114368?tab=detail&amp;rf=Y</t>
        </is>
      </c>
      <c r="AA405" s="0" t="inlineStr">
        <is>
          <t>인천시 남동구 간석동 216-18</t>
        </is>
      </c>
      <c r="AB405" s="0" t="inlineStr">
        <is>
          <t>인천시</t>
        </is>
      </c>
      <c r="AC405" s="0" t="inlineStr">
        <is>
          <t>남동구</t>
        </is>
      </c>
      <c r="AD405" s="0" t="inlineStr">
        <is>
          <t>간석동</t>
        </is>
      </c>
      <c r="AG405" s="0" t="inlineStr">
        <is>
          <t>인천시 남동구 경인로 649</t>
        </is>
      </c>
      <c r="AH405" s="0" t="n">
        <v>0</v>
      </c>
      <c r="AI405" s="0" t="n">
        <v>799</v>
      </c>
      <c r="AJ405" s="0" t="n">
        <v>78</v>
      </c>
      <c r="AK405" s="0" t="n">
        <v>55</v>
      </c>
      <c r="AL405" s="0" t="n">
        <v>0.62</v>
      </c>
    </row>
    <row r="406">
      <c r="A406" s="0" t="inlineStr">
        <is>
          <t>[간석동]</t>
        </is>
      </c>
      <c r="B406" s="0" t="n">
        <v>114368</v>
      </c>
      <c r="C406" s="0" t="n">
        <v>5</v>
      </c>
      <c r="D406" s="0" t="inlineStr">
        <is>
          <t>TK리즈빌(도시형)</t>
        </is>
      </c>
      <c r="E406" s="0" t="inlineStr">
        <is>
          <t>2016.12.</t>
        </is>
      </c>
      <c r="F406" s="0" t="n">
        <v>88</v>
      </c>
      <c r="G406" s="0" t="n">
        <v>15.55</v>
      </c>
      <c r="H406" s="0" t="n">
        <v>51.41</v>
      </c>
      <c r="I406" s="0" t="n">
        <v>12.76</v>
      </c>
      <c r="J406" s="0" t="n">
        <v>42.2</v>
      </c>
      <c r="K406" s="0" t="n">
        <v>8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51A</t>
        </is>
      </c>
      <c r="X406" s="0" t="n">
        <v>15</v>
      </c>
      <c r="Y406" s="0" t="n">
        <v>15</v>
      </c>
      <c r="Z406" s="0" t="inlineStr">
        <is>
          <t>https://new.land.naver.com/complexes/114368?tab=detail&amp;rf=Y</t>
        </is>
      </c>
      <c r="AA406" s="0" t="inlineStr">
        <is>
          <t>인천시 남동구 간석동 216-18</t>
        </is>
      </c>
      <c r="AB406" s="0" t="inlineStr">
        <is>
          <t>인천시</t>
        </is>
      </c>
      <c r="AC406" s="0" t="inlineStr">
        <is>
          <t>남동구</t>
        </is>
      </c>
      <c r="AD406" s="0" t="inlineStr">
        <is>
          <t>간석동</t>
        </is>
      </c>
      <c r="AG406" s="0" t="inlineStr">
        <is>
          <t>인천시 남동구 경인로 649</t>
        </is>
      </c>
      <c r="AH406" s="0" t="n">
        <v>0</v>
      </c>
      <c r="AI406" s="0" t="n">
        <v>799</v>
      </c>
      <c r="AJ406" s="0" t="n">
        <v>78</v>
      </c>
      <c r="AK406" s="0" t="n">
        <v>55</v>
      </c>
      <c r="AL406" s="0" t="n">
        <v>0.62</v>
      </c>
    </row>
    <row r="407">
      <c r="A407" s="0" t="inlineStr">
        <is>
          <t>[간석동]</t>
        </is>
      </c>
      <c r="B407" s="0" t="n">
        <v>114368</v>
      </c>
      <c r="C407" s="0" t="n">
        <v>6</v>
      </c>
      <c r="D407" s="0" t="inlineStr">
        <is>
          <t>TK리즈빌(도시형)</t>
        </is>
      </c>
      <c r="E407" s="0" t="inlineStr">
        <is>
          <t>2016.12.</t>
        </is>
      </c>
      <c r="F407" s="0" t="n">
        <v>88</v>
      </c>
      <c r="G407" s="0" t="n">
        <v>15.48</v>
      </c>
      <c r="H407" s="0" t="n">
        <v>51.19</v>
      </c>
      <c r="I407" s="0" t="n">
        <v>12.49</v>
      </c>
      <c r="J407" s="0" t="n">
        <v>41.32</v>
      </c>
      <c r="K407" s="0" t="n">
        <v>8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51B</t>
        </is>
      </c>
      <c r="X407" s="0" t="n">
        <v>15</v>
      </c>
      <c r="Y407" s="0" t="n">
        <v>15</v>
      </c>
      <c r="Z407" s="0" t="inlineStr">
        <is>
          <t>https://new.land.naver.com/complexes/114368?tab=detail&amp;rf=Y</t>
        </is>
      </c>
      <c r="AA407" s="0" t="inlineStr">
        <is>
          <t>인천시 남동구 간석동 216-18</t>
        </is>
      </c>
      <c r="AB407" s="0" t="inlineStr">
        <is>
          <t>인천시</t>
        </is>
      </c>
      <c r="AC407" s="0" t="inlineStr">
        <is>
          <t>남동구</t>
        </is>
      </c>
      <c r="AD407" s="0" t="inlineStr">
        <is>
          <t>간석동</t>
        </is>
      </c>
      <c r="AG407" s="0" t="inlineStr">
        <is>
          <t>인천시 남동구 경인로 649</t>
        </is>
      </c>
      <c r="AH407" s="0" t="n">
        <v>0</v>
      </c>
      <c r="AI407" s="0" t="n">
        <v>799</v>
      </c>
      <c r="AJ407" s="0" t="n">
        <v>78</v>
      </c>
      <c r="AK407" s="0" t="n">
        <v>55</v>
      </c>
      <c r="AL407" s="0" t="n">
        <v>0.62</v>
      </c>
    </row>
    <row r="408">
      <c r="A408" s="0" t="inlineStr">
        <is>
          <t>[간석동]</t>
        </is>
      </c>
      <c r="B408" s="0" t="n">
        <v>114368</v>
      </c>
      <c r="C408" s="0" t="n">
        <v>7</v>
      </c>
      <c r="D408" s="0" t="inlineStr">
        <is>
          <t>TK리즈빌(도시형)</t>
        </is>
      </c>
      <c r="E408" s="0" t="inlineStr">
        <is>
          <t>2016.12.</t>
        </is>
      </c>
      <c r="F408" s="0" t="n">
        <v>88</v>
      </c>
      <c r="G408" s="0" t="n">
        <v>16.28</v>
      </c>
      <c r="H408" s="0" t="n">
        <v>53.82</v>
      </c>
      <c r="I408" s="0" t="n">
        <v>13.37</v>
      </c>
      <c r="J408" s="0" t="n">
        <v>44.23</v>
      </c>
      <c r="K408" s="0" t="n">
        <v>8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53B</t>
        </is>
      </c>
      <c r="X408" s="0" t="n">
        <v>15</v>
      </c>
      <c r="Y408" s="0" t="n">
        <v>15</v>
      </c>
      <c r="Z408" s="0" t="inlineStr">
        <is>
          <t>https://new.land.naver.com/complexes/114368?tab=detail&amp;rf=Y</t>
        </is>
      </c>
      <c r="AA408" s="0" t="inlineStr">
        <is>
          <t>인천시 남동구 간석동 216-18</t>
        </is>
      </c>
      <c r="AB408" s="0" t="inlineStr">
        <is>
          <t>인천시</t>
        </is>
      </c>
      <c r="AC408" s="0" t="inlineStr">
        <is>
          <t>남동구</t>
        </is>
      </c>
      <c r="AD408" s="0" t="inlineStr">
        <is>
          <t>간석동</t>
        </is>
      </c>
      <c r="AG408" s="0" t="inlineStr">
        <is>
          <t>인천시 남동구 경인로 649</t>
        </is>
      </c>
      <c r="AH408" s="0" t="n">
        <v>0</v>
      </c>
      <c r="AI408" s="0" t="n">
        <v>799</v>
      </c>
      <c r="AJ408" s="0" t="n">
        <v>78</v>
      </c>
      <c r="AK408" s="0" t="n">
        <v>55</v>
      </c>
      <c r="AL408" s="0" t="n">
        <v>0.62</v>
      </c>
    </row>
    <row r="409">
      <c r="A409" s="0" t="inlineStr">
        <is>
          <t>[간석동]</t>
        </is>
      </c>
      <c r="B409" s="0" t="n">
        <v>114368</v>
      </c>
      <c r="C409" s="0" t="n">
        <v>8</v>
      </c>
      <c r="D409" s="0" t="inlineStr">
        <is>
          <t>TK리즈빌(도시형)</t>
        </is>
      </c>
      <c r="E409" s="0" t="inlineStr">
        <is>
          <t>2016.12.</t>
        </is>
      </c>
      <c r="F409" s="0" t="n">
        <v>88</v>
      </c>
      <c r="G409" s="0" t="n">
        <v>16.56</v>
      </c>
      <c r="H409" s="0" t="n">
        <v>54.77</v>
      </c>
      <c r="I409" s="0" t="n">
        <v>13.45</v>
      </c>
      <c r="J409" s="0" t="n">
        <v>44.47</v>
      </c>
      <c r="K409" s="0" t="n">
        <v>8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54A</t>
        </is>
      </c>
      <c r="X409" s="0" t="n">
        <v>15</v>
      </c>
      <c r="Y409" s="0" t="n">
        <v>15</v>
      </c>
      <c r="Z409" s="0" t="inlineStr">
        <is>
          <t>https://new.land.naver.com/complexes/114368?tab=detail&amp;rf=Y</t>
        </is>
      </c>
      <c r="AA409" s="0" t="inlineStr">
        <is>
          <t>인천시 남동구 간석동 216-18</t>
        </is>
      </c>
      <c r="AB409" s="0" t="inlineStr">
        <is>
          <t>인천시</t>
        </is>
      </c>
      <c r="AC409" s="0" t="inlineStr">
        <is>
          <t>남동구</t>
        </is>
      </c>
      <c r="AD409" s="0" t="inlineStr">
        <is>
          <t>간석동</t>
        </is>
      </c>
      <c r="AG409" s="0" t="inlineStr">
        <is>
          <t>인천시 남동구 경인로 649</t>
        </is>
      </c>
      <c r="AH409" s="0" t="n">
        <v>0</v>
      </c>
      <c r="AI409" s="0" t="n">
        <v>799</v>
      </c>
      <c r="AJ409" s="0" t="n">
        <v>78</v>
      </c>
      <c r="AK409" s="0" t="n">
        <v>55</v>
      </c>
      <c r="AL409" s="0" t="n">
        <v>0.62</v>
      </c>
    </row>
    <row r="410">
      <c r="A410" s="0" t="inlineStr">
        <is>
          <t>[간석동]</t>
        </is>
      </c>
      <c r="B410" s="0" t="n">
        <v>114368</v>
      </c>
      <c r="C410" s="0" t="n">
        <v>9</v>
      </c>
      <c r="D410" s="0" t="inlineStr">
        <is>
          <t>TK리즈빌(도시형)</t>
        </is>
      </c>
      <c r="E410" s="0" t="inlineStr">
        <is>
          <t>2016.12.</t>
        </is>
      </c>
      <c r="F410" s="0" t="n">
        <v>88</v>
      </c>
      <c r="G410" s="0" t="n">
        <v>16.89</v>
      </c>
      <c r="H410" s="0" t="n">
        <v>55.86</v>
      </c>
      <c r="I410" s="0" t="n">
        <v>13.77</v>
      </c>
      <c r="J410" s="0" t="n">
        <v>45.55</v>
      </c>
      <c r="K410" s="0" t="n">
        <v>8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55B</t>
        </is>
      </c>
      <c r="X410" s="0" t="n">
        <v>15</v>
      </c>
      <c r="Y410" s="0" t="n">
        <v>15</v>
      </c>
      <c r="Z410" s="0" t="inlineStr">
        <is>
          <t>https://new.land.naver.com/complexes/114368?tab=detail&amp;rf=Y</t>
        </is>
      </c>
      <c r="AA410" s="0" t="inlineStr">
        <is>
          <t>인천시 남동구 간석동 216-18</t>
        </is>
      </c>
      <c r="AB410" s="0" t="inlineStr">
        <is>
          <t>인천시</t>
        </is>
      </c>
      <c r="AC410" s="0" t="inlineStr">
        <is>
          <t>남동구</t>
        </is>
      </c>
      <c r="AD410" s="0" t="inlineStr">
        <is>
          <t>간석동</t>
        </is>
      </c>
      <c r="AG410" s="0" t="inlineStr">
        <is>
          <t>인천시 남동구 경인로 649</t>
        </is>
      </c>
      <c r="AH410" s="0" t="n">
        <v>0</v>
      </c>
      <c r="AI410" s="0" t="n">
        <v>799</v>
      </c>
      <c r="AJ410" s="0" t="n">
        <v>78</v>
      </c>
      <c r="AK410" s="0" t="n">
        <v>55</v>
      </c>
      <c r="AL410" s="0" t="n">
        <v>0.62</v>
      </c>
    </row>
    <row r="411">
      <c r="A411" s="0" t="inlineStr">
        <is>
          <t>[간석동]</t>
        </is>
      </c>
      <c r="B411" s="0" t="n">
        <v>114368</v>
      </c>
      <c r="C411" s="0" t="n">
        <v>10</v>
      </c>
      <c r="D411" s="0" t="inlineStr">
        <is>
          <t>TK리즈빌(도시형)</t>
        </is>
      </c>
      <c r="E411" s="0" t="inlineStr">
        <is>
          <t>2016.12.</t>
        </is>
      </c>
      <c r="F411" s="0" t="n">
        <v>88</v>
      </c>
      <c r="G411" s="0" t="n">
        <v>17.78</v>
      </c>
      <c r="H411" s="0" t="n">
        <v>58.78</v>
      </c>
      <c r="I411" s="0" t="n">
        <v>14.62</v>
      </c>
      <c r="J411" s="0" t="n">
        <v>48.36</v>
      </c>
      <c r="K411" s="0" t="n">
        <v>16</v>
      </c>
      <c r="T411" s="0" t="n">
        <v>1</v>
      </c>
      <c r="U411" s="0" t="n">
        <v>1</v>
      </c>
      <c r="V411" s="0" t="inlineStr">
        <is>
          <t>복도식</t>
        </is>
      </c>
      <c r="W411" s="0" t="n">
        <v>58</v>
      </c>
      <c r="X411" s="0" t="n">
        <v>15</v>
      </c>
      <c r="Y411" s="0" t="n">
        <v>15</v>
      </c>
      <c r="Z411" s="0" t="inlineStr">
        <is>
          <t>https://new.land.naver.com/complexes/114368?tab=detail&amp;rf=Y</t>
        </is>
      </c>
      <c r="AA411" s="0" t="inlineStr">
        <is>
          <t>인천시 남동구 간석동 216-18</t>
        </is>
      </c>
      <c r="AB411" s="0" t="inlineStr">
        <is>
          <t>인천시</t>
        </is>
      </c>
      <c r="AC411" s="0" t="inlineStr">
        <is>
          <t>남동구</t>
        </is>
      </c>
      <c r="AD411" s="0" t="inlineStr">
        <is>
          <t>간석동</t>
        </is>
      </c>
      <c r="AG411" s="0" t="inlineStr">
        <is>
          <t>인천시 남동구 경인로 649</t>
        </is>
      </c>
      <c r="AH411" s="0" t="n">
        <v>0</v>
      </c>
      <c r="AI411" s="0" t="n">
        <v>799</v>
      </c>
      <c r="AJ411" s="0" t="n">
        <v>78</v>
      </c>
      <c r="AK411" s="0" t="n">
        <v>55</v>
      </c>
      <c r="AL411" s="0" t="n">
        <v>0.62</v>
      </c>
    </row>
    <row r="412">
      <c r="A412" s="0" t="inlineStr">
        <is>
          <t>[간석동]</t>
        </is>
      </c>
      <c r="B412" s="0" t="n">
        <v>25698</v>
      </c>
      <c r="C412" s="0" t="n">
        <v>1</v>
      </c>
      <c r="D412" s="0" t="inlineStr">
        <is>
          <t>간석행복누리움</t>
        </is>
      </c>
      <c r="E412" s="0" t="inlineStr">
        <is>
          <t>2006.07.</t>
        </is>
      </c>
      <c r="F412" s="0" t="n">
        <v>84</v>
      </c>
      <c r="G412" s="0" t="n">
        <v>32.32</v>
      </c>
      <c r="H412" s="0" t="n">
        <v>106.85</v>
      </c>
      <c r="I412" s="0" t="n">
        <v>25.68</v>
      </c>
      <c r="J412" s="0" t="n">
        <v>84.92</v>
      </c>
      <c r="K412" s="0" t="n">
        <v>84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106</v>
      </c>
      <c r="X412" s="0" t="n">
        <v>14</v>
      </c>
      <c r="Y412" s="0" t="n">
        <v>14</v>
      </c>
      <c r="Z412" s="0" t="inlineStr">
        <is>
          <t>https://new.land.naver.com/complexes/25698?tab=detail&amp;rf=Y</t>
        </is>
      </c>
      <c r="AA412" s="0" t="inlineStr">
        <is>
          <t>인천시 남동구 간석동 939</t>
        </is>
      </c>
      <c r="AB412" s="0" t="inlineStr">
        <is>
          <t>인천시</t>
        </is>
      </c>
      <c r="AC412" s="0" t="inlineStr">
        <is>
          <t>남동구</t>
        </is>
      </c>
      <c r="AD412" s="0" t="inlineStr">
        <is>
          <t>간석동</t>
        </is>
      </c>
      <c r="AG412" s="0" t="inlineStr">
        <is>
          <t>인천시 남동구 석정로 540-6</t>
        </is>
      </c>
      <c r="AH412" s="0" t="n">
        <v>0</v>
      </c>
      <c r="AI412" s="0" t="n">
        <v>0</v>
      </c>
      <c r="AJ412" s="0" t="n">
        <v>0</v>
      </c>
      <c r="AK412" s="0" t="n">
        <v>96</v>
      </c>
      <c r="AL412" s="0" t="n">
        <v>1.14</v>
      </c>
    </row>
    <row r="413">
      <c r="A413" s="0" t="inlineStr">
        <is>
          <t>[간석동]</t>
        </is>
      </c>
      <c r="B413" s="0" t="n">
        <v>14363</v>
      </c>
      <c r="C413" s="0" t="n">
        <v>1</v>
      </c>
      <c r="D413" s="0" t="inlineStr">
        <is>
          <t>우성늘푸른</t>
        </is>
      </c>
      <c r="E413" s="0" t="inlineStr">
        <is>
          <t>2003.12.</t>
        </is>
      </c>
      <c r="F413" s="0" t="n">
        <v>38</v>
      </c>
      <c r="G413" s="0" t="n">
        <v>20.25</v>
      </c>
      <c r="H413" s="0" t="n">
        <v>66.97</v>
      </c>
      <c r="I413" s="0" t="n">
        <v>17.82</v>
      </c>
      <c r="J413" s="0" t="n">
        <v>58.91</v>
      </c>
      <c r="K413" s="0" t="n">
        <v>4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66</v>
      </c>
      <c r="X413" s="0" t="n">
        <v>10</v>
      </c>
      <c r="Y413" s="0" t="n">
        <v>10</v>
      </c>
      <c r="Z413" s="0" t="inlineStr">
        <is>
          <t>https://new.land.naver.com/complexes/14363?tab=detail&amp;rf=Y</t>
        </is>
      </c>
      <c r="AA413" s="0" t="inlineStr">
        <is>
          <t>인천시 남동구 간석동 281-2</t>
        </is>
      </c>
      <c r="AB413" s="0" t="inlineStr">
        <is>
          <t>인천시</t>
        </is>
      </c>
      <c r="AC413" s="0" t="inlineStr">
        <is>
          <t>남동구</t>
        </is>
      </c>
      <c r="AD413" s="0" t="inlineStr">
        <is>
          <t>간석동</t>
        </is>
      </c>
      <c r="AG413" s="0" t="inlineStr">
        <is>
          <t>인천시 남동구 석산로141번길 60</t>
        </is>
      </c>
      <c r="AH413" s="0" t="n">
        <v>0</v>
      </c>
      <c r="AI413" s="0" t="n">
        <v>0</v>
      </c>
      <c r="AJ413" s="0" t="n">
        <v>0</v>
      </c>
      <c r="AK413" s="0" t="n">
        <v>38</v>
      </c>
      <c r="AL413" s="0" t="n">
        <v>1</v>
      </c>
    </row>
    <row r="414">
      <c r="A414" s="0" t="inlineStr">
        <is>
          <t>[간석동]</t>
        </is>
      </c>
      <c r="B414" s="0" t="n">
        <v>14363</v>
      </c>
      <c r="C414" s="0" t="n">
        <v>2</v>
      </c>
      <c r="D414" s="0" t="inlineStr">
        <is>
          <t>우성늘푸른</t>
        </is>
      </c>
      <c r="E414" s="0" t="inlineStr">
        <is>
          <t>2003.12.</t>
        </is>
      </c>
      <c r="F414" s="0" t="n">
        <v>38</v>
      </c>
      <c r="G414" s="0" t="n">
        <v>26.85</v>
      </c>
      <c r="H414" s="0" t="n">
        <v>88.78</v>
      </c>
      <c r="I414" s="0" t="n">
        <v>23.62</v>
      </c>
      <c r="J414" s="0" t="n">
        <v>78.09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88A</t>
        </is>
      </c>
      <c r="X414" s="0" t="n">
        <v>10</v>
      </c>
      <c r="Y414" s="0" t="n">
        <v>10</v>
      </c>
      <c r="Z414" s="0" t="inlineStr">
        <is>
          <t>https://new.land.naver.com/complexes/14363?tab=detail&amp;rf=Y</t>
        </is>
      </c>
      <c r="AA414" s="0" t="inlineStr">
        <is>
          <t>인천시 남동구 간석동 281-2</t>
        </is>
      </c>
      <c r="AB414" s="0" t="inlineStr">
        <is>
          <t>인천시</t>
        </is>
      </c>
      <c r="AC414" s="0" t="inlineStr">
        <is>
          <t>남동구</t>
        </is>
      </c>
      <c r="AD414" s="0" t="inlineStr">
        <is>
          <t>간석동</t>
        </is>
      </c>
      <c r="AG414" s="0" t="inlineStr">
        <is>
          <t>인천시 남동구 석산로141번길 60</t>
        </is>
      </c>
      <c r="AH414" s="0" t="n">
        <v>0</v>
      </c>
      <c r="AI414" s="0" t="n">
        <v>0</v>
      </c>
      <c r="AJ414" s="0" t="n">
        <v>0</v>
      </c>
      <c r="AK414" s="0" t="n">
        <v>38</v>
      </c>
      <c r="AL414" s="0" t="n">
        <v>1</v>
      </c>
    </row>
    <row r="415">
      <c r="A415" s="0" t="inlineStr">
        <is>
          <t>[간석동]</t>
        </is>
      </c>
      <c r="B415" s="0" t="n">
        <v>14363</v>
      </c>
      <c r="C415" s="0" t="n">
        <v>3</v>
      </c>
      <c r="D415" s="0" t="inlineStr">
        <is>
          <t>우성늘푸른</t>
        </is>
      </c>
      <c r="E415" s="0" t="inlineStr">
        <is>
          <t>2003.12.</t>
        </is>
      </c>
      <c r="F415" s="0" t="n">
        <v>38</v>
      </c>
      <c r="G415" s="0" t="n">
        <v>27.16</v>
      </c>
      <c r="H415" s="0" t="n">
        <v>89.8</v>
      </c>
      <c r="I415" s="0" t="n">
        <v>23.89</v>
      </c>
      <c r="J415" s="0" t="n">
        <v>78.98999999999999</v>
      </c>
      <c r="K415" s="0" t="n">
        <v>4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89B</t>
        </is>
      </c>
      <c r="X415" s="0" t="n">
        <v>10</v>
      </c>
      <c r="Y415" s="0" t="n">
        <v>10</v>
      </c>
      <c r="Z415" s="0" t="inlineStr">
        <is>
          <t>https://new.land.naver.com/complexes/14363?tab=detail&amp;rf=Y</t>
        </is>
      </c>
      <c r="AA415" s="0" t="inlineStr">
        <is>
          <t>인천시 남동구 간석동 281-2</t>
        </is>
      </c>
      <c r="AB415" s="0" t="inlineStr">
        <is>
          <t>인천시</t>
        </is>
      </c>
      <c r="AC415" s="0" t="inlineStr">
        <is>
          <t>남동구</t>
        </is>
      </c>
      <c r="AD415" s="0" t="inlineStr">
        <is>
          <t>간석동</t>
        </is>
      </c>
      <c r="AG415" s="0" t="inlineStr">
        <is>
          <t>인천시 남동구 석산로141번길 60</t>
        </is>
      </c>
      <c r="AH415" s="0" t="n">
        <v>0</v>
      </c>
      <c r="AI415" s="0" t="n">
        <v>0</v>
      </c>
      <c r="AJ415" s="0" t="n">
        <v>0</v>
      </c>
      <c r="AK415" s="0" t="n">
        <v>38</v>
      </c>
      <c r="AL415" s="0" t="n">
        <v>1</v>
      </c>
    </row>
    <row r="416">
      <c r="A416" s="0" t="inlineStr">
        <is>
          <t>[간석동]</t>
        </is>
      </c>
      <c r="B416" s="0" t="n">
        <v>113003</v>
      </c>
      <c r="C416" s="0" t="n">
        <v>1</v>
      </c>
      <c r="D416" s="0" t="inlineStr">
        <is>
          <t>엑설런트(도시형)</t>
        </is>
      </c>
      <c r="E416" s="0" t="inlineStr">
        <is>
          <t>2011.07.</t>
        </is>
      </c>
      <c r="F416" s="0" t="n">
        <v>28</v>
      </c>
      <c r="G416" s="0" t="n">
        <v>6.64</v>
      </c>
      <c r="H416" s="0" t="n">
        <v>21.97</v>
      </c>
      <c r="I416" s="0" t="n">
        <v>4.79</v>
      </c>
      <c r="J416" s="0" t="n">
        <v>15.85</v>
      </c>
      <c r="K416" s="0" t="n">
        <v>20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21A</t>
        </is>
      </c>
      <c r="X416" s="0" t="n">
        <v>8</v>
      </c>
      <c r="Y416" s="0" t="n">
        <v>8</v>
      </c>
      <c r="Z416" s="0" t="inlineStr">
        <is>
          <t>https://new.land.naver.com/complexes/113003?tab=detail&amp;rf=Y</t>
        </is>
      </c>
      <c r="AA416" s="0" t="inlineStr">
        <is>
          <t>인천시 남동구 간석동 280-7</t>
        </is>
      </c>
      <c r="AB416" s="0" t="inlineStr">
        <is>
          <t>인천시</t>
        </is>
      </c>
      <c r="AC416" s="0" t="inlineStr">
        <is>
          <t>남동구</t>
        </is>
      </c>
      <c r="AD416" s="0" t="inlineStr">
        <is>
          <t>간석동</t>
        </is>
      </c>
      <c r="AG416" s="0" t="inlineStr">
        <is>
          <t>인천시 남동구 경인로626번길 43</t>
        </is>
      </c>
      <c r="AH416" s="0" t="n">
        <v>0</v>
      </c>
      <c r="AI416" s="0" t="n">
        <v>375</v>
      </c>
      <c r="AJ416" s="0" t="n">
        <v>59</v>
      </c>
      <c r="AK416" s="0" t="n">
        <v>8</v>
      </c>
      <c r="AL416" s="0" t="n">
        <v>0.29</v>
      </c>
    </row>
    <row r="417">
      <c r="A417" s="0" t="inlineStr">
        <is>
          <t>[간석동]</t>
        </is>
      </c>
      <c r="B417" s="0" t="n">
        <v>113003</v>
      </c>
      <c r="C417" s="0" t="n">
        <v>2</v>
      </c>
      <c r="D417" s="0" t="inlineStr">
        <is>
          <t>엑설런트(도시형)</t>
        </is>
      </c>
      <c r="E417" s="0" t="inlineStr">
        <is>
          <t>2011.07.</t>
        </is>
      </c>
      <c r="F417" s="0" t="n">
        <v>28</v>
      </c>
      <c r="G417" s="0" t="n">
        <v>7.23</v>
      </c>
      <c r="H417" s="0" t="n">
        <v>23.91</v>
      </c>
      <c r="I417" s="0" t="n">
        <v>5.17</v>
      </c>
      <c r="J417" s="0" t="n">
        <v>17.12</v>
      </c>
      <c r="K417" s="0" t="n">
        <v>8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23B</t>
        </is>
      </c>
      <c r="X417" s="0" t="n">
        <v>8</v>
      </c>
      <c r="Y417" s="0" t="n">
        <v>8</v>
      </c>
      <c r="Z417" s="0" t="inlineStr">
        <is>
          <t>https://new.land.naver.com/complexes/113003?tab=detail&amp;rf=Y</t>
        </is>
      </c>
      <c r="AA417" s="0" t="inlineStr">
        <is>
          <t>인천시 남동구 간석동 280-7</t>
        </is>
      </c>
      <c r="AB417" s="0" t="inlineStr">
        <is>
          <t>인천시</t>
        </is>
      </c>
      <c r="AC417" s="0" t="inlineStr">
        <is>
          <t>남동구</t>
        </is>
      </c>
      <c r="AD417" s="0" t="inlineStr">
        <is>
          <t>간석동</t>
        </is>
      </c>
      <c r="AG417" s="0" t="inlineStr">
        <is>
          <t>인천시 남동구 경인로626번길 43</t>
        </is>
      </c>
      <c r="AH417" s="0" t="n">
        <v>0</v>
      </c>
      <c r="AI417" s="0" t="n">
        <v>375</v>
      </c>
      <c r="AJ417" s="0" t="n">
        <v>59</v>
      </c>
      <c r="AK417" s="0" t="n">
        <v>8</v>
      </c>
      <c r="AL417" s="0" t="n">
        <v>0.29</v>
      </c>
    </row>
    <row r="418">
      <c r="A418" s="0" t="inlineStr">
        <is>
          <t>[간석동]</t>
        </is>
      </c>
      <c r="B418" s="0" t="n">
        <v>117381</v>
      </c>
      <c r="C418" s="0" t="n">
        <v>1</v>
      </c>
      <c r="D418" s="0" t="inlineStr">
        <is>
          <t>도담(도시형)</t>
        </is>
      </c>
      <c r="E418" s="0" t="inlineStr">
        <is>
          <t>2017.05.</t>
        </is>
      </c>
      <c r="F418" s="0" t="n">
        <v>32</v>
      </c>
      <c r="G418" s="0" t="n">
        <v>20.67</v>
      </c>
      <c r="H418" s="0" t="n">
        <v>68.34999999999999</v>
      </c>
      <c r="I418" s="0" t="n">
        <v>14.96</v>
      </c>
      <c r="J418" s="0" t="n">
        <v>49.46</v>
      </c>
      <c r="K418" s="0" t="n">
        <v>16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68A</t>
        </is>
      </c>
      <c r="X418" s="0" t="n">
        <v>15</v>
      </c>
      <c r="Y418" s="0" t="n">
        <v>15</v>
      </c>
      <c r="Z418" s="0" t="inlineStr">
        <is>
          <t>https://new.land.naver.com/complexes/117381?tab=detail&amp;rf=Y</t>
        </is>
      </c>
      <c r="AA418" s="0" t="inlineStr">
        <is>
          <t>인천시 남동구 간석동 111-10</t>
        </is>
      </c>
      <c r="AB418" s="0" t="inlineStr">
        <is>
          <t>인천시</t>
        </is>
      </c>
      <c r="AC418" s="0" t="inlineStr">
        <is>
          <t>남동구</t>
        </is>
      </c>
      <c r="AD418" s="0" t="inlineStr">
        <is>
          <t>간석동</t>
        </is>
      </c>
      <c r="AG418" s="0" t="inlineStr">
        <is>
          <t>인천시 남동구 백범로 382</t>
        </is>
      </c>
      <c r="AH418" s="0" t="n">
        <v>0</v>
      </c>
      <c r="AI418" s="0" t="n">
        <v>752</v>
      </c>
      <c r="AJ418" s="0" t="n">
        <v>68</v>
      </c>
      <c r="AK418" s="0" t="n">
        <v>31</v>
      </c>
      <c r="AL418" s="0" t="n">
        <v>0.97</v>
      </c>
    </row>
    <row r="419">
      <c r="A419" s="0" t="inlineStr">
        <is>
          <t>[간석동]</t>
        </is>
      </c>
      <c r="B419" s="0" t="n">
        <v>117381</v>
      </c>
      <c r="C419" s="0" t="n">
        <v>2</v>
      </c>
      <c r="D419" s="0" t="inlineStr">
        <is>
          <t>도담(도시형)</t>
        </is>
      </c>
      <c r="E419" s="0" t="inlineStr">
        <is>
          <t>2017.05.</t>
        </is>
      </c>
      <c r="F419" s="0" t="n">
        <v>32</v>
      </c>
      <c r="G419" s="0" t="n">
        <v>20.65</v>
      </c>
      <c r="H419" s="0" t="n">
        <v>68.27</v>
      </c>
      <c r="I419" s="0" t="n">
        <v>14.98</v>
      </c>
      <c r="J419" s="0" t="n">
        <v>49.55</v>
      </c>
      <c r="K419" s="0" t="n">
        <v>16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68B</t>
        </is>
      </c>
      <c r="X419" s="0" t="n">
        <v>15</v>
      </c>
      <c r="Y419" s="0" t="n">
        <v>15</v>
      </c>
      <c r="Z419" s="0" t="inlineStr">
        <is>
          <t>https://new.land.naver.com/complexes/117381?tab=detail&amp;rf=Y</t>
        </is>
      </c>
      <c r="AA419" s="0" t="inlineStr">
        <is>
          <t>인천시 남동구 간석동 111-10</t>
        </is>
      </c>
      <c r="AB419" s="0" t="inlineStr">
        <is>
          <t>인천시</t>
        </is>
      </c>
      <c r="AC419" s="0" t="inlineStr">
        <is>
          <t>남동구</t>
        </is>
      </c>
      <c r="AD419" s="0" t="inlineStr">
        <is>
          <t>간석동</t>
        </is>
      </c>
      <c r="AG419" s="0" t="inlineStr">
        <is>
          <t>인천시 남동구 백범로 382</t>
        </is>
      </c>
      <c r="AH419" s="0" t="n">
        <v>0</v>
      </c>
      <c r="AI419" s="0" t="n">
        <v>752</v>
      </c>
      <c r="AJ419" s="0" t="n">
        <v>68</v>
      </c>
      <c r="AK419" s="0" t="n">
        <v>31</v>
      </c>
      <c r="AL419" s="0" t="n">
        <v>0.97</v>
      </c>
    </row>
    <row r="420">
      <c r="A420" s="0" t="inlineStr">
        <is>
          <t>[간석동]</t>
        </is>
      </c>
      <c r="B420" s="0" t="n">
        <v>105063</v>
      </c>
      <c r="C420" s="0" t="n">
        <v>1</v>
      </c>
      <c r="D420" s="0" t="inlineStr">
        <is>
          <t>아이닉스2차</t>
        </is>
      </c>
      <c r="E420" s="0" t="inlineStr">
        <is>
          <t>2009.01.</t>
        </is>
      </c>
      <c r="F420" s="0" t="n">
        <v>14</v>
      </c>
      <c r="G420" s="0" t="n">
        <v>21.49</v>
      </c>
      <c r="H420" s="0" t="n">
        <v>71.06999999999999</v>
      </c>
      <c r="I420" s="0" t="n">
        <v>18.02</v>
      </c>
      <c r="J420" s="0" t="n">
        <v>59.59</v>
      </c>
      <c r="K420" s="0" t="n">
        <v>1</v>
      </c>
      <c r="T420" s="0" t="n">
        <v>3</v>
      </c>
      <c r="U420" s="0" t="n">
        <v>2</v>
      </c>
      <c r="V420" s="0" t="inlineStr">
        <is>
          <t>복합식</t>
        </is>
      </c>
      <c r="W420" s="0" t="inlineStr">
        <is>
          <t>71A</t>
        </is>
      </c>
      <c r="X420" s="0" t="n">
        <v>9</v>
      </c>
      <c r="Y420" s="0" t="n">
        <v>9</v>
      </c>
      <c r="Z420" s="0" t="inlineStr">
        <is>
          <t>https://new.land.naver.com/complexes/105063?tab=detail&amp;rf=Y</t>
        </is>
      </c>
      <c r="AA420" s="0" t="inlineStr">
        <is>
          <t>인천시 남동구 간석동 100-7</t>
        </is>
      </c>
      <c r="AB420" s="0" t="inlineStr">
        <is>
          <t>인천시</t>
        </is>
      </c>
      <c r="AC420" s="0" t="inlineStr">
        <is>
          <t>남동구</t>
        </is>
      </c>
      <c r="AD420" s="0" t="inlineStr">
        <is>
          <t>간석동</t>
        </is>
      </c>
      <c r="AG420" s="0" t="inlineStr">
        <is>
          <t>인천시 남동구 경인로644번길 63</t>
        </is>
      </c>
      <c r="AH420" s="0" t="n">
        <v>0</v>
      </c>
      <c r="AI420" s="0" t="n">
        <v>308</v>
      </c>
      <c r="AJ420" s="0" t="n">
        <v>73</v>
      </c>
      <c r="AK420" s="0" t="n">
        <v>14</v>
      </c>
      <c r="AL420" s="0" t="n">
        <v>1</v>
      </c>
    </row>
    <row r="421">
      <c r="A421" s="0" t="inlineStr">
        <is>
          <t>[간석동]</t>
        </is>
      </c>
      <c r="B421" s="0" t="n">
        <v>105063</v>
      </c>
      <c r="C421" s="0" t="n">
        <v>2</v>
      </c>
      <c r="D421" s="0" t="inlineStr">
        <is>
          <t>아이닉스2차</t>
        </is>
      </c>
      <c r="E421" s="0" t="inlineStr">
        <is>
          <t>2009.01.</t>
        </is>
      </c>
      <c r="F421" s="0" t="n">
        <v>14</v>
      </c>
      <c r="G421" s="0" t="n">
        <v>21.51</v>
      </c>
      <c r="H421" s="0" t="n">
        <v>71.13</v>
      </c>
      <c r="I421" s="0" t="n">
        <v>18.04</v>
      </c>
      <c r="J421" s="0" t="n">
        <v>59.64</v>
      </c>
      <c r="K421" s="0" t="n">
        <v>1</v>
      </c>
      <c r="T421" s="0" t="n">
        <v>3</v>
      </c>
      <c r="U421" s="0" t="n">
        <v>2</v>
      </c>
      <c r="V421" s="0" t="inlineStr">
        <is>
          <t>복합식</t>
        </is>
      </c>
      <c r="W421" s="0" t="inlineStr">
        <is>
          <t>71B</t>
        </is>
      </c>
      <c r="X421" s="0" t="n">
        <v>9</v>
      </c>
      <c r="Y421" s="0" t="n">
        <v>9</v>
      </c>
      <c r="Z421" s="0" t="inlineStr">
        <is>
          <t>https://new.land.naver.com/complexes/105063?tab=detail&amp;rf=Y</t>
        </is>
      </c>
      <c r="AA421" s="0" t="inlineStr">
        <is>
          <t>인천시 남동구 간석동 100-7</t>
        </is>
      </c>
      <c r="AB421" s="0" t="inlineStr">
        <is>
          <t>인천시</t>
        </is>
      </c>
      <c r="AC421" s="0" t="inlineStr">
        <is>
          <t>남동구</t>
        </is>
      </c>
      <c r="AD421" s="0" t="inlineStr">
        <is>
          <t>간석동</t>
        </is>
      </c>
      <c r="AG421" s="0" t="inlineStr">
        <is>
          <t>인천시 남동구 경인로644번길 63</t>
        </is>
      </c>
      <c r="AH421" s="0" t="n">
        <v>0</v>
      </c>
      <c r="AI421" s="0" t="n">
        <v>308</v>
      </c>
      <c r="AJ421" s="0" t="n">
        <v>73</v>
      </c>
      <c r="AK421" s="0" t="n">
        <v>14</v>
      </c>
      <c r="AL421" s="0" t="n">
        <v>1</v>
      </c>
    </row>
    <row r="422">
      <c r="A422" s="0" t="inlineStr">
        <is>
          <t>[간석동]</t>
        </is>
      </c>
      <c r="B422" s="0" t="n">
        <v>105063</v>
      </c>
      <c r="C422" s="0" t="n">
        <v>3</v>
      </c>
      <c r="D422" s="0" t="inlineStr">
        <is>
          <t>아이닉스2차</t>
        </is>
      </c>
      <c r="E422" s="0" t="inlineStr">
        <is>
          <t>2009.01.</t>
        </is>
      </c>
      <c r="F422" s="0" t="n">
        <v>14</v>
      </c>
      <c r="G422" s="0" t="n">
        <v>25.9</v>
      </c>
      <c r="H422" s="0" t="n">
        <v>85.64</v>
      </c>
      <c r="I422" s="0" t="n">
        <v>21.71</v>
      </c>
      <c r="J422" s="0" t="n">
        <v>71.8</v>
      </c>
      <c r="K422" s="0" t="n">
        <v>1</v>
      </c>
      <c r="T422" s="0" t="n">
        <v>3</v>
      </c>
      <c r="U422" s="0" t="n">
        <v>2</v>
      </c>
      <c r="V422" s="0" t="inlineStr">
        <is>
          <t>복합식</t>
        </is>
      </c>
      <c r="W422" s="0" t="inlineStr">
        <is>
          <t>85A</t>
        </is>
      </c>
      <c r="X422" s="0" t="n">
        <v>9</v>
      </c>
      <c r="Y422" s="0" t="n">
        <v>9</v>
      </c>
      <c r="Z422" s="0" t="inlineStr">
        <is>
          <t>https://new.land.naver.com/complexes/105063?tab=detail&amp;rf=Y</t>
        </is>
      </c>
      <c r="AA422" s="0" t="inlineStr">
        <is>
          <t>인천시 남동구 간석동 100-7</t>
        </is>
      </c>
      <c r="AB422" s="0" t="inlineStr">
        <is>
          <t>인천시</t>
        </is>
      </c>
      <c r="AC422" s="0" t="inlineStr">
        <is>
          <t>남동구</t>
        </is>
      </c>
      <c r="AD422" s="0" t="inlineStr">
        <is>
          <t>간석동</t>
        </is>
      </c>
      <c r="AG422" s="0" t="inlineStr">
        <is>
          <t>인천시 남동구 경인로644번길 63</t>
        </is>
      </c>
      <c r="AH422" s="0" t="n">
        <v>0</v>
      </c>
      <c r="AI422" s="0" t="n">
        <v>308</v>
      </c>
      <c r="AJ422" s="0" t="n">
        <v>73</v>
      </c>
      <c r="AK422" s="0" t="n">
        <v>14</v>
      </c>
      <c r="AL422" s="0" t="n">
        <v>1</v>
      </c>
    </row>
    <row r="423">
      <c r="A423" s="0" t="inlineStr">
        <is>
          <t>[간석동]</t>
        </is>
      </c>
      <c r="B423" s="0" t="n">
        <v>105063</v>
      </c>
      <c r="C423" s="0" t="n">
        <v>4</v>
      </c>
      <c r="D423" s="0" t="inlineStr">
        <is>
          <t>아이닉스2차</t>
        </is>
      </c>
      <c r="E423" s="0" t="inlineStr">
        <is>
          <t>2009.01.</t>
        </is>
      </c>
      <c r="F423" s="0" t="n">
        <v>14</v>
      </c>
      <c r="G423" s="0" t="n">
        <v>26.48</v>
      </c>
      <c r="H423" s="0" t="n">
        <v>87.54000000000001</v>
      </c>
      <c r="I423" s="0" t="n">
        <v>22.2</v>
      </c>
      <c r="J423" s="0" t="n">
        <v>73.39</v>
      </c>
      <c r="K423" s="0" t="n">
        <v>1</v>
      </c>
      <c r="T423" s="0" t="n">
        <v>3</v>
      </c>
      <c r="U423" s="0" t="n">
        <v>2</v>
      </c>
      <c r="V423" s="0" t="inlineStr">
        <is>
          <t>복합식</t>
        </is>
      </c>
      <c r="W423" s="0" t="inlineStr">
        <is>
          <t>87B</t>
        </is>
      </c>
      <c r="X423" s="0" t="n">
        <v>9</v>
      </c>
      <c r="Y423" s="0" t="n">
        <v>9</v>
      </c>
      <c r="Z423" s="0" t="inlineStr">
        <is>
          <t>https://new.land.naver.com/complexes/105063?tab=detail&amp;rf=Y</t>
        </is>
      </c>
      <c r="AA423" s="0" t="inlineStr">
        <is>
          <t>인천시 남동구 간석동 100-7</t>
        </is>
      </c>
      <c r="AB423" s="0" t="inlineStr">
        <is>
          <t>인천시</t>
        </is>
      </c>
      <c r="AC423" s="0" t="inlineStr">
        <is>
          <t>남동구</t>
        </is>
      </c>
      <c r="AD423" s="0" t="inlineStr">
        <is>
          <t>간석동</t>
        </is>
      </c>
      <c r="AG423" s="0" t="inlineStr">
        <is>
          <t>인천시 남동구 경인로644번길 63</t>
        </is>
      </c>
      <c r="AH423" s="0" t="n">
        <v>0</v>
      </c>
      <c r="AI423" s="0" t="n">
        <v>308</v>
      </c>
      <c r="AJ423" s="0" t="n">
        <v>73</v>
      </c>
      <c r="AK423" s="0" t="n">
        <v>14</v>
      </c>
      <c r="AL423" s="0" t="n">
        <v>1</v>
      </c>
    </row>
    <row r="424">
      <c r="A424" s="0" t="inlineStr">
        <is>
          <t>[간석동]</t>
        </is>
      </c>
      <c r="B424" s="0" t="n">
        <v>105063</v>
      </c>
      <c r="C424" s="0" t="n">
        <v>5</v>
      </c>
      <c r="D424" s="0" t="inlineStr">
        <is>
          <t>아이닉스2차</t>
        </is>
      </c>
      <c r="E424" s="0" t="inlineStr">
        <is>
          <t>2009.01.</t>
        </is>
      </c>
      <c r="F424" s="0" t="n">
        <v>14</v>
      </c>
      <c r="G424" s="0" t="n">
        <v>28.29</v>
      </c>
      <c r="H424" s="0" t="n">
        <v>93.53</v>
      </c>
      <c r="I424" s="0" t="n">
        <v>23.72</v>
      </c>
      <c r="J424" s="0" t="n">
        <v>78.42</v>
      </c>
      <c r="K424" s="0" t="n">
        <v>10</v>
      </c>
      <c r="T424" s="0" t="n">
        <v>3</v>
      </c>
      <c r="U424" s="0" t="n">
        <v>2</v>
      </c>
      <c r="V424" s="0" t="inlineStr">
        <is>
          <t>복합식</t>
        </is>
      </c>
      <c r="W424" s="0" t="n">
        <v>93</v>
      </c>
      <c r="X424" s="0" t="n">
        <v>9</v>
      </c>
      <c r="Y424" s="0" t="n">
        <v>9</v>
      </c>
      <c r="Z424" s="0" t="inlineStr">
        <is>
          <t>https://new.land.naver.com/complexes/105063?tab=detail&amp;rf=Y</t>
        </is>
      </c>
      <c r="AA424" s="0" t="inlineStr">
        <is>
          <t>인천시 남동구 간석동 100-7</t>
        </is>
      </c>
      <c r="AB424" s="0" t="inlineStr">
        <is>
          <t>인천시</t>
        </is>
      </c>
      <c r="AC424" s="0" t="inlineStr">
        <is>
          <t>남동구</t>
        </is>
      </c>
      <c r="AD424" s="0" t="inlineStr">
        <is>
          <t>간석동</t>
        </is>
      </c>
      <c r="AG424" s="0" t="inlineStr">
        <is>
          <t>인천시 남동구 경인로644번길 63</t>
        </is>
      </c>
      <c r="AH424" s="0" t="n">
        <v>0</v>
      </c>
      <c r="AI424" s="0" t="n">
        <v>308</v>
      </c>
      <c r="AJ424" s="0" t="n">
        <v>73</v>
      </c>
      <c r="AK424" s="0" t="n">
        <v>14</v>
      </c>
      <c r="AL424" s="0" t="n">
        <v>1</v>
      </c>
    </row>
    <row r="425">
      <c r="A425" s="0" t="inlineStr">
        <is>
          <t>[간석동]</t>
        </is>
      </c>
      <c r="B425" s="0" t="n">
        <v>123981</v>
      </c>
      <c r="C425" s="0" t="n">
        <v>1</v>
      </c>
      <c r="D425" s="0" t="inlineStr">
        <is>
          <t>해마루플러스(73-8)</t>
        </is>
      </c>
      <c r="E425" s="0" t="inlineStr">
        <is>
          <t>2013.04.</t>
        </is>
      </c>
      <c r="F425" s="0" t="n">
        <v>9</v>
      </c>
      <c r="G425" s="0" t="n">
        <v>21.79</v>
      </c>
      <c r="H425" s="0" t="n">
        <v>72.06</v>
      </c>
      <c r="I425" s="0" t="n">
        <v>14.27</v>
      </c>
      <c r="J425" s="0" t="n">
        <v>47.19</v>
      </c>
      <c r="K425" s="0" t="n">
        <v>3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72</v>
      </c>
      <c r="X425" s="0" t="n">
        <v>6</v>
      </c>
      <c r="Y425" s="0" t="n">
        <v>6</v>
      </c>
      <c r="Z425" s="0" t="inlineStr">
        <is>
          <t>https://new.land.naver.com/complexes/123981?tab=detail&amp;rf=Y</t>
        </is>
      </c>
      <c r="AA425" s="0" t="inlineStr">
        <is>
          <t>인천시 남동구 간석동 73-8</t>
        </is>
      </c>
      <c r="AB425" s="0" t="inlineStr">
        <is>
          <t>인천시</t>
        </is>
      </c>
      <c r="AC425" s="0" t="inlineStr">
        <is>
          <t>남동구</t>
        </is>
      </c>
      <c r="AD425" s="0" t="inlineStr">
        <is>
          <t>간석동</t>
        </is>
      </c>
      <c r="AG425" s="0" t="inlineStr">
        <is>
          <t>인천시 남동구 경인로 660</t>
        </is>
      </c>
      <c r="AH425" s="0" t="n">
        <v>0</v>
      </c>
      <c r="AI425" s="0" t="n">
        <v>458</v>
      </c>
      <c r="AJ425" s="0" t="n">
        <v>59</v>
      </c>
      <c r="AK425" s="0" t="n">
        <v>9</v>
      </c>
      <c r="AL425" s="0" t="n">
        <v>1</v>
      </c>
    </row>
    <row r="426">
      <c r="A426" s="0" t="inlineStr">
        <is>
          <t>[간석동]</t>
        </is>
      </c>
      <c r="B426" s="0" t="n">
        <v>123981</v>
      </c>
      <c r="C426" s="0" t="n">
        <v>2</v>
      </c>
      <c r="D426" s="0" t="inlineStr">
        <is>
          <t>해마루플러스(73-8)</t>
        </is>
      </c>
      <c r="E426" s="0" t="inlineStr">
        <is>
          <t>2013.04.</t>
        </is>
      </c>
      <c r="F426" s="0" t="n">
        <v>9</v>
      </c>
      <c r="G426" s="0" t="n">
        <v>25.57</v>
      </c>
      <c r="H426" s="0" t="n">
        <v>84.53</v>
      </c>
      <c r="I426" s="0" t="n">
        <v>16.74</v>
      </c>
      <c r="J426" s="0" t="n">
        <v>55.36</v>
      </c>
      <c r="K426" s="0" t="n">
        <v>3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84A</t>
        </is>
      </c>
      <c r="X426" s="0" t="n">
        <v>6</v>
      </c>
      <c r="Y426" s="0" t="n">
        <v>6</v>
      </c>
      <c r="Z426" s="0" t="inlineStr">
        <is>
          <t>https://new.land.naver.com/complexes/123981?tab=detail&amp;rf=Y</t>
        </is>
      </c>
      <c r="AA426" s="0" t="inlineStr">
        <is>
          <t>인천시 남동구 간석동 73-8</t>
        </is>
      </c>
      <c r="AB426" s="0" t="inlineStr">
        <is>
          <t>인천시</t>
        </is>
      </c>
      <c r="AC426" s="0" t="inlineStr">
        <is>
          <t>남동구</t>
        </is>
      </c>
      <c r="AD426" s="0" t="inlineStr">
        <is>
          <t>간석동</t>
        </is>
      </c>
      <c r="AG426" s="0" t="inlineStr">
        <is>
          <t>인천시 남동구 경인로 660</t>
        </is>
      </c>
      <c r="AH426" s="0" t="n">
        <v>0</v>
      </c>
      <c r="AI426" s="0" t="n">
        <v>458</v>
      </c>
      <c r="AJ426" s="0" t="n">
        <v>59</v>
      </c>
      <c r="AK426" s="0" t="n">
        <v>9</v>
      </c>
      <c r="AL426" s="0" t="n">
        <v>1</v>
      </c>
    </row>
    <row r="427">
      <c r="A427" s="0" t="inlineStr">
        <is>
          <t>[간석동]</t>
        </is>
      </c>
      <c r="B427" s="0" t="n">
        <v>123981</v>
      </c>
      <c r="C427" s="0" t="n">
        <v>3</v>
      </c>
      <c r="D427" s="0" t="inlineStr">
        <is>
          <t>해마루플러스(73-8)</t>
        </is>
      </c>
      <c r="E427" s="0" t="inlineStr">
        <is>
          <t>2013.04.</t>
        </is>
      </c>
      <c r="F427" s="0" t="n">
        <v>9</v>
      </c>
      <c r="G427" s="0" t="n">
        <v>26.17</v>
      </c>
      <c r="H427" s="0" t="n">
        <v>86.52</v>
      </c>
      <c r="I427" s="0" t="n">
        <v>17.13</v>
      </c>
      <c r="J427" s="0" t="n">
        <v>56.66</v>
      </c>
      <c r="K427" s="0" t="n">
        <v>2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86B</t>
        </is>
      </c>
      <c r="X427" s="0" t="n">
        <v>6</v>
      </c>
      <c r="Y427" s="0" t="n">
        <v>6</v>
      </c>
      <c r="Z427" s="0" t="inlineStr">
        <is>
          <t>https://new.land.naver.com/complexes/123981?tab=detail&amp;rf=Y</t>
        </is>
      </c>
      <c r="AA427" s="0" t="inlineStr">
        <is>
          <t>인천시 남동구 간석동 73-8</t>
        </is>
      </c>
      <c r="AB427" s="0" t="inlineStr">
        <is>
          <t>인천시</t>
        </is>
      </c>
      <c r="AC427" s="0" t="inlineStr">
        <is>
          <t>남동구</t>
        </is>
      </c>
      <c r="AD427" s="0" t="inlineStr">
        <is>
          <t>간석동</t>
        </is>
      </c>
      <c r="AG427" s="0" t="inlineStr">
        <is>
          <t>인천시 남동구 경인로 660</t>
        </is>
      </c>
      <c r="AH427" s="0" t="n">
        <v>0</v>
      </c>
      <c r="AI427" s="0" t="n">
        <v>458</v>
      </c>
      <c r="AJ427" s="0" t="n">
        <v>59</v>
      </c>
      <c r="AK427" s="0" t="n">
        <v>9</v>
      </c>
      <c r="AL427" s="0" t="n">
        <v>1</v>
      </c>
    </row>
    <row r="428">
      <c r="A428" s="0" t="inlineStr">
        <is>
          <t>[간석동]</t>
        </is>
      </c>
      <c r="B428" s="0" t="n">
        <v>123981</v>
      </c>
      <c r="C428" s="0" t="n">
        <v>4</v>
      </c>
      <c r="D428" s="0" t="inlineStr">
        <is>
          <t>해마루플러스(73-8)</t>
        </is>
      </c>
      <c r="E428" s="0" t="inlineStr">
        <is>
          <t>2013.04.</t>
        </is>
      </c>
      <c r="F428" s="0" t="n">
        <v>9</v>
      </c>
      <c r="G428" s="0" t="n">
        <v>27.41</v>
      </c>
      <c r="H428" s="0" t="n">
        <v>90.64</v>
      </c>
      <c r="I428" s="0" t="n">
        <v>17.95</v>
      </c>
      <c r="J428" s="0" t="n">
        <v>59.36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90</v>
      </c>
      <c r="X428" s="0" t="n">
        <v>6</v>
      </c>
      <c r="Y428" s="0" t="n">
        <v>6</v>
      </c>
      <c r="Z428" s="0" t="inlineStr">
        <is>
          <t>https://new.land.naver.com/complexes/123981?tab=detail&amp;rf=Y</t>
        </is>
      </c>
      <c r="AA428" s="0" t="inlineStr">
        <is>
          <t>인천시 남동구 간석동 73-8</t>
        </is>
      </c>
      <c r="AB428" s="0" t="inlineStr">
        <is>
          <t>인천시</t>
        </is>
      </c>
      <c r="AC428" s="0" t="inlineStr">
        <is>
          <t>남동구</t>
        </is>
      </c>
      <c r="AD428" s="0" t="inlineStr">
        <is>
          <t>간석동</t>
        </is>
      </c>
      <c r="AG428" s="0" t="inlineStr">
        <is>
          <t>인천시 남동구 경인로 660</t>
        </is>
      </c>
      <c r="AH428" s="0" t="n">
        <v>0</v>
      </c>
      <c r="AI428" s="0" t="n">
        <v>458</v>
      </c>
      <c r="AJ428" s="0" t="n">
        <v>59</v>
      </c>
      <c r="AK428" s="0" t="n">
        <v>9</v>
      </c>
      <c r="AL428" s="0" t="n">
        <v>1</v>
      </c>
    </row>
    <row r="429">
      <c r="A429" s="0" t="inlineStr">
        <is>
          <t>[간석동]</t>
        </is>
      </c>
      <c r="B429" s="0" t="n">
        <v>22503</v>
      </c>
      <c r="C429" s="0" t="n">
        <v>1</v>
      </c>
      <c r="D429" s="0" t="inlineStr">
        <is>
          <t>간석래미안자이</t>
        </is>
      </c>
      <c r="E429" s="0" t="inlineStr">
        <is>
          <t>2008.10.</t>
        </is>
      </c>
      <c r="F429" s="0" t="n">
        <v>2432</v>
      </c>
      <c r="G429" s="0" t="n">
        <v>24.11</v>
      </c>
      <c r="H429" s="0" t="n">
        <v>79.73</v>
      </c>
      <c r="I429" s="0" t="n">
        <v>18.12</v>
      </c>
      <c r="J429" s="0" t="n">
        <v>59.91</v>
      </c>
      <c r="K429" s="0" t="n">
        <v>487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79</v>
      </c>
      <c r="X429" s="0" t="n">
        <v>26</v>
      </c>
      <c r="Y429" s="0" t="n">
        <v>20</v>
      </c>
      <c r="Z429" s="0" t="inlineStr">
        <is>
          <t>https://new.land.naver.com/complexes/22503?tab=detail&amp;rf=Y</t>
        </is>
      </c>
      <c r="AA429" s="0" t="inlineStr">
        <is>
          <t>인천시 남동구 간석동 939-1</t>
        </is>
      </c>
      <c r="AB429" s="0" t="inlineStr">
        <is>
          <t>인천시</t>
        </is>
      </c>
      <c r="AC429" s="0" t="inlineStr">
        <is>
          <t>남동구</t>
        </is>
      </c>
      <c r="AD429" s="0" t="inlineStr">
        <is>
          <t>간석동</t>
        </is>
      </c>
      <c r="AG429" s="0" t="inlineStr">
        <is>
          <t>인천시 남동구 남동대로 860</t>
        </is>
      </c>
      <c r="AH429" s="0" t="n">
        <v>0</v>
      </c>
      <c r="AI429" s="0" t="n">
        <v>249</v>
      </c>
      <c r="AJ429" s="0" t="n">
        <v>15</v>
      </c>
      <c r="AK429" s="0" t="n">
        <v>3203</v>
      </c>
      <c r="AL429" s="0" t="n">
        <v>1.32</v>
      </c>
    </row>
    <row r="430">
      <c r="A430" s="0" t="inlineStr">
        <is>
          <t>[간석동]</t>
        </is>
      </c>
      <c r="B430" s="0" t="n">
        <v>22503</v>
      </c>
      <c r="C430" s="0" t="n">
        <v>2</v>
      </c>
      <c r="D430" s="0" t="inlineStr">
        <is>
          <t>간석래미안자이</t>
        </is>
      </c>
      <c r="E430" s="0" t="inlineStr">
        <is>
          <t>2008.10.</t>
        </is>
      </c>
      <c r="F430" s="0" t="n">
        <v>2432</v>
      </c>
      <c r="G430" s="0" t="n">
        <v>33.64</v>
      </c>
      <c r="H430" s="0" t="n">
        <v>111.22</v>
      </c>
      <c r="I430" s="0" t="n">
        <v>25.7</v>
      </c>
      <c r="J430" s="0" t="n">
        <v>84.97</v>
      </c>
      <c r="K430" s="0" t="n">
        <v>324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111B</t>
        </is>
      </c>
      <c r="X430" s="0" t="n">
        <v>26</v>
      </c>
      <c r="Y430" s="0" t="n">
        <v>20</v>
      </c>
      <c r="Z430" s="0" t="inlineStr">
        <is>
          <t>https://new.land.naver.com/complexes/22503?tab=detail&amp;rf=Y</t>
        </is>
      </c>
      <c r="AA430" s="0" t="inlineStr">
        <is>
          <t>인천시 남동구 간석동 939-1</t>
        </is>
      </c>
      <c r="AB430" s="0" t="inlineStr">
        <is>
          <t>인천시</t>
        </is>
      </c>
      <c r="AC430" s="0" t="inlineStr">
        <is>
          <t>남동구</t>
        </is>
      </c>
      <c r="AD430" s="0" t="inlineStr">
        <is>
          <t>간석동</t>
        </is>
      </c>
      <c r="AG430" s="0" t="inlineStr">
        <is>
          <t>인천시 남동구 남동대로 860</t>
        </is>
      </c>
      <c r="AH430" s="0" t="n">
        <v>0</v>
      </c>
      <c r="AI430" s="0" t="n">
        <v>249</v>
      </c>
      <c r="AJ430" s="0" t="n">
        <v>15</v>
      </c>
      <c r="AK430" s="0" t="n">
        <v>3203</v>
      </c>
      <c r="AL430" s="0" t="n">
        <v>1.32</v>
      </c>
    </row>
    <row r="431">
      <c r="A431" s="0" t="inlineStr">
        <is>
          <t>[간석동]</t>
        </is>
      </c>
      <c r="B431" s="0" t="n">
        <v>22503</v>
      </c>
      <c r="C431" s="0" t="n">
        <v>3</v>
      </c>
      <c r="D431" s="0" t="inlineStr">
        <is>
          <t>간석래미안자이</t>
        </is>
      </c>
      <c r="E431" s="0" t="inlineStr">
        <is>
          <t>2008.10.</t>
        </is>
      </c>
      <c r="F431" s="0" t="n">
        <v>2432</v>
      </c>
      <c r="G431" s="0" t="n">
        <v>33.7</v>
      </c>
      <c r="H431" s="0" t="n">
        <v>111.41</v>
      </c>
      <c r="I431" s="0" t="n">
        <v>25.7</v>
      </c>
      <c r="J431" s="0" t="n">
        <v>84.98</v>
      </c>
      <c r="K431" s="0" t="n">
        <v>155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111A</t>
        </is>
      </c>
      <c r="X431" s="0" t="n">
        <v>26</v>
      </c>
      <c r="Y431" s="0" t="n">
        <v>20</v>
      </c>
      <c r="Z431" s="0" t="inlineStr">
        <is>
          <t>https://new.land.naver.com/complexes/22503?tab=detail&amp;rf=Y</t>
        </is>
      </c>
      <c r="AA431" s="0" t="inlineStr">
        <is>
          <t>인천시 남동구 간석동 939-1</t>
        </is>
      </c>
      <c r="AB431" s="0" t="inlineStr">
        <is>
          <t>인천시</t>
        </is>
      </c>
      <c r="AC431" s="0" t="inlineStr">
        <is>
          <t>남동구</t>
        </is>
      </c>
      <c r="AD431" s="0" t="inlineStr">
        <is>
          <t>간석동</t>
        </is>
      </c>
      <c r="AG431" s="0" t="inlineStr">
        <is>
          <t>인천시 남동구 남동대로 860</t>
        </is>
      </c>
      <c r="AH431" s="0" t="n">
        <v>0</v>
      </c>
      <c r="AI431" s="0" t="n">
        <v>249</v>
      </c>
      <c r="AJ431" s="0" t="n">
        <v>15</v>
      </c>
      <c r="AK431" s="0" t="n">
        <v>3203</v>
      </c>
      <c r="AL431" s="0" t="n">
        <v>1.32</v>
      </c>
    </row>
    <row r="432">
      <c r="A432" s="0" t="inlineStr">
        <is>
          <t>[간석동]</t>
        </is>
      </c>
      <c r="B432" s="0" t="n">
        <v>22503</v>
      </c>
      <c r="C432" s="0" t="n">
        <v>4</v>
      </c>
      <c r="D432" s="0" t="inlineStr">
        <is>
          <t>간석래미안자이</t>
        </is>
      </c>
      <c r="E432" s="0" t="inlineStr">
        <is>
          <t>2008.10.</t>
        </is>
      </c>
      <c r="F432" s="0" t="n">
        <v>2432</v>
      </c>
      <c r="G432" s="0" t="n">
        <v>34.04</v>
      </c>
      <c r="H432" s="0" t="n">
        <v>112.56</v>
      </c>
      <c r="I432" s="0" t="n">
        <v>25.7</v>
      </c>
      <c r="J432" s="0" t="n">
        <v>84.98</v>
      </c>
      <c r="K432" s="0" t="n">
        <v>540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112</v>
      </c>
      <c r="X432" s="0" t="n">
        <v>26</v>
      </c>
      <c r="Y432" s="0" t="n">
        <v>20</v>
      </c>
      <c r="Z432" s="0" t="inlineStr">
        <is>
          <t>https://new.land.naver.com/complexes/22503?tab=detail&amp;rf=Y</t>
        </is>
      </c>
      <c r="AA432" s="0" t="inlineStr">
        <is>
          <t>인천시 남동구 간석동 939-1</t>
        </is>
      </c>
      <c r="AB432" s="0" t="inlineStr">
        <is>
          <t>인천시</t>
        </is>
      </c>
      <c r="AC432" s="0" t="inlineStr">
        <is>
          <t>남동구</t>
        </is>
      </c>
      <c r="AD432" s="0" t="inlineStr">
        <is>
          <t>간석동</t>
        </is>
      </c>
      <c r="AG432" s="0" t="inlineStr">
        <is>
          <t>인천시 남동구 남동대로 860</t>
        </is>
      </c>
      <c r="AH432" s="0" t="n">
        <v>0</v>
      </c>
      <c r="AI432" s="0" t="n">
        <v>249</v>
      </c>
      <c r="AJ432" s="0" t="n">
        <v>15</v>
      </c>
      <c r="AK432" s="0" t="n">
        <v>3203</v>
      </c>
      <c r="AL432" s="0" t="n">
        <v>1.32</v>
      </c>
    </row>
    <row r="433">
      <c r="A433" s="0" t="inlineStr">
        <is>
          <t>[간석동]</t>
        </is>
      </c>
      <c r="B433" s="0" t="n">
        <v>22503</v>
      </c>
      <c r="C433" s="0" t="n">
        <v>5</v>
      </c>
      <c r="D433" s="0" t="inlineStr">
        <is>
          <t>간석래미안자이</t>
        </is>
      </c>
      <c r="E433" s="0" t="inlineStr">
        <is>
          <t>2008.10.</t>
        </is>
      </c>
      <c r="F433" s="0" t="n">
        <v>2432</v>
      </c>
      <c r="G433" s="0" t="n">
        <v>44.04</v>
      </c>
      <c r="H433" s="0" t="n">
        <v>145.6</v>
      </c>
      <c r="I433" s="0" t="n">
        <v>36.15</v>
      </c>
      <c r="J433" s="0" t="n">
        <v>119.52</v>
      </c>
      <c r="K433" s="0" t="n">
        <v>320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145B</t>
        </is>
      </c>
      <c r="X433" s="0" t="n">
        <v>26</v>
      </c>
      <c r="Y433" s="0" t="n">
        <v>20</v>
      </c>
      <c r="Z433" s="0" t="inlineStr">
        <is>
          <t>https://new.land.naver.com/complexes/22503?tab=detail&amp;rf=Y</t>
        </is>
      </c>
      <c r="AA433" s="0" t="inlineStr">
        <is>
          <t>인천시 남동구 간석동 939-1</t>
        </is>
      </c>
      <c r="AB433" s="0" t="inlineStr">
        <is>
          <t>인천시</t>
        </is>
      </c>
      <c r="AC433" s="0" t="inlineStr">
        <is>
          <t>남동구</t>
        </is>
      </c>
      <c r="AD433" s="0" t="inlineStr">
        <is>
          <t>간석동</t>
        </is>
      </c>
      <c r="AG433" s="0" t="inlineStr">
        <is>
          <t>인천시 남동구 남동대로 860</t>
        </is>
      </c>
      <c r="AH433" s="0" t="n">
        <v>0</v>
      </c>
      <c r="AI433" s="0" t="n">
        <v>249</v>
      </c>
      <c r="AJ433" s="0" t="n">
        <v>15</v>
      </c>
      <c r="AK433" s="0" t="n">
        <v>3203</v>
      </c>
      <c r="AL433" s="0" t="n">
        <v>1.32</v>
      </c>
    </row>
    <row r="434">
      <c r="A434" s="0" t="inlineStr">
        <is>
          <t>[간석동]</t>
        </is>
      </c>
      <c r="B434" s="0" t="n">
        <v>22503</v>
      </c>
      <c r="C434" s="0" t="n">
        <v>6</v>
      </c>
      <c r="D434" s="0" t="inlineStr">
        <is>
          <t>간석래미안자이</t>
        </is>
      </c>
      <c r="E434" s="0" t="inlineStr">
        <is>
          <t>2008.10.</t>
        </is>
      </c>
      <c r="F434" s="0" t="n">
        <v>2432</v>
      </c>
      <c r="G434" s="0" t="n">
        <v>44.8</v>
      </c>
      <c r="H434" s="0" t="n">
        <v>148.11</v>
      </c>
      <c r="I434" s="0" t="n">
        <v>36.1</v>
      </c>
      <c r="J434" s="0" t="n">
        <v>119.36</v>
      </c>
      <c r="K434" s="0" t="n">
        <v>312</v>
      </c>
      <c r="T434" s="0" t="n">
        <v>4</v>
      </c>
      <c r="U434" s="0" t="n">
        <v>2</v>
      </c>
      <c r="V434" s="0" t="inlineStr">
        <is>
          <t>계단식</t>
        </is>
      </c>
      <c r="W434" s="0" t="inlineStr">
        <is>
          <t>148A</t>
        </is>
      </c>
      <c r="X434" s="0" t="n">
        <v>26</v>
      </c>
      <c r="Y434" s="0" t="n">
        <v>20</v>
      </c>
      <c r="Z434" s="0" t="inlineStr">
        <is>
          <t>https://new.land.naver.com/complexes/22503?tab=detail&amp;rf=Y</t>
        </is>
      </c>
      <c r="AA434" s="0" t="inlineStr">
        <is>
          <t>인천시 남동구 간석동 939-1</t>
        </is>
      </c>
      <c r="AB434" s="0" t="inlineStr">
        <is>
          <t>인천시</t>
        </is>
      </c>
      <c r="AC434" s="0" t="inlineStr">
        <is>
          <t>남동구</t>
        </is>
      </c>
      <c r="AD434" s="0" t="inlineStr">
        <is>
          <t>간석동</t>
        </is>
      </c>
      <c r="AG434" s="0" t="inlineStr">
        <is>
          <t>인천시 남동구 남동대로 860</t>
        </is>
      </c>
      <c r="AH434" s="0" t="n">
        <v>0</v>
      </c>
      <c r="AI434" s="0" t="n">
        <v>249</v>
      </c>
      <c r="AJ434" s="0" t="n">
        <v>15</v>
      </c>
      <c r="AK434" s="0" t="n">
        <v>3203</v>
      </c>
      <c r="AL434" s="0" t="n">
        <v>1.32</v>
      </c>
    </row>
    <row r="435">
      <c r="A435" s="0" t="inlineStr">
        <is>
          <t>[간석동]</t>
        </is>
      </c>
      <c r="B435" s="0" t="n">
        <v>22503</v>
      </c>
      <c r="C435" s="0" t="n">
        <v>7</v>
      </c>
      <c r="D435" s="0" t="inlineStr">
        <is>
          <t>간석래미안자이</t>
        </is>
      </c>
      <c r="E435" s="0" t="inlineStr">
        <is>
          <t>2008.10.</t>
        </is>
      </c>
      <c r="F435" s="0" t="n">
        <v>2432</v>
      </c>
      <c r="G435" s="0" t="n">
        <v>52.4</v>
      </c>
      <c r="H435" s="0" t="n">
        <v>173.24</v>
      </c>
      <c r="I435" s="0" t="n">
        <v>43.32</v>
      </c>
      <c r="J435" s="0" t="n">
        <v>143.22</v>
      </c>
      <c r="K435" s="0" t="n">
        <v>294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173</v>
      </c>
      <c r="X435" s="0" t="n">
        <v>26</v>
      </c>
      <c r="Y435" s="0" t="n">
        <v>20</v>
      </c>
      <c r="Z435" s="0" t="inlineStr">
        <is>
          <t>https://new.land.naver.com/complexes/22503?tab=detail&amp;rf=Y</t>
        </is>
      </c>
      <c r="AA435" s="0" t="inlineStr">
        <is>
          <t>인천시 남동구 간석동 939-1</t>
        </is>
      </c>
      <c r="AB435" s="0" t="inlineStr">
        <is>
          <t>인천시</t>
        </is>
      </c>
      <c r="AC435" s="0" t="inlineStr">
        <is>
          <t>남동구</t>
        </is>
      </c>
      <c r="AD435" s="0" t="inlineStr">
        <is>
          <t>간석동</t>
        </is>
      </c>
      <c r="AG435" s="0" t="inlineStr">
        <is>
          <t>인천시 남동구 남동대로 860</t>
        </is>
      </c>
      <c r="AH435" s="0" t="n">
        <v>0</v>
      </c>
      <c r="AI435" s="0" t="n">
        <v>249</v>
      </c>
      <c r="AJ435" s="0" t="n">
        <v>15</v>
      </c>
      <c r="AK435" s="0" t="n">
        <v>3203</v>
      </c>
      <c r="AL435" s="0" t="n">
        <v>1.32</v>
      </c>
    </row>
    <row r="436">
      <c r="A436" s="0" t="inlineStr">
        <is>
          <t>[간석동]</t>
        </is>
      </c>
      <c r="B436" s="0" t="n">
        <v>121039</v>
      </c>
      <c r="C436" s="0" t="n">
        <v>1</v>
      </c>
      <c r="D436" s="0" t="inlineStr">
        <is>
          <t>어반카운티</t>
        </is>
      </c>
      <c r="E436" s="0" t="inlineStr">
        <is>
          <t>2018.02.</t>
        </is>
      </c>
      <c r="F436" s="0" t="n">
        <v>39</v>
      </c>
      <c r="G436" s="0" t="n">
        <v>19.12</v>
      </c>
      <c r="H436" s="0" t="n">
        <v>63.21</v>
      </c>
      <c r="I436" s="0" t="n">
        <v>15.9</v>
      </c>
      <c r="J436" s="0" t="n">
        <v>52.58</v>
      </c>
      <c r="K436" s="0" t="n">
        <v>13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63A</t>
        </is>
      </c>
      <c r="X436" s="0" t="n">
        <v>14</v>
      </c>
      <c r="Y436" s="0" t="n">
        <v>14</v>
      </c>
      <c r="Z436" s="0" t="inlineStr">
        <is>
          <t>https://new.land.naver.com/complexes/121039?tab=detail&amp;rf=Y</t>
        </is>
      </c>
      <c r="AA436" s="0" t="inlineStr">
        <is>
          <t>인천시 남동구 간석동 213-1</t>
        </is>
      </c>
      <c r="AB436" s="0" t="inlineStr">
        <is>
          <t>인천시</t>
        </is>
      </c>
      <c r="AC436" s="0" t="inlineStr">
        <is>
          <t>남동구</t>
        </is>
      </c>
      <c r="AD436" s="0" t="inlineStr">
        <is>
          <t>간석동</t>
        </is>
      </c>
      <c r="AG436" s="0" t="inlineStr">
        <is>
          <t>인천시 남동구 석촌로 53</t>
        </is>
      </c>
      <c r="AH436" s="0" t="n">
        <v>0</v>
      </c>
      <c r="AI436" s="0" t="n">
        <v>799</v>
      </c>
      <c r="AJ436" s="0" t="n">
        <v>79</v>
      </c>
      <c r="AK436" s="0" t="n">
        <v>34</v>
      </c>
      <c r="AL436" s="0" t="n">
        <v>0.87</v>
      </c>
    </row>
    <row r="437">
      <c r="A437" s="0" t="inlineStr">
        <is>
          <t>[간석동]</t>
        </is>
      </c>
      <c r="B437" s="0" t="n">
        <v>121039</v>
      </c>
      <c r="C437" s="0" t="n">
        <v>2</v>
      </c>
      <c r="D437" s="0" t="inlineStr">
        <is>
          <t>어반카운티</t>
        </is>
      </c>
      <c r="E437" s="0" t="inlineStr">
        <is>
          <t>2018.02.</t>
        </is>
      </c>
      <c r="F437" s="0" t="n">
        <v>39</v>
      </c>
      <c r="G437" s="0" t="n">
        <v>19.21</v>
      </c>
      <c r="H437" s="0" t="n">
        <v>63.52</v>
      </c>
      <c r="I437" s="0" t="n">
        <v>16.01</v>
      </c>
      <c r="J437" s="0" t="n">
        <v>52.95</v>
      </c>
      <c r="K437" s="0" t="n">
        <v>13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63B</t>
        </is>
      </c>
      <c r="X437" s="0" t="n">
        <v>14</v>
      </c>
      <c r="Y437" s="0" t="n">
        <v>14</v>
      </c>
      <c r="Z437" s="0" t="inlineStr">
        <is>
          <t>https://new.land.naver.com/complexes/121039?tab=detail&amp;rf=Y</t>
        </is>
      </c>
      <c r="AA437" s="0" t="inlineStr">
        <is>
          <t>인천시 남동구 간석동 213-1</t>
        </is>
      </c>
      <c r="AB437" s="0" t="inlineStr">
        <is>
          <t>인천시</t>
        </is>
      </c>
      <c r="AC437" s="0" t="inlineStr">
        <is>
          <t>남동구</t>
        </is>
      </c>
      <c r="AD437" s="0" t="inlineStr">
        <is>
          <t>간석동</t>
        </is>
      </c>
      <c r="AG437" s="0" t="inlineStr">
        <is>
          <t>인천시 남동구 석촌로 53</t>
        </is>
      </c>
      <c r="AH437" s="0" t="n">
        <v>0</v>
      </c>
      <c r="AI437" s="0" t="n">
        <v>799</v>
      </c>
      <c r="AJ437" s="0" t="n">
        <v>79</v>
      </c>
      <c r="AK437" s="0" t="n">
        <v>34</v>
      </c>
      <c r="AL437" s="0" t="n">
        <v>0.87</v>
      </c>
    </row>
    <row r="438">
      <c r="A438" s="0" t="inlineStr">
        <is>
          <t>[간석동]</t>
        </is>
      </c>
      <c r="B438" s="0" t="n">
        <v>121039</v>
      </c>
      <c r="C438" s="0" t="n">
        <v>3</v>
      </c>
      <c r="D438" s="0" t="inlineStr">
        <is>
          <t>어반카운티</t>
        </is>
      </c>
      <c r="E438" s="0" t="inlineStr">
        <is>
          <t>2018.02.</t>
        </is>
      </c>
      <c r="F438" s="0" t="n">
        <v>39</v>
      </c>
      <c r="G438" s="0" t="n">
        <v>20.66</v>
      </c>
      <c r="H438" s="0" t="n">
        <v>68.3</v>
      </c>
      <c r="I438" s="0" t="n">
        <v>16.73</v>
      </c>
      <c r="J438" s="0" t="n">
        <v>55.32</v>
      </c>
      <c r="K438" s="0" t="n">
        <v>13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68</v>
      </c>
      <c r="X438" s="0" t="n">
        <v>14</v>
      </c>
      <c r="Y438" s="0" t="n">
        <v>14</v>
      </c>
      <c r="Z438" s="0" t="inlineStr">
        <is>
          <t>https://new.land.naver.com/complexes/121039?tab=detail&amp;rf=Y</t>
        </is>
      </c>
      <c r="AA438" s="0" t="inlineStr">
        <is>
          <t>인천시 남동구 간석동 213-1</t>
        </is>
      </c>
      <c r="AB438" s="0" t="inlineStr">
        <is>
          <t>인천시</t>
        </is>
      </c>
      <c r="AC438" s="0" t="inlineStr">
        <is>
          <t>남동구</t>
        </is>
      </c>
      <c r="AD438" s="0" t="inlineStr">
        <is>
          <t>간석동</t>
        </is>
      </c>
      <c r="AG438" s="0" t="inlineStr">
        <is>
          <t>인천시 남동구 석촌로 53</t>
        </is>
      </c>
      <c r="AH438" s="0" t="n">
        <v>0</v>
      </c>
      <c r="AI438" s="0" t="n">
        <v>799</v>
      </c>
      <c r="AJ438" s="0" t="n">
        <v>79</v>
      </c>
      <c r="AK438" s="0" t="n">
        <v>34</v>
      </c>
      <c r="AL438" s="0" t="n">
        <v>0.87</v>
      </c>
    </row>
    <row r="439">
      <c r="A439" s="0" t="inlineStr">
        <is>
          <t>[간석동]</t>
        </is>
      </c>
      <c r="B439" s="0" t="n">
        <v>22824</v>
      </c>
      <c r="C439" s="0" t="n">
        <v>1</v>
      </c>
      <c r="D439" s="0" t="inlineStr">
        <is>
          <t>경원</t>
        </is>
      </c>
      <c r="E439" s="0" t="inlineStr">
        <is>
          <t>2003.06.</t>
        </is>
      </c>
      <c r="F439" s="0" t="n">
        <v>11</v>
      </c>
      <c r="G439" s="0" t="n">
        <v>19.66</v>
      </c>
      <c r="H439" s="0" t="n">
        <v>65</v>
      </c>
      <c r="I439" s="0" t="n">
        <v>16.2</v>
      </c>
      <c r="J439" s="0" t="n">
        <v>53.56</v>
      </c>
      <c r="K439" s="0" t="n">
        <v>1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65</v>
      </c>
      <c r="X439" s="0" t="n">
        <v>8</v>
      </c>
      <c r="Y439" s="0" t="n">
        <v>8</v>
      </c>
      <c r="Z439" s="0" t="inlineStr">
        <is>
          <t>https://new.land.naver.com/complexes/22824?tab=detail&amp;rf=Y</t>
        </is>
      </c>
      <c r="AA439" s="0" t="inlineStr">
        <is>
          <t>인천시 남동구 간석동 93-2</t>
        </is>
      </c>
      <c r="AB439" s="0" t="inlineStr">
        <is>
          <t>인천시</t>
        </is>
      </c>
      <c r="AC439" s="0" t="inlineStr">
        <is>
          <t>남동구</t>
        </is>
      </c>
      <c r="AD439" s="0" t="inlineStr">
        <is>
          <t>간석동</t>
        </is>
      </c>
      <c r="AG439" s="0" t="inlineStr">
        <is>
          <t>인천시 남동구 간석로50번길 13-9</t>
        </is>
      </c>
      <c r="AH439" s="0" t="n">
        <v>0</v>
      </c>
      <c r="AI439" s="0" t="n">
        <v>304</v>
      </c>
      <c r="AJ439" s="0" t="n">
        <v>56</v>
      </c>
      <c r="AK439" s="0" t="n">
        <v>14</v>
      </c>
      <c r="AL439" s="0" t="n">
        <v>1.27</v>
      </c>
    </row>
    <row r="440">
      <c r="A440" s="0" t="inlineStr">
        <is>
          <t>[간석동]</t>
        </is>
      </c>
      <c r="B440" s="0" t="n">
        <v>22824</v>
      </c>
      <c r="C440" s="0" t="n">
        <v>2</v>
      </c>
      <c r="D440" s="0" t="inlineStr">
        <is>
          <t>경원</t>
        </is>
      </c>
      <c r="E440" s="0" t="inlineStr">
        <is>
          <t>2003.06.</t>
        </is>
      </c>
      <c r="F440" s="0" t="n">
        <v>11</v>
      </c>
      <c r="G440" s="0" t="n">
        <v>29.85</v>
      </c>
      <c r="H440" s="0" t="n">
        <v>98.7</v>
      </c>
      <c r="I440" s="0" t="n">
        <v>24.59</v>
      </c>
      <c r="J440" s="0" t="n">
        <v>81.29000000000001</v>
      </c>
      <c r="K440" s="0" t="n">
        <v>10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98</v>
      </c>
      <c r="X440" s="0" t="n">
        <v>8</v>
      </c>
      <c r="Y440" s="0" t="n">
        <v>8</v>
      </c>
      <c r="Z440" s="0" t="inlineStr">
        <is>
          <t>https://new.land.naver.com/complexes/22824?tab=detail&amp;rf=Y</t>
        </is>
      </c>
      <c r="AA440" s="0" t="inlineStr">
        <is>
          <t>인천시 남동구 간석동 93-2</t>
        </is>
      </c>
      <c r="AB440" s="0" t="inlineStr">
        <is>
          <t>인천시</t>
        </is>
      </c>
      <c r="AC440" s="0" t="inlineStr">
        <is>
          <t>남동구</t>
        </is>
      </c>
      <c r="AD440" s="0" t="inlineStr">
        <is>
          <t>간석동</t>
        </is>
      </c>
      <c r="AG440" s="0" t="inlineStr">
        <is>
          <t>인천시 남동구 간석로50번길 13-9</t>
        </is>
      </c>
      <c r="AH440" s="0" t="n">
        <v>0</v>
      </c>
      <c r="AI440" s="0" t="n">
        <v>304</v>
      </c>
      <c r="AJ440" s="0" t="n">
        <v>56</v>
      </c>
      <c r="AK440" s="0" t="n">
        <v>14</v>
      </c>
      <c r="AL440" s="0" t="n">
        <v>1.27</v>
      </c>
    </row>
    <row r="441">
      <c r="A441" s="0" t="inlineStr">
        <is>
          <t>[간석동]</t>
        </is>
      </c>
      <c r="B441" s="0" t="n">
        <v>100596</v>
      </c>
      <c r="C441" s="0" t="n">
        <v>1</v>
      </c>
      <c r="D441" s="0" t="inlineStr">
        <is>
          <t>로즈힐</t>
        </is>
      </c>
      <c r="E441" s="0" t="inlineStr">
        <is>
          <t>2008.10.</t>
        </is>
      </c>
      <c r="F441" s="0" t="n">
        <v>45</v>
      </c>
      <c r="G441" s="0" t="n">
        <v>23.79</v>
      </c>
      <c r="H441" s="0" t="n">
        <v>78.66</v>
      </c>
      <c r="I441" s="0" t="n">
        <v>18.06</v>
      </c>
      <c r="J441" s="0" t="n">
        <v>59.73</v>
      </c>
      <c r="K441" s="0" t="n">
        <v>36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78A</t>
        </is>
      </c>
      <c r="X441" s="0" t="n">
        <v>12</v>
      </c>
      <c r="Y441" s="0" t="n">
        <v>5</v>
      </c>
      <c r="Z441" s="0" t="inlineStr">
        <is>
          <t>https://new.land.naver.com/complexes/100596?tab=detail&amp;rf=Y</t>
        </is>
      </c>
      <c r="AA441" s="0" t="inlineStr">
        <is>
          <t>인천시 남동구 간석동 138-1</t>
        </is>
      </c>
      <c r="AB441" s="0" t="inlineStr">
        <is>
          <t>인천시</t>
        </is>
      </c>
      <c r="AC441" s="0" t="inlineStr">
        <is>
          <t>남동구</t>
        </is>
      </c>
      <c r="AD441" s="0" t="inlineStr">
        <is>
          <t>간석동</t>
        </is>
      </c>
      <c r="AG441" s="0" t="inlineStr">
        <is>
          <t>인천시 남동구 석산로197번길 14</t>
        </is>
      </c>
      <c r="AH441" s="0" t="n">
        <v>0</v>
      </c>
      <c r="AI441" s="0" t="n">
        <v>249</v>
      </c>
      <c r="AJ441" s="0" t="n">
        <v>56</v>
      </c>
      <c r="AK441" s="0" t="n">
        <v>49</v>
      </c>
      <c r="AL441" s="0" t="n">
        <v>1.09</v>
      </c>
    </row>
    <row r="442">
      <c r="A442" s="0" t="inlineStr">
        <is>
          <t>[간석동]</t>
        </is>
      </c>
      <c r="B442" s="0" t="n">
        <v>100596</v>
      </c>
      <c r="C442" s="0" t="n">
        <v>2</v>
      </c>
      <c r="D442" s="0" t="inlineStr">
        <is>
          <t>로즈힐</t>
        </is>
      </c>
      <c r="E442" s="0" t="inlineStr">
        <is>
          <t>2008.10.</t>
        </is>
      </c>
      <c r="F442" s="0" t="n">
        <v>45</v>
      </c>
      <c r="G442" s="0" t="n">
        <v>23.67</v>
      </c>
      <c r="H442" s="0" t="n">
        <v>78.26000000000001</v>
      </c>
      <c r="I442" s="0" t="n">
        <v>18.08</v>
      </c>
      <c r="J442" s="0" t="n">
        <v>59.8</v>
      </c>
      <c r="K442" s="0" t="n">
        <v>9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78B</t>
        </is>
      </c>
      <c r="X442" s="0" t="n">
        <v>12</v>
      </c>
      <c r="Y442" s="0" t="n">
        <v>5</v>
      </c>
      <c r="Z442" s="0" t="inlineStr">
        <is>
          <t>https://new.land.naver.com/complexes/100596?tab=detail&amp;rf=Y</t>
        </is>
      </c>
      <c r="AA442" s="0" t="inlineStr">
        <is>
          <t>인천시 남동구 간석동 138-1</t>
        </is>
      </c>
      <c r="AB442" s="0" t="inlineStr">
        <is>
          <t>인천시</t>
        </is>
      </c>
      <c r="AC442" s="0" t="inlineStr">
        <is>
          <t>남동구</t>
        </is>
      </c>
      <c r="AD442" s="0" t="inlineStr">
        <is>
          <t>간석동</t>
        </is>
      </c>
      <c r="AG442" s="0" t="inlineStr">
        <is>
          <t>인천시 남동구 석산로197번길 14</t>
        </is>
      </c>
      <c r="AH442" s="0" t="n">
        <v>0</v>
      </c>
      <c r="AI442" s="0" t="n">
        <v>249</v>
      </c>
      <c r="AJ442" s="0" t="n">
        <v>56</v>
      </c>
      <c r="AK442" s="0" t="n">
        <v>49</v>
      </c>
      <c r="AL442" s="0" t="n">
        <v>1.09</v>
      </c>
    </row>
    <row r="443">
      <c r="A443" s="0" t="inlineStr">
        <is>
          <t>[간석동]</t>
        </is>
      </c>
      <c r="B443" s="0" t="n">
        <v>2239</v>
      </c>
      <c r="C443" s="0" t="n">
        <v>1</v>
      </c>
      <c r="D443" s="0" t="inlineStr">
        <is>
          <t>우성1차</t>
        </is>
      </c>
      <c r="E443" s="0" t="inlineStr">
        <is>
          <t>1990.07.</t>
        </is>
      </c>
      <c r="F443" s="0" t="n">
        <v>1050</v>
      </c>
      <c r="G443" s="0" t="n">
        <v>21.76</v>
      </c>
      <c r="H443" s="0" t="n">
        <v>71.95999999999999</v>
      </c>
      <c r="I443" s="0" t="n">
        <v>16.49</v>
      </c>
      <c r="J443" s="0" t="n">
        <v>54.52</v>
      </c>
      <c r="K443" s="0" t="n">
        <v>210</v>
      </c>
      <c r="T443" s="0" t="n">
        <v>3</v>
      </c>
      <c r="U443" s="0" t="n">
        <v>1</v>
      </c>
      <c r="V443" s="0" t="inlineStr">
        <is>
          <t>복도식</t>
        </is>
      </c>
      <c r="W443" s="0" t="n">
        <v>71</v>
      </c>
      <c r="X443" s="0" t="n">
        <v>15</v>
      </c>
      <c r="Y443" s="0" t="n">
        <v>15</v>
      </c>
      <c r="Z443" s="0" t="inlineStr">
        <is>
          <t>https://new.land.naver.com/complexes/2239?tab=detail&amp;rf=Y</t>
        </is>
      </c>
      <c r="AA443" s="0" t="inlineStr">
        <is>
          <t>인천시 남동구 간석동 893-1</t>
        </is>
      </c>
      <c r="AB443" s="0" t="inlineStr">
        <is>
          <t>인천시</t>
        </is>
      </c>
      <c r="AC443" s="0" t="inlineStr">
        <is>
          <t>남동구</t>
        </is>
      </c>
      <c r="AD443" s="0" t="inlineStr">
        <is>
          <t>간석동</t>
        </is>
      </c>
      <c r="AG443" s="0" t="inlineStr">
        <is>
          <t>인천시 남동구 방축로 501</t>
        </is>
      </c>
      <c r="AH443" s="0" t="n">
        <v>0</v>
      </c>
      <c r="AI443" s="0" t="n">
        <v>213</v>
      </c>
      <c r="AJ443" s="0" t="n">
        <v>16</v>
      </c>
      <c r="AK443" s="0" t="n">
        <v>0</v>
      </c>
      <c r="AL443" s="0" t="n">
        <v>0</v>
      </c>
    </row>
    <row r="444">
      <c r="A444" s="0" t="inlineStr">
        <is>
          <t>[간석동]</t>
        </is>
      </c>
      <c r="B444" s="0" t="n">
        <v>2239</v>
      </c>
      <c r="C444" s="0" t="n">
        <v>2</v>
      </c>
      <c r="D444" s="0" t="inlineStr">
        <is>
          <t>우성1차</t>
        </is>
      </c>
      <c r="E444" s="0" t="inlineStr">
        <is>
          <t>1990.07.</t>
        </is>
      </c>
      <c r="F444" s="0" t="n">
        <v>1050</v>
      </c>
      <c r="G444" s="0" t="n">
        <v>26.86</v>
      </c>
      <c r="H444" s="0" t="n">
        <v>88.81999999999999</v>
      </c>
      <c r="I444" s="0" t="n">
        <v>22.06</v>
      </c>
      <c r="J444" s="0" t="n">
        <v>72.94</v>
      </c>
      <c r="K444" s="0" t="n">
        <v>390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88</v>
      </c>
      <c r="X444" s="0" t="n">
        <v>15</v>
      </c>
      <c r="Y444" s="0" t="n">
        <v>15</v>
      </c>
      <c r="Z444" s="0" t="inlineStr">
        <is>
          <t>https://new.land.naver.com/complexes/2239?tab=detail&amp;rf=Y</t>
        </is>
      </c>
      <c r="AA444" s="0" t="inlineStr">
        <is>
          <t>인천시 남동구 간석동 893-1</t>
        </is>
      </c>
      <c r="AB444" s="0" t="inlineStr">
        <is>
          <t>인천시</t>
        </is>
      </c>
      <c r="AC444" s="0" t="inlineStr">
        <is>
          <t>남동구</t>
        </is>
      </c>
      <c r="AD444" s="0" t="inlineStr">
        <is>
          <t>간석동</t>
        </is>
      </c>
      <c r="AG444" s="0" t="inlineStr">
        <is>
          <t>인천시 남동구 방축로 501</t>
        </is>
      </c>
      <c r="AH444" s="0" t="n">
        <v>0</v>
      </c>
      <c r="AI444" s="0" t="n">
        <v>213</v>
      </c>
      <c r="AJ444" s="0" t="n">
        <v>16</v>
      </c>
      <c r="AK444" s="0" t="n">
        <v>0</v>
      </c>
      <c r="AL444" s="0" t="n">
        <v>0</v>
      </c>
    </row>
    <row r="445">
      <c r="A445" s="0" t="inlineStr">
        <is>
          <t>[간석동]</t>
        </is>
      </c>
      <c r="B445" s="0" t="n">
        <v>2239</v>
      </c>
      <c r="C445" s="0" t="n">
        <v>3</v>
      </c>
      <c r="D445" s="0" t="inlineStr">
        <is>
          <t>우성1차</t>
        </is>
      </c>
      <c r="E445" s="0" t="inlineStr">
        <is>
          <t>1990.07.</t>
        </is>
      </c>
      <c r="F445" s="0" t="n">
        <v>1050</v>
      </c>
      <c r="G445" s="0" t="n">
        <v>30.76</v>
      </c>
      <c r="H445" s="0" t="n">
        <v>101.69</v>
      </c>
      <c r="I445" s="0" t="n">
        <v>25.7</v>
      </c>
      <c r="J445" s="0" t="n">
        <v>84.97</v>
      </c>
      <c r="K445" s="0" t="n">
        <v>360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101</v>
      </c>
      <c r="X445" s="0" t="n">
        <v>15</v>
      </c>
      <c r="Y445" s="0" t="n">
        <v>15</v>
      </c>
      <c r="Z445" s="0" t="inlineStr">
        <is>
          <t>https://new.land.naver.com/complexes/2239?tab=detail&amp;rf=Y</t>
        </is>
      </c>
      <c r="AA445" s="0" t="inlineStr">
        <is>
          <t>인천시 남동구 간석동 893-1</t>
        </is>
      </c>
      <c r="AB445" s="0" t="inlineStr">
        <is>
          <t>인천시</t>
        </is>
      </c>
      <c r="AC445" s="0" t="inlineStr">
        <is>
          <t>남동구</t>
        </is>
      </c>
      <c r="AD445" s="0" t="inlineStr">
        <is>
          <t>간석동</t>
        </is>
      </c>
      <c r="AG445" s="0" t="inlineStr">
        <is>
          <t>인천시 남동구 방축로 501</t>
        </is>
      </c>
      <c r="AH445" s="0" t="n">
        <v>0</v>
      </c>
      <c r="AI445" s="0" t="n">
        <v>213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[간석동]</t>
        </is>
      </c>
      <c r="B446" s="0" t="n">
        <v>2239</v>
      </c>
      <c r="C446" s="0" t="n">
        <v>4</v>
      </c>
      <c r="D446" s="0" t="inlineStr">
        <is>
          <t>우성1차</t>
        </is>
      </c>
      <c r="E446" s="0" t="inlineStr">
        <is>
          <t>1990.07.</t>
        </is>
      </c>
      <c r="F446" s="0" t="n">
        <v>1050</v>
      </c>
      <c r="G446" s="0" t="n">
        <v>38.73</v>
      </c>
      <c r="H446" s="0" t="n">
        <v>128.04</v>
      </c>
      <c r="I446" s="0" t="n">
        <v>33.06</v>
      </c>
      <c r="J446" s="0" t="n">
        <v>109.31</v>
      </c>
      <c r="K446" s="0" t="n">
        <v>90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128</v>
      </c>
      <c r="X446" s="0" t="n">
        <v>15</v>
      </c>
      <c r="Y446" s="0" t="n">
        <v>15</v>
      </c>
      <c r="Z446" s="0" t="inlineStr">
        <is>
          <t>https://new.land.naver.com/complexes/2239?tab=detail&amp;rf=Y</t>
        </is>
      </c>
      <c r="AA446" s="0" t="inlineStr">
        <is>
          <t>인천시 남동구 간석동 893-1</t>
        </is>
      </c>
      <c r="AB446" s="0" t="inlineStr">
        <is>
          <t>인천시</t>
        </is>
      </c>
      <c r="AC446" s="0" t="inlineStr">
        <is>
          <t>남동구</t>
        </is>
      </c>
      <c r="AD446" s="0" t="inlineStr">
        <is>
          <t>간석동</t>
        </is>
      </c>
      <c r="AG446" s="0" t="inlineStr">
        <is>
          <t>인천시 남동구 방축로 501</t>
        </is>
      </c>
      <c r="AH446" s="0" t="n">
        <v>0</v>
      </c>
      <c r="AI446" s="0" t="n">
        <v>213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[간석동]</t>
        </is>
      </c>
      <c r="B447" s="0" t="n">
        <v>116825</v>
      </c>
      <c r="C447" s="0" t="n">
        <v>1</v>
      </c>
      <c r="D447" s="0" t="inlineStr">
        <is>
          <t>더레지던트</t>
        </is>
      </c>
      <c r="E447" s="0" t="inlineStr">
        <is>
          <t>2017.02.</t>
        </is>
      </c>
      <c r="F447" s="0" t="n">
        <v>24</v>
      </c>
      <c r="G447" s="0" t="n">
        <v>21.97</v>
      </c>
      <c r="H447" s="0" t="n">
        <v>72.66</v>
      </c>
      <c r="I447" s="0" t="n">
        <v>17.81</v>
      </c>
      <c r="J447" s="0" t="n">
        <v>58.89</v>
      </c>
      <c r="K447" s="0" t="n">
        <v>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72A</t>
        </is>
      </c>
      <c r="X447" s="0" t="n">
        <v>14</v>
      </c>
      <c r="Y447" s="0" t="n">
        <v>14</v>
      </c>
      <c r="Z447" s="0" t="inlineStr">
        <is>
          <t>https://new.land.naver.com/complexes/116825?tab=detail&amp;rf=Y</t>
        </is>
      </c>
      <c r="AA447" s="0" t="inlineStr">
        <is>
          <t>인천시 남동구 간석동 169-5</t>
        </is>
      </c>
      <c r="AB447" s="0" t="inlineStr">
        <is>
          <t>인천시</t>
        </is>
      </c>
      <c r="AC447" s="0" t="inlineStr">
        <is>
          <t>남동구</t>
        </is>
      </c>
      <c r="AD447" s="0" t="inlineStr">
        <is>
          <t>간석동</t>
        </is>
      </c>
      <c r="AG447" s="0" t="inlineStr">
        <is>
          <t>인천시 남동구 용천로153번길 59</t>
        </is>
      </c>
      <c r="AH447" s="0" t="n">
        <v>0</v>
      </c>
      <c r="AI447" s="0" t="n">
        <v>743</v>
      </c>
      <c r="AJ447" s="0" t="n">
        <v>76</v>
      </c>
      <c r="AK447" s="0" t="n">
        <v>22</v>
      </c>
      <c r="AL447" s="0" t="n">
        <v>0.92</v>
      </c>
    </row>
    <row r="448">
      <c r="A448" s="0" t="inlineStr">
        <is>
          <t>[간석동]</t>
        </is>
      </c>
      <c r="B448" s="0" t="n">
        <v>116825</v>
      </c>
      <c r="C448" s="0" t="n">
        <v>2</v>
      </c>
      <c r="D448" s="0" t="inlineStr">
        <is>
          <t>더레지던트</t>
        </is>
      </c>
      <c r="E448" s="0" t="inlineStr">
        <is>
          <t>2017.02.</t>
        </is>
      </c>
      <c r="F448" s="0" t="n">
        <v>24</v>
      </c>
      <c r="G448" s="0" t="n">
        <v>21.91</v>
      </c>
      <c r="H448" s="0" t="n">
        <v>72.43000000000001</v>
      </c>
      <c r="I448" s="0" t="n">
        <v>18.12</v>
      </c>
      <c r="J448" s="0" t="n">
        <v>59.91</v>
      </c>
      <c r="K448" s="0" t="n">
        <v>6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72B</t>
        </is>
      </c>
      <c r="X448" s="0" t="n">
        <v>14</v>
      </c>
      <c r="Y448" s="0" t="n">
        <v>14</v>
      </c>
      <c r="Z448" s="0" t="inlineStr">
        <is>
          <t>https://new.land.naver.com/complexes/116825?tab=detail&amp;rf=Y</t>
        </is>
      </c>
      <c r="AA448" s="0" t="inlineStr">
        <is>
          <t>인천시 남동구 간석동 169-5</t>
        </is>
      </c>
      <c r="AB448" s="0" t="inlineStr">
        <is>
          <t>인천시</t>
        </is>
      </c>
      <c r="AC448" s="0" t="inlineStr">
        <is>
          <t>남동구</t>
        </is>
      </c>
      <c r="AD448" s="0" t="inlineStr">
        <is>
          <t>간석동</t>
        </is>
      </c>
      <c r="AG448" s="0" t="inlineStr">
        <is>
          <t>인천시 남동구 용천로153번길 59</t>
        </is>
      </c>
      <c r="AH448" s="0" t="n">
        <v>0</v>
      </c>
      <c r="AI448" s="0" t="n">
        <v>743</v>
      </c>
      <c r="AJ448" s="0" t="n">
        <v>76</v>
      </c>
      <c r="AK448" s="0" t="n">
        <v>22</v>
      </c>
      <c r="AL448" s="0" t="n">
        <v>0.92</v>
      </c>
    </row>
    <row r="449">
      <c r="A449" s="0" t="inlineStr">
        <is>
          <t>[간석동]</t>
        </is>
      </c>
      <c r="B449" s="0" t="n">
        <v>116825</v>
      </c>
      <c r="C449" s="0" t="n">
        <v>3</v>
      </c>
      <c r="D449" s="0" t="inlineStr">
        <is>
          <t>더레지던트</t>
        </is>
      </c>
      <c r="E449" s="0" t="inlineStr">
        <is>
          <t>2017.02.</t>
        </is>
      </c>
      <c r="F449" s="0" t="n">
        <v>24</v>
      </c>
      <c r="G449" s="0" t="n">
        <v>23.81</v>
      </c>
      <c r="H449" s="0" t="n">
        <v>78.72</v>
      </c>
      <c r="I449" s="0" t="n">
        <v>19.36</v>
      </c>
      <c r="J449" s="0" t="n">
        <v>64.02</v>
      </c>
      <c r="K449" s="0" t="n">
        <v>6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78</v>
      </c>
      <c r="X449" s="0" t="n">
        <v>14</v>
      </c>
      <c r="Y449" s="0" t="n">
        <v>14</v>
      </c>
      <c r="Z449" s="0" t="inlineStr">
        <is>
          <t>https://new.land.naver.com/complexes/116825?tab=detail&amp;rf=Y</t>
        </is>
      </c>
      <c r="AA449" s="0" t="inlineStr">
        <is>
          <t>인천시 남동구 간석동 169-5</t>
        </is>
      </c>
      <c r="AB449" s="0" t="inlineStr">
        <is>
          <t>인천시</t>
        </is>
      </c>
      <c r="AC449" s="0" t="inlineStr">
        <is>
          <t>남동구</t>
        </is>
      </c>
      <c r="AD449" s="0" t="inlineStr">
        <is>
          <t>간석동</t>
        </is>
      </c>
      <c r="AG449" s="0" t="inlineStr">
        <is>
          <t>인천시 남동구 용천로153번길 59</t>
        </is>
      </c>
      <c r="AH449" s="0" t="n">
        <v>0</v>
      </c>
      <c r="AI449" s="0" t="n">
        <v>743</v>
      </c>
      <c r="AJ449" s="0" t="n">
        <v>76</v>
      </c>
      <c r="AK449" s="0" t="n">
        <v>22</v>
      </c>
      <c r="AL449" s="0" t="n">
        <v>0.92</v>
      </c>
    </row>
    <row r="450">
      <c r="A450" s="0" t="inlineStr">
        <is>
          <t>[간석동]</t>
        </is>
      </c>
      <c r="B450" s="0" t="n">
        <v>116825</v>
      </c>
      <c r="C450" s="0" t="n">
        <v>4</v>
      </c>
      <c r="D450" s="0" t="inlineStr">
        <is>
          <t>더레지던트</t>
        </is>
      </c>
      <c r="E450" s="0" t="inlineStr">
        <is>
          <t>2017.02.</t>
        </is>
      </c>
      <c r="F450" s="0" t="n">
        <v>24</v>
      </c>
      <c r="G450" s="0" t="n">
        <v>24.69</v>
      </c>
      <c r="H450" s="0" t="n">
        <v>81.62</v>
      </c>
      <c r="I450" s="0" t="n">
        <v>20.04</v>
      </c>
      <c r="J450" s="0" t="n">
        <v>66.27</v>
      </c>
      <c r="K450" s="0" t="n">
        <v>6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81</v>
      </c>
      <c r="X450" s="0" t="n">
        <v>14</v>
      </c>
      <c r="Y450" s="0" t="n">
        <v>14</v>
      </c>
      <c r="Z450" s="0" t="inlineStr">
        <is>
          <t>https://new.land.naver.com/complexes/116825?tab=detail&amp;rf=Y</t>
        </is>
      </c>
      <c r="AA450" s="0" t="inlineStr">
        <is>
          <t>인천시 남동구 간석동 169-5</t>
        </is>
      </c>
      <c r="AB450" s="0" t="inlineStr">
        <is>
          <t>인천시</t>
        </is>
      </c>
      <c r="AC450" s="0" t="inlineStr">
        <is>
          <t>남동구</t>
        </is>
      </c>
      <c r="AD450" s="0" t="inlineStr">
        <is>
          <t>간석동</t>
        </is>
      </c>
      <c r="AG450" s="0" t="inlineStr">
        <is>
          <t>인천시 남동구 용천로153번길 59</t>
        </is>
      </c>
      <c r="AH450" s="0" t="n">
        <v>0</v>
      </c>
      <c r="AI450" s="0" t="n">
        <v>743</v>
      </c>
      <c r="AJ450" s="0" t="n">
        <v>76</v>
      </c>
      <c r="AK450" s="0" t="n">
        <v>22</v>
      </c>
      <c r="AL450" s="0" t="n">
        <v>0.92</v>
      </c>
    </row>
    <row r="451">
      <c r="A451" s="0" t="inlineStr">
        <is>
          <t>[간석동]</t>
        </is>
      </c>
      <c r="B451" s="0" t="n">
        <v>123676</v>
      </c>
      <c r="C451" s="0" t="n">
        <v>1</v>
      </c>
      <c r="D451" s="0" t="inlineStr">
        <is>
          <t>루이스캐슬</t>
        </is>
      </c>
      <c r="E451" s="0" t="inlineStr">
        <is>
          <t>2018.06.</t>
        </is>
      </c>
      <c r="F451" s="0" t="n">
        <v>24</v>
      </c>
      <c r="G451" s="0" t="n">
        <v>17.82</v>
      </c>
      <c r="H451" s="0" t="n">
        <v>58.91</v>
      </c>
      <c r="I451" s="0" t="n">
        <v>14.48</v>
      </c>
      <c r="J451" s="0" t="n">
        <v>47.89</v>
      </c>
      <c r="K451" s="0" t="n">
        <v>12</v>
      </c>
      <c r="T451" s="0" t="n">
        <v>2</v>
      </c>
      <c r="U451" s="0" t="n">
        <v>1</v>
      </c>
      <c r="V451" s="0" t="inlineStr">
        <is>
          <t>계단식</t>
        </is>
      </c>
      <c r="W451" s="0" t="n">
        <v>58</v>
      </c>
      <c r="X451" s="0" t="n">
        <v>14</v>
      </c>
      <c r="Y451" s="0" t="n">
        <v>14</v>
      </c>
      <c r="Z451" s="0" t="inlineStr">
        <is>
          <t>https://new.land.naver.com/complexes/123676?tab=detail&amp;rf=Y</t>
        </is>
      </c>
      <c r="AA451" s="0" t="inlineStr">
        <is>
          <t>인천시 남동구 간석동 96-1</t>
        </is>
      </c>
      <c r="AB451" s="0" t="inlineStr">
        <is>
          <t>인천시</t>
        </is>
      </c>
      <c r="AC451" s="0" t="inlineStr">
        <is>
          <t>남동구</t>
        </is>
      </c>
      <c r="AD451" s="0" t="inlineStr">
        <is>
          <t>간석동</t>
        </is>
      </c>
      <c r="AG451" s="0" t="inlineStr">
        <is>
          <t>인천시 남동구 경인로644번길 83</t>
        </is>
      </c>
      <c r="AH451" s="0" t="n">
        <v>0</v>
      </c>
      <c r="AI451" s="0" t="n">
        <v>821</v>
      </c>
      <c r="AJ451" s="0" t="n">
        <v>74</v>
      </c>
      <c r="AK451" s="0" t="n">
        <v>20</v>
      </c>
      <c r="AL451" s="0" t="n">
        <v>0.83</v>
      </c>
    </row>
    <row r="452">
      <c r="A452" s="0" t="inlineStr">
        <is>
          <t>[간석동]</t>
        </is>
      </c>
      <c r="B452" s="0" t="n">
        <v>123676</v>
      </c>
      <c r="C452" s="0" t="n">
        <v>2</v>
      </c>
      <c r="D452" s="0" t="inlineStr">
        <is>
          <t>루이스캐슬</t>
        </is>
      </c>
      <c r="E452" s="0" t="inlineStr">
        <is>
          <t>2018.06.</t>
        </is>
      </c>
      <c r="F452" s="0" t="n">
        <v>24</v>
      </c>
      <c r="G452" s="0" t="n">
        <v>21.97</v>
      </c>
      <c r="H452" s="0" t="n">
        <v>72.66</v>
      </c>
      <c r="I452" s="0" t="n">
        <v>18.08</v>
      </c>
      <c r="J452" s="0" t="n">
        <v>59.8</v>
      </c>
      <c r="K452" s="0" t="n">
        <v>6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72B</t>
        </is>
      </c>
      <c r="X452" s="0" t="n">
        <v>14</v>
      </c>
      <c r="Y452" s="0" t="n">
        <v>14</v>
      </c>
      <c r="Z452" s="0" t="inlineStr">
        <is>
          <t>https://new.land.naver.com/complexes/123676?tab=detail&amp;rf=Y</t>
        </is>
      </c>
      <c r="AA452" s="0" t="inlineStr">
        <is>
          <t>인천시 남동구 간석동 96-1</t>
        </is>
      </c>
      <c r="AB452" s="0" t="inlineStr">
        <is>
          <t>인천시</t>
        </is>
      </c>
      <c r="AC452" s="0" t="inlineStr">
        <is>
          <t>남동구</t>
        </is>
      </c>
      <c r="AD452" s="0" t="inlineStr">
        <is>
          <t>간석동</t>
        </is>
      </c>
      <c r="AG452" s="0" t="inlineStr">
        <is>
          <t>인천시 남동구 경인로644번길 83</t>
        </is>
      </c>
      <c r="AH452" s="0" t="n">
        <v>0</v>
      </c>
      <c r="AI452" s="0" t="n">
        <v>821</v>
      </c>
      <c r="AJ452" s="0" t="n">
        <v>74</v>
      </c>
      <c r="AK452" s="0" t="n">
        <v>20</v>
      </c>
      <c r="AL452" s="0" t="n">
        <v>0.83</v>
      </c>
    </row>
    <row r="453">
      <c r="A453" s="0" t="inlineStr">
        <is>
          <t>[간석동]</t>
        </is>
      </c>
      <c r="B453" s="0" t="n">
        <v>123676</v>
      </c>
      <c r="C453" s="0" t="n">
        <v>3</v>
      </c>
      <c r="D453" s="0" t="inlineStr">
        <is>
          <t>루이스캐슬</t>
        </is>
      </c>
      <c r="E453" s="0" t="inlineStr">
        <is>
          <t>2018.06.</t>
        </is>
      </c>
      <c r="F453" s="0" t="n">
        <v>24</v>
      </c>
      <c r="G453" s="0" t="n">
        <v>22.21</v>
      </c>
      <c r="H453" s="0" t="n">
        <v>73.43000000000001</v>
      </c>
      <c r="I453" s="0" t="n">
        <v>18.06</v>
      </c>
      <c r="J453" s="0" t="n">
        <v>59.73</v>
      </c>
      <c r="K453" s="0" t="n">
        <v>6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73A</t>
        </is>
      </c>
      <c r="X453" s="0" t="n">
        <v>14</v>
      </c>
      <c r="Y453" s="0" t="n">
        <v>14</v>
      </c>
      <c r="Z453" s="0" t="inlineStr">
        <is>
          <t>https://new.land.naver.com/complexes/123676?tab=detail&amp;rf=Y</t>
        </is>
      </c>
      <c r="AA453" s="0" t="inlineStr">
        <is>
          <t>인천시 남동구 간석동 96-1</t>
        </is>
      </c>
      <c r="AB453" s="0" t="inlineStr">
        <is>
          <t>인천시</t>
        </is>
      </c>
      <c r="AC453" s="0" t="inlineStr">
        <is>
          <t>남동구</t>
        </is>
      </c>
      <c r="AD453" s="0" t="inlineStr">
        <is>
          <t>간석동</t>
        </is>
      </c>
      <c r="AG453" s="0" t="inlineStr">
        <is>
          <t>인천시 남동구 경인로644번길 83</t>
        </is>
      </c>
      <c r="AH453" s="0" t="n">
        <v>0</v>
      </c>
      <c r="AI453" s="0" t="n">
        <v>821</v>
      </c>
      <c r="AJ453" s="0" t="n">
        <v>74</v>
      </c>
      <c r="AK453" s="0" t="n">
        <v>20</v>
      </c>
      <c r="AL453" s="0" t="n">
        <v>0.83</v>
      </c>
    </row>
    <row r="454">
      <c r="A454" s="0" t="inlineStr">
        <is>
          <t>[간석동]</t>
        </is>
      </c>
      <c r="B454" s="0" t="n">
        <v>105535</v>
      </c>
      <c r="C454" s="0" t="n">
        <v>1</v>
      </c>
      <c r="D454" s="0" t="inlineStr">
        <is>
          <t>정은</t>
        </is>
      </c>
      <c r="E454" s="0" t="inlineStr">
        <is>
          <t>2004.01.</t>
        </is>
      </c>
      <c r="F454" s="0" t="n">
        <v>18</v>
      </c>
      <c r="G454" s="0" t="n">
        <v>22.59</v>
      </c>
      <c r="H454" s="0" t="n">
        <v>74.69</v>
      </c>
      <c r="I454" s="0" t="n">
        <v>19.91</v>
      </c>
      <c r="J454" s="0" t="n">
        <v>65.81999999999999</v>
      </c>
      <c r="K454" s="0" t="n">
        <v>1</v>
      </c>
      <c r="T454" s="0" t="n">
        <v>3</v>
      </c>
      <c r="U454" s="0" t="n">
        <v>1</v>
      </c>
      <c r="V454" s="0" t="inlineStr">
        <is>
          <t>계단식</t>
        </is>
      </c>
      <c r="W454" s="0" t="inlineStr">
        <is>
          <t>74A</t>
        </is>
      </c>
      <c r="X454" s="0" t="n">
        <v>11</v>
      </c>
      <c r="Y454" s="0" t="n">
        <v>11</v>
      </c>
      <c r="Z454" s="0" t="inlineStr">
        <is>
          <t>https://new.land.naver.com/complexes/105535?tab=detail&amp;rf=Y</t>
        </is>
      </c>
      <c r="AA454" s="0" t="inlineStr">
        <is>
          <t>인천시 남동구 간석동 612-3</t>
        </is>
      </c>
      <c r="AB454" s="0" t="inlineStr">
        <is>
          <t>인천시</t>
        </is>
      </c>
      <c r="AC454" s="0" t="inlineStr">
        <is>
          <t>남동구</t>
        </is>
      </c>
      <c r="AD454" s="0" t="inlineStr">
        <is>
          <t>간석동</t>
        </is>
      </c>
      <c r="AG454" s="0" t="inlineStr">
        <is>
          <t>인천시 남동구 석정로 571</t>
        </is>
      </c>
      <c r="AH454" s="0" t="n">
        <v>0</v>
      </c>
      <c r="AI454" s="0" t="n">
        <v>289</v>
      </c>
      <c r="AJ454" s="0" t="n">
        <v>32</v>
      </c>
      <c r="AK454" s="0" t="n">
        <v>17</v>
      </c>
      <c r="AL454" s="0" t="n">
        <v>0.9399999999999999</v>
      </c>
    </row>
    <row r="455">
      <c r="A455" s="0" t="inlineStr">
        <is>
          <t>[간석동]</t>
        </is>
      </c>
      <c r="B455" s="0" t="n">
        <v>105535</v>
      </c>
      <c r="C455" s="0" t="n">
        <v>2</v>
      </c>
      <c r="D455" s="0" t="inlineStr">
        <is>
          <t>정은</t>
        </is>
      </c>
      <c r="E455" s="0" t="inlineStr">
        <is>
          <t>2004.01.</t>
        </is>
      </c>
      <c r="F455" s="0" t="n">
        <v>18</v>
      </c>
      <c r="G455" s="0" t="n">
        <v>23.42</v>
      </c>
      <c r="H455" s="0" t="n">
        <v>77.45</v>
      </c>
      <c r="I455" s="0" t="n">
        <v>20.64</v>
      </c>
      <c r="J455" s="0" t="n">
        <v>68.25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77B</t>
        </is>
      </c>
      <c r="X455" s="0" t="n">
        <v>11</v>
      </c>
      <c r="Y455" s="0" t="n">
        <v>11</v>
      </c>
      <c r="Z455" s="0" t="inlineStr">
        <is>
          <t>https://new.land.naver.com/complexes/105535?tab=detail&amp;rf=Y</t>
        </is>
      </c>
      <c r="AA455" s="0" t="inlineStr">
        <is>
          <t>인천시 남동구 간석동 612-3</t>
        </is>
      </c>
      <c r="AB455" s="0" t="inlineStr">
        <is>
          <t>인천시</t>
        </is>
      </c>
      <c r="AC455" s="0" t="inlineStr">
        <is>
          <t>남동구</t>
        </is>
      </c>
      <c r="AD455" s="0" t="inlineStr">
        <is>
          <t>간석동</t>
        </is>
      </c>
      <c r="AG455" s="0" t="inlineStr">
        <is>
          <t>인천시 남동구 석정로 571</t>
        </is>
      </c>
      <c r="AH455" s="0" t="n">
        <v>0</v>
      </c>
      <c r="AI455" s="0" t="n">
        <v>289</v>
      </c>
      <c r="AJ455" s="0" t="n">
        <v>32</v>
      </c>
      <c r="AK455" s="0" t="n">
        <v>17</v>
      </c>
      <c r="AL455" s="0" t="n">
        <v>0.9399999999999999</v>
      </c>
    </row>
    <row r="456">
      <c r="A456" s="0" t="inlineStr">
        <is>
          <t>[간석동]</t>
        </is>
      </c>
      <c r="B456" s="0" t="n">
        <v>105535</v>
      </c>
      <c r="C456" s="0" t="n">
        <v>3</v>
      </c>
      <c r="D456" s="0" t="inlineStr">
        <is>
          <t>정은</t>
        </is>
      </c>
      <c r="E456" s="0" t="inlineStr">
        <is>
          <t>2004.01.</t>
        </is>
      </c>
      <c r="F456" s="0" t="n">
        <v>18</v>
      </c>
      <c r="G456" s="0" t="n">
        <v>27.74</v>
      </c>
      <c r="H456" s="0" t="n">
        <v>91.70999999999999</v>
      </c>
      <c r="I456" s="0" t="n">
        <v>24.44</v>
      </c>
      <c r="J456" s="0" t="n">
        <v>80.81999999999999</v>
      </c>
      <c r="K456" s="0" t="n">
        <v>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91A</t>
        </is>
      </c>
      <c r="X456" s="0" t="n">
        <v>11</v>
      </c>
      <c r="Y456" s="0" t="n">
        <v>11</v>
      </c>
      <c r="Z456" s="0" t="inlineStr">
        <is>
          <t>https://new.land.naver.com/complexes/105535?tab=detail&amp;rf=Y</t>
        </is>
      </c>
      <c r="AA456" s="0" t="inlineStr">
        <is>
          <t>인천시 남동구 간석동 612-3</t>
        </is>
      </c>
      <c r="AB456" s="0" t="inlineStr">
        <is>
          <t>인천시</t>
        </is>
      </c>
      <c r="AC456" s="0" t="inlineStr">
        <is>
          <t>남동구</t>
        </is>
      </c>
      <c r="AD456" s="0" t="inlineStr">
        <is>
          <t>간석동</t>
        </is>
      </c>
      <c r="AG456" s="0" t="inlineStr">
        <is>
          <t>인천시 남동구 석정로 571</t>
        </is>
      </c>
      <c r="AH456" s="0" t="n">
        <v>0</v>
      </c>
      <c r="AI456" s="0" t="n">
        <v>289</v>
      </c>
      <c r="AJ456" s="0" t="n">
        <v>32</v>
      </c>
      <c r="AK456" s="0" t="n">
        <v>17</v>
      </c>
      <c r="AL456" s="0" t="n">
        <v>0.9399999999999999</v>
      </c>
    </row>
    <row r="457">
      <c r="A457" s="0" t="inlineStr">
        <is>
          <t>[간석동]</t>
        </is>
      </c>
      <c r="B457" s="0" t="n">
        <v>105535</v>
      </c>
      <c r="C457" s="0" t="n">
        <v>4</v>
      </c>
      <c r="D457" s="0" t="inlineStr">
        <is>
          <t>정은</t>
        </is>
      </c>
      <c r="E457" s="0" t="inlineStr">
        <is>
          <t>2004.01.</t>
        </is>
      </c>
      <c r="F457" s="0" t="n">
        <v>18</v>
      </c>
      <c r="G457" s="0" t="n">
        <v>28.33</v>
      </c>
      <c r="H457" s="0" t="n">
        <v>93.67</v>
      </c>
      <c r="I457" s="0" t="n">
        <v>24.97</v>
      </c>
      <c r="J457" s="0" t="n">
        <v>82.56</v>
      </c>
      <c r="K457" s="0" t="n">
        <v>14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93B</t>
        </is>
      </c>
      <c r="X457" s="0" t="n">
        <v>11</v>
      </c>
      <c r="Y457" s="0" t="n">
        <v>11</v>
      </c>
      <c r="Z457" s="0" t="inlineStr">
        <is>
          <t>https://new.land.naver.com/complexes/105535?tab=detail&amp;rf=Y</t>
        </is>
      </c>
      <c r="AA457" s="0" t="inlineStr">
        <is>
          <t>인천시 남동구 간석동 612-3</t>
        </is>
      </c>
      <c r="AB457" s="0" t="inlineStr">
        <is>
          <t>인천시</t>
        </is>
      </c>
      <c r="AC457" s="0" t="inlineStr">
        <is>
          <t>남동구</t>
        </is>
      </c>
      <c r="AD457" s="0" t="inlineStr">
        <is>
          <t>간석동</t>
        </is>
      </c>
      <c r="AG457" s="0" t="inlineStr">
        <is>
          <t>인천시 남동구 석정로 571</t>
        </is>
      </c>
      <c r="AH457" s="0" t="n">
        <v>0</v>
      </c>
      <c r="AI457" s="0" t="n">
        <v>289</v>
      </c>
      <c r="AJ457" s="0" t="n">
        <v>32</v>
      </c>
      <c r="AK457" s="0" t="n">
        <v>17</v>
      </c>
      <c r="AL457" s="0" t="n">
        <v>0.9399999999999999</v>
      </c>
    </row>
    <row r="458">
      <c r="A458" s="0" t="inlineStr">
        <is>
          <t>[간석동]</t>
        </is>
      </c>
      <c r="B458" s="0" t="n">
        <v>104003</v>
      </c>
      <c r="C458" s="0" t="n">
        <v>1</v>
      </c>
      <c r="D458" s="0" t="inlineStr">
        <is>
          <t>간석리페1차(도시형)</t>
        </is>
      </c>
      <c r="E458" s="0" t="inlineStr">
        <is>
          <t>2013.03.</t>
        </is>
      </c>
      <c r="F458" s="0" t="n">
        <v>106</v>
      </c>
      <c r="G458" s="0" t="n">
        <v>5.69</v>
      </c>
      <c r="H458" s="0" t="n">
        <v>18.82</v>
      </c>
      <c r="I458" s="0" t="n">
        <v>3.74</v>
      </c>
      <c r="J458" s="0" t="n">
        <v>12.37</v>
      </c>
      <c r="K458" s="0" t="n">
        <v>65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18A3</t>
        </is>
      </c>
      <c r="X458" s="0" t="n">
        <v>13</v>
      </c>
      <c r="Y458" s="0" t="n">
        <v>12</v>
      </c>
      <c r="Z458" s="0" t="inlineStr">
        <is>
          <t>https://new.land.naver.com/complexes/104003?tab=detail&amp;rf=Y</t>
        </is>
      </c>
      <c r="AA458" s="0" t="inlineStr">
        <is>
          <t>인천시 남동구 간석동 216-5</t>
        </is>
      </c>
      <c r="AB458" s="0" t="inlineStr">
        <is>
          <t>인천시</t>
        </is>
      </c>
      <c r="AC458" s="0" t="inlineStr">
        <is>
          <t>남동구</t>
        </is>
      </c>
      <c r="AD458" s="0" t="inlineStr">
        <is>
          <t>간석동</t>
        </is>
      </c>
      <c r="AG458" s="0" t="inlineStr">
        <is>
          <t>인천시 남동구 경인로653번길 11</t>
        </is>
      </c>
      <c r="AH458" s="0" t="n">
        <v>0</v>
      </c>
      <c r="AI458" s="0" t="n">
        <v>507</v>
      </c>
      <c r="AJ458" s="0" t="n">
        <v>52</v>
      </c>
      <c r="AK458" s="0" t="n">
        <v>26</v>
      </c>
      <c r="AL458" s="0" t="n">
        <v>0.25</v>
      </c>
    </row>
    <row r="459">
      <c r="A459" s="0" t="inlineStr">
        <is>
          <t>[간석동]</t>
        </is>
      </c>
      <c r="B459" s="0" t="n">
        <v>104003</v>
      </c>
      <c r="C459" s="0" t="n">
        <v>2</v>
      </c>
      <c r="D459" s="0" t="inlineStr">
        <is>
          <t>간석리페1차(도시형)</t>
        </is>
      </c>
      <c r="E459" s="0" t="inlineStr">
        <is>
          <t>2013.03.</t>
        </is>
      </c>
      <c r="F459" s="0" t="n">
        <v>106</v>
      </c>
      <c r="G459" s="0" t="n">
        <v>5.69</v>
      </c>
      <c r="H459" s="0" t="n">
        <v>18.82</v>
      </c>
      <c r="I459" s="0" t="n">
        <v>3.74</v>
      </c>
      <c r="J459" s="0" t="n">
        <v>12.37</v>
      </c>
      <c r="K459" s="0" t="n">
        <v>15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18A1</t>
        </is>
      </c>
      <c r="X459" s="0" t="n">
        <v>13</v>
      </c>
      <c r="Y459" s="0" t="n">
        <v>12</v>
      </c>
      <c r="Z459" s="0" t="inlineStr">
        <is>
          <t>https://new.land.naver.com/complexes/104003?tab=detail&amp;rf=Y</t>
        </is>
      </c>
      <c r="AA459" s="0" t="inlineStr">
        <is>
          <t>인천시 남동구 간석동 216-5</t>
        </is>
      </c>
      <c r="AB459" s="0" t="inlineStr">
        <is>
          <t>인천시</t>
        </is>
      </c>
      <c r="AC459" s="0" t="inlineStr">
        <is>
          <t>남동구</t>
        </is>
      </c>
      <c r="AD459" s="0" t="inlineStr">
        <is>
          <t>간석동</t>
        </is>
      </c>
      <c r="AG459" s="0" t="inlineStr">
        <is>
          <t>인천시 남동구 경인로653번길 11</t>
        </is>
      </c>
      <c r="AH459" s="0" t="n">
        <v>0</v>
      </c>
      <c r="AI459" s="0" t="n">
        <v>507</v>
      </c>
      <c r="AJ459" s="0" t="n">
        <v>52</v>
      </c>
      <c r="AK459" s="0" t="n">
        <v>26</v>
      </c>
      <c r="AL459" s="0" t="n">
        <v>0.25</v>
      </c>
    </row>
    <row r="460">
      <c r="A460" s="0" t="inlineStr">
        <is>
          <t>[간석동]</t>
        </is>
      </c>
      <c r="B460" s="0" t="n">
        <v>104003</v>
      </c>
      <c r="C460" s="0" t="n">
        <v>3</v>
      </c>
      <c r="D460" s="0" t="inlineStr">
        <is>
          <t>간석리페1차(도시형)</t>
        </is>
      </c>
      <c r="E460" s="0" t="inlineStr">
        <is>
          <t>2013.03.</t>
        </is>
      </c>
      <c r="F460" s="0" t="n">
        <v>106</v>
      </c>
      <c r="G460" s="0" t="n">
        <v>5.69</v>
      </c>
      <c r="H460" s="0" t="n">
        <v>18.82</v>
      </c>
      <c r="I460" s="0" t="n">
        <v>3.74</v>
      </c>
      <c r="J460" s="0" t="n">
        <v>12.37</v>
      </c>
      <c r="K460" s="0" t="n">
        <v>15</v>
      </c>
      <c r="T460" s="0" t="n">
        <v>1</v>
      </c>
      <c r="U460" s="0" t="n">
        <v>1</v>
      </c>
      <c r="V460" s="0" t="inlineStr">
        <is>
          <t>복도식</t>
        </is>
      </c>
      <c r="W460" s="0" t="inlineStr">
        <is>
          <t>18A2</t>
        </is>
      </c>
      <c r="X460" s="0" t="n">
        <v>13</v>
      </c>
      <c r="Y460" s="0" t="n">
        <v>12</v>
      </c>
      <c r="Z460" s="0" t="inlineStr">
        <is>
          <t>https://new.land.naver.com/complexes/104003?tab=detail&amp;rf=Y</t>
        </is>
      </c>
      <c r="AA460" s="0" t="inlineStr">
        <is>
          <t>인천시 남동구 간석동 216-5</t>
        </is>
      </c>
      <c r="AB460" s="0" t="inlineStr">
        <is>
          <t>인천시</t>
        </is>
      </c>
      <c r="AC460" s="0" t="inlineStr">
        <is>
          <t>남동구</t>
        </is>
      </c>
      <c r="AD460" s="0" t="inlineStr">
        <is>
          <t>간석동</t>
        </is>
      </c>
      <c r="AG460" s="0" t="inlineStr">
        <is>
          <t>인천시 남동구 경인로653번길 11</t>
        </is>
      </c>
      <c r="AH460" s="0" t="n">
        <v>0</v>
      </c>
      <c r="AI460" s="0" t="n">
        <v>507</v>
      </c>
      <c r="AJ460" s="0" t="n">
        <v>52</v>
      </c>
      <c r="AK460" s="0" t="n">
        <v>26</v>
      </c>
      <c r="AL460" s="0" t="n">
        <v>0.25</v>
      </c>
    </row>
    <row r="461">
      <c r="A461" s="0" t="inlineStr">
        <is>
          <t>[간석동]</t>
        </is>
      </c>
      <c r="B461" s="0" t="n">
        <v>104003</v>
      </c>
      <c r="C461" s="0" t="n">
        <v>4</v>
      </c>
      <c r="D461" s="0" t="inlineStr">
        <is>
          <t>간석리페1차(도시형)</t>
        </is>
      </c>
      <c r="E461" s="0" t="inlineStr">
        <is>
          <t>2013.03.</t>
        </is>
      </c>
      <c r="F461" s="0" t="n">
        <v>106</v>
      </c>
      <c r="G461" s="0" t="n">
        <v>5.89</v>
      </c>
      <c r="H461" s="0" t="n">
        <v>19.49</v>
      </c>
      <c r="I461" s="0" t="n">
        <v>3.87</v>
      </c>
      <c r="J461" s="0" t="n">
        <v>12.81</v>
      </c>
      <c r="K461" s="0" t="n">
        <v>6</v>
      </c>
      <c r="T461" s="0" t="n">
        <v>1</v>
      </c>
      <c r="U461" s="0" t="n">
        <v>1</v>
      </c>
      <c r="V461" s="0" t="inlineStr">
        <is>
          <t>복도식</t>
        </is>
      </c>
      <c r="W461" s="0" t="inlineStr">
        <is>
          <t>19B2</t>
        </is>
      </c>
      <c r="X461" s="0" t="n">
        <v>13</v>
      </c>
      <c r="Y461" s="0" t="n">
        <v>12</v>
      </c>
      <c r="Z461" s="0" t="inlineStr">
        <is>
          <t>https://new.land.naver.com/complexes/104003?tab=detail&amp;rf=Y</t>
        </is>
      </c>
      <c r="AA461" s="0" t="inlineStr">
        <is>
          <t>인천시 남동구 간석동 216-5</t>
        </is>
      </c>
      <c r="AB461" s="0" t="inlineStr">
        <is>
          <t>인천시</t>
        </is>
      </c>
      <c r="AC461" s="0" t="inlineStr">
        <is>
          <t>남동구</t>
        </is>
      </c>
      <c r="AD461" s="0" t="inlineStr">
        <is>
          <t>간석동</t>
        </is>
      </c>
      <c r="AG461" s="0" t="inlineStr">
        <is>
          <t>인천시 남동구 경인로653번길 11</t>
        </is>
      </c>
      <c r="AH461" s="0" t="n">
        <v>0</v>
      </c>
      <c r="AI461" s="0" t="n">
        <v>507</v>
      </c>
      <c r="AJ461" s="0" t="n">
        <v>52</v>
      </c>
      <c r="AK461" s="0" t="n">
        <v>26</v>
      </c>
      <c r="AL461" s="0" t="n">
        <v>0.25</v>
      </c>
    </row>
    <row r="462">
      <c r="A462" s="0" t="inlineStr">
        <is>
          <t>[간석동]</t>
        </is>
      </c>
      <c r="B462" s="0" t="n">
        <v>104003</v>
      </c>
      <c r="C462" s="0" t="n">
        <v>5</v>
      </c>
      <c r="D462" s="0" t="inlineStr">
        <is>
          <t>간석리페1차(도시형)</t>
        </is>
      </c>
      <c r="E462" s="0" t="inlineStr">
        <is>
          <t>2013.03.</t>
        </is>
      </c>
      <c r="F462" s="0" t="n">
        <v>106</v>
      </c>
      <c r="G462" s="0" t="n">
        <v>5.89</v>
      </c>
      <c r="H462" s="0" t="n">
        <v>19.49</v>
      </c>
      <c r="I462" s="0" t="n">
        <v>3.87</v>
      </c>
      <c r="J462" s="0" t="n">
        <v>12.81</v>
      </c>
      <c r="K462" s="0" t="n">
        <v>3</v>
      </c>
      <c r="T462" s="0" t="n">
        <v>1</v>
      </c>
      <c r="U462" s="0" t="n">
        <v>1</v>
      </c>
      <c r="V462" s="0" t="inlineStr">
        <is>
          <t>복도식</t>
        </is>
      </c>
      <c r="W462" s="0" t="inlineStr">
        <is>
          <t>19B1</t>
        </is>
      </c>
      <c r="X462" s="0" t="n">
        <v>13</v>
      </c>
      <c r="Y462" s="0" t="n">
        <v>12</v>
      </c>
      <c r="Z462" s="0" t="inlineStr">
        <is>
          <t>https://new.land.naver.com/complexes/104003?tab=detail&amp;rf=Y</t>
        </is>
      </c>
      <c r="AA462" s="0" t="inlineStr">
        <is>
          <t>인천시 남동구 간석동 216-5</t>
        </is>
      </c>
      <c r="AB462" s="0" t="inlineStr">
        <is>
          <t>인천시</t>
        </is>
      </c>
      <c r="AC462" s="0" t="inlineStr">
        <is>
          <t>남동구</t>
        </is>
      </c>
      <c r="AD462" s="0" t="inlineStr">
        <is>
          <t>간석동</t>
        </is>
      </c>
      <c r="AG462" s="0" t="inlineStr">
        <is>
          <t>인천시 남동구 경인로653번길 11</t>
        </is>
      </c>
      <c r="AH462" s="0" t="n">
        <v>0</v>
      </c>
      <c r="AI462" s="0" t="n">
        <v>507</v>
      </c>
      <c r="AJ462" s="0" t="n">
        <v>52</v>
      </c>
      <c r="AK462" s="0" t="n">
        <v>26</v>
      </c>
      <c r="AL462" s="0" t="n">
        <v>0.25</v>
      </c>
    </row>
    <row r="463">
      <c r="A463" s="0" t="inlineStr">
        <is>
          <t>[간석동]</t>
        </is>
      </c>
      <c r="B463" s="0" t="n">
        <v>104003</v>
      </c>
      <c r="C463" s="0" t="n">
        <v>6</v>
      </c>
      <c r="D463" s="0" t="inlineStr">
        <is>
          <t>간석리페1차(도시형)</t>
        </is>
      </c>
      <c r="E463" s="0" t="inlineStr">
        <is>
          <t>2013.03.</t>
        </is>
      </c>
      <c r="F463" s="0" t="n">
        <v>106</v>
      </c>
      <c r="G463" s="0" t="n">
        <v>7.39</v>
      </c>
      <c r="H463" s="0" t="n">
        <v>24.45</v>
      </c>
      <c r="I463" s="0" t="n">
        <v>4.86</v>
      </c>
      <c r="J463" s="0" t="n">
        <v>16.07</v>
      </c>
      <c r="K463" s="0" t="n">
        <v>1</v>
      </c>
      <c r="T463" s="0" t="n">
        <v>1</v>
      </c>
      <c r="U463" s="0" t="n">
        <v>1</v>
      </c>
      <c r="V463" s="0" t="inlineStr">
        <is>
          <t>복도식</t>
        </is>
      </c>
      <c r="W463" s="0" t="inlineStr">
        <is>
          <t>24C1</t>
        </is>
      </c>
      <c r="X463" s="0" t="n">
        <v>13</v>
      </c>
      <c r="Y463" s="0" t="n">
        <v>12</v>
      </c>
      <c r="Z463" s="0" t="inlineStr">
        <is>
          <t>https://new.land.naver.com/complexes/104003?tab=detail&amp;rf=Y</t>
        </is>
      </c>
      <c r="AA463" s="0" t="inlineStr">
        <is>
          <t>인천시 남동구 간석동 216-5</t>
        </is>
      </c>
      <c r="AB463" s="0" t="inlineStr">
        <is>
          <t>인천시</t>
        </is>
      </c>
      <c r="AC463" s="0" t="inlineStr">
        <is>
          <t>남동구</t>
        </is>
      </c>
      <c r="AD463" s="0" t="inlineStr">
        <is>
          <t>간석동</t>
        </is>
      </c>
      <c r="AG463" s="0" t="inlineStr">
        <is>
          <t>인천시 남동구 경인로653번길 11</t>
        </is>
      </c>
      <c r="AH463" s="0" t="n">
        <v>0</v>
      </c>
      <c r="AI463" s="0" t="n">
        <v>507</v>
      </c>
      <c r="AJ463" s="0" t="n">
        <v>52</v>
      </c>
      <c r="AK463" s="0" t="n">
        <v>26</v>
      </c>
      <c r="AL463" s="0" t="n">
        <v>0.25</v>
      </c>
    </row>
    <row r="464">
      <c r="A464" s="0" t="inlineStr">
        <is>
          <t>[간석동]</t>
        </is>
      </c>
      <c r="B464" s="0" t="n">
        <v>104003</v>
      </c>
      <c r="C464" s="0" t="n">
        <v>7</v>
      </c>
      <c r="D464" s="0" t="inlineStr">
        <is>
          <t>간석리페1차(도시형)</t>
        </is>
      </c>
      <c r="E464" s="0" t="inlineStr">
        <is>
          <t>2013.03.</t>
        </is>
      </c>
      <c r="F464" s="0" t="n">
        <v>106</v>
      </c>
      <c r="G464" s="0" t="n">
        <v>7.39</v>
      </c>
      <c r="H464" s="0" t="n">
        <v>24.45</v>
      </c>
      <c r="I464" s="0" t="n">
        <v>4.86</v>
      </c>
      <c r="J464" s="0" t="n">
        <v>16.07</v>
      </c>
      <c r="K464" s="0" t="n">
        <v>1</v>
      </c>
      <c r="T464" s="0" t="n">
        <v>1</v>
      </c>
      <c r="U464" s="0" t="n">
        <v>1</v>
      </c>
      <c r="V464" s="0" t="inlineStr">
        <is>
          <t>복도식</t>
        </is>
      </c>
      <c r="W464" s="0" t="inlineStr">
        <is>
          <t>24C2</t>
        </is>
      </c>
      <c r="X464" s="0" t="n">
        <v>13</v>
      </c>
      <c r="Y464" s="0" t="n">
        <v>12</v>
      </c>
      <c r="Z464" s="0" t="inlineStr">
        <is>
          <t>https://new.land.naver.com/complexes/104003?tab=detail&amp;rf=Y</t>
        </is>
      </c>
      <c r="AA464" s="0" t="inlineStr">
        <is>
          <t>인천시 남동구 간석동 216-5</t>
        </is>
      </c>
      <c r="AB464" s="0" t="inlineStr">
        <is>
          <t>인천시</t>
        </is>
      </c>
      <c r="AC464" s="0" t="inlineStr">
        <is>
          <t>남동구</t>
        </is>
      </c>
      <c r="AD464" s="0" t="inlineStr">
        <is>
          <t>간석동</t>
        </is>
      </c>
      <c r="AG464" s="0" t="inlineStr">
        <is>
          <t>인천시 남동구 경인로653번길 11</t>
        </is>
      </c>
      <c r="AH464" s="0" t="n">
        <v>0</v>
      </c>
      <c r="AI464" s="0" t="n">
        <v>507</v>
      </c>
      <c r="AJ464" s="0" t="n">
        <v>52</v>
      </c>
      <c r="AK464" s="0" t="n">
        <v>26</v>
      </c>
      <c r="AL464" s="0" t="n">
        <v>0.25</v>
      </c>
    </row>
    <row r="465">
      <c r="A465" s="0" t="inlineStr">
        <is>
          <t>[간석동]</t>
        </is>
      </c>
      <c r="B465" s="0" t="n">
        <v>115404</v>
      </c>
      <c r="C465" s="0" t="n">
        <v>1</v>
      </c>
      <c r="D465" s="0" t="inlineStr">
        <is>
          <t>동명뉴캐슬</t>
        </is>
      </c>
      <c r="E465" s="0" t="inlineStr">
        <is>
          <t>2016.05.</t>
        </is>
      </c>
      <c r="F465" s="0" t="n">
        <v>9</v>
      </c>
      <c r="G465" s="0" t="n">
        <v>24.43</v>
      </c>
      <c r="H465" s="0" t="n">
        <v>80.77</v>
      </c>
      <c r="I465" s="0" t="n">
        <v>19.35</v>
      </c>
      <c r="J465" s="0" t="n">
        <v>63.99</v>
      </c>
      <c r="K465" s="0" t="n">
        <v>3</v>
      </c>
      <c r="T465" s="0" t="n">
        <v>3</v>
      </c>
      <c r="U465" s="0" t="n">
        <v>1</v>
      </c>
      <c r="V465" s="0" t="inlineStr">
        <is>
          <t>계단식</t>
        </is>
      </c>
      <c r="W465" s="0" t="n">
        <v>80</v>
      </c>
      <c r="X465" s="0" t="n">
        <v>15</v>
      </c>
      <c r="Y465" s="0" t="n">
        <v>15</v>
      </c>
      <c r="Z465" s="0" t="inlineStr">
        <is>
          <t>https://new.land.naver.com/complexes/115404?tab=detail&amp;rf=Y</t>
        </is>
      </c>
      <c r="AA465" s="0" t="inlineStr">
        <is>
          <t>인천시 남동구 간석동 171-2</t>
        </is>
      </c>
      <c r="AB465" s="0" t="inlineStr">
        <is>
          <t>인천시</t>
        </is>
      </c>
      <c r="AC465" s="0" t="inlineStr">
        <is>
          <t>남동구</t>
        </is>
      </c>
      <c r="AD465" s="0" t="inlineStr">
        <is>
          <t>간석동</t>
        </is>
      </c>
      <c r="AG465" s="0" t="inlineStr">
        <is>
          <t>인천시 남동구 용천로153번길 68</t>
        </is>
      </c>
      <c r="AH465" s="0" t="n">
        <v>0</v>
      </c>
      <c r="AI465" s="0" t="n">
        <v>778</v>
      </c>
      <c r="AJ465" s="0" t="n">
        <v>67</v>
      </c>
      <c r="AK465" s="0" t="n">
        <v>9</v>
      </c>
      <c r="AL465" s="0" t="n">
        <v>1</v>
      </c>
    </row>
    <row r="466">
      <c r="A466" s="0" t="inlineStr">
        <is>
          <t>[간석동]</t>
        </is>
      </c>
      <c r="B466" s="0" t="n">
        <v>115404</v>
      </c>
      <c r="C466" s="0" t="n">
        <v>2</v>
      </c>
      <c r="D466" s="0" t="inlineStr">
        <is>
          <t>동명뉴캐슬</t>
        </is>
      </c>
      <c r="E466" s="0" t="inlineStr">
        <is>
          <t>2016.05.</t>
        </is>
      </c>
      <c r="F466" s="0" t="n">
        <v>9</v>
      </c>
      <c r="G466" s="0" t="n">
        <v>24.54</v>
      </c>
      <c r="H466" s="0" t="n">
        <v>81.13</v>
      </c>
      <c r="I466" s="0" t="n">
        <v>19.28</v>
      </c>
      <c r="J466" s="0" t="n">
        <v>63.75</v>
      </c>
      <c r="K466" s="0" t="n">
        <v>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81A</t>
        </is>
      </c>
      <c r="X466" s="0" t="n">
        <v>15</v>
      </c>
      <c r="Y466" s="0" t="n">
        <v>15</v>
      </c>
      <c r="Z466" s="0" t="inlineStr">
        <is>
          <t>https://new.land.naver.com/complexes/115404?tab=detail&amp;rf=Y</t>
        </is>
      </c>
      <c r="AA466" s="0" t="inlineStr">
        <is>
          <t>인천시 남동구 간석동 171-2</t>
        </is>
      </c>
      <c r="AB466" s="0" t="inlineStr">
        <is>
          <t>인천시</t>
        </is>
      </c>
      <c r="AC466" s="0" t="inlineStr">
        <is>
          <t>남동구</t>
        </is>
      </c>
      <c r="AD466" s="0" t="inlineStr">
        <is>
          <t>간석동</t>
        </is>
      </c>
      <c r="AG466" s="0" t="inlineStr">
        <is>
          <t>인천시 남동구 용천로153번길 68</t>
        </is>
      </c>
      <c r="AH466" s="0" t="n">
        <v>0</v>
      </c>
      <c r="AI466" s="0" t="n">
        <v>778</v>
      </c>
      <c r="AJ466" s="0" t="n">
        <v>67</v>
      </c>
      <c r="AK466" s="0" t="n">
        <v>9</v>
      </c>
      <c r="AL466" s="0" t="n">
        <v>1</v>
      </c>
    </row>
    <row r="467">
      <c r="A467" s="0" t="inlineStr">
        <is>
          <t>[간석동]</t>
        </is>
      </c>
      <c r="B467" s="0" t="n">
        <v>115404</v>
      </c>
      <c r="C467" s="0" t="n">
        <v>3</v>
      </c>
      <c r="D467" s="0" t="inlineStr">
        <is>
          <t>동명뉴캐슬</t>
        </is>
      </c>
      <c r="E467" s="0" t="inlineStr">
        <is>
          <t>2016.05.</t>
        </is>
      </c>
      <c r="F467" s="0" t="n">
        <v>9</v>
      </c>
      <c r="G467" s="0" t="n">
        <v>25.43</v>
      </c>
      <c r="H467" s="0" t="n">
        <v>84.09</v>
      </c>
      <c r="I467" s="0" t="n">
        <v>20.08</v>
      </c>
      <c r="J467" s="0" t="n">
        <v>66.41</v>
      </c>
      <c r="K467" s="0" t="n">
        <v>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84B</t>
        </is>
      </c>
      <c r="X467" s="0" t="n">
        <v>15</v>
      </c>
      <c r="Y467" s="0" t="n">
        <v>15</v>
      </c>
      <c r="Z467" s="0" t="inlineStr">
        <is>
          <t>https://new.land.naver.com/complexes/115404?tab=detail&amp;rf=Y</t>
        </is>
      </c>
      <c r="AA467" s="0" t="inlineStr">
        <is>
          <t>인천시 남동구 간석동 171-2</t>
        </is>
      </c>
      <c r="AB467" s="0" t="inlineStr">
        <is>
          <t>인천시</t>
        </is>
      </c>
      <c r="AC467" s="0" t="inlineStr">
        <is>
          <t>남동구</t>
        </is>
      </c>
      <c r="AD467" s="0" t="inlineStr">
        <is>
          <t>간석동</t>
        </is>
      </c>
      <c r="AG467" s="0" t="inlineStr">
        <is>
          <t>인천시 남동구 용천로153번길 68</t>
        </is>
      </c>
      <c r="AH467" s="0" t="n">
        <v>0</v>
      </c>
      <c r="AI467" s="0" t="n">
        <v>778</v>
      </c>
      <c r="AJ467" s="0" t="n">
        <v>67</v>
      </c>
      <c r="AK467" s="0" t="n">
        <v>9</v>
      </c>
      <c r="AL467" s="0" t="n">
        <v>1</v>
      </c>
    </row>
    <row r="468">
      <c r="A468" s="0" t="inlineStr">
        <is>
          <t>[간석동]</t>
        </is>
      </c>
      <c r="B468" s="0" t="n">
        <v>8845</v>
      </c>
      <c r="C468" s="0" t="n">
        <v>1</v>
      </c>
      <c r="D468" s="0" t="inlineStr">
        <is>
          <t>이삭</t>
        </is>
      </c>
      <c r="E468" s="0" t="inlineStr">
        <is>
          <t>1999.09.</t>
        </is>
      </c>
      <c r="F468" s="0" t="n">
        <v>180</v>
      </c>
      <c r="G468" s="0" t="n">
        <v>23.48</v>
      </c>
      <c r="H468" s="0" t="n">
        <v>77.62</v>
      </c>
      <c r="I468" s="0" t="n">
        <v>18.06</v>
      </c>
      <c r="J468" s="0" t="n">
        <v>59.72</v>
      </c>
      <c r="K468" s="0" t="n">
        <v>26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77</v>
      </c>
      <c r="X468" s="0" t="n">
        <v>13</v>
      </c>
      <c r="Y468" s="0" t="n">
        <v>8</v>
      </c>
      <c r="Z468" s="0" t="inlineStr">
        <is>
          <t>https://new.land.naver.com/complexes/8845?tab=detail&amp;rf=Y</t>
        </is>
      </c>
      <c r="AA468" s="0" t="inlineStr">
        <is>
          <t>인천시 남동구 간석동 934</t>
        </is>
      </c>
      <c r="AB468" s="0" t="inlineStr">
        <is>
          <t>인천시</t>
        </is>
      </c>
      <c r="AC468" s="0" t="inlineStr">
        <is>
          <t>남동구</t>
        </is>
      </c>
      <c r="AD468" s="0" t="inlineStr">
        <is>
          <t>간석동</t>
        </is>
      </c>
      <c r="AG468" s="0" t="inlineStr">
        <is>
          <t>인천시 남동구 용천로176번길 109</t>
        </is>
      </c>
      <c r="AH468" s="0" t="n">
        <v>0</v>
      </c>
      <c r="AI468" s="0" t="n">
        <v>0</v>
      </c>
      <c r="AJ468" s="0" t="n">
        <v>0</v>
      </c>
      <c r="AK468" s="0" t="n">
        <v>180</v>
      </c>
      <c r="AL468" s="0" t="n">
        <v>1</v>
      </c>
    </row>
    <row r="469">
      <c r="A469" s="0" t="inlineStr">
        <is>
          <t>[간석동]</t>
        </is>
      </c>
      <c r="B469" s="0" t="n">
        <v>8845</v>
      </c>
      <c r="C469" s="0" t="n">
        <v>2</v>
      </c>
      <c r="D469" s="0" t="inlineStr">
        <is>
          <t>이삭</t>
        </is>
      </c>
      <c r="E469" s="0" t="inlineStr">
        <is>
          <t>1999.09.</t>
        </is>
      </c>
      <c r="F469" s="0" t="n">
        <v>180</v>
      </c>
      <c r="G469" s="0" t="n">
        <v>24.76</v>
      </c>
      <c r="H469" s="0" t="n">
        <v>81.88</v>
      </c>
      <c r="I469" s="0" t="n">
        <v>18.06</v>
      </c>
      <c r="J469" s="0" t="n">
        <v>59.72</v>
      </c>
      <c r="K469" s="0" t="n">
        <v>21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81B</t>
        </is>
      </c>
      <c r="X469" s="0" t="n">
        <v>13</v>
      </c>
      <c r="Y469" s="0" t="n">
        <v>8</v>
      </c>
      <c r="Z469" s="0" t="inlineStr">
        <is>
          <t>https://new.land.naver.com/complexes/8845?tab=detail&amp;rf=Y</t>
        </is>
      </c>
      <c r="AA469" s="0" t="inlineStr">
        <is>
          <t>인천시 남동구 간석동 934</t>
        </is>
      </c>
      <c r="AB469" s="0" t="inlineStr">
        <is>
          <t>인천시</t>
        </is>
      </c>
      <c r="AC469" s="0" t="inlineStr">
        <is>
          <t>남동구</t>
        </is>
      </c>
      <c r="AD469" s="0" t="inlineStr">
        <is>
          <t>간석동</t>
        </is>
      </c>
      <c r="AG469" s="0" t="inlineStr">
        <is>
          <t>인천시 남동구 용천로176번길 109</t>
        </is>
      </c>
      <c r="AH469" s="0" t="n">
        <v>0</v>
      </c>
      <c r="AI469" s="0" t="n">
        <v>0</v>
      </c>
      <c r="AJ469" s="0" t="n">
        <v>0</v>
      </c>
      <c r="AK469" s="0" t="n">
        <v>180</v>
      </c>
      <c r="AL469" s="0" t="n">
        <v>1</v>
      </c>
    </row>
    <row r="470">
      <c r="A470" s="0" t="inlineStr">
        <is>
          <t>[간석동]</t>
        </is>
      </c>
      <c r="B470" s="0" t="n">
        <v>8845</v>
      </c>
      <c r="C470" s="0" t="n">
        <v>3</v>
      </c>
      <c r="D470" s="0" t="inlineStr">
        <is>
          <t>이삭</t>
        </is>
      </c>
      <c r="E470" s="0" t="inlineStr">
        <is>
          <t>1999.09.</t>
        </is>
      </c>
      <c r="F470" s="0" t="n">
        <v>180</v>
      </c>
      <c r="G470" s="0" t="n">
        <v>24.59</v>
      </c>
      <c r="H470" s="0" t="n">
        <v>81.3</v>
      </c>
      <c r="I470" s="0" t="n">
        <v>18.06</v>
      </c>
      <c r="J470" s="0" t="n">
        <v>59.72</v>
      </c>
      <c r="K470" s="0" t="n">
        <v>16</v>
      </c>
      <c r="T470" s="0" t="n">
        <v>3</v>
      </c>
      <c r="U470" s="0" t="n">
        <v>1</v>
      </c>
      <c r="V470" s="0" t="inlineStr">
        <is>
          <t>계단식</t>
        </is>
      </c>
      <c r="W470" s="0" t="inlineStr">
        <is>
          <t>81A</t>
        </is>
      </c>
      <c r="X470" s="0" t="n">
        <v>13</v>
      </c>
      <c r="Y470" s="0" t="n">
        <v>8</v>
      </c>
      <c r="Z470" s="0" t="inlineStr">
        <is>
          <t>https://new.land.naver.com/complexes/8845?tab=detail&amp;rf=Y</t>
        </is>
      </c>
      <c r="AA470" s="0" t="inlineStr">
        <is>
          <t>인천시 남동구 간석동 934</t>
        </is>
      </c>
      <c r="AB470" s="0" t="inlineStr">
        <is>
          <t>인천시</t>
        </is>
      </c>
      <c r="AC470" s="0" t="inlineStr">
        <is>
          <t>남동구</t>
        </is>
      </c>
      <c r="AD470" s="0" t="inlineStr">
        <is>
          <t>간석동</t>
        </is>
      </c>
      <c r="AG470" s="0" t="inlineStr">
        <is>
          <t>인천시 남동구 용천로176번길 109</t>
        </is>
      </c>
      <c r="AH470" s="0" t="n">
        <v>0</v>
      </c>
      <c r="AI470" s="0" t="n">
        <v>0</v>
      </c>
      <c r="AJ470" s="0" t="n">
        <v>0</v>
      </c>
      <c r="AK470" s="0" t="n">
        <v>180</v>
      </c>
      <c r="AL470" s="0" t="n">
        <v>1</v>
      </c>
    </row>
    <row r="471">
      <c r="A471" s="0" t="inlineStr">
        <is>
          <t>[간석동]</t>
        </is>
      </c>
      <c r="B471" s="0" t="n">
        <v>8845</v>
      </c>
      <c r="C471" s="0" t="n">
        <v>4</v>
      </c>
      <c r="D471" s="0" t="inlineStr">
        <is>
          <t>이삭</t>
        </is>
      </c>
      <c r="E471" s="0" t="inlineStr">
        <is>
          <t>1999.09.</t>
        </is>
      </c>
      <c r="F471" s="0" t="n">
        <v>180</v>
      </c>
      <c r="G471" s="0" t="n">
        <v>31.59</v>
      </c>
      <c r="H471" s="0" t="n">
        <v>104.46</v>
      </c>
      <c r="I471" s="0" t="n">
        <v>25.6</v>
      </c>
      <c r="J471" s="0" t="n">
        <v>84.66</v>
      </c>
      <c r="K471" s="0" t="n">
        <v>78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104</v>
      </c>
      <c r="X471" s="0" t="n">
        <v>13</v>
      </c>
      <c r="Y471" s="0" t="n">
        <v>8</v>
      </c>
      <c r="Z471" s="0" t="inlineStr">
        <is>
          <t>https://new.land.naver.com/complexes/8845?tab=detail&amp;rf=Y</t>
        </is>
      </c>
      <c r="AA471" s="0" t="inlineStr">
        <is>
          <t>인천시 남동구 간석동 934</t>
        </is>
      </c>
      <c r="AB471" s="0" t="inlineStr">
        <is>
          <t>인천시</t>
        </is>
      </c>
      <c r="AC471" s="0" t="inlineStr">
        <is>
          <t>남동구</t>
        </is>
      </c>
      <c r="AD471" s="0" t="inlineStr">
        <is>
          <t>간석동</t>
        </is>
      </c>
      <c r="AG471" s="0" t="inlineStr">
        <is>
          <t>인천시 남동구 용천로176번길 109</t>
        </is>
      </c>
      <c r="AH471" s="0" t="n">
        <v>0</v>
      </c>
      <c r="AI471" s="0" t="n">
        <v>0</v>
      </c>
      <c r="AJ471" s="0" t="n">
        <v>0</v>
      </c>
      <c r="AK471" s="0" t="n">
        <v>180</v>
      </c>
      <c r="AL471" s="0" t="n">
        <v>1</v>
      </c>
    </row>
    <row r="472">
      <c r="A472" s="0" t="inlineStr">
        <is>
          <t>[간석동]</t>
        </is>
      </c>
      <c r="B472" s="0" t="n">
        <v>8845</v>
      </c>
      <c r="C472" s="0" t="n">
        <v>5</v>
      </c>
      <c r="D472" s="0" t="inlineStr">
        <is>
          <t>이삭</t>
        </is>
      </c>
      <c r="E472" s="0" t="inlineStr">
        <is>
          <t>1999.09.</t>
        </is>
      </c>
      <c r="F472" s="0" t="n">
        <v>180</v>
      </c>
      <c r="G472" s="0" t="n">
        <v>39.09</v>
      </c>
      <c r="H472" s="0" t="n">
        <v>129.24</v>
      </c>
      <c r="I472" s="0" t="n">
        <v>32.55</v>
      </c>
      <c r="J472" s="0" t="n">
        <v>107.61</v>
      </c>
      <c r="K472" s="0" t="n">
        <v>26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129</v>
      </c>
      <c r="X472" s="0" t="n">
        <v>13</v>
      </c>
      <c r="Y472" s="0" t="n">
        <v>8</v>
      </c>
      <c r="Z472" s="0" t="inlineStr">
        <is>
          <t>https://new.land.naver.com/complexes/8845?tab=detail&amp;rf=Y</t>
        </is>
      </c>
      <c r="AA472" s="0" t="inlineStr">
        <is>
          <t>인천시 남동구 간석동 934</t>
        </is>
      </c>
      <c r="AB472" s="0" t="inlineStr">
        <is>
          <t>인천시</t>
        </is>
      </c>
      <c r="AC472" s="0" t="inlineStr">
        <is>
          <t>남동구</t>
        </is>
      </c>
      <c r="AD472" s="0" t="inlineStr">
        <is>
          <t>간석동</t>
        </is>
      </c>
      <c r="AG472" s="0" t="inlineStr">
        <is>
          <t>인천시 남동구 용천로176번길 109</t>
        </is>
      </c>
      <c r="AH472" s="0" t="n">
        <v>0</v>
      </c>
      <c r="AI472" s="0" t="n">
        <v>0</v>
      </c>
      <c r="AJ472" s="0" t="n">
        <v>0</v>
      </c>
      <c r="AK472" s="0" t="n">
        <v>180</v>
      </c>
      <c r="AL472" s="0" t="n">
        <v>1</v>
      </c>
    </row>
    <row r="473">
      <c r="A473" s="0" t="inlineStr">
        <is>
          <t>[간석동]</t>
        </is>
      </c>
      <c r="B473" s="0" t="n">
        <v>8845</v>
      </c>
      <c r="C473" s="0" t="n">
        <v>6</v>
      </c>
      <c r="D473" s="0" t="inlineStr">
        <is>
          <t>이삭</t>
        </is>
      </c>
      <c r="E473" s="0" t="inlineStr">
        <is>
          <t>1999.09.</t>
        </is>
      </c>
      <c r="F473" s="0" t="n">
        <v>180</v>
      </c>
      <c r="G473" s="0" t="n">
        <v>44.37</v>
      </c>
      <c r="H473" s="0" t="n">
        <v>146.69</v>
      </c>
      <c r="I473" s="0" t="n">
        <v>33.8</v>
      </c>
      <c r="J473" s="0" t="n">
        <v>111.74</v>
      </c>
      <c r="K473" s="0" t="n">
        <v>13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146</v>
      </c>
      <c r="X473" s="0" t="n">
        <v>13</v>
      </c>
      <c r="Y473" s="0" t="n">
        <v>8</v>
      </c>
      <c r="Z473" s="0" t="inlineStr">
        <is>
          <t>https://new.land.naver.com/complexes/8845?tab=detail&amp;rf=Y</t>
        </is>
      </c>
      <c r="AA473" s="0" t="inlineStr">
        <is>
          <t>인천시 남동구 간석동 934</t>
        </is>
      </c>
      <c r="AB473" s="0" t="inlineStr">
        <is>
          <t>인천시</t>
        </is>
      </c>
      <c r="AC473" s="0" t="inlineStr">
        <is>
          <t>남동구</t>
        </is>
      </c>
      <c r="AD473" s="0" t="inlineStr">
        <is>
          <t>간석동</t>
        </is>
      </c>
      <c r="AG473" s="0" t="inlineStr">
        <is>
          <t>인천시 남동구 용천로176번길 109</t>
        </is>
      </c>
      <c r="AH473" s="0" t="n">
        <v>0</v>
      </c>
      <c r="AI473" s="0" t="n">
        <v>0</v>
      </c>
      <c r="AJ473" s="0" t="n">
        <v>0</v>
      </c>
      <c r="AK473" s="0" t="n">
        <v>180</v>
      </c>
      <c r="AL473" s="0" t="n">
        <v>1</v>
      </c>
    </row>
    <row r="474">
      <c r="A474" s="0" t="inlineStr">
        <is>
          <t>[간석동]</t>
        </is>
      </c>
      <c r="B474" s="0" t="n">
        <v>124587</v>
      </c>
      <c r="C474" s="0" t="n">
        <v>1</v>
      </c>
      <c r="D474" s="0" t="inlineStr">
        <is>
          <t>메르디앙</t>
        </is>
      </c>
      <c r="E474" s="0" t="inlineStr">
        <is>
          <t>2018.12.</t>
        </is>
      </c>
      <c r="F474" s="0" t="n">
        <v>9</v>
      </c>
      <c r="G474" s="0" t="n">
        <v>20.01</v>
      </c>
      <c r="H474" s="0" t="n">
        <v>66.16</v>
      </c>
      <c r="I474" s="0" t="n">
        <v>16.24</v>
      </c>
      <c r="J474" s="0" t="n">
        <v>53.7</v>
      </c>
      <c r="K474" s="0" t="n">
        <v>6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66</v>
      </c>
      <c r="X474" s="0" t="n">
        <v>18</v>
      </c>
      <c r="Y474" s="0" t="n">
        <v>18</v>
      </c>
      <c r="Z474" s="0" t="inlineStr">
        <is>
          <t>https://new.land.naver.com/complexes/124587?tab=detail&amp;rf=Y</t>
        </is>
      </c>
      <c r="AA474" s="0" t="inlineStr">
        <is>
          <t>인천시 남동구 간석동 95-1</t>
        </is>
      </c>
      <c r="AB474" s="0" t="inlineStr">
        <is>
          <t>인천시</t>
        </is>
      </c>
      <c r="AC474" s="0" t="inlineStr">
        <is>
          <t>남동구</t>
        </is>
      </c>
      <c r="AD474" s="0" t="inlineStr">
        <is>
          <t>간석동</t>
        </is>
      </c>
      <c r="AG474" s="0" t="inlineStr">
        <is>
          <t>인천시 남동구 백범로352번길 30</t>
        </is>
      </c>
      <c r="AH474" s="0" t="n">
        <v>0</v>
      </c>
      <c r="AI474" s="0" t="n">
        <v>949</v>
      </c>
      <c r="AJ474" s="0" t="n">
        <v>70</v>
      </c>
      <c r="AK474" s="0" t="n">
        <v>9</v>
      </c>
      <c r="AL474" s="0" t="n">
        <v>1</v>
      </c>
    </row>
    <row r="475">
      <c r="A475" s="0" t="inlineStr">
        <is>
          <t>[간석동]</t>
        </is>
      </c>
      <c r="B475" s="0" t="n">
        <v>124587</v>
      </c>
      <c r="C475" s="0" t="n">
        <v>2</v>
      </c>
      <c r="D475" s="0" t="inlineStr">
        <is>
          <t>메르디앙</t>
        </is>
      </c>
      <c r="E475" s="0" t="inlineStr">
        <is>
          <t>2018.12.</t>
        </is>
      </c>
      <c r="F475" s="0" t="n">
        <v>9</v>
      </c>
      <c r="G475" s="0" t="n">
        <v>22.9</v>
      </c>
      <c r="H475" s="0" t="n">
        <v>75.73</v>
      </c>
      <c r="I475" s="0" t="n">
        <v>18.85</v>
      </c>
      <c r="J475" s="0" t="n">
        <v>62.33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75</v>
      </c>
      <c r="X475" s="0" t="n">
        <v>18</v>
      </c>
      <c r="Y475" s="0" t="n">
        <v>18</v>
      </c>
      <c r="Z475" s="0" t="inlineStr">
        <is>
          <t>https://new.land.naver.com/complexes/124587?tab=detail&amp;rf=Y</t>
        </is>
      </c>
      <c r="AA475" s="0" t="inlineStr">
        <is>
          <t>인천시 남동구 간석동 95-1</t>
        </is>
      </c>
      <c r="AB475" s="0" t="inlineStr">
        <is>
          <t>인천시</t>
        </is>
      </c>
      <c r="AC475" s="0" t="inlineStr">
        <is>
          <t>남동구</t>
        </is>
      </c>
      <c r="AD475" s="0" t="inlineStr">
        <is>
          <t>간석동</t>
        </is>
      </c>
      <c r="AG475" s="0" t="inlineStr">
        <is>
          <t>인천시 남동구 백범로352번길 30</t>
        </is>
      </c>
      <c r="AH475" s="0" t="n">
        <v>0</v>
      </c>
      <c r="AI475" s="0" t="n">
        <v>949</v>
      </c>
      <c r="AJ475" s="0" t="n">
        <v>70</v>
      </c>
      <c r="AK475" s="0" t="n">
        <v>9</v>
      </c>
      <c r="AL475" s="0" t="n">
        <v>1</v>
      </c>
    </row>
    <row r="476">
      <c r="A476" s="0" t="inlineStr">
        <is>
          <t>[간석동]</t>
        </is>
      </c>
      <c r="B476" s="0" t="n">
        <v>125677</v>
      </c>
      <c r="C476" s="0" t="n">
        <v>1</v>
      </c>
      <c r="D476" s="0" t="inlineStr">
        <is>
          <t>세인트원(도시형)</t>
        </is>
      </c>
      <c r="E476" s="0" t="inlineStr">
        <is>
          <t>2019.01.</t>
        </is>
      </c>
      <c r="F476" s="0" t="n">
        <v>28</v>
      </c>
      <c r="G476" s="0" t="n">
        <v>18.32</v>
      </c>
      <c r="H476" s="0" t="n">
        <v>60.59</v>
      </c>
      <c r="I476" s="0" t="n">
        <v>14.85</v>
      </c>
      <c r="J476" s="0" t="n">
        <v>49.11</v>
      </c>
      <c r="K476" s="0" t="n">
        <v>13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60A</t>
        </is>
      </c>
      <c r="X476" s="0" t="n">
        <v>15</v>
      </c>
      <c r="Y476" s="0" t="n">
        <v>15</v>
      </c>
      <c r="Z476" s="0" t="inlineStr">
        <is>
          <t>https://new.land.naver.com/complexes/125677?tab=detail&amp;rf=Y</t>
        </is>
      </c>
      <c r="AA476" s="0" t="inlineStr">
        <is>
          <t>인천시 남동구 간석동 318-1</t>
        </is>
      </c>
      <c r="AB476" s="0" t="inlineStr">
        <is>
          <t>인천시</t>
        </is>
      </c>
      <c r="AC476" s="0" t="inlineStr">
        <is>
          <t>남동구</t>
        </is>
      </c>
      <c r="AD476" s="0" t="inlineStr">
        <is>
          <t>간석동</t>
        </is>
      </c>
      <c r="AG476" s="0" t="inlineStr">
        <is>
          <t>인천시 남동구 경인로 610</t>
        </is>
      </c>
      <c r="AH476" s="0" t="n">
        <v>0</v>
      </c>
      <c r="AI476" s="0" t="n">
        <v>688</v>
      </c>
      <c r="AJ476" s="0" t="n">
        <v>63</v>
      </c>
      <c r="AK476" s="0" t="n">
        <v>27</v>
      </c>
      <c r="AL476" s="0" t="n">
        <v>0.96</v>
      </c>
    </row>
    <row r="477">
      <c r="A477" s="0" t="inlineStr">
        <is>
          <t>[간석동]</t>
        </is>
      </c>
      <c r="B477" s="0" t="n">
        <v>125677</v>
      </c>
      <c r="C477" s="0" t="n">
        <v>2</v>
      </c>
      <c r="D477" s="0" t="inlineStr">
        <is>
          <t>세인트원(도시형)</t>
        </is>
      </c>
      <c r="E477" s="0" t="inlineStr">
        <is>
          <t>2019.01.</t>
        </is>
      </c>
      <c r="F477" s="0" t="n">
        <v>28</v>
      </c>
      <c r="G477" s="0" t="n">
        <v>18.37</v>
      </c>
      <c r="H477" s="0" t="n">
        <v>60.73</v>
      </c>
      <c r="I477" s="0" t="n">
        <v>14.88</v>
      </c>
      <c r="J477" s="0" t="n">
        <v>49.21</v>
      </c>
      <c r="K477" s="0" t="n">
        <v>1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60B</t>
        </is>
      </c>
      <c r="X477" s="0" t="n">
        <v>15</v>
      </c>
      <c r="Y477" s="0" t="n">
        <v>15</v>
      </c>
      <c r="Z477" s="0" t="inlineStr">
        <is>
          <t>https://new.land.naver.com/complexes/125677?tab=detail&amp;rf=Y</t>
        </is>
      </c>
      <c r="AA477" s="0" t="inlineStr">
        <is>
          <t>인천시 남동구 간석동 318-1</t>
        </is>
      </c>
      <c r="AB477" s="0" t="inlineStr">
        <is>
          <t>인천시</t>
        </is>
      </c>
      <c r="AC477" s="0" t="inlineStr">
        <is>
          <t>남동구</t>
        </is>
      </c>
      <c r="AD477" s="0" t="inlineStr">
        <is>
          <t>간석동</t>
        </is>
      </c>
      <c r="AG477" s="0" t="inlineStr">
        <is>
          <t>인천시 남동구 경인로 610</t>
        </is>
      </c>
      <c r="AH477" s="0" t="n">
        <v>0</v>
      </c>
      <c r="AI477" s="0" t="n">
        <v>688</v>
      </c>
      <c r="AJ477" s="0" t="n">
        <v>63</v>
      </c>
      <c r="AK477" s="0" t="n">
        <v>27</v>
      </c>
      <c r="AL477" s="0" t="n">
        <v>0.96</v>
      </c>
    </row>
    <row r="478">
      <c r="A478" s="0" t="inlineStr">
        <is>
          <t>[간석동]</t>
        </is>
      </c>
      <c r="B478" s="0" t="n">
        <v>125677</v>
      </c>
      <c r="C478" s="0" t="n">
        <v>3</v>
      </c>
      <c r="D478" s="0" t="inlineStr">
        <is>
          <t>세인트원(도시형)</t>
        </is>
      </c>
      <c r="E478" s="0" t="inlineStr">
        <is>
          <t>2019.01.</t>
        </is>
      </c>
      <c r="F478" s="0" t="n">
        <v>28</v>
      </c>
      <c r="G478" s="0" t="n">
        <v>18.6</v>
      </c>
      <c r="H478" s="0" t="n">
        <v>61.49</v>
      </c>
      <c r="I478" s="0" t="n">
        <v>15.04</v>
      </c>
      <c r="J478" s="0" t="n">
        <v>49.72</v>
      </c>
      <c r="K478" s="0" t="n">
        <v>14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61</v>
      </c>
      <c r="X478" s="0" t="n">
        <v>15</v>
      </c>
      <c r="Y478" s="0" t="n">
        <v>15</v>
      </c>
      <c r="Z478" s="0" t="inlineStr">
        <is>
          <t>https://new.land.naver.com/complexes/125677?tab=detail&amp;rf=Y</t>
        </is>
      </c>
      <c r="AA478" s="0" t="inlineStr">
        <is>
          <t>인천시 남동구 간석동 318-1</t>
        </is>
      </c>
      <c r="AB478" s="0" t="inlineStr">
        <is>
          <t>인천시</t>
        </is>
      </c>
      <c r="AC478" s="0" t="inlineStr">
        <is>
          <t>남동구</t>
        </is>
      </c>
      <c r="AD478" s="0" t="inlineStr">
        <is>
          <t>간석동</t>
        </is>
      </c>
      <c r="AG478" s="0" t="inlineStr">
        <is>
          <t>인천시 남동구 경인로 610</t>
        </is>
      </c>
      <c r="AH478" s="0" t="n">
        <v>0</v>
      </c>
      <c r="AI478" s="0" t="n">
        <v>688</v>
      </c>
      <c r="AJ478" s="0" t="n">
        <v>63</v>
      </c>
      <c r="AK478" s="0" t="n">
        <v>27</v>
      </c>
      <c r="AL478" s="0" t="n">
        <v>0.96</v>
      </c>
    </row>
    <row r="479">
      <c r="A479" s="0" t="inlineStr">
        <is>
          <t>[간석동]</t>
        </is>
      </c>
      <c r="B479" s="0" t="n">
        <v>133096</v>
      </c>
      <c r="C479" s="0" t="n">
        <v>1</v>
      </c>
      <c r="D479" s="0" t="inlineStr">
        <is>
          <t>퍼플하임</t>
        </is>
      </c>
      <c r="E479" s="0" t="inlineStr">
        <is>
          <t>2020.01.</t>
        </is>
      </c>
      <c r="F479" s="0" t="n">
        <v>14</v>
      </c>
      <c r="G479" s="0" t="n">
        <v>24.4</v>
      </c>
      <c r="H479" s="0" t="n">
        <v>80.69</v>
      </c>
      <c r="I479" s="0" t="n">
        <v>19.81</v>
      </c>
      <c r="J479" s="0" t="n">
        <v>65.5</v>
      </c>
      <c r="K479" s="0" t="n">
        <v>8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80</v>
      </c>
      <c r="X479" s="0" t="n">
        <v>15</v>
      </c>
      <c r="Y479" s="0" t="n">
        <v>15</v>
      </c>
      <c r="Z479" s="0" t="inlineStr">
        <is>
          <t>https://new.land.naver.com/complexes/133096?tab=detail&amp;rf=Y</t>
        </is>
      </c>
      <c r="AA479" s="0" t="inlineStr">
        <is>
          <t>인천시 남동구 간석동 125-7</t>
        </is>
      </c>
      <c r="AB479" s="0" t="inlineStr">
        <is>
          <t>인천시</t>
        </is>
      </c>
      <c r="AC479" s="0" t="inlineStr">
        <is>
          <t>남동구</t>
        </is>
      </c>
      <c r="AD479" s="0" t="inlineStr">
        <is>
          <t>간석동</t>
        </is>
      </c>
      <c r="AG479" s="0" t="inlineStr">
        <is>
          <t>인천시 남동구 용천로153번길 33</t>
        </is>
      </c>
      <c r="AH479" s="0" t="n">
        <v>0</v>
      </c>
      <c r="AI479" s="0" t="n">
        <v>799</v>
      </c>
      <c r="AJ479" s="0" t="n">
        <v>74</v>
      </c>
      <c r="AK479" s="0" t="n">
        <v>14</v>
      </c>
      <c r="AL479" s="0" t="n">
        <v>1</v>
      </c>
    </row>
    <row r="480">
      <c r="A480" s="0" t="inlineStr">
        <is>
          <t>[간석동]</t>
        </is>
      </c>
      <c r="B480" s="0" t="n">
        <v>133096</v>
      </c>
      <c r="C480" s="0" t="n">
        <v>2</v>
      </c>
      <c r="D480" s="0" t="inlineStr">
        <is>
          <t>퍼플하임</t>
        </is>
      </c>
      <c r="E480" s="0" t="inlineStr">
        <is>
          <t>2020.01.</t>
        </is>
      </c>
      <c r="F480" s="0" t="n">
        <v>14</v>
      </c>
      <c r="G480" s="0" t="n">
        <v>24.54</v>
      </c>
      <c r="H480" s="0" t="n">
        <v>81.13</v>
      </c>
      <c r="I480" s="0" t="n">
        <v>19.97</v>
      </c>
      <c r="J480" s="0" t="n">
        <v>66.04000000000001</v>
      </c>
      <c r="K480" s="0" t="n">
        <v>6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81</v>
      </c>
      <c r="X480" s="0" t="n">
        <v>15</v>
      </c>
      <c r="Y480" s="0" t="n">
        <v>15</v>
      </c>
      <c r="Z480" s="0" t="inlineStr">
        <is>
          <t>https://new.land.naver.com/complexes/133096?tab=detail&amp;rf=Y</t>
        </is>
      </c>
      <c r="AA480" s="0" t="inlineStr">
        <is>
          <t>인천시 남동구 간석동 125-7</t>
        </is>
      </c>
      <c r="AB480" s="0" t="inlineStr">
        <is>
          <t>인천시</t>
        </is>
      </c>
      <c r="AC480" s="0" t="inlineStr">
        <is>
          <t>남동구</t>
        </is>
      </c>
      <c r="AD480" s="0" t="inlineStr">
        <is>
          <t>간석동</t>
        </is>
      </c>
      <c r="AG480" s="0" t="inlineStr">
        <is>
          <t>인천시 남동구 용천로153번길 33</t>
        </is>
      </c>
      <c r="AH480" s="0" t="n">
        <v>0</v>
      </c>
      <c r="AI480" s="0" t="n">
        <v>799</v>
      </c>
      <c r="AJ480" s="0" t="n">
        <v>74</v>
      </c>
      <c r="AK480" s="0" t="n">
        <v>14</v>
      </c>
      <c r="AL480" s="0" t="n">
        <v>1</v>
      </c>
    </row>
    <row r="481">
      <c r="A481" s="0" t="inlineStr">
        <is>
          <t>[간석동]</t>
        </is>
      </c>
      <c r="B481" s="0" t="n">
        <v>121236</v>
      </c>
      <c r="C481" s="0" t="n">
        <v>1</v>
      </c>
      <c r="D481" s="0" t="inlineStr">
        <is>
          <t>해냄스토리1</t>
        </is>
      </c>
      <c r="E481" s="0" t="inlineStr">
        <is>
          <t>2018.05.</t>
        </is>
      </c>
      <c r="F481" s="0" t="n">
        <v>28</v>
      </c>
      <c r="G481" s="0" t="n">
        <v>20.93</v>
      </c>
      <c r="H481" s="0" t="n">
        <v>69.20999999999999</v>
      </c>
      <c r="I481" s="0" t="n">
        <v>18.92</v>
      </c>
      <c r="J481" s="0" t="n">
        <v>62.56</v>
      </c>
      <c r="K481" s="0" t="n">
        <v>28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69</v>
      </c>
      <c r="X481" s="0" t="n">
        <v>15</v>
      </c>
      <c r="Y481" s="0" t="n">
        <v>15</v>
      </c>
      <c r="Z481" s="0" t="inlineStr">
        <is>
          <t>https://new.land.naver.com/complexes/121236?tab=detail&amp;rf=Y</t>
        </is>
      </c>
      <c r="AA481" s="0" t="inlineStr">
        <is>
          <t>인천시 남동구 간석동 383-18</t>
        </is>
      </c>
      <c r="AB481" s="0" t="inlineStr">
        <is>
          <t>인천시</t>
        </is>
      </c>
      <c r="AC481" s="0" t="inlineStr">
        <is>
          <t>남동구</t>
        </is>
      </c>
      <c r="AD481" s="0" t="inlineStr">
        <is>
          <t>간석동</t>
        </is>
      </c>
      <c r="AG481" s="0" t="inlineStr">
        <is>
          <t>인천시 남동구 주안로259번길 6</t>
        </is>
      </c>
      <c r="AH481" s="0" t="n">
        <v>0</v>
      </c>
      <c r="AI481" s="0" t="n">
        <v>249</v>
      </c>
      <c r="AJ481" s="0" t="n">
        <v>47</v>
      </c>
      <c r="AK481" s="0" t="n">
        <v>24</v>
      </c>
      <c r="AL481" s="0" t="n">
        <v>0.86</v>
      </c>
    </row>
    <row r="482">
      <c r="A482" s="0" t="inlineStr">
        <is>
          <t>[간석동]</t>
        </is>
      </c>
      <c r="B482" s="0" t="n">
        <v>19586</v>
      </c>
      <c r="C482" s="0" t="n">
        <v>1</v>
      </c>
      <c r="D482" s="0" t="inlineStr">
        <is>
          <t>광성</t>
        </is>
      </c>
      <c r="E482" s="0" t="inlineStr">
        <is>
          <t>2002.08.</t>
        </is>
      </c>
      <c r="F482" s="0" t="n">
        <v>12</v>
      </c>
      <c r="G482" s="0" t="n">
        <v>11.76</v>
      </c>
      <c r="H482" s="0" t="n">
        <v>38.89</v>
      </c>
      <c r="I482" s="0" t="n">
        <v>10.6</v>
      </c>
      <c r="J482" s="0" t="n">
        <v>35.06</v>
      </c>
      <c r="K482" s="0" t="n">
        <v>3</v>
      </c>
      <c r="T482" s="0" t="n">
        <v>1</v>
      </c>
      <c r="U482" s="0" t="n">
        <v>1</v>
      </c>
      <c r="V482" s="0" t="inlineStr">
        <is>
          <t>복합식</t>
        </is>
      </c>
      <c r="W482" s="0" t="inlineStr">
        <is>
          <t>38B</t>
        </is>
      </c>
      <c r="X482" s="0" t="n">
        <v>5</v>
      </c>
      <c r="Y482" s="0" t="n">
        <v>5</v>
      </c>
      <c r="Z482" s="0" t="inlineStr">
        <is>
          <t>https://new.land.naver.com/complexes/19586?tab=detail&amp;rf=Y</t>
        </is>
      </c>
      <c r="AA482" s="0" t="inlineStr">
        <is>
          <t>인천시 남동구 간석동 99-4</t>
        </is>
      </c>
      <c r="AB482" s="0" t="inlineStr">
        <is>
          <t>인천시</t>
        </is>
      </c>
      <c r="AC482" s="0" t="inlineStr">
        <is>
          <t>남동구</t>
        </is>
      </c>
      <c r="AD482" s="0" t="inlineStr">
        <is>
          <t>간석동</t>
        </is>
      </c>
      <c r="AG482" s="0" t="inlineStr">
        <is>
          <t>인천시 남동구 간석로42번길 15</t>
        </is>
      </c>
      <c r="AH482" s="0" t="n">
        <v>0</v>
      </c>
      <c r="AI482" s="0" t="n">
        <v>301</v>
      </c>
      <c r="AJ482" s="0" t="n">
        <v>73</v>
      </c>
      <c r="AK482" s="0" t="n">
        <v>5</v>
      </c>
      <c r="AL482" s="0" t="n">
        <v>0.42</v>
      </c>
    </row>
    <row r="483">
      <c r="A483" s="0" t="inlineStr">
        <is>
          <t>[간석동]</t>
        </is>
      </c>
      <c r="B483" s="0" t="n">
        <v>19586</v>
      </c>
      <c r="C483" s="0" t="n">
        <v>2</v>
      </c>
      <c r="D483" s="0" t="inlineStr">
        <is>
          <t>광성</t>
        </is>
      </c>
      <c r="E483" s="0" t="inlineStr">
        <is>
          <t>2002.08.</t>
        </is>
      </c>
      <c r="F483" s="0" t="n">
        <v>12</v>
      </c>
      <c r="G483" s="0" t="n">
        <v>11.69</v>
      </c>
      <c r="H483" s="0" t="n">
        <v>38.65</v>
      </c>
      <c r="I483" s="0" t="n">
        <v>10.53</v>
      </c>
      <c r="J483" s="0" t="n">
        <v>34.84</v>
      </c>
      <c r="K483" s="0" t="n">
        <v>1</v>
      </c>
      <c r="T483" s="0" t="n">
        <v>1</v>
      </c>
      <c r="U483" s="0" t="n">
        <v>1</v>
      </c>
      <c r="V483" s="0" t="inlineStr">
        <is>
          <t>복합식</t>
        </is>
      </c>
      <c r="W483" s="0" t="inlineStr">
        <is>
          <t>38A</t>
        </is>
      </c>
      <c r="X483" s="0" t="n">
        <v>5</v>
      </c>
      <c r="Y483" s="0" t="n">
        <v>5</v>
      </c>
      <c r="Z483" s="0" t="inlineStr">
        <is>
          <t>https://new.land.naver.com/complexes/19586?tab=detail&amp;rf=Y</t>
        </is>
      </c>
      <c r="AA483" s="0" t="inlineStr">
        <is>
          <t>인천시 남동구 간석동 99-4</t>
        </is>
      </c>
      <c r="AB483" s="0" t="inlineStr">
        <is>
          <t>인천시</t>
        </is>
      </c>
      <c r="AC483" s="0" t="inlineStr">
        <is>
          <t>남동구</t>
        </is>
      </c>
      <c r="AD483" s="0" t="inlineStr">
        <is>
          <t>간석동</t>
        </is>
      </c>
      <c r="AG483" s="0" t="inlineStr">
        <is>
          <t>인천시 남동구 간석로42번길 15</t>
        </is>
      </c>
      <c r="AH483" s="0" t="n">
        <v>0</v>
      </c>
      <c r="AI483" s="0" t="n">
        <v>301</v>
      </c>
      <c r="AJ483" s="0" t="n">
        <v>73</v>
      </c>
      <c r="AK483" s="0" t="n">
        <v>5</v>
      </c>
      <c r="AL483" s="0" t="n">
        <v>0.42</v>
      </c>
    </row>
    <row r="484">
      <c r="A484" s="0" t="inlineStr">
        <is>
          <t>[간석동]</t>
        </is>
      </c>
      <c r="B484" s="0" t="n">
        <v>19586</v>
      </c>
      <c r="C484" s="0" t="n">
        <v>3</v>
      </c>
      <c r="D484" s="0" t="inlineStr">
        <is>
          <t>광성</t>
        </is>
      </c>
      <c r="E484" s="0" t="inlineStr">
        <is>
          <t>2002.08.</t>
        </is>
      </c>
      <c r="F484" s="0" t="n">
        <v>12</v>
      </c>
      <c r="G484" s="0" t="n">
        <v>15.37</v>
      </c>
      <c r="H484" s="0" t="n">
        <v>50.81</v>
      </c>
      <c r="I484" s="0" t="n">
        <v>13.85</v>
      </c>
      <c r="J484" s="0" t="n">
        <v>45.8</v>
      </c>
      <c r="K484" s="0" t="n">
        <v>1</v>
      </c>
      <c r="T484" s="0" t="n">
        <v>2</v>
      </c>
      <c r="U484" s="0" t="n">
        <v>1</v>
      </c>
      <c r="V484" s="0" t="inlineStr">
        <is>
          <t>복합식</t>
        </is>
      </c>
      <c r="W484" s="0" t="n">
        <v>50</v>
      </c>
      <c r="X484" s="0" t="n">
        <v>5</v>
      </c>
      <c r="Y484" s="0" t="n">
        <v>5</v>
      </c>
      <c r="Z484" s="0" t="inlineStr">
        <is>
          <t>https://new.land.naver.com/complexes/19586?tab=detail&amp;rf=Y</t>
        </is>
      </c>
      <c r="AA484" s="0" t="inlineStr">
        <is>
          <t>인천시 남동구 간석동 99-4</t>
        </is>
      </c>
      <c r="AB484" s="0" t="inlineStr">
        <is>
          <t>인천시</t>
        </is>
      </c>
      <c r="AC484" s="0" t="inlineStr">
        <is>
          <t>남동구</t>
        </is>
      </c>
      <c r="AD484" s="0" t="inlineStr">
        <is>
          <t>간석동</t>
        </is>
      </c>
      <c r="AG484" s="0" t="inlineStr">
        <is>
          <t>인천시 남동구 간석로42번길 15</t>
        </is>
      </c>
      <c r="AH484" s="0" t="n">
        <v>0</v>
      </c>
      <c r="AI484" s="0" t="n">
        <v>301</v>
      </c>
      <c r="AJ484" s="0" t="n">
        <v>73</v>
      </c>
      <c r="AK484" s="0" t="n">
        <v>5</v>
      </c>
      <c r="AL484" s="0" t="n">
        <v>0.42</v>
      </c>
    </row>
    <row r="485">
      <c r="A485" s="0" t="inlineStr">
        <is>
          <t>[간석동]</t>
        </is>
      </c>
      <c r="B485" s="0" t="n">
        <v>19586</v>
      </c>
      <c r="C485" s="0" t="n">
        <v>4</v>
      </c>
      <c r="D485" s="0" t="inlineStr">
        <is>
          <t>광성</t>
        </is>
      </c>
      <c r="E485" s="0" t="inlineStr">
        <is>
          <t>2002.08.</t>
        </is>
      </c>
      <c r="F485" s="0" t="n">
        <v>12</v>
      </c>
      <c r="G485" s="0" t="n">
        <v>15.73</v>
      </c>
      <c r="H485" s="0" t="n">
        <v>52.03</v>
      </c>
      <c r="I485" s="0" t="n">
        <v>14.18</v>
      </c>
      <c r="J485" s="0" t="n">
        <v>46.9</v>
      </c>
      <c r="K485" s="0" t="n">
        <v>3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52</v>
      </c>
      <c r="X485" s="0" t="n">
        <v>5</v>
      </c>
      <c r="Y485" s="0" t="n">
        <v>5</v>
      </c>
      <c r="Z485" s="0" t="inlineStr">
        <is>
          <t>https://new.land.naver.com/complexes/19586?tab=detail&amp;rf=Y</t>
        </is>
      </c>
      <c r="AA485" s="0" t="inlineStr">
        <is>
          <t>인천시 남동구 간석동 99-4</t>
        </is>
      </c>
      <c r="AB485" s="0" t="inlineStr">
        <is>
          <t>인천시</t>
        </is>
      </c>
      <c r="AC485" s="0" t="inlineStr">
        <is>
          <t>남동구</t>
        </is>
      </c>
      <c r="AD485" s="0" t="inlineStr">
        <is>
          <t>간석동</t>
        </is>
      </c>
      <c r="AG485" s="0" t="inlineStr">
        <is>
          <t>인천시 남동구 간석로42번길 15</t>
        </is>
      </c>
      <c r="AH485" s="0" t="n">
        <v>0</v>
      </c>
      <c r="AI485" s="0" t="n">
        <v>301</v>
      </c>
      <c r="AJ485" s="0" t="n">
        <v>73</v>
      </c>
      <c r="AK485" s="0" t="n">
        <v>5</v>
      </c>
      <c r="AL485" s="0" t="n">
        <v>0.42</v>
      </c>
    </row>
    <row r="486">
      <c r="A486" s="0" t="inlineStr">
        <is>
          <t>[간석동]</t>
        </is>
      </c>
      <c r="B486" s="0" t="n">
        <v>19586</v>
      </c>
      <c r="C486" s="0" t="n">
        <v>5</v>
      </c>
      <c r="D486" s="0" t="inlineStr">
        <is>
          <t>광성</t>
        </is>
      </c>
      <c r="E486" s="0" t="inlineStr">
        <is>
          <t>2002.08.</t>
        </is>
      </c>
      <c r="F486" s="0" t="n">
        <v>12</v>
      </c>
      <c r="G486" s="0" t="n">
        <v>17.39</v>
      </c>
      <c r="H486" s="0" t="n">
        <v>57.49</v>
      </c>
      <c r="I486" s="0" t="n">
        <v>15.67</v>
      </c>
      <c r="J486" s="0" t="n">
        <v>51.82</v>
      </c>
      <c r="K486" s="0" t="n">
        <v>1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57</v>
      </c>
      <c r="X486" s="0" t="n">
        <v>5</v>
      </c>
      <c r="Y486" s="0" t="n">
        <v>5</v>
      </c>
      <c r="Z486" s="0" t="inlineStr">
        <is>
          <t>https://new.land.naver.com/complexes/19586?tab=detail&amp;rf=Y</t>
        </is>
      </c>
      <c r="AA486" s="0" t="inlineStr">
        <is>
          <t>인천시 남동구 간석동 99-4</t>
        </is>
      </c>
      <c r="AB486" s="0" t="inlineStr">
        <is>
          <t>인천시</t>
        </is>
      </c>
      <c r="AC486" s="0" t="inlineStr">
        <is>
          <t>남동구</t>
        </is>
      </c>
      <c r="AD486" s="0" t="inlineStr">
        <is>
          <t>간석동</t>
        </is>
      </c>
      <c r="AG486" s="0" t="inlineStr">
        <is>
          <t>인천시 남동구 간석로42번길 15</t>
        </is>
      </c>
      <c r="AH486" s="0" t="n">
        <v>0</v>
      </c>
      <c r="AI486" s="0" t="n">
        <v>301</v>
      </c>
      <c r="AJ486" s="0" t="n">
        <v>73</v>
      </c>
      <c r="AK486" s="0" t="n">
        <v>5</v>
      </c>
      <c r="AL486" s="0" t="n">
        <v>0.42</v>
      </c>
    </row>
    <row r="487">
      <c r="A487" s="0" t="inlineStr">
        <is>
          <t>[간석동]</t>
        </is>
      </c>
      <c r="B487" s="0" t="n">
        <v>19586</v>
      </c>
      <c r="C487" s="0" t="n">
        <v>6</v>
      </c>
      <c r="D487" s="0" t="inlineStr">
        <is>
          <t>광성</t>
        </is>
      </c>
      <c r="E487" s="0" t="inlineStr">
        <is>
          <t>2002.08.</t>
        </is>
      </c>
      <c r="F487" s="0" t="n">
        <v>12</v>
      </c>
      <c r="G487" s="0" t="n">
        <v>18.84</v>
      </c>
      <c r="H487" s="0" t="n">
        <v>62.3</v>
      </c>
      <c r="I487" s="0" t="n">
        <v>16.98</v>
      </c>
      <c r="J487" s="0" t="n">
        <v>56.16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5</v>
      </c>
      <c r="Y487" s="0" t="n">
        <v>5</v>
      </c>
      <c r="Z487" s="0" t="inlineStr">
        <is>
          <t>https://new.land.naver.com/complexes/19586?tab=detail&amp;rf=Y</t>
        </is>
      </c>
      <c r="AA487" s="0" t="inlineStr">
        <is>
          <t>인천시 남동구 간석동 99-4</t>
        </is>
      </c>
      <c r="AB487" s="0" t="inlineStr">
        <is>
          <t>인천시</t>
        </is>
      </c>
      <c r="AC487" s="0" t="inlineStr">
        <is>
          <t>남동구</t>
        </is>
      </c>
      <c r="AD487" s="0" t="inlineStr">
        <is>
          <t>간석동</t>
        </is>
      </c>
      <c r="AG487" s="0" t="inlineStr">
        <is>
          <t>인천시 남동구 간석로42번길 15</t>
        </is>
      </c>
      <c r="AH487" s="0" t="n">
        <v>0</v>
      </c>
      <c r="AI487" s="0" t="n">
        <v>301</v>
      </c>
      <c r="AJ487" s="0" t="n">
        <v>73</v>
      </c>
      <c r="AK487" s="0" t="n">
        <v>5</v>
      </c>
      <c r="AL487" s="0" t="n">
        <v>0.42</v>
      </c>
    </row>
    <row r="488">
      <c r="A488" s="0" t="inlineStr">
        <is>
          <t>[간석동]</t>
        </is>
      </c>
      <c r="B488" s="0" t="n">
        <v>2559</v>
      </c>
      <c r="C488" s="0" t="n">
        <v>1</v>
      </c>
      <c r="D488" s="0" t="inlineStr">
        <is>
          <t>동원</t>
        </is>
      </c>
      <c r="E488" s="0" t="inlineStr">
        <is>
          <t>1996.03.</t>
        </is>
      </c>
      <c r="F488" s="0" t="n">
        <v>118</v>
      </c>
      <c r="G488" s="0" t="n">
        <v>24.76</v>
      </c>
      <c r="H488" s="0" t="n">
        <v>81.86</v>
      </c>
      <c r="I488" s="0" t="n">
        <v>18.1</v>
      </c>
      <c r="J488" s="0" t="n">
        <v>59.86</v>
      </c>
      <c r="K488" s="0" t="n">
        <v>48</v>
      </c>
      <c r="T488" s="0" t="n">
        <v>3</v>
      </c>
      <c r="U488" s="0" t="n">
        <v>1</v>
      </c>
      <c r="V488" s="0" t="inlineStr">
        <is>
          <t>복도식</t>
        </is>
      </c>
      <c r="W488" s="0" t="n">
        <v>81</v>
      </c>
      <c r="X488" s="0" t="n">
        <v>16</v>
      </c>
      <c r="Y488" s="0" t="n">
        <v>9</v>
      </c>
      <c r="Z488" s="0" t="inlineStr">
        <is>
          <t>https://new.land.naver.com/complexes/2559?tab=detail&amp;rf=Y</t>
        </is>
      </c>
      <c r="AA488" s="0" t="inlineStr">
        <is>
          <t>인천시 남동구 간석동 45-8</t>
        </is>
      </c>
      <c r="AB488" s="0" t="inlineStr">
        <is>
          <t>인천시</t>
        </is>
      </c>
      <c r="AC488" s="0" t="inlineStr">
        <is>
          <t>남동구</t>
        </is>
      </c>
      <c r="AD488" s="0" t="inlineStr">
        <is>
          <t>간석동</t>
        </is>
      </c>
      <c r="AG488" s="0" t="inlineStr">
        <is>
          <t>인천시 남동구 간석로66번길 29</t>
        </is>
      </c>
      <c r="AH488" s="0" t="n">
        <v>0</v>
      </c>
      <c r="AI488" s="0" t="n">
        <v>301</v>
      </c>
      <c r="AJ488" s="0" t="n">
        <v>21</v>
      </c>
      <c r="AK488" s="0" t="n">
        <v>76</v>
      </c>
      <c r="AL488" s="0" t="n">
        <v>0.64</v>
      </c>
    </row>
    <row r="489">
      <c r="A489" s="0" t="inlineStr">
        <is>
          <t>[간석동]</t>
        </is>
      </c>
      <c r="B489" s="0" t="n">
        <v>2559</v>
      </c>
      <c r="C489" s="0" t="n">
        <v>2</v>
      </c>
      <c r="D489" s="0" t="inlineStr">
        <is>
          <t>동원</t>
        </is>
      </c>
      <c r="E489" s="0" t="inlineStr">
        <is>
          <t>1996.03.</t>
        </is>
      </c>
      <c r="F489" s="0" t="n">
        <v>118</v>
      </c>
      <c r="G489" s="0" t="n">
        <v>25.86</v>
      </c>
      <c r="H489" s="0" t="n">
        <v>85.51000000000001</v>
      </c>
      <c r="I489" s="0" t="n">
        <v>18.91</v>
      </c>
      <c r="J489" s="0" t="n">
        <v>62.53</v>
      </c>
      <c r="K489" s="0" t="n">
        <v>16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16</v>
      </c>
      <c r="Y489" s="0" t="n">
        <v>9</v>
      </c>
      <c r="Z489" s="0" t="inlineStr">
        <is>
          <t>https://new.land.naver.com/complexes/2559?tab=detail&amp;rf=Y</t>
        </is>
      </c>
      <c r="AA489" s="0" t="inlineStr">
        <is>
          <t>인천시 남동구 간석동 45-8</t>
        </is>
      </c>
      <c r="AB489" s="0" t="inlineStr">
        <is>
          <t>인천시</t>
        </is>
      </c>
      <c r="AC489" s="0" t="inlineStr">
        <is>
          <t>남동구</t>
        </is>
      </c>
      <c r="AD489" s="0" t="inlineStr">
        <is>
          <t>간석동</t>
        </is>
      </c>
      <c r="AG489" s="0" t="inlineStr">
        <is>
          <t>인천시 남동구 간석로66번길 29</t>
        </is>
      </c>
      <c r="AH489" s="0" t="n">
        <v>0</v>
      </c>
      <c r="AI489" s="0" t="n">
        <v>301</v>
      </c>
      <c r="AJ489" s="0" t="n">
        <v>21</v>
      </c>
      <c r="AK489" s="0" t="n">
        <v>76</v>
      </c>
      <c r="AL489" s="0" t="n">
        <v>0.64</v>
      </c>
    </row>
    <row r="490">
      <c r="A490" s="0" t="inlineStr">
        <is>
          <t>[간석동]</t>
        </is>
      </c>
      <c r="B490" s="0" t="n">
        <v>2559</v>
      </c>
      <c r="C490" s="0" t="n">
        <v>3</v>
      </c>
      <c r="D490" s="0" t="inlineStr">
        <is>
          <t>동원</t>
        </is>
      </c>
      <c r="E490" s="0" t="inlineStr">
        <is>
          <t>1996.03.</t>
        </is>
      </c>
      <c r="F490" s="0" t="n">
        <v>118</v>
      </c>
      <c r="G490" s="0" t="n">
        <v>26.97</v>
      </c>
      <c r="H490" s="0" t="n">
        <v>89.16</v>
      </c>
      <c r="I490" s="0" t="n">
        <v>19.72</v>
      </c>
      <c r="J490" s="0" t="n">
        <v>65.2</v>
      </c>
      <c r="K490" s="0" t="n">
        <v>38</v>
      </c>
      <c r="T490" s="0" t="n">
        <v>3</v>
      </c>
      <c r="U490" s="0" t="n">
        <v>1</v>
      </c>
      <c r="V490" s="0" t="inlineStr">
        <is>
          <t>복도식</t>
        </is>
      </c>
      <c r="W490" s="0" t="n">
        <v>89</v>
      </c>
      <c r="X490" s="0" t="n">
        <v>16</v>
      </c>
      <c r="Y490" s="0" t="n">
        <v>9</v>
      </c>
      <c r="Z490" s="0" t="inlineStr">
        <is>
          <t>https://new.land.naver.com/complexes/2559?tab=detail&amp;rf=Y</t>
        </is>
      </c>
      <c r="AA490" s="0" t="inlineStr">
        <is>
          <t>인천시 남동구 간석동 45-8</t>
        </is>
      </c>
      <c r="AB490" s="0" t="inlineStr">
        <is>
          <t>인천시</t>
        </is>
      </c>
      <c r="AC490" s="0" t="inlineStr">
        <is>
          <t>남동구</t>
        </is>
      </c>
      <c r="AD490" s="0" t="inlineStr">
        <is>
          <t>간석동</t>
        </is>
      </c>
      <c r="AG490" s="0" t="inlineStr">
        <is>
          <t>인천시 남동구 간석로66번길 29</t>
        </is>
      </c>
      <c r="AH490" s="0" t="n">
        <v>0</v>
      </c>
      <c r="AI490" s="0" t="n">
        <v>301</v>
      </c>
      <c r="AJ490" s="0" t="n">
        <v>21</v>
      </c>
      <c r="AK490" s="0" t="n">
        <v>76</v>
      </c>
      <c r="AL490" s="0" t="n">
        <v>0.64</v>
      </c>
    </row>
    <row r="491">
      <c r="A491" s="0" t="inlineStr">
        <is>
          <t>[간석동]</t>
        </is>
      </c>
      <c r="B491" s="0" t="n">
        <v>2559</v>
      </c>
      <c r="C491" s="0" t="n">
        <v>4</v>
      </c>
      <c r="D491" s="0" t="inlineStr">
        <is>
          <t>동원</t>
        </is>
      </c>
      <c r="E491" s="0" t="inlineStr">
        <is>
          <t>1996.03.</t>
        </is>
      </c>
      <c r="F491" s="0" t="n">
        <v>118</v>
      </c>
      <c r="G491" s="0" t="n">
        <v>33.44</v>
      </c>
      <c r="H491" s="0" t="n">
        <v>110.57</v>
      </c>
      <c r="I491" s="0" t="n">
        <v>24.46</v>
      </c>
      <c r="J491" s="0" t="n">
        <v>80.86</v>
      </c>
      <c r="K491" s="0" t="n">
        <v>16</v>
      </c>
      <c r="T491" s="0" t="n">
        <v>3</v>
      </c>
      <c r="U491" s="0" t="n">
        <v>2</v>
      </c>
      <c r="V491" s="0" t="inlineStr">
        <is>
          <t>복도식</t>
        </is>
      </c>
      <c r="W491" s="0" t="n">
        <v>110</v>
      </c>
      <c r="X491" s="0" t="n">
        <v>16</v>
      </c>
      <c r="Y491" s="0" t="n">
        <v>9</v>
      </c>
      <c r="Z491" s="0" t="inlineStr">
        <is>
          <t>https://new.land.naver.com/complexes/2559?tab=detail&amp;rf=Y</t>
        </is>
      </c>
      <c r="AA491" s="0" t="inlineStr">
        <is>
          <t>인천시 남동구 간석동 45-8</t>
        </is>
      </c>
      <c r="AB491" s="0" t="inlineStr">
        <is>
          <t>인천시</t>
        </is>
      </c>
      <c r="AC491" s="0" t="inlineStr">
        <is>
          <t>남동구</t>
        </is>
      </c>
      <c r="AD491" s="0" t="inlineStr">
        <is>
          <t>간석동</t>
        </is>
      </c>
      <c r="AG491" s="0" t="inlineStr">
        <is>
          <t>인천시 남동구 간석로66번길 29</t>
        </is>
      </c>
      <c r="AH491" s="0" t="n">
        <v>0</v>
      </c>
      <c r="AI491" s="0" t="n">
        <v>301</v>
      </c>
      <c r="AJ491" s="0" t="n">
        <v>21</v>
      </c>
      <c r="AK491" s="0" t="n">
        <v>76</v>
      </c>
      <c r="AL491" s="0" t="n">
        <v>0.64</v>
      </c>
    </row>
    <row r="492">
      <c r="A492" s="0" t="inlineStr">
        <is>
          <t>[간석동]</t>
        </is>
      </c>
      <c r="B492" s="0" t="n">
        <v>119783</v>
      </c>
      <c r="C492" s="0" t="n">
        <v>1</v>
      </c>
      <c r="D492" s="0" t="inlineStr">
        <is>
          <t>유진펠리스</t>
        </is>
      </c>
      <c r="E492" s="0" t="inlineStr">
        <is>
          <t>2017.09.</t>
        </is>
      </c>
      <c r="F492" s="0" t="n">
        <v>26</v>
      </c>
      <c r="G492" s="0" t="n">
        <v>21.22</v>
      </c>
      <c r="H492" s="0" t="n">
        <v>70.16</v>
      </c>
      <c r="I492" s="0" t="n">
        <v>18.14</v>
      </c>
      <c r="J492" s="0" t="n">
        <v>59.97</v>
      </c>
      <c r="K492" s="0" t="n">
        <v>13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70A</t>
        </is>
      </c>
      <c r="X492" s="0" t="n">
        <v>14</v>
      </c>
      <c r="Y492" s="0" t="n">
        <v>14</v>
      </c>
      <c r="Z492" s="0" t="inlineStr">
        <is>
          <t>https://new.land.naver.com/complexes/119783?tab=detail&amp;rf=Y</t>
        </is>
      </c>
      <c r="AA492" s="0" t="inlineStr">
        <is>
          <t>인천시 남동구 간석동 103-3</t>
        </is>
      </c>
      <c r="AB492" s="0" t="inlineStr">
        <is>
          <t>인천시</t>
        </is>
      </c>
      <c r="AC492" s="0" t="inlineStr">
        <is>
          <t>남동구</t>
        </is>
      </c>
      <c r="AD492" s="0" t="inlineStr">
        <is>
          <t>간석동</t>
        </is>
      </c>
      <c r="AG492" s="0" t="inlineStr">
        <is>
          <t>인천시 남동구 간석로32번길 8</t>
        </is>
      </c>
      <c r="AH492" s="0" t="n">
        <v>0</v>
      </c>
      <c r="AI492" s="0" t="n">
        <v>838</v>
      </c>
      <c r="AJ492" s="0" t="n">
        <v>74</v>
      </c>
      <c r="AK492" s="0" t="n">
        <v>20</v>
      </c>
      <c r="AL492" s="0" t="n">
        <v>0.77</v>
      </c>
    </row>
    <row r="493">
      <c r="A493" s="0" t="inlineStr">
        <is>
          <t>[간석동]</t>
        </is>
      </c>
      <c r="B493" s="0" t="n">
        <v>119783</v>
      </c>
      <c r="C493" s="0" t="n">
        <v>2</v>
      </c>
      <c r="D493" s="0" t="inlineStr">
        <is>
          <t>유진펠리스</t>
        </is>
      </c>
      <c r="E493" s="0" t="inlineStr">
        <is>
          <t>2017.09.</t>
        </is>
      </c>
      <c r="F493" s="0" t="n">
        <v>26</v>
      </c>
      <c r="G493" s="0" t="n">
        <v>21.2</v>
      </c>
      <c r="H493" s="0" t="n">
        <v>70.11</v>
      </c>
      <c r="I493" s="0" t="n">
        <v>18.14</v>
      </c>
      <c r="J493" s="0" t="n">
        <v>59.97</v>
      </c>
      <c r="K493" s="0" t="n">
        <v>7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70B</t>
        </is>
      </c>
      <c r="X493" s="0" t="n">
        <v>14</v>
      </c>
      <c r="Y493" s="0" t="n">
        <v>14</v>
      </c>
      <c r="Z493" s="0" t="inlineStr">
        <is>
          <t>https://new.land.naver.com/complexes/119783?tab=detail&amp;rf=Y</t>
        </is>
      </c>
      <c r="AA493" s="0" t="inlineStr">
        <is>
          <t>인천시 남동구 간석동 103-3</t>
        </is>
      </c>
      <c r="AB493" s="0" t="inlineStr">
        <is>
          <t>인천시</t>
        </is>
      </c>
      <c r="AC493" s="0" t="inlineStr">
        <is>
          <t>남동구</t>
        </is>
      </c>
      <c r="AD493" s="0" t="inlineStr">
        <is>
          <t>간석동</t>
        </is>
      </c>
      <c r="AG493" s="0" t="inlineStr">
        <is>
          <t>인천시 남동구 간석로32번길 8</t>
        </is>
      </c>
      <c r="AH493" s="0" t="n">
        <v>0</v>
      </c>
      <c r="AI493" s="0" t="n">
        <v>838</v>
      </c>
      <c r="AJ493" s="0" t="n">
        <v>74</v>
      </c>
      <c r="AK493" s="0" t="n">
        <v>20</v>
      </c>
      <c r="AL493" s="0" t="n">
        <v>0.77</v>
      </c>
    </row>
    <row r="494">
      <c r="A494" s="0" t="inlineStr">
        <is>
          <t>[간석동]</t>
        </is>
      </c>
      <c r="B494" s="0" t="n">
        <v>119783</v>
      </c>
      <c r="C494" s="0" t="n">
        <v>3</v>
      </c>
      <c r="D494" s="0" t="inlineStr">
        <is>
          <t>유진펠리스</t>
        </is>
      </c>
      <c r="E494" s="0" t="inlineStr">
        <is>
          <t>2017.09.</t>
        </is>
      </c>
      <c r="F494" s="0" t="n">
        <v>26</v>
      </c>
      <c r="G494" s="0" t="n">
        <v>25.7</v>
      </c>
      <c r="H494" s="0" t="n">
        <v>84.95999999999999</v>
      </c>
      <c r="I494" s="0" t="n">
        <v>21.75</v>
      </c>
      <c r="J494" s="0" t="n">
        <v>71.92</v>
      </c>
      <c r="K494" s="0" t="n">
        <v>6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84</v>
      </c>
      <c r="X494" s="0" t="n">
        <v>14</v>
      </c>
      <c r="Y494" s="0" t="n">
        <v>14</v>
      </c>
      <c r="Z494" s="0" t="inlineStr">
        <is>
          <t>https://new.land.naver.com/complexes/119783?tab=detail&amp;rf=Y</t>
        </is>
      </c>
      <c r="AA494" s="0" t="inlineStr">
        <is>
          <t>인천시 남동구 간석동 103-3</t>
        </is>
      </c>
      <c r="AB494" s="0" t="inlineStr">
        <is>
          <t>인천시</t>
        </is>
      </c>
      <c r="AC494" s="0" t="inlineStr">
        <is>
          <t>남동구</t>
        </is>
      </c>
      <c r="AD494" s="0" t="inlineStr">
        <is>
          <t>간석동</t>
        </is>
      </c>
      <c r="AG494" s="0" t="inlineStr">
        <is>
          <t>인천시 남동구 간석로32번길 8</t>
        </is>
      </c>
      <c r="AH494" s="0" t="n">
        <v>0</v>
      </c>
      <c r="AI494" s="0" t="n">
        <v>838</v>
      </c>
      <c r="AJ494" s="0" t="n">
        <v>74</v>
      </c>
      <c r="AK494" s="0" t="n">
        <v>20</v>
      </c>
      <c r="AL494" s="0" t="n">
        <v>0.77</v>
      </c>
    </row>
    <row r="495">
      <c r="A495" s="0" t="inlineStr">
        <is>
          <t>[간석동]</t>
        </is>
      </c>
      <c r="B495" s="0" t="n">
        <v>11062</v>
      </c>
      <c r="C495" s="0" t="n">
        <v>1</v>
      </c>
      <c r="D495" s="0" t="inlineStr">
        <is>
          <t>다정한마을서해그랑블</t>
        </is>
      </c>
      <c r="E495" s="0" t="inlineStr">
        <is>
          <t>2004.08.</t>
        </is>
      </c>
      <c r="F495" s="0" t="n">
        <v>270</v>
      </c>
      <c r="G495" s="0" t="n">
        <v>23.32</v>
      </c>
      <c r="H495" s="0" t="n">
        <v>77.11</v>
      </c>
      <c r="I495" s="0" t="n">
        <v>18.11</v>
      </c>
      <c r="J495" s="0" t="n">
        <v>59.9</v>
      </c>
      <c r="K495" s="0" t="n">
        <v>73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77</v>
      </c>
      <c r="X495" s="0" t="n">
        <v>15</v>
      </c>
      <c r="Y495" s="0" t="n">
        <v>9</v>
      </c>
      <c r="Z495" s="0" t="inlineStr">
        <is>
          <t>https://new.land.naver.com/complexes/11062?tab=detail&amp;rf=Y</t>
        </is>
      </c>
      <c r="AA495" s="0" t="inlineStr">
        <is>
          <t>인천시 남동구 간석동 408-1</t>
        </is>
      </c>
      <c r="AB495" s="0" t="inlineStr">
        <is>
          <t>인천시</t>
        </is>
      </c>
      <c r="AC495" s="0" t="inlineStr">
        <is>
          <t>남동구</t>
        </is>
      </c>
      <c r="AD495" s="0" t="inlineStr">
        <is>
          <t>간석동</t>
        </is>
      </c>
      <c r="AG495" s="0" t="inlineStr">
        <is>
          <t>인천시 남동구 구월로157번길 7</t>
        </is>
      </c>
      <c r="AH495" s="0" t="n">
        <v>0</v>
      </c>
      <c r="AI495" s="0" t="n">
        <v>249</v>
      </c>
      <c r="AJ495" s="0" t="n">
        <v>21</v>
      </c>
      <c r="AK495" s="0" t="n">
        <v>273</v>
      </c>
      <c r="AL495" s="0" t="n">
        <v>1.01</v>
      </c>
    </row>
    <row r="496">
      <c r="A496" s="0" t="inlineStr">
        <is>
          <t>[간석동]</t>
        </is>
      </c>
      <c r="B496" s="0" t="n">
        <v>11062</v>
      </c>
      <c r="C496" s="0" t="n">
        <v>2</v>
      </c>
      <c r="D496" s="0" t="inlineStr">
        <is>
          <t>다정한마을서해그랑블</t>
        </is>
      </c>
      <c r="E496" s="0" t="inlineStr">
        <is>
          <t>2004.08.</t>
        </is>
      </c>
      <c r="F496" s="0" t="n">
        <v>270</v>
      </c>
      <c r="G496" s="0" t="n">
        <v>31.33</v>
      </c>
      <c r="H496" s="0" t="n">
        <v>103.58</v>
      </c>
      <c r="I496" s="0" t="n">
        <v>25.66</v>
      </c>
      <c r="J496" s="0" t="n">
        <v>84.83</v>
      </c>
      <c r="K496" s="0" t="n">
        <v>197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103</v>
      </c>
      <c r="X496" s="0" t="n">
        <v>15</v>
      </c>
      <c r="Y496" s="0" t="n">
        <v>9</v>
      </c>
      <c r="Z496" s="0" t="inlineStr">
        <is>
          <t>https://new.land.naver.com/complexes/11062?tab=detail&amp;rf=Y</t>
        </is>
      </c>
      <c r="AA496" s="0" t="inlineStr">
        <is>
          <t>인천시 남동구 간석동 408-1</t>
        </is>
      </c>
      <c r="AB496" s="0" t="inlineStr">
        <is>
          <t>인천시</t>
        </is>
      </c>
      <c r="AC496" s="0" t="inlineStr">
        <is>
          <t>남동구</t>
        </is>
      </c>
      <c r="AD496" s="0" t="inlineStr">
        <is>
          <t>간석동</t>
        </is>
      </c>
      <c r="AG496" s="0" t="inlineStr">
        <is>
          <t>인천시 남동구 구월로157번길 7</t>
        </is>
      </c>
      <c r="AH496" s="0" t="n">
        <v>0</v>
      </c>
      <c r="AI496" s="0" t="n">
        <v>249</v>
      </c>
      <c r="AJ496" s="0" t="n">
        <v>21</v>
      </c>
      <c r="AK496" s="0" t="n">
        <v>273</v>
      </c>
      <c r="AL496" s="0" t="n">
        <v>1.01</v>
      </c>
    </row>
    <row r="497">
      <c r="A497" s="0" t="inlineStr">
        <is>
          <t>[간석동]</t>
        </is>
      </c>
      <c r="B497" s="0" t="n">
        <v>138802</v>
      </c>
      <c r="C497" s="0" t="n">
        <v>1</v>
      </c>
      <c r="D497" s="0" t="inlineStr">
        <is>
          <t>모아타운(도시형)</t>
        </is>
      </c>
      <c r="E497" s="0" t="inlineStr">
        <is>
          <t>2014.07.</t>
        </is>
      </c>
      <c r="F497" s="0" t="n">
        <v>12</v>
      </c>
      <c r="G497" s="0" t="n">
        <v>16.04</v>
      </c>
      <c r="H497" s="0" t="n">
        <v>53.03</v>
      </c>
      <c r="I497" s="0" t="n">
        <v>14.09</v>
      </c>
      <c r="J497" s="0" t="n">
        <v>46.59</v>
      </c>
      <c r="K497" s="0" t="n">
        <v>4</v>
      </c>
      <c r="T497" s="0" t="n">
        <v>1</v>
      </c>
      <c r="U497" s="0" t="n">
        <v>1</v>
      </c>
      <c r="V497" s="0" t="inlineStr">
        <is>
          <t>계단식</t>
        </is>
      </c>
      <c r="W497" s="0" t="inlineStr">
        <is>
          <t>53A</t>
        </is>
      </c>
      <c r="X497" s="0" t="n">
        <v>6</v>
      </c>
      <c r="Y497" s="0" t="n">
        <v>6</v>
      </c>
      <c r="Z497" s="0" t="inlineStr">
        <is>
          <t>https://new.land.naver.com/complexes/138802?tab=detail&amp;rf=Y</t>
        </is>
      </c>
      <c r="AA497" s="0" t="inlineStr">
        <is>
          <t>인천시 남동구 간석동 222-3</t>
        </is>
      </c>
      <c r="AB497" s="0" t="inlineStr">
        <is>
          <t>인천시</t>
        </is>
      </c>
      <c r="AC497" s="0" t="inlineStr">
        <is>
          <t>남동구</t>
        </is>
      </c>
      <c r="AD497" s="0" t="inlineStr">
        <is>
          <t>간석동</t>
        </is>
      </c>
      <c r="AG497" s="0" t="inlineStr">
        <is>
          <t>인천시 남동구 동암남로34번길 34</t>
        </is>
      </c>
      <c r="AH497" s="0" t="n">
        <v>0</v>
      </c>
      <c r="AI497" s="0" t="n">
        <v>244</v>
      </c>
      <c r="AJ497" s="0" t="n">
        <v>58</v>
      </c>
      <c r="AK497" s="0" t="n">
        <v>8</v>
      </c>
      <c r="AL497" s="0" t="n">
        <v>0.67</v>
      </c>
    </row>
    <row r="498">
      <c r="A498" s="0" t="inlineStr">
        <is>
          <t>[간석동]</t>
        </is>
      </c>
      <c r="B498" s="0" t="n">
        <v>138802</v>
      </c>
      <c r="C498" s="0" t="n">
        <v>2</v>
      </c>
      <c r="D498" s="0" t="inlineStr">
        <is>
          <t>모아타운(도시형)</t>
        </is>
      </c>
      <c r="E498" s="0" t="inlineStr">
        <is>
          <t>2014.07.</t>
        </is>
      </c>
      <c r="F498" s="0" t="n">
        <v>12</v>
      </c>
      <c r="G498" s="0" t="n">
        <v>16.12</v>
      </c>
      <c r="H498" s="0" t="n">
        <v>53.31</v>
      </c>
      <c r="I498" s="0" t="n">
        <v>14.16</v>
      </c>
      <c r="J498" s="0" t="n">
        <v>46.83</v>
      </c>
      <c r="K498" s="0" t="n">
        <v>4</v>
      </c>
      <c r="T498" s="0" t="n">
        <v>1</v>
      </c>
      <c r="U498" s="0" t="n">
        <v>1</v>
      </c>
      <c r="V498" s="0" t="inlineStr">
        <is>
          <t>계단식</t>
        </is>
      </c>
      <c r="W498" s="0" t="inlineStr">
        <is>
          <t>53B</t>
        </is>
      </c>
      <c r="X498" s="0" t="n">
        <v>6</v>
      </c>
      <c r="Y498" s="0" t="n">
        <v>6</v>
      </c>
      <c r="Z498" s="0" t="inlineStr">
        <is>
          <t>https://new.land.naver.com/complexes/138802?tab=detail&amp;rf=Y</t>
        </is>
      </c>
      <c r="AA498" s="0" t="inlineStr">
        <is>
          <t>인천시 남동구 간석동 222-3</t>
        </is>
      </c>
      <c r="AB498" s="0" t="inlineStr">
        <is>
          <t>인천시</t>
        </is>
      </c>
      <c r="AC498" s="0" t="inlineStr">
        <is>
          <t>남동구</t>
        </is>
      </c>
      <c r="AD498" s="0" t="inlineStr">
        <is>
          <t>간석동</t>
        </is>
      </c>
      <c r="AG498" s="0" t="inlineStr">
        <is>
          <t>인천시 남동구 동암남로34번길 34</t>
        </is>
      </c>
      <c r="AH498" s="0" t="n">
        <v>0</v>
      </c>
      <c r="AI498" s="0" t="n">
        <v>244</v>
      </c>
      <c r="AJ498" s="0" t="n">
        <v>58</v>
      </c>
      <c r="AK498" s="0" t="n">
        <v>8</v>
      </c>
      <c r="AL498" s="0" t="n">
        <v>0.67</v>
      </c>
    </row>
    <row r="499">
      <c r="A499" s="0" t="inlineStr">
        <is>
          <t>[간석동]</t>
        </is>
      </c>
      <c r="B499" s="0" t="n">
        <v>138802</v>
      </c>
      <c r="C499" s="0" t="n">
        <v>3</v>
      </c>
      <c r="D499" s="0" t="inlineStr">
        <is>
          <t>모아타운(도시형)</t>
        </is>
      </c>
      <c r="E499" s="0" t="inlineStr">
        <is>
          <t>2014.07.</t>
        </is>
      </c>
      <c r="F499" s="0" t="n">
        <v>12</v>
      </c>
      <c r="G499" s="0" t="n">
        <v>16.92</v>
      </c>
      <c r="H499" s="0" t="n">
        <v>55.94</v>
      </c>
      <c r="I499" s="0" t="n">
        <v>14.86</v>
      </c>
      <c r="J499" s="0" t="n">
        <v>49.14</v>
      </c>
      <c r="K499" s="0" t="n">
        <v>4</v>
      </c>
      <c r="T499" s="0" t="n">
        <v>1</v>
      </c>
      <c r="U499" s="0" t="n">
        <v>1</v>
      </c>
      <c r="V499" s="0" t="inlineStr">
        <is>
          <t>계단식</t>
        </is>
      </c>
      <c r="W499" s="0" t="n">
        <v>55</v>
      </c>
      <c r="X499" s="0" t="n">
        <v>6</v>
      </c>
      <c r="Y499" s="0" t="n">
        <v>6</v>
      </c>
      <c r="Z499" s="0" t="inlineStr">
        <is>
          <t>https://new.land.naver.com/complexes/138802?tab=detail&amp;rf=Y</t>
        </is>
      </c>
      <c r="AA499" s="0" t="inlineStr">
        <is>
          <t>인천시 남동구 간석동 222-3</t>
        </is>
      </c>
      <c r="AB499" s="0" t="inlineStr">
        <is>
          <t>인천시</t>
        </is>
      </c>
      <c r="AC499" s="0" t="inlineStr">
        <is>
          <t>남동구</t>
        </is>
      </c>
      <c r="AD499" s="0" t="inlineStr">
        <is>
          <t>간석동</t>
        </is>
      </c>
      <c r="AG499" s="0" t="inlineStr">
        <is>
          <t>인천시 남동구 동암남로34번길 34</t>
        </is>
      </c>
      <c r="AH499" s="0" t="n">
        <v>0</v>
      </c>
      <c r="AI499" s="0" t="n">
        <v>244</v>
      </c>
      <c r="AJ499" s="0" t="n">
        <v>58</v>
      </c>
      <c r="AK499" s="0" t="n">
        <v>8</v>
      </c>
      <c r="AL499" s="0" t="n">
        <v>0.67</v>
      </c>
    </row>
    <row r="500">
      <c r="A500" s="0" t="inlineStr">
        <is>
          <t>[간석동]</t>
        </is>
      </c>
      <c r="B500" s="0" t="n">
        <v>125412</v>
      </c>
      <c r="C500" s="0" t="n">
        <v>1</v>
      </c>
      <c r="D500" s="0" t="inlineStr">
        <is>
          <t>스카이팰리스</t>
        </is>
      </c>
      <c r="E500" s="0" t="inlineStr">
        <is>
          <t>2019.04.</t>
        </is>
      </c>
      <c r="F500" s="0" t="n">
        <v>6</v>
      </c>
      <c r="G500" s="0" t="n">
        <v>27.81</v>
      </c>
      <c r="H500" s="0" t="n">
        <v>91.95999999999999</v>
      </c>
      <c r="I500" s="0" t="n">
        <v>22.31</v>
      </c>
      <c r="J500" s="0" t="n">
        <v>73.78</v>
      </c>
      <c r="K500" s="0" t="n">
        <v>3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91A</t>
        </is>
      </c>
      <c r="X500" s="0" t="n">
        <v>4</v>
      </c>
      <c r="Y500" s="0" t="n">
        <v>4</v>
      </c>
      <c r="Z500" s="0" t="inlineStr">
        <is>
          <t>https://new.land.naver.com/complexes/125412?tab=detail&amp;rf=Y</t>
        </is>
      </c>
      <c r="AA500" s="0" t="inlineStr">
        <is>
          <t>인천시 남동구 간석동 241-7</t>
        </is>
      </c>
      <c r="AB500" s="0" t="inlineStr">
        <is>
          <t>인천시</t>
        </is>
      </c>
      <c r="AC500" s="0" t="inlineStr">
        <is>
          <t>남동구</t>
        </is>
      </c>
      <c r="AD500" s="0" t="inlineStr">
        <is>
          <t>간석동</t>
        </is>
      </c>
      <c r="AG500" s="0" t="inlineStr">
        <is>
          <t>인천시 남동구 예술로362번길 69</t>
        </is>
      </c>
      <c r="AH500" s="0" t="n">
        <v>0</v>
      </c>
      <c r="AI500" s="0" t="n">
        <v>899</v>
      </c>
      <c r="AJ500" s="0" t="n">
        <v>64</v>
      </c>
      <c r="AK500" s="0" t="n">
        <v>6</v>
      </c>
      <c r="AL500" s="0" t="n">
        <v>1</v>
      </c>
    </row>
    <row r="501">
      <c r="A501" s="0" t="inlineStr">
        <is>
          <t>[간석동]</t>
        </is>
      </c>
      <c r="B501" s="0" t="n">
        <v>125412</v>
      </c>
      <c r="C501" s="0" t="n">
        <v>2</v>
      </c>
      <c r="D501" s="0" t="inlineStr">
        <is>
          <t>스카이팰리스</t>
        </is>
      </c>
      <c r="E501" s="0" t="inlineStr">
        <is>
          <t>2019.04.</t>
        </is>
      </c>
      <c r="F501" s="0" t="n">
        <v>6</v>
      </c>
      <c r="G501" s="0" t="n">
        <v>28.47</v>
      </c>
      <c r="H501" s="0" t="n">
        <v>94.14</v>
      </c>
      <c r="I501" s="0" t="n">
        <v>23.03</v>
      </c>
      <c r="J501" s="0" t="n">
        <v>76.14</v>
      </c>
      <c r="K501" s="0" t="n">
        <v>3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94B</t>
        </is>
      </c>
      <c r="X501" s="0" t="n">
        <v>4</v>
      </c>
      <c r="Y501" s="0" t="n">
        <v>4</v>
      </c>
      <c r="Z501" s="0" t="inlineStr">
        <is>
          <t>https://new.land.naver.com/complexes/125412?tab=detail&amp;rf=Y</t>
        </is>
      </c>
      <c r="AA501" s="0" t="inlineStr">
        <is>
          <t>인천시 남동구 간석동 241-7</t>
        </is>
      </c>
      <c r="AB501" s="0" t="inlineStr">
        <is>
          <t>인천시</t>
        </is>
      </c>
      <c r="AC501" s="0" t="inlineStr">
        <is>
          <t>남동구</t>
        </is>
      </c>
      <c r="AD501" s="0" t="inlineStr">
        <is>
          <t>간석동</t>
        </is>
      </c>
      <c r="AG501" s="0" t="inlineStr">
        <is>
          <t>인천시 남동구 예술로362번길 69</t>
        </is>
      </c>
      <c r="AH501" s="0" t="n">
        <v>0</v>
      </c>
      <c r="AI501" s="0" t="n">
        <v>899</v>
      </c>
      <c r="AJ501" s="0" t="n">
        <v>64</v>
      </c>
      <c r="AK501" s="0" t="n">
        <v>6</v>
      </c>
      <c r="AL501" s="0" t="n">
        <v>1</v>
      </c>
    </row>
    <row r="502">
      <c r="A502" s="0" t="inlineStr">
        <is>
          <t>[간석동]</t>
        </is>
      </c>
      <c r="B502" s="0" t="n">
        <v>102937</v>
      </c>
      <c r="C502" s="0" t="n">
        <v>1</v>
      </c>
      <c r="D502" s="0" t="inlineStr">
        <is>
          <t>대은</t>
        </is>
      </c>
      <c r="E502" s="0" t="inlineStr">
        <is>
          <t>2010.01.</t>
        </is>
      </c>
      <c r="F502" s="0" t="n">
        <v>25</v>
      </c>
      <c r="G502" s="0" t="n">
        <v>20.58</v>
      </c>
      <c r="H502" s="0" t="n">
        <v>68.05</v>
      </c>
      <c r="I502" s="0" t="n">
        <v>17.36</v>
      </c>
      <c r="J502" s="0" t="n">
        <v>57.42</v>
      </c>
      <c r="K502" s="0" t="n">
        <v>1</v>
      </c>
      <c r="T502" s="0" t="n">
        <v>2</v>
      </c>
      <c r="U502" s="0" t="n">
        <v>1</v>
      </c>
      <c r="V502" s="0" t="inlineStr">
        <is>
          <t>계단식</t>
        </is>
      </c>
      <c r="W502" s="0" t="n">
        <v>68</v>
      </c>
      <c r="X502" s="0" t="n">
        <v>15</v>
      </c>
      <c r="Y502" s="0" t="n">
        <v>15</v>
      </c>
      <c r="Z502" s="0" t="inlineStr">
        <is>
          <t>https://new.land.naver.com/complexes/102937?tab=detail&amp;rf=Y</t>
        </is>
      </c>
      <c r="AA502" s="0" t="inlineStr">
        <is>
          <t>인천시 남동구 간석동 43-9</t>
        </is>
      </c>
      <c r="AB502" s="0" t="inlineStr">
        <is>
          <t>인천시</t>
        </is>
      </c>
      <c r="AC502" s="0" t="inlineStr">
        <is>
          <t>남동구</t>
        </is>
      </c>
      <c r="AD502" s="0" t="inlineStr">
        <is>
          <t>간석동</t>
        </is>
      </c>
      <c r="AG502" s="0" t="inlineStr">
        <is>
          <t>인천시 남동구 간석로66번길 34</t>
        </is>
      </c>
      <c r="AH502" s="0" t="n">
        <v>0</v>
      </c>
      <c r="AI502" s="0" t="n">
        <v>522</v>
      </c>
      <c r="AJ502" s="0" t="n">
        <v>79</v>
      </c>
      <c r="AK502" s="0" t="n">
        <v>35</v>
      </c>
      <c r="AL502" s="0" t="n">
        <v>1.4</v>
      </c>
    </row>
    <row r="503">
      <c r="A503" s="0" t="inlineStr">
        <is>
          <t>[간석동]</t>
        </is>
      </c>
      <c r="B503" s="0" t="n">
        <v>102937</v>
      </c>
      <c r="C503" s="0" t="n">
        <v>2</v>
      </c>
      <c r="D503" s="0" t="inlineStr">
        <is>
          <t>대은</t>
        </is>
      </c>
      <c r="E503" s="0" t="inlineStr">
        <is>
          <t>2010.01.</t>
        </is>
      </c>
      <c r="F503" s="0" t="n">
        <v>25</v>
      </c>
      <c r="G503" s="0" t="n">
        <v>28.24</v>
      </c>
      <c r="H503" s="0" t="n">
        <v>93.37</v>
      </c>
      <c r="I503" s="0" t="n">
        <v>23.83</v>
      </c>
      <c r="J503" s="0" t="n">
        <v>78.8</v>
      </c>
      <c r="K503" s="0" t="n">
        <v>23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https://new.land.naver.com/complexes/102937?tab=detail&amp;rf=Y</t>
        </is>
      </c>
      <c r="AA503" s="0" t="inlineStr">
        <is>
          <t>인천시 남동구 간석동 43-9</t>
        </is>
      </c>
      <c r="AB503" s="0" t="inlineStr">
        <is>
          <t>인천시</t>
        </is>
      </c>
      <c r="AC503" s="0" t="inlineStr">
        <is>
          <t>남동구</t>
        </is>
      </c>
      <c r="AD503" s="0" t="inlineStr">
        <is>
          <t>간석동</t>
        </is>
      </c>
      <c r="AG503" s="0" t="inlineStr">
        <is>
          <t>인천시 남동구 간석로66번길 34</t>
        </is>
      </c>
      <c r="AH503" s="0" t="n">
        <v>0</v>
      </c>
      <c r="AI503" s="0" t="n">
        <v>522</v>
      </c>
      <c r="AJ503" s="0" t="n">
        <v>79</v>
      </c>
      <c r="AK503" s="0" t="n">
        <v>35</v>
      </c>
      <c r="AL503" s="0" t="n">
        <v>1.4</v>
      </c>
    </row>
    <row r="504">
      <c r="A504" s="0" t="inlineStr">
        <is>
          <t>[간석동]</t>
        </is>
      </c>
      <c r="B504" s="0" t="n">
        <v>102937</v>
      </c>
      <c r="C504" s="0" t="n">
        <v>3</v>
      </c>
      <c r="D504" s="0" t="inlineStr">
        <is>
          <t>대은</t>
        </is>
      </c>
      <c r="E504" s="0" t="inlineStr">
        <is>
          <t>2010.01.</t>
        </is>
      </c>
      <c r="F504" s="0" t="n">
        <v>25</v>
      </c>
      <c r="G504" s="0" t="n">
        <v>28.97</v>
      </c>
      <c r="H504" s="0" t="n">
        <v>95.79000000000001</v>
      </c>
      <c r="I504" s="0" t="n">
        <v>24.45</v>
      </c>
      <c r="J504" s="0" t="n">
        <v>80.84</v>
      </c>
      <c r="K504" s="0" t="n">
        <v>1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15</v>
      </c>
      <c r="Z504" s="0" t="inlineStr">
        <is>
          <t>https://new.land.naver.com/complexes/102937?tab=detail&amp;rf=Y</t>
        </is>
      </c>
      <c r="AA504" s="0" t="inlineStr">
        <is>
          <t>인천시 남동구 간석동 43-9</t>
        </is>
      </c>
      <c r="AB504" s="0" t="inlineStr">
        <is>
          <t>인천시</t>
        </is>
      </c>
      <c r="AC504" s="0" t="inlineStr">
        <is>
          <t>남동구</t>
        </is>
      </c>
      <c r="AD504" s="0" t="inlineStr">
        <is>
          <t>간석동</t>
        </is>
      </c>
      <c r="AG504" s="0" t="inlineStr">
        <is>
          <t>인천시 남동구 간석로66번길 34</t>
        </is>
      </c>
      <c r="AH504" s="0" t="n">
        <v>0</v>
      </c>
      <c r="AI504" s="0" t="n">
        <v>522</v>
      </c>
      <c r="AJ504" s="0" t="n">
        <v>79</v>
      </c>
      <c r="AK504" s="0" t="n">
        <v>35</v>
      </c>
      <c r="AL504" s="0" t="n">
        <v>1.4</v>
      </c>
    </row>
    <row r="505">
      <c r="A505" s="0" t="inlineStr">
        <is>
          <t>[간석동]</t>
        </is>
      </c>
      <c r="B505" s="0" t="n">
        <v>2238</v>
      </c>
      <c r="C505" s="0" t="n">
        <v>1</v>
      </c>
      <c r="D505" s="0" t="inlineStr">
        <is>
          <t>두진</t>
        </is>
      </c>
      <c r="E505" s="0" t="inlineStr">
        <is>
          <t>1994.12.</t>
        </is>
      </c>
      <c r="F505" s="0" t="n">
        <v>354</v>
      </c>
      <c r="G505" s="0" t="n">
        <v>24.94</v>
      </c>
      <c r="H505" s="0" t="n">
        <v>82.47</v>
      </c>
      <c r="I505" s="0" t="n">
        <v>17.97</v>
      </c>
      <c r="J505" s="0" t="n">
        <v>59.43</v>
      </c>
      <c r="K505" s="0" t="n">
        <v>138</v>
      </c>
      <c r="T505" s="0" t="n">
        <v>3</v>
      </c>
      <c r="U505" s="0" t="n">
        <v>1</v>
      </c>
      <c r="V505" s="0" t="inlineStr">
        <is>
          <t>복도식</t>
        </is>
      </c>
      <c r="W505" s="0" t="n">
        <v>82</v>
      </c>
      <c r="X505" s="0" t="n">
        <v>23</v>
      </c>
      <c r="Y505" s="0" t="n">
        <v>16</v>
      </c>
      <c r="Z505" s="0" t="inlineStr">
        <is>
          <t>https://new.land.naver.com/complexes/2238?tab=detail&amp;rf=Y</t>
        </is>
      </c>
      <c r="AA505" s="0" t="inlineStr">
        <is>
          <t>인천시 남동구 간석동 917-2</t>
        </is>
      </c>
      <c r="AB505" s="0" t="inlineStr">
        <is>
          <t>인천시</t>
        </is>
      </c>
      <c r="AC505" s="0" t="inlineStr">
        <is>
          <t>남동구</t>
        </is>
      </c>
      <c r="AD505" s="0" t="inlineStr">
        <is>
          <t>간석동</t>
        </is>
      </c>
      <c r="AG505" s="0" t="inlineStr">
        <is>
          <t>인천시 남동구 호구포로899번길 8</t>
        </is>
      </c>
      <c r="AH505" s="0" t="n">
        <v>0</v>
      </c>
      <c r="AI505" s="0" t="n">
        <v>399</v>
      </c>
      <c r="AJ505" s="0" t="n">
        <v>21</v>
      </c>
      <c r="AK505" s="0" t="n">
        <v>220</v>
      </c>
      <c r="AL505" s="0" t="n">
        <v>0.62</v>
      </c>
    </row>
    <row r="506">
      <c r="A506" s="0" t="inlineStr">
        <is>
          <t>[간석동]</t>
        </is>
      </c>
      <c r="B506" s="0" t="n">
        <v>2238</v>
      </c>
      <c r="C506" s="0" t="n">
        <v>2</v>
      </c>
      <c r="D506" s="0" t="inlineStr">
        <is>
          <t>두진</t>
        </is>
      </c>
      <c r="E506" s="0" t="inlineStr">
        <is>
          <t>1994.12.</t>
        </is>
      </c>
      <c r="F506" s="0" t="n">
        <v>354</v>
      </c>
      <c r="G506" s="0" t="n">
        <v>29</v>
      </c>
      <c r="H506" s="0" t="n">
        <v>95.88</v>
      </c>
      <c r="I506" s="0" t="n">
        <v>23.19</v>
      </c>
      <c r="J506" s="0" t="n">
        <v>76.68000000000001</v>
      </c>
      <c r="K506" s="0" t="n">
        <v>78</v>
      </c>
      <c r="T506" s="0" t="n">
        <v>3</v>
      </c>
      <c r="U506" s="0" t="n">
        <v>1</v>
      </c>
      <c r="V506" s="0" t="inlineStr">
        <is>
          <t>계단식</t>
        </is>
      </c>
      <c r="W506" s="0" t="n">
        <v>95</v>
      </c>
      <c r="X506" s="0" t="n">
        <v>23</v>
      </c>
      <c r="Y506" s="0" t="n">
        <v>16</v>
      </c>
      <c r="Z506" s="0" t="inlineStr">
        <is>
          <t>https://new.land.naver.com/complexes/2238?tab=detail&amp;rf=Y</t>
        </is>
      </c>
      <c r="AA506" s="0" t="inlineStr">
        <is>
          <t>인천시 남동구 간석동 917-2</t>
        </is>
      </c>
      <c r="AB506" s="0" t="inlineStr">
        <is>
          <t>인천시</t>
        </is>
      </c>
      <c r="AC506" s="0" t="inlineStr">
        <is>
          <t>남동구</t>
        </is>
      </c>
      <c r="AD506" s="0" t="inlineStr">
        <is>
          <t>간석동</t>
        </is>
      </c>
      <c r="AG506" s="0" t="inlineStr">
        <is>
          <t>인천시 남동구 호구포로899번길 8</t>
        </is>
      </c>
      <c r="AH506" s="0" t="n">
        <v>0</v>
      </c>
      <c r="AI506" s="0" t="n">
        <v>399</v>
      </c>
      <c r="AJ506" s="0" t="n">
        <v>21</v>
      </c>
      <c r="AK506" s="0" t="n">
        <v>220</v>
      </c>
      <c r="AL506" s="0" t="n">
        <v>0.62</v>
      </c>
    </row>
    <row r="507">
      <c r="A507" s="0" t="inlineStr">
        <is>
          <t>[간석동]</t>
        </is>
      </c>
      <c r="B507" s="0" t="n">
        <v>2238</v>
      </c>
      <c r="C507" s="0" t="n">
        <v>3</v>
      </c>
      <c r="D507" s="0" t="inlineStr">
        <is>
          <t>두진</t>
        </is>
      </c>
      <c r="E507" s="0" t="inlineStr">
        <is>
          <t>1994.12.</t>
        </is>
      </c>
      <c r="F507" s="0" t="n">
        <v>354</v>
      </c>
      <c r="G507" s="0" t="n">
        <v>31.75</v>
      </c>
      <c r="H507" s="0" t="n">
        <v>104.99</v>
      </c>
      <c r="I507" s="0" t="n">
        <v>25.69</v>
      </c>
      <c r="J507" s="0" t="n">
        <v>84.93000000000001</v>
      </c>
      <c r="K507" s="0" t="n">
        <v>46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104A</t>
        </is>
      </c>
      <c r="X507" s="0" t="n">
        <v>23</v>
      </c>
      <c r="Y507" s="0" t="n">
        <v>16</v>
      </c>
      <c r="Z507" s="0" t="inlineStr">
        <is>
          <t>https://new.land.naver.com/complexes/2238?tab=detail&amp;rf=Y</t>
        </is>
      </c>
      <c r="AA507" s="0" t="inlineStr">
        <is>
          <t>인천시 남동구 간석동 917-2</t>
        </is>
      </c>
      <c r="AB507" s="0" t="inlineStr">
        <is>
          <t>인천시</t>
        </is>
      </c>
      <c r="AC507" s="0" t="inlineStr">
        <is>
          <t>남동구</t>
        </is>
      </c>
      <c r="AD507" s="0" t="inlineStr">
        <is>
          <t>간석동</t>
        </is>
      </c>
      <c r="AG507" s="0" t="inlineStr">
        <is>
          <t>인천시 남동구 호구포로899번길 8</t>
        </is>
      </c>
      <c r="AH507" s="0" t="n">
        <v>0</v>
      </c>
      <c r="AI507" s="0" t="n">
        <v>399</v>
      </c>
      <c r="AJ507" s="0" t="n">
        <v>21</v>
      </c>
      <c r="AK507" s="0" t="n">
        <v>220</v>
      </c>
      <c r="AL507" s="0" t="n">
        <v>0.62</v>
      </c>
    </row>
    <row r="508">
      <c r="A508" s="0" t="inlineStr">
        <is>
          <t>[간석동]</t>
        </is>
      </c>
      <c r="B508" s="0" t="n">
        <v>2238</v>
      </c>
      <c r="C508" s="0" t="n">
        <v>4</v>
      </c>
      <c r="D508" s="0" t="inlineStr">
        <is>
          <t>두진</t>
        </is>
      </c>
      <c r="E508" s="0" t="inlineStr">
        <is>
          <t>1994.12.</t>
        </is>
      </c>
      <c r="F508" s="0" t="n">
        <v>354</v>
      </c>
      <c r="G508" s="0" t="n">
        <v>31.78</v>
      </c>
      <c r="H508" s="0" t="n">
        <v>105.06</v>
      </c>
      <c r="I508" s="0" t="n">
        <v>25.7</v>
      </c>
      <c r="J508" s="0" t="n">
        <v>84.98999999999999</v>
      </c>
      <c r="K508" s="0" t="n">
        <v>92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105B</t>
        </is>
      </c>
      <c r="X508" s="0" t="n">
        <v>23</v>
      </c>
      <c r="Y508" s="0" t="n">
        <v>16</v>
      </c>
      <c r="Z508" s="0" t="inlineStr">
        <is>
          <t>https://new.land.naver.com/complexes/2238?tab=detail&amp;rf=Y</t>
        </is>
      </c>
      <c r="AA508" s="0" t="inlineStr">
        <is>
          <t>인천시 남동구 간석동 917-2</t>
        </is>
      </c>
      <c r="AB508" s="0" t="inlineStr">
        <is>
          <t>인천시</t>
        </is>
      </c>
      <c r="AC508" s="0" t="inlineStr">
        <is>
          <t>남동구</t>
        </is>
      </c>
      <c r="AD508" s="0" t="inlineStr">
        <is>
          <t>간석동</t>
        </is>
      </c>
      <c r="AG508" s="0" t="inlineStr">
        <is>
          <t>인천시 남동구 호구포로899번길 8</t>
        </is>
      </c>
      <c r="AH508" s="0" t="n">
        <v>0</v>
      </c>
      <c r="AI508" s="0" t="n">
        <v>399</v>
      </c>
      <c r="AJ508" s="0" t="n">
        <v>21</v>
      </c>
      <c r="AK508" s="0" t="n">
        <v>220</v>
      </c>
      <c r="AL508" s="0" t="n">
        <v>0.62</v>
      </c>
    </row>
    <row r="509">
      <c r="A509" s="0" t="inlineStr">
        <is>
          <t>[간석동]</t>
        </is>
      </c>
      <c r="B509" s="0" t="n">
        <v>117058</v>
      </c>
      <c r="C509" s="0" t="n">
        <v>1</v>
      </c>
      <c r="D509" s="0" t="inlineStr">
        <is>
          <t>렉스타워</t>
        </is>
      </c>
      <c r="E509" s="0" t="inlineStr">
        <is>
          <t>2017.01.</t>
        </is>
      </c>
      <c r="F509" s="0" t="n">
        <v>72</v>
      </c>
      <c r="G509" s="0" t="n">
        <v>16.31</v>
      </c>
      <c r="H509" s="0" t="n">
        <v>53.95</v>
      </c>
      <c r="I509" s="0" t="n">
        <v>12.11</v>
      </c>
      <c r="J509" s="0" t="n">
        <v>40.04</v>
      </c>
      <c r="K509" s="0" t="n">
        <v>36</v>
      </c>
      <c r="T509" s="0" t="n">
        <v>2</v>
      </c>
      <c r="U509" s="0" t="n">
        <v>1</v>
      </c>
      <c r="V509" s="0" t="inlineStr">
        <is>
          <t>복도식</t>
        </is>
      </c>
      <c r="W509" s="0" t="n">
        <v>53</v>
      </c>
      <c r="X509" s="0" t="n">
        <v>15</v>
      </c>
      <c r="Y509" s="0" t="n">
        <v>15</v>
      </c>
      <c r="Z509" s="0" t="inlineStr">
        <is>
          <t>https://new.land.naver.com/complexes/117058?tab=detail&amp;rf=Y</t>
        </is>
      </c>
      <c r="AA509" s="0" t="inlineStr">
        <is>
          <t>인천시 남동구 간석동 167-2</t>
        </is>
      </c>
      <c r="AB509" s="0" t="inlineStr">
        <is>
          <t>인천시</t>
        </is>
      </c>
      <c r="AC509" s="0" t="inlineStr">
        <is>
          <t>남동구</t>
        </is>
      </c>
      <c r="AD509" s="0" t="inlineStr">
        <is>
          <t>간석동</t>
        </is>
      </c>
      <c r="AG509" s="0" t="inlineStr">
        <is>
          <t>인천시 남동구 석촌로46번길 46</t>
        </is>
      </c>
      <c r="AH509" s="0" t="n">
        <v>0</v>
      </c>
      <c r="AI509" s="0" t="n">
        <v>743</v>
      </c>
      <c r="AJ509" s="0" t="n">
        <v>64</v>
      </c>
      <c r="AK509" s="0" t="n">
        <v>46</v>
      </c>
      <c r="AL509" s="0" t="n">
        <v>0.64</v>
      </c>
    </row>
    <row r="510">
      <c r="A510" s="0" t="inlineStr">
        <is>
          <t>[간석동]</t>
        </is>
      </c>
      <c r="B510" s="0" t="n">
        <v>117058</v>
      </c>
      <c r="C510" s="0" t="n">
        <v>2</v>
      </c>
      <c r="D510" s="0" t="inlineStr">
        <is>
          <t>렉스타워</t>
        </is>
      </c>
      <c r="E510" s="0" t="inlineStr">
        <is>
          <t>2017.01.</t>
        </is>
      </c>
      <c r="F510" s="0" t="n">
        <v>72</v>
      </c>
      <c r="G510" s="0" t="n">
        <v>18.2</v>
      </c>
      <c r="H510" s="0" t="n">
        <v>60.18</v>
      </c>
      <c r="I510" s="0" t="n">
        <v>13.61</v>
      </c>
      <c r="J510" s="0" t="n">
        <v>45</v>
      </c>
      <c r="K510" s="0" t="n">
        <v>36</v>
      </c>
      <c r="T510" s="0" t="n">
        <v>2</v>
      </c>
      <c r="U510" s="0" t="n">
        <v>1</v>
      </c>
      <c r="V510" s="0" t="inlineStr">
        <is>
          <t>복도식</t>
        </is>
      </c>
      <c r="W510" s="0" t="n">
        <v>60</v>
      </c>
      <c r="X510" s="0" t="n">
        <v>15</v>
      </c>
      <c r="Y510" s="0" t="n">
        <v>15</v>
      </c>
      <c r="Z510" s="0" t="inlineStr">
        <is>
          <t>https://new.land.naver.com/complexes/117058?tab=detail&amp;rf=Y</t>
        </is>
      </c>
      <c r="AA510" s="0" t="inlineStr">
        <is>
          <t>인천시 남동구 간석동 167-2</t>
        </is>
      </c>
      <c r="AB510" s="0" t="inlineStr">
        <is>
          <t>인천시</t>
        </is>
      </c>
      <c r="AC510" s="0" t="inlineStr">
        <is>
          <t>남동구</t>
        </is>
      </c>
      <c r="AD510" s="0" t="inlineStr">
        <is>
          <t>간석동</t>
        </is>
      </c>
      <c r="AG510" s="0" t="inlineStr">
        <is>
          <t>인천시 남동구 석촌로46번길 46</t>
        </is>
      </c>
      <c r="AH510" s="0" t="n">
        <v>0</v>
      </c>
      <c r="AI510" s="0" t="n">
        <v>743</v>
      </c>
      <c r="AJ510" s="0" t="n">
        <v>64</v>
      </c>
      <c r="AK510" s="0" t="n">
        <v>46</v>
      </c>
      <c r="AL510" s="0" t="n">
        <v>0.64</v>
      </c>
    </row>
    <row r="511">
      <c r="A511" s="0" t="inlineStr">
        <is>
          <t>[간석동]</t>
        </is>
      </c>
      <c r="B511" s="0" t="n">
        <v>117048</v>
      </c>
      <c r="C511" s="0" t="n">
        <v>1</v>
      </c>
      <c r="D511" s="0" t="inlineStr">
        <is>
          <t>베네시안(도시형)</t>
        </is>
      </c>
      <c r="E511" s="0" t="inlineStr">
        <is>
          <t>2015.03.</t>
        </is>
      </c>
      <c r="F511" s="0" t="n">
        <v>50</v>
      </c>
      <c r="G511" s="0" t="n">
        <v>12.38</v>
      </c>
      <c r="H511" s="0" t="n">
        <v>40.93</v>
      </c>
      <c r="I511" s="0" t="n">
        <v>9.74</v>
      </c>
      <c r="J511" s="0" t="n">
        <v>32.2</v>
      </c>
      <c r="K511" s="0" t="n">
        <v>10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40</v>
      </c>
      <c r="X511" s="0" t="n">
        <v>15</v>
      </c>
      <c r="Y511" s="0" t="n">
        <v>15</v>
      </c>
      <c r="Z511" s="0" t="inlineStr">
        <is>
          <t>https://new.land.naver.com/complexes/117048?tab=detail&amp;rf=Y</t>
        </is>
      </c>
      <c r="AA511" s="0" t="inlineStr">
        <is>
          <t>인천시 남동구 간석동 216-1</t>
        </is>
      </c>
      <c r="AB511" s="0" t="inlineStr">
        <is>
          <t>인천시</t>
        </is>
      </c>
      <c r="AC511" s="0" t="inlineStr">
        <is>
          <t>남동구</t>
        </is>
      </c>
      <c r="AD511" s="0" t="inlineStr">
        <is>
          <t>간석동</t>
        </is>
      </c>
      <c r="AG511" s="0" t="inlineStr">
        <is>
          <t>인천시 남동구 경인로653번길 1</t>
        </is>
      </c>
      <c r="AH511" s="0" t="n">
        <v>0</v>
      </c>
      <c r="AI511" s="0" t="n">
        <v>749</v>
      </c>
      <c r="AJ511" s="0" t="n">
        <v>75</v>
      </c>
      <c r="AK511" s="0" t="n">
        <v>27</v>
      </c>
      <c r="AL511" s="0" t="n">
        <v>0.54</v>
      </c>
    </row>
    <row r="512">
      <c r="A512" s="0" t="inlineStr">
        <is>
          <t>[간석동]</t>
        </is>
      </c>
      <c r="B512" s="0" t="n">
        <v>117048</v>
      </c>
      <c r="C512" s="0" t="n">
        <v>2</v>
      </c>
      <c r="D512" s="0" t="inlineStr">
        <is>
          <t>베네시안(도시형)</t>
        </is>
      </c>
      <c r="E512" s="0" t="inlineStr">
        <is>
          <t>2015.03.</t>
        </is>
      </c>
      <c r="F512" s="0" t="n">
        <v>50</v>
      </c>
      <c r="G512" s="0" t="n">
        <v>15.41</v>
      </c>
      <c r="H512" s="0" t="n">
        <v>50.95</v>
      </c>
      <c r="I512" s="0" t="n">
        <v>12.21</v>
      </c>
      <c r="J512" s="0" t="n">
        <v>40.37</v>
      </c>
      <c r="K512" s="0" t="n">
        <v>10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50</v>
      </c>
      <c r="X512" s="0" t="n">
        <v>15</v>
      </c>
      <c r="Y512" s="0" t="n">
        <v>15</v>
      </c>
      <c r="Z512" s="0" t="inlineStr">
        <is>
          <t>https://new.land.naver.com/complexes/117048?tab=detail&amp;rf=Y</t>
        </is>
      </c>
      <c r="AA512" s="0" t="inlineStr">
        <is>
          <t>인천시 남동구 간석동 216-1</t>
        </is>
      </c>
      <c r="AB512" s="0" t="inlineStr">
        <is>
          <t>인천시</t>
        </is>
      </c>
      <c r="AC512" s="0" t="inlineStr">
        <is>
          <t>남동구</t>
        </is>
      </c>
      <c r="AD512" s="0" t="inlineStr">
        <is>
          <t>간석동</t>
        </is>
      </c>
      <c r="AG512" s="0" t="inlineStr">
        <is>
          <t>인천시 남동구 경인로653번길 1</t>
        </is>
      </c>
      <c r="AH512" s="0" t="n">
        <v>0</v>
      </c>
      <c r="AI512" s="0" t="n">
        <v>749</v>
      </c>
      <c r="AJ512" s="0" t="n">
        <v>75</v>
      </c>
      <c r="AK512" s="0" t="n">
        <v>27</v>
      </c>
      <c r="AL512" s="0" t="n">
        <v>0.54</v>
      </c>
    </row>
    <row r="513">
      <c r="A513" s="0" t="inlineStr">
        <is>
          <t>[간석동]</t>
        </is>
      </c>
      <c r="B513" s="0" t="n">
        <v>117048</v>
      </c>
      <c r="C513" s="0" t="n">
        <v>3</v>
      </c>
      <c r="D513" s="0" t="inlineStr">
        <is>
          <t>베네시안(도시형)</t>
        </is>
      </c>
      <c r="E513" s="0" t="inlineStr">
        <is>
          <t>2015.03.</t>
        </is>
      </c>
      <c r="F513" s="0" t="n">
        <v>50</v>
      </c>
      <c r="G513" s="0" t="n">
        <v>15.9</v>
      </c>
      <c r="H513" s="0" t="n">
        <v>52.58</v>
      </c>
      <c r="I513" s="0" t="n">
        <v>12.62</v>
      </c>
      <c r="J513" s="0" t="n">
        <v>41.75</v>
      </c>
      <c r="K513" s="0" t="n">
        <v>5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52B</t>
        </is>
      </c>
      <c r="X513" s="0" t="n">
        <v>15</v>
      </c>
      <c r="Y513" s="0" t="n">
        <v>15</v>
      </c>
      <c r="Z513" s="0" t="inlineStr">
        <is>
          <t>https://new.land.naver.com/complexes/117048?tab=detail&amp;rf=Y</t>
        </is>
      </c>
      <c r="AA513" s="0" t="inlineStr">
        <is>
          <t>인천시 남동구 간석동 216-1</t>
        </is>
      </c>
      <c r="AB513" s="0" t="inlineStr">
        <is>
          <t>인천시</t>
        </is>
      </c>
      <c r="AC513" s="0" t="inlineStr">
        <is>
          <t>남동구</t>
        </is>
      </c>
      <c r="AD513" s="0" t="inlineStr">
        <is>
          <t>간석동</t>
        </is>
      </c>
      <c r="AG513" s="0" t="inlineStr">
        <is>
          <t>인천시 남동구 경인로653번길 1</t>
        </is>
      </c>
      <c r="AH513" s="0" t="n">
        <v>0</v>
      </c>
      <c r="AI513" s="0" t="n">
        <v>749</v>
      </c>
      <c r="AJ513" s="0" t="n">
        <v>75</v>
      </c>
      <c r="AK513" s="0" t="n">
        <v>27</v>
      </c>
      <c r="AL513" s="0" t="n">
        <v>0.54</v>
      </c>
    </row>
    <row r="514">
      <c r="A514" s="0" t="inlineStr">
        <is>
          <t>[간석동]</t>
        </is>
      </c>
      <c r="B514" s="0" t="n">
        <v>117048</v>
      </c>
      <c r="C514" s="0" t="n">
        <v>4</v>
      </c>
      <c r="D514" s="0" t="inlineStr">
        <is>
          <t>베네시안(도시형)</t>
        </is>
      </c>
      <c r="E514" s="0" t="inlineStr">
        <is>
          <t>2015.03.</t>
        </is>
      </c>
      <c r="F514" s="0" t="n">
        <v>50</v>
      </c>
      <c r="G514" s="0" t="n">
        <v>15.9</v>
      </c>
      <c r="H514" s="0" t="n">
        <v>52.58</v>
      </c>
      <c r="I514" s="0" t="n">
        <v>12.62</v>
      </c>
      <c r="J514" s="0" t="n">
        <v>41.75</v>
      </c>
      <c r="K514" s="0" t="n">
        <v>3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52A</t>
        </is>
      </c>
      <c r="X514" s="0" t="n">
        <v>15</v>
      </c>
      <c r="Y514" s="0" t="n">
        <v>15</v>
      </c>
      <c r="Z514" s="0" t="inlineStr">
        <is>
          <t>https://new.land.naver.com/complexes/117048?tab=detail&amp;rf=Y</t>
        </is>
      </c>
      <c r="AA514" s="0" t="inlineStr">
        <is>
          <t>인천시 남동구 간석동 216-1</t>
        </is>
      </c>
      <c r="AB514" s="0" t="inlineStr">
        <is>
          <t>인천시</t>
        </is>
      </c>
      <c r="AC514" s="0" t="inlineStr">
        <is>
          <t>남동구</t>
        </is>
      </c>
      <c r="AD514" s="0" t="inlineStr">
        <is>
          <t>간석동</t>
        </is>
      </c>
      <c r="AG514" s="0" t="inlineStr">
        <is>
          <t>인천시 남동구 경인로653번길 1</t>
        </is>
      </c>
      <c r="AH514" s="0" t="n">
        <v>0</v>
      </c>
      <c r="AI514" s="0" t="n">
        <v>749</v>
      </c>
      <c r="AJ514" s="0" t="n">
        <v>75</v>
      </c>
      <c r="AK514" s="0" t="n">
        <v>27</v>
      </c>
      <c r="AL514" s="0" t="n">
        <v>0.54</v>
      </c>
    </row>
    <row r="515">
      <c r="A515" s="0" t="inlineStr">
        <is>
          <t>[간석동]</t>
        </is>
      </c>
      <c r="B515" s="0" t="n">
        <v>117048</v>
      </c>
      <c r="C515" s="0" t="n">
        <v>5</v>
      </c>
      <c r="D515" s="0" t="inlineStr">
        <is>
          <t>베네시안(도시형)</t>
        </is>
      </c>
      <c r="E515" s="0" t="inlineStr">
        <is>
          <t>2015.03.</t>
        </is>
      </c>
      <c r="F515" s="0" t="n">
        <v>50</v>
      </c>
      <c r="G515" s="0" t="n">
        <v>15.9</v>
      </c>
      <c r="H515" s="0" t="n">
        <v>52.58</v>
      </c>
      <c r="I515" s="0" t="n">
        <v>12.62</v>
      </c>
      <c r="J515" s="0" t="n">
        <v>41.75</v>
      </c>
      <c r="K515" s="0" t="n">
        <v>2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52C</t>
        </is>
      </c>
      <c r="X515" s="0" t="n">
        <v>15</v>
      </c>
      <c r="Y515" s="0" t="n">
        <v>15</v>
      </c>
      <c r="Z515" s="0" t="inlineStr">
        <is>
          <t>https://new.land.naver.com/complexes/117048?tab=detail&amp;rf=Y</t>
        </is>
      </c>
      <c r="AA515" s="0" t="inlineStr">
        <is>
          <t>인천시 남동구 간석동 216-1</t>
        </is>
      </c>
      <c r="AB515" s="0" t="inlineStr">
        <is>
          <t>인천시</t>
        </is>
      </c>
      <c r="AC515" s="0" t="inlineStr">
        <is>
          <t>남동구</t>
        </is>
      </c>
      <c r="AD515" s="0" t="inlineStr">
        <is>
          <t>간석동</t>
        </is>
      </c>
      <c r="AG515" s="0" t="inlineStr">
        <is>
          <t>인천시 남동구 경인로653번길 1</t>
        </is>
      </c>
      <c r="AH515" s="0" t="n">
        <v>0</v>
      </c>
      <c r="AI515" s="0" t="n">
        <v>749</v>
      </c>
      <c r="AJ515" s="0" t="n">
        <v>75</v>
      </c>
      <c r="AK515" s="0" t="n">
        <v>27</v>
      </c>
      <c r="AL515" s="0" t="n">
        <v>0.54</v>
      </c>
    </row>
    <row r="516">
      <c r="A516" s="0" t="inlineStr">
        <is>
          <t>[간석동]</t>
        </is>
      </c>
      <c r="B516" s="0" t="n">
        <v>117048</v>
      </c>
      <c r="C516" s="0" t="n">
        <v>6</v>
      </c>
      <c r="D516" s="0" t="inlineStr">
        <is>
          <t>베네시안(도시형)</t>
        </is>
      </c>
      <c r="E516" s="0" t="inlineStr">
        <is>
          <t>2015.03.</t>
        </is>
      </c>
      <c r="F516" s="0" t="n">
        <v>50</v>
      </c>
      <c r="G516" s="0" t="n">
        <v>17.19</v>
      </c>
      <c r="H516" s="0" t="n">
        <v>56.83</v>
      </c>
      <c r="I516" s="0" t="n">
        <v>13.6</v>
      </c>
      <c r="J516" s="0" t="n">
        <v>44.97</v>
      </c>
      <c r="K516" s="0" t="n">
        <v>10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56</v>
      </c>
      <c r="X516" s="0" t="n">
        <v>15</v>
      </c>
      <c r="Y516" s="0" t="n">
        <v>15</v>
      </c>
      <c r="Z516" s="0" t="inlineStr">
        <is>
          <t>https://new.land.naver.com/complexes/117048?tab=detail&amp;rf=Y</t>
        </is>
      </c>
      <c r="AA516" s="0" t="inlineStr">
        <is>
          <t>인천시 남동구 간석동 216-1</t>
        </is>
      </c>
      <c r="AB516" s="0" t="inlineStr">
        <is>
          <t>인천시</t>
        </is>
      </c>
      <c r="AC516" s="0" t="inlineStr">
        <is>
          <t>남동구</t>
        </is>
      </c>
      <c r="AD516" s="0" t="inlineStr">
        <is>
          <t>간석동</t>
        </is>
      </c>
      <c r="AG516" s="0" t="inlineStr">
        <is>
          <t>인천시 남동구 경인로653번길 1</t>
        </is>
      </c>
      <c r="AH516" s="0" t="n">
        <v>0</v>
      </c>
      <c r="AI516" s="0" t="n">
        <v>749</v>
      </c>
      <c r="AJ516" s="0" t="n">
        <v>75</v>
      </c>
      <c r="AK516" s="0" t="n">
        <v>27</v>
      </c>
      <c r="AL516" s="0" t="n">
        <v>0.54</v>
      </c>
    </row>
    <row r="517">
      <c r="A517" s="0" t="inlineStr">
        <is>
          <t>[간석동]</t>
        </is>
      </c>
      <c r="B517" s="0" t="n">
        <v>117048</v>
      </c>
      <c r="C517" s="0" t="n">
        <v>7</v>
      </c>
      <c r="D517" s="0" t="inlineStr">
        <is>
          <t>베네시안(도시형)</t>
        </is>
      </c>
      <c r="E517" s="0" t="inlineStr">
        <is>
          <t>2015.03.</t>
        </is>
      </c>
      <c r="F517" s="0" t="n">
        <v>50</v>
      </c>
      <c r="G517" s="0" t="n">
        <v>17.61</v>
      </c>
      <c r="H517" s="0" t="n">
        <v>58.22</v>
      </c>
      <c r="I517" s="0" t="n">
        <v>14.12</v>
      </c>
      <c r="J517" s="0" t="n">
        <v>46.69</v>
      </c>
      <c r="K517" s="0" t="n">
        <v>10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58</v>
      </c>
      <c r="X517" s="0" t="n">
        <v>15</v>
      </c>
      <c r="Y517" s="0" t="n">
        <v>15</v>
      </c>
      <c r="Z517" s="0" t="inlineStr">
        <is>
          <t>https://new.land.naver.com/complexes/117048?tab=detail&amp;rf=Y</t>
        </is>
      </c>
      <c r="AA517" s="0" t="inlineStr">
        <is>
          <t>인천시 남동구 간석동 216-1</t>
        </is>
      </c>
      <c r="AB517" s="0" t="inlineStr">
        <is>
          <t>인천시</t>
        </is>
      </c>
      <c r="AC517" s="0" t="inlineStr">
        <is>
          <t>남동구</t>
        </is>
      </c>
      <c r="AD517" s="0" t="inlineStr">
        <is>
          <t>간석동</t>
        </is>
      </c>
      <c r="AG517" s="0" t="inlineStr">
        <is>
          <t>인천시 남동구 경인로653번길 1</t>
        </is>
      </c>
      <c r="AH517" s="0" t="n">
        <v>0</v>
      </c>
      <c r="AI517" s="0" t="n">
        <v>749</v>
      </c>
      <c r="AJ517" s="0" t="n">
        <v>75</v>
      </c>
      <c r="AK517" s="0" t="n">
        <v>27</v>
      </c>
      <c r="AL517" s="0" t="n">
        <v>0.54</v>
      </c>
    </row>
    <row r="518">
      <c r="A518" s="0" t="inlineStr">
        <is>
          <t>[간석동]</t>
        </is>
      </c>
      <c r="B518" s="0" t="n">
        <v>105428</v>
      </c>
      <c r="C518" s="0" t="n">
        <v>1</v>
      </c>
      <c r="D518" s="0" t="inlineStr">
        <is>
          <t>인천간석LH1단지</t>
        </is>
      </c>
      <c r="E518" s="0" t="inlineStr">
        <is>
          <t>2014.10.</t>
        </is>
      </c>
      <c r="F518" s="0" t="n">
        <v>587</v>
      </c>
      <c r="G518" s="0" t="n">
        <v>17.1</v>
      </c>
      <c r="H518" s="0" t="n">
        <v>56.56</v>
      </c>
      <c r="I518" s="0" t="n">
        <v>11.84</v>
      </c>
      <c r="J518" s="0" t="n">
        <v>39.17</v>
      </c>
      <c r="K518" s="0" t="n">
        <v>69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56A</t>
        </is>
      </c>
      <c r="X518" s="0" t="n">
        <v>26</v>
      </c>
      <c r="Y518" s="0" t="n">
        <v>22</v>
      </c>
      <c r="Z518" s="0" t="inlineStr">
        <is>
          <t>https://new.land.naver.com/complexes/105428?tab=detail&amp;rf=Y</t>
        </is>
      </c>
      <c r="AA518" s="0" t="inlineStr">
        <is>
          <t>인천시 남동구 간석동 940</t>
        </is>
      </c>
      <c r="AB518" s="0" t="inlineStr">
        <is>
          <t>인천시</t>
        </is>
      </c>
      <c r="AC518" s="0" t="inlineStr">
        <is>
          <t>남동구</t>
        </is>
      </c>
      <c r="AD518" s="0" t="inlineStr">
        <is>
          <t>간석동</t>
        </is>
      </c>
      <c r="AG518" s="0" t="inlineStr">
        <is>
          <t>인천시 남동구 백범로294번길 15</t>
        </is>
      </c>
      <c r="AH518" s="0" t="n">
        <v>0</v>
      </c>
      <c r="AI518" s="0" t="n">
        <v>232</v>
      </c>
      <c r="AJ518" s="0" t="n">
        <v>14</v>
      </c>
      <c r="AK518" s="0" t="n">
        <v>636</v>
      </c>
      <c r="AL518" s="0" t="n">
        <v>1.08</v>
      </c>
    </row>
    <row r="519">
      <c r="A519" s="0" t="inlineStr">
        <is>
          <t>[간석동]</t>
        </is>
      </c>
      <c r="B519" s="0" t="n">
        <v>105428</v>
      </c>
      <c r="C519" s="0" t="n">
        <v>2</v>
      </c>
      <c r="D519" s="0" t="inlineStr">
        <is>
          <t>인천간석LH1단지</t>
        </is>
      </c>
      <c r="E519" s="0" t="inlineStr">
        <is>
          <t>2014.10.</t>
        </is>
      </c>
      <c r="F519" s="0" t="n">
        <v>587</v>
      </c>
      <c r="G519" s="0" t="n">
        <v>17.1</v>
      </c>
      <c r="H519" s="0" t="n">
        <v>56.56</v>
      </c>
      <c r="I519" s="0" t="n">
        <v>11.84</v>
      </c>
      <c r="J519" s="0" t="n">
        <v>39.17</v>
      </c>
      <c r="K519" s="0" t="n">
        <v>46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56B</t>
        </is>
      </c>
      <c r="X519" s="0" t="n">
        <v>26</v>
      </c>
      <c r="Y519" s="0" t="n">
        <v>22</v>
      </c>
      <c r="Z519" s="0" t="inlineStr">
        <is>
          <t>https://new.land.naver.com/complexes/105428?tab=detail&amp;rf=Y</t>
        </is>
      </c>
      <c r="AA519" s="0" t="inlineStr">
        <is>
          <t>인천시 남동구 간석동 940</t>
        </is>
      </c>
      <c r="AB519" s="0" t="inlineStr">
        <is>
          <t>인천시</t>
        </is>
      </c>
      <c r="AC519" s="0" t="inlineStr">
        <is>
          <t>남동구</t>
        </is>
      </c>
      <c r="AD519" s="0" t="inlineStr">
        <is>
          <t>간석동</t>
        </is>
      </c>
      <c r="AG519" s="0" t="inlineStr">
        <is>
          <t>인천시 남동구 백범로294번길 15</t>
        </is>
      </c>
      <c r="AH519" s="0" t="n">
        <v>0</v>
      </c>
      <c r="AI519" s="0" t="n">
        <v>232</v>
      </c>
      <c r="AJ519" s="0" t="n">
        <v>14</v>
      </c>
      <c r="AK519" s="0" t="n">
        <v>636</v>
      </c>
      <c r="AL519" s="0" t="n">
        <v>1.08</v>
      </c>
    </row>
    <row r="520">
      <c r="A520" s="0" t="inlineStr">
        <is>
          <t>[간석동]</t>
        </is>
      </c>
      <c r="B520" s="0" t="n">
        <v>105428</v>
      </c>
      <c r="C520" s="0" t="n">
        <v>3</v>
      </c>
      <c r="D520" s="0" t="inlineStr">
        <is>
          <t>인천간석LH1단지</t>
        </is>
      </c>
      <c r="E520" s="0" t="inlineStr">
        <is>
          <t>2014.10.</t>
        </is>
      </c>
      <c r="F520" s="0" t="n">
        <v>587</v>
      </c>
      <c r="G520" s="0" t="n">
        <v>17.1</v>
      </c>
      <c r="H520" s="0" t="n">
        <v>56.56</v>
      </c>
      <c r="I520" s="0" t="n">
        <v>11.84</v>
      </c>
      <c r="J520" s="0" t="n">
        <v>39.17</v>
      </c>
      <c r="K520" s="0" t="n">
        <v>23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56C</t>
        </is>
      </c>
      <c r="X520" s="0" t="n">
        <v>26</v>
      </c>
      <c r="Y520" s="0" t="n">
        <v>22</v>
      </c>
      <c r="Z520" s="0" t="inlineStr">
        <is>
          <t>https://new.land.naver.com/complexes/105428?tab=detail&amp;rf=Y</t>
        </is>
      </c>
      <c r="AA520" s="0" t="inlineStr">
        <is>
          <t>인천시 남동구 간석동 940</t>
        </is>
      </c>
      <c r="AB520" s="0" t="inlineStr">
        <is>
          <t>인천시</t>
        </is>
      </c>
      <c r="AC520" s="0" t="inlineStr">
        <is>
          <t>남동구</t>
        </is>
      </c>
      <c r="AD520" s="0" t="inlineStr">
        <is>
          <t>간석동</t>
        </is>
      </c>
      <c r="AG520" s="0" t="inlineStr">
        <is>
          <t>인천시 남동구 백범로294번길 15</t>
        </is>
      </c>
      <c r="AH520" s="0" t="n">
        <v>0</v>
      </c>
      <c r="AI520" s="0" t="n">
        <v>232</v>
      </c>
      <c r="AJ520" s="0" t="n">
        <v>14</v>
      </c>
      <c r="AK520" s="0" t="n">
        <v>636</v>
      </c>
      <c r="AL520" s="0" t="n">
        <v>1.08</v>
      </c>
    </row>
    <row r="521">
      <c r="A521" s="0" t="inlineStr">
        <is>
          <t>[간석동]</t>
        </is>
      </c>
      <c r="B521" s="0" t="n">
        <v>105428</v>
      </c>
      <c r="C521" s="0" t="n">
        <v>4</v>
      </c>
      <c r="D521" s="0" t="inlineStr">
        <is>
          <t>인천간석LH1단지</t>
        </is>
      </c>
      <c r="E521" s="0" t="inlineStr">
        <is>
          <t>2014.10.</t>
        </is>
      </c>
      <c r="F521" s="0" t="n">
        <v>587</v>
      </c>
      <c r="G521" s="0" t="n">
        <v>26.72</v>
      </c>
      <c r="H521" s="0" t="n">
        <v>88.34</v>
      </c>
      <c r="I521" s="0" t="n">
        <v>18.13</v>
      </c>
      <c r="J521" s="0" t="n">
        <v>59.94</v>
      </c>
      <c r="K521" s="0" t="n">
        <v>90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88B</t>
        </is>
      </c>
      <c r="X521" s="0" t="n">
        <v>26</v>
      </c>
      <c r="Y521" s="0" t="n">
        <v>22</v>
      </c>
      <c r="Z521" s="0" t="inlineStr">
        <is>
          <t>https://new.land.naver.com/complexes/105428?tab=detail&amp;rf=Y</t>
        </is>
      </c>
      <c r="AA521" s="0" t="inlineStr">
        <is>
          <t>인천시 남동구 간석동 940</t>
        </is>
      </c>
      <c r="AB521" s="0" t="inlineStr">
        <is>
          <t>인천시</t>
        </is>
      </c>
      <c r="AC521" s="0" t="inlineStr">
        <is>
          <t>남동구</t>
        </is>
      </c>
      <c r="AD521" s="0" t="inlineStr">
        <is>
          <t>간석동</t>
        </is>
      </c>
      <c r="AG521" s="0" t="inlineStr">
        <is>
          <t>인천시 남동구 백범로294번길 15</t>
        </is>
      </c>
      <c r="AH521" s="0" t="n">
        <v>0</v>
      </c>
      <c r="AI521" s="0" t="n">
        <v>232</v>
      </c>
      <c r="AJ521" s="0" t="n">
        <v>14</v>
      </c>
      <c r="AK521" s="0" t="n">
        <v>636</v>
      </c>
      <c r="AL521" s="0" t="n">
        <v>1.08</v>
      </c>
    </row>
    <row r="522">
      <c r="A522" s="0" t="inlineStr">
        <is>
          <t>[간석동]</t>
        </is>
      </c>
      <c r="B522" s="0" t="n">
        <v>105428</v>
      </c>
      <c r="C522" s="0" t="n">
        <v>5</v>
      </c>
      <c r="D522" s="0" t="inlineStr">
        <is>
          <t>인천간석LH1단지</t>
        </is>
      </c>
      <c r="E522" s="0" t="inlineStr">
        <is>
          <t>2014.10.</t>
        </is>
      </c>
      <c r="F522" s="0" t="n">
        <v>587</v>
      </c>
      <c r="G522" s="0" t="n">
        <v>26.71</v>
      </c>
      <c r="H522" s="0" t="n">
        <v>88.33</v>
      </c>
      <c r="I522" s="0" t="n">
        <v>18.12</v>
      </c>
      <c r="J522" s="0" t="n">
        <v>59.93</v>
      </c>
      <c r="K522" s="0" t="n">
        <v>88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88A</t>
        </is>
      </c>
      <c r="X522" s="0" t="n">
        <v>26</v>
      </c>
      <c r="Y522" s="0" t="n">
        <v>22</v>
      </c>
      <c r="Z522" s="0" t="inlineStr">
        <is>
          <t>https://new.land.naver.com/complexes/105428?tab=detail&amp;rf=Y</t>
        </is>
      </c>
      <c r="AA522" s="0" t="inlineStr">
        <is>
          <t>인천시 남동구 간석동 940</t>
        </is>
      </c>
      <c r="AB522" s="0" t="inlineStr">
        <is>
          <t>인천시</t>
        </is>
      </c>
      <c r="AC522" s="0" t="inlineStr">
        <is>
          <t>남동구</t>
        </is>
      </c>
      <c r="AD522" s="0" t="inlineStr">
        <is>
          <t>간석동</t>
        </is>
      </c>
      <c r="AG522" s="0" t="inlineStr">
        <is>
          <t>인천시 남동구 백범로294번길 15</t>
        </is>
      </c>
      <c r="AH522" s="0" t="n">
        <v>0</v>
      </c>
      <c r="AI522" s="0" t="n">
        <v>232</v>
      </c>
      <c r="AJ522" s="0" t="n">
        <v>14</v>
      </c>
      <c r="AK522" s="0" t="n">
        <v>636</v>
      </c>
      <c r="AL522" s="0" t="n">
        <v>1.08</v>
      </c>
    </row>
    <row r="523">
      <c r="A523" s="0" t="inlineStr">
        <is>
          <t>[간석동]</t>
        </is>
      </c>
      <c r="B523" s="0" t="n">
        <v>105428</v>
      </c>
      <c r="C523" s="0" t="n">
        <v>6</v>
      </c>
      <c r="D523" s="0" t="inlineStr">
        <is>
          <t>인천간석LH1단지</t>
        </is>
      </c>
      <c r="E523" s="0" t="inlineStr">
        <is>
          <t>2014.10.</t>
        </is>
      </c>
      <c r="F523" s="0" t="n">
        <v>587</v>
      </c>
      <c r="G523" s="0" t="n">
        <v>26.71</v>
      </c>
      <c r="H523" s="0" t="n">
        <v>88.33</v>
      </c>
      <c r="I523" s="0" t="n">
        <v>18.12</v>
      </c>
      <c r="J523" s="0" t="n">
        <v>59.93</v>
      </c>
      <c r="K523" s="0" t="n">
        <v>86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88A-1</t>
        </is>
      </c>
      <c r="X523" s="0" t="n">
        <v>26</v>
      </c>
      <c r="Y523" s="0" t="n">
        <v>22</v>
      </c>
      <c r="Z523" s="0" t="inlineStr">
        <is>
          <t>https://new.land.naver.com/complexes/105428?tab=detail&amp;rf=Y</t>
        </is>
      </c>
      <c r="AA523" s="0" t="inlineStr">
        <is>
          <t>인천시 남동구 간석동 940</t>
        </is>
      </c>
      <c r="AB523" s="0" t="inlineStr">
        <is>
          <t>인천시</t>
        </is>
      </c>
      <c r="AC523" s="0" t="inlineStr">
        <is>
          <t>남동구</t>
        </is>
      </c>
      <c r="AD523" s="0" t="inlineStr">
        <is>
          <t>간석동</t>
        </is>
      </c>
      <c r="AG523" s="0" t="inlineStr">
        <is>
          <t>인천시 남동구 백범로294번길 15</t>
        </is>
      </c>
      <c r="AH523" s="0" t="n">
        <v>0</v>
      </c>
      <c r="AI523" s="0" t="n">
        <v>232</v>
      </c>
      <c r="AJ523" s="0" t="n">
        <v>14</v>
      </c>
      <c r="AK523" s="0" t="n">
        <v>636</v>
      </c>
      <c r="AL523" s="0" t="n">
        <v>1.08</v>
      </c>
    </row>
    <row r="524">
      <c r="A524" s="0" t="inlineStr">
        <is>
          <t>[간석동]</t>
        </is>
      </c>
      <c r="B524" s="0" t="n">
        <v>105428</v>
      </c>
      <c r="C524" s="0" t="n">
        <v>7</v>
      </c>
      <c r="D524" s="0" t="inlineStr">
        <is>
          <t>인천간석LH1단지</t>
        </is>
      </c>
      <c r="E524" s="0" t="inlineStr">
        <is>
          <t>2014.10.</t>
        </is>
      </c>
      <c r="F524" s="0" t="n">
        <v>587</v>
      </c>
      <c r="G524" s="0" t="n">
        <v>34.8</v>
      </c>
      <c r="H524" s="0" t="n">
        <v>115.05</v>
      </c>
      <c r="I524" s="0" t="n">
        <v>25.67</v>
      </c>
      <c r="J524" s="0" t="n">
        <v>84.86</v>
      </c>
      <c r="K524" s="0" t="n">
        <v>98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115C-1</t>
        </is>
      </c>
      <c r="X524" s="0" t="n">
        <v>26</v>
      </c>
      <c r="Y524" s="0" t="n">
        <v>22</v>
      </c>
      <c r="Z524" s="0" t="inlineStr">
        <is>
          <t>https://new.land.naver.com/complexes/105428?tab=detail&amp;rf=Y</t>
        </is>
      </c>
      <c r="AA524" s="0" t="inlineStr">
        <is>
          <t>인천시 남동구 간석동 940</t>
        </is>
      </c>
      <c r="AB524" s="0" t="inlineStr">
        <is>
          <t>인천시</t>
        </is>
      </c>
      <c r="AC524" s="0" t="inlineStr">
        <is>
          <t>남동구</t>
        </is>
      </c>
      <c r="AD524" s="0" t="inlineStr">
        <is>
          <t>간석동</t>
        </is>
      </c>
      <c r="AG524" s="0" t="inlineStr">
        <is>
          <t>인천시 남동구 백범로294번길 15</t>
        </is>
      </c>
      <c r="AH524" s="0" t="n">
        <v>0</v>
      </c>
      <c r="AI524" s="0" t="n">
        <v>232</v>
      </c>
      <c r="AJ524" s="0" t="n">
        <v>14</v>
      </c>
      <c r="AK524" s="0" t="n">
        <v>636</v>
      </c>
      <c r="AL524" s="0" t="n">
        <v>1.08</v>
      </c>
    </row>
    <row r="525">
      <c r="A525" s="0" t="inlineStr">
        <is>
          <t>[간석동]</t>
        </is>
      </c>
      <c r="B525" s="0" t="n">
        <v>105428</v>
      </c>
      <c r="C525" s="0" t="n">
        <v>8</v>
      </c>
      <c r="D525" s="0" t="inlineStr">
        <is>
          <t>인천간석LH1단지</t>
        </is>
      </c>
      <c r="E525" s="0" t="inlineStr">
        <is>
          <t>2014.10.</t>
        </is>
      </c>
      <c r="F525" s="0" t="n">
        <v>587</v>
      </c>
      <c r="G525" s="0" t="n">
        <v>34.8</v>
      </c>
      <c r="H525" s="0" t="n">
        <v>115.06</v>
      </c>
      <c r="I525" s="0" t="n">
        <v>25.67</v>
      </c>
      <c r="J525" s="0" t="n">
        <v>84.87</v>
      </c>
      <c r="K525" s="0" t="n">
        <v>87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115D-1</t>
        </is>
      </c>
      <c r="X525" s="0" t="n">
        <v>26</v>
      </c>
      <c r="Y525" s="0" t="n">
        <v>22</v>
      </c>
      <c r="Z525" s="0" t="inlineStr">
        <is>
          <t>https://new.land.naver.com/complexes/105428?tab=detail&amp;rf=Y</t>
        </is>
      </c>
      <c r="AA525" s="0" t="inlineStr">
        <is>
          <t>인천시 남동구 간석동 940</t>
        </is>
      </c>
      <c r="AB525" s="0" t="inlineStr">
        <is>
          <t>인천시</t>
        </is>
      </c>
      <c r="AC525" s="0" t="inlineStr">
        <is>
          <t>남동구</t>
        </is>
      </c>
      <c r="AD525" s="0" t="inlineStr">
        <is>
          <t>간석동</t>
        </is>
      </c>
      <c r="AG525" s="0" t="inlineStr">
        <is>
          <t>인천시 남동구 백범로294번길 15</t>
        </is>
      </c>
      <c r="AH525" s="0" t="n">
        <v>0</v>
      </c>
      <c r="AI525" s="0" t="n">
        <v>232</v>
      </c>
      <c r="AJ525" s="0" t="n">
        <v>14</v>
      </c>
      <c r="AK525" s="0" t="n">
        <v>636</v>
      </c>
      <c r="AL525" s="0" t="n">
        <v>1.08</v>
      </c>
    </row>
    <row r="526">
      <c r="A526" s="0" t="inlineStr">
        <is>
          <t>[간석동]</t>
        </is>
      </c>
      <c r="B526" s="0" t="n">
        <v>117047</v>
      </c>
      <c r="C526" s="0" t="n">
        <v>1</v>
      </c>
      <c r="D526" s="0" t="inlineStr">
        <is>
          <t>리코팰리스(도시형)</t>
        </is>
      </c>
      <c r="E526" s="0" t="inlineStr">
        <is>
          <t>2015.08.</t>
        </is>
      </c>
      <c r="F526" s="0" t="n">
        <v>52</v>
      </c>
      <c r="G526" s="0" t="n">
        <v>16.76</v>
      </c>
      <c r="H526" s="0" t="n">
        <v>55.42</v>
      </c>
      <c r="I526" s="0" t="n">
        <v>13.57</v>
      </c>
      <c r="J526" s="0" t="n">
        <v>44.86</v>
      </c>
      <c r="K526" s="0" t="n">
        <v>13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55</v>
      </c>
      <c r="X526" s="0" t="n">
        <v>14</v>
      </c>
      <c r="Y526" s="0" t="n">
        <v>14</v>
      </c>
      <c r="Z526" s="0" t="inlineStr">
        <is>
          <t>https://new.land.naver.com/complexes/117047?tab=detail&amp;rf=Y</t>
        </is>
      </c>
      <c r="AA526" s="0" t="inlineStr">
        <is>
          <t>인천시 남동구 간석동 109-1</t>
        </is>
      </c>
      <c r="AB526" s="0" t="inlineStr">
        <is>
          <t>인천시</t>
        </is>
      </c>
      <c r="AC526" s="0" t="inlineStr">
        <is>
          <t>남동구</t>
        </is>
      </c>
      <c r="AD526" s="0" t="inlineStr">
        <is>
          <t>간석동</t>
        </is>
      </c>
      <c r="AG526" s="0" t="inlineStr">
        <is>
          <t>인천시 남동구 간석로 2</t>
        </is>
      </c>
      <c r="AH526" s="0" t="n">
        <v>0</v>
      </c>
      <c r="AI526" s="0" t="n">
        <v>799</v>
      </c>
      <c r="AJ526" s="0" t="n">
        <v>75</v>
      </c>
      <c r="AK526" s="0" t="n">
        <v>41</v>
      </c>
      <c r="AL526" s="0" t="n">
        <v>0.79</v>
      </c>
    </row>
    <row r="527">
      <c r="A527" s="0" t="inlineStr">
        <is>
          <t>[간석동]</t>
        </is>
      </c>
      <c r="B527" s="0" t="n">
        <v>117047</v>
      </c>
      <c r="C527" s="0" t="n">
        <v>2</v>
      </c>
      <c r="D527" s="0" t="inlineStr">
        <is>
          <t>리코팰리스(도시형)</t>
        </is>
      </c>
      <c r="E527" s="0" t="inlineStr">
        <is>
          <t>2015.08.</t>
        </is>
      </c>
      <c r="F527" s="0" t="n">
        <v>52</v>
      </c>
      <c r="G527" s="0" t="n">
        <v>17.5</v>
      </c>
      <c r="H527" s="0" t="n">
        <v>57.88</v>
      </c>
      <c r="I527" s="0" t="n">
        <v>14.06</v>
      </c>
      <c r="J527" s="0" t="n">
        <v>46.5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57A</t>
        </is>
      </c>
      <c r="X527" s="0" t="n">
        <v>14</v>
      </c>
      <c r="Y527" s="0" t="n">
        <v>14</v>
      </c>
      <c r="Z527" s="0" t="inlineStr">
        <is>
          <t>https://new.land.naver.com/complexes/117047?tab=detail&amp;rf=Y</t>
        </is>
      </c>
      <c r="AA527" s="0" t="inlineStr">
        <is>
          <t>인천시 남동구 간석동 109-1</t>
        </is>
      </c>
      <c r="AB527" s="0" t="inlineStr">
        <is>
          <t>인천시</t>
        </is>
      </c>
      <c r="AC527" s="0" t="inlineStr">
        <is>
          <t>남동구</t>
        </is>
      </c>
      <c r="AD527" s="0" t="inlineStr">
        <is>
          <t>간석동</t>
        </is>
      </c>
      <c r="AG527" s="0" t="inlineStr">
        <is>
          <t>인천시 남동구 간석로 2</t>
        </is>
      </c>
      <c r="AH527" s="0" t="n">
        <v>0</v>
      </c>
      <c r="AI527" s="0" t="n">
        <v>799</v>
      </c>
      <c r="AJ527" s="0" t="n">
        <v>75</v>
      </c>
      <c r="AK527" s="0" t="n">
        <v>41</v>
      </c>
      <c r="AL527" s="0" t="n">
        <v>0.79</v>
      </c>
    </row>
    <row r="528">
      <c r="A528" s="0" t="inlineStr">
        <is>
          <t>[간석동]</t>
        </is>
      </c>
      <c r="B528" s="0" t="n">
        <v>117047</v>
      </c>
      <c r="C528" s="0" t="n">
        <v>3</v>
      </c>
      <c r="D528" s="0" t="inlineStr">
        <is>
          <t>리코팰리스(도시형)</t>
        </is>
      </c>
      <c r="E528" s="0" t="inlineStr">
        <is>
          <t>2015.08.</t>
        </is>
      </c>
      <c r="F528" s="0" t="n">
        <v>52</v>
      </c>
      <c r="G528" s="0" t="n">
        <v>18.27</v>
      </c>
      <c r="H528" s="0" t="n">
        <v>60.42</v>
      </c>
      <c r="I528" s="0" t="n">
        <v>14.46</v>
      </c>
      <c r="J528" s="0" t="n">
        <v>47.82</v>
      </c>
      <c r="K528" s="0" t="n">
        <v>13</v>
      </c>
      <c r="T528" s="0" t="n">
        <v>1</v>
      </c>
      <c r="U528" s="0" t="n">
        <v>1</v>
      </c>
      <c r="V528" s="0" t="inlineStr">
        <is>
          <t>계단식</t>
        </is>
      </c>
      <c r="W528" s="0" t="inlineStr">
        <is>
          <t>60B</t>
        </is>
      </c>
      <c r="X528" s="0" t="n">
        <v>14</v>
      </c>
      <c r="Y528" s="0" t="n">
        <v>14</v>
      </c>
      <c r="Z528" s="0" t="inlineStr">
        <is>
          <t>https://new.land.naver.com/complexes/117047?tab=detail&amp;rf=Y</t>
        </is>
      </c>
      <c r="AA528" s="0" t="inlineStr">
        <is>
          <t>인천시 남동구 간석동 109-1</t>
        </is>
      </c>
      <c r="AB528" s="0" t="inlineStr">
        <is>
          <t>인천시</t>
        </is>
      </c>
      <c r="AC528" s="0" t="inlineStr">
        <is>
          <t>남동구</t>
        </is>
      </c>
      <c r="AD528" s="0" t="inlineStr">
        <is>
          <t>간석동</t>
        </is>
      </c>
      <c r="AG528" s="0" t="inlineStr">
        <is>
          <t>인천시 남동구 간석로 2</t>
        </is>
      </c>
      <c r="AH528" s="0" t="n">
        <v>0</v>
      </c>
      <c r="AI528" s="0" t="n">
        <v>799</v>
      </c>
      <c r="AJ528" s="0" t="n">
        <v>75</v>
      </c>
      <c r="AK528" s="0" t="n">
        <v>41</v>
      </c>
      <c r="AL528" s="0" t="n">
        <v>0.79</v>
      </c>
    </row>
    <row r="529">
      <c r="A529" s="0" t="inlineStr">
        <is>
          <t>[간석동]</t>
        </is>
      </c>
      <c r="B529" s="0" t="n">
        <v>117047</v>
      </c>
      <c r="C529" s="0" t="n">
        <v>4</v>
      </c>
      <c r="D529" s="0" t="inlineStr">
        <is>
          <t>리코팰리스(도시형)</t>
        </is>
      </c>
      <c r="E529" s="0" t="inlineStr">
        <is>
          <t>2015.08.</t>
        </is>
      </c>
      <c r="F529" s="0" t="n">
        <v>52</v>
      </c>
      <c r="G529" s="0" t="n">
        <v>18.29</v>
      </c>
      <c r="H529" s="0" t="n">
        <v>60.48</v>
      </c>
      <c r="I529" s="0" t="n">
        <v>14.74</v>
      </c>
      <c r="J529" s="0" t="n">
        <v>48.76</v>
      </c>
      <c r="K529" s="0" t="n">
        <v>13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60C</t>
        </is>
      </c>
      <c r="X529" s="0" t="n">
        <v>14</v>
      </c>
      <c r="Y529" s="0" t="n">
        <v>14</v>
      </c>
      <c r="Z529" s="0" t="inlineStr">
        <is>
          <t>https://new.land.naver.com/complexes/117047?tab=detail&amp;rf=Y</t>
        </is>
      </c>
      <c r="AA529" s="0" t="inlineStr">
        <is>
          <t>인천시 남동구 간석동 109-1</t>
        </is>
      </c>
      <c r="AB529" s="0" t="inlineStr">
        <is>
          <t>인천시</t>
        </is>
      </c>
      <c r="AC529" s="0" t="inlineStr">
        <is>
          <t>남동구</t>
        </is>
      </c>
      <c r="AD529" s="0" t="inlineStr">
        <is>
          <t>간석동</t>
        </is>
      </c>
      <c r="AG529" s="0" t="inlineStr">
        <is>
          <t>인천시 남동구 간석로 2</t>
        </is>
      </c>
      <c r="AH529" s="0" t="n">
        <v>0</v>
      </c>
      <c r="AI529" s="0" t="n">
        <v>799</v>
      </c>
      <c r="AJ529" s="0" t="n">
        <v>75</v>
      </c>
      <c r="AK529" s="0" t="n">
        <v>41</v>
      </c>
      <c r="AL529" s="0" t="n">
        <v>0.79</v>
      </c>
    </row>
    <row r="530">
      <c r="A530" s="0" t="inlineStr">
        <is>
          <t>[간석동]</t>
        </is>
      </c>
      <c r="B530" s="0" t="n">
        <v>22837</v>
      </c>
      <c r="C530" s="0" t="n">
        <v>1</v>
      </c>
      <c r="D530" s="0" t="inlineStr">
        <is>
          <t>유영(48-1)</t>
        </is>
      </c>
      <c r="E530" s="0" t="inlineStr">
        <is>
          <t>2005.07.</t>
        </is>
      </c>
      <c r="F530" s="0" t="n">
        <v>52</v>
      </c>
      <c r="G530" s="0" t="n">
        <v>23.21</v>
      </c>
      <c r="H530" s="0" t="n">
        <v>76.73999999999999</v>
      </c>
      <c r="I530" s="0" t="n">
        <v>19.68</v>
      </c>
      <c r="J530" s="0" t="n">
        <v>65.06999999999999</v>
      </c>
      <c r="K530" s="0" t="n">
        <v>40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76</v>
      </c>
      <c r="X530" s="0" t="n">
        <v>11</v>
      </c>
      <c r="Y530" s="0" t="n">
        <v>7</v>
      </c>
      <c r="Z530" s="0" t="inlineStr">
        <is>
          <t>https://new.land.naver.com/complexes/22837?tab=detail&amp;rf=Y</t>
        </is>
      </c>
      <c r="AA530" s="0" t="inlineStr">
        <is>
          <t>인천시 남동구 간석동 48-1</t>
        </is>
      </c>
      <c r="AB530" s="0" t="inlineStr">
        <is>
          <t>인천시</t>
        </is>
      </c>
      <c r="AC530" s="0" t="inlineStr">
        <is>
          <t>남동구</t>
        </is>
      </c>
      <c r="AD530" s="0" t="inlineStr">
        <is>
          <t>간석동</t>
        </is>
      </c>
      <c r="AG530" s="0" t="inlineStr">
        <is>
          <t>인천시 남동구 간석로 68</t>
        </is>
      </c>
      <c r="AH530" s="0" t="n">
        <v>0</v>
      </c>
      <c r="AI530" s="0" t="n">
        <v>304</v>
      </c>
      <c r="AJ530" s="0" t="n">
        <v>54</v>
      </c>
      <c r="AK530" s="0" t="n">
        <v>55</v>
      </c>
      <c r="AL530" s="0" t="n">
        <v>1.06</v>
      </c>
    </row>
    <row r="531">
      <c r="A531" s="0" t="inlineStr">
        <is>
          <t>[간석동]</t>
        </is>
      </c>
      <c r="B531" s="0" t="n">
        <v>22837</v>
      </c>
      <c r="C531" s="0" t="n">
        <v>2</v>
      </c>
      <c r="D531" s="0" t="inlineStr">
        <is>
          <t>유영(48-1)</t>
        </is>
      </c>
      <c r="E531" s="0" t="inlineStr">
        <is>
          <t>2005.07.</t>
        </is>
      </c>
      <c r="F531" s="0" t="n">
        <v>52</v>
      </c>
      <c r="G531" s="0" t="n">
        <v>25.74</v>
      </c>
      <c r="H531" s="0" t="n">
        <v>85.12</v>
      </c>
      <c r="I531" s="0" t="n">
        <v>19.76</v>
      </c>
      <c r="J531" s="0" t="n">
        <v>65.34999999999999</v>
      </c>
      <c r="K531" s="0" t="n">
        <v>12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85</v>
      </c>
      <c r="X531" s="0" t="n">
        <v>11</v>
      </c>
      <c r="Y531" s="0" t="n">
        <v>7</v>
      </c>
      <c r="Z531" s="0" t="inlineStr">
        <is>
          <t>https://new.land.naver.com/complexes/22837?tab=detail&amp;rf=Y</t>
        </is>
      </c>
      <c r="AA531" s="0" t="inlineStr">
        <is>
          <t>인천시 남동구 간석동 48-1</t>
        </is>
      </c>
      <c r="AB531" s="0" t="inlineStr">
        <is>
          <t>인천시</t>
        </is>
      </c>
      <c r="AC531" s="0" t="inlineStr">
        <is>
          <t>남동구</t>
        </is>
      </c>
      <c r="AD531" s="0" t="inlineStr">
        <is>
          <t>간석동</t>
        </is>
      </c>
      <c r="AG531" s="0" t="inlineStr">
        <is>
          <t>인천시 남동구 간석로 68</t>
        </is>
      </c>
      <c r="AH531" s="0" t="n">
        <v>0</v>
      </c>
      <c r="AI531" s="0" t="n">
        <v>304</v>
      </c>
      <c r="AJ531" s="0" t="n">
        <v>54</v>
      </c>
      <c r="AK531" s="0" t="n">
        <v>55</v>
      </c>
      <c r="AL531" s="0" t="n">
        <v>1.06</v>
      </c>
    </row>
    <row r="532">
      <c r="A532" s="0" t="inlineStr">
        <is>
          <t>[간석동]</t>
        </is>
      </c>
      <c r="B532" s="0" t="n">
        <v>9363</v>
      </c>
      <c r="C532" s="0" t="n">
        <v>1</v>
      </c>
      <c r="D532" s="0" t="inlineStr">
        <is>
          <t>세종보라</t>
        </is>
      </c>
      <c r="E532" s="0" t="inlineStr">
        <is>
          <t>2000.06.</t>
        </is>
      </c>
      <c r="F532" s="0" t="n">
        <v>137</v>
      </c>
      <c r="G532" s="0" t="n">
        <v>16.5</v>
      </c>
      <c r="H532" s="0" t="n">
        <v>54.56</v>
      </c>
      <c r="I532" s="0" t="n">
        <v>11.78</v>
      </c>
      <c r="J532" s="0" t="n">
        <v>38.97</v>
      </c>
      <c r="K532" s="0" t="n">
        <v>20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54</v>
      </c>
      <c r="X532" s="0" t="n">
        <v>13</v>
      </c>
      <c r="Y532" s="0" t="n">
        <v>6</v>
      </c>
      <c r="Z532" s="0" t="inlineStr">
        <is>
          <t>https://new.land.naver.com/complexes/9363?tab=detail&amp;rf=Y</t>
        </is>
      </c>
      <c r="AA532" s="0" t="inlineStr">
        <is>
          <t>인천시 남동구 간석동 230-4</t>
        </is>
      </c>
      <c r="AB532" s="0" t="inlineStr">
        <is>
          <t>인천시</t>
        </is>
      </c>
      <c r="AC532" s="0" t="inlineStr">
        <is>
          <t>남동구</t>
        </is>
      </c>
      <c r="AD532" s="0" t="inlineStr">
        <is>
          <t>간석동</t>
        </is>
      </c>
      <c r="AG532" s="0" t="inlineStr">
        <is>
          <t>인천시 남동구 동암남로26번길 42</t>
        </is>
      </c>
      <c r="AH532" s="0" t="n">
        <v>0</v>
      </c>
      <c r="AI532" s="0" t="n">
        <v>306</v>
      </c>
      <c r="AJ532" s="0" t="n">
        <v>33</v>
      </c>
      <c r="AK532" s="0" t="n">
        <v>98</v>
      </c>
      <c r="AL532" s="0" t="n">
        <v>0.72</v>
      </c>
    </row>
    <row r="533">
      <c r="A533" s="0" t="inlineStr">
        <is>
          <t>[간석동]</t>
        </is>
      </c>
      <c r="B533" s="0" t="n">
        <v>9363</v>
      </c>
      <c r="C533" s="0" t="n">
        <v>2</v>
      </c>
      <c r="D533" s="0" t="inlineStr">
        <is>
          <t>세종보라</t>
        </is>
      </c>
      <c r="E533" s="0" t="inlineStr">
        <is>
          <t>2000.06.</t>
        </is>
      </c>
      <c r="F533" s="0" t="n">
        <v>137</v>
      </c>
      <c r="G533" s="0" t="n">
        <v>24.59</v>
      </c>
      <c r="H533" s="0" t="n">
        <v>81.29000000000001</v>
      </c>
      <c r="I533" s="0" t="n">
        <v>17.57</v>
      </c>
      <c r="J533" s="0" t="n">
        <v>58.11</v>
      </c>
      <c r="K533" s="0" t="n">
        <v>117</v>
      </c>
      <c r="T533" s="0" t="n">
        <v>3</v>
      </c>
      <c r="U533" s="0" t="n">
        <v>1</v>
      </c>
      <c r="V533" s="0" t="inlineStr">
        <is>
          <t>계단식</t>
        </is>
      </c>
      <c r="W533" s="0" t="n">
        <v>81</v>
      </c>
      <c r="X533" s="0" t="n">
        <v>13</v>
      </c>
      <c r="Y533" s="0" t="n">
        <v>6</v>
      </c>
      <c r="Z533" s="0" t="inlineStr">
        <is>
          <t>https://new.land.naver.com/complexes/9363?tab=detail&amp;rf=Y</t>
        </is>
      </c>
      <c r="AA533" s="0" t="inlineStr">
        <is>
          <t>인천시 남동구 간석동 230-4</t>
        </is>
      </c>
      <c r="AB533" s="0" t="inlineStr">
        <is>
          <t>인천시</t>
        </is>
      </c>
      <c r="AC533" s="0" t="inlineStr">
        <is>
          <t>남동구</t>
        </is>
      </c>
      <c r="AD533" s="0" t="inlineStr">
        <is>
          <t>간석동</t>
        </is>
      </c>
      <c r="AG533" s="0" t="inlineStr">
        <is>
          <t>인천시 남동구 동암남로26번길 42</t>
        </is>
      </c>
      <c r="AH533" s="0" t="n">
        <v>0</v>
      </c>
      <c r="AI533" s="0" t="n">
        <v>306</v>
      </c>
      <c r="AJ533" s="0" t="n">
        <v>33</v>
      </c>
      <c r="AK533" s="0" t="n">
        <v>98</v>
      </c>
      <c r="AL533" s="0" t="n">
        <v>0.72</v>
      </c>
    </row>
    <row r="534">
      <c r="A534" s="0" t="inlineStr">
        <is>
          <t>[간석동]</t>
        </is>
      </c>
      <c r="B534" s="0" t="n">
        <v>128857</v>
      </c>
      <c r="C534" s="0" t="n">
        <v>1</v>
      </c>
      <c r="D534" s="0" t="inlineStr">
        <is>
          <t>센트럴씨티(도시형)</t>
        </is>
      </c>
      <c r="E534" s="0" t="inlineStr">
        <is>
          <t>2018.01.</t>
        </is>
      </c>
      <c r="F534" s="0" t="n">
        <v>20</v>
      </c>
      <c r="G534" s="0" t="n">
        <v>20.72</v>
      </c>
      <c r="H534" s="0" t="n">
        <v>68.52</v>
      </c>
      <c r="I534" s="0" t="n">
        <v>17.12</v>
      </c>
      <c r="J534" s="0" t="n">
        <v>56.6</v>
      </c>
      <c r="K534" s="0" t="n">
        <v>4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68</v>
      </c>
      <c r="X534" s="0" t="n">
        <v>14</v>
      </c>
      <c r="Y534" s="0" t="n">
        <v>14</v>
      </c>
      <c r="Z534" s="0" t="inlineStr">
        <is>
          <t>https://new.land.naver.com/complexes/128857?tab=detail&amp;rf=Y</t>
        </is>
      </c>
      <c r="AA534" s="0" t="inlineStr">
        <is>
          <t>인천시 남동구 간석동 48-12</t>
        </is>
      </c>
      <c r="AB534" s="0" t="inlineStr">
        <is>
          <t>인천시</t>
        </is>
      </c>
      <c r="AC534" s="0" t="inlineStr">
        <is>
          <t>남동구</t>
        </is>
      </c>
      <c r="AD534" s="0" t="inlineStr">
        <is>
          <t>간석동</t>
        </is>
      </c>
      <c r="AG534" s="0" t="inlineStr">
        <is>
          <t>인천시 남동구 용천로176번길 13</t>
        </is>
      </c>
      <c r="AH534" s="0" t="n">
        <v>0</v>
      </c>
      <c r="AI534" s="0" t="n">
        <v>849</v>
      </c>
      <c r="AJ534" s="0" t="n">
        <v>75</v>
      </c>
      <c r="AK534" s="0" t="n">
        <v>20</v>
      </c>
      <c r="AL534" s="0" t="n">
        <v>1</v>
      </c>
    </row>
    <row r="535">
      <c r="A535" s="0" t="inlineStr">
        <is>
          <t>[간석동]</t>
        </is>
      </c>
      <c r="B535" s="0" t="n">
        <v>128857</v>
      </c>
      <c r="C535" s="0" t="n">
        <v>2</v>
      </c>
      <c r="D535" s="0" t="inlineStr">
        <is>
          <t>센트럴씨티(도시형)</t>
        </is>
      </c>
      <c r="E535" s="0" t="inlineStr">
        <is>
          <t>2018.01.</t>
        </is>
      </c>
      <c r="F535" s="0" t="n">
        <v>20</v>
      </c>
      <c r="G535" s="0" t="n">
        <v>22.3</v>
      </c>
      <c r="H535" s="0" t="n">
        <v>73.72</v>
      </c>
      <c r="I535" s="0" t="n">
        <v>18.33</v>
      </c>
      <c r="J535" s="0" t="n">
        <v>60.62</v>
      </c>
      <c r="K535" s="0" t="n">
        <v>4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73A</t>
        </is>
      </c>
      <c r="X535" s="0" t="n">
        <v>14</v>
      </c>
      <c r="Y535" s="0" t="n">
        <v>14</v>
      </c>
      <c r="Z535" s="0" t="inlineStr">
        <is>
          <t>https://new.land.naver.com/complexes/128857?tab=detail&amp;rf=Y</t>
        </is>
      </c>
      <c r="AA535" s="0" t="inlineStr">
        <is>
          <t>인천시 남동구 간석동 48-12</t>
        </is>
      </c>
      <c r="AB535" s="0" t="inlineStr">
        <is>
          <t>인천시</t>
        </is>
      </c>
      <c r="AC535" s="0" t="inlineStr">
        <is>
          <t>남동구</t>
        </is>
      </c>
      <c r="AD535" s="0" t="inlineStr">
        <is>
          <t>간석동</t>
        </is>
      </c>
      <c r="AG535" s="0" t="inlineStr">
        <is>
          <t>인천시 남동구 용천로176번길 13</t>
        </is>
      </c>
      <c r="AH535" s="0" t="n">
        <v>0</v>
      </c>
      <c r="AI535" s="0" t="n">
        <v>849</v>
      </c>
      <c r="AJ535" s="0" t="n">
        <v>75</v>
      </c>
      <c r="AK535" s="0" t="n">
        <v>20</v>
      </c>
      <c r="AL535" s="0" t="n">
        <v>1</v>
      </c>
    </row>
    <row r="536">
      <c r="A536" s="0" t="inlineStr">
        <is>
          <t>[간석동]</t>
        </is>
      </c>
      <c r="B536" s="0" t="n">
        <v>128857</v>
      </c>
      <c r="C536" s="0" t="n">
        <v>3</v>
      </c>
      <c r="D536" s="0" t="inlineStr">
        <is>
          <t>센트럴씨티(도시형)</t>
        </is>
      </c>
      <c r="E536" s="0" t="inlineStr">
        <is>
          <t>2018.01.</t>
        </is>
      </c>
      <c r="F536" s="0" t="n">
        <v>20</v>
      </c>
      <c r="G536" s="0" t="n">
        <v>22.42</v>
      </c>
      <c r="H536" s="0" t="n">
        <v>74.14</v>
      </c>
      <c r="I536" s="0" t="n">
        <v>18.39</v>
      </c>
      <c r="J536" s="0" t="n">
        <v>60.81</v>
      </c>
      <c r="K536" s="0" t="n">
        <v>4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74B</t>
        </is>
      </c>
      <c r="X536" s="0" t="n">
        <v>14</v>
      </c>
      <c r="Y536" s="0" t="n">
        <v>14</v>
      </c>
      <c r="Z536" s="0" t="inlineStr">
        <is>
          <t>https://new.land.naver.com/complexes/128857?tab=detail&amp;rf=Y</t>
        </is>
      </c>
      <c r="AA536" s="0" t="inlineStr">
        <is>
          <t>인천시 남동구 간석동 48-12</t>
        </is>
      </c>
      <c r="AB536" s="0" t="inlineStr">
        <is>
          <t>인천시</t>
        </is>
      </c>
      <c r="AC536" s="0" t="inlineStr">
        <is>
          <t>남동구</t>
        </is>
      </c>
      <c r="AD536" s="0" t="inlineStr">
        <is>
          <t>간석동</t>
        </is>
      </c>
      <c r="AG536" s="0" t="inlineStr">
        <is>
          <t>인천시 남동구 용천로176번길 13</t>
        </is>
      </c>
      <c r="AH536" s="0" t="n">
        <v>0</v>
      </c>
      <c r="AI536" s="0" t="n">
        <v>849</v>
      </c>
      <c r="AJ536" s="0" t="n">
        <v>75</v>
      </c>
      <c r="AK536" s="0" t="n">
        <v>20</v>
      </c>
      <c r="AL536" s="0" t="n">
        <v>1</v>
      </c>
    </row>
    <row r="537">
      <c r="A537" s="0" t="inlineStr">
        <is>
          <t>[간석동]</t>
        </is>
      </c>
      <c r="B537" s="0" t="n">
        <v>128857</v>
      </c>
      <c r="C537" s="0" t="n">
        <v>4</v>
      </c>
      <c r="D537" s="0" t="inlineStr">
        <is>
          <t>센트럴씨티(도시형)</t>
        </is>
      </c>
      <c r="E537" s="0" t="inlineStr">
        <is>
          <t>2018.01.</t>
        </is>
      </c>
      <c r="F537" s="0" t="n">
        <v>20</v>
      </c>
      <c r="G537" s="0" t="n">
        <v>23.04</v>
      </c>
      <c r="H537" s="0" t="n">
        <v>76.17</v>
      </c>
      <c r="I537" s="0" t="n">
        <v>18.84</v>
      </c>
      <c r="J537" s="0" t="n">
        <v>62.31</v>
      </c>
      <c r="K537" s="0" t="n">
        <v>4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14</v>
      </c>
      <c r="Y537" s="0" t="n">
        <v>14</v>
      </c>
      <c r="Z537" s="0" t="inlineStr">
        <is>
          <t>https://new.land.naver.com/complexes/128857?tab=detail&amp;rf=Y</t>
        </is>
      </c>
      <c r="AA537" s="0" t="inlineStr">
        <is>
          <t>인천시 남동구 간석동 48-12</t>
        </is>
      </c>
      <c r="AB537" s="0" t="inlineStr">
        <is>
          <t>인천시</t>
        </is>
      </c>
      <c r="AC537" s="0" t="inlineStr">
        <is>
          <t>남동구</t>
        </is>
      </c>
      <c r="AD537" s="0" t="inlineStr">
        <is>
          <t>간석동</t>
        </is>
      </c>
      <c r="AG537" s="0" t="inlineStr">
        <is>
          <t>인천시 남동구 용천로176번길 13</t>
        </is>
      </c>
      <c r="AH537" s="0" t="n">
        <v>0</v>
      </c>
      <c r="AI537" s="0" t="n">
        <v>849</v>
      </c>
      <c r="AJ537" s="0" t="n">
        <v>75</v>
      </c>
      <c r="AK537" s="0" t="n">
        <v>20</v>
      </c>
      <c r="AL537" s="0" t="n">
        <v>1</v>
      </c>
    </row>
    <row r="538">
      <c r="A538" s="0" t="inlineStr">
        <is>
          <t>[간석동]</t>
        </is>
      </c>
      <c r="B538" s="0" t="n">
        <v>128857</v>
      </c>
      <c r="C538" s="0" t="n">
        <v>5</v>
      </c>
      <c r="D538" s="0" t="inlineStr">
        <is>
          <t>센트럴씨티(도시형)</t>
        </is>
      </c>
      <c r="E538" s="0" t="inlineStr">
        <is>
          <t>2018.01.</t>
        </is>
      </c>
      <c r="F538" s="0" t="n">
        <v>20</v>
      </c>
      <c r="G538" s="0" t="n">
        <v>24.07</v>
      </c>
      <c r="H538" s="0" t="n">
        <v>79.59</v>
      </c>
      <c r="I538" s="0" t="n">
        <v>19.97</v>
      </c>
      <c r="J538" s="0" t="n">
        <v>66.04000000000001</v>
      </c>
      <c r="K538" s="0" t="n">
        <v>4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79</v>
      </c>
      <c r="X538" s="0" t="n">
        <v>14</v>
      </c>
      <c r="Y538" s="0" t="n">
        <v>14</v>
      </c>
      <c r="Z538" s="0" t="inlineStr">
        <is>
          <t>https://new.land.naver.com/complexes/128857?tab=detail&amp;rf=Y</t>
        </is>
      </c>
      <c r="AA538" s="0" t="inlineStr">
        <is>
          <t>인천시 남동구 간석동 48-12</t>
        </is>
      </c>
      <c r="AB538" s="0" t="inlineStr">
        <is>
          <t>인천시</t>
        </is>
      </c>
      <c r="AC538" s="0" t="inlineStr">
        <is>
          <t>남동구</t>
        </is>
      </c>
      <c r="AD538" s="0" t="inlineStr">
        <is>
          <t>간석동</t>
        </is>
      </c>
      <c r="AG538" s="0" t="inlineStr">
        <is>
          <t>인천시 남동구 용천로176번길 13</t>
        </is>
      </c>
      <c r="AH538" s="0" t="n">
        <v>0</v>
      </c>
      <c r="AI538" s="0" t="n">
        <v>849</v>
      </c>
      <c r="AJ538" s="0" t="n">
        <v>75</v>
      </c>
      <c r="AK538" s="0" t="n">
        <v>20</v>
      </c>
      <c r="AL538" s="0" t="n">
        <v>1</v>
      </c>
    </row>
    <row r="539">
      <c r="A539" s="0" t="inlineStr">
        <is>
          <t>[간석동]</t>
        </is>
      </c>
      <c r="B539" s="0" t="n">
        <v>105974</v>
      </c>
      <c r="C539" s="0" t="n">
        <v>1</v>
      </c>
      <c r="D539" s="0" t="inlineStr">
        <is>
          <t>웰스하임(도시형)</t>
        </is>
      </c>
      <c r="E539" s="0" t="inlineStr">
        <is>
          <t>2014.05.</t>
        </is>
      </c>
      <c r="F539" s="0" t="n">
        <v>182</v>
      </c>
      <c r="G539" s="0" t="n">
        <v>9.09</v>
      </c>
      <c r="H539" s="0" t="n">
        <v>30.07</v>
      </c>
      <c r="I539" s="0" t="n">
        <v>5.73</v>
      </c>
      <c r="J539" s="0" t="n">
        <v>18.97</v>
      </c>
      <c r="K539" s="0" t="n">
        <v>154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30A</t>
        </is>
      </c>
      <c r="X539" s="0" t="n">
        <v>19</v>
      </c>
      <c r="Y539" s="0" t="n">
        <v>19</v>
      </c>
      <c r="Z539" s="0" t="inlineStr">
        <is>
          <t>https://new.land.naver.com/complexes/105974?tab=detail&amp;rf=Y</t>
        </is>
      </c>
      <c r="AA539" s="0" t="inlineStr">
        <is>
          <t>인천시 남동구 간석동 214-15</t>
        </is>
      </c>
      <c r="AB539" s="0" t="inlineStr">
        <is>
          <t>인천시</t>
        </is>
      </c>
      <c r="AC539" s="0" t="inlineStr">
        <is>
          <t>남동구</t>
        </is>
      </c>
      <c r="AD539" s="0" t="inlineStr">
        <is>
          <t>간석동</t>
        </is>
      </c>
      <c r="AG539" s="0" t="inlineStr">
        <is>
          <t>인천시 남동구 백범로 381</t>
        </is>
      </c>
      <c r="AH539" s="0" t="n">
        <v>0</v>
      </c>
      <c r="AI539" s="0" t="n">
        <v>698</v>
      </c>
      <c r="AJ539" s="0" t="n">
        <v>62</v>
      </c>
      <c r="AK539" s="0" t="n">
        <v>78</v>
      </c>
      <c r="AL539" s="0" t="n">
        <v>0.43</v>
      </c>
    </row>
    <row r="540">
      <c r="A540" s="0" t="inlineStr">
        <is>
          <t>[간석동]</t>
        </is>
      </c>
      <c r="B540" s="0" t="n">
        <v>105974</v>
      </c>
      <c r="C540" s="0" t="n">
        <v>2</v>
      </c>
      <c r="D540" s="0" t="inlineStr">
        <is>
          <t>웰스하임(도시형)</t>
        </is>
      </c>
      <c r="E540" s="0" t="inlineStr">
        <is>
          <t>2014.05.</t>
        </is>
      </c>
      <c r="F540" s="0" t="n">
        <v>182</v>
      </c>
      <c r="G540" s="0" t="n">
        <v>13.39</v>
      </c>
      <c r="H540" s="0" t="n">
        <v>44.27</v>
      </c>
      <c r="I540" s="0" t="n">
        <v>8.59</v>
      </c>
      <c r="J540" s="0" t="n">
        <v>28.41</v>
      </c>
      <c r="K540" s="0" t="n">
        <v>28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44B</t>
        </is>
      </c>
      <c r="X540" s="0" t="n">
        <v>19</v>
      </c>
      <c r="Y540" s="0" t="n">
        <v>19</v>
      </c>
      <c r="Z540" s="0" t="inlineStr">
        <is>
          <t>https://new.land.naver.com/complexes/105974?tab=detail&amp;rf=Y</t>
        </is>
      </c>
      <c r="AA540" s="0" t="inlineStr">
        <is>
          <t>인천시 남동구 간석동 214-15</t>
        </is>
      </c>
      <c r="AB540" s="0" t="inlineStr">
        <is>
          <t>인천시</t>
        </is>
      </c>
      <c r="AC540" s="0" t="inlineStr">
        <is>
          <t>남동구</t>
        </is>
      </c>
      <c r="AD540" s="0" t="inlineStr">
        <is>
          <t>간석동</t>
        </is>
      </c>
      <c r="AG540" s="0" t="inlineStr">
        <is>
          <t>인천시 남동구 백범로 381</t>
        </is>
      </c>
      <c r="AH540" s="0" t="n">
        <v>0</v>
      </c>
      <c r="AI540" s="0" t="n">
        <v>698</v>
      </c>
      <c r="AJ540" s="0" t="n">
        <v>62</v>
      </c>
      <c r="AK540" s="0" t="n">
        <v>78</v>
      </c>
      <c r="AL540" s="0" t="n">
        <v>0.43</v>
      </c>
    </row>
    <row r="541">
      <c r="A541" s="0" t="inlineStr">
        <is>
          <t>[간석동]</t>
        </is>
      </c>
      <c r="B541" s="0" t="n">
        <v>8806</v>
      </c>
      <c r="C541" s="0" t="n">
        <v>1</v>
      </c>
      <c r="D541" s="0" t="inlineStr">
        <is>
          <t>간석마을풍림아이원</t>
        </is>
      </c>
      <c r="E541" s="0" t="inlineStr">
        <is>
          <t>2004.09.</t>
        </is>
      </c>
      <c r="F541" s="0" t="n">
        <v>922</v>
      </c>
      <c r="G541" s="0" t="n">
        <v>22.54</v>
      </c>
      <c r="H541" s="0" t="n">
        <v>74.52</v>
      </c>
      <c r="I541" s="0" t="n">
        <v>18.1</v>
      </c>
      <c r="J541" s="0" t="n">
        <v>59.86</v>
      </c>
      <c r="K541" s="0" t="n">
        <v>334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74</v>
      </c>
      <c r="X541" s="0" t="n">
        <v>25</v>
      </c>
      <c r="Y541" s="0" t="n">
        <v>22</v>
      </c>
      <c r="Z541" s="0" t="inlineStr">
        <is>
          <t>https://new.land.naver.com/complexes/8806?tab=detail&amp;rf=Y</t>
        </is>
      </c>
      <c r="AA541" s="0" t="inlineStr">
        <is>
          <t>인천시 남동구 간석동 935</t>
        </is>
      </c>
      <c r="AB541" s="0" t="inlineStr">
        <is>
          <t>인천시</t>
        </is>
      </c>
      <c r="AC541" s="0" t="inlineStr">
        <is>
          <t>남동구</t>
        </is>
      </c>
      <c r="AD541" s="0" t="inlineStr">
        <is>
          <t>간석동</t>
        </is>
      </c>
      <c r="AG541" s="0" t="inlineStr">
        <is>
          <t>인천시 남동구 석산로 35</t>
        </is>
      </c>
      <c r="AH541" s="0" t="n">
        <v>0</v>
      </c>
      <c r="AI541" s="0" t="n">
        <v>342</v>
      </c>
      <c r="AJ541" s="0" t="n">
        <v>19</v>
      </c>
      <c r="AK541" s="0" t="n">
        <v>920</v>
      </c>
      <c r="AL541" s="0" t="n">
        <v>1</v>
      </c>
    </row>
    <row r="542">
      <c r="A542" s="0" t="inlineStr">
        <is>
          <t>[간석동]</t>
        </is>
      </c>
      <c r="B542" s="0" t="n">
        <v>8806</v>
      </c>
      <c r="C542" s="0" t="n">
        <v>2</v>
      </c>
      <c r="D542" s="0" t="inlineStr">
        <is>
          <t>간석마을풍림아이원</t>
        </is>
      </c>
      <c r="E542" s="0" t="inlineStr">
        <is>
          <t>2004.09.</t>
        </is>
      </c>
      <c r="F542" s="0" t="n">
        <v>922</v>
      </c>
      <c r="G542" s="0" t="n">
        <v>33.25</v>
      </c>
      <c r="H542" s="0" t="n">
        <v>109.93</v>
      </c>
      <c r="I542" s="0" t="n">
        <v>25.69</v>
      </c>
      <c r="J542" s="0" t="n">
        <v>84.95</v>
      </c>
      <c r="K542" s="0" t="n">
        <v>488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109</v>
      </c>
      <c r="X542" s="0" t="n">
        <v>25</v>
      </c>
      <c r="Y542" s="0" t="n">
        <v>22</v>
      </c>
      <c r="Z542" s="0" t="inlineStr">
        <is>
          <t>https://new.land.naver.com/complexes/8806?tab=detail&amp;rf=Y</t>
        </is>
      </c>
      <c r="AA542" s="0" t="inlineStr">
        <is>
          <t>인천시 남동구 간석동 935</t>
        </is>
      </c>
      <c r="AB542" s="0" t="inlineStr">
        <is>
          <t>인천시</t>
        </is>
      </c>
      <c r="AC542" s="0" t="inlineStr">
        <is>
          <t>남동구</t>
        </is>
      </c>
      <c r="AD542" s="0" t="inlineStr">
        <is>
          <t>간석동</t>
        </is>
      </c>
      <c r="AG542" s="0" t="inlineStr">
        <is>
          <t>인천시 남동구 석산로 35</t>
        </is>
      </c>
      <c r="AH542" s="0" t="n">
        <v>0</v>
      </c>
      <c r="AI542" s="0" t="n">
        <v>342</v>
      </c>
      <c r="AJ542" s="0" t="n">
        <v>19</v>
      </c>
      <c r="AK542" s="0" t="n">
        <v>920</v>
      </c>
      <c r="AL542" s="0" t="n">
        <v>1</v>
      </c>
    </row>
    <row r="543">
      <c r="A543" s="0" t="inlineStr">
        <is>
          <t>[간석동]</t>
        </is>
      </c>
      <c r="B543" s="0" t="n">
        <v>8806</v>
      </c>
      <c r="C543" s="0" t="n">
        <v>3</v>
      </c>
      <c r="D543" s="0" t="inlineStr">
        <is>
          <t>간석마을풍림아이원</t>
        </is>
      </c>
      <c r="E543" s="0" t="inlineStr">
        <is>
          <t>2004.09.</t>
        </is>
      </c>
      <c r="F543" s="0" t="n">
        <v>922</v>
      </c>
      <c r="G543" s="0" t="n">
        <v>43.65</v>
      </c>
      <c r="H543" s="0" t="n">
        <v>144.3</v>
      </c>
      <c r="I543" s="0" t="n">
        <v>35.3</v>
      </c>
      <c r="J543" s="0" t="n">
        <v>116.72</v>
      </c>
      <c r="K543" s="0" t="n">
        <v>100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144</v>
      </c>
      <c r="X543" s="0" t="n">
        <v>25</v>
      </c>
      <c r="Y543" s="0" t="n">
        <v>22</v>
      </c>
      <c r="Z543" s="0" t="inlineStr">
        <is>
          <t>https://new.land.naver.com/complexes/8806?tab=detail&amp;rf=Y</t>
        </is>
      </c>
      <c r="AA543" s="0" t="inlineStr">
        <is>
          <t>인천시 남동구 간석동 935</t>
        </is>
      </c>
      <c r="AB543" s="0" t="inlineStr">
        <is>
          <t>인천시</t>
        </is>
      </c>
      <c r="AC543" s="0" t="inlineStr">
        <is>
          <t>남동구</t>
        </is>
      </c>
      <c r="AD543" s="0" t="inlineStr">
        <is>
          <t>간석동</t>
        </is>
      </c>
      <c r="AG543" s="0" t="inlineStr">
        <is>
          <t>인천시 남동구 석산로 35</t>
        </is>
      </c>
      <c r="AH543" s="0" t="n">
        <v>0</v>
      </c>
      <c r="AI543" s="0" t="n">
        <v>342</v>
      </c>
      <c r="AJ543" s="0" t="n">
        <v>19</v>
      </c>
      <c r="AK543" s="0" t="n">
        <v>920</v>
      </c>
      <c r="AL543" s="0" t="n">
        <v>1</v>
      </c>
    </row>
    <row r="544">
      <c r="A544" s="0" t="inlineStr">
        <is>
          <t>[간석동]</t>
        </is>
      </c>
      <c r="B544" s="0" t="n">
        <v>141278</v>
      </c>
      <c r="C544" s="0" t="n">
        <v>1</v>
      </c>
      <c r="D544" s="0" t="inlineStr">
        <is>
          <t>세종에이펙스(도시형)</t>
        </is>
      </c>
      <c r="E544" s="0" t="inlineStr">
        <is>
          <t>2021.04.</t>
        </is>
      </c>
      <c r="F544" s="0" t="n">
        <v>16</v>
      </c>
      <c r="G544" s="0" t="n">
        <v>11.84</v>
      </c>
      <c r="H544" s="0" t="n">
        <v>39.17</v>
      </c>
      <c r="I544" s="0" t="n">
        <v>7.4</v>
      </c>
      <c r="J544" s="0" t="n">
        <v>24.49</v>
      </c>
      <c r="K544" s="0" t="n">
        <v>2</v>
      </c>
      <c r="T544" s="0" t="n">
        <v>1</v>
      </c>
      <c r="U544" s="0" t="n">
        <v>1</v>
      </c>
      <c r="V544" s="0" t="inlineStr">
        <is>
          <t>계단식</t>
        </is>
      </c>
      <c r="W544" s="0" t="n">
        <v>39</v>
      </c>
      <c r="X544" s="0" t="n">
        <v>18</v>
      </c>
      <c r="Y544" s="0" t="n">
        <v>18</v>
      </c>
      <c r="Z544" s="0" t="inlineStr">
        <is>
          <t>https://new.land.naver.com/complexes/141278?tab=detail&amp;rf=Y</t>
        </is>
      </c>
      <c r="AA544" s="0" t="inlineStr">
        <is>
          <t>인천시 남동구 간석동 100-1</t>
        </is>
      </c>
      <c r="AB544" s="0" t="inlineStr">
        <is>
          <t>인천시</t>
        </is>
      </c>
      <c r="AC544" s="0" t="inlineStr">
        <is>
          <t>남동구</t>
        </is>
      </c>
      <c r="AD544" s="0" t="inlineStr">
        <is>
          <t>간석동</t>
        </is>
      </c>
      <c r="AG544" s="0" t="inlineStr">
        <is>
          <t>인천시 남동구 간석로 40</t>
        </is>
      </c>
      <c r="AH544" s="0" t="n">
        <v>0</v>
      </c>
      <c r="AI544" s="0" t="n">
        <v>929</v>
      </c>
      <c r="AJ544" s="0" t="n">
        <v>79</v>
      </c>
      <c r="AK544" s="0" t="n">
        <v>16</v>
      </c>
      <c r="AL544" s="0" t="n">
        <v>1</v>
      </c>
    </row>
    <row r="545">
      <c r="A545" s="0" t="inlineStr">
        <is>
          <t>[간석동]</t>
        </is>
      </c>
      <c r="B545" s="0" t="n">
        <v>141278</v>
      </c>
      <c r="C545" s="0" t="n">
        <v>2</v>
      </c>
      <c r="D545" s="0" t="inlineStr">
        <is>
          <t>세종에이펙스(도시형)</t>
        </is>
      </c>
      <c r="E545" s="0" t="inlineStr">
        <is>
          <t>2021.04.</t>
        </is>
      </c>
      <c r="F545" s="0" t="n">
        <v>16</v>
      </c>
      <c r="G545" s="0" t="n">
        <v>18.77</v>
      </c>
      <c r="H545" s="0" t="n">
        <v>62.06</v>
      </c>
      <c r="I545" s="0" t="n">
        <v>12.26</v>
      </c>
      <c r="J545" s="0" t="n">
        <v>40.55</v>
      </c>
      <c r="K545" s="0" t="n">
        <v>2</v>
      </c>
      <c r="T545" s="0" t="n">
        <v>2</v>
      </c>
      <c r="U545" s="0" t="n">
        <v>1</v>
      </c>
      <c r="V545" s="0" t="inlineStr">
        <is>
          <t>계단식</t>
        </is>
      </c>
      <c r="W545" s="0" t="n">
        <v>62</v>
      </c>
      <c r="X545" s="0" t="n">
        <v>18</v>
      </c>
      <c r="Y545" s="0" t="n">
        <v>18</v>
      </c>
      <c r="Z545" s="0" t="inlineStr">
        <is>
          <t>https://new.land.naver.com/complexes/141278?tab=detail&amp;rf=Y</t>
        </is>
      </c>
      <c r="AA545" s="0" t="inlineStr">
        <is>
          <t>인천시 남동구 간석동 100-1</t>
        </is>
      </c>
      <c r="AB545" s="0" t="inlineStr">
        <is>
          <t>인천시</t>
        </is>
      </c>
      <c r="AC545" s="0" t="inlineStr">
        <is>
          <t>남동구</t>
        </is>
      </c>
      <c r="AD545" s="0" t="inlineStr">
        <is>
          <t>간석동</t>
        </is>
      </c>
      <c r="AG545" s="0" t="inlineStr">
        <is>
          <t>인천시 남동구 간석로 40</t>
        </is>
      </c>
      <c r="AH545" s="0" t="n">
        <v>0</v>
      </c>
      <c r="AI545" s="0" t="n">
        <v>929</v>
      </c>
      <c r="AJ545" s="0" t="n">
        <v>79</v>
      </c>
      <c r="AK545" s="0" t="n">
        <v>16</v>
      </c>
      <c r="AL545" s="0" t="n">
        <v>1</v>
      </c>
    </row>
    <row r="546">
      <c r="A546" s="0" t="inlineStr">
        <is>
          <t>[간석동]</t>
        </is>
      </c>
      <c r="B546" s="0" t="n">
        <v>141278</v>
      </c>
      <c r="C546" s="0" t="n">
        <v>3</v>
      </c>
      <c r="D546" s="0" t="inlineStr">
        <is>
          <t>세종에이펙스(도시형)</t>
        </is>
      </c>
      <c r="E546" s="0" t="inlineStr">
        <is>
          <t>2021.04.</t>
        </is>
      </c>
      <c r="F546" s="0" t="n">
        <v>16</v>
      </c>
      <c r="G546" s="0" t="n">
        <v>24.31</v>
      </c>
      <c r="H546" s="0" t="n">
        <v>80.37</v>
      </c>
      <c r="I546" s="0" t="n">
        <v>15.97</v>
      </c>
      <c r="J546" s="0" t="n">
        <v>52.81</v>
      </c>
      <c r="K546" s="0" t="n">
        <v>6</v>
      </c>
      <c r="T546" s="0" t="n">
        <v>3</v>
      </c>
      <c r="U546" s="0" t="n">
        <v>1</v>
      </c>
      <c r="V546" s="0" t="inlineStr">
        <is>
          <t>계단식</t>
        </is>
      </c>
      <c r="W546" s="0" t="n">
        <v>80</v>
      </c>
      <c r="X546" s="0" t="n">
        <v>18</v>
      </c>
      <c r="Y546" s="0" t="n">
        <v>18</v>
      </c>
      <c r="Z546" s="0" t="inlineStr">
        <is>
          <t>https://new.land.naver.com/complexes/141278?tab=detail&amp;rf=Y</t>
        </is>
      </c>
      <c r="AA546" s="0" t="inlineStr">
        <is>
          <t>인천시 남동구 간석동 100-1</t>
        </is>
      </c>
      <c r="AB546" s="0" t="inlineStr">
        <is>
          <t>인천시</t>
        </is>
      </c>
      <c r="AC546" s="0" t="inlineStr">
        <is>
          <t>남동구</t>
        </is>
      </c>
      <c r="AD546" s="0" t="inlineStr">
        <is>
          <t>간석동</t>
        </is>
      </c>
      <c r="AG546" s="0" t="inlineStr">
        <is>
          <t>인천시 남동구 간석로 40</t>
        </is>
      </c>
      <c r="AH546" s="0" t="n">
        <v>0</v>
      </c>
      <c r="AI546" s="0" t="n">
        <v>929</v>
      </c>
      <c r="AJ546" s="0" t="n">
        <v>79</v>
      </c>
      <c r="AK546" s="0" t="n">
        <v>16</v>
      </c>
      <c r="AL546" s="0" t="n">
        <v>1</v>
      </c>
    </row>
    <row r="547">
      <c r="A547" s="0" t="inlineStr">
        <is>
          <t>[간석동]</t>
        </is>
      </c>
      <c r="B547" s="0" t="n">
        <v>141278</v>
      </c>
      <c r="C547" s="0" t="n">
        <v>4</v>
      </c>
      <c r="D547" s="0" t="inlineStr">
        <is>
          <t>세종에이펙스(도시형)</t>
        </is>
      </c>
      <c r="E547" s="0" t="inlineStr">
        <is>
          <t>2021.04.</t>
        </is>
      </c>
      <c r="F547" s="0" t="n">
        <v>16</v>
      </c>
      <c r="G547" s="0" t="n">
        <v>24.59</v>
      </c>
      <c r="H547" s="0" t="n">
        <v>81.31</v>
      </c>
      <c r="I547" s="0" t="n">
        <v>16.15</v>
      </c>
      <c r="J547" s="0" t="n">
        <v>53.42</v>
      </c>
      <c r="K547" s="0" t="n">
        <v>2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81</v>
      </c>
      <c r="X547" s="0" t="n">
        <v>18</v>
      </c>
      <c r="Y547" s="0" t="n">
        <v>18</v>
      </c>
      <c r="Z547" s="0" t="inlineStr">
        <is>
          <t>https://new.land.naver.com/complexes/141278?tab=detail&amp;rf=Y</t>
        </is>
      </c>
      <c r="AA547" s="0" t="inlineStr">
        <is>
          <t>인천시 남동구 간석동 100-1</t>
        </is>
      </c>
      <c r="AB547" s="0" t="inlineStr">
        <is>
          <t>인천시</t>
        </is>
      </c>
      <c r="AC547" s="0" t="inlineStr">
        <is>
          <t>남동구</t>
        </is>
      </c>
      <c r="AD547" s="0" t="inlineStr">
        <is>
          <t>간석동</t>
        </is>
      </c>
      <c r="AG547" s="0" t="inlineStr">
        <is>
          <t>인천시 남동구 간석로 40</t>
        </is>
      </c>
      <c r="AH547" s="0" t="n">
        <v>0</v>
      </c>
      <c r="AI547" s="0" t="n">
        <v>929</v>
      </c>
      <c r="AJ547" s="0" t="n">
        <v>79</v>
      </c>
      <c r="AK547" s="0" t="n">
        <v>16</v>
      </c>
      <c r="AL547" s="0" t="n">
        <v>1</v>
      </c>
    </row>
    <row r="548">
      <c r="A548" s="0" t="inlineStr">
        <is>
          <t>[간석동]</t>
        </is>
      </c>
      <c r="B548" s="0" t="n">
        <v>141278</v>
      </c>
      <c r="C548" s="0" t="n">
        <v>5</v>
      </c>
      <c r="D548" s="0" t="inlineStr">
        <is>
          <t>세종에이펙스(도시형)</t>
        </is>
      </c>
      <c r="E548" s="0" t="inlineStr">
        <is>
          <t>2021.04.</t>
        </is>
      </c>
      <c r="F548" s="0" t="n">
        <v>16</v>
      </c>
      <c r="G548" s="0" t="n">
        <v>28.58</v>
      </c>
      <c r="H548" s="0" t="n">
        <v>94.48</v>
      </c>
      <c r="I548" s="0" t="n">
        <v>18.73</v>
      </c>
      <c r="J548" s="0" t="n">
        <v>61.93</v>
      </c>
      <c r="K548" s="0" t="n">
        <v>2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94A</t>
        </is>
      </c>
      <c r="X548" s="0" t="n">
        <v>18</v>
      </c>
      <c r="Y548" s="0" t="n">
        <v>18</v>
      </c>
      <c r="Z548" s="0" t="inlineStr">
        <is>
          <t>https://new.land.naver.com/complexes/141278?tab=detail&amp;rf=Y</t>
        </is>
      </c>
      <c r="AA548" s="0" t="inlineStr">
        <is>
          <t>인천시 남동구 간석동 100-1</t>
        </is>
      </c>
      <c r="AB548" s="0" t="inlineStr">
        <is>
          <t>인천시</t>
        </is>
      </c>
      <c r="AC548" s="0" t="inlineStr">
        <is>
          <t>남동구</t>
        </is>
      </c>
      <c r="AD548" s="0" t="inlineStr">
        <is>
          <t>간석동</t>
        </is>
      </c>
      <c r="AG548" s="0" t="inlineStr">
        <is>
          <t>인천시 남동구 간석로 40</t>
        </is>
      </c>
      <c r="AH548" s="0" t="n">
        <v>0</v>
      </c>
      <c r="AI548" s="0" t="n">
        <v>929</v>
      </c>
      <c r="AJ548" s="0" t="n">
        <v>79</v>
      </c>
      <c r="AK548" s="0" t="n">
        <v>16</v>
      </c>
      <c r="AL548" s="0" t="n">
        <v>1</v>
      </c>
    </row>
    <row r="549">
      <c r="A549" s="0" t="inlineStr">
        <is>
          <t>[간석동]</t>
        </is>
      </c>
      <c r="B549" s="0" t="n">
        <v>141278</v>
      </c>
      <c r="C549" s="0" t="n">
        <v>6</v>
      </c>
      <c r="D549" s="0" t="inlineStr">
        <is>
          <t>세종에이펙스(도시형)</t>
        </is>
      </c>
      <c r="E549" s="0" t="inlineStr">
        <is>
          <t>2021.04.</t>
        </is>
      </c>
      <c r="F549" s="0" t="n">
        <v>16</v>
      </c>
      <c r="G549" s="0" t="n">
        <v>28.61</v>
      </c>
      <c r="H549" s="0" t="n">
        <v>94.59</v>
      </c>
      <c r="I549" s="0" t="n">
        <v>18.71</v>
      </c>
      <c r="J549" s="0" t="n">
        <v>61.88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94B</t>
        </is>
      </c>
      <c r="X549" s="0" t="n">
        <v>18</v>
      </c>
      <c r="Y549" s="0" t="n">
        <v>18</v>
      </c>
      <c r="Z549" s="0" t="inlineStr">
        <is>
          <t>https://new.land.naver.com/complexes/141278?tab=detail&amp;rf=Y</t>
        </is>
      </c>
      <c r="AA549" s="0" t="inlineStr">
        <is>
          <t>인천시 남동구 간석동 100-1</t>
        </is>
      </c>
      <c r="AB549" s="0" t="inlineStr">
        <is>
          <t>인천시</t>
        </is>
      </c>
      <c r="AC549" s="0" t="inlineStr">
        <is>
          <t>남동구</t>
        </is>
      </c>
      <c r="AD549" s="0" t="inlineStr">
        <is>
          <t>간석동</t>
        </is>
      </c>
      <c r="AG549" s="0" t="inlineStr">
        <is>
          <t>인천시 남동구 간석로 40</t>
        </is>
      </c>
      <c r="AH549" s="0" t="n">
        <v>0</v>
      </c>
      <c r="AI549" s="0" t="n">
        <v>929</v>
      </c>
      <c r="AJ549" s="0" t="n">
        <v>79</v>
      </c>
      <c r="AK549" s="0" t="n">
        <v>16</v>
      </c>
      <c r="AL549" s="0" t="n">
        <v>1</v>
      </c>
    </row>
    <row r="550">
      <c r="A550" s="0" t="inlineStr">
        <is>
          <t>[간석동]</t>
        </is>
      </c>
      <c r="B550" s="0" t="n">
        <v>2237</v>
      </c>
      <c r="C550" s="0" t="n">
        <v>1</v>
      </c>
      <c r="D550" s="0" t="inlineStr">
        <is>
          <t>금호</t>
        </is>
      </c>
      <c r="E550" s="0" t="inlineStr">
        <is>
          <t>1987.09.</t>
        </is>
      </c>
      <c r="F550" s="0" t="n">
        <v>630</v>
      </c>
      <c r="G550" s="0" t="n">
        <v>16.58</v>
      </c>
      <c r="H550" s="0" t="n">
        <v>54.81</v>
      </c>
      <c r="I550" s="0" t="n">
        <v>13.03</v>
      </c>
      <c r="J550" s="0" t="n">
        <v>43.08</v>
      </c>
      <c r="K550" s="0" t="n">
        <v>150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54</v>
      </c>
      <c r="X550" s="0" t="n">
        <v>15</v>
      </c>
      <c r="Y550" s="0" t="n">
        <v>15</v>
      </c>
      <c r="Z550" s="0" t="inlineStr">
        <is>
          <t>https://new.land.naver.com/complexes/2237?tab=detail&amp;rf=Y</t>
        </is>
      </c>
      <c r="AA550" s="0" t="inlineStr">
        <is>
          <t>인천시 남동구 간석동 495-5</t>
        </is>
      </c>
      <c r="AB550" s="0" t="inlineStr">
        <is>
          <t>인천시</t>
        </is>
      </c>
      <c r="AC550" s="0" t="inlineStr">
        <is>
          <t>남동구</t>
        </is>
      </c>
      <c r="AD550" s="0" t="inlineStr">
        <is>
          <t>간석동</t>
        </is>
      </c>
      <c r="AG550" s="0" t="inlineStr">
        <is>
          <t>인천시 남동구 구월로 73</t>
        </is>
      </c>
      <c r="AH550" s="0" t="n">
        <v>0</v>
      </c>
      <c r="AI550" s="0" t="n">
        <v>195</v>
      </c>
      <c r="AJ550" s="0" t="n">
        <v>14</v>
      </c>
      <c r="AK550" s="0" t="n">
        <v>348</v>
      </c>
      <c r="AL550" s="0" t="n">
        <v>0.55</v>
      </c>
    </row>
    <row r="551">
      <c r="A551" s="0" t="inlineStr">
        <is>
          <t>[간석동]</t>
        </is>
      </c>
      <c r="B551" s="0" t="n">
        <v>2237</v>
      </c>
      <c r="C551" s="0" t="n">
        <v>2</v>
      </c>
      <c r="D551" s="0" t="inlineStr">
        <is>
          <t>금호</t>
        </is>
      </c>
      <c r="E551" s="0" t="inlineStr">
        <is>
          <t>1987.09.</t>
        </is>
      </c>
      <c r="F551" s="0" t="n">
        <v>630</v>
      </c>
      <c r="G551" s="0" t="n">
        <v>22.81</v>
      </c>
      <c r="H551" s="0" t="n">
        <v>75.41</v>
      </c>
      <c r="I551" s="0" t="n">
        <v>17.93</v>
      </c>
      <c r="J551" s="0" t="n">
        <v>59.28</v>
      </c>
      <c r="K551" s="0" t="n">
        <v>120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75</v>
      </c>
      <c r="X551" s="0" t="n">
        <v>15</v>
      </c>
      <c r="Y551" s="0" t="n">
        <v>15</v>
      </c>
      <c r="Z551" s="0" t="inlineStr">
        <is>
          <t>https://new.land.naver.com/complexes/2237?tab=detail&amp;rf=Y</t>
        </is>
      </c>
      <c r="AA551" s="0" t="inlineStr">
        <is>
          <t>인천시 남동구 간석동 495-5</t>
        </is>
      </c>
      <c r="AB551" s="0" t="inlineStr">
        <is>
          <t>인천시</t>
        </is>
      </c>
      <c r="AC551" s="0" t="inlineStr">
        <is>
          <t>남동구</t>
        </is>
      </c>
      <c r="AD551" s="0" t="inlineStr">
        <is>
          <t>간석동</t>
        </is>
      </c>
      <c r="AG551" s="0" t="inlineStr">
        <is>
          <t>인천시 남동구 구월로 73</t>
        </is>
      </c>
      <c r="AH551" s="0" t="n">
        <v>0</v>
      </c>
      <c r="AI551" s="0" t="n">
        <v>195</v>
      </c>
      <c r="AJ551" s="0" t="n">
        <v>14</v>
      </c>
      <c r="AK551" s="0" t="n">
        <v>348</v>
      </c>
      <c r="AL551" s="0" t="n">
        <v>0.55</v>
      </c>
    </row>
    <row r="552">
      <c r="A552" s="0" t="inlineStr">
        <is>
          <t>[간석동]</t>
        </is>
      </c>
      <c r="B552" s="0" t="n">
        <v>2237</v>
      </c>
      <c r="C552" s="0" t="n">
        <v>3</v>
      </c>
      <c r="D552" s="0" t="inlineStr">
        <is>
          <t>금호</t>
        </is>
      </c>
      <c r="E552" s="0" t="inlineStr">
        <is>
          <t>1987.09.</t>
        </is>
      </c>
      <c r="F552" s="0" t="n">
        <v>630</v>
      </c>
      <c r="G552" s="0" t="n">
        <v>28.1</v>
      </c>
      <c r="H552" s="0" t="n">
        <v>92.92</v>
      </c>
      <c r="I552" s="0" t="n">
        <v>23.35</v>
      </c>
      <c r="J552" s="0" t="n">
        <v>77.2</v>
      </c>
      <c r="K552" s="0" t="n">
        <v>180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92</v>
      </c>
      <c r="X552" s="0" t="n">
        <v>15</v>
      </c>
      <c r="Y552" s="0" t="n">
        <v>15</v>
      </c>
      <c r="Z552" s="0" t="inlineStr">
        <is>
          <t>https://new.land.naver.com/complexes/2237?tab=detail&amp;rf=Y</t>
        </is>
      </c>
      <c r="AA552" s="0" t="inlineStr">
        <is>
          <t>인천시 남동구 간석동 495-5</t>
        </is>
      </c>
      <c r="AB552" s="0" t="inlineStr">
        <is>
          <t>인천시</t>
        </is>
      </c>
      <c r="AC552" s="0" t="inlineStr">
        <is>
          <t>남동구</t>
        </is>
      </c>
      <c r="AD552" s="0" t="inlineStr">
        <is>
          <t>간석동</t>
        </is>
      </c>
      <c r="AG552" s="0" t="inlineStr">
        <is>
          <t>인천시 남동구 구월로 73</t>
        </is>
      </c>
      <c r="AH552" s="0" t="n">
        <v>0</v>
      </c>
      <c r="AI552" s="0" t="n">
        <v>195</v>
      </c>
      <c r="AJ552" s="0" t="n">
        <v>14</v>
      </c>
      <c r="AK552" s="0" t="n">
        <v>348</v>
      </c>
      <c r="AL552" s="0" t="n">
        <v>0.55</v>
      </c>
    </row>
    <row r="553">
      <c r="A553" s="0" t="inlineStr">
        <is>
          <t>[간석동]</t>
        </is>
      </c>
      <c r="B553" s="0" t="n">
        <v>2237</v>
      </c>
      <c r="C553" s="0" t="n">
        <v>4</v>
      </c>
      <c r="D553" s="0" t="inlineStr">
        <is>
          <t>금호</t>
        </is>
      </c>
      <c r="E553" s="0" t="inlineStr">
        <is>
          <t>1987.09.</t>
        </is>
      </c>
      <c r="F553" s="0" t="n">
        <v>630</v>
      </c>
      <c r="G553" s="0" t="n">
        <v>30.64</v>
      </c>
      <c r="H553" s="0" t="n">
        <v>101.29</v>
      </c>
      <c r="I553" s="0" t="n">
        <v>25.62</v>
      </c>
      <c r="J553" s="0" t="n">
        <v>84.7</v>
      </c>
      <c r="K553" s="0" t="n">
        <v>120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101</v>
      </c>
      <c r="X553" s="0" t="n">
        <v>15</v>
      </c>
      <c r="Y553" s="0" t="n">
        <v>15</v>
      </c>
      <c r="Z553" s="0" t="inlineStr">
        <is>
          <t>https://new.land.naver.com/complexes/2237?tab=detail&amp;rf=Y</t>
        </is>
      </c>
      <c r="AA553" s="0" t="inlineStr">
        <is>
          <t>인천시 남동구 간석동 495-5</t>
        </is>
      </c>
      <c r="AB553" s="0" t="inlineStr">
        <is>
          <t>인천시</t>
        </is>
      </c>
      <c r="AC553" s="0" t="inlineStr">
        <is>
          <t>남동구</t>
        </is>
      </c>
      <c r="AD553" s="0" t="inlineStr">
        <is>
          <t>간석동</t>
        </is>
      </c>
      <c r="AG553" s="0" t="inlineStr">
        <is>
          <t>인천시 남동구 구월로 73</t>
        </is>
      </c>
      <c r="AH553" s="0" t="n">
        <v>0</v>
      </c>
      <c r="AI553" s="0" t="n">
        <v>195</v>
      </c>
      <c r="AJ553" s="0" t="n">
        <v>14</v>
      </c>
      <c r="AK553" s="0" t="n">
        <v>348</v>
      </c>
      <c r="AL553" s="0" t="n">
        <v>0.55</v>
      </c>
    </row>
    <row r="554">
      <c r="A554" s="0" t="inlineStr">
        <is>
          <t>[간석동]</t>
        </is>
      </c>
      <c r="B554" s="0" t="n">
        <v>2237</v>
      </c>
      <c r="C554" s="0" t="n">
        <v>5</v>
      </c>
      <c r="D554" s="0" t="inlineStr">
        <is>
          <t>금호</t>
        </is>
      </c>
      <c r="E554" s="0" t="inlineStr">
        <is>
          <t>1987.09.</t>
        </is>
      </c>
      <c r="F554" s="0" t="n">
        <v>630</v>
      </c>
      <c r="G554" s="0" t="n">
        <v>35.49</v>
      </c>
      <c r="H554" s="0" t="n">
        <v>117.33</v>
      </c>
      <c r="I554" s="0" t="n">
        <v>29.98</v>
      </c>
      <c r="J554" s="0" t="n">
        <v>99.14</v>
      </c>
      <c r="K554" s="0" t="n">
        <v>60</v>
      </c>
      <c r="T554" s="0" t="n">
        <v>4</v>
      </c>
      <c r="U554" s="0" t="n">
        <v>2</v>
      </c>
      <c r="V554" s="0" t="inlineStr">
        <is>
          <t>계단식</t>
        </is>
      </c>
      <c r="W554" s="0" t="n">
        <v>117</v>
      </c>
      <c r="X554" s="0" t="n">
        <v>15</v>
      </c>
      <c r="Y554" s="0" t="n">
        <v>15</v>
      </c>
      <c r="Z554" s="0" t="inlineStr">
        <is>
          <t>https://new.land.naver.com/complexes/2237?tab=detail&amp;rf=Y</t>
        </is>
      </c>
      <c r="AA554" s="0" t="inlineStr">
        <is>
          <t>인천시 남동구 간석동 495-5</t>
        </is>
      </c>
      <c r="AB554" s="0" t="inlineStr">
        <is>
          <t>인천시</t>
        </is>
      </c>
      <c r="AC554" s="0" t="inlineStr">
        <is>
          <t>남동구</t>
        </is>
      </c>
      <c r="AD554" s="0" t="inlineStr">
        <is>
          <t>간석동</t>
        </is>
      </c>
      <c r="AG554" s="0" t="inlineStr">
        <is>
          <t>인천시 남동구 구월로 73</t>
        </is>
      </c>
      <c r="AH554" s="0" t="n">
        <v>0</v>
      </c>
      <c r="AI554" s="0" t="n">
        <v>195</v>
      </c>
      <c r="AJ554" s="0" t="n">
        <v>14</v>
      </c>
      <c r="AK554" s="0" t="n">
        <v>348</v>
      </c>
      <c r="AL554" s="0" t="n">
        <v>0.55</v>
      </c>
    </row>
    <row r="555">
      <c r="A555" s="0" t="inlineStr">
        <is>
          <t>[간석동]</t>
        </is>
      </c>
      <c r="B555" s="0" t="n">
        <v>10090</v>
      </c>
      <c r="C555" s="0" t="n">
        <v>1</v>
      </c>
      <c r="D555" s="0" t="inlineStr">
        <is>
          <t>삼우</t>
        </is>
      </c>
      <c r="E555" s="0" t="inlineStr">
        <is>
          <t>1986.12.</t>
        </is>
      </c>
      <c r="F555" s="0" t="n">
        <v>60</v>
      </c>
      <c r="G555" s="0" t="n">
        <v>21.14</v>
      </c>
      <c r="H555" s="0" t="n">
        <v>69.89</v>
      </c>
      <c r="I555" s="0" t="n">
        <v>16.75</v>
      </c>
      <c r="J555" s="0" t="n">
        <v>55.39</v>
      </c>
      <c r="K555" s="0" t="n">
        <v>20</v>
      </c>
      <c r="T555" s="0" t="n">
        <v>2</v>
      </c>
      <c r="U555" s="0" t="n">
        <v>1</v>
      </c>
      <c r="V555" s="0" t="inlineStr">
        <is>
          <t>계단식</t>
        </is>
      </c>
      <c r="W555" s="0" t="inlineStr">
        <is>
          <t>69A</t>
        </is>
      </c>
      <c r="X555" s="0" t="n">
        <v>5</v>
      </c>
      <c r="Y555" s="0" t="n">
        <v>5</v>
      </c>
      <c r="Z555" s="0" t="inlineStr">
        <is>
          <t>https://new.land.naver.com/complexes/10090?tab=detail&amp;rf=Y</t>
        </is>
      </c>
      <c r="AA555" s="0" t="inlineStr">
        <is>
          <t>인천시 남동구 간석동 293-1</t>
        </is>
      </c>
      <c r="AB555" s="0" t="inlineStr">
        <is>
          <t>인천시</t>
        </is>
      </c>
      <c r="AC555" s="0" t="inlineStr">
        <is>
          <t>남동구</t>
        </is>
      </c>
      <c r="AD555" s="0" t="inlineStr">
        <is>
          <t>간석동</t>
        </is>
      </c>
      <c r="AG555" s="0" t="inlineStr">
        <is>
          <t>인천시 남동구 구월로157번길 46-4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[간석동]</t>
        </is>
      </c>
      <c r="B556" s="0" t="n">
        <v>10090</v>
      </c>
      <c r="C556" s="0" t="n">
        <v>2</v>
      </c>
      <c r="D556" s="0" t="inlineStr">
        <is>
          <t>삼우</t>
        </is>
      </c>
      <c r="E556" s="0" t="inlineStr">
        <is>
          <t>1986.12.</t>
        </is>
      </c>
      <c r="F556" s="0" t="n">
        <v>60</v>
      </c>
      <c r="G556" s="0" t="n">
        <v>21.21</v>
      </c>
      <c r="H556" s="0" t="n">
        <v>70.13</v>
      </c>
      <c r="I556" s="0" t="n">
        <v>16.81</v>
      </c>
      <c r="J556" s="0" t="n">
        <v>55.59</v>
      </c>
      <c r="K556" s="0" t="n">
        <v>10</v>
      </c>
      <c r="T556" s="0" t="n">
        <v>2</v>
      </c>
      <c r="U556" s="0" t="n">
        <v>1</v>
      </c>
      <c r="V556" s="0" t="inlineStr">
        <is>
          <t>계단식</t>
        </is>
      </c>
      <c r="W556" s="0" t="inlineStr">
        <is>
          <t>70B</t>
        </is>
      </c>
      <c r="X556" s="0" t="n">
        <v>5</v>
      </c>
      <c r="Y556" s="0" t="n">
        <v>5</v>
      </c>
      <c r="Z556" s="0" t="inlineStr">
        <is>
          <t>https://new.land.naver.com/complexes/10090?tab=detail&amp;rf=Y</t>
        </is>
      </c>
      <c r="AA556" s="0" t="inlineStr">
        <is>
          <t>인천시 남동구 간석동 293-1</t>
        </is>
      </c>
      <c r="AB556" s="0" t="inlineStr">
        <is>
          <t>인천시</t>
        </is>
      </c>
      <c r="AC556" s="0" t="inlineStr">
        <is>
          <t>남동구</t>
        </is>
      </c>
      <c r="AD556" s="0" t="inlineStr">
        <is>
          <t>간석동</t>
        </is>
      </c>
      <c r="AG556" s="0" t="inlineStr">
        <is>
          <t>인천시 남동구 구월로157번길 46-4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[간석동]</t>
        </is>
      </c>
      <c r="B557" s="0" t="n">
        <v>10090</v>
      </c>
      <c r="C557" s="0" t="n">
        <v>3</v>
      </c>
      <c r="D557" s="0" t="inlineStr">
        <is>
          <t>삼우</t>
        </is>
      </c>
      <c r="E557" s="0" t="inlineStr">
        <is>
          <t>1986.12.</t>
        </is>
      </c>
      <c r="F557" s="0" t="n">
        <v>60</v>
      </c>
      <c r="G557" s="0" t="n">
        <v>21.98</v>
      </c>
      <c r="H557" s="0" t="n">
        <v>72.68000000000001</v>
      </c>
      <c r="I557" s="0" t="n">
        <v>17.47</v>
      </c>
      <c r="J557" s="0" t="n">
        <v>57.78</v>
      </c>
      <c r="K557" s="0" t="n">
        <v>30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72</v>
      </c>
      <c r="X557" s="0" t="n">
        <v>5</v>
      </c>
      <c r="Y557" s="0" t="n">
        <v>5</v>
      </c>
      <c r="Z557" s="0" t="inlineStr">
        <is>
          <t>https://new.land.naver.com/complexes/10090?tab=detail&amp;rf=Y</t>
        </is>
      </c>
      <c r="AA557" s="0" t="inlineStr">
        <is>
          <t>인천시 남동구 간석동 293-1</t>
        </is>
      </c>
      <c r="AB557" s="0" t="inlineStr">
        <is>
          <t>인천시</t>
        </is>
      </c>
      <c r="AC557" s="0" t="inlineStr">
        <is>
          <t>남동구</t>
        </is>
      </c>
      <c r="AD557" s="0" t="inlineStr">
        <is>
          <t>간석동</t>
        </is>
      </c>
      <c r="AG557" s="0" t="inlineStr">
        <is>
          <t>인천시 남동구 구월로157번길 46-4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[간석동]</t>
        </is>
      </c>
      <c r="B558" s="0" t="n">
        <v>10958</v>
      </c>
      <c r="C558" s="0" t="n">
        <v>1</v>
      </c>
      <c r="D558" s="0" t="inlineStr">
        <is>
          <t>성락</t>
        </is>
      </c>
      <c r="E558" s="0" t="inlineStr">
        <is>
          <t>1983.03.</t>
        </is>
      </c>
      <c r="F558" s="0" t="n">
        <v>122</v>
      </c>
      <c r="G558" s="0" t="n">
        <v>18.09</v>
      </c>
      <c r="H558" s="0" t="n">
        <v>59.81</v>
      </c>
      <c r="I558" s="0" t="n">
        <v>15.88</v>
      </c>
      <c r="J558" s="0" t="n">
        <v>52.51</v>
      </c>
      <c r="K558" s="0" t="n">
        <v>122</v>
      </c>
      <c r="T558" s="0" t="n">
        <v>2</v>
      </c>
      <c r="U558" s="0" t="n">
        <v>1</v>
      </c>
      <c r="V558" s="0" t="inlineStr">
        <is>
          <t>계단식</t>
        </is>
      </c>
      <c r="W558" s="0" t="n">
        <v>59</v>
      </c>
      <c r="X558" s="0" t="n">
        <v>5</v>
      </c>
      <c r="Y558" s="0" t="n">
        <v>3</v>
      </c>
      <c r="Z558" s="0" t="inlineStr">
        <is>
          <t>https://new.land.naver.com/complexes/10958?tab=detail&amp;rf=Y</t>
        </is>
      </c>
      <c r="AA558" s="0" t="inlineStr">
        <is>
          <t>인천시 남동구 간석동 514</t>
        </is>
      </c>
      <c r="AB558" s="0" t="inlineStr">
        <is>
          <t>인천시</t>
        </is>
      </c>
      <c r="AC558" s="0" t="inlineStr">
        <is>
          <t>남동구</t>
        </is>
      </c>
      <c r="AD558" s="0" t="inlineStr">
        <is>
          <t>간석동</t>
        </is>
      </c>
      <c r="AG558" s="0" t="inlineStr">
        <is>
          <t>인천시 남동구 석산로72번길 18</t>
        </is>
      </c>
      <c r="AH558" s="0" t="n">
        <v>0</v>
      </c>
      <c r="AI558" s="0" t="n">
        <v>113</v>
      </c>
      <c r="AJ558" s="0" t="n">
        <v>24</v>
      </c>
      <c r="AK558" s="0" t="n">
        <v>0</v>
      </c>
      <c r="AL558" s="0" t="n">
        <v>0</v>
      </c>
    </row>
    <row r="559">
      <c r="A559" s="0" t="inlineStr">
        <is>
          <t>[간석동]</t>
        </is>
      </c>
      <c r="B559" s="0" t="n">
        <v>111008</v>
      </c>
      <c r="C559" s="0" t="n">
        <v>1</v>
      </c>
      <c r="D559" s="0" t="inlineStr">
        <is>
          <t>다솜팔라시오</t>
        </is>
      </c>
      <c r="E559" s="0" t="inlineStr">
        <is>
          <t>2010.01.</t>
        </is>
      </c>
      <c r="F559" s="0" t="n">
        <v>19</v>
      </c>
      <c r="G559" s="0" t="n">
        <v>21.46</v>
      </c>
      <c r="H559" s="0" t="n">
        <v>70.97</v>
      </c>
      <c r="I559" s="0" t="n">
        <v>19.03</v>
      </c>
      <c r="J559" s="0" t="n">
        <v>62.93</v>
      </c>
      <c r="K559" s="0" t="n">
        <v>4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70</v>
      </c>
      <c r="X559" s="0" t="n">
        <v>7</v>
      </c>
      <c r="Y559" s="0" t="n">
        <v>6</v>
      </c>
      <c r="Z559" s="0" t="inlineStr">
        <is>
          <t>https://new.land.naver.com/complexes/111008?tab=detail&amp;rf=Y</t>
        </is>
      </c>
      <c r="AA559" s="0" t="inlineStr">
        <is>
          <t>인천시 남동구 간석동 216-8</t>
        </is>
      </c>
      <c r="AB559" s="0" t="inlineStr">
        <is>
          <t>인천시</t>
        </is>
      </c>
      <c r="AC559" s="0" t="inlineStr">
        <is>
          <t>남동구</t>
        </is>
      </c>
      <c r="AD559" s="0" t="inlineStr">
        <is>
          <t>간석동</t>
        </is>
      </c>
      <c r="AG559" s="0" t="inlineStr">
        <is>
          <t>인천시 남동구 백범로 398-1</t>
        </is>
      </c>
      <c r="AH559" s="0" t="n">
        <v>0</v>
      </c>
      <c r="AI559" s="0" t="n">
        <v>299</v>
      </c>
      <c r="AJ559" s="0" t="n">
        <v>59</v>
      </c>
      <c r="AK559" s="0" t="n">
        <v>18</v>
      </c>
      <c r="AL559" s="0" t="n">
        <v>0.95</v>
      </c>
    </row>
    <row r="560">
      <c r="A560" s="0" t="inlineStr">
        <is>
          <t>[간석동]</t>
        </is>
      </c>
      <c r="B560" s="0" t="n">
        <v>111008</v>
      </c>
      <c r="C560" s="0" t="n">
        <v>2</v>
      </c>
      <c r="D560" s="0" t="inlineStr">
        <is>
          <t>다솜팔라시오</t>
        </is>
      </c>
      <c r="E560" s="0" t="inlineStr">
        <is>
          <t>2010.01.</t>
        </is>
      </c>
      <c r="F560" s="0" t="n">
        <v>19</v>
      </c>
      <c r="G560" s="0" t="n">
        <v>21.55</v>
      </c>
      <c r="H560" s="0" t="n">
        <v>71.26000000000001</v>
      </c>
      <c r="I560" s="0" t="n">
        <v>19.11</v>
      </c>
      <c r="J560" s="0" t="n">
        <v>63.18</v>
      </c>
      <c r="K560" s="0" t="n">
        <v>4</v>
      </c>
      <c r="T560" s="0" t="n">
        <v>3</v>
      </c>
      <c r="U560" s="0" t="n">
        <v>1</v>
      </c>
      <c r="V560" s="0" t="inlineStr">
        <is>
          <t>계단식</t>
        </is>
      </c>
      <c r="W560" s="0" t="inlineStr">
        <is>
          <t>71A</t>
        </is>
      </c>
      <c r="X560" s="0" t="n">
        <v>7</v>
      </c>
      <c r="Y560" s="0" t="n">
        <v>6</v>
      </c>
      <c r="Z560" s="0" t="inlineStr">
        <is>
          <t>https://new.land.naver.com/complexes/111008?tab=detail&amp;rf=Y</t>
        </is>
      </c>
      <c r="AA560" s="0" t="inlineStr">
        <is>
          <t>인천시 남동구 간석동 216-8</t>
        </is>
      </c>
      <c r="AB560" s="0" t="inlineStr">
        <is>
          <t>인천시</t>
        </is>
      </c>
      <c r="AC560" s="0" t="inlineStr">
        <is>
          <t>남동구</t>
        </is>
      </c>
      <c r="AD560" s="0" t="inlineStr">
        <is>
          <t>간석동</t>
        </is>
      </c>
      <c r="AG560" s="0" t="inlineStr">
        <is>
          <t>인천시 남동구 백범로 398-1</t>
        </is>
      </c>
      <c r="AH560" s="0" t="n">
        <v>0</v>
      </c>
      <c r="AI560" s="0" t="n">
        <v>299</v>
      </c>
      <c r="AJ560" s="0" t="n">
        <v>59</v>
      </c>
      <c r="AK560" s="0" t="n">
        <v>18</v>
      </c>
      <c r="AL560" s="0" t="n">
        <v>0.95</v>
      </c>
    </row>
    <row r="561">
      <c r="A561" s="0" t="inlineStr">
        <is>
          <t>[간석동]</t>
        </is>
      </c>
      <c r="B561" s="0" t="n">
        <v>111008</v>
      </c>
      <c r="C561" s="0" t="n">
        <v>3</v>
      </c>
      <c r="D561" s="0" t="inlineStr">
        <is>
          <t>다솜팔라시오</t>
        </is>
      </c>
      <c r="E561" s="0" t="inlineStr">
        <is>
          <t>2010.01.</t>
        </is>
      </c>
      <c r="F561" s="0" t="n">
        <v>19</v>
      </c>
      <c r="G561" s="0" t="n">
        <v>21.77</v>
      </c>
      <c r="H561" s="0" t="n">
        <v>71.98</v>
      </c>
      <c r="I561" s="0" t="n">
        <v>19.3</v>
      </c>
      <c r="J561" s="0" t="n">
        <v>63.81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inlineStr">
        <is>
          <t>71B</t>
        </is>
      </c>
      <c r="X561" s="0" t="n">
        <v>7</v>
      </c>
      <c r="Y561" s="0" t="n">
        <v>6</v>
      </c>
      <c r="Z561" s="0" t="inlineStr">
        <is>
          <t>https://new.land.naver.com/complexes/111008?tab=detail&amp;rf=Y</t>
        </is>
      </c>
      <c r="AA561" s="0" t="inlineStr">
        <is>
          <t>인천시 남동구 간석동 216-8</t>
        </is>
      </c>
      <c r="AB561" s="0" t="inlineStr">
        <is>
          <t>인천시</t>
        </is>
      </c>
      <c r="AC561" s="0" t="inlineStr">
        <is>
          <t>남동구</t>
        </is>
      </c>
      <c r="AD561" s="0" t="inlineStr">
        <is>
          <t>간석동</t>
        </is>
      </c>
      <c r="AG561" s="0" t="inlineStr">
        <is>
          <t>인천시 남동구 백범로 398-1</t>
        </is>
      </c>
      <c r="AH561" s="0" t="n">
        <v>0</v>
      </c>
      <c r="AI561" s="0" t="n">
        <v>299</v>
      </c>
      <c r="AJ561" s="0" t="n">
        <v>59</v>
      </c>
      <c r="AK561" s="0" t="n">
        <v>18</v>
      </c>
      <c r="AL561" s="0" t="n">
        <v>0.95</v>
      </c>
    </row>
    <row r="562">
      <c r="A562" s="0" t="inlineStr">
        <is>
          <t>[간석동]</t>
        </is>
      </c>
      <c r="B562" s="0" t="n">
        <v>111008</v>
      </c>
      <c r="C562" s="0" t="n">
        <v>4</v>
      </c>
      <c r="D562" s="0" t="inlineStr">
        <is>
          <t>다솜팔라시오</t>
        </is>
      </c>
      <c r="E562" s="0" t="inlineStr">
        <is>
          <t>2010.01.</t>
        </is>
      </c>
      <c r="F562" s="0" t="n">
        <v>19</v>
      </c>
      <c r="G562" s="0" t="n">
        <v>22.11</v>
      </c>
      <c r="H562" s="0" t="n">
        <v>73.11</v>
      </c>
      <c r="I562" s="0" t="n">
        <v>19.6</v>
      </c>
      <c r="J562" s="0" t="n">
        <v>64.81999999999999</v>
      </c>
      <c r="K562" s="0" t="n">
        <v>5</v>
      </c>
      <c r="T562" s="0" t="n">
        <v>3</v>
      </c>
      <c r="U562" s="0" t="n">
        <v>1</v>
      </c>
      <c r="V562" s="0" t="inlineStr">
        <is>
          <t>계단식</t>
        </is>
      </c>
      <c r="W562" s="0" t="inlineStr">
        <is>
          <t>73C</t>
        </is>
      </c>
      <c r="X562" s="0" t="n">
        <v>7</v>
      </c>
      <c r="Y562" s="0" t="n">
        <v>6</v>
      </c>
      <c r="Z562" s="0" t="inlineStr">
        <is>
          <t>https://new.land.naver.com/complexes/111008?tab=detail&amp;rf=Y</t>
        </is>
      </c>
      <c r="AA562" s="0" t="inlineStr">
        <is>
          <t>인천시 남동구 간석동 216-8</t>
        </is>
      </c>
      <c r="AB562" s="0" t="inlineStr">
        <is>
          <t>인천시</t>
        </is>
      </c>
      <c r="AC562" s="0" t="inlineStr">
        <is>
          <t>남동구</t>
        </is>
      </c>
      <c r="AD562" s="0" t="inlineStr">
        <is>
          <t>간석동</t>
        </is>
      </c>
      <c r="AG562" s="0" t="inlineStr">
        <is>
          <t>인천시 남동구 백범로 398-1</t>
        </is>
      </c>
      <c r="AH562" s="0" t="n">
        <v>0</v>
      </c>
      <c r="AI562" s="0" t="n">
        <v>299</v>
      </c>
      <c r="AJ562" s="0" t="n">
        <v>59</v>
      </c>
      <c r="AK562" s="0" t="n">
        <v>18</v>
      </c>
      <c r="AL562" s="0" t="n">
        <v>0.95</v>
      </c>
    </row>
    <row r="563">
      <c r="A563" s="0" t="inlineStr">
        <is>
          <t>[간석동]</t>
        </is>
      </c>
      <c r="B563" s="0" t="n">
        <v>111008</v>
      </c>
      <c r="C563" s="0" t="n">
        <v>5</v>
      </c>
      <c r="D563" s="0" t="inlineStr">
        <is>
          <t>다솜팔라시오</t>
        </is>
      </c>
      <c r="E563" s="0" t="inlineStr">
        <is>
          <t>2010.01.</t>
        </is>
      </c>
      <c r="F563" s="0" t="n">
        <v>19</v>
      </c>
      <c r="G563" s="0" t="n">
        <v>22.79</v>
      </c>
      <c r="H563" s="0" t="n">
        <v>75.34999999999999</v>
      </c>
      <c r="I563" s="0" t="n">
        <v>20.06</v>
      </c>
      <c r="J563" s="0" t="n">
        <v>66.33</v>
      </c>
      <c r="K563" s="0" t="n">
        <v>1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75</v>
      </c>
      <c r="X563" s="0" t="n">
        <v>7</v>
      </c>
      <c r="Y563" s="0" t="n">
        <v>6</v>
      </c>
      <c r="Z563" s="0" t="inlineStr">
        <is>
          <t>https://new.land.naver.com/complexes/111008?tab=detail&amp;rf=Y</t>
        </is>
      </c>
      <c r="AA563" s="0" t="inlineStr">
        <is>
          <t>인천시 남동구 간석동 216-8</t>
        </is>
      </c>
      <c r="AB563" s="0" t="inlineStr">
        <is>
          <t>인천시</t>
        </is>
      </c>
      <c r="AC563" s="0" t="inlineStr">
        <is>
          <t>남동구</t>
        </is>
      </c>
      <c r="AD563" s="0" t="inlineStr">
        <is>
          <t>간석동</t>
        </is>
      </c>
      <c r="AG563" s="0" t="inlineStr">
        <is>
          <t>인천시 남동구 백범로 398-1</t>
        </is>
      </c>
      <c r="AH563" s="0" t="n">
        <v>0</v>
      </c>
      <c r="AI563" s="0" t="n">
        <v>299</v>
      </c>
      <c r="AJ563" s="0" t="n">
        <v>59</v>
      </c>
      <c r="AK563" s="0" t="n">
        <v>18</v>
      </c>
      <c r="AL563" s="0" t="n">
        <v>0.95</v>
      </c>
    </row>
    <row r="564">
      <c r="A564" s="0" t="inlineStr">
        <is>
          <t>[간석동]</t>
        </is>
      </c>
      <c r="B564" s="0" t="n">
        <v>111008</v>
      </c>
      <c r="C564" s="0" t="n">
        <v>6</v>
      </c>
      <c r="D564" s="0" t="inlineStr">
        <is>
          <t>다솜팔라시오</t>
        </is>
      </c>
      <c r="E564" s="0" t="inlineStr">
        <is>
          <t>2010.01.</t>
        </is>
      </c>
      <c r="F564" s="0" t="n">
        <v>19</v>
      </c>
      <c r="G564" s="0" t="n">
        <v>27.25</v>
      </c>
      <c r="H564" s="0" t="n">
        <v>90.09999999999999</v>
      </c>
      <c r="I564" s="0" t="n">
        <v>23.99</v>
      </c>
      <c r="J564" s="0" t="n">
        <v>79.31999999999999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90</v>
      </c>
      <c r="X564" s="0" t="n">
        <v>7</v>
      </c>
      <c r="Y564" s="0" t="n">
        <v>6</v>
      </c>
      <c r="Z564" s="0" t="inlineStr">
        <is>
          <t>https://new.land.naver.com/complexes/111008?tab=detail&amp;rf=Y</t>
        </is>
      </c>
      <c r="AA564" s="0" t="inlineStr">
        <is>
          <t>인천시 남동구 간석동 216-8</t>
        </is>
      </c>
      <c r="AB564" s="0" t="inlineStr">
        <is>
          <t>인천시</t>
        </is>
      </c>
      <c r="AC564" s="0" t="inlineStr">
        <is>
          <t>남동구</t>
        </is>
      </c>
      <c r="AD564" s="0" t="inlineStr">
        <is>
          <t>간석동</t>
        </is>
      </c>
      <c r="AG564" s="0" t="inlineStr">
        <is>
          <t>인천시 남동구 백범로 398-1</t>
        </is>
      </c>
      <c r="AH564" s="0" t="n">
        <v>0</v>
      </c>
      <c r="AI564" s="0" t="n">
        <v>299</v>
      </c>
      <c r="AJ564" s="0" t="n">
        <v>59</v>
      </c>
      <c r="AK564" s="0" t="n">
        <v>18</v>
      </c>
      <c r="AL564" s="0" t="n">
        <v>0.95</v>
      </c>
    </row>
    <row r="565">
      <c r="A565" s="0" t="inlineStr">
        <is>
          <t>[간석동]</t>
        </is>
      </c>
      <c r="B565" s="0" t="n">
        <v>119865</v>
      </c>
      <c r="C565" s="0" t="n">
        <v>1</v>
      </c>
      <c r="D565" s="0" t="inlineStr">
        <is>
          <t>하이네스</t>
        </is>
      </c>
      <c r="E565" s="0" t="inlineStr">
        <is>
          <t>2017.11.</t>
        </is>
      </c>
      <c r="F565" s="0" t="n">
        <v>14</v>
      </c>
      <c r="G565" s="0" t="n">
        <v>18.9</v>
      </c>
      <c r="H565" s="0" t="n">
        <v>62.49</v>
      </c>
      <c r="I565" s="0" t="n">
        <v>14.24</v>
      </c>
      <c r="J565" s="0" t="n">
        <v>47.08</v>
      </c>
      <c r="K565" s="0" t="n">
        <v>3</v>
      </c>
      <c r="T565" s="0" t="n">
        <v>2</v>
      </c>
      <c r="U565" s="0" t="n">
        <v>1</v>
      </c>
      <c r="V565" s="0" t="inlineStr">
        <is>
          <t>계단식</t>
        </is>
      </c>
      <c r="W565" s="0" t="inlineStr">
        <is>
          <t>62A</t>
        </is>
      </c>
      <c r="X565" s="0" t="n">
        <v>14</v>
      </c>
      <c r="Y565" s="0" t="n">
        <v>13</v>
      </c>
      <c r="Z565" s="0" t="inlineStr">
        <is>
          <t>https://new.land.naver.com/complexes/119865?tab=detail&amp;rf=Y</t>
        </is>
      </c>
      <c r="AA565" s="0" t="inlineStr">
        <is>
          <t>인천시 남동구 간석동 106-10</t>
        </is>
      </c>
      <c r="AB565" s="0" t="inlineStr">
        <is>
          <t>인천시</t>
        </is>
      </c>
      <c r="AC565" s="0" t="inlineStr">
        <is>
          <t>남동구</t>
        </is>
      </c>
      <c r="AD565" s="0" t="inlineStr">
        <is>
          <t>간석동</t>
        </is>
      </c>
      <c r="AG565" s="0" t="inlineStr">
        <is>
          <t>인천시 남동구 간석로12번길 5</t>
        </is>
      </c>
      <c r="AH565" s="0" t="n">
        <v>0</v>
      </c>
      <c r="AI565" s="0" t="n">
        <v>865</v>
      </c>
      <c r="AJ565" s="0" t="n">
        <v>72</v>
      </c>
      <c r="AK565" s="0" t="n">
        <v>10</v>
      </c>
      <c r="AL565" s="0" t="n">
        <v>0.71</v>
      </c>
    </row>
    <row r="566">
      <c r="A566" s="0" t="inlineStr">
        <is>
          <t>[간석동]</t>
        </is>
      </c>
      <c r="B566" s="0" t="n">
        <v>119865</v>
      </c>
      <c r="C566" s="0" t="n">
        <v>2</v>
      </c>
      <c r="D566" s="0" t="inlineStr">
        <is>
          <t>하이네스</t>
        </is>
      </c>
      <c r="E566" s="0" t="inlineStr">
        <is>
          <t>2017.11.</t>
        </is>
      </c>
      <c r="F566" s="0" t="n">
        <v>14</v>
      </c>
      <c r="G566" s="0" t="n">
        <v>18.86</v>
      </c>
      <c r="H566" s="0" t="n">
        <v>62.36</v>
      </c>
      <c r="I566" s="0" t="n">
        <v>14.59</v>
      </c>
      <c r="J566" s="0" t="n">
        <v>48.24</v>
      </c>
      <c r="K566" s="0" t="n">
        <v>3</v>
      </c>
      <c r="T566" s="0" t="n">
        <v>2</v>
      </c>
      <c r="U566" s="0" t="n">
        <v>1</v>
      </c>
      <c r="V566" s="0" t="inlineStr">
        <is>
          <t>계단식</t>
        </is>
      </c>
      <c r="W566" s="0" t="inlineStr">
        <is>
          <t>62B</t>
        </is>
      </c>
      <c r="X566" s="0" t="n">
        <v>14</v>
      </c>
      <c r="Y566" s="0" t="n">
        <v>13</v>
      </c>
      <c r="Z566" s="0" t="inlineStr">
        <is>
          <t>https://new.land.naver.com/complexes/119865?tab=detail&amp;rf=Y</t>
        </is>
      </c>
      <c r="AA566" s="0" t="inlineStr">
        <is>
          <t>인천시 남동구 간석동 106-10</t>
        </is>
      </c>
      <c r="AB566" s="0" t="inlineStr">
        <is>
          <t>인천시</t>
        </is>
      </c>
      <c r="AC566" s="0" t="inlineStr">
        <is>
          <t>남동구</t>
        </is>
      </c>
      <c r="AD566" s="0" t="inlineStr">
        <is>
          <t>간석동</t>
        </is>
      </c>
      <c r="AG566" s="0" t="inlineStr">
        <is>
          <t>인천시 남동구 간석로12번길 5</t>
        </is>
      </c>
      <c r="AH566" s="0" t="n">
        <v>0</v>
      </c>
      <c r="AI566" s="0" t="n">
        <v>865</v>
      </c>
      <c r="AJ566" s="0" t="n">
        <v>72</v>
      </c>
      <c r="AK566" s="0" t="n">
        <v>10</v>
      </c>
      <c r="AL566" s="0" t="n">
        <v>0.71</v>
      </c>
    </row>
    <row r="567">
      <c r="A567" s="0" t="inlineStr">
        <is>
          <t>[간석동]</t>
        </is>
      </c>
      <c r="B567" s="0" t="n">
        <v>119865</v>
      </c>
      <c r="C567" s="0" t="n">
        <v>3</v>
      </c>
      <c r="D567" s="0" t="inlineStr">
        <is>
          <t>하이네스</t>
        </is>
      </c>
      <c r="E567" s="0" t="inlineStr">
        <is>
          <t>2017.11.</t>
        </is>
      </c>
      <c r="F567" s="0" t="n">
        <v>14</v>
      </c>
      <c r="G567" s="0" t="n">
        <v>18.9</v>
      </c>
      <c r="H567" s="0" t="n">
        <v>62.48</v>
      </c>
      <c r="I567" s="0" t="n">
        <v>14.7</v>
      </c>
      <c r="J567" s="0" t="n">
        <v>48.62</v>
      </c>
      <c r="K567" s="0" t="n">
        <v>3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62C</t>
        </is>
      </c>
      <c r="X567" s="0" t="n">
        <v>14</v>
      </c>
      <c r="Y567" s="0" t="n">
        <v>13</v>
      </c>
      <c r="Z567" s="0" t="inlineStr">
        <is>
          <t>https://new.land.naver.com/complexes/119865?tab=detail&amp;rf=Y</t>
        </is>
      </c>
      <c r="AA567" s="0" t="inlineStr">
        <is>
          <t>인천시 남동구 간석동 106-10</t>
        </is>
      </c>
      <c r="AB567" s="0" t="inlineStr">
        <is>
          <t>인천시</t>
        </is>
      </c>
      <c r="AC567" s="0" t="inlineStr">
        <is>
          <t>남동구</t>
        </is>
      </c>
      <c r="AD567" s="0" t="inlineStr">
        <is>
          <t>간석동</t>
        </is>
      </c>
      <c r="AG567" s="0" t="inlineStr">
        <is>
          <t>인천시 남동구 간석로12번길 5</t>
        </is>
      </c>
      <c r="AH567" s="0" t="n">
        <v>0</v>
      </c>
      <c r="AI567" s="0" t="n">
        <v>865</v>
      </c>
      <c r="AJ567" s="0" t="n">
        <v>72</v>
      </c>
      <c r="AK567" s="0" t="n">
        <v>10</v>
      </c>
      <c r="AL567" s="0" t="n">
        <v>0.71</v>
      </c>
    </row>
    <row r="568">
      <c r="A568" s="0" t="inlineStr">
        <is>
          <t>[간석동]</t>
        </is>
      </c>
      <c r="B568" s="0" t="n">
        <v>119865</v>
      </c>
      <c r="C568" s="0" t="n">
        <v>4</v>
      </c>
      <c r="D568" s="0" t="inlineStr">
        <is>
          <t>하이네스</t>
        </is>
      </c>
      <c r="E568" s="0" t="inlineStr">
        <is>
          <t>2017.11.</t>
        </is>
      </c>
      <c r="F568" s="0" t="n">
        <v>14</v>
      </c>
      <c r="G568" s="0" t="n">
        <v>19.87</v>
      </c>
      <c r="H568" s="0" t="n">
        <v>65.70999999999999</v>
      </c>
      <c r="I568" s="0" t="n">
        <v>15.18</v>
      </c>
      <c r="J568" s="0" t="n">
        <v>50.21</v>
      </c>
      <c r="K568" s="0" t="n">
        <v>3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65</v>
      </c>
      <c r="X568" s="0" t="n">
        <v>14</v>
      </c>
      <c r="Y568" s="0" t="n">
        <v>13</v>
      </c>
      <c r="Z568" s="0" t="inlineStr">
        <is>
          <t>https://new.land.naver.com/complexes/119865?tab=detail&amp;rf=Y</t>
        </is>
      </c>
      <c r="AA568" s="0" t="inlineStr">
        <is>
          <t>인천시 남동구 간석동 106-10</t>
        </is>
      </c>
      <c r="AB568" s="0" t="inlineStr">
        <is>
          <t>인천시</t>
        </is>
      </c>
      <c r="AC568" s="0" t="inlineStr">
        <is>
          <t>남동구</t>
        </is>
      </c>
      <c r="AD568" s="0" t="inlineStr">
        <is>
          <t>간석동</t>
        </is>
      </c>
      <c r="AG568" s="0" t="inlineStr">
        <is>
          <t>인천시 남동구 간석로12번길 5</t>
        </is>
      </c>
      <c r="AH568" s="0" t="n">
        <v>0</v>
      </c>
      <c r="AI568" s="0" t="n">
        <v>865</v>
      </c>
      <c r="AJ568" s="0" t="n">
        <v>72</v>
      </c>
      <c r="AK568" s="0" t="n">
        <v>10</v>
      </c>
      <c r="AL568" s="0" t="n">
        <v>0.71</v>
      </c>
    </row>
    <row r="569">
      <c r="A569" s="0" t="inlineStr">
        <is>
          <t>[간석동]</t>
        </is>
      </c>
      <c r="B569" s="0" t="n">
        <v>119865</v>
      </c>
      <c r="C569" s="0" t="n">
        <v>5</v>
      </c>
      <c r="D569" s="0" t="inlineStr">
        <is>
          <t>하이네스</t>
        </is>
      </c>
      <c r="E569" s="0" t="inlineStr">
        <is>
          <t>2017.11.</t>
        </is>
      </c>
      <c r="F569" s="0" t="n">
        <v>14</v>
      </c>
      <c r="G569" s="0" t="n">
        <v>21.38</v>
      </c>
      <c r="H569" s="0" t="n">
        <v>70.68000000000001</v>
      </c>
      <c r="I569" s="0" t="n">
        <v>16.55</v>
      </c>
      <c r="J569" s="0" t="n">
        <v>54.74</v>
      </c>
      <c r="K569" s="0" t="n">
        <v>1</v>
      </c>
      <c r="T569" s="0" t="n">
        <v>2</v>
      </c>
      <c r="U569" s="0" t="n">
        <v>1</v>
      </c>
      <c r="V569" s="0" t="inlineStr">
        <is>
          <t>계단식</t>
        </is>
      </c>
      <c r="W569" s="0" t="n">
        <v>70</v>
      </c>
      <c r="X569" s="0" t="n">
        <v>14</v>
      </c>
      <c r="Y569" s="0" t="n">
        <v>13</v>
      </c>
      <c r="Z569" s="0" t="inlineStr">
        <is>
          <t>https://new.land.naver.com/complexes/119865?tab=detail&amp;rf=Y</t>
        </is>
      </c>
      <c r="AA569" s="0" t="inlineStr">
        <is>
          <t>인천시 남동구 간석동 106-10</t>
        </is>
      </c>
      <c r="AB569" s="0" t="inlineStr">
        <is>
          <t>인천시</t>
        </is>
      </c>
      <c r="AC569" s="0" t="inlineStr">
        <is>
          <t>남동구</t>
        </is>
      </c>
      <c r="AD569" s="0" t="inlineStr">
        <is>
          <t>간석동</t>
        </is>
      </c>
      <c r="AG569" s="0" t="inlineStr">
        <is>
          <t>인천시 남동구 간석로12번길 5</t>
        </is>
      </c>
      <c r="AH569" s="0" t="n">
        <v>0</v>
      </c>
      <c r="AI569" s="0" t="n">
        <v>865</v>
      </c>
      <c r="AJ569" s="0" t="n">
        <v>72</v>
      </c>
      <c r="AK569" s="0" t="n">
        <v>10</v>
      </c>
      <c r="AL569" s="0" t="n">
        <v>0.71</v>
      </c>
    </row>
    <row r="570">
      <c r="A570" s="0" t="inlineStr">
        <is>
          <t>[간석동]</t>
        </is>
      </c>
      <c r="B570" s="0" t="n">
        <v>119865</v>
      </c>
      <c r="C570" s="0" t="n">
        <v>6</v>
      </c>
      <c r="D570" s="0" t="inlineStr">
        <is>
          <t>하이네스</t>
        </is>
      </c>
      <c r="E570" s="0" t="inlineStr">
        <is>
          <t>2017.11.</t>
        </is>
      </c>
      <c r="F570" s="0" t="n">
        <v>14</v>
      </c>
      <c r="G570" s="0" t="n">
        <v>22.34</v>
      </c>
      <c r="H570" s="0" t="n">
        <v>73.88</v>
      </c>
      <c r="I570" s="0" t="n">
        <v>17.33</v>
      </c>
      <c r="J570" s="0" t="n">
        <v>57.32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73</v>
      </c>
      <c r="X570" s="0" t="n">
        <v>14</v>
      </c>
      <c r="Y570" s="0" t="n">
        <v>13</v>
      </c>
      <c r="Z570" s="0" t="inlineStr">
        <is>
          <t>https://new.land.naver.com/complexes/119865?tab=detail&amp;rf=Y</t>
        </is>
      </c>
      <c r="AA570" s="0" t="inlineStr">
        <is>
          <t>인천시 남동구 간석동 106-10</t>
        </is>
      </c>
      <c r="AB570" s="0" t="inlineStr">
        <is>
          <t>인천시</t>
        </is>
      </c>
      <c r="AC570" s="0" t="inlineStr">
        <is>
          <t>남동구</t>
        </is>
      </c>
      <c r="AD570" s="0" t="inlineStr">
        <is>
          <t>간석동</t>
        </is>
      </c>
      <c r="AG570" s="0" t="inlineStr">
        <is>
          <t>인천시 남동구 간석로12번길 5</t>
        </is>
      </c>
      <c r="AH570" s="0" t="n">
        <v>0</v>
      </c>
      <c r="AI570" s="0" t="n">
        <v>865</v>
      </c>
      <c r="AJ570" s="0" t="n">
        <v>72</v>
      </c>
      <c r="AK570" s="0" t="n">
        <v>10</v>
      </c>
      <c r="AL570" s="0" t="n">
        <v>0.71</v>
      </c>
    </row>
    <row r="571">
      <c r="A571" s="0" t="inlineStr">
        <is>
          <t>[간석동]</t>
        </is>
      </c>
      <c r="B571" s="0" t="n">
        <v>23135</v>
      </c>
      <c r="C571" s="0" t="n">
        <v>1</v>
      </c>
      <c r="D571" s="0" t="inlineStr">
        <is>
          <t>파라다이스</t>
        </is>
      </c>
      <c r="E571" s="0" t="inlineStr">
        <is>
          <t>2004.02.</t>
        </is>
      </c>
      <c r="F571" s="0" t="n">
        <v>38</v>
      </c>
      <c r="G571" s="0" t="n">
        <v>26.69</v>
      </c>
      <c r="H571" s="0" t="n">
        <v>88.25</v>
      </c>
      <c r="I571" s="0" t="n">
        <v>23.06</v>
      </c>
      <c r="J571" s="0" t="n">
        <v>76.26000000000001</v>
      </c>
      <c r="K571" s="0" t="n">
        <v>36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88</v>
      </c>
      <c r="X571" s="0" t="n">
        <v>12</v>
      </c>
      <c r="Y571" s="0" t="n">
        <v>11</v>
      </c>
      <c r="Z571" s="0" t="inlineStr">
        <is>
          <t>https://new.land.naver.com/complexes/23135?tab=detail&amp;rf=Y</t>
        </is>
      </c>
      <c r="AA571" s="0" t="inlineStr">
        <is>
          <t>인천시 남동구 간석동 909-4</t>
        </is>
      </c>
      <c r="AB571" s="0" t="inlineStr">
        <is>
          <t>인천시</t>
        </is>
      </c>
      <c r="AC571" s="0" t="inlineStr">
        <is>
          <t>남동구</t>
        </is>
      </c>
      <c r="AD571" s="0" t="inlineStr">
        <is>
          <t>간석동</t>
        </is>
      </c>
      <c r="AG571" s="0" t="inlineStr">
        <is>
          <t>인천시 남동구 구월로 111</t>
        </is>
      </c>
      <c r="AH571" s="0" t="n">
        <v>0</v>
      </c>
      <c r="AI571" s="0" t="n">
        <v>0</v>
      </c>
      <c r="AJ571" s="0" t="n">
        <v>26</v>
      </c>
      <c r="AK571" s="0" t="n">
        <v>36</v>
      </c>
      <c r="AL571" s="0" t="n">
        <v>0.95</v>
      </c>
    </row>
    <row r="572">
      <c r="A572" s="0" t="inlineStr">
        <is>
          <t>[간석동]</t>
        </is>
      </c>
      <c r="B572" s="0" t="n">
        <v>23135</v>
      </c>
      <c r="C572" s="0" t="n">
        <v>2</v>
      </c>
      <c r="D572" s="0" t="inlineStr">
        <is>
          <t>파라다이스</t>
        </is>
      </c>
      <c r="E572" s="0" t="inlineStr">
        <is>
          <t>2004.02.</t>
        </is>
      </c>
      <c r="F572" s="0" t="n">
        <v>38</v>
      </c>
      <c r="G572" s="0" t="n">
        <v>50.22</v>
      </c>
      <c r="H572" s="0" t="n">
        <v>166.04</v>
      </c>
      <c r="I572" s="0" t="n">
        <v>43.4</v>
      </c>
      <c r="J572" s="0" t="n">
        <v>143.48</v>
      </c>
      <c r="K572" s="0" t="n">
        <v>2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166</v>
      </c>
      <c r="X572" s="0" t="n">
        <v>12</v>
      </c>
      <c r="Y572" s="0" t="n">
        <v>11</v>
      </c>
      <c r="Z572" s="0" t="inlineStr">
        <is>
          <t>https://new.land.naver.com/complexes/23135?tab=detail&amp;rf=Y</t>
        </is>
      </c>
      <c r="AA572" s="0" t="inlineStr">
        <is>
          <t>인천시 남동구 간석동 909-4</t>
        </is>
      </c>
      <c r="AB572" s="0" t="inlineStr">
        <is>
          <t>인천시</t>
        </is>
      </c>
      <c r="AC572" s="0" t="inlineStr">
        <is>
          <t>남동구</t>
        </is>
      </c>
      <c r="AD572" s="0" t="inlineStr">
        <is>
          <t>간석동</t>
        </is>
      </c>
      <c r="AG572" s="0" t="inlineStr">
        <is>
          <t>인천시 남동구 구월로 111</t>
        </is>
      </c>
      <c r="AH572" s="0" t="n">
        <v>0</v>
      </c>
      <c r="AI572" s="0" t="n">
        <v>0</v>
      </c>
      <c r="AJ572" s="0" t="n">
        <v>26</v>
      </c>
      <c r="AK572" s="0" t="n">
        <v>36</v>
      </c>
      <c r="AL572" s="0" t="n">
        <v>0.95</v>
      </c>
    </row>
    <row r="573">
      <c r="A573" s="0" t="inlineStr">
        <is>
          <t>[간석동]</t>
        </is>
      </c>
      <c r="B573" s="0" t="n">
        <v>117025</v>
      </c>
      <c r="C573" s="0" t="n">
        <v>1</v>
      </c>
      <c r="D573" s="0" t="inlineStr">
        <is>
          <t>파티오(도시형)</t>
        </is>
      </c>
      <c r="E573" s="0" t="inlineStr">
        <is>
          <t>2017.03.</t>
        </is>
      </c>
      <c r="F573" s="0" t="n">
        <v>21</v>
      </c>
      <c r="G573" s="0" t="n">
        <v>18.14</v>
      </c>
      <c r="H573" s="0" t="n">
        <v>59.97</v>
      </c>
      <c r="I573" s="0" t="n">
        <v>14.26</v>
      </c>
      <c r="J573" s="0" t="n">
        <v>47.17</v>
      </c>
      <c r="K573" s="0" t="n">
        <v>7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59B</t>
        </is>
      </c>
      <c r="X573" s="0" t="n">
        <v>8</v>
      </c>
      <c r="Y573" s="0" t="n">
        <v>8</v>
      </c>
      <c r="Z573" s="0" t="inlineStr">
        <is>
          <t>https://new.land.naver.com/complexes/117025?tab=detail&amp;rf=Y</t>
        </is>
      </c>
      <c r="AA573" s="0" t="inlineStr">
        <is>
          <t>인천시 남동구 간석동 117-4</t>
        </is>
      </c>
      <c r="AB573" s="0" t="inlineStr">
        <is>
          <t>인천시</t>
        </is>
      </c>
      <c r="AC573" s="0" t="inlineStr">
        <is>
          <t>남동구</t>
        </is>
      </c>
      <c r="AD573" s="0" t="inlineStr">
        <is>
          <t>간석동</t>
        </is>
      </c>
      <c r="AG573" s="0" t="inlineStr">
        <is>
          <t>인천시 남동구 경인로644번길 90</t>
        </is>
      </c>
      <c r="AH573" s="0" t="n">
        <v>0</v>
      </c>
      <c r="AI573" s="0" t="n">
        <v>799</v>
      </c>
      <c r="AJ573" s="0" t="n">
        <v>69</v>
      </c>
      <c r="AK573" s="0" t="n">
        <v>14</v>
      </c>
      <c r="AL573" s="0" t="n">
        <v>0.67</v>
      </c>
    </row>
    <row r="574">
      <c r="A574" s="0" t="inlineStr">
        <is>
          <t>[간석동]</t>
        </is>
      </c>
      <c r="B574" s="0" t="n">
        <v>117025</v>
      </c>
      <c r="C574" s="0" t="n">
        <v>2</v>
      </c>
      <c r="D574" s="0" t="inlineStr">
        <is>
          <t>파티오(도시형)</t>
        </is>
      </c>
      <c r="E574" s="0" t="inlineStr">
        <is>
          <t>2017.03.</t>
        </is>
      </c>
      <c r="F574" s="0" t="n">
        <v>21</v>
      </c>
      <c r="G574" s="0" t="n">
        <v>18.27</v>
      </c>
      <c r="H574" s="0" t="n">
        <v>60.42</v>
      </c>
      <c r="I574" s="0" t="n">
        <v>14.16</v>
      </c>
      <c r="J574" s="0" t="n">
        <v>46.82</v>
      </c>
      <c r="K574" s="0" t="n">
        <v>7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60A</t>
        </is>
      </c>
      <c r="X574" s="0" t="n">
        <v>8</v>
      </c>
      <c r="Y574" s="0" t="n">
        <v>8</v>
      </c>
      <c r="Z574" s="0" t="inlineStr">
        <is>
          <t>https://new.land.naver.com/complexes/117025?tab=detail&amp;rf=Y</t>
        </is>
      </c>
      <c r="AA574" s="0" t="inlineStr">
        <is>
          <t>인천시 남동구 간석동 117-4</t>
        </is>
      </c>
      <c r="AB574" s="0" t="inlineStr">
        <is>
          <t>인천시</t>
        </is>
      </c>
      <c r="AC574" s="0" t="inlineStr">
        <is>
          <t>남동구</t>
        </is>
      </c>
      <c r="AD574" s="0" t="inlineStr">
        <is>
          <t>간석동</t>
        </is>
      </c>
      <c r="AG574" s="0" t="inlineStr">
        <is>
          <t>인천시 남동구 경인로644번길 90</t>
        </is>
      </c>
      <c r="AH574" s="0" t="n">
        <v>0</v>
      </c>
      <c r="AI574" s="0" t="n">
        <v>799</v>
      </c>
      <c r="AJ574" s="0" t="n">
        <v>69</v>
      </c>
      <c r="AK574" s="0" t="n">
        <v>14</v>
      </c>
      <c r="AL574" s="0" t="n">
        <v>0.67</v>
      </c>
    </row>
    <row r="575">
      <c r="A575" s="0" t="inlineStr">
        <is>
          <t>[간석동]</t>
        </is>
      </c>
      <c r="B575" s="0" t="n">
        <v>117025</v>
      </c>
      <c r="C575" s="0" t="n">
        <v>3</v>
      </c>
      <c r="D575" s="0" t="inlineStr">
        <is>
          <t>파티오(도시형)</t>
        </is>
      </c>
      <c r="E575" s="0" t="inlineStr">
        <is>
          <t>2017.03.</t>
        </is>
      </c>
      <c r="F575" s="0" t="n">
        <v>21</v>
      </c>
      <c r="G575" s="0" t="n">
        <v>18.48</v>
      </c>
      <c r="H575" s="0" t="n">
        <v>61.1</v>
      </c>
      <c r="I575" s="0" t="n">
        <v>14.37</v>
      </c>
      <c r="J575" s="0" t="n">
        <v>47.51</v>
      </c>
      <c r="K575" s="0" t="n">
        <v>6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61C</t>
        </is>
      </c>
      <c r="X575" s="0" t="n">
        <v>8</v>
      </c>
      <c r="Y575" s="0" t="n">
        <v>8</v>
      </c>
      <c r="Z575" s="0" t="inlineStr">
        <is>
          <t>https://new.land.naver.com/complexes/117025?tab=detail&amp;rf=Y</t>
        </is>
      </c>
      <c r="AA575" s="0" t="inlineStr">
        <is>
          <t>인천시 남동구 간석동 117-4</t>
        </is>
      </c>
      <c r="AB575" s="0" t="inlineStr">
        <is>
          <t>인천시</t>
        </is>
      </c>
      <c r="AC575" s="0" t="inlineStr">
        <is>
          <t>남동구</t>
        </is>
      </c>
      <c r="AD575" s="0" t="inlineStr">
        <is>
          <t>간석동</t>
        </is>
      </c>
      <c r="AG575" s="0" t="inlineStr">
        <is>
          <t>인천시 남동구 경인로644번길 90</t>
        </is>
      </c>
      <c r="AH575" s="0" t="n">
        <v>0</v>
      </c>
      <c r="AI575" s="0" t="n">
        <v>799</v>
      </c>
      <c r="AJ575" s="0" t="n">
        <v>69</v>
      </c>
      <c r="AK575" s="0" t="n">
        <v>14</v>
      </c>
      <c r="AL575" s="0" t="n">
        <v>0.67</v>
      </c>
    </row>
    <row r="576">
      <c r="A576" s="0" t="inlineStr">
        <is>
          <t>[간석동]</t>
        </is>
      </c>
      <c r="B576" s="0" t="n">
        <v>117025</v>
      </c>
      <c r="C576" s="0" t="n">
        <v>4</v>
      </c>
      <c r="D576" s="0" t="inlineStr">
        <is>
          <t>파티오(도시형)</t>
        </is>
      </c>
      <c r="E576" s="0" t="inlineStr">
        <is>
          <t>2017.03.</t>
        </is>
      </c>
      <c r="F576" s="0" t="n">
        <v>21</v>
      </c>
      <c r="G576" s="0" t="n">
        <v>18.48</v>
      </c>
      <c r="H576" s="0" t="n">
        <v>61.1</v>
      </c>
      <c r="I576" s="0" t="n">
        <v>14.37</v>
      </c>
      <c r="J576" s="0" t="n">
        <v>47.51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61D</t>
        </is>
      </c>
      <c r="X576" s="0" t="n">
        <v>8</v>
      </c>
      <c r="Y576" s="0" t="n">
        <v>8</v>
      </c>
      <c r="Z576" s="0" t="inlineStr">
        <is>
          <t>https://new.land.naver.com/complexes/117025?tab=detail&amp;rf=Y</t>
        </is>
      </c>
      <c r="AA576" s="0" t="inlineStr">
        <is>
          <t>인천시 남동구 간석동 117-4</t>
        </is>
      </c>
      <c r="AB576" s="0" t="inlineStr">
        <is>
          <t>인천시</t>
        </is>
      </c>
      <c r="AC576" s="0" t="inlineStr">
        <is>
          <t>남동구</t>
        </is>
      </c>
      <c r="AD576" s="0" t="inlineStr">
        <is>
          <t>간석동</t>
        </is>
      </c>
      <c r="AG576" s="0" t="inlineStr">
        <is>
          <t>인천시 남동구 경인로644번길 90</t>
        </is>
      </c>
      <c r="AH576" s="0" t="n">
        <v>0</v>
      </c>
      <c r="AI576" s="0" t="n">
        <v>799</v>
      </c>
      <c r="AJ576" s="0" t="n">
        <v>69</v>
      </c>
      <c r="AK576" s="0" t="n">
        <v>14</v>
      </c>
      <c r="AL576" s="0" t="n">
        <v>0.67</v>
      </c>
    </row>
    <row r="577">
      <c r="A577" s="0" t="inlineStr">
        <is>
          <t>[간석동]</t>
        </is>
      </c>
      <c r="B577" s="0" t="n">
        <v>22102</v>
      </c>
      <c r="C577" s="0" t="n">
        <v>1</v>
      </c>
      <c r="D577" s="0" t="inlineStr">
        <is>
          <t>간석신동아파밀리에명품</t>
        </is>
      </c>
      <c r="E577" s="0" t="inlineStr">
        <is>
          <t>2007.08.</t>
        </is>
      </c>
      <c r="F577" s="0" t="n">
        <v>715</v>
      </c>
      <c r="G577" s="0" t="n">
        <v>25.67</v>
      </c>
      <c r="H577" s="0" t="n">
        <v>84.89</v>
      </c>
      <c r="I577" s="0" t="n">
        <v>18.12</v>
      </c>
      <c r="J577" s="0" t="n">
        <v>59.91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84A</t>
        </is>
      </c>
      <c r="X577" s="0" t="n">
        <v>21</v>
      </c>
      <c r="Y577" s="0" t="n">
        <v>18</v>
      </c>
      <c r="Z577" s="0" t="inlineStr">
        <is>
          <t>https://new.land.naver.com/complexes/22102?tab=detail&amp;rf=Y</t>
        </is>
      </c>
      <c r="AA577" s="0" t="inlineStr">
        <is>
          <t>인천시 남동구 간석동 616-7</t>
        </is>
      </c>
      <c r="AB577" s="0" t="inlineStr">
        <is>
          <t>인천시</t>
        </is>
      </c>
      <c r="AC577" s="0" t="inlineStr">
        <is>
          <t>남동구</t>
        </is>
      </c>
      <c r="AD577" s="0" t="inlineStr">
        <is>
          <t>간석동</t>
        </is>
      </c>
      <c r="AG577" s="0" t="inlineStr">
        <is>
          <t>인천시 남동구 염전로 440</t>
        </is>
      </c>
      <c r="AH577" s="0" t="n">
        <v>0</v>
      </c>
      <c r="AI577" s="0" t="n">
        <v>355</v>
      </c>
      <c r="AJ577" s="0" t="n">
        <v>23</v>
      </c>
      <c r="AK577" s="0" t="n">
        <v>793</v>
      </c>
      <c r="AL577" s="0" t="n">
        <v>1.11</v>
      </c>
    </row>
    <row r="578">
      <c r="A578" s="0" t="inlineStr">
        <is>
          <t>[간석동]</t>
        </is>
      </c>
      <c r="B578" s="0" t="n">
        <v>22102</v>
      </c>
      <c r="C578" s="0" t="n">
        <v>2</v>
      </c>
      <c r="D578" s="0" t="inlineStr">
        <is>
          <t>간석신동아파밀리에명품</t>
        </is>
      </c>
      <c r="E578" s="0" t="inlineStr">
        <is>
          <t>2007.08.</t>
        </is>
      </c>
      <c r="F578" s="0" t="n">
        <v>715</v>
      </c>
      <c r="G578" s="0" t="n">
        <v>25.9</v>
      </c>
      <c r="H578" s="0" t="n">
        <v>85.63</v>
      </c>
      <c r="I578" s="0" t="n">
        <v>18.13</v>
      </c>
      <c r="J578" s="0" t="n">
        <v>59.94</v>
      </c>
      <c r="K578" s="0" t="n">
        <v>125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85B</t>
        </is>
      </c>
      <c r="X578" s="0" t="n">
        <v>21</v>
      </c>
      <c r="Y578" s="0" t="n">
        <v>18</v>
      </c>
      <c r="Z578" s="0" t="inlineStr">
        <is>
          <t>https://new.land.naver.com/complexes/22102?tab=detail&amp;rf=Y</t>
        </is>
      </c>
      <c r="AA578" s="0" t="inlineStr">
        <is>
          <t>인천시 남동구 간석동 616-7</t>
        </is>
      </c>
      <c r="AB578" s="0" t="inlineStr">
        <is>
          <t>인천시</t>
        </is>
      </c>
      <c r="AC578" s="0" t="inlineStr">
        <is>
          <t>남동구</t>
        </is>
      </c>
      <c r="AD578" s="0" t="inlineStr">
        <is>
          <t>간석동</t>
        </is>
      </c>
      <c r="AG578" s="0" t="inlineStr">
        <is>
          <t>인천시 남동구 염전로 440</t>
        </is>
      </c>
      <c r="AH578" s="0" t="n">
        <v>0</v>
      </c>
      <c r="AI578" s="0" t="n">
        <v>355</v>
      </c>
      <c r="AJ578" s="0" t="n">
        <v>23</v>
      </c>
      <c r="AK578" s="0" t="n">
        <v>793</v>
      </c>
      <c r="AL578" s="0" t="n">
        <v>1.11</v>
      </c>
    </row>
    <row r="579">
      <c r="A579" s="0" t="inlineStr">
        <is>
          <t>[간석동]</t>
        </is>
      </c>
      <c r="B579" s="0" t="n">
        <v>22102</v>
      </c>
      <c r="C579" s="0" t="n">
        <v>3</v>
      </c>
      <c r="D579" s="0" t="inlineStr">
        <is>
          <t>간석신동아파밀리에명품</t>
        </is>
      </c>
      <c r="E579" s="0" t="inlineStr">
        <is>
          <t>2007.08.</t>
        </is>
      </c>
      <c r="F579" s="0" t="n">
        <v>715</v>
      </c>
      <c r="G579" s="0" t="n">
        <v>32.21</v>
      </c>
      <c r="H579" s="0" t="n">
        <v>106.5</v>
      </c>
      <c r="I579" s="0" t="n">
        <v>25.54</v>
      </c>
      <c r="J579" s="0" t="n">
        <v>84.45</v>
      </c>
      <c r="K579" s="0" t="n">
        <v>80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106</v>
      </c>
      <c r="X579" s="0" t="n">
        <v>21</v>
      </c>
      <c r="Y579" s="0" t="n">
        <v>18</v>
      </c>
      <c r="Z579" s="0" t="inlineStr">
        <is>
          <t>https://new.land.naver.com/complexes/22102?tab=detail&amp;rf=Y</t>
        </is>
      </c>
      <c r="AA579" s="0" t="inlineStr">
        <is>
          <t>인천시 남동구 간석동 616-7</t>
        </is>
      </c>
      <c r="AB579" s="0" t="inlineStr">
        <is>
          <t>인천시</t>
        </is>
      </c>
      <c r="AC579" s="0" t="inlineStr">
        <is>
          <t>남동구</t>
        </is>
      </c>
      <c r="AD579" s="0" t="inlineStr">
        <is>
          <t>간석동</t>
        </is>
      </c>
      <c r="AG579" s="0" t="inlineStr">
        <is>
          <t>인천시 남동구 염전로 440</t>
        </is>
      </c>
      <c r="AH579" s="0" t="n">
        <v>0</v>
      </c>
      <c r="AI579" s="0" t="n">
        <v>355</v>
      </c>
      <c r="AJ579" s="0" t="n">
        <v>23</v>
      </c>
      <c r="AK579" s="0" t="n">
        <v>793</v>
      </c>
      <c r="AL579" s="0" t="n">
        <v>1.11</v>
      </c>
    </row>
    <row r="580">
      <c r="A580" s="0" t="inlineStr">
        <is>
          <t>[간석동]</t>
        </is>
      </c>
      <c r="B580" s="0" t="n">
        <v>22102</v>
      </c>
      <c r="C580" s="0" t="n">
        <v>4</v>
      </c>
      <c r="D580" s="0" t="inlineStr">
        <is>
          <t>간석신동아파밀리에명품</t>
        </is>
      </c>
      <c r="E580" s="0" t="inlineStr">
        <is>
          <t>2007.08.</t>
        </is>
      </c>
      <c r="F580" s="0" t="n">
        <v>715</v>
      </c>
      <c r="G580" s="0" t="n">
        <v>33.11</v>
      </c>
      <c r="H580" s="0" t="n">
        <v>109.47</v>
      </c>
      <c r="I580" s="0" t="n">
        <v>25.54</v>
      </c>
      <c r="J580" s="0" t="n">
        <v>84.45</v>
      </c>
      <c r="K580" s="0" t="n">
        <v>450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109</v>
      </c>
      <c r="X580" s="0" t="n">
        <v>21</v>
      </c>
      <c r="Y580" s="0" t="n">
        <v>18</v>
      </c>
      <c r="Z580" s="0" t="inlineStr">
        <is>
          <t>https://new.land.naver.com/complexes/22102?tab=detail&amp;rf=Y</t>
        </is>
      </c>
      <c r="AA580" s="0" t="inlineStr">
        <is>
          <t>인천시 남동구 간석동 616-7</t>
        </is>
      </c>
      <c r="AB580" s="0" t="inlineStr">
        <is>
          <t>인천시</t>
        </is>
      </c>
      <c r="AC580" s="0" t="inlineStr">
        <is>
          <t>남동구</t>
        </is>
      </c>
      <c r="AD580" s="0" t="inlineStr">
        <is>
          <t>간석동</t>
        </is>
      </c>
      <c r="AG580" s="0" t="inlineStr">
        <is>
          <t>인천시 남동구 염전로 440</t>
        </is>
      </c>
      <c r="AH580" s="0" t="n">
        <v>0</v>
      </c>
      <c r="AI580" s="0" t="n">
        <v>355</v>
      </c>
      <c r="AJ580" s="0" t="n">
        <v>23</v>
      </c>
      <c r="AK580" s="0" t="n">
        <v>793</v>
      </c>
      <c r="AL580" s="0" t="n">
        <v>1.11</v>
      </c>
    </row>
    <row r="581">
      <c r="A581" s="0" t="inlineStr">
        <is>
          <t>[간석동]</t>
        </is>
      </c>
      <c r="B581" s="0" t="n">
        <v>22102</v>
      </c>
      <c r="C581" s="0" t="n">
        <v>5</v>
      </c>
      <c r="D581" s="0" t="inlineStr">
        <is>
          <t>간석신동아파밀리에명품</t>
        </is>
      </c>
      <c r="E581" s="0" t="inlineStr">
        <is>
          <t>2007.08.</t>
        </is>
      </c>
      <c r="F581" s="0" t="n">
        <v>715</v>
      </c>
      <c r="G581" s="0" t="n">
        <v>42.9</v>
      </c>
      <c r="H581" s="0" t="n">
        <v>141.85</v>
      </c>
      <c r="I581" s="0" t="n">
        <v>32.33</v>
      </c>
      <c r="J581" s="0" t="n">
        <v>106.9</v>
      </c>
      <c r="K581" s="0" t="n">
        <v>42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141</v>
      </c>
      <c r="X581" s="0" t="n">
        <v>21</v>
      </c>
      <c r="Y581" s="0" t="n">
        <v>18</v>
      </c>
      <c r="Z581" s="0" t="inlineStr">
        <is>
          <t>https://new.land.naver.com/complexes/22102?tab=detail&amp;rf=Y</t>
        </is>
      </c>
      <c r="AA581" s="0" t="inlineStr">
        <is>
          <t>인천시 남동구 간석동 616-7</t>
        </is>
      </c>
      <c r="AB581" s="0" t="inlineStr">
        <is>
          <t>인천시</t>
        </is>
      </c>
      <c r="AC581" s="0" t="inlineStr">
        <is>
          <t>남동구</t>
        </is>
      </c>
      <c r="AD581" s="0" t="inlineStr">
        <is>
          <t>간석동</t>
        </is>
      </c>
      <c r="AG581" s="0" t="inlineStr">
        <is>
          <t>인천시 남동구 염전로 440</t>
        </is>
      </c>
      <c r="AH581" s="0" t="n">
        <v>0</v>
      </c>
      <c r="AI581" s="0" t="n">
        <v>355</v>
      </c>
      <c r="AJ581" s="0" t="n">
        <v>23</v>
      </c>
      <c r="AK581" s="0" t="n">
        <v>793</v>
      </c>
      <c r="AL581" s="0" t="n">
        <v>1.11</v>
      </c>
    </row>
    <row r="582">
      <c r="A582" s="0" t="inlineStr">
        <is>
          <t>[간석동]</t>
        </is>
      </c>
      <c r="B582" s="0" t="n">
        <v>111336</v>
      </c>
      <c r="C582" s="0" t="n">
        <v>1</v>
      </c>
      <c r="D582" s="0" t="inlineStr">
        <is>
          <t>삼양힐</t>
        </is>
      </c>
      <c r="E582" s="0" t="inlineStr">
        <is>
          <t>2014.01.</t>
        </is>
      </c>
      <c r="F582" s="0" t="n">
        <v>52</v>
      </c>
      <c r="G582" s="0" t="n">
        <v>17.91</v>
      </c>
      <c r="H582" s="0" t="n">
        <v>59.22</v>
      </c>
      <c r="I582" s="0" t="n">
        <v>15.53</v>
      </c>
      <c r="J582" s="0" t="n">
        <v>51.36</v>
      </c>
      <c r="K582" s="0" t="n">
        <v>2</v>
      </c>
      <c r="T582" s="0" t="n">
        <v>2</v>
      </c>
      <c r="U582" s="0" t="n">
        <v>1</v>
      </c>
      <c r="V582" s="0" t="inlineStr">
        <is>
          <t>계단식</t>
        </is>
      </c>
      <c r="W582" s="0" t="n">
        <v>59</v>
      </c>
      <c r="X582" s="0" t="n">
        <v>14</v>
      </c>
      <c r="Y582" s="0" t="n">
        <v>14</v>
      </c>
      <c r="Z582" s="0" t="inlineStr">
        <is>
          <t>https://new.land.naver.com/complexes/111336?tab=detail&amp;rf=Y</t>
        </is>
      </c>
      <c r="AA582" s="0" t="inlineStr">
        <is>
          <t>인천시 남동구 간석동 49-5</t>
        </is>
      </c>
      <c r="AB582" s="0" t="inlineStr">
        <is>
          <t>인천시</t>
        </is>
      </c>
      <c r="AC582" s="0" t="inlineStr">
        <is>
          <t>남동구</t>
        </is>
      </c>
      <c r="AD582" s="0" t="inlineStr">
        <is>
          <t>간석동</t>
        </is>
      </c>
      <c r="AG582" s="0" t="inlineStr">
        <is>
          <t>인천시 남동구 간석로66번길 10</t>
        </is>
      </c>
      <c r="AH582" s="0" t="n">
        <v>0</v>
      </c>
      <c r="AI582" s="0" t="n">
        <v>504</v>
      </c>
      <c r="AJ582" s="0" t="n">
        <v>49</v>
      </c>
      <c r="AK582" s="0" t="n">
        <v>56</v>
      </c>
      <c r="AL582" s="0" t="n">
        <v>1.08</v>
      </c>
    </row>
    <row r="583">
      <c r="A583" s="0" t="inlineStr">
        <is>
          <t>[간석동]</t>
        </is>
      </c>
      <c r="B583" s="0" t="n">
        <v>111336</v>
      </c>
      <c r="C583" s="0" t="n">
        <v>2</v>
      </c>
      <c r="D583" s="0" t="inlineStr">
        <is>
          <t>삼양힐</t>
        </is>
      </c>
      <c r="E583" s="0" t="inlineStr">
        <is>
          <t>2014.01.</t>
        </is>
      </c>
      <c r="F583" s="0" t="n">
        <v>52</v>
      </c>
      <c r="G583" s="0" t="n">
        <v>18.94</v>
      </c>
      <c r="H583" s="0" t="n">
        <v>62.63</v>
      </c>
      <c r="I583" s="0" t="n">
        <v>16.43</v>
      </c>
      <c r="J583" s="0" t="n">
        <v>54.32</v>
      </c>
      <c r="K583" s="0" t="n">
        <v>2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62A</t>
        </is>
      </c>
      <c r="X583" s="0" t="n">
        <v>14</v>
      </c>
      <c r="Y583" s="0" t="n">
        <v>14</v>
      </c>
      <c r="Z583" s="0" t="inlineStr">
        <is>
          <t>https://new.land.naver.com/complexes/111336?tab=detail&amp;rf=Y</t>
        </is>
      </c>
      <c r="AA583" s="0" t="inlineStr">
        <is>
          <t>인천시 남동구 간석동 49-5</t>
        </is>
      </c>
      <c r="AB583" s="0" t="inlineStr">
        <is>
          <t>인천시</t>
        </is>
      </c>
      <c r="AC583" s="0" t="inlineStr">
        <is>
          <t>남동구</t>
        </is>
      </c>
      <c r="AD583" s="0" t="inlineStr">
        <is>
          <t>간석동</t>
        </is>
      </c>
      <c r="AG583" s="0" t="inlineStr">
        <is>
          <t>인천시 남동구 간석로66번길 10</t>
        </is>
      </c>
      <c r="AH583" s="0" t="n">
        <v>0</v>
      </c>
      <c r="AI583" s="0" t="n">
        <v>504</v>
      </c>
      <c r="AJ583" s="0" t="n">
        <v>49</v>
      </c>
      <c r="AK583" s="0" t="n">
        <v>56</v>
      </c>
      <c r="AL583" s="0" t="n">
        <v>1.08</v>
      </c>
    </row>
    <row r="584">
      <c r="A584" s="0" t="inlineStr">
        <is>
          <t>[간석동]</t>
        </is>
      </c>
      <c r="B584" s="0" t="n">
        <v>111336</v>
      </c>
      <c r="C584" s="0" t="n">
        <v>3</v>
      </c>
      <c r="D584" s="0" t="inlineStr">
        <is>
          <t>삼양힐</t>
        </is>
      </c>
      <c r="E584" s="0" t="inlineStr">
        <is>
          <t>2014.01.</t>
        </is>
      </c>
      <c r="F584" s="0" t="n">
        <v>52</v>
      </c>
      <c r="G584" s="0" t="n">
        <v>19.49</v>
      </c>
      <c r="H584" s="0" t="n">
        <v>64.43000000000001</v>
      </c>
      <c r="I584" s="0" t="n">
        <v>17.1</v>
      </c>
      <c r="J584" s="0" t="n">
        <v>56.56</v>
      </c>
      <c r="K584" s="0" t="n">
        <v>2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64B</t>
        </is>
      </c>
      <c r="X584" s="0" t="n">
        <v>14</v>
      </c>
      <c r="Y584" s="0" t="n">
        <v>14</v>
      </c>
      <c r="Z584" s="0" t="inlineStr">
        <is>
          <t>https://new.land.naver.com/complexes/111336?tab=detail&amp;rf=Y</t>
        </is>
      </c>
      <c r="AA584" s="0" t="inlineStr">
        <is>
          <t>인천시 남동구 간석동 49-5</t>
        </is>
      </c>
      <c r="AB584" s="0" t="inlineStr">
        <is>
          <t>인천시</t>
        </is>
      </c>
      <c r="AC584" s="0" t="inlineStr">
        <is>
          <t>남동구</t>
        </is>
      </c>
      <c r="AD584" s="0" t="inlineStr">
        <is>
          <t>간석동</t>
        </is>
      </c>
      <c r="AG584" s="0" t="inlineStr">
        <is>
          <t>인천시 남동구 간석로66번길 10</t>
        </is>
      </c>
      <c r="AH584" s="0" t="n">
        <v>0</v>
      </c>
      <c r="AI584" s="0" t="n">
        <v>504</v>
      </c>
      <c r="AJ584" s="0" t="n">
        <v>49</v>
      </c>
      <c r="AK584" s="0" t="n">
        <v>56</v>
      </c>
      <c r="AL584" s="0" t="n">
        <v>1.08</v>
      </c>
    </row>
    <row r="585">
      <c r="A585" s="0" t="inlineStr">
        <is>
          <t>[간석동]</t>
        </is>
      </c>
      <c r="B585" s="0" t="n">
        <v>111336</v>
      </c>
      <c r="C585" s="0" t="n">
        <v>4</v>
      </c>
      <c r="D585" s="0" t="inlineStr">
        <is>
          <t>삼양힐</t>
        </is>
      </c>
      <c r="E585" s="0" t="inlineStr">
        <is>
          <t>2014.01.</t>
        </is>
      </c>
      <c r="F585" s="0" t="n">
        <v>52</v>
      </c>
      <c r="G585" s="0" t="n">
        <v>20.1</v>
      </c>
      <c r="H585" s="0" t="n">
        <v>66.45</v>
      </c>
      <c r="I585" s="0" t="n">
        <v>17.43</v>
      </c>
      <c r="J585" s="0" t="n">
        <v>57.63</v>
      </c>
      <c r="K585" s="0" t="n">
        <v>2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66</v>
      </c>
      <c r="X585" s="0" t="n">
        <v>14</v>
      </c>
      <c r="Y585" s="0" t="n">
        <v>14</v>
      </c>
      <c r="Z585" s="0" t="inlineStr">
        <is>
          <t>https://new.land.naver.com/complexes/111336?tab=detail&amp;rf=Y</t>
        </is>
      </c>
      <c r="AA585" s="0" t="inlineStr">
        <is>
          <t>인천시 남동구 간석동 49-5</t>
        </is>
      </c>
      <c r="AB585" s="0" t="inlineStr">
        <is>
          <t>인천시</t>
        </is>
      </c>
      <c r="AC585" s="0" t="inlineStr">
        <is>
          <t>남동구</t>
        </is>
      </c>
      <c r="AD585" s="0" t="inlineStr">
        <is>
          <t>간석동</t>
        </is>
      </c>
      <c r="AG585" s="0" t="inlineStr">
        <is>
          <t>인천시 남동구 간석로66번길 10</t>
        </is>
      </c>
      <c r="AH585" s="0" t="n">
        <v>0</v>
      </c>
      <c r="AI585" s="0" t="n">
        <v>504</v>
      </c>
      <c r="AJ585" s="0" t="n">
        <v>49</v>
      </c>
      <c r="AK585" s="0" t="n">
        <v>56</v>
      </c>
      <c r="AL585" s="0" t="n">
        <v>1.08</v>
      </c>
    </row>
    <row r="586">
      <c r="A586" s="0" t="inlineStr">
        <is>
          <t>[간석동]</t>
        </is>
      </c>
      <c r="B586" s="0" t="n">
        <v>111336</v>
      </c>
      <c r="C586" s="0" t="n">
        <v>5</v>
      </c>
      <c r="D586" s="0" t="inlineStr">
        <is>
          <t>삼양힐</t>
        </is>
      </c>
      <c r="E586" s="0" t="inlineStr">
        <is>
          <t>2014.01.</t>
        </is>
      </c>
      <c r="F586" s="0" t="n">
        <v>52</v>
      </c>
      <c r="G586" s="0" t="n">
        <v>22.74</v>
      </c>
      <c r="H586" s="0" t="n">
        <v>75.2</v>
      </c>
      <c r="I586" s="0" t="n">
        <v>19.72</v>
      </c>
      <c r="J586" s="0" t="n">
        <v>65.22</v>
      </c>
      <c r="K586" s="0" t="n">
        <v>22</v>
      </c>
      <c r="T586" s="0" t="n">
        <v>3</v>
      </c>
      <c r="U586" s="0" t="n">
        <v>1</v>
      </c>
      <c r="V586" s="0" t="inlineStr">
        <is>
          <t>계단식</t>
        </is>
      </c>
      <c r="W586" s="0" t="inlineStr">
        <is>
          <t>75A</t>
        </is>
      </c>
      <c r="X586" s="0" t="n">
        <v>14</v>
      </c>
      <c r="Y586" s="0" t="n">
        <v>14</v>
      </c>
      <c r="Z586" s="0" t="inlineStr">
        <is>
          <t>https://new.land.naver.com/complexes/111336?tab=detail&amp;rf=Y</t>
        </is>
      </c>
      <c r="AA586" s="0" t="inlineStr">
        <is>
          <t>인천시 남동구 간석동 49-5</t>
        </is>
      </c>
      <c r="AB586" s="0" t="inlineStr">
        <is>
          <t>인천시</t>
        </is>
      </c>
      <c r="AC586" s="0" t="inlineStr">
        <is>
          <t>남동구</t>
        </is>
      </c>
      <c r="AD586" s="0" t="inlineStr">
        <is>
          <t>간석동</t>
        </is>
      </c>
      <c r="AG586" s="0" t="inlineStr">
        <is>
          <t>인천시 남동구 간석로66번길 10</t>
        </is>
      </c>
      <c r="AH586" s="0" t="n">
        <v>0</v>
      </c>
      <c r="AI586" s="0" t="n">
        <v>504</v>
      </c>
      <c r="AJ586" s="0" t="n">
        <v>49</v>
      </c>
      <c r="AK586" s="0" t="n">
        <v>56</v>
      </c>
      <c r="AL586" s="0" t="n">
        <v>1.08</v>
      </c>
    </row>
    <row r="587">
      <c r="A587" s="0" t="inlineStr">
        <is>
          <t>[간석동]</t>
        </is>
      </c>
      <c r="B587" s="0" t="n">
        <v>111336</v>
      </c>
      <c r="C587" s="0" t="n">
        <v>6</v>
      </c>
      <c r="D587" s="0" t="inlineStr">
        <is>
          <t>삼양힐</t>
        </is>
      </c>
      <c r="E587" s="0" t="inlineStr">
        <is>
          <t>2014.01.</t>
        </is>
      </c>
      <c r="F587" s="0" t="n">
        <v>52</v>
      </c>
      <c r="G587" s="0" t="n">
        <v>24.13</v>
      </c>
      <c r="H587" s="0" t="n">
        <v>79.78</v>
      </c>
      <c r="I587" s="0" t="n">
        <v>20.92</v>
      </c>
      <c r="J587" s="0" t="n">
        <v>69.19</v>
      </c>
      <c r="K587" s="0" t="n">
        <v>2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79B</t>
        </is>
      </c>
      <c r="X587" s="0" t="n">
        <v>14</v>
      </c>
      <c r="Y587" s="0" t="n">
        <v>14</v>
      </c>
      <c r="Z587" s="0" t="inlineStr">
        <is>
          <t>https://new.land.naver.com/complexes/111336?tab=detail&amp;rf=Y</t>
        </is>
      </c>
      <c r="AA587" s="0" t="inlineStr">
        <is>
          <t>인천시 남동구 간석동 49-5</t>
        </is>
      </c>
      <c r="AB587" s="0" t="inlineStr">
        <is>
          <t>인천시</t>
        </is>
      </c>
      <c r="AC587" s="0" t="inlineStr">
        <is>
          <t>남동구</t>
        </is>
      </c>
      <c r="AD587" s="0" t="inlineStr">
        <is>
          <t>간석동</t>
        </is>
      </c>
      <c r="AG587" s="0" t="inlineStr">
        <is>
          <t>인천시 남동구 간석로66번길 10</t>
        </is>
      </c>
      <c r="AH587" s="0" t="n">
        <v>0</v>
      </c>
      <c r="AI587" s="0" t="n">
        <v>504</v>
      </c>
      <c r="AJ587" s="0" t="n">
        <v>49</v>
      </c>
      <c r="AK587" s="0" t="n">
        <v>56</v>
      </c>
      <c r="AL587" s="0" t="n">
        <v>1.08</v>
      </c>
    </row>
    <row r="588">
      <c r="A588" s="0" t="inlineStr">
        <is>
          <t>[간석동]</t>
        </is>
      </c>
      <c r="B588" s="0" t="n">
        <v>111336</v>
      </c>
      <c r="C588" s="0" t="n">
        <v>7</v>
      </c>
      <c r="D588" s="0" t="inlineStr">
        <is>
          <t>삼양힐</t>
        </is>
      </c>
      <c r="E588" s="0" t="inlineStr">
        <is>
          <t>2014.01.</t>
        </is>
      </c>
      <c r="F588" s="0" t="n">
        <v>52</v>
      </c>
      <c r="G588" s="0" t="n">
        <v>27.94</v>
      </c>
      <c r="H588" s="0" t="n">
        <v>92.37</v>
      </c>
      <c r="I588" s="0" t="n">
        <v>24.23</v>
      </c>
      <c r="J588" s="0" t="n">
        <v>80.11</v>
      </c>
      <c r="K588" s="0" t="n">
        <v>20</v>
      </c>
      <c r="T588" s="0" t="n">
        <v>3</v>
      </c>
      <c r="U588" s="0" t="n">
        <v>2</v>
      </c>
      <c r="V588" s="0" t="inlineStr">
        <is>
          <t>계단식</t>
        </is>
      </c>
      <c r="W588" s="0" t="n">
        <v>92</v>
      </c>
      <c r="X588" s="0" t="n">
        <v>14</v>
      </c>
      <c r="Y588" s="0" t="n">
        <v>14</v>
      </c>
      <c r="Z588" s="0" t="inlineStr">
        <is>
          <t>https://new.land.naver.com/complexes/111336?tab=detail&amp;rf=Y</t>
        </is>
      </c>
      <c r="AA588" s="0" t="inlineStr">
        <is>
          <t>인천시 남동구 간석동 49-5</t>
        </is>
      </c>
      <c r="AB588" s="0" t="inlineStr">
        <is>
          <t>인천시</t>
        </is>
      </c>
      <c r="AC588" s="0" t="inlineStr">
        <is>
          <t>남동구</t>
        </is>
      </c>
      <c r="AD588" s="0" t="inlineStr">
        <is>
          <t>간석동</t>
        </is>
      </c>
      <c r="AG588" s="0" t="inlineStr">
        <is>
          <t>인천시 남동구 간석로66번길 10</t>
        </is>
      </c>
      <c r="AH588" s="0" t="n">
        <v>0</v>
      </c>
      <c r="AI588" s="0" t="n">
        <v>504</v>
      </c>
      <c r="AJ588" s="0" t="n">
        <v>49</v>
      </c>
      <c r="AK588" s="0" t="n">
        <v>56</v>
      </c>
      <c r="AL588" s="0" t="n">
        <v>1.08</v>
      </c>
    </row>
    <row r="589">
      <c r="A589" s="0" t="inlineStr">
        <is>
          <t>[간석동]</t>
        </is>
      </c>
      <c r="B589" s="0" t="n">
        <v>10311</v>
      </c>
      <c r="C589" s="0" t="n">
        <v>1</v>
      </c>
      <c r="D589" s="0" t="inlineStr">
        <is>
          <t>희망(3,5동)</t>
        </is>
      </c>
      <c r="E589" s="0" t="inlineStr">
        <is>
          <t>1983.10.</t>
        </is>
      </c>
      <c r="F589" s="0" t="n">
        <v>32</v>
      </c>
      <c r="G589" s="0" t="n">
        <v>18.22</v>
      </c>
      <c r="H589" s="0" t="n">
        <v>60.25</v>
      </c>
      <c r="I589" s="0" t="n">
        <v>14.73</v>
      </c>
      <c r="J589" s="0" t="n">
        <v>48.7</v>
      </c>
      <c r="K589" s="0" t="n">
        <v>16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60</v>
      </c>
      <c r="X589" s="0" t="n">
        <v>4</v>
      </c>
      <c r="Y589" s="0" t="n">
        <v>4</v>
      </c>
      <c r="Z589" s="0" t="inlineStr">
        <is>
          <t>https://new.land.naver.com/complexes/10311?tab=detail&amp;rf=Y</t>
        </is>
      </c>
      <c r="AA589" s="0" t="inlineStr">
        <is>
          <t>인천시 남동구 간석동 158-1</t>
        </is>
      </c>
      <c r="AB589" s="0" t="inlineStr">
        <is>
          <t>인천시</t>
        </is>
      </c>
      <c r="AC589" s="0" t="inlineStr">
        <is>
          <t>남동구</t>
        </is>
      </c>
      <c r="AD589" s="0" t="inlineStr">
        <is>
          <t>간석동</t>
        </is>
      </c>
      <c r="AG589" s="0" t="inlineStr">
        <is>
          <t>인천시 남동구 석산로183번길 33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[간석동]</t>
        </is>
      </c>
      <c r="B590" s="0" t="n">
        <v>10311</v>
      </c>
      <c r="C590" s="0" t="n">
        <v>2</v>
      </c>
      <c r="D590" s="0" t="inlineStr">
        <is>
          <t>희망(3,5동)</t>
        </is>
      </c>
      <c r="E590" s="0" t="inlineStr">
        <is>
          <t>1983.10.</t>
        </is>
      </c>
      <c r="F590" s="0" t="n">
        <v>32</v>
      </c>
      <c r="G590" s="0" t="n">
        <v>24.33</v>
      </c>
      <c r="H590" s="0" t="n">
        <v>80.45</v>
      </c>
      <c r="I590" s="0" t="n">
        <v>19.86</v>
      </c>
      <c r="J590" s="0" t="n">
        <v>65.66</v>
      </c>
      <c r="K590" s="0" t="n">
        <v>16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80</v>
      </c>
      <c r="X590" s="0" t="n">
        <v>4</v>
      </c>
      <c r="Y590" s="0" t="n">
        <v>4</v>
      </c>
      <c r="Z590" s="0" t="inlineStr">
        <is>
          <t>https://new.land.naver.com/complexes/10311?tab=detail&amp;rf=Y</t>
        </is>
      </c>
      <c r="AA590" s="0" t="inlineStr">
        <is>
          <t>인천시 남동구 간석동 158-1</t>
        </is>
      </c>
      <c r="AB590" s="0" t="inlineStr">
        <is>
          <t>인천시</t>
        </is>
      </c>
      <c r="AC590" s="0" t="inlineStr">
        <is>
          <t>남동구</t>
        </is>
      </c>
      <c r="AD590" s="0" t="inlineStr">
        <is>
          <t>간석동</t>
        </is>
      </c>
      <c r="AG590" s="0" t="inlineStr">
        <is>
          <t>인천시 남동구 석산로183번길 33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[간석동]</t>
        </is>
      </c>
      <c r="B591" s="0" t="n">
        <v>106022</v>
      </c>
      <c r="C591" s="0" t="n">
        <v>1</v>
      </c>
      <c r="D591" s="0" t="inlineStr">
        <is>
          <t>도영베네치움(도시형)</t>
        </is>
      </c>
      <c r="E591" s="0" t="inlineStr">
        <is>
          <t>2012.01.</t>
        </is>
      </c>
      <c r="F591" s="0" t="n">
        <v>85</v>
      </c>
      <c r="G591" s="0" t="n">
        <v>6</v>
      </c>
      <c r="H591" s="0" t="n">
        <v>19.86</v>
      </c>
      <c r="I591" s="0" t="n">
        <v>3.96</v>
      </c>
      <c r="J591" s="0" t="n">
        <v>13.11</v>
      </c>
      <c r="K591" s="0" t="n">
        <v>49</v>
      </c>
      <c r="T591" s="0" t="n">
        <v>1</v>
      </c>
      <c r="U591" s="0" t="n">
        <v>1</v>
      </c>
      <c r="V591" s="0" t="inlineStr">
        <is>
          <t>계단식</t>
        </is>
      </c>
      <c r="W591" s="0" t="n">
        <v>19</v>
      </c>
      <c r="X591" s="0" t="n">
        <v>9</v>
      </c>
      <c r="Y591" s="0" t="n">
        <v>5</v>
      </c>
      <c r="Z591" s="0" t="inlineStr">
        <is>
          <t>https://new.land.naver.com/complexes/106022?tab=detail&amp;rf=Y</t>
        </is>
      </c>
      <c r="AA591" s="0" t="inlineStr">
        <is>
          <t>인천시 남동구 간석동 241-10</t>
        </is>
      </c>
      <c r="AB591" s="0" t="inlineStr">
        <is>
          <t>인천시</t>
        </is>
      </c>
      <c r="AC591" s="0" t="inlineStr">
        <is>
          <t>남동구</t>
        </is>
      </c>
      <c r="AD591" s="0" t="inlineStr">
        <is>
          <t>간석동</t>
        </is>
      </c>
      <c r="AG591" s="0" t="inlineStr">
        <is>
          <t>인천시 남동구 예술로362번길 65</t>
        </is>
      </c>
      <c r="AH591" s="0" t="n">
        <v>0</v>
      </c>
      <c r="AI591" s="0" t="n">
        <v>0</v>
      </c>
      <c r="AJ591" s="0" t="n">
        <v>0</v>
      </c>
      <c r="AK591" s="0" t="n">
        <v>14</v>
      </c>
      <c r="AL591" s="0" t="n">
        <v>0.16</v>
      </c>
    </row>
    <row r="592">
      <c r="A592" s="0" t="inlineStr">
        <is>
          <t>[간석동]</t>
        </is>
      </c>
      <c r="B592" s="0" t="n">
        <v>106022</v>
      </c>
      <c r="C592" s="0" t="n">
        <v>2</v>
      </c>
      <c r="D592" s="0" t="inlineStr">
        <is>
          <t>도영베네치움(도시형)</t>
        </is>
      </c>
      <c r="E592" s="0" t="inlineStr">
        <is>
          <t>2012.01.</t>
        </is>
      </c>
      <c r="F592" s="0" t="n">
        <v>85</v>
      </c>
      <c r="G592" s="0" t="n">
        <v>6.75</v>
      </c>
      <c r="H592" s="0" t="n">
        <v>22.33</v>
      </c>
      <c r="I592" s="0" t="n">
        <v>4.27</v>
      </c>
      <c r="J592" s="0" t="n">
        <v>14.13</v>
      </c>
      <c r="K592" s="0" t="n">
        <v>4</v>
      </c>
      <c r="T592" s="0" t="n">
        <v>1</v>
      </c>
      <c r="U592" s="0" t="n">
        <v>1</v>
      </c>
      <c r="V592" s="0" t="inlineStr">
        <is>
          <t>계단식</t>
        </is>
      </c>
      <c r="W592" s="0" t="inlineStr">
        <is>
          <t>22A</t>
        </is>
      </c>
      <c r="X592" s="0" t="n">
        <v>9</v>
      </c>
      <c r="Y592" s="0" t="n">
        <v>5</v>
      </c>
      <c r="Z592" s="0" t="inlineStr">
        <is>
          <t>https://new.land.naver.com/complexes/106022?tab=detail&amp;rf=Y</t>
        </is>
      </c>
      <c r="AA592" s="0" t="inlineStr">
        <is>
          <t>인천시 남동구 간석동 241-10</t>
        </is>
      </c>
      <c r="AB592" s="0" t="inlineStr">
        <is>
          <t>인천시</t>
        </is>
      </c>
      <c r="AC592" s="0" t="inlineStr">
        <is>
          <t>남동구</t>
        </is>
      </c>
      <c r="AD592" s="0" t="inlineStr">
        <is>
          <t>간석동</t>
        </is>
      </c>
      <c r="AG592" s="0" t="inlineStr">
        <is>
          <t>인천시 남동구 예술로362번길 65</t>
        </is>
      </c>
      <c r="AH592" s="0" t="n">
        <v>0</v>
      </c>
      <c r="AI592" s="0" t="n">
        <v>0</v>
      </c>
      <c r="AJ592" s="0" t="n">
        <v>0</v>
      </c>
      <c r="AK592" s="0" t="n">
        <v>14</v>
      </c>
      <c r="AL592" s="0" t="n">
        <v>0.16</v>
      </c>
    </row>
    <row r="593">
      <c r="A593" s="0" t="inlineStr">
        <is>
          <t>[간석동]</t>
        </is>
      </c>
      <c r="B593" s="0" t="n">
        <v>106022</v>
      </c>
      <c r="C593" s="0" t="n">
        <v>3</v>
      </c>
      <c r="D593" s="0" t="inlineStr">
        <is>
          <t>도영베네치움(도시형)</t>
        </is>
      </c>
      <c r="E593" s="0" t="inlineStr">
        <is>
          <t>2012.01.</t>
        </is>
      </c>
      <c r="F593" s="0" t="n">
        <v>85</v>
      </c>
      <c r="G593" s="0" t="n">
        <v>6.82</v>
      </c>
      <c r="H593" s="0" t="n">
        <v>22.56</v>
      </c>
      <c r="I593" s="0" t="n">
        <v>4.42</v>
      </c>
      <c r="J593" s="0" t="n">
        <v>14.63</v>
      </c>
      <c r="K593" s="0" t="n">
        <v>4</v>
      </c>
      <c r="T593" s="0" t="n">
        <v>1</v>
      </c>
      <c r="U593" s="0" t="n">
        <v>1</v>
      </c>
      <c r="V593" s="0" t="inlineStr">
        <is>
          <t>계단식</t>
        </is>
      </c>
      <c r="W593" s="0" t="inlineStr">
        <is>
          <t>22B</t>
        </is>
      </c>
      <c r="X593" s="0" t="n">
        <v>9</v>
      </c>
      <c r="Y593" s="0" t="n">
        <v>5</v>
      </c>
      <c r="Z593" s="0" t="inlineStr">
        <is>
          <t>https://new.land.naver.com/complexes/106022?tab=detail&amp;rf=Y</t>
        </is>
      </c>
      <c r="AA593" s="0" t="inlineStr">
        <is>
          <t>인천시 남동구 간석동 241-10</t>
        </is>
      </c>
      <c r="AB593" s="0" t="inlineStr">
        <is>
          <t>인천시</t>
        </is>
      </c>
      <c r="AC593" s="0" t="inlineStr">
        <is>
          <t>남동구</t>
        </is>
      </c>
      <c r="AD593" s="0" t="inlineStr">
        <is>
          <t>간석동</t>
        </is>
      </c>
      <c r="AG593" s="0" t="inlineStr">
        <is>
          <t>인천시 남동구 예술로362번길 65</t>
        </is>
      </c>
      <c r="AH593" s="0" t="n">
        <v>0</v>
      </c>
      <c r="AI593" s="0" t="n">
        <v>0</v>
      </c>
      <c r="AJ593" s="0" t="n">
        <v>0</v>
      </c>
      <c r="AK593" s="0" t="n">
        <v>14</v>
      </c>
      <c r="AL593" s="0" t="n">
        <v>0.16</v>
      </c>
    </row>
    <row r="594">
      <c r="A594" s="0" t="inlineStr">
        <is>
          <t>[간석동]</t>
        </is>
      </c>
      <c r="B594" s="0" t="n">
        <v>106022</v>
      </c>
      <c r="C594" s="0" t="n">
        <v>4</v>
      </c>
      <c r="D594" s="0" t="inlineStr">
        <is>
          <t>도영베네치움(도시형)</t>
        </is>
      </c>
      <c r="E594" s="0" t="inlineStr">
        <is>
          <t>2012.01.</t>
        </is>
      </c>
      <c r="F594" s="0" t="n">
        <v>85</v>
      </c>
      <c r="G594" s="0" t="n">
        <v>7.26</v>
      </c>
      <c r="H594" s="0" t="n">
        <v>24.01</v>
      </c>
      <c r="I594" s="0" t="n">
        <v>4.79</v>
      </c>
      <c r="J594" s="0" t="n">
        <v>15.84</v>
      </c>
      <c r="K594" s="0" t="n">
        <v>9</v>
      </c>
      <c r="T594" s="0" t="n">
        <v>1</v>
      </c>
      <c r="U594" s="0" t="n">
        <v>1</v>
      </c>
      <c r="V594" s="0" t="inlineStr">
        <is>
          <t>계단식</t>
        </is>
      </c>
      <c r="W594" s="0" t="inlineStr">
        <is>
          <t>24C</t>
        </is>
      </c>
      <c r="X594" s="0" t="n">
        <v>9</v>
      </c>
      <c r="Y594" s="0" t="n">
        <v>5</v>
      </c>
      <c r="Z594" s="0" t="inlineStr">
        <is>
          <t>https://new.land.naver.com/complexes/106022?tab=detail&amp;rf=Y</t>
        </is>
      </c>
      <c r="AA594" s="0" t="inlineStr">
        <is>
          <t>인천시 남동구 간석동 241-10</t>
        </is>
      </c>
      <c r="AB594" s="0" t="inlineStr">
        <is>
          <t>인천시</t>
        </is>
      </c>
      <c r="AC594" s="0" t="inlineStr">
        <is>
          <t>남동구</t>
        </is>
      </c>
      <c r="AD594" s="0" t="inlineStr">
        <is>
          <t>간석동</t>
        </is>
      </c>
      <c r="AG594" s="0" t="inlineStr">
        <is>
          <t>인천시 남동구 예술로362번길 65</t>
        </is>
      </c>
      <c r="AH594" s="0" t="n">
        <v>0</v>
      </c>
      <c r="AI594" s="0" t="n">
        <v>0</v>
      </c>
      <c r="AJ594" s="0" t="n">
        <v>0</v>
      </c>
      <c r="AK594" s="0" t="n">
        <v>14</v>
      </c>
      <c r="AL594" s="0" t="n">
        <v>0.16</v>
      </c>
    </row>
    <row r="595">
      <c r="A595" s="0" t="inlineStr">
        <is>
          <t>[간석동]</t>
        </is>
      </c>
      <c r="B595" s="0" t="n">
        <v>106022</v>
      </c>
      <c r="C595" s="0" t="n">
        <v>5</v>
      </c>
      <c r="D595" s="0" t="inlineStr">
        <is>
          <t>도영베네치움(도시형)</t>
        </is>
      </c>
      <c r="E595" s="0" t="inlineStr">
        <is>
          <t>2012.01.</t>
        </is>
      </c>
      <c r="F595" s="0" t="n">
        <v>85</v>
      </c>
      <c r="G595" s="0" t="n">
        <v>8.18</v>
      </c>
      <c r="H595" s="0" t="n">
        <v>27.05</v>
      </c>
      <c r="I595" s="0" t="n">
        <v>5.4</v>
      </c>
      <c r="J595" s="0" t="n">
        <v>17.87</v>
      </c>
      <c r="K595" s="0" t="n">
        <v>10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27</v>
      </c>
      <c r="X595" s="0" t="n">
        <v>9</v>
      </c>
      <c r="Y595" s="0" t="n">
        <v>5</v>
      </c>
      <c r="Z595" s="0" t="inlineStr">
        <is>
          <t>https://new.land.naver.com/complexes/106022?tab=detail&amp;rf=Y</t>
        </is>
      </c>
      <c r="AA595" s="0" t="inlineStr">
        <is>
          <t>인천시 남동구 간석동 241-10</t>
        </is>
      </c>
      <c r="AB595" s="0" t="inlineStr">
        <is>
          <t>인천시</t>
        </is>
      </c>
      <c r="AC595" s="0" t="inlineStr">
        <is>
          <t>남동구</t>
        </is>
      </c>
      <c r="AD595" s="0" t="inlineStr">
        <is>
          <t>간석동</t>
        </is>
      </c>
      <c r="AG595" s="0" t="inlineStr">
        <is>
          <t>인천시 남동구 예술로362번길 65</t>
        </is>
      </c>
      <c r="AH595" s="0" t="n">
        <v>0</v>
      </c>
      <c r="AI595" s="0" t="n">
        <v>0</v>
      </c>
      <c r="AJ595" s="0" t="n">
        <v>0</v>
      </c>
      <c r="AK595" s="0" t="n">
        <v>14</v>
      </c>
      <c r="AL595" s="0" t="n">
        <v>0.16</v>
      </c>
    </row>
    <row r="596">
      <c r="A596" s="0" t="inlineStr">
        <is>
          <t>[간석동]</t>
        </is>
      </c>
      <c r="B596" s="0" t="n">
        <v>106022</v>
      </c>
      <c r="C596" s="0" t="n">
        <v>6</v>
      </c>
      <c r="D596" s="0" t="inlineStr">
        <is>
          <t>도영베네치움(도시형)</t>
        </is>
      </c>
      <c r="E596" s="0" t="inlineStr">
        <is>
          <t>2012.01.</t>
        </is>
      </c>
      <c r="F596" s="0" t="n">
        <v>85</v>
      </c>
      <c r="G596" s="0" t="n">
        <v>8.73</v>
      </c>
      <c r="H596" s="0" t="n">
        <v>28.87</v>
      </c>
      <c r="I596" s="0" t="n">
        <v>5.66</v>
      </c>
      <c r="J596" s="0" t="n">
        <v>18.73</v>
      </c>
      <c r="K596" s="0" t="n">
        <v>4</v>
      </c>
      <c r="T596" s="0" t="n">
        <v>1</v>
      </c>
      <c r="U596" s="0" t="n">
        <v>1</v>
      </c>
      <c r="V596" s="0" t="inlineStr">
        <is>
          <t>계단식</t>
        </is>
      </c>
      <c r="W596" s="0" t="inlineStr">
        <is>
          <t>28A</t>
        </is>
      </c>
      <c r="X596" s="0" t="n">
        <v>9</v>
      </c>
      <c r="Y596" s="0" t="n">
        <v>5</v>
      </c>
      <c r="Z596" s="0" t="inlineStr">
        <is>
          <t>https://new.land.naver.com/complexes/106022?tab=detail&amp;rf=Y</t>
        </is>
      </c>
      <c r="AA596" s="0" t="inlineStr">
        <is>
          <t>인천시 남동구 간석동 241-10</t>
        </is>
      </c>
      <c r="AB596" s="0" t="inlineStr">
        <is>
          <t>인천시</t>
        </is>
      </c>
      <c r="AC596" s="0" t="inlineStr">
        <is>
          <t>남동구</t>
        </is>
      </c>
      <c r="AD596" s="0" t="inlineStr">
        <is>
          <t>간석동</t>
        </is>
      </c>
      <c r="AG596" s="0" t="inlineStr">
        <is>
          <t>인천시 남동구 예술로362번길 65</t>
        </is>
      </c>
      <c r="AH596" s="0" t="n">
        <v>0</v>
      </c>
      <c r="AI596" s="0" t="n">
        <v>0</v>
      </c>
      <c r="AJ596" s="0" t="n">
        <v>0</v>
      </c>
      <c r="AK596" s="0" t="n">
        <v>14</v>
      </c>
      <c r="AL596" s="0" t="n">
        <v>0.16</v>
      </c>
    </row>
    <row r="597">
      <c r="A597" s="0" t="inlineStr">
        <is>
          <t>[간석동]</t>
        </is>
      </c>
      <c r="B597" s="0" t="n">
        <v>106022</v>
      </c>
      <c r="C597" s="0" t="n">
        <v>7</v>
      </c>
      <c r="D597" s="0" t="inlineStr">
        <is>
          <t>도영베네치움(도시형)</t>
        </is>
      </c>
      <c r="E597" s="0" t="inlineStr">
        <is>
          <t>2012.01.</t>
        </is>
      </c>
      <c r="F597" s="0" t="n">
        <v>85</v>
      </c>
      <c r="G597" s="0" t="n">
        <v>8.960000000000001</v>
      </c>
      <c r="H597" s="0" t="n">
        <v>29.65</v>
      </c>
      <c r="I597" s="0" t="n">
        <v>5.92</v>
      </c>
      <c r="J597" s="0" t="n">
        <v>19.58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29B</t>
        </is>
      </c>
      <c r="X597" s="0" t="n">
        <v>9</v>
      </c>
      <c r="Y597" s="0" t="n">
        <v>5</v>
      </c>
      <c r="Z597" s="0" t="inlineStr">
        <is>
          <t>https://new.land.naver.com/complexes/106022?tab=detail&amp;rf=Y</t>
        </is>
      </c>
      <c r="AA597" s="0" t="inlineStr">
        <is>
          <t>인천시 남동구 간석동 241-10</t>
        </is>
      </c>
      <c r="AB597" s="0" t="inlineStr">
        <is>
          <t>인천시</t>
        </is>
      </c>
      <c r="AC597" s="0" t="inlineStr">
        <is>
          <t>남동구</t>
        </is>
      </c>
      <c r="AD597" s="0" t="inlineStr">
        <is>
          <t>간석동</t>
        </is>
      </c>
      <c r="AG597" s="0" t="inlineStr">
        <is>
          <t>인천시 남동구 예술로362번길 65</t>
        </is>
      </c>
      <c r="AH597" s="0" t="n">
        <v>0</v>
      </c>
      <c r="AI597" s="0" t="n">
        <v>0</v>
      </c>
      <c r="AJ597" s="0" t="n">
        <v>0</v>
      </c>
      <c r="AK597" s="0" t="n">
        <v>14</v>
      </c>
      <c r="AL597" s="0" t="n">
        <v>0.16</v>
      </c>
    </row>
    <row r="598">
      <c r="A598" s="0" t="inlineStr">
        <is>
          <t>[간석동]</t>
        </is>
      </c>
      <c r="B598" s="0" t="n">
        <v>127673</v>
      </c>
      <c r="C598" s="0" t="n">
        <v>1</v>
      </c>
      <c r="D598" s="0" t="inlineStr">
        <is>
          <t>더필하우스</t>
        </is>
      </c>
      <c r="E598" s="0" t="inlineStr">
        <is>
          <t>2016.03.</t>
        </is>
      </c>
      <c r="F598" s="0" t="n">
        <v>11</v>
      </c>
      <c r="G598" s="0" t="n">
        <v>11.88</v>
      </c>
      <c r="H598" s="0" t="n">
        <v>39.28</v>
      </c>
      <c r="I598" s="0" t="n">
        <v>10.01</v>
      </c>
      <c r="J598" s="0" t="n">
        <v>33.1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39</v>
      </c>
      <c r="X598" s="0" t="n">
        <v>8</v>
      </c>
      <c r="Y598" s="0" t="n">
        <v>8</v>
      </c>
      <c r="Z598" s="0" t="inlineStr">
        <is>
          <t>https://new.land.naver.com/complexes/127673?tab=detail&amp;rf=Y</t>
        </is>
      </c>
      <c r="AA598" s="0" t="inlineStr">
        <is>
          <t>인천시 남동구 간석동 117-5</t>
        </is>
      </c>
      <c r="AB598" s="0" t="inlineStr">
        <is>
          <t>인천시</t>
        </is>
      </c>
      <c r="AC598" s="0" t="inlineStr">
        <is>
          <t>남동구</t>
        </is>
      </c>
      <c r="AD598" s="0" t="inlineStr">
        <is>
          <t>간석동</t>
        </is>
      </c>
      <c r="AG598" s="0" t="inlineStr">
        <is>
          <t>인천시 남동구 경인로644번길 86</t>
        </is>
      </c>
      <c r="AH598" s="0" t="n">
        <v>0</v>
      </c>
      <c r="AI598" s="0" t="n">
        <v>473</v>
      </c>
      <c r="AJ598" s="0" t="n">
        <v>77</v>
      </c>
      <c r="AK598" s="0" t="n">
        <v>9</v>
      </c>
      <c r="AL598" s="0" t="n">
        <v>0.82</v>
      </c>
    </row>
    <row r="599">
      <c r="A599" s="0" t="inlineStr">
        <is>
          <t>[간석동]</t>
        </is>
      </c>
      <c r="B599" s="0" t="n">
        <v>127673</v>
      </c>
      <c r="C599" s="0" t="n">
        <v>2</v>
      </c>
      <c r="D599" s="0" t="inlineStr">
        <is>
          <t>더필하우스</t>
        </is>
      </c>
      <c r="E599" s="0" t="inlineStr">
        <is>
          <t>2016.03.</t>
        </is>
      </c>
      <c r="F599" s="0" t="n">
        <v>11</v>
      </c>
      <c r="G599" s="0" t="n">
        <v>12.58</v>
      </c>
      <c r="H599" s="0" t="n">
        <v>41.6</v>
      </c>
      <c r="I599" s="0" t="n">
        <v>10.6</v>
      </c>
      <c r="J599" s="0" t="n">
        <v>35.05</v>
      </c>
      <c r="K599" s="0" t="n">
        <v>2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41</v>
      </c>
      <c r="X599" s="0" t="n">
        <v>8</v>
      </c>
      <c r="Y599" s="0" t="n">
        <v>8</v>
      </c>
      <c r="Z599" s="0" t="inlineStr">
        <is>
          <t>https://new.land.naver.com/complexes/127673?tab=detail&amp;rf=Y</t>
        </is>
      </c>
      <c r="AA599" s="0" t="inlineStr">
        <is>
          <t>인천시 남동구 간석동 117-5</t>
        </is>
      </c>
      <c r="AB599" s="0" t="inlineStr">
        <is>
          <t>인천시</t>
        </is>
      </c>
      <c r="AC599" s="0" t="inlineStr">
        <is>
          <t>남동구</t>
        </is>
      </c>
      <c r="AD599" s="0" t="inlineStr">
        <is>
          <t>간석동</t>
        </is>
      </c>
      <c r="AG599" s="0" t="inlineStr">
        <is>
          <t>인천시 남동구 경인로644번길 86</t>
        </is>
      </c>
      <c r="AH599" s="0" t="n">
        <v>0</v>
      </c>
      <c r="AI599" s="0" t="n">
        <v>473</v>
      </c>
      <c r="AJ599" s="0" t="n">
        <v>77</v>
      </c>
      <c r="AK599" s="0" t="n">
        <v>9</v>
      </c>
      <c r="AL599" s="0" t="n">
        <v>0.82</v>
      </c>
    </row>
    <row r="600">
      <c r="A600" s="0" t="inlineStr">
        <is>
          <t>[간석동]</t>
        </is>
      </c>
      <c r="B600" s="0" t="n">
        <v>127673</v>
      </c>
      <c r="C600" s="0" t="n">
        <v>3</v>
      </c>
      <c r="D600" s="0" t="inlineStr">
        <is>
          <t>더필하우스</t>
        </is>
      </c>
      <c r="E600" s="0" t="inlineStr">
        <is>
          <t>2016.03.</t>
        </is>
      </c>
      <c r="F600" s="0" t="n">
        <v>11</v>
      </c>
      <c r="G600" s="0" t="n">
        <v>16.96</v>
      </c>
      <c r="H600" s="0" t="n">
        <v>56.07</v>
      </c>
      <c r="I600" s="0" t="n">
        <v>14.29</v>
      </c>
      <c r="J600" s="0" t="n">
        <v>47.24</v>
      </c>
      <c r="K600" s="0" t="n">
        <v>1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8</v>
      </c>
      <c r="Y600" s="0" t="n">
        <v>8</v>
      </c>
      <c r="Z600" s="0" t="inlineStr">
        <is>
          <t>https://new.land.naver.com/complexes/127673?tab=detail&amp;rf=Y</t>
        </is>
      </c>
      <c r="AA600" s="0" t="inlineStr">
        <is>
          <t>인천시 남동구 간석동 117-5</t>
        </is>
      </c>
      <c r="AB600" s="0" t="inlineStr">
        <is>
          <t>인천시</t>
        </is>
      </c>
      <c r="AC600" s="0" t="inlineStr">
        <is>
          <t>남동구</t>
        </is>
      </c>
      <c r="AD600" s="0" t="inlineStr">
        <is>
          <t>간석동</t>
        </is>
      </c>
      <c r="AG600" s="0" t="inlineStr">
        <is>
          <t>인천시 남동구 경인로644번길 86</t>
        </is>
      </c>
      <c r="AH600" s="0" t="n">
        <v>0</v>
      </c>
      <c r="AI600" s="0" t="n">
        <v>473</v>
      </c>
      <c r="AJ600" s="0" t="n">
        <v>77</v>
      </c>
      <c r="AK600" s="0" t="n">
        <v>9</v>
      </c>
      <c r="AL600" s="0" t="n">
        <v>0.82</v>
      </c>
    </row>
    <row r="601">
      <c r="A601" s="0" t="inlineStr">
        <is>
          <t>[간석동]</t>
        </is>
      </c>
      <c r="B601" s="0" t="n">
        <v>127673</v>
      </c>
      <c r="C601" s="0" t="n">
        <v>4</v>
      </c>
      <c r="D601" s="0" t="inlineStr">
        <is>
          <t>더필하우스</t>
        </is>
      </c>
      <c r="E601" s="0" t="inlineStr">
        <is>
          <t>2016.03.</t>
        </is>
      </c>
      <c r="F601" s="0" t="n">
        <v>11</v>
      </c>
      <c r="G601" s="0" t="n">
        <v>17.49</v>
      </c>
      <c r="H601" s="0" t="n">
        <v>57.83</v>
      </c>
      <c r="I601" s="0" t="n">
        <v>14.74</v>
      </c>
      <c r="J601" s="0" t="n">
        <v>48.73</v>
      </c>
      <c r="K601" s="0" t="n">
        <v>2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57C</t>
        </is>
      </c>
      <c r="X601" s="0" t="n">
        <v>8</v>
      </c>
      <c r="Y601" s="0" t="n">
        <v>8</v>
      </c>
      <c r="Z601" s="0" t="inlineStr">
        <is>
          <t>https://new.land.naver.com/complexes/127673?tab=detail&amp;rf=Y</t>
        </is>
      </c>
      <c r="AA601" s="0" t="inlineStr">
        <is>
          <t>인천시 남동구 간석동 117-5</t>
        </is>
      </c>
      <c r="AB601" s="0" t="inlineStr">
        <is>
          <t>인천시</t>
        </is>
      </c>
      <c r="AC601" s="0" t="inlineStr">
        <is>
          <t>남동구</t>
        </is>
      </c>
      <c r="AD601" s="0" t="inlineStr">
        <is>
          <t>간석동</t>
        </is>
      </c>
      <c r="AG601" s="0" t="inlineStr">
        <is>
          <t>인천시 남동구 경인로644번길 86</t>
        </is>
      </c>
      <c r="AH601" s="0" t="n">
        <v>0</v>
      </c>
      <c r="AI601" s="0" t="n">
        <v>473</v>
      </c>
      <c r="AJ601" s="0" t="n">
        <v>77</v>
      </c>
      <c r="AK601" s="0" t="n">
        <v>9</v>
      </c>
      <c r="AL601" s="0" t="n">
        <v>0.82</v>
      </c>
    </row>
    <row r="602">
      <c r="A602" s="0" t="inlineStr">
        <is>
          <t>[간석동]</t>
        </is>
      </c>
      <c r="B602" s="0" t="n">
        <v>127673</v>
      </c>
      <c r="C602" s="0" t="n">
        <v>5</v>
      </c>
      <c r="D602" s="0" t="inlineStr">
        <is>
          <t>더필하우스</t>
        </is>
      </c>
      <c r="E602" s="0" t="inlineStr">
        <is>
          <t>2016.03.</t>
        </is>
      </c>
      <c r="F602" s="0" t="n">
        <v>11</v>
      </c>
      <c r="G602" s="0" t="n">
        <v>17.25</v>
      </c>
      <c r="H602" s="0" t="n">
        <v>57.04</v>
      </c>
      <c r="I602" s="0" t="n">
        <v>14.53</v>
      </c>
      <c r="J602" s="0" t="n">
        <v>48.06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57B</t>
        </is>
      </c>
      <c r="X602" s="0" t="n">
        <v>8</v>
      </c>
      <c r="Y602" s="0" t="n">
        <v>8</v>
      </c>
      <c r="Z602" s="0" t="inlineStr">
        <is>
          <t>https://new.land.naver.com/complexes/127673?tab=detail&amp;rf=Y</t>
        </is>
      </c>
      <c r="AA602" s="0" t="inlineStr">
        <is>
          <t>인천시 남동구 간석동 117-5</t>
        </is>
      </c>
      <c r="AB602" s="0" t="inlineStr">
        <is>
          <t>인천시</t>
        </is>
      </c>
      <c r="AC602" s="0" t="inlineStr">
        <is>
          <t>남동구</t>
        </is>
      </c>
      <c r="AD602" s="0" t="inlineStr">
        <is>
          <t>간석동</t>
        </is>
      </c>
      <c r="AG602" s="0" t="inlineStr">
        <is>
          <t>인천시 남동구 경인로644번길 86</t>
        </is>
      </c>
      <c r="AH602" s="0" t="n">
        <v>0</v>
      </c>
      <c r="AI602" s="0" t="n">
        <v>473</v>
      </c>
      <c r="AJ602" s="0" t="n">
        <v>77</v>
      </c>
      <c r="AK602" s="0" t="n">
        <v>9</v>
      </c>
      <c r="AL602" s="0" t="n">
        <v>0.82</v>
      </c>
    </row>
    <row r="603">
      <c r="A603" s="0" t="inlineStr">
        <is>
          <t>[간석동]</t>
        </is>
      </c>
      <c r="B603" s="0" t="n">
        <v>127673</v>
      </c>
      <c r="C603" s="0" t="n">
        <v>6</v>
      </c>
      <c r="D603" s="0" t="inlineStr">
        <is>
          <t>더필하우스</t>
        </is>
      </c>
      <c r="E603" s="0" t="inlineStr">
        <is>
          <t>2016.03.</t>
        </is>
      </c>
      <c r="F603" s="0" t="n">
        <v>11</v>
      </c>
      <c r="G603" s="0" t="n">
        <v>19.9</v>
      </c>
      <c r="H603" s="0" t="n">
        <v>65.81</v>
      </c>
      <c r="I603" s="0" t="n">
        <v>16.77</v>
      </c>
      <c r="J603" s="0" t="n">
        <v>55.45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65</v>
      </c>
      <c r="X603" s="0" t="n">
        <v>8</v>
      </c>
      <c r="Y603" s="0" t="n">
        <v>8</v>
      </c>
      <c r="Z603" s="0" t="inlineStr">
        <is>
          <t>https://new.land.naver.com/complexes/127673?tab=detail&amp;rf=Y</t>
        </is>
      </c>
      <c r="AA603" s="0" t="inlineStr">
        <is>
          <t>인천시 남동구 간석동 117-5</t>
        </is>
      </c>
      <c r="AB603" s="0" t="inlineStr">
        <is>
          <t>인천시</t>
        </is>
      </c>
      <c r="AC603" s="0" t="inlineStr">
        <is>
          <t>남동구</t>
        </is>
      </c>
      <c r="AD603" s="0" t="inlineStr">
        <is>
          <t>간석동</t>
        </is>
      </c>
      <c r="AG603" s="0" t="inlineStr">
        <is>
          <t>인천시 남동구 경인로644번길 86</t>
        </is>
      </c>
      <c r="AH603" s="0" t="n">
        <v>0</v>
      </c>
      <c r="AI603" s="0" t="n">
        <v>473</v>
      </c>
      <c r="AJ603" s="0" t="n">
        <v>77</v>
      </c>
      <c r="AK603" s="0" t="n">
        <v>9</v>
      </c>
      <c r="AL603" s="0" t="n">
        <v>0.82</v>
      </c>
    </row>
    <row r="604">
      <c r="A604" s="0" t="inlineStr">
        <is>
          <t>[간석동]</t>
        </is>
      </c>
      <c r="B604" s="0" t="n">
        <v>127673</v>
      </c>
      <c r="C604" s="0" t="n">
        <v>7</v>
      </c>
      <c r="D604" s="0" t="inlineStr">
        <is>
          <t>더필하우스</t>
        </is>
      </c>
      <c r="E604" s="0" t="inlineStr">
        <is>
          <t>2016.03.</t>
        </is>
      </c>
      <c r="F604" s="0" t="n">
        <v>11</v>
      </c>
      <c r="G604" s="0" t="n">
        <v>27.68</v>
      </c>
      <c r="H604" s="0" t="n">
        <v>91.52</v>
      </c>
      <c r="I604" s="0" t="n">
        <v>23.32</v>
      </c>
      <c r="J604" s="0" t="n">
        <v>77.11</v>
      </c>
      <c r="K604" s="0" t="n">
        <v>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91A</t>
        </is>
      </c>
      <c r="X604" s="0" t="n">
        <v>8</v>
      </c>
      <c r="Y604" s="0" t="n">
        <v>8</v>
      </c>
      <c r="Z604" s="0" t="inlineStr">
        <is>
          <t>https://new.land.naver.com/complexes/127673?tab=detail&amp;rf=Y</t>
        </is>
      </c>
      <c r="AA604" s="0" t="inlineStr">
        <is>
          <t>인천시 남동구 간석동 117-5</t>
        </is>
      </c>
      <c r="AB604" s="0" t="inlineStr">
        <is>
          <t>인천시</t>
        </is>
      </c>
      <c r="AC604" s="0" t="inlineStr">
        <is>
          <t>남동구</t>
        </is>
      </c>
      <c r="AD604" s="0" t="inlineStr">
        <is>
          <t>간석동</t>
        </is>
      </c>
      <c r="AG604" s="0" t="inlineStr">
        <is>
          <t>인천시 남동구 경인로644번길 86</t>
        </is>
      </c>
      <c r="AH604" s="0" t="n">
        <v>0</v>
      </c>
      <c r="AI604" s="0" t="n">
        <v>473</v>
      </c>
      <c r="AJ604" s="0" t="n">
        <v>77</v>
      </c>
      <c r="AK604" s="0" t="n">
        <v>9</v>
      </c>
      <c r="AL604" s="0" t="n">
        <v>0.82</v>
      </c>
    </row>
    <row r="605">
      <c r="A605" s="0" t="inlineStr">
        <is>
          <t>[간석동]</t>
        </is>
      </c>
      <c r="B605" s="0" t="n">
        <v>127673</v>
      </c>
      <c r="C605" s="0" t="n">
        <v>8</v>
      </c>
      <c r="D605" s="0" t="inlineStr">
        <is>
          <t>더필하우스</t>
        </is>
      </c>
      <c r="E605" s="0" t="inlineStr">
        <is>
          <t>2016.03.</t>
        </is>
      </c>
      <c r="F605" s="0" t="n">
        <v>11</v>
      </c>
      <c r="G605" s="0" t="n">
        <v>27.99</v>
      </c>
      <c r="H605" s="0" t="n">
        <v>92.53</v>
      </c>
      <c r="I605" s="0" t="n">
        <v>23.58</v>
      </c>
      <c r="J605" s="0" t="n">
        <v>77.95999999999999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92B</t>
        </is>
      </c>
      <c r="X605" s="0" t="n">
        <v>8</v>
      </c>
      <c r="Y605" s="0" t="n">
        <v>8</v>
      </c>
      <c r="Z605" s="0" t="inlineStr">
        <is>
          <t>https://new.land.naver.com/complexes/127673?tab=detail&amp;rf=Y</t>
        </is>
      </c>
      <c r="AA605" s="0" t="inlineStr">
        <is>
          <t>인천시 남동구 간석동 117-5</t>
        </is>
      </c>
      <c r="AB605" s="0" t="inlineStr">
        <is>
          <t>인천시</t>
        </is>
      </c>
      <c r="AC605" s="0" t="inlineStr">
        <is>
          <t>남동구</t>
        </is>
      </c>
      <c r="AD605" s="0" t="inlineStr">
        <is>
          <t>간석동</t>
        </is>
      </c>
      <c r="AG605" s="0" t="inlineStr">
        <is>
          <t>인천시 남동구 경인로644번길 86</t>
        </is>
      </c>
      <c r="AH605" s="0" t="n">
        <v>0</v>
      </c>
      <c r="AI605" s="0" t="n">
        <v>473</v>
      </c>
      <c r="AJ605" s="0" t="n">
        <v>77</v>
      </c>
      <c r="AK605" s="0" t="n">
        <v>9</v>
      </c>
      <c r="AL605" s="0" t="n">
        <v>0.82</v>
      </c>
    </row>
    <row r="606">
      <c r="A606" s="0" t="inlineStr">
        <is>
          <t>[간석동]</t>
        </is>
      </c>
      <c r="B606" s="0" t="n">
        <v>114136</v>
      </c>
      <c r="C606" s="0" t="n">
        <v>1</v>
      </c>
      <c r="D606" s="0" t="inlineStr">
        <is>
          <t>간석한신더휴</t>
        </is>
      </c>
      <c r="E606" s="0" t="inlineStr">
        <is>
          <t>2019.01.</t>
        </is>
      </c>
      <c r="F606" s="0" t="n">
        <v>643</v>
      </c>
      <c r="G606" s="0" t="n">
        <v>24.2</v>
      </c>
      <c r="H606" s="0" t="n">
        <v>80.01000000000001</v>
      </c>
      <c r="I606" s="0" t="n">
        <v>18.03</v>
      </c>
      <c r="J606" s="0" t="n">
        <v>59.62</v>
      </c>
      <c r="K606" s="0" t="n">
        <v>42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80B</t>
        </is>
      </c>
      <c r="X606" s="0" t="n">
        <v>26</v>
      </c>
      <c r="Y606" s="0" t="n">
        <v>26</v>
      </c>
      <c r="Z606" s="0" t="inlineStr">
        <is>
          <t>https://new.land.naver.com/complexes/114136?tab=detail&amp;rf=Y</t>
        </is>
      </c>
      <c r="AA606" s="0" t="inlineStr">
        <is>
          <t>인천시 남동구 간석동 616-6</t>
        </is>
      </c>
      <c r="AB606" s="0" t="inlineStr">
        <is>
          <t>인천시</t>
        </is>
      </c>
      <c r="AC606" s="0" t="inlineStr">
        <is>
          <t>남동구</t>
        </is>
      </c>
      <c r="AD606" s="0" t="inlineStr">
        <is>
          <t>간석동</t>
        </is>
      </c>
      <c r="AG606" s="0" t="inlineStr">
        <is>
          <t>인천시 남동구 석정로461번길 50</t>
        </is>
      </c>
      <c r="AH606" s="0" t="n">
        <v>0</v>
      </c>
      <c r="AI606" s="0" t="n">
        <v>284</v>
      </c>
      <c r="AJ606" s="0" t="n">
        <v>20</v>
      </c>
      <c r="AK606" s="0" t="n">
        <v>824</v>
      </c>
      <c r="AL606" s="0" t="n">
        <v>1.28</v>
      </c>
    </row>
    <row r="607">
      <c r="A607" s="0" t="inlineStr">
        <is>
          <t>[간석동]</t>
        </is>
      </c>
      <c r="B607" s="0" t="n">
        <v>114136</v>
      </c>
      <c r="C607" s="0" t="n">
        <v>2</v>
      </c>
      <c r="D607" s="0" t="inlineStr">
        <is>
          <t>간석한신더휴</t>
        </is>
      </c>
      <c r="E607" s="0" t="inlineStr">
        <is>
          <t>2019.01.</t>
        </is>
      </c>
      <c r="F607" s="0" t="n">
        <v>643</v>
      </c>
      <c r="G607" s="0" t="n">
        <v>24.87</v>
      </c>
      <c r="H607" s="0" t="n">
        <v>82.23999999999999</v>
      </c>
      <c r="I607" s="0" t="n">
        <v>18.12</v>
      </c>
      <c r="J607" s="0" t="n">
        <v>59.92</v>
      </c>
      <c r="K607" s="0" t="n">
        <v>161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82A</t>
        </is>
      </c>
      <c r="X607" s="0" t="n">
        <v>26</v>
      </c>
      <c r="Y607" s="0" t="n">
        <v>26</v>
      </c>
      <c r="Z607" s="0" t="inlineStr">
        <is>
          <t>https://new.land.naver.com/complexes/114136?tab=detail&amp;rf=Y</t>
        </is>
      </c>
      <c r="AA607" s="0" t="inlineStr">
        <is>
          <t>인천시 남동구 간석동 616-6</t>
        </is>
      </c>
      <c r="AB607" s="0" t="inlineStr">
        <is>
          <t>인천시</t>
        </is>
      </c>
      <c r="AC607" s="0" t="inlineStr">
        <is>
          <t>남동구</t>
        </is>
      </c>
      <c r="AD607" s="0" t="inlineStr">
        <is>
          <t>간석동</t>
        </is>
      </c>
      <c r="AG607" s="0" t="inlineStr">
        <is>
          <t>인천시 남동구 석정로461번길 50</t>
        </is>
      </c>
      <c r="AH607" s="0" t="n">
        <v>0</v>
      </c>
      <c r="AI607" s="0" t="n">
        <v>284</v>
      </c>
      <c r="AJ607" s="0" t="n">
        <v>20</v>
      </c>
      <c r="AK607" s="0" t="n">
        <v>824</v>
      </c>
      <c r="AL607" s="0" t="n">
        <v>1.28</v>
      </c>
    </row>
    <row r="608">
      <c r="A608" s="0" t="inlineStr">
        <is>
          <t>[간석동]</t>
        </is>
      </c>
      <c r="B608" s="0" t="n">
        <v>114136</v>
      </c>
      <c r="C608" s="0" t="n">
        <v>3</v>
      </c>
      <c r="D608" s="0" t="inlineStr">
        <is>
          <t>간석한신더휴</t>
        </is>
      </c>
      <c r="E608" s="0" t="inlineStr">
        <is>
          <t>2019.01.</t>
        </is>
      </c>
      <c r="F608" s="0" t="n">
        <v>643</v>
      </c>
      <c r="G608" s="0" t="n">
        <v>30.11</v>
      </c>
      <c r="H608" s="0" t="n">
        <v>99.54000000000001</v>
      </c>
      <c r="I608" s="0" t="n">
        <v>22.59</v>
      </c>
      <c r="J608" s="0" t="n">
        <v>74.69</v>
      </c>
      <c r="K608" s="0" t="n">
        <v>142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26</v>
      </c>
      <c r="Y608" s="0" t="n">
        <v>26</v>
      </c>
      <c r="Z608" s="0" t="inlineStr">
        <is>
          <t>https://new.land.naver.com/complexes/114136?tab=detail&amp;rf=Y</t>
        </is>
      </c>
      <c r="AA608" s="0" t="inlineStr">
        <is>
          <t>인천시 남동구 간석동 616-6</t>
        </is>
      </c>
      <c r="AB608" s="0" t="inlineStr">
        <is>
          <t>인천시</t>
        </is>
      </c>
      <c r="AC608" s="0" t="inlineStr">
        <is>
          <t>남동구</t>
        </is>
      </c>
      <c r="AD608" s="0" t="inlineStr">
        <is>
          <t>간석동</t>
        </is>
      </c>
      <c r="AG608" s="0" t="inlineStr">
        <is>
          <t>인천시 남동구 석정로461번길 50</t>
        </is>
      </c>
      <c r="AH608" s="0" t="n">
        <v>0</v>
      </c>
      <c r="AI608" s="0" t="n">
        <v>284</v>
      </c>
      <c r="AJ608" s="0" t="n">
        <v>20</v>
      </c>
      <c r="AK608" s="0" t="n">
        <v>824</v>
      </c>
      <c r="AL608" s="0" t="n">
        <v>1.28</v>
      </c>
    </row>
    <row r="609">
      <c r="A609" s="0" t="inlineStr">
        <is>
          <t>[간석동]</t>
        </is>
      </c>
      <c r="B609" s="0" t="n">
        <v>114136</v>
      </c>
      <c r="C609" s="0" t="n">
        <v>4</v>
      </c>
      <c r="D609" s="0" t="inlineStr">
        <is>
          <t>간석한신더휴</t>
        </is>
      </c>
      <c r="E609" s="0" t="inlineStr">
        <is>
          <t>2019.01.</t>
        </is>
      </c>
      <c r="F609" s="0" t="n">
        <v>643</v>
      </c>
      <c r="G609" s="0" t="n">
        <v>33.99</v>
      </c>
      <c r="H609" s="0" t="n">
        <v>112.37</v>
      </c>
      <c r="I609" s="0" t="n">
        <v>25.67</v>
      </c>
      <c r="J609" s="0" t="n">
        <v>84.87</v>
      </c>
      <c r="K609" s="0" t="n">
        <v>193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112B</t>
        </is>
      </c>
      <c r="X609" s="0" t="n">
        <v>26</v>
      </c>
      <c r="Y609" s="0" t="n">
        <v>26</v>
      </c>
      <c r="Z609" s="0" t="inlineStr">
        <is>
          <t>https://new.land.naver.com/complexes/114136?tab=detail&amp;rf=Y</t>
        </is>
      </c>
      <c r="AA609" s="0" t="inlineStr">
        <is>
          <t>인천시 남동구 간석동 616-6</t>
        </is>
      </c>
      <c r="AB609" s="0" t="inlineStr">
        <is>
          <t>인천시</t>
        </is>
      </c>
      <c r="AC609" s="0" t="inlineStr">
        <is>
          <t>남동구</t>
        </is>
      </c>
      <c r="AD609" s="0" t="inlineStr">
        <is>
          <t>간석동</t>
        </is>
      </c>
      <c r="AG609" s="0" t="inlineStr">
        <is>
          <t>인천시 남동구 석정로461번길 50</t>
        </is>
      </c>
      <c r="AH609" s="0" t="n">
        <v>0</v>
      </c>
      <c r="AI609" s="0" t="n">
        <v>284</v>
      </c>
      <c r="AJ609" s="0" t="n">
        <v>20</v>
      </c>
      <c r="AK609" s="0" t="n">
        <v>824</v>
      </c>
      <c r="AL609" s="0" t="n">
        <v>1.28</v>
      </c>
    </row>
    <row r="610">
      <c r="A610" s="0" t="inlineStr">
        <is>
          <t>[간석동]</t>
        </is>
      </c>
      <c r="B610" s="0" t="n">
        <v>114136</v>
      </c>
      <c r="C610" s="0" t="n">
        <v>5</v>
      </c>
      <c r="D610" s="0" t="inlineStr">
        <is>
          <t>간석한신더휴</t>
        </is>
      </c>
      <c r="E610" s="0" t="inlineStr">
        <is>
          <t>2019.01.</t>
        </is>
      </c>
      <c r="F610" s="0" t="n">
        <v>643</v>
      </c>
      <c r="G610" s="0" t="n">
        <v>33.97</v>
      </c>
      <c r="H610" s="0" t="n">
        <v>112.31</v>
      </c>
      <c r="I610" s="0" t="n">
        <v>25.64</v>
      </c>
      <c r="J610" s="0" t="n">
        <v>84.79000000000001</v>
      </c>
      <c r="K610" s="0" t="n">
        <v>65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112C</t>
        </is>
      </c>
      <c r="X610" s="0" t="n">
        <v>26</v>
      </c>
      <c r="Y610" s="0" t="n">
        <v>26</v>
      </c>
      <c r="Z610" s="0" t="inlineStr">
        <is>
          <t>https://new.land.naver.com/complexes/114136?tab=detail&amp;rf=Y</t>
        </is>
      </c>
      <c r="AA610" s="0" t="inlineStr">
        <is>
          <t>인천시 남동구 간석동 616-6</t>
        </is>
      </c>
      <c r="AB610" s="0" t="inlineStr">
        <is>
          <t>인천시</t>
        </is>
      </c>
      <c r="AC610" s="0" t="inlineStr">
        <is>
          <t>남동구</t>
        </is>
      </c>
      <c r="AD610" s="0" t="inlineStr">
        <is>
          <t>간석동</t>
        </is>
      </c>
      <c r="AG610" s="0" t="inlineStr">
        <is>
          <t>인천시 남동구 석정로461번길 50</t>
        </is>
      </c>
      <c r="AH610" s="0" t="n">
        <v>0</v>
      </c>
      <c r="AI610" s="0" t="n">
        <v>284</v>
      </c>
      <c r="AJ610" s="0" t="n">
        <v>20</v>
      </c>
      <c r="AK610" s="0" t="n">
        <v>824</v>
      </c>
      <c r="AL610" s="0" t="n">
        <v>1.28</v>
      </c>
    </row>
    <row r="611">
      <c r="A611" s="0" t="inlineStr">
        <is>
          <t>[간석동]</t>
        </is>
      </c>
      <c r="B611" s="0" t="n">
        <v>114136</v>
      </c>
      <c r="C611" s="0" t="n">
        <v>6</v>
      </c>
      <c r="D611" s="0" t="inlineStr">
        <is>
          <t>간석한신더휴</t>
        </is>
      </c>
      <c r="E611" s="0" t="inlineStr">
        <is>
          <t>2019.01.</t>
        </is>
      </c>
      <c r="F611" s="0" t="n">
        <v>643</v>
      </c>
      <c r="G611" s="0" t="n">
        <v>33.9</v>
      </c>
      <c r="H611" s="0" t="n">
        <v>112.07</v>
      </c>
      <c r="I611" s="0" t="n">
        <v>25.69</v>
      </c>
      <c r="J611" s="0" t="n">
        <v>84.93000000000001</v>
      </c>
      <c r="K611" s="0" t="n">
        <v>40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112A</t>
        </is>
      </c>
      <c r="X611" s="0" t="n">
        <v>26</v>
      </c>
      <c r="Y611" s="0" t="n">
        <v>26</v>
      </c>
      <c r="Z611" s="0" t="inlineStr">
        <is>
          <t>https://new.land.naver.com/complexes/114136?tab=detail&amp;rf=Y</t>
        </is>
      </c>
      <c r="AA611" s="0" t="inlineStr">
        <is>
          <t>인천시 남동구 간석동 616-6</t>
        </is>
      </c>
      <c r="AB611" s="0" t="inlineStr">
        <is>
          <t>인천시</t>
        </is>
      </c>
      <c r="AC611" s="0" t="inlineStr">
        <is>
          <t>남동구</t>
        </is>
      </c>
      <c r="AD611" s="0" t="inlineStr">
        <is>
          <t>간석동</t>
        </is>
      </c>
      <c r="AG611" s="0" t="inlineStr">
        <is>
          <t>인천시 남동구 석정로461번길 50</t>
        </is>
      </c>
      <c r="AH611" s="0" t="n">
        <v>0</v>
      </c>
      <c r="AI611" s="0" t="n">
        <v>284</v>
      </c>
      <c r="AJ611" s="0" t="n">
        <v>20</v>
      </c>
      <c r="AK611" s="0" t="n">
        <v>824</v>
      </c>
      <c r="AL611" s="0" t="n">
        <v>1.28</v>
      </c>
    </row>
    <row r="612">
      <c r="A612" s="0" t="inlineStr">
        <is>
          <t>[간석동]</t>
        </is>
      </c>
      <c r="B612" s="0" t="n">
        <v>114366</v>
      </c>
      <c r="C612" s="0" t="n">
        <v>1</v>
      </c>
      <c r="D612" s="0" t="inlineStr">
        <is>
          <t>쎈텀씨티(도시형)</t>
        </is>
      </c>
      <c r="E612" s="0" t="inlineStr">
        <is>
          <t>2016.10.</t>
        </is>
      </c>
      <c r="F612" s="0" t="n">
        <v>4</v>
      </c>
      <c r="G612" s="0" t="n">
        <v>18.68</v>
      </c>
      <c r="H612" s="0" t="n">
        <v>61.76</v>
      </c>
      <c r="I612" s="0" t="n">
        <v>15.86</v>
      </c>
      <c r="J612" s="0" t="n">
        <v>52.46</v>
      </c>
      <c r="K612" s="0" t="n">
        <v>2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61B</t>
        </is>
      </c>
      <c r="X612" s="0" t="n">
        <v>3</v>
      </c>
      <c r="Y612" s="0" t="n">
        <v>3</v>
      </c>
      <c r="Z612" s="0" t="inlineStr">
        <is>
          <t>https://new.land.naver.com/complexes/114366?tab=detail&amp;rf=Y</t>
        </is>
      </c>
      <c r="AA612" s="0" t="inlineStr">
        <is>
          <t>인천시 남동구 간석동 107-2</t>
        </is>
      </c>
      <c r="AB612" s="0" t="inlineStr">
        <is>
          <t>인천시</t>
        </is>
      </c>
      <c r="AC612" s="0" t="inlineStr">
        <is>
          <t>남동구</t>
        </is>
      </c>
      <c r="AD612" s="0" t="inlineStr">
        <is>
          <t>간석동</t>
        </is>
      </c>
      <c r="AG612" s="0" t="inlineStr">
        <is>
          <t>인천시 남동구 간석로 8-1</t>
        </is>
      </c>
      <c r="AH612" s="0" t="n">
        <v>0</v>
      </c>
      <c r="AI612" s="0" t="n">
        <v>424</v>
      </c>
      <c r="AJ612" s="0" t="n">
        <v>74</v>
      </c>
      <c r="AK612" s="0" t="n">
        <v>2</v>
      </c>
      <c r="AL612" s="0" t="n">
        <v>0.5</v>
      </c>
    </row>
    <row r="613">
      <c r="A613" s="0" t="inlineStr">
        <is>
          <t>[간석동]</t>
        </is>
      </c>
      <c r="B613" s="0" t="n">
        <v>114366</v>
      </c>
      <c r="C613" s="0" t="n">
        <v>2</v>
      </c>
      <c r="D613" s="0" t="inlineStr">
        <is>
          <t>쎈텀씨티(도시형)</t>
        </is>
      </c>
      <c r="E613" s="0" t="inlineStr">
        <is>
          <t>2016.10.</t>
        </is>
      </c>
      <c r="F613" s="0" t="n">
        <v>4</v>
      </c>
      <c r="G613" s="0" t="n">
        <v>18.95</v>
      </c>
      <c r="H613" s="0" t="n">
        <v>62.67</v>
      </c>
      <c r="I613" s="0" t="n">
        <v>16.1</v>
      </c>
      <c r="J613" s="0" t="n">
        <v>53.24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62A</t>
        </is>
      </c>
      <c r="X613" s="0" t="n">
        <v>3</v>
      </c>
      <c r="Y613" s="0" t="n">
        <v>3</v>
      </c>
      <c r="Z613" s="0" t="inlineStr">
        <is>
          <t>https://new.land.naver.com/complexes/114366?tab=detail&amp;rf=Y</t>
        </is>
      </c>
      <c r="AA613" s="0" t="inlineStr">
        <is>
          <t>인천시 남동구 간석동 107-2</t>
        </is>
      </c>
      <c r="AB613" s="0" t="inlineStr">
        <is>
          <t>인천시</t>
        </is>
      </c>
      <c r="AC613" s="0" t="inlineStr">
        <is>
          <t>남동구</t>
        </is>
      </c>
      <c r="AD613" s="0" t="inlineStr">
        <is>
          <t>간석동</t>
        </is>
      </c>
      <c r="AG613" s="0" t="inlineStr">
        <is>
          <t>인천시 남동구 간석로 8-1</t>
        </is>
      </c>
      <c r="AH613" s="0" t="n">
        <v>0</v>
      </c>
      <c r="AI613" s="0" t="n">
        <v>424</v>
      </c>
      <c r="AJ613" s="0" t="n">
        <v>74</v>
      </c>
      <c r="AK613" s="0" t="n">
        <v>2</v>
      </c>
      <c r="AL613" s="0" t="n">
        <v>0.5</v>
      </c>
    </row>
    <row r="614">
      <c r="A614" s="0" t="inlineStr">
        <is>
          <t>[간석동]</t>
        </is>
      </c>
      <c r="B614" s="0" t="n">
        <v>10031</v>
      </c>
      <c r="C614" s="0" t="n">
        <v>1</v>
      </c>
      <c r="D614" s="0" t="inlineStr">
        <is>
          <t>덕산</t>
        </is>
      </c>
      <c r="E614" s="0" t="inlineStr">
        <is>
          <t>1995.06.</t>
        </is>
      </c>
      <c r="F614" s="0" t="n">
        <v>62</v>
      </c>
      <c r="G614" s="0" t="n">
        <v>23.4</v>
      </c>
      <c r="H614" s="0" t="n">
        <v>77.38</v>
      </c>
      <c r="I614" s="0" t="n">
        <v>18.04</v>
      </c>
      <c r="J614" s="0" t="n">
        <v>59.65</v>
      </c>
      <c r="K614" s="0" t="n">
        <v>38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77</v>
      </c>
      <c r="X614" s="0" t="n">
        <v>9</v>
      </c>
      <c r="Y614" s="0" t="n">
        <v>7</v>
      </c>
      <c r="Z614" s="0" t="inlineStr">
        <is>
          <t>https://new.land.naver.com/complexes/10031?tab=detail&amp;rf=Y</t>
        </is>
      </c>
      <c r="AA614" s="0" t="inlineStr">
        <is>
          <t>인천시 남동구 간석동 908</t>
        </is>
      </c>
      <c r="AB614" s="0" t="inlineStr">
        <is>
          <t>인천시</t>
        </is>
      </c>
      <c r="AC614" s="0" t="inlineStr">
        <is>
          <t>남동구</t>
        </is>
      </c>
      <c r="AD614" s="0" t="inlineStr">
        <is>
          <t>간석동</t>
        </is>
      </c>
      <c r="AG614" s="0" t="inlineStr">
        <is>
          <t>인천시 남동구 예술로258번길 5</t>
        </is>
      </c>
      <c r="AH614" s="0" t="n">
        <v>0</v>
      </c>
      <c r="AI614" s="0" t="n">
        <v>238</v>
      </c>
      <c r="AJ614" s="0" t="n">
        <v>55</v>
      </c>
      <c r="AK614" s="0" t="n">
        <v>65</v>
      </c>
      <c r="AL614" s="0" t="n">
        <v>1.05</v>
      </c>
    </row>
    <row r="615">
      <c r="A615" s="0" t="inlineStr">
        <is>
          <t>[간석동]</t>
        </is>
      </c>
      <c r="B615" s="0" t="n">
        <v>10031</v>
      </c>
      <c r="C615" s="0" t="n">
        <v>2</v>
      </c>
      <c r="D615" s="0" t="inlineStr">
        <is>
          <t>덕산</t>
        </is>
      </c>
      <c r="E615" s="0" t="inlineStr">
        <is>
          <t>1995.06.</t>
        </is>
      </c>
      <c r="F615" s="0" t="n">
        <v>62</v>
      </c>
      <c r="G615" s="0" t="n">
        <v>33.32</v>
      </c>
      <c r="H615" s="0" t="n">
        <v>110.15</v>
      </c>
      <c r="I615" s="0" t="n">
        <v>25.68</v>
      </c>
      <c r="J615" s="0" t="n">
        <v>84.90000000000001</v>
      </c>
      <c r="K615" s="0" t="n">
        <v>16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110</v>
      </c>
      <c r="X615" s="0" t="n">
        <v>9</v>
      </c>
      <c r="Y615" s="0" t="n">
        <v>7</v>
      </c>
      <c r="Z615" s="0" t="inlineStr">
        <is>
          <t>https://new.land.naver.com/complexes/10031?tab=detail&amp;rf=Y</t>
        </is>
      </c>
      <c r="AA615" s="0" t="inlineStr">
        <is>
          <t>인천시 남동구 간석동 908</t>
        </is>
      </c>
      <c r="AB615" s="0" t="inlineStr">
        <is>
          <t>인천시</t>
        </is>
      </c>
      <c r="AC615" s="0" t="inlineStr">
        <is>
          <t>남동구</t>
        </is>
      </c>
      <c r="AD615" s="0" t="inlineStr">
        <is>
          <t>간석동</t>
        </is>
      </c>
      <c r="AG615" s="0" t="inlineStr">
        <is>
          <t>인천시 남동구 예술로258번길 5</t>
        </is>
      </c>
      <c r="AH615" s="0" t="n">
        <v>0</v>
      </c>
      <c r="AI615" s="0" t="n">
        <v>238</v>
      </c>
      <c r="AJ615" s="0" t="n">
        <v>55</v>
      </c>
      <c r="AK615" s="0" t="n">
        <v>65</v>
      </c>
      <c r="AL615" s="0" t="n">
        <v>1.05</v>
      </c>
    </row>
    <row r="616">
      <c r="A616" s="0" t="inlineStr">
        <is>
          <t>[간석동]</t>
        </is>
      </c>
      <c r="B616" s="0" t="n">
        <v>10031</v>
      </c>
      <c r="C616" s="0" t="n">
        <v>3</v>
      </c>
      <c r="D616" s="0" t="inlineStr">
        <is>
          <t>덕산</t>
        </is>
      </c>
      <c r="E616" s="0" t="inlineStr">
        <is>
          <t>1995.06.</t>
        </is>
      </c>
      <c r="F616" s="0" t="n">
        <v>62</v>
      </c>
      <c r="G616" s="0" t="n">
        <v>41.99</v>
      </c>
      <c r="H616" s="0" t="n">
        <v>138.82</v>
      </c>
      <c r="I616" s="0" t="n">
        <v>32.23</v>
      </c>
      <c r="J616" s="0" t="n">
        <v>106.57</v>
      </c>
      <c r="K616" s="0" t="n">
        <v>8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138</v>
      </c>
      <c r="X616" s="0" t="n">
        <v>9</v>
      </c>
      <c r="Y616" s="0" t="n">
        <v>7</v>
      </c>
      <c r="Z616" s="0" t="inlineStr">
        <is>
          <t>https://new.land.naver.com/complexes/10031?tab=detail&amp;rf=Y</t>
        </is>
      </c>
      <c r="AA616" s="0" t="inlineStr">
        <is>
          <t>인천시 남동구 간석동 908</t>
        </is>
      </c>
      <c r="AB616" s="0" t="inlineStr">
        <is>
          <t>인천시</t>
        </is>
      </c>
      <c r="AC616" s="0" t="inlineStr">
        <is>
          <t>남동구</t>
        </is>
      </c>
      <c r="AD616" s="0" t="inlineStr">
        <is>
          <t>간석동</t>
        </is>
      </c>
      <c r="AG616" s="0" t="inlineStr">
        <is>
          <t>인천시 남동구 예술로258번길 5</t>
        </is>
      </c>
      <c r="AH616" s="0" t="n">
        <v>0</v>
      </c>
      <c r="AI616" s="0" t="n">
        <v>238</v>
      </c>
      <c r="AJ616" s="0" t="n">
        <v>55</v>
      </c>
      <c r="AK616" s="0" t="n">
        <v>65</v>
      </c>
      <c r="AL616" s="0" t="n">
        <v>1.05</v>
      </c>
    </row>
    <row r="617">
      <c r="A617" s="0" t="inlineStr">
        <is>
          <t>[구월동]</t>
        </is>
      </c>
      <c r="B617" s="0" t="n">
        <v>115925</v>
      </c>
      <c r="C617" s="0" t="n">
        <v>1</v>
      </c>
      <c r="D617" s="0" t="inlineStr">
        <is>
          <t>룩소르5차</t>
        </is>
      </c>
      <c r="E617" s="0" t="inlineStr">
        <is>
          <t>2015.06.</t>
        </is>
      </c>
      <c r="F617" s="0" t="n">
        <v>80</v>
      </c>
      <c r="G617" s="0" t="n">
        <v>21.69</v>
      </c>
      <c r="H617" s="0" t="n">
        <v>71.72</v>
      </c>
      <c r="I617" s="0" t="n">
        <v>14.29</v>
      </c>
      <c r="J617" s="0" t="n">
        <v>47.24</v>
      </c>
      <c r="K617" s="0" t="n">
        <v>8</v>
      </c>
      <c r="T617" s="0" t="n">
        <v>3</v>
      </c>
      <c r="U617" s="0" t="n">
        <v>1</v>
      </c>
      <c r="V617" s="0" t="inlineStr">
        <is>
          <t>복도식</t>
        </is>
      </c>
      <c r="W617" s="0" t="inlineStr">
        <is>
          <t>71A</t>
        </is>
      </c>
      <c r="X617" s="0" t="n">
        <v>15</v>
      </c>
      <c r="Y617" s="0" t="n">
        <v>15</v>
      </c>
      <c r="Z617" s="0" t="inlineStr">
        <is>
          <t>https://new.land.naver.com/complexes/115925?tab=detail&amp;rf=Y</t>
        </is>
      </c>
      <c r="AA617" s="0" t="inlineStr">
        <is>
          <t>인천시 남동구 구월동 1144-10</t>
        </is>
      </c>
      <c r="AB617" s="0" t="inlineStr">
        <is>
          <t>인천시</t>
        </is>
      </c>
      <c r="AC617" s="0" t="inlineStr">
        <is>
          <t>남동구</t>
        </is>
      </c>
      <c r="AD617" s="0" t="inlineStr">
        <is>
          <t>구월동</t>
        </is>
      </c>
      <c r="AG617" s="0" t="inlineStr">
        <is>
          <t>인천시 남동구 남동대로777번길 9</t>
        </is>
      </c>
      <c r="AH617" s="0" t="n">
        <v>0</v>
      </c>
      <c r="AI617" s="0" t="n">
        <v>799</v>
      </c>
      <c r="AJ617" s="0" t="n">
        <v>61</v>
      </c>
      <c r="AK617" s="0" t="n">
        <v>57</v>
      </c>
      <c r="AL617" s="0" t="n">
        <v>0.71</v>
      </c>
    </row>
    <row r="618">
      <c r="A618" s="0" t="inlineStr">
        <is>
          <t>[구월동]</t>
        </is>
      </c>
      <c r="B618" s="0" t="n">
        <v>115925</v>
      </c>
      <c r="C618" s="0" t="n">
        <v>2</v>
      </c>
      <c r="D618" s="0" t="inlineStr">
        <is>
          <t>룩소르5차</t>
        </is>
      </c>
      <c r="E618" s="0" t="inlineStr">
        <is>
          <t>2015.06.</t>
        </is>
      </c>
      <c r="F618" s="0" t="n">
        <v>80</v>
      </c>
      <c r="G618" s="0" t="n">
        <v>21.58</v>
      </c>
      <c r="H618" s="0" t="n">
        <v>71.37</v>
      </c>
      <c r="I618" s="0" t="n">
        <v>14.15</v>
      </c>
      <c r="J618" s="0" t="n">
        <v>46.78</v>
      </c>
      <c r="K618" s="0" t="n">
        <v>8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71B</t>
        </is>
      </c>
      <c r="X618" s="0" t="n">
        <v>15</v>
      </c>
      <c r="Y618" s="0" t="n">
        <v>15</v>
      </c>
      <c r="Z618" s="0" t="inlineStr">
        <is>
          <t>https://new.land.naver.com/complexes/115925?tab=detail&amp;rf=Y</t>
        </is>
      </c>
      <c r="AA618" s="0" t="inlineStr">
        <is>
          <t>인천시 남동구 구월동 1144-10</t>
        </is>
      </c>
      <c r="AB618" s="0" t="inlineStr">
        <is>
          <t>인천시</t>
        </is>
      </c>
      <c r="AC618" s="0" t="inlineStr">
        <is>
          <t>남동구</t>
        </is>
      </c>
      <c r="AD618" s="0" t="inlineStr">
        <is>
          <t>구월동</t>
        </is>
      </c>
      <c r="AG618" s="0" t="inlineStr">
        <is>
          <t>인천시 남동구 남동대로777번길 9</t>
        </is>
      </c>
      <c r="AH618" s="0" t="n">
        <v>0</v>
      </c>
      <c r="AI618" s="0" t="n">
        <v>799</v>
      </c>
      <c r="AJ618" s="0" t="n">
        <v>61</v>
      </c>
      <c r="AK618" s="0" t="n">
        <v>57</v>
      </c>
      <c r="AL618" s="0" t="n">
        <v>0.71</v>
      </c>
    </row>
    <row r="619">
      <c r="A619" s="0" t="inlineStr">
        <is>
          <t>[구월동]</t>
        </is>
      </c>
      <c r="B619" s="0" t="n">
        <v>115925</v>
      </c>
      <c r="C619" s="0" t="n">
        <v>3</v>
      </c>
      <c r="D619" s="0" t="inlineStr">
        <is>
          <t>룩소르5차</t>
        </is>
      </c>
      <c r="E619" s="0" t="inlineStr">
        <is>
          <t>2015.06.</t>
        </is>
      </c>
      <c r="F619" s="0" t="n">
        <v>80</v>
      </c>
      <c r="G619" s="0" t="n">
        <v>21.88</v>
      </c>
      <c r="H619" s="0" t="n">
        <v>72.34</v>
      </c>
      <c r="I619" s="0" t="n">
        <v>14.38</v>
      </c>
      <c r="J619" s="0" t="n">
        <v>47.56</v>
      </c>
      <c r="K619" s="0" t="n">
        <v>8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72C</t>
        </is>
      </c>
      <c r="X619" s="0" t="n">
        <v>15</v>
      </c>
      <c r="Y619" s="0" t="n">
        <v>15</v>
      </c>
      <c r="Z619" s="0" t="inlineStr">
        <is>
          <t>https://new.land.naver.com/complexes/115925?tab=detail&amp;rf=Y</t>
        </is>
      </c>
      <c r="AA619" s="0" t="inlineStr">
        <is>
          <t>인천시 남동구 구월동 1144-10</t>
        </is>
      </c>
      <c r="AB619" s="0" t="inlineStr">
        <is>
          <t>인천시</t>
        </is>
      </c>
      <c r="AC619" s="0" t="inlineStr">
        <is>
          <t>남동구</t>
        </is>
      </c>
      <c r="AD619" s="0" t="inlineStr">
        <is>
          <t>구월동</t>
        </is>
      </c>
      <c r="AG619" s="0" t="inlineStr">
        <is>
          <t>인천시 남동구 남동대로777번길 9</t>
        </is>
      </c>
      <c r="AH619" s="0" t="n">
        <v>0</v>
      </c>
      <c r="AI619" s="0" t="n">
        <v>799</v>
      </c>
      <c r="AJ619" s="0" t="n">
        <v>61</v>
      </c>
      <c r="AK619" s="0" t="n">
        <v>57</v>
      </c>
      <c r="AL619" s="0" t="n">
        <v>0.71</v>
      </c>
    </row>
    <row r="620">
      <c r="A620" s="0" t="inlineStr">
        <is>
          <t>[구월동]</t>
        </is>
      </c>
      <c r="B620" s="0" t="n">
        <v>115925</v>
      </c>
      <c r="C620" s="0" t="n">
        <v>4</v>
      </c>
      <c r="D620" s="0" t="inlineStr">
        <is>
          <t>룩소르5차</t>
        </is>
      </c>
      <c r="E620" s="0" t="inlineStr">
        <is>
          <t>2015.06.</t>
        </is>
      </c>
      <c r="F620" s="0" t="n">
        <v>80</v>
      </c>
      <c r="G620" s="0" t="n">
        <v>22.63</v>
      </c>
      <c r="H620" s="0" t="n">
        <v>74.83</v>
      </c>
      <c r="I620" s="0" t="n">
        <v>14.82</v>
      </c>
      <c r="J620" s="0" t="n">
        <v>49.01</v>
      </c>
      <c r="K620" s="0" t="n">
        <v>8</v>
      </c>
      <c r="T620" s="0" t="n">
        <v>3</v>
      </c>
      <c r="U620" s="0" t="n">
        <v>1</v>
      </c>
      <c r="V620" s="0" t="inlineStr">
        <is>
          <t>복도식</t>
        </is>
      </c>
      <c r="W620" s="0" t="inlineStr">
        <is>
          <t>74D</t>
        </is>
      </c>
      <c r="X620" s="0" t="n">
        <v>15</v>
      </c>
      <c r="Y620" s="0" t="n">
        <v>15</v>
      </c>
      <c r="Z620" s="0" t="inlineStr">
        <is>
          <t>https://new.land.naver.com/complexes/115925?tab=detail&amp;rf=Y</t>
        </is>
      </c>
      <c r="AA620" s="0" t="inlineStr">
        <is>
          <t>인천시 남동구 구월동 1144-10</t>
        </is>
      </c>
      <c r="AB620" s="0" t="inlineStr">
        <is>
          <t>인천시</t>
        </is>
      </c>
      <c r="AC620" s="0" t="inlineStr">
        <is>
          <t>남동구</t>
        </is>
      </c>
      <c r="AD620" s="0" t="inlineStr">
        <is>
          <t>구월동</t>
        </is>
      </c>
      <c r="AG620" s="0" t="inlineStr">
        <is>
          <t>인천시 남동구 남동대로777번길 9</t>
        </is>
      </c>
      <c r="AH620" s="0" t="n">
        <v>0</v>
      </c>
      <c r="AI620" s="0" t="n">
        <v>799</v>
      </c>
      <c r="AJ620" s="0" t="n">
        <v>61</v>
      </c>
      <c r="AK620" s="0" t="n">
        <v>57</v>
      </c>
      <c r="AL620" s="0" t="n">
        <v>0.71</v>
      </c>
    </row>
    <row r="621">
      <c r="A621" s="0" t="inlineStr">
        <is>
          <t>[구월동]</t>
        </is>
      </c>
      <c r="B621" s="0" t="n">
        <v>115925</v>
      </c>
      <c r="C621" s="0" t="n">
        <v>5</v>
      </c>
      <c r="D621" s="0" t="inlineStr">
        <is>
          <t>룩소르5차</t>
        </is>
      </c>
      <c r="E621" s="0" t="inlineStr">
        <is>
          <t>2015.06.</t>
        </is>
      </c>
      <c r="F621" s="0" t="n">
        <v>80</v>
      </c>
      <c r="G621" s="0" t="n">
        <v>22.52</v>
      </c>
      <c r="H621" s="0" t="n">
        <v>74.47</v>
      </c>
      <c r="I621" s="0" t="n">
        <v>14.77</v>
      </c>
      <c r="J621" s="0" t="n">
        <v>48.85</v>
      </c>
      <c r="K621" s="0" t="n">
        <v>8</v>
      </c>
      <c r="T621" s="0" t="n">
        <v>3</v>
      </c>
      <c r="U621" s="0" t="n">
        <v>1</v>
      </c>
      <c r="V621" s="0" t="inlineStr">
        <is>
          <t>복도식</t>
        </is>
      </c>
      <c r="W621" s="0" t="inlineStr">
        <is>
          <t>74E</t>
        </is>
      </c>
      <c r="X621" s="0" t="n">
        <v>15</v>
      </c>
      <c r="Y621" s="0" t="n">
        <v>15</v>
      </c>
      <c r="Z621" s="0" t="inlineStr">
        <is>
          <t>https://new.land.naver.com/complexes/115925?tab=detail&amp;rf=Y</t>
        </is>
      </c>
      <c r="AA621" s="0" t="inlineStr">
        <is>
          <t>인천시 남동구 구월동 1144-10</t>
        </is>
      </c>
      <c r="AB621" s="0" t="inlineStr">
        <is>
          <t>인천시</t>
        </is>
      </c>
      <c r="AC621" s="0" t="inlineStr">
        <is>
          <t>남동구</t>
        </is>
      </c>
      <c r="AD621" s="0" t="inlineStr">
        <is>
          <t>구월동</t>
        </is>
      </c>
      <c r="AG621" s="0" t="inlineStr">
        <is>
          <t>인천시 남동구 남동대로777번길 9</t>
        </is>
      </c>
      <c r="AH621" s="0" t="n">
        <v>0</v>
      </c>
      <c r="AI621" s="0" t="n">
        <v>799</v>
      </c>
      <c r="AJ621" s="0" t="n">
        <v>61</v>
      </c>
      <c r="AK621" s="0" t="n">
        <v>57</v>
      </c>
      <c r="AL621" s="0" t="n">
        <v>0.71</v>
      </c>
    </row>
    <row r="622">
      <c r="A622" s="0" t="inlineStr">
        <is>
          <t>[구월동]</t>
        </is>
      </c>
      <c r="B622" s="0" t="n">
        <v>115925</v>
      </c>
      <c r="C622" s="0" t="n">
        <v>6</v>
      </c>
      <c r="D622" s="0" t="inlineStr">
        <is>
          <t>룩소르5차</t>
        </is>
      </c>
      <c r="E622" s="0" t="inlineStr">
        <is>
          <t>2015.06.</t>
        </is>
      </c>
      <c r="F622" s="0" t="n">
        <v>80</v>
      </c>
      <c r="G622" s="0" t="n">
        <v>22.62</v>
      </c>
      <c r="H622" s="0" t="n">
        <v>74.78</v>
      </c>
      <c r="I622" s="0" t="n">
        <v>14.88</v>
      </c>
      <c r="J622" s="0" t="n">
        <v>49.22</v>
      </c>
      <c r="K622" s="0" t="n">
        <v>8</v>
      </c>
      <c r="T622" s="0" t="n">
        <v>3</v>
      </c>
      <c r="U622" s="0" t="n">
        <v>1</v>
      </c>
      <c r="V622" s="0" t="inlineStr">
        <is>
          <t>복도식</t>
        </is>
      </c>
      <c r="W622" s="0" t="inlineStr">
        <is>
          <t>74G</t>
        </is>
      </c>
      <c r="X622" s="0" t="n">
        <v>15</v>
      </c>
      <c r="Y622" s="0" t="n">
        <v>15</v>
      </c>
      <c r="Z622" s="0" t="inlineStr">
        <is>
          <t>https://new.land.naver.com/complexes/115925?tab=detail&amp;rf=Y</t>
        </is>
      </c>
      <c r="AA622" s="0" t="inlineStr">
        <is>
          <t>인천시 남동구 구월동 1144-10</t>
        </is>
      </c>
      <c r="AB622" s="0" t="inlineStr">
        <is>
          <t>인천시</t>
        </is>
      </c>
      <c r="AC622" s="0" t="inlineStr">
        <is>
          <t>남동구</t>
        </is>
      </c>
      <c r="AD622" s="0" t="inlineStr">
        <is>
          <t>구월동</t>
        </is>
      </c>
      <c r="AG622" s="0" t="inlineStr">
        <is>
          <t>인천시 남동구 남동대로777번길 9</t>
        </is>
      </c>
      <c r="AH622" s="0" t="n">
        <v>0</v>
      </c>
      <c r="AI622" s="0" t="n">
        <v>799</v>
      </c>
      <c r="AJ622" s="0" t="n">
        <v>61</v>
      </c>
      <c r="AK622" s="0" t="n">
        <v>57</v>
      </c>
      <c r="AL622" s="0" t="n">
        <v>0.71</v>
      </c>
    </row>
    <row r="623">
      <c r="A623" s="0" t="inlineStr">
        <is>
          <t>[구월동]</t>
        </is>
      </c>
      <c r="B623" s="0" t="n">
        <v>115925</v>
      </c>
      <c r="C623" s="0" t="n">
        <v>7</v>
      </c>
      <c r="D623" s="0" t="inlineStr">
        <is>
          <t>룩소르5차</t>
        </is>
      </c>
      <c r="E623" s="0" t="inlineStr">
        <is>
          <t>2015.06.</t>
        </is>
      </c>
      <c r="F623" s="0" t="n">
        <v>80</v>
      </c>
      <c r="G623" s="0" t="n">
        <v>22.8</v>
      </c>
      <c r="H623" s="0" t="n">
        <v>75.38</v>
      </c>
      <c r="I623" s="0" t="n">
        <v>14.96</v>
      </c>
      <c r="J623" s="0" t="n">
        <v>49.47</v>
      </c>
      <c r="K623" s="0" t="n">
        <v>8</v>
      </c>
      <c r="T623" s="0" t="n">
        <v>3</v>
      </c>
      <c r="U623" s="0" t="n">
        <v>1</v>
      </c>
      <c r="V623" s="0" t="inlineStr">
        <is>
          <t>복도식</t>
        </is>
      </c>
      <c r="W623" s="0" t="inlineStr">
        <is>
          <t>75A</t>
        </is>
      </c>
      <c r="X623" s="0" t="n">
        <v>15</v>
      </c>
      <c r="Y623" s="0" t="n">
        <v>15</v>
      </c>
      <c r="Z623" s="0" t="inlineStr">
        <is>
          <t>https://new.land.naver.com/complexes/115925?tab=detail&amp;rf=Y</t>
        </is>
      </c>
      <c r="AA623" s="0" t="inlineStr">
        <is>
          <t>인천시 남동구 구월동 1144-10</t>
        </is>
      </c>
      <c r="AB623" s="0" t="inlineStr">
        <is>
          <t>인천시</t>
        </is>
      </c>
      <c r="AC623" s="0" t="inlineStr">
        <is>
          <t>남동구</t>
        </is>
      </c>
      <c r="AD623" s="0" t="inlineStr">
        <is>
          <t>구월동</t>
        </is>
      </c>
      <c r="AG623" s="0" t="inlineStr">
        <is>
          <t>인천시 남동구 남동대로777번길 9</t>
        </is>
      </c>
      <c r="AH623" s="0" t="n">
        <v>0</v>
      </c>
      <c r="AI623" s="0" t="n">
        <v>799</v>
      </c>
      <c r="AJ623" s="0" t="n">
        <v>61</v>
      </c>
      <c r="AK623" s="0" t="n">
        <v>57</v>
      </c>
      <c r="AL623" s="0" t="n">
        <v>0.71</v>
      </c>
    </row>
    <row r="624">
      <c r="A624" s="0" t="inlineStr">
        <is>
          <t>[구월동]</t>
        </is>
      </c>
      <c r="B624" s="0" t="n">
        <v>115925</v>
      </c>
      <c r="C624" s="0" t="n">
        <v>8</v>
      </c>
      <c r="D624" s="0" t="inlineStr">
        <is>
          <t>룩소르5차</t>
        </is>
      </c>
      <c r="E624" s="0" t="inlineStr">
        <is>
          <t>2015.06.</t>
        </is>
      </c>
      <c r="F624" s="0" t="n">
        <v>80</v>
      </c>
      <c r="G624" s="0" t="n">
        <v>22.87</v>
      </c>
      <c r="H624" s="0" t="n">
        <v>75.61</v>
      </c>
      <c r="I624" s="0" t="n">
        <v>15.04</v>
      </c>
      <c r="J624" s="0" t="n">
        <v>49.75</v>
      </c>
      <c r="K624" s="0" t="n">
        <v>8</v>
      </c>
      <c r="T624" s="0" t="n">
        <v>3</v>
      </c>
      <c r="U624" s="0" t="n">
        <v>1</v>
      </c>
      <c r="V624" s="0" t="inlineStr">
        <is>
          <t>복도식</t>
        </is>
      </c>
      <c r="W624" s="0" t="inlineStr">
        <is>
          <t>75C</t>
        </is>
      </c>
      <c r="X624" s="0" t="n">
        <v>15</v>
      </c>
      <c r="Y624" s="0" t="n">
        <v>15</v>
      </c>
      <c r="Z624" s="0" t="inlineStr">
        <is>
          <t>https://new.land.naver.com/complexes/115925?tab=detail&amp;rf=Y</t>
        </is>
      </c>
      <c r="AA624" s="0" t="inlineStr">
        <is>
          <t>인천시 남동구 구월동 1144-10</t>
        </is>
      </c>
      <c r="AB624" s="0" t="inlineStr">
        <is>
          <t>인천시</t>
        </is>
      </c>
      <c r="AC624" s="0" t="inlineStr">
        <is>
          <t>남동구</t>
        </is>
      </c>
      <c r="AD624" s="0" t="inlineStr">
        <is>
          <t>구월동</t>
        </is>
      </c>
      <c r="AG624" s="0" t="inlineStr">
        <is>
          <t>인천시 남동구 남동대로777번길 9</t>
        </is>
      </c>
      <c r="AH624" s="0" t="n">
        <v>0</v>
      </c>
      <c r="AI624" s="0" t="n">
        <v>799</v>
      </c>
      <c r="AJ624" s="0" t="n">
        <v>61</v>
      </c>
      <c r="AK624" s="0" t="n">
        <v>57</v>
      </c>
      <c r="AL624" s="0" t="n">
        <v>0.71</v>
      </c>
    </row>
    <row r="625">
      <c r="A625" s="0" t="inlineStr">
        <is>
          <t>[구월동]</t>
        </is>
      </c>
      <c r="B625" s="0" t="n">
        <v>115925</v>
      </c>
      <c r="C625" s="0" t="n">
        <v>9</v>
      </c>
      <c r="D625" s="0" t="inlineStr">
        <is>
          <t>룩소르5차</t>
        </is>
      </c>
      <c r="E625" s="0" t="inlineStr">
        <is>
          <t>2015.06.</t>
        </is>
      </c>
      <c r="F625" s="0" t="n">
        <v>80</v>
      </c>
      <c r="G625" s="0" t="n">
        <v>22.76</v>
      </c>
      <c r="H625" s="0" t="n">
        <v>75.25</v>
      </c>
      <c r="I625" s="0" t="n">
        <v>14.99</v>
      </c>
      <c r="J625" s="0" t="n">
        <v>49.58</v>
      </c>
      <c r="K625" s="0" t="n">
        <v>8</v>
      </c>
      <c r="T625" s="0" t="n">
        <v>3</v>
      </c>
      <c r="U625" s="0" t="n">
        <v>1</v>
      </c>
      <c r="V625" s="0" t="inlineStr">
        <is>
          <t>복도식</t>
        </is>
      </c>
      <c r="W625" s="0" t="inlineStr">
        <is>
          <t>75F</t>
        </is>
      </c>
      <c r="X625" s="0" t="n">
        <v>15</v>
      </c>
      <c r="Y625" s="0" t="n">
        <v>15</v>
      </c>
      <c r="Z625" s="0" t="inlineStr">
        <is>
          <t>https://new.land.naver.com/complexes/115925?tab=detail&amp;rf=Y</t>
        </is>
      </c>
      <c r="AA625" s="0" t="inlineStr">
        <is>
          <t>인천시 남동구 구월동 1144-10</t>
        </is>
      </c>
      <c r="AB625" s="0" t="inlineStr">
        <is>
          <t>인천시</t>
        </is>
      </c>
      <c r="AC625" s="0" t="inlineStr">
        <is>
          <t>남동구</t>
        </is>
      </c>
      <c r="AD625" s="0" t="inlineStr">
        <is>
          <t>구월동</t>
        </is>
      </c>
      <c r="AG625" s="0" t="inlineStr">
        <is>
          <t>인천시 남동구 남동대로777번길 9</t>
        </is>
      </c>
      <c r="AH625" s="0" t="n">
        <v>0</v>
      </c>
      <c r="AI625" s="0" t="n">
        <v>799</v>
      </c>
      <c r="AJ625" s="0" t="n">
        <v>61</v>
      </c>
      <c r="AK625" s="0" t="n">
        <v>57</v>
      </c>
      <c r="AL625" s="0" t="n">
        <v>0.71</v>
      </c>
    </row>
    <row r="626">
      <c r="A626" s="0" t="inlineStr">
        <is>
          <t>[구월동]</t>
        </is>
      </c>
      <c r="B626" s="0" t="n">
        <v>115925</v>
      </c>
      <c r="C626" s="0" t="n">
        <v>10</v>
      </c>
      <c r="D626" s="0" t="inlineStr">
        <is>
          <t>룩소르5차</t>
        </is>
      </c>
      <c r="E626" s="0" t="inlineStr">
        <is>
          <t>2015.06.</t>
        </is>
      </c>
      <c r="F626" s="0" t="n">
        <v>80</v>
      </c>
      <c r="G626" s="0" t="n">
        <v>22.99</v>
      </c>
      <c r="H626" s="0" t="n">
        <v>76</v>
      </c>
      <c r="I626" s="0" t="n">
        <v>15.11</v>
      </c>
      <c r="J626" s="0" t="n">
        <v>49.97</v>
      </c>
      <c r="K626" s="0" t="n">
        <v>8</v>
      </c>
      <c r="T626" s="0" t="n">
        <v>3</v>
      </c>
      <c r="U626" s="0" t="n">
        <v>1</v>
      </c>
      <c r="V626" s="0" t="inlineStr">
        <is>
          <t>복도식</t>
        </is>
      </c>
      <c r="W626" s="0" t="inlineStr">
        <is>
          <t>76B</t>
        </is>
      </c>
      <c r="X626" s="0" t="n">
        <v>15</v>
      </c>
      <c r="Y626" s="0" t="n">
        <v>15</v>
      </c>
      <c r="Z626" s="0" t="inlineStr">
        <is>
          <t>https://new.land.naver.com/complexes/115925?tab=detail&amp;rf=Y</t>
        </is>
      </c>
      <c r="AA626" s="0" t="inlineStr">
        <is>
          <t>인천시 남동구 구월동 1144-10</t>
        </is>
      </c>
      <c r="AB626" s="0" t="inlineStr">
        <is>
          <t>인천시</t>
        </is>
      </c>
      <c r="AC626" s="0" t="inlineStr">
        <is>
          <t>남동구</t>
        </is>
      </c>
      <c r="AD626" s="0" t="inlineStr">
        <is>
          <t>구월동</t>
        </is>
      </c>
      <c r="AG626" s="0" t="inlineStr">
        <is>
          <t>인천시 남동구 남동대로777번길 9</t>
        </is>
      </c>
      <c r="AH626" s="0" t="n">
        <v>0</v>
      </c>
      <c r="AI626" s="0" t="n">
        <v>799</v>
      </c>
      <c r="AJ626" s="0" t="n">
        <v>61</v>
      </c>
      <c r="AK626" s="0" t="n">
        <v>57</v>
      </c>
      <c r="AL626" s="0" t="n">
        <v>0.71</v>
      </c>
    </row>
    <row r="627">
      <c r="A627" s="0" t="inlineStr">
        <is>
          <t>[구월동]</t>
        </is>
      </c>
      <c r="B627" s="0" t="n">
        <v>116293</v>
      </c>
      <c r="C627" s="0" t="n">
        <v>1</v>
      </c>
      <c r="D627" s="0" t="inlineStr">
        <is>
          <t>더웰메이드(도시형)</t>
        </is>
      </c>
      <c r="E627" s="0" t="inlineStr">
        <is>
          <t>2015.06.</t>
        </is>
      </c>
      <c r="F627" s="0" t="n">
        <v>36</v>
      </c>
      <c r="G627" s="0" t="n">
        <v>17.55</v>
      </c>
      <c r="H627" s="0" t="n">
        <v>58.02</v>
      </c>
      <c r="I627" s="0" t="n">
        <v>14.34</v>
      </c>
      <c r="J627" s="0" t="n">
        <v>47.42</v>
      </c>
      <c r="K627" s="0" t="n">
        <v>18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58B</t>
        </is>
      </c>
      <c r="X627" s="0" t="n">
        <v>13</v>
      </c>
      <c r="Y627" s="0" t="n">
        <v>13</v>
      </c>
      <c r="Z627" s="0" t="inlineStr">
        <is>
          <t>https://new.land.naver.com/complexes/116293?tab=detail&amp;rf=Y</t>
        </is>
      </c>
      <c r="AA627" s="0" t="inlineStr">
        <is>
          <t>인천시 남동구 구월동 1133-8</t>
        </is>
      </c>
      <c r="AB627" s="0" t="inlineStr">
        <is>
          <t>인천시</t>
        </is>
      </c>
      <c r="AC627" s="0" t="inlineStr">
        <is>
          <t>남동구</t>
        </is>
      </c>
      <c r="AD627" s="0" t="inlineStr">
        <is>
          <t>구월동</t>
        </is>
      </c>
      <c r="AG627" s="0" t="inlineStr">
        <is>
          <t>인천시 남동구 예술로226번길 30</t>
        </is>
      </c>
      <c r="AH627" s="0" t="n">
        <v>0</v>
      </c>
      <c r="AI627" s="0" t="n">
        <v>563</v>
      </c>
      <c r="AJ627" s="0" t="n">
        <v>57</v>
      </c>
      <c r="AK627" s="0" t="n">
        <v>21</v>
      </c>
      <c r="AL627" s="0" t="n">
        <v>0.58</v>
      </c>
    </row>
    <row r="628">
      <c r="A628" s="0" t="inlineStr">
        <is>
          <t>[구월동]</t>
        </is>
      </c>
      <c r="B628" s="0" t="n">
        <v>116293</v>
      </c>
      <c r="C628" s="0" t="n">
        <v>2</v>
      </c>
      <c r="D628" s="0" t="inlineStr">
        <is>
          <t>더웰메이드(도시형)</t>
        </is>
      </c>
      <c r="E628" s="0" t="inlineStr">
        <is>
          <t>2015.06.</t>
        </is>
      </c>
      <c r="F628" s="0" t="n">
        <v>36</v>
      </c>
      <c r="G628" s="0" t="n">
        <v>17.92</v>
      </c>
      <c r="H628" s="0" t="n">
        <v>59.26</v>
      </c>
      <c r="I628" s="0" t="n">
        <v>14.59</v>
      </c>
      <c r="J628" s="0" t="n">
        <v>48.24</v>
      </c>
      <c r="K628" s="0" t="n">
        <v>18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59A</t>
        </is>
      </c>
      <c r="X628" s="0" t="n">
        <v>13</v>
      </c>
      <c r="Y628" s="0" t="n">
        <v>13</v>
      </c>
      <c r="Z628" s="0" t="inlineStr">
        <is>
          <t>https://new.land.naver.com/complexes/116293?tab=detail&amp;rf=Y</t>
        </is>
      </c>
      <c r="AA628" s="0" t="inlineStr">
        <is>
          <t>인천시 남동구 구월동 1133-8</t>
        </is>
      </c>
      <c r="AB628" s="0" t="inlineStr">
        <is>
          <t>인천시</t>
        </is>
      </c>
      <c r="AC628" s="0" t="inlineStr">
        <is>
          <t>남동구</t>
        </is>
      </c>
      <c r="AD628" s="0" t="inlineStr">
        <is>
          <t>구월동</t>
        </is>
      </c>
      <c r="AG628" s="0" t="inlineStr">
        <is>
          <t>인천시 남동구 예술로226번길 30</t>
        </is>
      </c>
      <c r="AH628" s="0" t="n">
        <v>0</v>
      </c>
      <c r="AI628" s="0" t="n">
        <v>563</v>
      </c>
      <c r="AJ628" s="0" t="n">
        <v>57</v>
      </c>
      <c r="AK628" s="0" t="n">
        <v>21</v>
      </c>
      <c r="AL628" s="0" t="n">
        <v>0.58</v>
      </c>
    </row>
    <row r="629">
      <c r="A629" s="0" t="inlineStr">
        <is>
          <t>[구월동]</t>
        </is>
      </c>
      <c r="B629" s="0" t="n">
        <v>107950</v>
      </c>
      <c r="C629" s="0" t="n">
        <v>1</v>
      </c>
      <c r="D629" s="0" t="inlineStr">
        <is>
          <t>필하우스</t>
        </is>
      </c>
      <c r="E629" s="0" t="inlineStr">
        <is>
          <t>2009.05.</t>
        </is>
      </c>
      <c r="F629" s="0" t="n">
        <v>14</v>
      </c>
      <c r="G629" s="0" t="n">
        <v>19.89</v>
      </c>
      <c r="H629" s="0" t="n">
        <v>65.77</v>
      </c>
      <c r="I629" s="0" t="n">
        <v>17.36</v>
      </c>
      <c r="J629" s="0" t="n">
        <v>57.42</v>
      </c>
      <c r="K629" s="0" t="n">
        <v>2</v>
      </c>
      <c r="T629" s="0" t="n">
        <v>2</v>
      </c>
      <c r="U629" s="0" t="n">
        <v>1</v>
      </c>
      <c r="V629" s="0" t="inlineStr">
        <is>
          <t>복합식</t>
        </is>
      </c>
      <c r="W629" s="0" t="n">
        <v>65</v>
      </c>
      <c r="X629" s="0" t="n">
        <v>10</v>
      </c>
      <c r="Y629" s="0" t="n">
        <v>10</v>
      </c>
      <c r="Z629" s="0" t="inlineStr">
        <is>
          <t>https://new.land.naver.com/complexes/107950?tab=detail&amp;rf=Y</t>
        </is>
      </c>
      <c r="AA629" s="0" t="inlineStr">
        <is>
          <t>인천시 남동구 구월동 1125-8</t>
        </is>
      </c>
      <c r="AB629" s="0" t="inlineStr">
        <is>
          <t>인천시</t>
        </is>
      </c>
      <c r="AC629" s="0" t="inlineStr">
        <is>
          <t>남동구</t>
        </is>
      </c>
      <c r="AD629" s="0" t="inlineStr">
        <is>
          <t>구월동</t>
        </is>
      </c>
      <c r="AG629" s="0" t="inlineStr">
        <is>
          <t>인천시 남동구 예술로174번길 40</t>
        </is>
      </c>
      <c r="AH629" s="0" t="n">
        <v>0</v>
      </c>
      <c r="AI629" s="0" t="n">
        <v>350</v>
      </c>
      <c r="AJ629" s="0" t="n">
        <v>51</v>
      </c>
      <c r="AK629" s="0" t="n">
        <v>14</v>
      </c>
      <c r="AL629" s="0" t="n">
        <v>1</v>
      </c>
    </row>
    <row r="630">
      <c r="A630" s="0" t="inlineStr">
        <is>
          <t>[구월동]</t>
        </is>
      </c>
      <c r="B630" s="0" t="n">
        <v>107950</v>
      </c>
      <c r="C630" s="0" t="n">
        <v>2</v>
      </c>
      <c r="D630" s="0" t="inlineStr">
        <is>
          <t>필하우스</t>
        </is>
      </c>
      <c r="E630" s="0" t="inlineStr">
        <is>
          <t>2009.05.</t>
        </is>
      </c>
      <c r="F630" s="0" t="n">
        <v>14</v>
      </c>
      <c r="G630" s="0" t="n">
        <v>26.25</v>
      </c>
      <c r="H630" s="0" t="n">
        <v>86.8</v>
      </c>
      <c r="I630" s="0" t="n">
        <v>22.92</v>
      </c>
      <c r="J630" s="0" t="n">
        <v>75.79000000000001</v>
      </c>
      <c r="K630" s="0" t="n">
        <v>2</v>
      </c>
      <c r="T630" s="0" t="n">
        <v>3</v>
      </c>
      <c r="U630" s="0" t="n">
        <v>2</v>
      </c>
      <c r="V630" s="0" t="inlineStr">
        <is>
          <t>복합식</t>
        </is>
      </c>
      <c r="W630" s="0" t="n">
        <v>86</v>
      </c>
      <c r="X630" s="0" t="n">
        <v>10</v>
      </c>
      <c r="Y630" s="0" t="n">
        <v>10</v>
      </c>
      <c r="Z630" s="0" t="inlineStr">
        <is>
          <t>https://new.land.naver.com/complexes/107950?tab=detail&amp;rf=Y</t>
        </is>
      </c>
      <c r="AA630" s="0" t="inlineStr">
        <is>
          <t>인천시 남동구 구월동 1125-8</t>
        </is>
      </c>
      <c r="AB630" s="0" t="inlineStr">
        <is>
          <t>인천시</t>
        </is>
      </c>
      <c r="AC630" s="0" t="inlineStr">
        <is>
          <t>남동구</t>
        </is>
      </c>
      <c r="AD630" s="0" t="inlineStr">
        <is>
          <t>구월동</t>
        </is>
      </c>
      <c r="AG630" s="0" t="inlineStr">
        <is>
          <t>인천시 남동구 예술로174번길 40</t>
        </is>
      </c>
      <c r="AH630" s="0" t="n">
        <v>0</v>
      </c>
      <c r="AI630" s="0" t="n">
        <v>350</v>
      </c>
      <c r="AJ630" s="0" t="n">
        <v>51</v>
      </c>
      <c r="AK630" s="0" t="n">
        <v>14</v>
      </c>
      <c r="AL630" s="0" t="n">
        <v>1</v>
      </c>
    </row>
    <row r="631">
      <c r="A631" s="0" t="inlineStr">
        <is>
          <t>[구월동]</t>
        </is>
      </c>
      <c r="B631" s="0" t="n">
        <v>107950</v>
      </c>
      <c r="C631" s="0" t="n">
        <v>3</v>
      </c>
      <c r="D631" s="0" t="inlineStr">
        <is>
          <t>필하우스</t>
        </is>
      </c>
      <c r="E631" s="0" t="inlineStr">
        <is>
          <t>2009.05.</t>
        </is>
      </c>
      <c r="F631" s="0" t="n">
        <v>14</v>
      </c>
      <c r="G631" s="0" t="n">
        <v>27.09</v>
      </c>
      <c r="H631" s="0" t="n">
        <v>89.56999999999999</v>
      </c>
      <c r="I631" s="0" t="n">
        <v>23.65</v>
      </c>
      <c r="J631" s="0" t="n">
        <v>78.20999999999999</v>
      </c>
      <c r="K631" s="0" t="n">
        <v>10</v>
      </c>
      <c r="T631" s="0" t="n">
        <v>3</v>
      </c>
      <c r="U631" s="0" t="n">
        <v>2</v>
      </c>
      <c r="V631" s="0" t="inlineStr">
        <is>
          <t>복합식</t>
        </is>
      </c>
      <c r="W631" s="0" t="n">
        <v>89</v>
      </c>
      <c r="X631" s="0" t="n">
        <v>10</v>
      </c>
      <c r="Y631" s="0" t="n">
        <v>10</v>
      </c>
      <c r="Z631" s="0" t="inlineStr">
        <is>
          <t>https://new.land.naver.com/complexes/107950?tab=detail&amp;rf=Y</t>
        </is>
      </c>
      <c r="AA631" s="0" t="inlineStr">
        <is>
          <t>인천시 남동구 구월동 1125-8</t>
        </is>
      </c>
      <c r="AB631" s="0" t="inlineStr">
        <is>
          <t>인천시</t>
        </is>
      </c>
      <c r="AC631" s="0" t="inlineStr">
        <is>
          <t>남동구</t>
        </is>
      </c>
      <c r="AD631" s="0" t="inlineStr">
        <is>
          <t>구월동</t>
        </is>
      </c>
      <c r="AG631" s="0" t="inlineStr">
        <is>
          <t>인천시 남동구 예술로174번길 40</t>
        </is>
      </c>
      <c r="AH631" s="0" t="n">
        <v>0</v>
      </c>
      <c r="AI631" s="0" t="n">
        <v>350</v>
      </c>
      <c r="AJ631" s="0" t="n">
        <v>51</v>
      </c>
      <c r="AK631" s="0" t="n">
        <v>14</v>
      </c>
      <c r="AL631" s="0" t="n">
        <v>1</v>
      </c>
    </row>
    <row r="632">
      <c r="A632" s="0" t="inlineStr">
        <is>
          <t>[구월동]</t>
        </is>
      </c>
      <c r="B632" s="0" t="n">
        <v>112878</v>
      </c>
      <c r="C632" s="0" t="n">
        <v>1</v>
      </c>
      <c r="D632" s="0" t="inlineStr">
        <is>
          <t>DS더웰가(도시형)</t>
        </is>
      </c>
      <c r="E632" s="0" t="inlineStr">
        <is>
          <t>2016.05.</t>
        </is>
      </c>
      <c r="F632" s="0" t="n">
        <v>51</v>
      </c>
      <c r="G632" s="0" t="n">
        <v>16.83</v>
      </c>
      <c r="H632" s="0" t="n">
        <v>55.66</v>
      </c>
      <c r="I632" s="0" t="n">
        <v>13.13</v>
      </c>
      <c r="J632" s="0" t="n">
        <v>43.42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55</v>
      </c>
      <c r="X632" s="0" t="n">
        <v>19</v>
      </c>
      <c r="Y632" s="0" t="n">
        <v>18</v>
      </c>
      <c r="Z632" s="0" t="inlineStr">
        <is>
          <t>https://new.land.naver.com/complexes/112878?tab=detail&amp;rf=Y</t>
        </is>
      </c>
      <c r="AA632" s="0" t="inlineStr">
        <is>
          <t>인천시 남동구 구월동 1132-6</t>
        </is>
      </c>
      <c r="AB632" s="0" t="inlineStr">
        <is>
          <t>인천시</t>
        </is>
      </c>
      <c r="AC632" s="0" t="inlineStr">
        <is>
          <t>남동구</t>
        </is>
      </c>
      <c r="AD632" s="0" t="inlineStr">
        <is>
          <t>구월동</t>
        </is>
      </c>
      <c r="AG632" s="0" t="inlineStr">
        <is>
          <t>인천시 남동구 예술로204번길 27</t>
        </is>
      </c>
      <c r="AH632" s="0" t="n">
        <v>0</v>
      </c>
      <c r="AI632" s="0" t="n">
        <v>808</v>
      </c>
      <c r="AJ632" s="0" t="n">
        <v>58</v>
      </c>
      <c r="AK632" s="0" t="n">
        <v>40</v>
      </c>
      <c r="AL632" s="0" t="n">
        <v>0.78</v>
      </c>
    </row>
    <row r="633">
      <c r="A633" s="0" t="inlineStr">
        <is>
          <t>[구월동]</t>
        </is>
      </c>
      <c r="B633" s="0" t="n">
        <v>112878</v>
      </c>
      <c r="C633" s="0" t="n">
        <v>2</v>
      </c>
      <c r="D633" s="0" t="inlineStr">
        <is>
          <t>DS더웰가(도시형)</t>
        </is>
      </c>
      <c r="E633" s="0" t="inlineStr">
        <is>
          <t>2016.05.</t>
        </is>
      </c>
      <c r="F633" s="0" t="n">
        <v>51</v>
      </c>
      <c r="G633" s="0" t="n">
        <v>18.19</v>
      </c>
      <c r="H633" s="0" t="n">
        <v>60.14</v>
      </c>
      <c r="I633" s="0" t="n">
        <v>14.19</v>
      </c>
      <c r="J633" s="0" t="n">
        <v>46.91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60</v>
      </c>
      <c r="X633" s="0" t="n">
        <v>19</v>
      </c>
      <c r="Y633" s="0" t="n">
        <v>18</v>
      </c>
      <c r="Z633" s="0" t="inlineStr">
        <is>
          <t>https://new.land.naver.com/complexes/112878?tab=detail&amp;rf=Y</t>
        </is>
      </c>
      <c r="AA633" s="0" t="inlineStr">
        <is>
          <t>인천시 남동구 구월동 1132-6</t>
        </is>
      </c>
      <c r="AB633" s="0" t="inlineStr">
        <is>
          <t>인천시</t>
        </is>
      </c>
      <c r="AC633" s="0" t="inlineStr">
        <is>
          <t>남동구</t>
        </is>
      </c>
      <c r="AD633" s="0" t="inlineStr">
        <is>
          <t>구월동</t>
        </is>
      </c>
      <c r="AG633" s="0" t="inlineStr">
        <is>
          <t>인천시 남동구 예술로204번길 27</t>
        </is>
      </c>
      <c r="AH633" s="0" t="n">
        <v>0</v>
      </c>
      <c r="AI633" s="0" t="n">
        <v>808</v>
      </c>
      <c r="AJ633" s="0" t="n">
        <v>58</v>
      </c>
      <c r="AK633" s="0" t="n">
        <v>40</v>
      </c>
      <c r="AL633" s="0" t="n">
        <v>0.78</v>
      </c>
    </row>
    <row r="634">
      <c r="A634" s="0" t="inlineStr">
        <is>
          <t>[구월동]</t>
        </is>
      </c>
      <c r="B634" s="0" t="n">
        <v>112878</v>
      </c>
      <c r="C634" s="0" t="n">
        <v>3</v>
      </c>
      <c r="D634" s="0" t="inlineStr">
        <is>
          <t>DS더웰가(도시형)</t>
        </is>
      </c>
      <c r="E634" s="0" t="inlineStr">
        <is>
          <t>2016.05.</t>
        </is>
      </c>
      <c r="F634" s="0" t="n">
        <v>51</v>
      </c>
      <c r="G634" s="0" t="n">
        <v>18.61</v>
      </c>
      <c r="H634" s="0" t="n">
        <v>61.54</v>
      </c>
      <c r="I634" s="0" t="n">
        <v>14.52</v>
      </c>
      <c r="J634" s="0" t="n">
        <v>48</v>
      </c>
      <c r="K634" s="0" t="n">
        <v>9</v>
      </c>
      <c r="T634" s="0" t="n">
        <v>1</v>
      </c>
      <c r="U634" s="0" t="n">
        <v>1</v>
      </c>
      <c r="V634" s="0" t="inlineStr">
        <is>
          <t>계단식</t>
        </is>
      </c>
      <c r="W634" s="0" t="inlineStr">
        <is>
          <t>61A</t>
        </is>
      </c>
      <c r="X634" s="0" t="n">
        <v>19</v>
      </c>
      <c r="Y634" s="0" t="n">
        <v>18</v>
      </c>
      <c r="Z634" s="0" t="inlineStr">
        <is>
          <t>https://new.land.naver.com/complexes/112878?tab=detail&amp;rf=Y</t>
        </is>
      </c>
      <c r="AA634" s="0" t="inlineStr">
        <is>
          <t>인천시 남동구 구월동 1132-6</t>
        </is>
      </c>
      <c r="AB634" s="0" t="inlineStr">
        <is>
          <t>인천시</t>
        </is>
      </c>
      <c r="AC634" s="0" t="inlineStr">
        <is>
          <t>남동구</t>
        </is>
      </c>
      <c r="AD634" s="0" t="inlineStr">
        <is>
          <t>구월동</t>
        </is>
      </c>
      <c r="AG634" s="0" t="inlineStr">
        <is>
          <t>인천시 남동구 예술로204번길 27</t>
        </is>
      </c>
      <c r="AH634" s="0" t="n">
        <v>0</v>
      </c>
      <c r="AI634" s="0" t="n">
        <v>808</v>
      </c>
      <c r="AJ634" s="0" t="n">
        <v>58</v>
      </c>
      <c r="AK634" s="0" t="n">
        <v>40</v>
      </c>
      <c r="AL634" s="0" t="n">
        <v>0.78</v>
      </c>
    </row>
    <row r="635">
      <c r="A635" s="0" t="inlineStr">
        <is>
          <t>[구월동]</t>
        </is>
      </c>
      <c r="B635" s="0" t="n">
        <v>112878</v>
      </c>
      <c r="C635" s="0" t="n">
        <v>4</v>
      </c>
      <c r="D635" s="0" t="inlineStr">
        <is>
          <t>DS더웰가(도시형)</t>
        </is>
      </c>
      <c r="E635" s="0" t="inlineStr">
        <is>
          <t>2016.05.</t>
        </is>
      </c>
      <c r="F635" s="0" t="n">
        <v>51</v>
      </c>
      <c r="G635" s="0" t="n">
        <v>18.78</v>
      </c>
      <c r="H635" s="0" t="n">
        <v>62.09</v>
      </c>
      <c r="I635" s="0" t="n">
        <v>14.65</v>
      </c>
      <c r="J635" s="0" t="n">
        <v>48.43</v>
      </c>
      <c r="K635" s="0" t="n">
        <v>9</v>
      </c>
      <c r="T635" s="0" t="n">
        <v>1</v>
      </c>
      <c r="U635" s="0" t="n">
        <v>1</v>
      </c>
      <c r="V635" s="0" t="inlineStr">
        <is>
          <t>계단식</t>
        </is>
      </c>
      <c r="W635" s="0" t="inlineStr">
        <is>
          <t>62B</t>
        </is>
      </c>
      <c r="X635" s="0" t="n">
        <v>19</v>
      </c>
      <c r="Y635" s="0" t="n">
        <v>18</v>
      </c>
      <c r="Z635" s="0" t="inlineStr">
        <is>
          <t>https://new.land.naver.com/complexes/112878?tab=detail&amp;rf=Y</t>
        </is>
      </c>
      <c r="AA635" s="0" t="inlineStr">
        <is>
          <t>인천시 남동구 구월동 1132-6</t>
        </is>
      </c>
      <c r="AB635" s="0" t="inlineStr">
        <is>
          <t>인천시</t>
        </is>
      </c>
      <c r="AC635" s="0" t="inlineStr">
        <is>
          <t>남동구</t>
        </is>
      </c>
      <c r="AD635" s="0" t="inlineStr">
        <is>
          <t>구월동</t>
        </is>
      </c>
      <c r="AG635" s="0" t="inlineStr">
        <is>
          <t>인천시 남동구 예술로204번길 27</t>
        </is>
      </c>
      <c r="AH635" s="0" t="n">
        <v>0</v>
      </c>
      <c r="AI635" s="0" t="n">
        <v>808</v>
      </c>
      <c r="AJ635" s="0" t="n">
        <v>58</v>
      </c>
      <c r="AK635" s="0" t="n">
        <v>40</v>
      </c>
      <c r="AL635" s="0" t="n">
        <v>0.78</v>
      </c>
    </row>
    <row r="636">
      <c r="A636" s="0" t="inlineStr">
        <is>
          <t>[구월동]</t>
        </is>
      </c>
      <c r="B636" s="0" t="n">
        <v>112878</v>
      </c>
      <c r="C636" s="0" t="n">
        <v>5</v>
      </c>
      <c r="D636" s="0" t="inlineStr">
        <is>
          <t>DS더웰가(도시형)</t>
        </is>
      </c>
      <c r="E636" s="0" t="inlineStr">
        <is>
          <t>2016.05.</t>
        </is>
      </c>
      <c r="F636" s="0" t="n">
        <v>51</v>
      </c>
      <c r="G636" s="0" t="n">
        <v>19.08</v>
      </c>
      <c r="H636" s="0" t="n">
        <v>63.1</v>
      </c>
      <c r="I636" s="0" t="n">
        <v>14.88</v>
      </c>
      <c r="J636" s="0" t="n">
        <v>49.22</v>
      </c>
      <c r="K636" s="0" t="n">
        <v>8</v>
      </c>
      <c r="T636" s="0" t="n">
        <v>1</v>
      </c>
      <c r="U636" s="0" t="n">
        <v>1</v>
      </c>
      <c r="V636" s="0" t="inlineStr">
        <is>
          <t>계단식</t>
        </is>
      </c>
      <c r="W636" s="0" t="inlineStr">
        <is>
          <t>63C</t>
        </is>
      </c>
      <c r="X636" s="0" t="n">
        <v>19</v>
      </c>
      <c r="Y636" s="0" t="n">
        <v>18</v>
      </c>
      <c r="Z636" s="0" t="inlineStr">
        <is>
          <t>https://new.land.naver.com/complexes/112878?tab=detail&amp;rf=Y</t>
        </is>
      </c>
      <c r="AA636" s="0" t="inlineStr">
        <is>
          <t>인천시 남동구 구월동 1132-6</t>
        </is>
      </c>
      <c r="AB636" s="0" t="inlineStr">
        <is>
          <t>인천시</t>
        </is>
      </c>
      <c r="AC636" s="0" t="inlineStr">
        <is>
          <t>남동구</t>
        </is>
      </c>
      <c r="AD636" s="0" t="inlineStr">
        <is>
          <t>구월동</t>
        </is>
      </c>
      <c r="AG636" s="0" t="inlineStr">
        <is>
          <t>인천시 남동구 예술로204번길 27</t>
        </is>
      </c>
      <c r="AH636" s="0" t="n">
        <v>0</v>
      </c>
      <c r="AI636" s="0" t="n">
        <v>808</v>
      </c>
      <c r="AJ636" s="0" t="n">
        <v>58</v>
      </c>
      <c r="AK636" s="0" t="n">
        <v>40</v>
      </c>
      <c r="AL636" s="0" t="n">
        <v>0.78</v>
      </c>
    </row>
    <row r="637">
      <c r="A637" s="0" t="inlineStr">
        <is>
          <t>[구월동]</t>
        </is>
      </c>
      <c r="B637" s="0" t="n">
        <v>112878</v>
      </c>
      <c r="C637" s="0" t="n">
        <v>6</v>
      </c>
      <c r="D637" s="0" t="inlineStr">
        <is>
          <t>DS더웰가(도시형)</t>
        </is>
      </c>
      <c r="E637" s="0" t="inlineStr">
        <is>
          <t>2016.05.</t>
        </is>
      </c>
      <c r="F637" s="0" t="n">
        <v>51</v>
      </c>
      <c r="G637" s="0" t="n">
        <v>19.38</v>
      </c>
      <c r="H637" s="0" t="n">
        <v>64.09</v>
      </c>
      <c r="I637" s="0" t="n">
        <v>15.12</v>
      </c>
      <c r="J637" s="0" t="n">
        <v>49.99</v>
      </c>
      <c r="K637" s="0" t="n">
        <v>9</v>
      </c>
      <c r="T637" s="0" t="n">
        <v>1</v>
      </c>
      <c r="U637" s="0" t="n">
        <v>1</v>
      </c>
      <c r="V637" s="0" t="inlineStr">
        <is>
          <t>계단식</t>
        </is>
      </c>
      <c r="W637" s="0" t="inlineStr">
        <is>
          <t>64D</t>
        </is>
      </c>
      <c r="X637" s="0" t="n">
        <v>19</v>
      </c>
      <c r="Y637" s="0" t="n">
        <v>18</v>
      </c>
      <c r="Z637" s="0" t="inlineStr">
        <is>
          <t>https://new.land.naver.com/complexes/112878?tab=detail&amp;rf=Y</t>
        </is>
      </c>
      <c r="AA637" s="0" t="inlineStr">
        <is>
          <t>인천시 남동구 구월동 1132-6</t>
        </is>
      </c>
      <c r="AB637" s="0" t="inlineStr">
        <is>
          <t>인천시</t>
        </is>
      </c>
      <c r="AC637" s="0" t="inlineStr">
        <is>
          <t>남동구</t>
        </is>
      </c>
      <c r="AD637" s="0" t="inlineStr">
        <is>
          <t>구월동</t>
        </is>
      </c>
      <c r="AG637" s="0" t="inlineStr">
        <is>
          <t>인천시 남동구 예술로204번길 27</t>
        </is>
      </c>
      <c r="AH637" s="0" t="n">
        <v>0</v>
      </c>
      <c r="AI637" s="0" t="n">
        <v>808</v>
      </c>
      <c r="AJ637" s="0" t="n">
        <v>58</v>
      </c>
      <c r="AK637" s="0" t="n">
        <v>40</v>
      </c>
      <c r="AL637" s="0" t="n">
        <v>0.78</v>
      </c>
    </row>
    <row r="638">
      <c r="A638" s="0" t="inlineStr">
        <is>
          <t>[구월동]</t>
        </is>
      </c>
      <c r="B638" s="0" t="n">
        <v>141327</v>
      </c>
      <c r="C638" s="0" t="n">
        <v>1</v>
      </c>
      <c r="D638" s="0" t="inlineStr">
        <is>
          <t>구월아시아드선수촌6단지</t>
        </is>
      </c>
      <c r="E638" s="0" t="inlineStr">
        <is>
          <t>2015.06.</t>
        </is>
      </c>
      <c r="F638" s="0" t="n">
        <v>602</v>
      </c>
      <c r="G638" s="0" t="n">
        <v>30.62</v>
      </c>
      <c r="H638" s="0" t="n">
        <v>101.23</v>
      </c>
      <c r="I638" s="0" t="n">
        <v>22.66</v>
      </c>
      <c r="J638" s="0" t="n">
        <v>74.91</v>
      </c>
      <c r="K638" s="0" t="n">
        <v>287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29</v>
      </c>
      <c r="Y638" s="0" t="n">
        <v>16</v>
      </c>
      <c r="Z638" s="0" t="inlineStr">
        <is>
          <t>https://new.land.naver.com/complexes/141327?tab=detail&amp;rf=Y</t>
        </is>
      </c>
      <c r="AA638" s="0" t="inlineStr">
        <is>
          <t>인천시 남동구 구월동 1524</t>
        </is>
      </c>
      <c r="AB638" s="0" t="inlineStr">
        <is>
          <t>인천시</t>
        </is>
      </c>
      <c r="AC638" s="0" t="inlineStr">
        <is>
          <t>남동구</t>
        </is>
      </c>
      <c r="AD638" s="0" t="inlineStr">
        <is>
          <t>구월동</t>
        </is>
      </c>
      <c r="AG638" s="0" t="inlineStr">
        <is>
          <t>인천시 남동구 선수촌로 27</t>
        </is>
      </c>
      <c r="AH638" s="0" t="n">
        <v>0</v>
      </c>
      <c r="AI638" s="0" t="n">
        <v>193</v>
      </c>
      <c r="AJ638" s="0" t="n">
        <v>13</v>
      </c>
      <c r="AK638" s="0" t="n">
        <v>710</v>
      </c>
      <c r="AL638" s="0" t="n">
        <v>1.18</v>
      </c>
    </row>
    <row r="639">
      <c r="A639" s="0" t="inlineStr">
        <is>
          <t>[구월동]</t>
        </is>
      </c>
      <c r="B639" s="0" t="n">
        <v>141327</v>
      </c>
      <c r="C639" s="0" t="n">
        <v>2</v>
      </c>
      <c r="D639" s="0" t="inlineStr">
        <is>
          <t>구월아시아드선수촌6단지</t>
        </is>
      </c>
      <c r="E639" s="0" t="inlineStr">
        <is>
          <t>2015.06.</t>
        </is>
      </c>
      <c r="F639" s="0" t="n">
        <v>602</v>
      </c>
      <c r="G639" s="0" t="n">
        <v>30.74</v>
      </c>
      <c r="H639" s="0" t="n">
        <v>101.64</v>
      </c>
      <c r="I639" s="0" t="n">
        <v>22.66</v>
      </c>
      <c r="J639" s="0" t="n">
        <v>74.94</v>
      </c>
      <c r="K639" s="0" t="n">
        <v>63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29</v>
      </c>
      <c r="Y639" s="0" t="n">
        <v>16</v>
      </c>
      <c r="Z639" s="0" t="inlineStr">
        <is>
          <t>https://new.land.naver.com/complexes/141327?tab=detail&amp;rf=Y</t>
        </is>
      </c>
      <c r="AA639" s="0" t="inlineStr">
        <is>
          <t>인천시 남동구 구월동 1524</t>
        </is>
      </c>
      <c r="AB639" s="0" t="inlineStr">
        <is>
          <t>인천시</t>
        </is>
      </c>
      <c r="AC639" s="0" t="inlineStr">
        <is>
          <t>남동구</t>
        </is>
      </c>
      <c r="AD639" s="0" t="inlineStr">
        <is>
          <t>구월동</t>
        </is>
      </c>
      <c r="AG639" s="0" t="inlineStr">
        <is>
          <t>인천시 남동구 선수촌로 27</t>
        </is>
      </c>
      <c r="AH639" s="0" t="n">
        <v>0</v>
      </c>
      <c r="AI639" s="0" t="n">
        <v>193</v>
      </c>
      <c r="AJ639" s="0" t="n">
        <v>13</v>
      </c>
      <c r="AK639" s="0" t="n">
        <v>710</v>
      </c>
      <c r="AL639" s="0" t="n">
        <v>1.18</v>
      </c>
    </row>
    <row r="640">
      <c r="A640" s="0" t="inlineStr">
        <is>
          <t>[구월동]</t>
        </is>
      </c>
      <c r="B640" s="0" t="n">
        <v>141327</v>
      </c>
      <c r="C640" s="0" t="n">
        <v>3</v>
      </c>
      <c r="D640" s="0" t="inlineStr">
        <is>
          <t>구월아시아드선수촌6단지</t>
        </is>
      </c>
      <c r="E640" s="0" t="inlineStr">
        <is>
          <t>2015.06.</t>
        </is>
      </c>
      <c r="F640" s="0" t="n">
        <v>602</v>
      </c>
      <c r="G640" s="0" t="n">
        <v>34.61</v>
      </c>
      <c r="H640" s="0" t="n">
        <v>114.43</v>
      </c>
      <c r="I640" s="0" t="n">
        <v>25.7</v>
      </c>
      <c r="J640" s="0" t="n">
        <v>84.98</v>
      </c>
      <c r="K640" s="0" t="n">
        <v>84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114C</t>
        </is>
      </c>
      <c r="X640" s="0" t="n">
        <v>29</v>
      </c>
      <c r="Y640" s="0" t="n">
        <v>16</v>
      </c>
      <c r="Z640" s="0" t="inlineStr">
        <is>
          <t>https://new.land.naver.com/complexes/141327?tab=detail&amp;rf=Y</t>
        </is>
      </c>
      <c r="AA640" s="0" t="inlineStr">
        <is>
          <t>인천시 남동구 구월동 1524</t>
        </is>
      </c>
      <c r="AB640" s="0" t="inlineStr">
        <is>
          <t>인천시</t>
        </is>
      </c>
      <c r="AC640" s="0" t="inlineStr">
        <is>
          <t>남동구</t>
        </is>
      </c>
      <c r="AD640" s="0" t="inlineStr">
        <is>
          <t>구월동</t>
        </is>
      </c>
      <c r="AG640" s="0" t="inlineStr">
        <is>
          <t>인천시 남동구 선수촌로 27</t>
        </is>
      </c>
      <c r="AH640" s="0" t="n">
        <v>0</v>
      </c>
      <c r="AI640" s="0" t="n">
        <v>193</v>
      </c>
      <c r="AJ640" s="0" t="n">
        <v>13</v>
      </c>
      <c r="AK640" s="0" t="n">
        <v>710</v>
      </c>
      <c r="AL640" s="0" t="n">
        <v>1.18</v>
      </c>
    </row>
    <row r="641">
      <c r="A641" s="0" t="inlineStr">
        <is>
          <t>[구월동]</t>
        </is>
      </c>
      <c r="B641" s="0" t="n">
        <v>141327</v>
      </c>
      <c r="C641" s="0" t="n">
        <v>4</v>
      </c>
      <c r="D641" s="0" t="inlineStr">
        <is>
          <t>구월아시아드선수촌6단지</t>
        </is>
      </c>
      <c r="E641" s="0" t="inlineStr">
        <is>
          <t>2015.06.</t>
        </is>
      </c>
      <c r="F641" s="0" t="n">
        <v>602</v>
      </c>
      <c r="G641" s="0" t="n">
        <v>34.75</v>
      </c>
      <c r="H641" s="0" t="n">
        <v>114.89</v>
      </c>
      <c r="I641" s="0" t="n">
        <v>25.7</v>
      </c>
      <c r="J641" s="0" t="n">
        <v>84.95999999999999</v>
      </c>
      <c r="K641" s="0" t="n">
        <v>53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29</v>
      </c>
      <c r="Y641" s="0" t="n">
        <v>16</v>
      </c>
      <c r="Z641" s="0" t="inlineStr">
        <is>
          <t>https://new.land.naver.com/complexes/141327?tab=detail&amp;rf=Y</t>
        </is>
      </c>
      <c r="AA641" s="0" t="inlineStr">
        <is>
          <t>인천시 남동구 구월동 1524</t>
        </is>
      </c>
      <c r="AB641" s="0" t="inlineStr">
        <is>
          <t>인천시</t>
        </is>
      </c>
      <c r="AC641" s="0" t="inlineStr">
        <is>
          <t>남동구</t>
        </is>
      </c>
      <c r="AD641" s="0" t="inlineStr">
        <is>
          <t>구월동</t>
        </is>
      </c>
      <c r="AG641" s="0" t="inlineStr">
        <is>
          <t>인천시 남동구 선수촌로 27</t>
        </is>
      </c>
      <c r="AH641" s="0" t="n">
        <v>0</v>
      </c>
      <c r="AI641" s="0" t="n">
        <v>193</v>
      </c>
      <c r="AJ641" s="0" t="n">
        <v>13</v>
      </c>
      <c r="AK641" s="0" t="n">
        <v>710</v>
      </c>
      <c r="AL641" s="0" t="n">
        <v>1.18</v>
      </c>
    </row>
    <row r="642">
      <c r="A642" s="0" t="inlineStr">
        <is>
          <t>[구월동]</t>
        </is>
      </c>
      <c r="B642" s="0" t="n">
        <v>141327</v>
      </c>
      <c r="C642" s="0" t="n">
        <v>5</v>
      </c>
      <c r="D642" s="0" t="inlineStr">
        <is>
          <t>구월아시아드선수촌6단지</t>
        </is>
      </c>
      <c r="E642" s="0" t="inlineStr">
        <is>
          <t>2015.06.</t>
        </is>
      </c>
      <c r="F642" s="0" t="n">
        <v>602</v>
      </c>
      <c r="G642" s="0" t="n">
        <v>34.8</v>
      </c>
      <c r="H642" s="0" t="n">
        <v>115.05</v>
      </c>
      <c r="I642" s="0" t="n">
        <v>25.7</v>
      </c>
      <c r="J642" s="0" t="n">
        <v>84.97</v>
      </c>
      <c r="K642" s="0" t="n">
        <v>115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115B</t>
        </is>
      </c>
      <c r="X642" s="0" t="n">
        <v>29</v>
      </c>
      <c r="Y642" s="0" t="n">
        <v>16</v>
      </c>
      <c r="Z642" s="0" t="inlineStr">
        <is>
          <t>https://new.land.naver.com/complexes/141327?tab=detail&amp;rf=Y</t>
        </is>
      </c>
      <c r="AA642" s="0" t="inlineStr">
        <is>
          <t>인천시 남동구 구월동 1524</t>
        </is>
      </c>
      <c r="AB642" s="0" t="inlineStr">
        <is>
          <t>인천시</t>
        </is>
      </c>
      <c r="AC642" s="0" t="inlineStr">
        <is>
          <t>남동구</t>
        </is>
      </c>
      <c r="AD642" s="0" t="inlineStr">
        <is>
          <t>구월동</t>
        </is>
      </c>
      <c r="AG642" s="0" t="inlineStr">
        <is>
          <t>인천시 남동구 선수촌로 27</t>
        </is>
      </c>
      <c r="AH642" s="0" t="n">
        <v>0</v>
      </c>
      <c r="AI642" s="0" t="n">
        <v>193</v>
      </c>
      <c r="AJ642" s="0" t="n">
        <v>13</v>
      </c>
      <c r="AK642" s="0" t="n">
        <v>710</v>
      </c>
      <c r="AL642" s="0" t="n">
        <v>1.18</v>
      </c>
    </row>
    <row r="643">
      <c r="A643" s="0" t="inlineStr">
        <is>
          <t>[구월동]</t>
        </is>
      </c>
      <c r="B643" s="0" t="n">
        <v>105970</v>
      </c>
      <c r="C643" s="0" t="n">
        <v>1</v>
      </c>
      <c r="D643" s="0" t="inlineStr">
        <is>
          <t>세연</t>
        </is>
      </c>
      <c r="E643" s="0" t="inlineStr">
        <is>
          <t>2002.10.</t>
        </is>
      </c>
      <c r="F643" s="0" t="n">
        <v>19</v>
      </c>
      <c r="G643" s="0" t="n">
        <v>11.39</v>
      </c>
      <c r="H643" s="0" t="n">
        <v>37.67</v>
      </c>
      <c r="I643" s="0" t="n">
        <v>9.82</v>
      </c>
      <c r="J643" s="0" t="n">
        <v>32.49</v>
      </c>
      <c r="K643" s="0" t="n">
        <v>1</v>
      </c>
      <c r="T643" s="0" t="n">
        <v>1</v>
      </c>
      <c r="U643" s="0" t="n">
        <v>1</v>
      </c>
      <c r="V643" s="0" t="inlineStr">
        <is>
          <t>복합식</t>
        </is>
      </c>
      <c r="W643" s="0" t="n">
        <v>37</v>
      </c>
      <c r="X643" s="0" t="n">
        <v>7</v>
      </c>
      <c r="Y643" s="0" t="n">
        <v>6</v>
      </c>
      <c r="Z643" s="0" t="inlineStr">
        <is>
          <t>https://new.land.naver.com/complexes/105970?tab=detail&amp;rf=Y</t>
        </is>
      </c>
      <c r="AA643" s="0" t="inlineStr">
        <is>
          <t>인천시 남동구 구월동 1125</t>
        </is>
      </c>
      <c r="AB643" s="0" t="inlineStr">
        <is>
          <t>인천시</t>
        </is>
      </c>
      <c r="AC643" s="0" t="inlineStr">
        <is>
          <t>남동구</t>
        </is>
      </c>
      <c r="AD643" s="0" t="inlineStr">
        <is>
          <t>구월동</t>
        </is>
      </c>
      <c r="AG643" s="0" t="inlineStr">
        <is>
          <t>인천시 남동구 예술로174번길 30</t>
        </is>
      </c>
      <c r="AH643" s="0" t="n">
        <v>0</v>
      </c>
      <c r="AI643" s="0" t="n">
        <v>422</v>
      </c>
      <c r="AJ643" s="0" t="n">
        <v>84</v>
      </c>
      <c r="AK643" s="0" t="n">
        <v>12</v>
      </c>
      <c r="AL643" s="0" t="n">
        <v>0.63</v>
      </c>
    </row>
    <row r="644">
      <c r="A644" s="0" t="inlineStr">
        <is>
          <t>[구월동]</t>
        </is>
      </c>
      <c r="B644" s="0" t="n">
        <v>105970</v>
      </c>
      <c r="C644" s="0" t="n">
        <v>2</v>
      </c>
      <c r="D644" s="0" t="inlineStr">
        <is>
          <t>세연</t>
        </is>
      </c>
      <c r="E644" s="0" t="inlineStr">
        <is>
          <t>2002.10.</t>
        </is>
      </c>
      <c r="F644" s="0" t="n">
        <v>19</v>
      </c>
      <c r="G644" s="0" t="n">
        <v>16.13</v>
      </c>
      <c r="H644" s="0" t="n">
        <v>53.34</v>
      </c>
      <c r="I644" s="0" t="n">
        <v>13.91</v>
      </c>
      <c r="J644" s="0" t="n">
        <v>46</v>
      </c>
      <c r="K644" s="0" t="n">
        <v>1</v>
      </c>
      <c r="T644" s="0" t="n">
        <v>2</v>
      </c>
      <c r="U644" s="0" t="n">
        <v>1</v>
      </c>
      <c r="V644" s="0" t="inlineStr">
        <is>
          <t>복합식</t>
        </is>
      </c>
      <c r="W644" s="0" t="n">
        <v>53</v>
      </c>
      <c r="X644" s="0" t="n">
        <v>7</v>
      </c>
      <c r="Y644" s="0" t="n">
        <v>6</v>
      </c>
      <c r="Z644" s="0" t="inlineStr">
        <is>
          <t>https://new.land.naver.com/complexes/105970?tab=detail&amp;rf=Y</t>
        </is>
      </c>
      <c r="AA644" s="0" t="inlineStr">
        <is>
          <t>인천시 남동구 구월동 1125</t>
        </is>
      </c>
      <c r="AB644" s="0" t="inlineStr">
        <is>
          <t>인천시</t>
        </is>
      </c>
      <c r="AC644" s="0" t="inlineStr">
        <is>
          <t>남동구</t>
        </is>
      </c>
      <c r="AD644" s="0" t="inlineStr">
        <is>
          <t>구월동</t>
        </is>
      </c>
      <c r="AG644" s="0" t="inlineStr">
        <is>
          <t>인천시 남동구 예술로174번길 30</t>
        </is>
      </c>
      <c r="AH644" s="0" t="n">
        <v>0</v>
      </c>
      <c r="AI644" s="0" t="n">
        <v>422</v>
      </c>
      <c r="AJ644" s="0" t="n">
        <v>84</v>
      </c>
      <c r="AK644" s="0" t="n">
        <v>12</v>
      </c>
      <c r="AL644" s="0" t="n">
        <v>0.63</v>
      </c>
    </row>
    <row r="645">
      <c r="A645" s="0" t="inlineStr">
        <is>
          <t>[구월동]</t>
        </is>
      </c>
      <c r="B645" s="0" t="n">
        <v>105970</v>
      </c>
      <c r="C645" s="0" t="n">
        <v>3</v>
      </c>
      <c r="D645" s="0" t="inlineStr">
        <is>
          <t>세연</t>
        </is>
      </c>
      <c r="E645" s="0" t="inlineStr">
        <is>
          <t>2002.10.</t>
        </is>
      </c>
      <c r="F645" s="0" t="n">
        <v>19</v>
      </c>
      <c r="G645" s="0" t="n">
        <v>17.36</v>
      </c>
      <c r="H645" s="0" t="n">
        <v>57.41</v>
      </c>
      <c r="I645" s="0" t="n">
        <v>14.97</v>
      </c>
      <c r="J645" s="0" t="n">
        <v>49.51</v>
      </c>
      <c r="K645" s="0" t="n">
        <v>1</v>
      </c>
      <c r="T645" s="0" t="n">
        <v>2</v>
      </c>
      <c r="U645" s="0" t="n">
        <v>1</v>
      </c>
      <c r="V645" s="0" t="inlineStr">
        <is>
          <t>복합식</t>
        </is>
      </c>
      <c r="W645" s="0" t="n">
        <v>57</v>
      </c>
      <c r="X645" s="0" t="n">
        <v>7</v>
      </c>
      <c r="Y645" s="0" t="n">
        <v>6</v>
      </c>
      <c r="Z645" s="0" t="inlineStr">
        <is>
          <t>https://new.land.naver.com/complexes/105970?tab=detail&amp;rf=Y</t>
        </is>
      </c>
      <c r="AA645" s="0" t="inlineStr">
        <is>
          <t>인천시 남동구 구월동 1125</t>
        </is>
      </c>
      <c r="AB645" s="0" t="inlineStr">
        <is>
          <t>인천시</t>
        </is>
      </c>
      <c r="AC645" s="0" t="inlineStr">
        <is>
          <t>남동구</t>
        </is>
      </c>
      <c r="AD645" s="0" t="inlineStr">
        <is>
          <t>구월동</t>
        </is>
      </c>
      <c r="AG645" s="0" t="inlineStr">
        <is>
          <t>인천시 남동구 예술로174번길 30</t>
        </is>
      </c>
      <c r="AH645" s="0" t="n">
        <v>0</v>
      </c>
      <c r="AI645" s="0" t="n">
        <v>422</v>
      </c>
      <c r="AJ645" s="0" t="n">
        <v>84</v>
      </c>
      <c r="AK645" s="0" t="n">
        <v>12</v>
      </c>
      <c r="AL645" s="0" t="n">
        <v>0.63</v>
      </c>
    </row>
    <row r="646">
      <c r="A646" s="0" t="inlineStr">
        <is>
          <t>[구월동]</t>
        </is>
      </c>
      <c r="B646" s="0" t="n">
        <v>105970</v>
      </c>
      <c r="C646" s="0" t="n">
        <v>4</v>
      </c>
      <c r="D646" s="0" t="inlineStr">
        <is>
          <t>세연</t>
        </is>
      </c>
      <c r="E646" s="0" t="inlineStr">
        <is>
          <t>2002.10.</t>
        </is>
      </c>
      <c r="F646" s="0" t="n">
        <v>19</v>
      </c>
      <c r="G646" s="0" t="n">
        <v>19.29</v>
      </c>
      <c r="H646" s="0" t="n">
        <v>63.77</v>
      </c>
      <c r="I646" s="0" t="n">
        <v>16.63</v>
      </c>
      <c r="J646" s="0" t="n">
        <v>55</v>
      </c>
      <c r="K646" s="0" t="n">
        <v>1</v>
      </c>
      <c r="T646" s="0" t="n">
        <v>2</v>
      </c>
      <c r="U646" s="0" t="n">
        <v>1</v>
      </c>
      <c r="V646" s="0" t="inlineStr">
        <is>
          <t>복합식</t>
        </is>
      </c>
      <c r="W646" s="0" t="n">
        <v>63</v>
      </c>
      <c r="X646" s="0" t="n">
        <v>7</v>
      </c>
      <c r="Y646" s="0" t="n">
        <v>6</v>
      </c>
      <c r="Z646" s="0" t="inlineStr">
        <is>
          <t>https://new.land.naver.com/complexes/105970?tab=detail&amp;rf=Y</t>
        </is>
      </c>
      <c r="AA646" s="0" t="inlineStr">
        <is>
          <t>인천시 남동구 구월동 1125</t>
        </is>
      </c>
      <c r="AB646" s="0" t="inlineStr">
        <is>
          <t>인천시</t>
        </is>
      </c>
      <c r="AC646" s="0" t="inlineStr">
        <is>
          <t>남동구</t>
        </is>
      </c>
      <c r="AD646" s="0" t="inlineStr">
        <is>
          <t>구월동</t>
        </is>
      </c>
      <c r="AG646" s="0" t="inlineStr">
        <is>
          <t>인천시 남동구 예술로174번길 30</t>
        </is>
      </c>
      <c r="AH646" s="0" t="n">
        <v>0</v>
      </c>
      <c r="AI646" s="0" t="n">
        <v>422</v>
      </c>
      <c r="AJ646" s="0" t="n">
        <v>84</v>
      </c>
      <c r="AK646" s="0" t="n">
        <v>12</v>
      </c>
      <c r="AL646" s="0" t="n">
        <v>0.63</v>
      </c>
    </row>
    <row r="647">
      <c r="A647" s="0" t="inlineStr">
        <is>
          <t>[구월동]</t>
        </is>
      </c>
      <c r="B647" s="0" t="n">
        <v>105970</v>
      </c>
      <c r="C647" s="0" t="n">
        <v>5</v>
      </c>
      <c r="D647" s="0" t="inlineStr">
        <is>
          <t>세연</t>
        </is>
      </c>
      <c r="E647" s="0" t="inlineStr">
        <is>
          <t>2002.10.</t>
        </is>
      </c>
      <c r="F647" s="0" t="n">
        <v>19</v>
      </c>
      <c r="G647" s="0" t="n">
        <v>19.74</v>
      </c>
      <c r="H647" s="0" t="n">
        <v>65.28</v>
      </c>
      <c r="I647" s="0" t="n">
        <v>17.03</v>
      </c>
      <c r="J647" s="0" t="n">
        <v>56.3</v>
      </c>
      <c r="K647" s="0" t="n">
        <v>3</v>
      </c>
      <c r="T647" s="0" t="n">
        <v>2</v>
      </c>
      <c r="U647" s="0" t="n">
        <v>1</v>
      </c>
      <c r="V647" s="0" t="inlineStr">
        <is>
          <t>복합식</t>
        </is>
      </c>
      <c r="W647" s="0" t="inlineStr">
        <is>
          <t>65A</t>
        </is>
      </c>
      <c r="X647" s="0" t="n">
        <v>7</v>
      </c>
      <c r="Y647" s="0" t="n">
        <v>6</v>
      </c>
      <c r="Z647" s="0" t="inlineStr">
        <is>
          <t>https://new.land.naver.com/complexes/105970?tab=detail&amp;rf=Y</t>
        </is>
      </c>
      <c r="AA647" s="0" t="inlineStr">
        <is>
          <t>인천시 남동구 구월동 1125</t>
        </is>
      </c>
      <c r="AB647" s="0" t="inlineStr">
        <is>
          <t>인천시</t>
        </is>
      </c>
      <c r="AC647" s="0" t="inlineStr">
        <is>
          <t>남동구</t>
        </is>
      </c>
      <c r="AD647" s="0" t="inlineStr">
        <is>
          <t>구월동</t>
        </is>
      </c>
      <c r="AG647" s="0" t="inlineStr">
        <is>
          <t>인천시 남동구 예술로174번길 30</t>
        </is>
      </c>
      <c r="AH647" s="0" t="n">
        <v>0</v>
      </c>
      <c r="AI647" s="0" t="n">
        <v>422</v>
      </c>
      <c r="AJ647" s="0" t="n">
        <v>84</v>
      </c>
      <c r="AK647" s="0" t="n">
        <v>12</v>
      </c>
      <c r="AL647" s="0" t="n">
        <v>0.63</v>
      </c>
    </row>
    <row r="648">
      <c r="A648" s="0" t="inlineStr">
        <is>
          <t>[구월동]</t>
        </is>
      </c>
      <c r="B648" s="0" t="n">
        <v>105970</v>
      </c>
      <c r="C648" s="0" t="n">
        <v>6</v>
      </c>
      <c r="D648" s="0" t="inlineStr">
        <is>
          <t>세연</t>
        </is>
      </c>
      <c r="E648" s="0" t="inlineStr">
        <is>
          <t>2002.10.</t>
        </is>
      </c>
      <c r="F648" s="0" t="n">
        <v>19</v>
      </c>
      <c r="G648" s="0" t="n">
        <v>20</v>
      </c>
      <c r="H648" s="0" t="n">
        <v>66.14</v>
      </c>
      <c r="I648" s="0" t="n">
        <v>17.25</v>
      </c>
      <c r="J648" s="0" t="n">
        <v>57.04</v>
      </c>
      <c r="K648" s="0" t="n">
        <v>5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66B</t>
        </is>
      </c>
      <c r="X648" s="0" t="n">
        <v>7</v>
      </c>
      <c r="Y648" s="0" t="n">
        <v>6</v>
      </c>
      <c r="Z648" s="0" t="inlineStr">
        <is>
          <t>https://new.land.naver.com/complexes/105970?tab=detail&amp;rf=Y</t>
        </is>
      </c>
      <c r="AA648" s="0" t="inlineStr">
        <is>
          <t>인천시 남동구 구월동 1125</t>
        </is>
      </c>
      <c r="AB648" s="0" t="inlineStr">
        <is>
          <t>인천시</t>
        </is>
      </c>
      <c r="AC648" s="0" t="inlineStr">
        <is>
          <t>남동구</t>
        </is>
      </c>
      <c r="AD648" s="0" t="inlineStr">
        <is>
          <t>구월동</t>
        </is>
      </c>
      <c r="AG648" s="0" t="inlineStr">
        <is>
          <t>인천시 남동구 예술로174번길 30</t>
        </is>
      </c>
      <c r="AH648" s="0" t="n">
        <v>0</v>
      </c>
      <c r="AI648" s="0" t="n">
        <v>422</v>
      </c>
      <c r="AJ648" s="0" t="n">
        <v>84</v>
      </c>
      <c r="AK648" s="0" t="n">
        <v>12</v>
      </c>
      <c r="AL648" s="0" t="n">
        <v>0.63</v>
      </c>
    </row>
    <row r="649">
      <c r="A649" s="0" t="inlineStr">
        <is>
          <t>[구월동]</t>
        </is>
      </c>
      <c r="B649" s="0" t="n">
        <v>105970</v>
      </c>
      <c r="C649" s="0" t="n">
        <v>7</v>
      </c>
      <c r="D649" s="0" t="inlineStr">
        <is>
          <t>세연</t>
        </is>
      </c>
      <c r="E649" s="0" t="inlineStr">
        <is>
          <t>2002.10.</t>
        </is>
      </c>
      <c r="F649" s="0" t="n">
        <v>19</v>
      </c>
      <c r="G649" s="0" t="n">
        <v>20.87</v>
      </c>
      <c r="H649" s="0" t="n">
        <v>69</v>
      </c>
      <c r="I649" s="0" t="n">
        <v>18</v>
      </c>
      <c r="J649" s="0" t="n">
        <v>59.51</v>
      </c>
      <c r="K649" s="0" t="n">
        <v>3</v>
      </c>
      <c r="T649" s="0" t="n">
        <v>2</v>
      </c>
      <c r="U649" s="0" t="n">
        <v>1</v>
      </c>
      <c r="V649" s="0" t="inlineStr">
        <is>
          <t>복합식</t>
        </is>
      </c>
      <c r="W649" s="0" t="inlineStr">
        <is>
          <t>69A</t>
        </is>
      </c>
      <c r="X649" s="0" t="n">
        <v>7</v>
      </c>
      <c r="Y649" s="0" t="n">
        <v>6</v>
      </c>
      <c r="Z649" s="0" t="inlineStr">
        <is>
          <t>https://new.land.naver.com/complexes/105970?tab=detail&amp;rf=Y</t>
        </is>
      </c>
      <c r="AA649" s="0" t="inlineStr">
        <is>
          <t>인천시 남동구 구월동 1125</t>
        </is>
      </c>
      <c r="AB649" s="0" t="inlineStr">
        <is>
          <t>인천시</t>
        </is>
      </c>
      <c r="AC649" s="0" t="inlineStr">
        <is>
          <t>남동구</t>
        </is>
      </c>
      <c r="AD649" s="0" t="inlineStr">
        <is>
          <t>구월동</t>
        </is>
      </c>
      <c r="AG649" s="0" t="inlineStr">
        <is>
          <t>인천시 남동구 예술로174번길 30</t>
        </is>
      </c>
      <c r="AH649" s="0" t="n">
        <v>0</v>
      </c>
      <c r="AI649" s="0" t="n">
        <v>422</v>
      </c>
      <c r="AJ649" s="0" t="n">
        <v>84</v>
      </c>
      <c r="AK649" s="0" t="n">
        <v>12</v>
      </c>
      <c r="AL649" s="0" t="n">
        <v>0.63</v>
      </c>
    </row>
    <row r="650">
      <c r="A650" s="0" t="inlineStr">
        <is>
          <t>[구월동]</t>
        </is>
      </c>
      <c r="B650" s="0" t="n">
        <v>105970</v>
      </c>
      <c r="C650" s="0" t="n">
        <v>8</v>
      </c>
      <c r="D650" s="0" t="inlineStr">
        <is>
          <t>세연</t>
        </is>
      </c>
      <c r="E650" s="0" t="inlineStr">
        <is>
          <t>2002.10.</t>
        </is>
      </c>
      <c r="F650" s="0" t="n">
        <v>19</v>
      </c>
      <c r="G650" s="0" t="n">
        <v>20.95</v>
      </c>
      <c r="H650" s="0" t="n">
        <v>69.26000000000001</v>
      </c>
      <c r="I650" s="0" t="n">
        <v>18.06</v>
      </c>
      <c r="J650" s="0" t="n">
        <v>59.73</v>
      </c>
      <c r="K650" s="0" t="n">
        <v>3</v>
      </c>
      <c r="T650" s="0" t="n">
        <v>2</v>
      </c>
      <c r="U650" s="0" t="n">
        <v>1</v>
      </c>
      <c r="V650" s="0" t="inlineStr">
        <is>
          <t>복합식</t>
        </is>
      </c>
      <c r="W650" s="0" t="inlineStr">
        <is>
          <t>69B</t>
        </is>
      </c>
      <c r="X650" s="0" t="n">
        <v>7</v>
      </c>
      <c r="Y650" s="0" t="n">
        <v>6</v>
      </c>
      <c r="Z650" s="0" t="inlineStr">
        <is>
          <t>https://new.land.naver.com/complexes/105970?tab=detail&amp;rf=Y</t>
        </is>
      </c>
      <c r="AA650" s="0" t="inlineStr">
        <is>
          <t>인천시 남동구 구월동 1125</t>
        </is>
      </c>
      <c r="AB650" s="0" t="inlineStr">
        <is>
          <t>인천시</t>
        </is>
      </c>
      <c r="AC650" s="0" t="inlineStr">
        <is>
          <t>남동구</t>
        </is>
      </c>
      <c r="AD650" s="0" t="inlineStr">
        <is>
          <t>구월동</t>
        </is>
      </c>
      <c r="AG650" s="0" t="inlineStr">
        <is>
          <t>인천시 남동구 예술로174번길 30</t>
        </is>
      </c>
      <c r="AH650" s="0" t="n">
        <v>0</v>
      </c>
      <c r="AI650" s="0" t="n">
        <v>422</v>
      </c>
      <c r="AJ650" s="0" t="n">
        <v>84</v>
      </c>
      <c r="AK650" s="0" t="n">
        <v>12</v>
      </c>
      <c r="AL650" s="0" t="n">
        <v>0.63</v>
      </c>
    </row>
    <row r="651">
      <c r="A651" s="0" t="inlineStr">
        <is>
          <t>[구월동]</t>
        </is>
      </c>
      <c r="B651" s="0" t="n">
        <v>105970</v>
      </c>
      <c r="C651" s="0" t="n">
        <v>9</v>
      </c>
      <c r="D651" s="0" t="inlineStr">
        <is>
          <t>세연</t>
        </is>
      </c>
      <c r="E651" s="0" t="inlineStr">
        <is>
          <t>2002.10.</t>
        </is>
      </c>
      <c r="F651" s="0" t="n">
        <v>19</v>
      </c>
      <c r="G651" s="0" t="n">
        <v>24.76</v>
      </c>
      <c r="H651" s="0" t="n">
        <v>81.87</v>
      </c>
      <c r="I651" s="0" t="n">
        <v>21.35</v>
      </c>
      <c r="J651" s="0" t="n">
        <v>70.61</v>
      </c>
      <c r="K651" s="0" t="n">
        <v>1</v>
      </c>
      <c r="T651" s="0" t="n">
        <v>3</v>
      </c>
      <c r="U651" s="0" t="n">
        <v>1</v>
      </c>
      <c r="V651" s="0" t="inlineStr">
        <is>
          <t>복합식</t>
        </is>
      </c>
      <c r="W651" s="0" t="n">
        <v>81</v>
      </c>
      <c r="X651" s="0" t="n">
        <v>7</v>
      </c>
      <c r="Y651" s="0" t="n">
        <v>6</v>
      </c>
      <c r="Z651" s="0" t="inlineStr">
        <is>
          <t>https://new.land.naver.com/complexes/105970?tab=detail&amp;rf=Y</t>
        </is>
      </c>
      <c r="AA651" s="0" t="inlineStr">
        <is>
          <t>인천시 남동구 구월동 1125</t>
        </is>
      </c>
      <c r="AB651" s="0" t="inlineStr">
        <is>
          <t>인천시</t>
        </is>
      </c>
      <c r="AC651" s="0" t="inlineStr">
        <is>
          <t>남동구</t>
        </is>
      </c>
      <c r="AD651" s="0" t="inlineStr">
        <is>
          <t>구월동</t>
        </is>
      </c>
      <c r="AG651" s="0" t="inlineStr">
        <is>
          <t>인천시 남동구 예술로174번길 30</t>
        </is>
      </c>
      <c r="AH651" s="0" t="n">
        <v>0</v>
      </c>
      <c r="AI651" s="0" t="n">
        <v>422</v>
      </c>
      <c r="AJ651" s="0" t="n">
        <v>84</v>
      </c>
      <c r="AK651" s="0" t="n">
        <v>12</v>
      </c>
      <c r="AL651" s="0" t="n">
        <v>0.63</v>
      </c>
    </row>
    <row r="652">
      <c r="A652" s="0" t="inlineStr">
        <is>
          <t>[구월동]</t>
        </is>
      </c>
      <c r="B652" s="0" t="n">
        <v>115122</v>
      </c>
      <c r="C652" s="0" t="n">
        <v>1</v>
      </c>
      <c r="D652" s="0" t="inlineStr">
        <is>
          <t>웰메이드(1117-6)</t>
        </is>
      </c>
      <c r="E652" s="0" t="inlineStr">
        <is>
          <t>2016.03.</t>
        </is>
      </c>
      <c r="F652" s="0" t="n">
        <v>6</v>
      </c>
      <c r="G652" s="0" t="n">
        <v>17.44</v>
      </c>
      <c r="H652" s="0" t="n">
        <v>57.67</v>
      </c>
      <c r="I652" s="0" t="n">
        <v>14.59</v>
      </c>
      <c r="J652" s="0" t="n">
        <v>48.24</v>
      </c>
      <c r="K652" s="0" t="n">
        <v>3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57</v>
      </c>
      <c r="X652" s="0" t="n">
        <v>4</v>
      </c>
      <c r="Y652" s="0" t="n">
        <v>4</v>
      </c>
      <c r="Z652" s="0" t="inlineStr">
        <is>
          <t>https://new.land.naver.com/complexes/115122?tab=detail&amp;rf=Y</t>
        </is>
      </c>
      <c r="AA652" s="0" t="inlineStr">
        <is>
          <t>인천시 남동구 구월동 1117-6</t>
        </is>
      </c>
      <c r="AB652" s="0" t="inlineStr">
        <is>
          <t>인천시</t>
        </is>
      </c>
      <c r="AC652" s="0" t="inlineStr">
        <is>
          <t>남동구</t>
        </is>
      </c>
      <c r="AD652" s="0" t="inlineStr">
        <is>
          <t>구월동</t>
        </is>
      </c>
      <c r="AG652" s="0" t="inlineStr">
        <is>
          <t>인천시 남동구 문화서로65번길 9</t>
        </is>
      </c>
      <c r="AH652" s="0" t="n">
        <v>0</v>
      </c>
      <c r="AI652" s="0" t="n">
        <v>479</v>
      </c>
      <c r="AJ652" s="0" t="n">
        <v>50</v>
      </c>
      <c r="AK652" s="0" t="n">
        <v>6</v>
      </c>
      <c r="AL652" s="0" t="n">
        <v>1</v>
      </c>
    </row>
    <row r="653">
      <c r="A653" s="0" t="inlineStr">
        <is>
          <t>[구월동]</t>
        </is>
      </c>
      <c r="B653" s="0" t="n">
        <v>115122</v>
      </c>
      <c r="C653" s="0" t="n">
        <v>2</v>
      </c>
      <c r="D653" s="0" t="inlineStr">
        <is>
          <t>웰메이드(1117-6)</t>
        </is>
      </c>
      <c r="E653" s="0" t="inlineStr">
        <is>
          <t>2016.03.</t>
        </is>
      </c>
      <c r="F653" s="0" t="n">
        <v>6</v>
      </c>
      <c r="G653" s="0" t="n">
        <v>19.16</v>
      </c>
      <c r="H653" s="0" t="n">
        <v>63.36</v>
      </c>
      <c r="I653" s="0" t="n">
        <v>15.98</v>
      </c>
      <c r="J653" s="0" t="n">
        <v>52.84</v>
      </c>
      <c r="K653" s="0" t="n">
        <v>3</v>
      </c>
      <c r="T653" s="0" t="n">
        <v>2</v>
      </c>
      <c r="U653" s="0" t="n">
        <v>1</v>
      </c>
      <c r="V653" s="0" t="inlineStr">
        <is>
          <t>계단식</t>
        </is>
      </c>
      <c r="W653" s="0" t="n">
        <v>63</v>
      </c>
      <c r="X653" s="0" t="n">
        <v>4</v>
      </c>
      <c r="Y653" s="0" t="n">
        <v>4</v>
      </c>
      <c r="Z653" s="0" t="inlineStr">
        <is>
          <t>https://new.land.naver.com/complexes/115122?tab=detail&amp;rf=Y</t>
        </is>
      </c>
      <c r="AA653" s="0" t="inlineStr">
        <is>
          <t>인천시 남동구 구월동 1117-6</t>
        </is>
      </c>
      <c r="AB653" s="0" t="inlineStr">
        <is>
          <t>인천시</t>
        </is>
      </c>
      <c r="AC653" s="0" t="inlineStr">
        <is>
          <t>남동구</t>
        </is>
      </c>
      <c r="AD653" s="0" t="inlineStr">
        <is>
          <t>구월동</t>
        </is>
      </c>
      <c r="AG653" s="0" t="inlineStr">
        <is>
          <t>인천시 남동구 문화서로65번길 9</t>
        </is>
      </c>
      <c r="AH653" s="0" t="n">
        <v>0</v>
      </c>
      <c r="AI653" s="0" t="n">
        <v>479</v>
      </c>
      <c r="AJ653" s="0" t="n">
        <v>50</v>
      </c>
      <c r="AK653" s="0" t="n">
        <v>6</v>
      </c>
      <c r="AL653" s="0" t="n">
        <v>1</v>
      </c>
    </row>
    <row r="654">
      <c r="A654" s="0" t="inlineStr">
        <is>
          <t>[구월동]</t>
        </is>
      </c>
      <c r="B654" s="0" t="n">
        <v>112164</v>
      </c>
      <c r="C654" s="0" t="n">
        <v>1</v>
      </c>
      <c r="D654" s="0" t="inlineStr">
        <is>
          <t>캐슬베리</t>
        </is>
      </c>
      <c r="E654" s="0" t="inlineStr">
        <is>
          <t>2015.07.</t>
        </is>
      </c>
      <c r="F654" s="0" t="n">
        <v>30</v>
      </c>
      <c r="G654" s="0" t="n">
        <v>14.14</v>
      </c>
      <c r="H654" s="0" t="n">
        <v>46.77</v>
      </c>
      <c r="I654" s="0" t="n">
        <v>11.62</v>
      </c>
      <c r="J654" s="0" t="n">
        <v>38.43</v>
      </c>
      <c r="K654" s="0" t="n">
        <v>2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46</v>
      </c>
      <c r="X654" s="0" t="n">
        <v>8</v>
      </c>
      <c r="Y654" s="0" t="n">
        <v>8</v>
      </c>
      <c r="Z654" s="0" t="inlineStr">
        <is>
          <t>https://new.land.naver.com/complexes/112164?tab=detail&amp;rf=Y</t>
        </is>
      </c>
      <c r="AA654" s="0" t="inlineStr">
        <is>
          <t>인천시 남동구 구월동 1125-5</t>
        </is>
      </c>
      <c r="AB654" s="0" t="inlineStr">
        <is>
          <t>인천시</t>
        </is>
      </c>
      <c r="AC654" s="0" t="inlineStr">
        <is>
          <t>남동구</t>
        </is>
      </c>
      <c r="AD654" s="0" t="inlineStr">
        <is>
          <t>구월동</t>
        </is>
      </c>
      <c r="AG654" s="0" t="inlineStr">
        <is>
          <t>인천시 남동구 예술로172번길 39</t>
        </is>
      </c>
      <c r="AH654" s="0" t="n">
        <v>0</v>
      </c>
      <c r="AI654" s="0" t="n">
        <v>477</v>
      </c>
      <c r="AJ654" s="0" t="n">
        <v>71</v>
      </c>
      <c r="AK654" s="0" t="n">
        <v>21</v>
      </c>
      <c r="AL654" s="0" t="n">
        <v>0.7</v>
      </c>
    </row>
    <row r="655">
      <c r="A655" s="0" t="inlineStr">
        <is>
          <t>[구월동]</t>
        </is>
      </c>
      <c r="B655" s="0" t="n">
        <v>112164</v>
      </c>
      <c r="C655" s="0" t="n">
        <v>2</v>
      </c>
      <c r="D655" s="0" t="inlineStr">
        <is>
          <t>캐슬베리</t>
        </is>
      </c>
      <c r="E655" s="0" t="inlineStr">
        <is>
          <t>2015.07.</t>
        </is>
      </c>
      <c r="F655" s="0" t="n">
        <v>30</v>
      </c>
      <c r="G655" s="0" t="n">
        <v>14.76</v>
      </c>
      <c r="H655" s="0" t="n">
        <v>48.8</v>
      </c>
      <c r="I655" s="0" t="n">
        <v>12.13</v>
      </c>
      <c r="J655" s="0" t="n">
        <v>40.1</v>
      </c>
      <c r="K655" s="0" t="n">
        <v>1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48</v>
      </c>
      <c r="X655" s="0" t="n">
        <v>8</v>
      </c>
      <c r="Y655" s="0" t="n">
        <v>8</v>
      </c>
      <c r="Z655" s="0" t="inlineStr">
        <is>
          <t>https://new.land.naver.com/complexes/112164?tab=detail&amp;rf=Y</t>
        </is>
      </c>
      <c r="AA655" s="0" t="inlineStr">
        <is>
          <t>인천시 남동구 구월동 1125-5</t>
        </is>
      </c>
      <c r="AB655" s="0" t="inlineStr">
        <is>
          <t>인천시</t>
        </is>
      </c>
      <c r="AC655" s="0" t="inlineStr">
        <is>
          <t>남동구</t>
        </is>
      </c>
      <c r="AD655" s="0" t="inlineStr">
        <is>
          <t>구월동</t>
        </is>
      </c>
      <c r="AG655" s="0" t="inlineStr">
        <is>
          <t>인천시 남동구 예술로172번길 39</t>
        </is>
      </c>
      <c r="AH655" s="0" t="n">
        <v>0</v>
      </c>
      <c r="AI655" s="0" t="n">
        <v>477</v>
      </c>
      <c r="AJ655" s="0" t="n">
        <v>71</v>
      </c>
      <c r="AK655" s="0" t="n">
        <v>21</v>
      </c>
      <c r="AL655" s="0" t="n">
        <v>0.7</v>
      </c>
    </row>
    <row r="656">
      <c r="A656" s="0" t="inlineStr">
        <is>
          <t>[구월동]</t>
        </is>
      </c>
      <c r="B656" s="0" t="n">
        <v>112164</v>
      </c>
      <c r="C656" s="0" t="n">
        <v>3</v>
      </c>
      <c r="D656" s="0" t="inlineStr">
        <is>
          <t>캐슬베리</t>
        </is>
      </c>
      <c r="E656" s="0" t="inlineStr">
        <is>
          <t>2015.07.</t>
        </is>
      </c>
      <c r="F656" s="0" t="n">
        <v>30</v>
      </c>
      <c r="G656" s="0" t="n">
        <v>16.63</v>
      </c>
      <c r="H656" s="0" t="n">
        <v>54.99</v>
      </c>
      <c r="I656" s="0" t="n">
        <v>13.65</v>
      </c>
      <c r="J656" s="0" t="n">
        <v>45.15</v>
      </c>
      <c r="K656" s="0" t="n">
        <v>1</v>
      </c>
      <c r="T656" s="0" t="n">
        <v>2</v>
      </c>
      <c r="U656" s="0" t="n">
        <v>1</v>
      </c>
      <c r="V656" s="0" t="inlineStr">
        <is>
          <t>계단식</t>
        </is>
      </c>
      <c r="W656" s="0" t="inlineStr">
        <is>
          <t>54A</t>
        </is>
      </c>
      <c r="X656" s="0" t="n">
        <v>8</v>
      </c>
      <c r="Y656" s="0" t="n">
        <v>8</v>
      </c>
      <c r="Z656" s="0" t="inlineStr">
        <is>
          <t>https://new.land.naver.com/complexes/112164?tab=detail&amp;rf=Y</t>
        </is>
      </c>
      <c r="AA656" s="0" t="inlineStr">
        <is>
          <t>인천시 남동구 구월동 1125-5</t>
        </is>
      </c>
      <c r="AB656" s="0" t="inlineStr">
        <is>
          <t>인천시</t>
        </is>
      </c>
      <c r="AC656" s="0" t="inlineStr">
        <is>
          <t>남동구</t>
        </is>
      </c>
      <c r="AD656" s="0" t="inlineStr">
        <is>
          <t>구월동</t>
        </is>
      </c>
      <c r="AG656" s="0" t="inlineStr">
        <is>
          <t>인천시 남동구 예술로172번길 39</t>
        </is>
      </c>
      <c r="AH656" s="0" t="n">
        <v>0</v>
      </c>
      <c r="AI656" s="0" t="n">
        <v>477</v>
      </c>
      <c r="AJ656" s="0" t="n">
        <v>71</v>
      </c>
      <c r="AK656" s="0" t="n">
        <v>21</v>
      </c>
      <c r="AL656" s="0" t="n">
        <v>0.7</v>
      </c>
    </row>
    <row r="657">
      <c r="A657" s="0" t="inlineStr">
        <is>
          <t>[구월동]</t>
        </is>
      </c>
      <c r="B657" s="0" t="n">
        <v>112164</v>
      </c>
      <c r="C657" s="0" t="n">
        <v>4</v>
      </c>
      <c r="D657" s="0" t="inlineStr">
        <is>
          <t>캐슬베리</t>
        </is>
      </c>
      <c r="E657" s="0" t="inlineStr">
        <is>
          <t>2015.07.</t>
        </is>
      </c>
      <c r="F657" s="0" t="n">
        <v>30</v>
      </c>
      <c r="G657" s="0" t="n">
        <v>16.67</v>
      </c>
      <c r="H657" s="0" t="n">
        <v>55.12</v>
      </c>
      <c r="I657" s="0" t="n">
        <v>13.88</v>
      </c>
      <c r="J657" s="0" t="n">
        <v>45.91</v>
      </c>
      <c r="K657" s="0" t="n">
        <v>8</v>
      </c>
      <c r="T657" s="0" t="n">
        <v>2</v>
      </c>
      <c r="U657" s="0" t="n">
        <v>1</v>
      </c>
      <c r="V657" s="0" t="inlineStr">
        <is>
          <t>계단식</t>
        </is>
      </c>
      <c r="W657" s="0" t="inlineStr">
        <is>
          <t>55B</t>
        </is>
      </c>
      <c r="X657" s="0" t="n">
        <v>8</v>
      </c>
      <c r="Y657" s="0" t="n">
        <v>8</v>
      </c>
      <c r="Z657" s="0" t="inlineStr">
        <is>
          <t>https://new.land.naver.com/complexes/112164?tab=detail&amp;rf=Y</t>
        </is>
      </c>
      <c r="AA657" s="0" t="inlineStr">
        <is>
          <t>인천시 남동구 구월동 1125-5</t>
        </is>
      </c>
      <c r="AB657" s="0" t="inlineStr">
        <is>
          <t>인천시</t>
        </is>
      </c>
      <c r="AC657" s="0" t="inlineStr">
        <is>
          <t>남동구</t>
        </is>
      </c>
      <c r="AD657" s="0" t="inlineStr">
        <is>
          <t>구월동</t>
        </is>
      </c>
      <c r="AG657" s="0" t="inlineStr">
        <is>
          <t>인천시 남동구 예술로172번길 39</t>
        </is>
      </c>
      <c r="AH657" s="0" t="n">
        <v>0</v>
      </c>
      <c r="AI657" s="0" t="n">
        <v>477</v>
      </c>
      <c r="AJ657" s="0" t="n">
        <v>71</v>
      </c>
      <c r="AK657" s="0" t="n">
        <v>21</v>
      </c>
      <c r="AL657" s="0" t="n">
        <v>0.7</v>
      </c>
    </row>
    <row r="658">
      <c r="A658" s="0" t="inlineStr">
        <is>
          <t>[구월동]</t>
        </is>
      </c>
      <c r="B658" s="0" t="n">
        <v>112164</v>
      </c>
      <c r="C658" s="0" t="n">
        <v>5</v>
      </c>
      <c r="D658" s="0" t="inlineStr">
        <is>
          <t>캐슬베리</t>
        </is>
      </c>
      <c r="E658" s="0" t="inlineStr">
        <is>
          <t>2015.07.</t>
        </is>
      </c>
      <c r="F658" s="0" t="n">
        <v>30</v>
      </c>
      <c r="G658" s="0" t="n">
        <v>16.71</v>
      </c>
      <c r="H658" s="0" t="n">
        <v>55.24</v>
      </c>
      <c r="I658" s="0" t="n">
        <v>13.91</v>
      </c>
      <c r="J658" s="0" t="n">
        <v>46.01</v>
      </c>
      <c r="K658" s="0" t="n">
        <v>4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55C</t>
        </is>
      </c>
      <c r="X658" s="0" t="n">
        <v>8</v>
      </c>
      <c r="Y658" s="0" t="n">
        <v>8</v>
      </c>
      <c r="Z658" s="0" t="inlineStr">
        <is>
          <t>https://new.land.naver.com/complexes/112164?tab=detail&amp;rf=Y</t>
        </is>
      </c>
      <c r="AA658" s="0" t="inlineStr">
        <is>
          <t>인천시 남동구 구월동 1125-5</t>
        </is>
      </c>
      <c r="AB658" s="0" t="inlineStr">
        <is>
          <t>인천시</t>
        </is>
      </c>
      <c r="AC658" s="0" t="inlineStr">
        <is>
          <t>남동구</t>
        </is>
      </c>
      <c r="AD658" s="0" t="inlineStr">
        <is>
          <t>구월동</t>
        </is>
      </c>
      <c r="AG658" s="0" t="inlineStr">
        <is>
          <t>인천시 남동구 예술로172번길 39</t>
        </is>
      </c>
      <c r="AH658" s="0" t="n">
        <v>0</v>
      </c>
      <c r="AI658" s="0" t="n">
        <v>477</v>
      </c>
      <c r="AJ658" s="0" t="n">
        <v>71</v>
      </c>
      <c r="AK658" s="0" t="n">
        <v>21</v>
      </c>
      <c r="AL658" s="0" t="n">
        <v>0.7</v>
      </c>
    </row>
    <row r="659">
      <c r="A659" s="0" t="inlineStr">
        <is>
          <t>[구월동]</t>
        </is>
      </c>
      <c r="B659" s="0" t="n">
        <v>112164</v>
      </c>
      <c r="C659" s="0" t="n">
        <v>6</v>
      </c>
      <c r="D659" s="0" t="inlineStr">
        <is>
          <t>캐슬베리</t>
        </is>
      </c>
      <c r="E659" s="0" t="inlineStr">
        <is>
          <t>2015.07.</t>
        </is>
      </c>
      <c r="F659" s="0" t="n">
        <v>30</v>
      </c>
      <c r="G659" s="0" t="n">
        <v>21.15</v>
      </c>
      <c r="H659" s="0" t="n">
        <v>69.92</v>
      </c>
      <c r="I659" s="0" t="n">
        <v>17.37</v>
      </c>
      <c r="J659" s="0" t="n">
        <v>57.44</v>
      </c>
      <c r="K659" s="0" t="n">
        <v>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69A</t>
        </is>
      </c>
      <c r="X659" s="0" t="n">
        <v>8</v>
      </c>
      <c r="Y659" s="0" t="n">
        <v>8</v>
      </c>
      <c r="Z659" s="0" t="inlineStr">
        <is>
          <t>https://new.land.naver.com/complexes/112164?tab=detail&amp;rf=Y</t>
        </is>
      </c>
      <c r="AA659" s="0" t="inlineStr">
        <is>
          <t>인천시 남동구 구월동 1125-5</t>
        </is>
      </c>
      <c r="AB659" s="0" t="inlineStr">
        <is>
          <t>인천시</t>
        </is>
      </c>
      <c r="AC659" s="0" t="inlineStr">
        <is>
          <t>남동구</t>
        </is>
      </c>
      <c r="AD659" s="0" t="inlineStr">
        <is>
          <t>구월동</t>
        </is>
      </c>
      <c r="AG659" s="0" t="inlineStr">
        <is>
          <t>인천시 남동구 예술로172번길 39</t>
        </is>
      </c>
      <c r="AH659" s="0" t="n">
        <v>0</v>
      </c>
      <c r="AI659" s="0" t="n">
        <v>477</v>
      </c>
      <c r="AJ659" s="0" t="n">
        <v>71</v>
      </c>
      <c r="AK659" s="0" t="n">
        <v>21</v>
      </c>
      <c r="AL659" s="0" t="n">
        <v>0.7</v>
      </c>
    </row>
    <row r="660">
      <c r="A660" s="0" t="inlineStr">
        <is>
          <t>[구월동]</t>
        </is>
      </c>
      <c r="B660" s="0" t="n">
        <v>112164</v>
      </c>
      <c r="C660" s="0" t="n">
        <v>7</v>
      </c>
      <c r="D660" s="0" t="inlineStr">
        <is>
          <t>캐슬베리</t>
        </is>
      </c>
      <c r="E660" s="0" t="inlineStr">
        <is>
          <t>2015.07.</t>
        </is>
      </c>
      <c r="F660" s="0" t="n">
        <v>30</v>
      </c>
      <c r="G660" s="0" t="n">
        <v>21.21</v>
      </c>
      <c r="H660" s="0" t="n">
        <v>70.14</v>
      </c>
      <c r="I660" s="0" t="n">
        <v>17.66</v>
      </c>
      <c r="J660" s="0" t="n">
        <v>58.4</v>
      </c>
      <c r="K660" s="0" t="n">
        <v>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70B</t>
        </is>
      </c>
      <c r="X660" s="0" t="n">
        <v>8</v>
      </c>
      <c r="Y660" s="0" t="n">
        <v>8</v>
      </c>
      <c r="Z660" s="0" t="inlineStr">
        <is>
          <t>https://new.land.naver.com/complexes/112164?tab=detail&amp;rf=Y</t>
        </is>
      </c>
      <c r="AA660" s="0" t="inlineStr">
        <is>
          <t>인천시 남동구 구월동 1125-5</t>
        </is>
      </c>
      <c r="AB660" s="0" t="inlineStr">
        <is>
          <t>인천시</t>
        </is>
      </c>
      <c r="AC660" s="0" t="inlineStr">
        <is>
          <t>남동구</t>
        </is>
      </c>
      <c r="AD660" s="0" t="inlineStr">
        <is>
          <t>구월동</t>
        </is>
      </c>
      <c r="AG660" s="0" t="inlineStr">
        <is>
          <t>인천시 남동구 예술로172번길 39</t>
        </is>
      </c>
      <c r="AH660" s="0" t="n">
        <v>0</v>
      </c>
      <c r="AI660" s="0" t="n">
        <v>477</v>
      </c>
      <c r="AJ660" s="0" t="n">
        <v>71</v>
      </c>
      <c r="AK660" s="0" t="n">
        <v>21</v>
      </c>
      <c r="AL660" s="0" t="n">
        <v>0.7</v>
      </c>
    </row>
    <row r="661">
      <c r="A661" s="0" t="inlineStr">
        <is>
          <t>[구월동]</t>
        </is>
      </c>
      <c r="B661" s="0" t="n">
        <v>112164</v>
      </c>
      <c r="C661" s="0" t="n">
        <v>8</v>
      </c>
      <c r="D661" s="0" t="inlineStr">
        <is>
          <t>캐슬베리</t>
        </is>
      </c>
      <c r="E661" s="0" t="inlineStr">
        <is>
          <t>2015.07.</t>
        </is>
      </c>
      <c r="F661" s="0" t="n">
        <v>30</v>
      </c>
      <c r="G661" s="0" t="n">
        <v>21.62</v>
      </c>
      <c r="H661" s="0" t="n">
        <v>71.5</v>
      </c>
      <c r="I661" s="0" t="n">
        <v>18.01</v>
      </c>
      <c r="J661" s="0" t="n">
        <v>59.57</v>
      </c>
      <c r="K661" s="0" t="n">
        <v>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71B</t>
        </is>
      </c>
      <c r="X661" s="0" t="n">
        <v>8</v>
      </c>
      <c r="Y661" s="0" t="n">
        <v>8</v>
      </c>
      <c r="Z661" s="0" t="inlineStr">
        <is>
          <t>https://new.land.naver.com/complexes/112164?tab=detail&amp;rf=Y</t>
        </is>
      </c>
      <c r="AA661" s="0" t="inlineStr">
        <is>
          <t>인천시 남동구 구월동 1125-5</t>
        </is>
      </c>
      <c r="AB661" s="0" t="inlineStr">
        <is>
          <t>인천시</t>
        </is>
      </c>
      <c r="AC661" s="0" t="inlineStr">
        <is>
          <t>남동구</t>
        </is>
      </c>
      <c r="AD661" s="0" t="inlineStr">
        <is>
          <t>구월동</t>
        </is>
      </c>
      <c r="AG661" s="0" t="inlineStr">
        <is>
          <t>인천시 남동구 예술로172번길 39</t>
        </is>
      </c>
      <c r="AH661" s="0" t="n">
        <v>0</v>
      </c>
      <c r="AI661" s="0" t="n">
        <v>477</v>
      </c>
      <c r="AJ661" s="0" t="n">
        <v>71</v>
      </c>
      <c r="AK661" s="0" t="n">
        <v>21</v>
      </c>
      <c r="AL661" s="0" t="n">
        <v>0.7</v>
      </c>
    </row>
    <row r="662">
      <c r="A662" s="0" t="inlineStr">
        <is>
          <t>[구월동]</t>
        </is>
      </c>
      <c r="B662" s="0" t="n">
        <v>112164</v>
      </c>
      <c r="C662" s="0" t="n">
        <v>9</v>
      </c>
      <c r="D662" s="0" t="inlineStr">
        <is>
          <t>캐슬베리</t>
        </is>
      </c>
      <c r="E662" s="0" t="inlineStr">
        <is>
          <t>2015.07.</t>
        </is>
      </c>
      <c r="F662" s="0" t="n">
        <v>30</v>
      </c>
      <c r="G662" s="0" t="n">
        <v>21.65</v>
      </c>
      <c r="H662" s="0" t="n">
        <v>71.58</v>
      </c>
      <c r="I662" s="0" t="n">
        <v>18.04</v>
      </c>
      <c r="J662" s="0" t="n">
        <v>59.64</v>
      </c>
      <c r="K662" s="0" t="n">
        <v>4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71C</t>
        </is>
      </c>
      <c r="X662" s="0" t="n">
        <v>8</v>
      </c>
      <c r="Y662" s="0" t="n">
        <v>8</v>
      </c>
      <c r="Z662" s="0" t="inlineStr">
        <is>
          <t>https://new.land.naver.com/complexes/112164?tab=detail&amp;rf=Y</t>
        </is>
      </c>
      <c r="AA662" s="0" t="inlineStr">
        <is>
          <t>인천시 남동구 구월동 1125-5</t>
        </is>
      </c>
      <c r="AB662" s="0" t="inlineStr">
        <is>
          <t>인천시</t>
        </is>
      </c>
      <c r="AC662" s="0" t="inlineStr">
        <is>
          <t>남동구</t>
        </is>
      </c>
      <c r="AD662" s="0" t="inlineStr">
        <is>
          <t>구월동</t>
        </is>
      </c>
      <c r="AG662" s="0" t="inlineStr">
        <is>
          <t>인천시 남동구 예술로172번길 39</t>
        </is>
      </c>
      <c r="AH662" s="0" t="n">
        <v>0</v>
      </c>
      <c r="AI662" s="0" t="n">
        <v>477</v>
      </c>
      <c r="AJ662" s="0" t="n">
        <v>71</v>
      </c>
      <c r="AK662" s="0" t="n">
        <v>21</v>
      </c>
      <c r="AL662" s="0" t="n">
        <v>0.7</v>
      </c>
    </row>
    <row r="663">
      <c r="A663" s="0" t="inlineStr">
        <is>
          <t>[구월동]</t>
        </is>
      </c>
      <c r="B663" s="0" t="n">
        <v>112164</v>
      </c>
      <c r="C663" s="0" t="n">
        <v>10</v>
      </c>
      <c r="D663" s="0" t="inlineStr">
        <is>
          <t>캐슬베리</t>
        </is>
      </c>
      <c r="E663" s="0" t="inlineStr">
        <is>
          <t>2015.07.</t>
        </is>
      </c>
      <c r="F663" s="0" t="n">
        <v>30</v>
      </c>
      <c r="G663" s="0" t="n">
        <v>21.8</v>
      </c>
      <c r="H663" s="0" t="n">
        <v>72.06999999999999</v>
      </c>
      <c r="I663" s="0" t="n">
        <v>17.91</v>
      </c>
      <c r="J663" s="0" t="n">
        <v>59.21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72A</t>
        </is>
      </c>
      <c r="X663" s="0" t="n">
        <v>8</v>
      </c>
      <c r="Y663" s="0" t="n">
        <v>8</v>
      </c>
      <c r="Z663" s="0" t="inlineStr">
        <is>
          <t>https://new.land.naver.com/complexes/112164?tab=detail&amp;rf=Y</t>
        </is>
      </c>
      <c r="AA663" s="0" t="inlineStr">
        <is>
          <t>인천시 남동구 구월동 1125-5</t>
        </is>
      </c>
      <c r="AB663" s="0" t="inlineStr">
        <is>
          <t>인천시</t>
        </is>
      </c>
      <c r="AC663" s="0" t="inlineStr">
        <is>
          <t>남동구</t>
        </is>
      </c>
      <c r="AD663" s="0" t="inlineStr">
        <is>
          <t>구월동</t>
        </is>
      </c>
      <c r="AG663" s="0" t="inlineStr">
        <is>
          <t>인천시 남동구 예술로172번길 39</t>
        </is>
      </c>
      <c r="AH663" s="0" t="n">
        <v>0</v>
      </c>
      <c r="AI663" s="0" t="n">
        <v>477</v>
      </c>
      <c r="AJ663" s="0" t="n">
        <v>71</v>
      </c>
      <c r="AK663" s="0" t="n">
        <v>21</v>
      </c>
      <c r="AL663" s="0" t="n">
        <v>0.7</v>
      </c>
    </row>
    <row r="664">
      <c r="A664" s="0" t="inlineStr">
        <is>
          <t>[구월동]</t>
        </is>
      </c>
      <c r="B664" s="0" t="n">
        <v>117697</v>
      </c>
      <c r="C664" s="0" t="n">
        <v>1</v>
      </c>
      <c r="D664" s="0" t="inlineStr">
        <is>
          <t>메종야베스</t>
        </is>
      </c>
      <c r="E664" s="0" t="inlineStr">
        <is>
          <t>2017.07.</t>
        </is>
      </c>
      <c r="F664" s="0" t="n">
        <v>26</v>
      </c>
      <c r="G664" s="0" t="n">
        <v>18.91</v>
      </c>
      <c r="H664" s="0" t="n">
        <v>62.54</v>
      </c>
      <c r="I664" s="0" t="n">
        <v>15.03</v>
      </c>
      <c r="J664" s="0" t="n">
        <v>49.7</v>
      </c>
      <c r="K664" s="0" t="n">
        <v>13</v>
      </c>
      <c r="T664" s="0" t="n">
        <v>2</v>
      </c>
      <c r="U664" s="0" t="n">
        <v>1</v>
      </c>
      <c r="V664" s="0" t="inlineStr">
        <is>
          <t>복도식</t>
        </is>
      </c>
      <c r="W664" s="0" t="n">
        <v>62</v>
      </c>
      <c r="X664" s="0" t="n">
        <v>14</v>
      </c>
      <c r="Y664" s="0" t="n">
        <v>14</v>
      </c>
      <c r="Z664" s="0" t="inlineStr">
        <is>
          <t>https://new.land.naver.com/complexes/117697?tab=detail&amp;rf=Y</t>
        </is>
      </c>
      <c r="AA664" s="0" t="inlineStr">
        <is>
          <t>인천시 남동구 구월동 1133-3</t>
        </is>
      </c>
      <c r="AB664" s="0" t="inlineStr">
        <is>
          <t>인천시</t>
        </is>
      </c>
      <c r="AC664" s="0" t="inlineStr">
        <is>
          <t>남동구</t>
        </is>
      </c>
      <c r="AD664" s="0" t="inlineStr">
        <is>
          <t>구월동</t>
        </is>
      </c>
      <c r="AG664" s="0" t="inlineStr">
        <is>
          <t>인천시 남동구 인주대로591번길 74</t>
        </is>
      </c>
      <c r="AH664" s="0" t="n">
        <v>0</v>
      </c>
      <c r="AI664" s="0" t="n">
        <v>794</v>
      </c>
      <c r="AJ664" s="0" t="n">
        <v>65</v>
      </c>
      <c r="AK664" s="0" t="n">
        <v>19</v>
      </c>
      <c r="AL664" s="0" t="n">
        <v>0.73</v>
      </c>
    </row>
    <row r="665">
      <c r="A665" s="0" t="inlineStr">
        <is>
          <t>[구월동]</t>
        </is>
      </c>
      <c r="B665" s="0" t="n">
        <v>117697</v>
      </c>
      <c r="C665" s="0" t="n">
        <v>2</v>
      </c>
      <c r="D665" s="0" t="inlineStr">
        <is>
          <t>메종야베스</t>
        </is>
      </c>
      <c r="E665" s="0" t="inlineStr">
        <is>
          <t>2017.07.</t>
        </is>
      </c>
      <c r="F665" s="0" t="n">
        <v>26</v>
      </c>
      <c r="G665" s="0" t="n">
        <v>19.57</v>
      </c>
      <c r="H665" s="0" t="n">
        <v>64.72</v>
      </c>
      <c r="I665" s="0" t="n">
        <v>15.08</v>
      </c>
      <c r="J665" s="0" t="n">
        <v>49.86</v>
      </c>
      <c r="K665" s="0" t="n">
        <v>13</v>
      </c>
      <c r="T665" s="0" t="n">
        <v>3</v>
      </c>
      <c r="U665" s="0" t="n">
        <v>1</v>
      </c>
      <c r="V665" s="0" t="inlineStr">
        <is>
          <t>복도식</t>
        </is>
      </c>
      <c r="W665" s="0" t="n">
        <v>64</v>
      </c>
      <c r="X665" s="0" t="n">
        <v>14</v>
      </c>
      <c r="Y665" s="0" t="n">
        <v>14</v>
      </c>
      <c r="Z665" s="0" t="inlineStr">
        <is>
          <t>https://new.land.naver.com/complexes/117697?tab=detail&amp;rf=Y</t>
        </is>
      </c>
      <c r="AA665" s="0" t="inlineStr">
        <is>
          <t>인천시 남동구 구월동 1133-3</t>
        </is>
      </c>
      <c r="AB665" s="0" t="inlineStr">
        <is>
          <t>인천시</t>
        </is>
      </c>
      <c r="AC665" s="0" t="inlineStr">
        <is>
          <t>남동구</t>
        </is>
      </c>
      <c r="AD665" s="0" t="inlineStr">
        <is>
          <t>구월동</t>
        </is>
      </c>
      <c r="AG665" s="0" t="inlineStr">
        <is>
          <t>인천시 남동구 인주대로591번길 74</t>
        </is>
      </c>
      <c r="AH665" s="0" t="n">
        <v>0</v>
      </c>
      <c r="AI665" s="0" t="n">
        <v>794</v>
      </c>
      <c r="AJ665" s="0" t="n">
        <v>65</v>
      </c>
      <c r="AK665" s="0" t="n">
        <v>19</v>
      </c>
      <c r="AL665" s="0" t="n">
        <v>0.73</v>
      </c>
    </row>
    <row r="666">
      <c r="A666" s="0" t="inlineStr">
        <is>
          <t>[구월동]</t>
        </is>
      </c>
      <c r="B666" s="0" t="n">
        <v>138263</v>
      </c>
      <c r="C666" s="0" t="n">
        <v>1</v>
      </c>
      <c r="D666" s="0" t="inlineStr">
        <is>
          <t>구월아시아드선수촌1단지</t>
        </is>
      </c>
      <c r="E666" s="0" t="inlineStr">
        <is>
          <t>2015.06.</t>
        </is>
      </c>
      <c r="F666" s="0" t="n">
        <v>511</v>
      </c>
      <c r="G666" s="0" t="n">
        <v>22.31</v>
      </c>
      <c r="H666" s="0" t="n">
        <v>73.77</v>
      </c>
      <c r="I666" s="0" t="n">
        <v>15.71</v>
      </c>
      <c r="J666" s="0" t="n">
        <v>51.95</v>
      </c>
      <c r="K666" s="0" t="n">
        <v>121</v>
      </c>
      <c r="T666" s="0" t="n">
        <v>2</v>
      </c>
      <c r="U666" s="0" t="n">
        <v>1</v>
      </c>
      <c r="V666" s="0" t="inlineStr">
        <is>
          <t>계단식</t>
        </is>
      </c>
      <c r="W666" s="0" t="inlineStr">
        <is>
          <t>73A</t>
        </is>
      </c>
      <c r="X666" s="0" t="n">
        <v>29</v>
      </c>
      <c r="Y666" s="0" t="n">
        <v>10</v>
      </c>
      <c r="Z666" s="0" t="inlineStr">
        <is>
          <t>https://new.land.naver.com/complexes/138263?tab=detail&amp;rf=Y</t>
        </is>
      </c>
      <c r="AA666" s="0" t="inlineStr">
        <is>
          <t>인천시 남동구 구월동 1486</t>
        </is>
      </c>
      <c r="AB666" s="0" t="inlineStr">
        <is>
          <t>인천시</t>
        </is>
      </c>
      <c r="AC666" s="0" t="inlineStr">
        <is>
          <t>남동구</t>
        </is>
      </c>
      <c r="AD666" s="0" t="inlineStr">
        <is>
          <t>구월동</t>
        </is>
      </c>
      <c r="AG666" s="0" t="inlineStr">
        <is>
          <t>인천시 남동구 선수촌공원로 85</t>
        </is>
      </c>
      <c r="AH666" s="0" t="n">
        <v>95</v>
      </c>
      <c r="AI666" s="0" t="n">
        <v>158</v>
      </c>
      <c r="AJ666" s="0" t="n">
        <v>20</v>
      </c>
      <c r="AK666" s="0" t="n">
        <v>520</v>
      </c>
      <c r="AL666" s="0" t="n">
        <v>1.02</v>
      </c>
    </row>
    <row r="667">
      <c r="A667" s="0" t="inlineStr">
        <is>
          <t>[구월동]</t>
        </is>
      </c>
      <c r="B667" s="0" t="n">
        <v>138263</v>
      </c>
      <c r="C667" s="0" t="n">
        <v>2</v>
      </c>
      <c r="D667" s="0" t="inlineStr">
        <is>
          <t>구월아시아드선수촌1단지</t>
        </is>
      </c>
      <c r="E667" s="0" t="inlineStr">
        <is>
          <t>2015.06.</t>
        </is>
      </c>
      <c r="F667" s="0" t="n">
        <v>511</v>
      </c>
      <c r="G667" s="0" t="n">
        <v>22.21</v>
      </c>
      <c r="H667" s="0" t="n">
        <v>73.44</v>
      </c>
      <c r="I667" s="0" t="n">
        <v>15.59</v>
      </c>
      <c r="J667" s="0" t="n">
        <v>51.56</v>
      </c>
      <c r="K667" s="0" t="n">
        <v>50</v>
      </c>
      <c r="T667" s="0" t="n">
        <v>2</v>
      </c>
      <c r="U667" s="0" t="n">
        <v>1</v>
      </c>
      <c r="V667" s="0" t="inlineStr">
        <is>
          <t>계단식</t>
        </is>
      </c>
      <c r="W667" s="0" t="inlineStr">
        <is>
          <t>73B</t>
        </is>
      </c>
      <c r="X667" s="0" t="n">
        <v>29</v>
      </c>
      <c r="Y667" s="0" t="n">
        <v>10</v>
      </c>
      <c r="Z667" s="0" t="inlineStr">
        <is>
          <t>https://new.land.naver.com/complexes/138263?tab=detail&amp;rf=Y</t>
        </is>
      </c>
      <c r="AA667" s="0" t="inlineStr">
        <is>
          <t>인천시 남동구 구월동 1486</t>
        </is>
      </c>
      <c r="AB667" s="0" t="inlineStr">
        <is>
          <t>인천시</t>
        </is>
      </c>
      <c r="AC667" s="0" t="inlineStr">
        <is>
          <t>남동구</t>
        </is>
      </c>
      <c r="AD667" s="0" t="inlineStr">
        <is>
          <t>구월동</t>
        </is>
      </c>
      <c r="AG667" s="0" t="inlineStr">
        <is>
          <t>인천시 남동구 선수촌공원로 85</t>
        </is>
      </c>
      <c r="AH667" s="0" t="n">
        <v>95</v>
      </c>
      <c r="AI667" s="0" t="n">
        <v>158</v>
      </c>
      <c r="AJ667" s="0" t="n">
        <v>20</v>
      </c>
      <c r="AK667" s="0" t="n">
        <v>520</v>
      </c>
      <c r="AL667" s="0" t="n">
        <v>1.02</v>
      </c>
    </row>
    <row r="668">
      <c r="A668" s="0" t="inlineStr">
        <is>
          <t>[구월동]</t>
        </is>
      </c>
      <c r="B668" s="0" t="n">
        <v>138263</v>
      </c>
      <c r="C668" s="0" t="n">
        <v>3</v>
      </c>
      <c r="D668" s="0" t="inlineStr">
        <is>
          <t>구월아시아드선수촌1단지</t>
        </is>
      </c>
      <c r="E668" s="0" t="inlineStr">
        <is>
          <t>2015.06.</t>
        </is>
      </c>
      <c r="F668" s="0" t="n">
        <v>511</v>
      </c>
      <c r="G668" s="0" t="n">
        <v>25.84</v>
      </c>
      <c r="H668" s="0" t="n">
        <v>85.44</v>
      </c>
      <c r="I668" s="0" t="n">
        <v>18.01</v>
      </c>
      <c r="J668" s="0" t="n">
        <v>59.57</v>
      </c>
      <c r="K668" s="0" t="n">
        <v>142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85A</t>
        </is>
      </c>
      <c r="X668" s="0" t="n">
        <v>29</v>
      </c>
      <c r="Y668" s="0" t="n">
        <v>10</v>
      </c>
      <c r="Z668" s="0" t="inlineStr">
        <is>
          <t>https://new.land.naver.com/complexes/138263?tab=detail&amp;rf=Y</t>
        </is>
      </c>
      <c r="AA668" s="0" t="inlineStr">
        <is>
          <t>인천시 남동구 구월동 1486</t>
        </is>
      </c>
      <c r="AB668" s="0" t="inlineStr">
        <is>
          <t>인천시</t>
        </is>
      </c>
      <c r="AC668" s="0" t="inlineStr">
        <is>
          <t>남동구</t>
        </is>
      </c>
      <c r="AD668" s="0" t="inlineStr">
        <is>
          <t>구월동</t>
        </is>
      </c>
      <c r="AG668" s="0" t="inlineStr">
        <is>
          <t>인천시 남동구 선수촌공원로 85</t>
        </is>
      </c>
      <c r="AH668" s="0" t="n">
        <v>95</v>
      </c>
      <c r="AI668" s="0" t="n">
        <v>158</v>
      </c>
      <c r="AJ668" s="0" t="n">
        <v>20</v>
      </c>
      <c r="AK668" s="0" t="n">
        <v>520</v>
      </c>
      <c r="AL668" s="0" t="n">
        <v>1.02</v>
      </c>
    </row>
    <row r="669">
      <c r="A669" s="0" t="inlineStr">
        <is>
          <t>[구월동]</t>
        </is>
      </c>
      <c r="B669" s="0" t="n">
        <v>138263</v>
      </c>
      <c r="C669" s="0" t="n">
        <v>4</v>
      </c>
      <c r="D669" s="0" t="inlineStr">
        <is>
          <t>구월아시아드선수촌1단지</t>
        </is>
      </c>
      <c r="E669" s="0" t="inlineStr">
        <is>
          <t>2015.06.</t>
        </is>
      </c>
      <c r="F669" s="0" t="n">
        <v>511</v>
      </c>
      <c r="G669" s="0" t="n">
        <v>25.89</v>
      </c>
      <c r="H669" s="0" t="n">
        <v>85.59</v>
      </c>
      <c r="I669" s="0" t="n">
        <v>18.14</v>
      </c>
      <c r="J669" s="0" t="n">
        <v>59.99</v>
      </c>
      <c r="K669" s="0" t="n">
        <v>103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85B</t>
        </is>
      </c>
      <c r="X669" s="0" t="n">
        <v>29</v>
      </c>
      <c r="Y669" s="0" t="n">
        <v>10</v>
      </c>
      <c r="Z669" s="0" t="inlineStr">
        <is>
          <t>https://new.land.naver.com/complexes/138263?tab=detail&amp;rf=Y</t>
        </is>
      </c>
      <c r="AA669" s="0" t="inlineStr">
        <is>
          <t>인천시 남동구 구월동 1486</t>
        </is>
      </c>
      <c r="AB669" s="0" t="inlineStr">
        <is>
          <t>인천시</t>
        </is>
      </c>
      <c r="AC669" s="0" t="inlineStr">
        <is>
          <t>남동구</t>
        </is>
      </c>
      <c r="AD669" s="0" t="inlineStr">
        <is>
          <t>구월동</t>
        </is>
      </c>
      <c r="AG669" s="0" t="inlineStr">
        <is>
          <t>인천시 남동구 선수촌공원로 85</t>
        </is>
      </c>
      <c r="AH669" s="0" t="n">
        <v>95</v>
      </c>
      <c r="AI669" s="0" t="n">
        <v>158</v>
      </c>
      <c r="AJ669" s="0" t="n">
        <v>20</v>
      </c>
      <c r="AK669" s="0" t="n">
        <v>520</v>
      </c>
      <c r="AL669" s="0" t="n">
        <v>1.02</v>
      </c>
    </row>
    <row r="670">
      <c r="A670" s="0" t="inlineStr">
        <is>
          <t>[구월동]</t>
        </is>
      </c>
      <c r="B670" s="0" t="n">
        <v>127113</v>
      </c>
      <c r="C670" s="0" t="n">
        <v>1</v>
      </c>
      <c r="D670" s="0" t="inlineStr">
        <is>
          <t>센트럴시티그랑베르</t>
        </is>
      </c>
      <c r="E670" s="0" t="inlineStr">
        <is>
          <t>2021.02.</t>
        </is>
      </c>
      <c r="F670" s="0" t="n">
        <v>97</v>
      </c>
      <c r="G670" s="0" t="n">
        <v>25.06</v>
      </c>
      <c r="H670" s="0" t="n">
        <v>82.86</v>
      </c>
      <c r="I670" s="0" t="n">
        <v>18.11</v>
      </c>
      <c r="J670" s="0" t="n">
        <v>59.88</v>
      </c>
      <c r="K670" s="0" t="n">
        <v>78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82A</t>
        </is>
      </c>
      <c r="X670" s="0" t="n">
        <v>26</v>
      </c>
      <c r="Y670" s="0" t="n">
        <v>26</v>
      </c>
      <c r="Z670" s="0" t="inlineStr">
        <is>
          <t>https://new.land.naver.com/complexes/127113?tab=detail&amp;rf=Y</t>
        </is>
      </c>
      <c r="AA670" s="0" t="inlineStr">
        <is>
          <t>인천시 남동구 구월동 1609</t>
        </is>
      </c>
      <c r="AB670" s="0" t="inlineStr">
        <is>
          <t>인천시</t>
        </is>
      </c>
      <c r="AC670" s="0" t="inlineStr">
        <is>
          <t>남동구</t>
        </is>
      </c>
      <c r="AD670" s="0" t="inlineStr">
        <is>
          <t>구월동</t>
        </is>
      </c>
      <c r="AG670" s="0" t="inlineStr">
        <is>
          <t>인천시 남동구 구월로265번길 12-11</t>
        </is>
      </c>
      <c r="AH670" s="0" t="n">
        <v>0</v>
      </c>
      <c r="AI670" s="0" t="n">
        <v>0</v>
      </c>
      <c r="AJ670" s="0" t="n">
        <v>0</v>
      </c>
      <c r="AK670" s="0" t="n">
        <v>97</v>
      </c>
      <c r="AL670" s="0" t="n">
        <v>1</v>
      </c>
    </row>
    <row r="671">
      <c r="A671" s="0" t="inlineStr">
        <is>
          <t>[구월동]</t>
        </is>
      </c>
      <c r="B671" s="0" t="n">
        <v>127113</v>
      </c>
      <c r="C671" s="0" t="n">
        <v>2</v>
      </c>
      <c r="D671" s="0" t="inlineStr">
        <is>
          <t>센트럴시티그랑베르</t>
        </is>
      </c>
      <c r="E671" s="0" t="inlineStr">
        <is>
          <t>2021.02.</t>
        </is>
      </c>
      <c r="F671" s="0" t="n">
        <v>97</v>
      </c>
      <c r="G671" s="0" t="n">
        <v>25.33</v>
      </c>
      <c r="H671" s="0" t="n">
        <v>83.75</v>
      </c>
      <c r="I671" s="0" t="n">
        <v>18.14</v>
      </c>
      <c r="J671" s="0" t="n">
        <v>59.99</v>
      </c>
      <c r="K671" s="0" t="n">
        <v>19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83B</t>
        </is>
      </c>
      <c r="X671" s="0" t="n">
        <v>26</v>
      </c>
      <c r="Y671" s="0" t="n">
        <v>26</v>
      </c>
      <c r="Z671" s="0" t="inlineStr">
        <is>
          <t>https://new.land.naver.com/complexes/127113?tab=detail&amp;rf=Y</t>
        </is>
      </c>
      <c r="AA671" s="0" t="inlineStr">
        <is>
          <t>인천시 남동구 구월동 1609</t>
        </is>
      </c>
      <c r="AB671" s="0" t="inlineStr">
        <is>
          <t>인천시</t>
        </is>
      </c>
      <c r="AC671" s="0" t="inlineStr">
        <is>
          <t>남동구</t>
        </is>
      </c>
      <c r="AD671" s="0" t="inlineStr">
        <is>
          <t>구월동</t>
        </is>
      </c>
      <c r="AG671" s="0" t="inlineStr">
        <is>
          <t>인천시 남동구 구월로265번길 12-11</t>
        </is>
      </c>
      <c r="AH671" s="0" t="n">
        <v>0</v>
      </c>
      <c r="AI671" s="0" t="n">
        <v>0</v>
      </c>
      <c r="AJ671" s="0" t="n">
        <v>0</v>
      </c>
      <c r="AK671" s="0" t="n">
        <v>97</v>
      </c>
      <c r="AL671" s="0" t="n">
        <v>1</v>
      </c>
    </row>
    <row r="672">
      <c r="A672" s="0" t="inlineStr">
        <is>
          <t>[구월동]</t>
        </is>
      </c>
      <c r="B672" s="0" t="n">
        <v>125765</v>
      </c>
      <c r="C672" s="0" t="n">
        <v>1</v>
      </c>
      <c r="D672" s="0" t="inlineStr">
        <is>
          <t>하늘지움2차</t>
        </is>
      </c>
      <c r="E672" s="0" t="inlineStr">
        <is>
          <t>2019.01.</t>
        </is>
      </c>
      <c r="F672" s="0" t="n">
        <v>18</v>
      </c>
      <c r="G672" s="0" t="n">
        <v>25.18</v>
      </c>
      <c r="H672" s="0" t="n">
        <v>83.27</v>
      </c>
      <c r="I672" s="0" t="n">
        <v>20.1</v>
      </c>
      <c r="J672" s="0" t="n">
        <v>66.47</v>
      </c>
      <c r="K672" s="0" t="n">
        <v>18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83</v>
      </c>
      <c r="X672" s="0" t="n">
        <v>20</v>
      </c>
      <c r="Y672" s="0" t="n">
        <v>20</v>
      </c>
      <c r="Z672" s="0" t="inlineStr">
        <is>
          <t>https://new.land.naver.com/complexes/125765?tab=detail&amp;rf=Y</t>
        </is>
      </c>
      <c r="AA672" s="0" t="inlineStr">
        <is>
          <t>인천시 남동구 구월동 1131-10</t>
        </is>
      </c>
      <c r="AB672" s="0" t="inlineStr">
        <is>
          <t>인천시</t>
        </is>
      </c>
      <c r="AC672" s="0" t="inlineStr">
        <is>
          <t>남동구</t>
        </is>
      </c>
      <c r="AD672" s="0" t="inlineStr">
        <is>
          <t>구월동</t>
        </is>
      </c>
      <c r="AG672" s="0" t="inlineStr">
        <is>
          <t>인천시 남동구 구월남로 116</t>
        </is>
      </c>
      <c r="AH672" s="0" t="n">
        <v>0</v>
      </c>
      <c r="AI672" s="0" t="n">
        <v>999</v>
      </c>
      <c r="AJ672" s="0" t="n">
        <v>66</v>
      </c>
      <c r="AK672" s="0" t="n">
        <v>17</v>
      </c>
      <c r="AL672" s="0" t="n">
        <v>0.9399999999999999</v>
      </c>
    </row>
    <row r="673">
      <c r="A673" s="0" t="inlineStr">
        <is>
          <t>[구월동]</t>
        </is>
      </c>
      <c r="B673" s="0" t="n">
        <v>9133</v>
      </c>
      <c r="C673" s="0" t="n">
        <v>1</v>
      </c>
      <c r="D673" s="0" t="inlineStr">
        <is>
          <t>중앙(1244-10)</t>
        </is>
      </c>
      <c r="E673" s="0" t="inlineStr">
        <is>
          <t>1984.04.</t>
        </is>
      </c>
      <c r="F673" s="0" t="n">
        <v>35</v>
      </c>
      <c r="G673" s="0" t="n">
        <v>28.92</v>
      </c>
      <c r="H673" s="0" t="n">
        <v>95.63</v>
      </c>
      <c r="I673" s="0" t="n">
        <v>25.04</v>
      </c>
      <c r="J673" s="0" t="n">
        <v>82.8</v>
      </c>
      <c r="K673" s="0" t="n">
        <v>30</v>
      </c>
      <c r="T673" s="0" t="n">
        <v>3</v>
      </c>
      <c r="U673" s="0" t="n">
        <v>1</v>
      </c>
      <c r="V673" s="0" t="inlineStr">
        <is>
          <t>계단식</t>
        </is>
      </c>
      <c r="W673" s="0" t="n">
        <v>95</v>
      </c>
      <c r="X673" s="0" t="n">
        <v>5</v>
      </c>
      <c r="Y673" s="0" t="n">
        <v>5</v>
      </c>
      <c r="Z673" s="0" t="inlineStr">
        <is>
          <t>https://new.land.naver.com/complexes/9133?tab=detail&amp;rf=Y</t>
        </is>
      </c>
      <c r="AA673" s="0" t="inlineStr">
        <is>
          <t>인천시 남동구 구월동 1244-10</t>
        </is>
      </c>
      <c r="AB673" s="0" t="inlineStr">
        <is>
          <t>인천시</t>
        </is>
      </c>
      <c r="AC673" s="0" t="inlineStr">
        <is>
          <t>남동구</t>
        </is>
      </c>
      <c r="AD673" s="0" t="inlineStr">
        <is>
          <t>구월동</t>
        </is>
      </c>
      <c r="AG673" s="0" t="inlineStr">
        <is>
          <t>인천시 남동구 당좌로5번길 3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[구월동]</t>
        </is>
      </c>
      <c r="B674" s="0" t="n">
        <v>9133</v>
      </c>
      <c r="C674" s="0" t="n">
        <v>2</v>
      </c>
      <c r="D674" s="0" t="inlineStr">
        <is>
          <t>중앙(1244-10)</t>
        </is>
      </c>
      <c r="E674" s="0" t="inlineStr">
        <is>
          <t>1984.04.</t>
        </is>
      </c>
      <c r="F674" s="0" t="n">
        <v>35</v>
      </c>
      <c r="G674" s="0" t="n">
        <v>32.7</v>
      </c>
      <c r="H674" s="0" t="n">
        <v>108.1</v>
      </c>
      <c r="I674" s="0" t="n">
        <v>28.31</v>
      </c>
      <c r="J674" s="0" t="n">
        <v>93.59999999999999</v>
      </c>
      <c r="K674" s="0" t="n">
        <v>5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108</v>
      </c>
      <c r="X674" s="0" t="n">
        <v>5</v>
      </c>
      <c r="Y674" s="0" t="n">
        <v>5</v>
      </c>
      <c r="Z674" s="0" t="inlineStr">
        <is>
          <t>https://new.land.naver.com/complexes/9133?tab=detail&amp;rf=Y</t>
        </is>
      </c>
      <c r="AA674" s="0" t="inlineStr">
        <is>
          <t>인천시 남동구 구월동 1244-10</t>
        </is>
      </c>
      <c r="AB674" s="0" t="inlineStr">
        <is>
          <t>인천시</t>
        </is>
      </c>
      <c r="AC674" s="0" t="inlineStr">
        <is>
          <t>남동구</t>
        </is>
      </c>
      <c r="AD674" s="0" t="inlineStr">
        <is>
          <t>구월동</t>
        </is>
      </c>
      <c r="AG674" s="0" t="inlineStr">
        <is>
          <t>인천시 남동구 당좌로5번길 3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[구월동]</t>
        </is>
      </c>
      <c r="B675" s="0" t="n">
        <v>111061</v>
      </c>
      <c r="C675" s="0" t="n">
        <v>1</v>
      </c>
      <c r="D675" s="0" t="inlineStr">
        <is>
          <t>구월베스티움(도시형)</t>
        </is>
      </c>
      <c r="E675" s="0" t="inlineStr">
        <is>
          <t>2014.07.</t>
        </is>
      </c>
      <c r="F675" s="0" t="n">
        <v>57</v>
      </c>
      <c r="G675" s="0" t="n">
        <v>6.44</v>
      </c>
      <c r="H675" s="0" t="n">
        <v>21.31</v>
      </c>
      <c r="I675" s="0" t="n">
        <v>4.33</v>
      </c>
      <c r="J675" s="0" t="n">
        <v>14.33</v>
      </c>
      <c r="K675" s="0" t="n">
        <v>3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21B</t>
        </is>
      </c>
      <c r="X675" s="0" t="n">
        <v>9</v>
      </c>
      <c r="Y675" s="0" t="n">
        <v>5</v>
      </c>
      <c r="Z675" s="0" t="inlineStr">
        <is>
          <t>https://new.land.naver.com/complexes/111061?tab=detail&amp;rf=Y</t>
        </is>
      </c>
      <c r="AA675" s="0" t="inlineStr">
        <is>
          <t>인천시 남동구 구월동 1124-8</t>
        </is>
      </c>
      <c r="AB675" s="0" t="inlineStr">
        <is>
          <t>인천시</t>
        </is>
      </c>
      <c r="AC675" s="0" t="inlineStr">
        <is>
          <t>남동구</t>
        </is>
      </c>
      <c r="AD675" s="0" t="inlineStr">
        <is>
          <t>구월동</t>
        </is>
      </c>
      <c r="AG675" s="0" t="inlineStr">
        <is>
          <t>인천시 남동구 성말로13번길 85</t>
        </is>
      </c>
      <c r="AH675" s="0" t="n">
        <v>0</v>
      </c>
      <c r="AI675" s="0" t="n">
        <v>402</v>
      </c>
      <c r="AJ675" s="0" t="n">
        <v>78</v>
      </c>
      <c r="AK675" s="0" t="n">
        <v>26</v>
      </c>
      <c r="AL675" s="0" t="n">
        <v>0.46</v>
      </c>
    </row>
    <row r="676">
      <c r="A676" s="0" t="inlineStr">
        <is>
          <t>[구월동]</t>
        </is>
      </c>
      <c r="B676" s="0" t="n">
        <v>111061</v>
      </c>
      <c r="C676" s="0" t="n">
        <v>2</v>
      </c>
      <c r="D676" s="0" t="inlineStr">
        <is>
          <t>구월베스티움(도시형)</t>
        </is>
      </c>
      <c r="E676" s="0" t="inlineStr">
        <is>
          <t>2014.07.</t>
        </is>
      </c>
      <c r="F676" s="0" t="n">
        <v>57</v>
      </c>
      <c r="G676" s="0" t="n">
        <v>6.39</v>
      </c>
      <c r="H676" s="0" t="n">
        <v>21.14</v>
      </c>
      <c r="I676" s="0" t="n">
        <v>4.29</v>
      </c>
      <c r="J676" s="0" t="n">
        <v>14.21</v>
      </c>
      <c r="K676" s="0" t="n">
        <v>1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21A</t>
        </is>
      </c>
      <c r="X676" s="0" t="n">
        <v>9</v>
      </c>
      <c r="Y676" s="0" t="n">
        <v>5</v>
      </c>
      <c r="Z676" s="0" t="inlineStr">
        <is>
          <t>https://new.land.naver.com/complexes/111061?tab=detail&amp;rf=Y</t>
        </is>
      </c>
      <c r="AA676" s="0" t="inlineStr">
        <is>
          <t>인천시 남동구 구월동 1124-8</t>
        </is>
      </c>
      <c r="AB676" s="0" t="inlineStr">
        <is>
          <t>인천시</t>
        </is>
      </c>
      <c r="AC676" s="0" t="inlineStr">
        <is>
          <t>남동구</t>
        </is>
      </c>
      <c r="AD676" s="0" t="inlineStr">
        <is>
          <t>구월동</t>
        </is>
      </c>
      <c r="AG676" s="0" t="inlineStr">
        <is>
          <t>인천시 남동구 성말로13번길 85</t>
        </is>
      </c>
      <c r="AH676" s="0" t="n">
        <v>0</v>
      </c>
      <c r="AI676" s="0" t="n">
        <v>402</v>
      </c>
      <c r="AJ676" s="0" t="n">
        <v>78</v>
      </c>
      <c r="AK676" s="0" t="n">
        <v>26</v>
      </c>
      <c r="AL676" s="0" t="n">
        <v>0.46</v>
      </c>
    </row>
    <row r="677">
      <c r="A677" s="0" t="inlineStr">
        <is>
          <t>[구월동]</t>
        </is>
      </c>
      <c r="B677" s="0" t="n">
        <v>111061</v>
      </c>
      <c r="C677" s="0" t="n">
        <v>3</v>
      </c>
      <c r="D677" s="0" t="inlineStr">
        <is>
          <t>구월베스티움(도시형)</t>
        </is>
      </c>
      <c r="E677" s="0" t="inlineStr">
        <is>
          <t>2014.07.</t>
        </is>
      </c>
      <c r="F677" s="0" t="n">
        <v>57</v>
      </c>
      <c r="G677" s="0" t="n">
        <v>7.52</v>
      </c>
      <c r="H677" s="0" t="n">
        <v>24.88</v>
      </c>
      <c r="I677" s="0" t="n">
        <v>5.06</v>
      </c>
      <c r="J677" s="0" t="n">
        <v>16.73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24A</t>
        </is>
      </c>
      <c r="X677" s="0" t="n">
        <v>9</v>
      </c>
      <c r="Y677" s="0" t="n">
        <v>5</v>
      </c>
      <c r="Z677" s="0" t="inlineStr">
        <is>
          <t>https://new.land.naver.com/complexes/111061?tab=detail&amp;rf=Y</t>
        </is>
      </c>
      <c r="AA677" s="0" t="inlineStr">
        <is>
          <t>인천시 남동구 구월동 1124-8</t>
        </is>
      </c>
      <c r="AB677" s="0" t="inlineStr">
        <is>
          <t>인천시</t>
        </is>
      </c>
      <c r="AC677" s="0" t="inlineStr">
        <is>
          <t>남동구</t>
        </is>
      </c>
      <c r="AD677" s="0" t="inlineStr">
        <is>
          <t>구월동</t>
        </is>
      </c>
      <c r="AG677" s="0" t="inlineStr">
        <is>
          <t>인천시 남동구 성말로13번길 85</t>
        </is>
      </c>
      <c r="AH677" s="0" t="n">
        <v>0</v>
      </c>
      <c r="AI677" s="0" t="n">
        <v>402</v>
      </c>
      <c r="AJ677" s="0" t="n">
        <v>78</v>
      </c>
      <c r="AK677" s="0" t="n">
        <v>26</v>
      </c>
      <c r="AL677" s="0" t="n">
        <v>0.46</v>
      </c>
    </row>
    <row r="678">
      <c r="A678" s="0" t="inlineStr">
        <is>
          <t>[구월동]</t>
        </is>
      </c>
      <c r="B678" s="0" t="n">
        <v>111061</v>
      </c>
      <c r="C678" s="0" t="n">
        <v>4</v>
      </c>
      <c r="D678" s="0" t="inlineStr">
        <is>
          <t>구월베스티움(도시형)</t>
        </is>
      </c>
      <c r="E678" s="0" t="inlineStr">
        <is>
          <t>2014.07.</t>
        </is>
      </c>
      <c r="F678" s="0" t="n">
        <v>57</v>
      </c>
      <c r="G678" s="0" t="n">
        <v>7.47</v>
      </c>
      <c r="H678" s="0" t="n">
        <v>24.71</v>
      </c>
      <c r="I678" s="0" t="n">
        <v>5.02</v>
      </c>
      <c r="J678" s="0" t="n">
        <v>16.61</v>
      </c>
      <c r="K678" s="0" t="n">
        <v>2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24A</t>
        </is>
      </c>
      <c r="X678" s="0" t="n">
        <v>9</v>
      </c>
      <c r="Y678" s="0" t="n">
        <v>5</v>
      </c>
      <c r="Z678" s="0" t="inlineStr">
        <is>
          <t>https://new.land.naver.com/complexes/111061?tab=detail&amp;rf=Y</t>
        </is>
      </c>
      <c r="AA678" s="0" t="inlineStr">
        <is>
          <t>인천시 남동구 구월동 1124-8</t>
        </is>
      </c>
      <c r="AB678" s="0" t="inlineStr">
        <is>
          <t>인천시</t>
        </is>
      </c>
      <c r="AC678" s="0" t="inlineStr">
        <is>
          <t>남동구</t>
        </is>
      </c>
      <c r="AD678" s="0" t="inlineStr">
        <is>
          <t>구월동</t>
        </is>
      </c>
      <c r="AG678" s="0" t="inlineStr">
        <is>
          <t>인천시 남동구 성말로13번길 85</t>
        </is>
      </c>
      <c r="AH678" s="0" t="n">
        <v>0</v>
      </c>
      <c r="AI678" s="0" t="n">
        <v>402</v>
      </c>
      <c r="AJ678" s="0" t="n">
        <v>78</v>
      </c>
      <c r="AK678" s="0" t="n">
        <v>26</v>
      </c>
      <c r="AL678" s="0" t="n">
        <v>0.46</v>
      </c>
    </row>
    <row r="679">
      <c r="A679" s="0" t="inlineStr">
        <is>
          <t>[구월동]</t>
        </is>
      </c>
      <c r="B679" s="0" t="n">
        <v>111061</v>
      </c>
      <c r="C679" s="0" t="n">
        <v>5</v>
      </c>
      <c r="D679" s="0" t="inlineStr">
        <is>
          <t>구월베스티움(도시형)</t>
        </is>
      </c>
      <c r="E679" s="0" t="inlineStr">
        <is>
          <t>2014.07.</t>
        </is>
      </c>
      <c r="F679" s="0" t="n">
        <v>57</v>
      </c>
      <c r="G679" s="0" t="n">
        <v>7.48</v>
      </c>
      <c r="H679" s="0" t="n">
        <v>24.74</v>
      </c>
      <c r="I679" s="0" t="n">
        <v>5.03</v>
      </c>
      <c r="J679" s="0" t="n">
        <v>16.63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24B</t>
        </is>
      </c>
      <c r="X679" s="0" t="n">
        <v>9</v>
      </c>
      <c r="Y679" s="0" t="n">
        <v>5</v>
      </c>
      <c r="Z679" s="0" t="inlineStr">
        <is>
          <t>https://new.land.naver.com/complexes/111061?tab=detail&amp;rf=Y</t>
        </is>
      </c>
      <c r="AA679" s="0" t="inlineStr">
        <is>
          <t>인천시 남동구 구월동 1124-8</t>
        </is>
      </c>
      <c r="AB679" s="0" t="inlineStr">
        <is>
          <t>인천시</t>
        </is>
      </c>
      <c r="AC679" s="0" t="inlineStr">
        <is>
          <t>남동구</t>
        </is>
      </c>
      <c r="AD679" s="0" t="inlineStr">
        <is>
          <t>구월동</t>
        </is>
      </c>
      <c r="AG679" s="0" t="inlineStr">
        <is>
          <t>인천시 남동구 성말로13번길 85</t>
        </is>
      </c>
      <c r="AH679" s="0" t="n">
        <v>0</v>
      </c>
      <c r="AI679" s="0" t="n">
        <v>402</v>
      </c>
      <c r="AJ679" s="0" t="n">
        <v>78</v>
      </c>
      <c r="AK679" s="0" t="n">
        <v>26</v>
      </c>
      <c r="AL679" s="0" t="n">
        <v>0.46</v>
      </c>
    </row>
    <row r="680">
      <c r="A680" s="0" t="inlineStr">
        <is>
          <t>[구월동]</t>
        </is>
      </c>
      <c r="B680" s="0" t="n">
        <v>111061</v>
      </c>
      <c r="C680" s="0" t="n">
        <v>6</v>
      </c>
      <c r="D680" s="0" t="inlineStr">
        <is>
          <t>구월베스티움(도시형)</t>
        </is>
      </c>
      <c r="E680" s="0" t="inlineStr">
        <is>
          <t>2014.07.</t>
        </is>
      </c>
      <c r="F680" s="0" t="n">
        <v>57</v>
      </c>
      <c r="G680" s="0" t="n">
        <v>7.61</v>
      </c>
      <c r="H680" s="0" t="n">
        <v>25.18</v>
      </c>
      <c r="I680" s="0" t="n">
        <v>5.12</v>
      </c>
      <c r="J680" s="0" t="n">
        <v>16.93</v>
      </c>
      <c r="K680" s="0" t="n">
        <v>5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25B</t>
        </is>
      </c>
      <c r="X680" s="0" t="n">
        <v>9</v>
      </c>
      <c r="Y680" s="0" t="n">
        <v>5</v>
      </c>
      <c r="Z680" s="0" t="inlineStr">
        <is>
          <t>https://new.land.naver.com/complexes/111061?tab=detail&amp;rf=Y</t>
        </is>
      </c>
      <c r="AA680" s="0" t="inlineStr">
        <is>
          <t>인천시 남동구 구월동 1124-8</t>
        </is>
      </c>
      <c r="AB680" s="0" t="inlineStr">
        <is>
          <t>인천시</t>
        </is>
      </c>
      <c r="AC680" s="0" t="inlineStr">
        <is>
          <t>남동구</t>
        </is>
      </c>
      <c r="AD680" s="0" t="inlineStr">
        <is>
          <t>구월동</t>
        </is>
      </c>
      <c r="AG680" s="0" t="inlineStr">
        <is>
          <t>인천시 남동구 성말로13번길 85</t>
        </is>
      </c>
      <c r="AH680" s="0" t="n">
        <v>0</v>
      </c>
      <c r="AI680" s="0" t="n">
        <v>402</v>
      </c>
      <c r="AJ680" s="0" t="n">
        <v>78</v>
      </c>
      <c r="AK680" s="0" t="n">
        <v>26</v>
      </c>
      <c r="AL680" s="0" t="n">
        <v>0.46</v>
      </c>
    </row>
    <row r="681">
      <c r="A681" s="0" t="inlineStr">
        <is>
          <t>[구월동]</t>
        </is>
      </c>
      <c r="B681" s="0" t="n">
        <v>111061</v>
      </c>
      <c r="C681" s="0" t="n">
        <v>7</v>
      </c>
      <c r="D681" s="0" t="inlineStr">
        <is>
          <t>구월베스티움(도시형)</t>
        </is>
      </c>
      <c r="E681" s="0" t="inlineStr">
        <is>
          <t>2014.07.</t>
        </is>
      </c>
      <c r="F681" s="0" t="n">
        <v>57</v>
      </c>
      <c r="G681" s="0" t="n">
        <v>8.07</v>
      </c>
      <c r="H681" s="0" t="n">
        <v>26.7</v>
      </c>
      <c r="I681" s="0" t="n">
        <v>5.42</v>
      </c>
      <c r="J681" s="0" t="n">
        <v>17.95</v>
      </c>
      <c r="K681" s="0" t="n">
        <v>2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26C</t>
        </is>
      </c>
      <c r="X681" s="0" t="n">
        <v>9</v>
      </c>
      <c r="Y681" s="0" t="n">
        <v>5</v>
      </c>
      <c r="Z681" s="0" t="inlineStr">
        <is>
          <t>https://new.land.naver.com/complexes/111061?tab=detail&amp;rf=Y</t>
        </is>
      </c>
      <c r="AA681" s="0" t="inlineStr">
        <is>
          <t>인천시 남동구 구월동 1124-8</t>
        </is>
      </c>
      <c r="AB681" s="0" t="inlineStr">
        <is>
          <t>인천시</t>
        </is>
      </c>
      <c r="AC681" s="0" t="inlineStr">
        <is>
          <t>남동구</t>
        </is>
      </c>
      <c r="AD681" s="0" t="inlineStr">
        <is>
          <t>구월동</t>
        </is>
      </c>
      <c r="AG681" s="0" t="inlineStr">
        <is>
          <t>인천시 남동구 성말로13번길 85</t>
        </is>
      </c>
      <c r="AH681" s="0" t="n">
        <v>0</v>
      </c>
      <c r="AI681" s="0" t="n">
        <v>402</v>
      </c>
      <c r="AJ681" s="0" t="n">
        <v>78</v>
      </c>
      <c r="AK681" s="0" t="n">
        <v>26</v>
      </c>
      <c r="AL681" s="0" t="n">
        <v>0.46</v>
      </c>
    </row>
    <row r="682">
      <c r="A682" s="0" t="inlineStr">
        <is>
          <t>[구월동]</t>
        </is>
      </c>
      <c r="B682" s="0" t="n">
        <v>111061</v>
      </c>
      <c r="C682" s="0" t="n">
        <v>8</v>
      </c>
      <c r="D682" s="0" t="inlineStr">
        <is>
          <t>구월베스티움(도시형)</t>
        </is>
      </c>
      <c r="E682" s="0" t="inlineStr">
        <is>
          <t>2014.07.</t>
        </is>
      </c>
      <c r="F682" s="0" t="n">
        <v>57</v>
      </c>
      <c r="G682" s="0" t="n">
        <v>8.58</v>
      </c>
      <c r="H682" s="0" t="n">
        <v>28.38</v>
      </c>
      <c r="I682" s="0" t="n">
        <v>5.77</v>
      </c>
      <c r="J682" s="0" t="n">
        <v>19.08</v>
      </c>
      <c r="K682" s="0" t="n">
        <v>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28A</t>
        </is>
      </c>
      <c r="X682" s="0" t="n">
        <v>9</v>
      </c>
      <c r="Y682" s="0" t="n">
        <v>5</v>
      </c>
      <c r="Z682" s="0" t="inlineStr">
        <is>
          <t>https://new.land.naver.com/complexes/111061?tab=detail&amp;rf=Y</t>
        </is>
      </c>
      <c r="AA682" s="0" t="inlineStr">
        <is>
          <t>인천시 남동구 구월동 1124-8</t>
        </is>
      </c>
      <c r="AB682" s="0" t="inlineStr">
        <is>
          <t>인천시</t>
        </is>
      </c>
      <c r="AC682" s="0" t="inlineStr">
        <is>
          <t>남동구</t>
        </is>
      </c>
      <c r="AD682" s="0" t="inlineStr">
        <is>
          <t>구월동</t>
        </is>
      </c>
      <c r="AG682" s="0" t="inlineStr">
        <is>
          <t>인천시 남동구 성말로13번길 85</t>
        </is>
      </c>
      <c r="AH682" s="0" t="n">
        <v>0</v>
      </c>
      <c r="AI682" s="0" t="n">
        <v>402</v>
      </c>
      <c r="AJ682" s="0" t="n">
        <v>78</v>
      </c>
      <c r="AK682" s="0" t="n">
        <v>26</v>
      </c>
      <c r="AL682" s="0" t="n">
        <v>0.46</v>
      </c>
    </row>
    <row r="683">
      <c r="A683" s="0" t="inlineStr">
        <is>
          <t>[구월동]</t>
        </is>
      </c>
      <c r="B683" s="0" t="n">
        <v>111061</v>
      </c>
      <c r="C683" s="0" t="n">
        <v>9</v>
      </c>
      <c r="D683" s="0" t="inlineStr">
        <is>
          <t>구월베스티움(도시형)</t>
        </is>
      </c>
      <c r="E683" s="0" t="inlineStr">
        <is>
          <t>2014.07.</t>
        </is>
      </c>
      <c r="F683" s="0" t="n">
        <v>57</v>
      </c>
      <c r="G683" s="0" t="n">
        <v>9.18</v>
      </c>
      <c r="H683" s="0" t="n">
        <v>30.35</v>
      </c>
      <c r="I683" s="0" t="n">
        <v>6.17</v>
      </c>
      <c r="J683" s="0" t="n">
        <v>20.4</v>
      </c>
      <c r="K683" s="0" t="n">
        <v>14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30B</t>
        </is>
      </c>
      <c r="X683" s="0" t="n">
        <v>9</v>
      </c>
      <c r="Y683" s="0" t="n">
        <v>5</v>
      </c>
      <c r="Z683" s="0" t="inlineStr">
        <is>
          <t>https://new.land.naver.com/complexes/111061?tab=detail&amp;rf=Y</t>
        </is>
      </c>
      <c r="AA683" s="0" t="inlineStr">
        <is>
          <t>인천시 남동구 구월동 1124-8</t>
        </is>
      </c>
      <c r="AB683" s="0" t="inlineStr">
        <is>
          <t>인천시</t>
        </is>
      </c>
      <c r="AC683" s="0" t="inlineStr">
        <is>
          <t>남동구</t>
        </is>
      </c>
      <c r="AD683" s="0" t="inlineStr">
        <is>
          <t>구월동</t>
        </is>
      </c>
      <c r="AG683" s="0" t="inlineStr">
        <is>
          <t>인천시 남동구 성말로13번길 85</t>
        </is>
      </c>
      <c r="AH683" s="0" t="n">
        <v>0</v>
      </c>
      <c r="AI683" s="0" t="n">
        <v>402</v>
      </c>
      <c r="AJ683" s="0" t="n">
        <v>78</v>
      </c>
      <c r="AK683" s="0" t="n">
        <v>26</v>
      </c>
      <c r="AL683" s="0" t="n">
        <v>0.46</v>
      </c>
    </row>
    <row r="684">
      <c r="A684" s="0" t="inlineStr">
        <is>
          <t>[구월동]</t>
        </is>
      </c>
      <c r="B684" s="0" t="n">
        <v>111061</v>
      </c>
      <c r="C684" s="0" t="n">
        <v>10</v>
      </c>
      <c r="D684" s="0" t="inlineStr">
        <is>
          <t>구월베스티움(도시형)</t>
        </is>
      </c>
      <c r="E684" s="0" t="inlineStr">
        <is>
          <t>2014.07.</t>
        </is>
      </c>
      <c r="F684" s="0" t="n">
        <v>57</v>
      </c>
      <c r="G684" s="0" t="n">
        <v>9.210000000000001</v>
      </c>
      <c r="H684" s="0" t="n">
        <v>30.47</v>
      </c>
      <c r="I684" s="0" t="n">
        <v>6.19</v>
      </c>
      <c r="J684" s="0" t="n">
        <v>20.48</v>
      </c>
      <c r="K684" s="0" t="n">
        <v>5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30C</t>
        </is>
      </c>
      <c r="X684" s="0" t="n">
        <v>9</v>
      </c>
      <c r="Y684" s="0" t="n">
        <v>5</v>
      </c>
      <c r="Z684" s="0" t="inlineStr">
        <is>
          <t>https://new.land.naver.com/complexes/111061?tab=detail&amp;rf=Y</t>
        </is>
      </c>
      <c r="AA684" s="0" t="inlineStr">
        <is>
          <t>인천시 남동구 구월동 1124-8</t>
        </is>
      </c>
      <c r="AB684" s="0" t="inlineStr">
        <is>
          <t>인천시</t>
        </is>
      </c>
      <c r="AC684" s="0" t="inlineStr">
        <is>
          <t>남동구</t>
        </is>
      </c>
      <c r="AD684" s="0" t="inlineStr">
        <is>
          <t>구월동</t>
        </is>
      </c>
      <c r="AG684" s="0" t="inlineStr">
        <is>
          <t>인천시 남동구 성말로13번길 85</t>
        </is>
      </c>
      <c r="AH684" s="0" t="n">
        <v>0</v>
      </c>
      <c r="AI684" s="0" t="n">
        <v>402</v>
      </c>
      <c r="AJ684" s="0" t="n">
        <v>78</v>
      </c>
      <c r="AK684" s="0" t="n">
        <v>26</v>
      </c>
      <c r="AL684" s="0" t="n">
        <v>0.46</v>
      </c>
    </row>
    <row r="685">
      <c r="A685" s="0" t="inlineStr">
        <is>
          <t>[구월동]</t>
        </is>
      </c>
      <c r="B685" s="0" t="n">
        <v>111061</v>
      </c>
      <c r="C685" s="0" t="n">
        <v>11</v>
      </c>
      <c r="D685" s="0" t="inlineStr">
        <is>
          <t>구월베스티움(도시형)</t>
        </is>
      </c>
      <c r="E685" s="0" t="inlineStr">
        <is>
          <t>2014.07.</t>
        </is>
      </c>
      <c r="F685" s="0" t="n">
        <v>57</v>
      </c>
      <c r="G685" s="0" t="n">
        <v>9.32</v>
      </c>
      <c r="H685" s="0" t="n">
        <v>30.83</v>
      </c>
      <c r="I685" s="0" t="n">
        <v>6.27</v>
      </c>
      <c r="J685" s="0" t="n">
        <v>20.73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30D</t>
        </is>
      </c>
      <c r="X685" s="0" t="n">
        <v>9</v>
      </c>
      <c r="Y685" s="0" t="n">
        <v>5</v>
      </c>
      <c r="Z685" s="0" t="inlineStr">
        <is>
          <t>https://new.land.naver.com/complexes/111061?tab=detail&amp;rf=Y</t>
        </is>
      </c>
      <c r="AA685" s="0" t="inlineStr">
        <is>
          <t>인천시 남동구 구월동 1124-8</t>
        </is>
      </c>
      <c r="AB685" s="0" t="inlineStr">
        <is>
          <t>인천시</t>
        </is>
      </c>
      <c r="AC685" s="0" t="inlineStr">
        <is>
          <t>남동구</t>
        </is>
      </c>
      <c r="AD685" s="0" t="inlineStr">
        <is>
          <t>구월동</t>
        </is>
      </c>
      <c r="AG685" s="0" t="inlineStr">
        <is>
          <t>인천시 남동구 성말로13번길 85</t>
        </is>
      </c>
      <c r="AH685" s="0" t="n">
        <v>0</v>
      </c>
      <c r="AI685" s="0" t="n">
        <v>402</v>
      </c>
      <c r="AJ685" s="0" t="n">
        <v>78</v>
      </c>
      <c r="AK685" s="0" t="n">
        <v>26</v>
      </c>
      <c r="AL685" s="0" t="n">
        <v>0.46</v>
      </c>
    </row>
    <row r="686">
      <c r="A686" s="0" t="inlineStr">
        <is>
          <t>[구월동]</t>
        </is>
      </c>
      <c r="B686" s="0" t="n">
        <v>111061</v>
      </c>
      <c r="C686" s="0" t="n">
        <v>12</v>
      </c>
      <c r="D686" s="0" t="inlineStr">
        <is>
          <t>구월베스티움(도시형)</t>
        </is>
      </c>
      <c r="E686" s="0" t="inlineStr">
        <is>
          <t>2014.07.</t>
        </is>
      </c>
      <c r="F686" s="0" t="n">
        <v>57</v>
      </c>
      <c r="G686" s="0" t="n">
        <v>9.4</v>
      </c>
      <c r="H686" s="0" t="n">
        <v>31.08</v>
      </c>
      <c r="I686" s="0" t="n">
        <v>6.31</v>
      </c>
      <c r="J686" s="0" t="n">
        <v>20.89</v>
      </c>
      <c r="K686" s="0" t="n">
        <v>6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31E</t>
        </is>
      </c>
      <c r="X686" s="0" t="n">
        <v>9</v>
      </c>
      <c r="Y686" s="0" t="n">
        <v>5</v>
      </c>
      <c r="Z686" s="0" t="inlineStr">
        <is>
          <t>https://new.land.naver.com/complexes/111061?tab=detail&amp;rf=Y</t>
        </is>
      </c>
      <c r="AA686" s="0" t="inlineStr">
        <is>
          <t>인천시 남동구 구월동 1124-8</t>
        </is>
      </c>
      <c r="AB686" s="0" t="inlineStr">
        <is>
          <t>인천시</t>
        </is>
      </c>
      <c r="AC686" s="0" t="inlineStr">
        <is>
          <t>남동구</t>
        </is>
      </c>
      <c r="AD686" s="0" t="inlineStr">
        <is>
          <t>구월동</t>
        </is>
      </c>
      <c r="AG686" s="0" t="inlineStr">
        <is>
          <t>인천시 남동구 성말로13번길 85</t>
        </is>
      </c>
      <c r="AH686" s="0" t="n">
        <v>0</v>
      </c>
      <c r="AI686" s="0" t="n">
        <v>402</v>
      </c>
      <c r="AJ686" s="0" t="n">
        <v>78</v>
      </c>
      <c r="AK686" s="0" t="n">
        <v>26</v>
      </c>
      <c r="AL686" s="0" t="n">
        <v>0.46</v>
      </c>
    </row>
    <row r="687">
      <c r="A687" s="0" t="inlineStr">
        <is>
          <t>[구월동]</t>
        </is>
      </c>
      <c r="B687" s="0" t="n">
        <v>111061</v>
      </c>
      <c r="C687" s="0" t="n">
        <v>13</v>
      </c>
      <c r="D687" s="0" t="inlineStr">
        <is>
          <t>구월베스티움(도시형)</t>
        </is>
      </c>
      <c r="E687" s="0" t="inlineStr">
        <is>
          <t>2014.07.</t>
        </is>
      </c>
      <c r="F687" s="0" t="n">
        <v>57</v>
      </c>
      <c r="G687" s="0" t="n">
        <v>9.91</v>
      </c>
      <c r="H687" s="0" t="n">
        <v>32.78</v>
      </c>
      <c r="I687" s="0" t="n">
        <v>6.66</v>
      </c>
      <c r="J687" s="0" t="n">
        <v>22.04</v>
      </c>
      <c r="K687" s="0" t="n">
        <v>1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32</v>
      </c>
      <c r="X687" s="0" t="n">
        <v>9</v>
      </c>
      <c r="Y687" s="0" t="n">
        <v>5</v>
      </c>
      <c r="Z687" s="0" t="inlineStr">
        <is>
          <t>https://new.land.naver.com/complexes/111061?tab=detail&amp;rf=Y</t>
        </is>
      </c>
      <c r="AA687" s="0" t="inlineStr">
        <is>
          <t>인천시 남동구 구월동 1124-8</t>
        </is>
      </c>
      <c r="AB687" s="0" t="inlineStr">
        <is>
          <t>인천시</t>
        </is>
      </c>
      <c r="AC687" s="0" t="inlineStr">
        <is>
          <t>남동구</t>
        </is>
      </c>
      <c r="AD687" s="0" t="inlineStr">
        <is>
          <t>구월동</t>
        </is>
      </c>
      <c r="AG687" s="0" t="inlineStr">
        <is>
          <t>인천시 남동구 성말로13번길 85</t>
        </is>
      </c>
      <c r="AH687" s="0" t="n">
        <v>0</v>
      </c>
      <c r="AI687" s="0" t="n">
        <v>402</v>
      </c>
      <c r="AJ687" s="0" t="n">
        <v>78</v>
      </c>
      <c r="AK687" s="0" t="n">
        <v>26</v>
      </c>
      <c r="AL687" s="0" t="n">
        <v>0.46</v>
      </c>
    </row>
    <row r="688">
      <c r="A688" s="0" t="inlineStr">
        <is>
          <t>[구월동]</t>
        </is>
      </c>
      <c r="B688" s="0" t="n">
        <v>111061</v>
      </c>
      <c r="C688" s="0" t="n">
        <v>14</v>
      </c>
      <c r="D688" s="0" t="inlineStr">
        <is>
          <t>구월베스티움(도시형)</t>
        </is>
      </c>
      <c r="E688" s="0" t="inlineStr">
        <is>
          <t>2014.07.</t>
        </is>
      </c>
      <c r="F688" s="0" t="n">
        <v>57</v>
      </c>
      <c r="G688" s="0" t="n">
        <v>11.65</v>
      </c>
      <c r="H688" s="0" t="n">
        <v>38.53</v>
      </c>
      <c r="I688" s="0" t="n">
        <v>7.83</v>
      </c>
      <c r="J688" s="0" t="n">
        <v>25.91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38A</t>
        </is>
      </c>
      <c r="X688" s="0" t="n">
        <v>9</v>
      </c>
      <c r="Y688" s="0" t="n">
        <v>5</v>
      </c>
      <c r="Z688" s="0" t="inlineStr">
        <is>
          <t>https://new.land.naver.com/complexes/111061?tab=detail&amp;rf=Y</t>
        </is>
      </c>
      <c r="AA688" s="0" t="inlineStr">
        <is>
          <t>인천시 남동구 구월동 1124-8</t>
        </is>
      </c>
      <c r="AB688" s="0" t="inlineStr">
        <is>
          <t>인천시</t>
        </is>
      </c>
      <c r="AC688" s="0" t="inlineStr">
        <is>
          <t>남동구</t>
        </is>
      </c>
      <c r="AD688" s="0" t="inlineStr">
        <is>
          <t>구월동</t>
        </is>
      </c>
      <c r="AG688" s="0" t="inlineStr">
        <is>
          <t>인천시 남동구 성말로13번길 85</t>
        </is>
      </c>
      <c r="AH688" s="0" t="n">
        <v>0</v>
      </c>
      <c r="AI688" s="0" t="n">
        <v>402</v>
      </c>
      <c r="AJ688" s="0" t="n">
        <v>78</v>
      </c>
      <c r="AK688" s="0" t="n">
        <v>26</v>
      </c>
      <c r="AL688" s="0" t="n">
        <v>0.46</v>
      </c>
    </row>
    <row r="689">
      <c r="A689" s="0" t="inlineStr">
        <is>
          <t>[구월동]</t>
        </is>
      </c>
      <c r="B689" s="0" t="n">
        <v>111061</v>
      </c>
      <c r="C689" s="0" t="n">
        <v>15</v>
      </c>
      <c r="D689" s="0" t="inlineStr">
        <is>
          <t>구월베스티움(도시형)</t>
        </is>
      </c>
      <c r="E689" s="0" t="inlineStr">
        <is>
          <t>2014.07.</t>
        </is>
      </c>
      <c r="F689" s="0" t="n">
        <v>57</v>
      </c>
      <c r="G689" s="0" t="n">
        <v>12.13</v>
      </c>
      <c r="H689" s="0" t="n">
        <v>40.13</v>
      </c>
      <c r="I689" s="0" t="n">
        <v>8.16</v>
      </c>
      <c r="J689" s="0" t="n">
        <v>26.98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40B</t>
        </is>
      </c>
      <c r="X689" s="0" t="n">
        <v>9</v>
      </c>
      <c r="Y689" s="0" t="n">
        <v>5</v>
      </c>
      <c r="Z689" s="0" t="inlineStr">
        <is>
          <t>https://new.land.naver.com/complexes/111061?tab=detail&amp;rf=Y</t>
        </is>
      </c>
      <c r="AA689" s="0" t="inlineStr">
        <is>
          <t>인천시 남동구 구월동 1124-8</t>
        </is>
      </c>
      <c r="AB689" s="0" t="inlineStr">
        <is>
          <t>인천시</t>
        </is>
      </c>
      <c r="AC689" s="0" t="inlineStr">
        <is>
          <t>남동구</t>
        </is>
      </c>
      <c r="AD689" s="0" t="inlineStr">
        <is>
          <t>구월동</t>
        </is>
      </c>
      <c r="AG689" s="0" t="inlineStr">
        <is>
          <t>인천시 남동구 성말로13번길 85</t>
        </is>
      </c>
      <c r="AH689" s="0" t="n">
        <v>0</v>
      </c>
      <c r="AI689" s="0" t="n">
        <v>402</v>
      </c>
      <c r="AJ689" s="0" t="n">
        <v>78</v>
      </c>
      <c r="AK689" s="0" t="n">
        <v>26</v>
      </c>
      <c r="AL689" s="0" t="n">
        <v>0.46</v>
      </c>
    </row>
    <row r="690">
      <c r="A690" s="0" t="inlineStr">
        <is>
          <t>[구월동]</t>
        </is>
      </c>
      <c r="B690" s="0" t="n">
        <v>111061</v>
      </c>
      <c r="C690" s="0" t="n">
        <v>16</v>
      </c>
      <c r="D690" s="0" t="inlineStr">
        <is>
          <t>구월베스티움(도시형)</t>
        </is>
      </c>
      <c r="E690" s="0" t="inlineStr">
        <is>
          <t>2014.07.</t>
        </is>
      </c>
      <c r="F690" s="0" t="n">
        <v>57</v>
      </c>
      <c r="G690" s="0" t="n">
        <v>19.13</v>
      </c>
      <c r="H690" s="0" t="n">
        <v>63.24</v>
      </c>
      <c r="I690" s="0" t="n">
        <v>12.86</v>
      </c>
      <c r="J690" s="0" t="n">
        <v>42.52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63</v>
      </c>
      <c r="X690" s="0" t="n">
        <v>9</v>
      </c>
      <c r="Y690" s="0" t="n">
        <v>5</v>
      </c>
      <c r="Z690" s="0" t="inlineStr">
        <is>
          <t>https://new.land.naver.com/complexes/111061?tab=detail&amp;rf=Y</t>
        </is>
      </c>
      <c r="AA690" s="0" t="inlineStr">
        <is>
          <t>인천시 남동구 구월동 1124-8</t>
        </is>
      </c>
      <c r="AB690" s="0" t="inlineStr">
        <is>
          <t>인천시</t>
        </is>
      </c>
      <c r="AC690" s="0" t="inlineStr">
        <is>
          <t>남동구</t>
        </is>
      </c>
      <c r="AD690" s="0" t="inlineStr">
        <is>
          <t>구월동</t>
        </is>
      </c>
      <c r="AG690" s="0" t="inlineStr">
        <is>
          <t>인천시 남동구 성말로13번길 85</t>
        </is>
      </c>
      <c r="AH690" s="0" t="n">
        <v>0</v>
      </c>
      <c r="AI690" s="0" t="n">
        <v>402</v>
      </c>
      <c r="AJ690" s="0" t="n">
        <v>78</v>
      </c>
      <c r="AK690" s="0" t="n">
        <v>26</v>
      </c>
      <c r="AL690" s="0" t="n">
        <v>0.46</v>
      </c>
    </row>
    <row r="691">
      <c r="A691" s="0" t="inlineStr">
        <is>
          <t>[구월동]</t>
        </is>
      </c>
      <c r="B691" s="0" t="n">
        <v>111061</v>
      </c>
      <c r="C691" s="0" t="n">
        <v>17</v>
      </c>
      <c r="D691" s="0" t="inlineStr">
        <is>
          <t>구월베스티움(도시형)</t>
        </is>
      </c>
      <c r="E691" s="0" t="inlineStr">
        <is>
          <t>2014.07.</t>
        </is>
      </c>
      <c r="F691" s="0" t="n">
        <v>57</v>
      </c>
      <c r="G691" s="0" t="n">
        <v>22.45</v>
      </c>
      <c r="H691" s="0" t="n">
        <v>74.23</v>
      </c>
      <c r="I691" s="0" t="n">
        <v>15.09</v>
      </c>
      <c r="J691" s="0" t="n">
        <v>49.91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9</v>
      </c>
      <c r="Y691" s="0" t="n">
        <v>5</v>
      </c>
      <c r="Z691" s="0" t="inlineStr">
        <is>
          <t>https://new.land.naver.com/complexes/111061?tab=detail&amp;rf=Y</t>
        </is>
      </c>
      <c r="AA691" s="0" t="inlineStr">
        <is>
          <t>인천시 남동구 구월동 1124-8</t>
        </is>
      </c>
      <c r="AB691" s="0" t="inlineStr">
        <is>
          <t>인천시</t>
        </is>
      </c>
      <c r="AC691" s="0" t="inlineStr">
        <is>
          <t>남동구</t>
        </is>
      </c>
      <c r="AD691" s="0" t="inlineStr">
        <is>
          <t>구월동</t>
        </is>
      </c>
      <c r="AG691" s="0" t="inlineStr">
        <is>
          <t>인천시 남동구 성말로13번길 85</t>
        </is>
      </c>
      <c r="AH691" s="0" t="n">
        <v>0</v>
      </c>
      <c r="AI691" s="0" t="n">
        <v>402</v>
      </c>
      <c r="AJ691" s="0" t="n">
        <v>78</v>
      </c>
      <c r="AK691" s="0" t="n">
        <v>26</v>
      </c>
      <c r="AL691" s="0" t="n">
        <v>0.46</v>
      </c>
    </row>
    <row r="692">
      <c r="A692" s="0" t="inlineStr">
        <is>
          <t>[구월동]</t>
        </is>
      </c>
      <c r="B692" s="0" t="n">
        <v>105319</v>
      </c>
      <c r="C692" s="0" t="n">
        <v>1</v>
      </c>
      <c r="D692" s="0" t="inlineStr">
        <is>
          <t>구월아시아드선수촌8단지</t>
        </is>
      </c>
      <c r="E692" s="0" t="inlineStr">
        <is>
          <t>2015.06.</t>
        </is>
      </c>
      <c r="F692" s="0" t="n">
        <v>768</v>
      </c>
      <c r="G692" s="0" t="n">
        <v>30.38</v>
      </c>
      <c r="H692" s="0" t="n">
        <v>100.45</v>
      </c>
      <c r="I692" s="0" t="n">
        <v>22.66</v>
      </c>
      <c r="J692" s="0" t="n">
        <v>74.91</v>
      </c>
      <c r="K692" s="0" t="n">
        <v>349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100A</t>
        </is>
      </c>
      <c r="X692" s="0" t="n">
        <v>29</v>
      </c>
      <c r="Y692" s="0" t="n">
        <v>9</v>
      </c>
      <c r="Z692" s="0" t="inlineStr">
        <is>
          <t>https://new.land.naver.com/complexes/105319?tab=detail&amp;rf=Y</t>
        </is>
      </c>
      <c r="AA692" s="0" t="inlineStr">
        <is>
          <t>인천시 남동구 구월동 1554</t>
        </is>
      </c>
      <c r="AB692" s="0" t="inlineStr">
        <is>
          <t>인천시</t>
        </is>
      </c>
      <c r="AC692" s="0" t="inlineStr">
        <is>
          <t>남동구</t>
        </is>
      </c>
      <c r="AD692" s="0" t="inlineStr">
        <is>
          <t>구월동</t>
        </is>
      </c>
      <c r="AG692" s="0" t="inlineStr">
        <is>
          <t>인천시 남동구 선수촌로 8</t>
        </is>
      </c>
      <c r="AH692" s="0" t="n">
        <v>0</v>
      </c>
      <c r="AI692" s="0" t="n">
        <v>219</v>
      </c>
      <c r="AJ692" s="0" t="n">
        <v>17</v>
      </c>
      <c r="AK692" s="0" t="n">
        <v>906</v>
      </c>
      <c r="AL692" s="0" t="n">
        <v>1.18</v>
      </c>
    </row>
    <row r="693">
      <c r="A693" s="0" t="inlineStr">
        <is>
          <t>[구월동]</t>
        </is>
      </c>
      <c r="B693" s="0" t="n">
        <v>105319</v>
      </c>
      <c r="C693" s="0" t="n">
        <v>2</v>
      </c>
      <c r="D693" s="0" t="inlineStr">
        <is>
          <t>구월아시아드선수촌8단지</t>
        </is>
      </c>
      <c r="E693" s="0" t="inlineStr">
        <is>
          <t>2015.06.</t>
        </is>
      </c>
      <c r="F693" s="0" t="n">
        <v>768</v>
      </c>
      <c r="G693" s="0" t="n">
        <v>30.39</v>
      </c>
      <c r="H693" s="0" t="n">
        <v>100.49</v>
      </c>
      <c r="I693" s="0" t="n">
        <v>22.66</v>
      </c>
      <c r="J693" s="0" t="n">
        <v>74.93000000000001</v>
      </c>
      <c r="K693" s="0" t="n">
        <v>119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100F</t>
        </is>
      </c>
      <c r="X693" s="0" t="n">
        <v>29</v>
      </c>
      <c r="Y693" s="0" t="n">
        <v>9</v>
      </c>
      <c r="Z693" s="0" t="inlineStr">
        <is>
          <t>https://new.land.naver.com/complexes/105319?tab=detail&amp;rf=Y</t>
        </is>
      </c>
      <c r="AA693" s="0" t="inlineStr">
        <is>
          <t>인천시 남동구 구월동 1554</t>
        </is>
      </c>
      <c r="AB693" s="0" t="inlineStr">
        <is>
          <t>인천시</t>
        </is>
      </c>
      <c r="AC693" s="0" t="inlineStr">
        <is>
          <t>남동구</t>
        </is>
      </c>
      <c r="AD693" s="0" t="inlineStr">
        <is>
          <t>구월동</t>
        </is>
      </c>
      <c r="AG693" s="0" t="inlineStr">
        <is>
          <t>인천시 남동구 선수촌로 8</t>
        </is>
      </c>
      <c r="AH693" s="0" t="n">
        <v>0</v>
      </c>
      <c r="AI693" s="0" t="n">
        <v>219</v>
      </c>
      <c r="AJ693" s="0" t="n">
        <v>17</v>
      </c>
      <c r="AK693" s="0" t="n">
        <v>906</v>
      </c>
      <c r="AL693" s="0" t="n">
        <v>1.18</v>
      </c>
    </row>
    <row r="694">
      <c r="A694" s="0" t="inlineStr">
        <is>
          <t>[구월동]</t>
        </is>
      </c>
      <c r="B694" s="0" t="n">
        <v>105319</v>
      </c>
      <c r="C694" s="0" t="n">
        <v>3</v>
      </c>
      <c r="D694" s="0" t="inlineStr">
        <is>
          <t>구월아시아드선수촌8단지</t>
        </is>
      </c>
      <c r="E694" s="0" t="inlineStr">
        <is>
          <t>2015.06.</t>
        </is>
      </c>
      <c r="F694" s="0" t="n">
        <v>768</v>
      </c>
      <c r="G694" s="0" t="n">
        <v>30.51</v>
      </c>
      <c r="H694" s="0" t="n">
        <v>100.86</v>
      </c>
      <c r="I694" s="0" t="n">
        <v>22.66</v>
      </c>
      <c r="J694" s="0" t="n">
        <v>74.94</v>
      </c>
      <c r="K694" s="0" t="n">
        <v>53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100C</t>
        </is>
      </c>
      <c r="X694" s="0" t="n">
        <v>29</v>
      </c>
      <c r="Y694" s="0" t="n">
        <v>9</v>
      </c>
      <c r="Z694" s="0" t="inlineStr">
        <is>
          <t>https://new.land.naver.com/complexes/105319?tab=detail&amp;rf=Y</t>
        </is>
      </c>
      <c r="AA694" s="0" t="inlineStr">
        <is>
          <t>인천시 남동구 구월동 1554</t>
        </is>
      </c>
      <c r="AB694" s="0" t="inlineStr">
        <is>
          <t>인천시</t>
        </is>
      </c>
      <c r="AC694" s="0" t="inlineStr">
        <is>
          <t>남동구</t>
        </is>
      </c>
      <c r="AD694" s="0" t="inlineStr">
        <is>
          <t>구월동</t>
        </is>
      </c>
      <c r="AG694" s="0" t="inlineStr">
        <is>
          <t>인천시 남동구 선수촌로 8</t>
        </is>
      </c>
      <c r="AH694" s="0" t="n">
        <v>0</v>
      </c>
      <c r="AI694" s="0" t="n">
        <v>219</v>
      </c>
      <c r="AJ694" s="0" t="n">
        <v>17</v>
      </c>
      <c r="AK694" s="0" t="n">
        <v>906</v>
      </c>
      <c r="AL694" s="0" t="n">
        <v>1.18</v>
      </c>
    </row>
    <row r="695">
      <c r="A695" s="0" t="inlineStr">
        <is>
          <t>[구월동]</t>
        </is>
      </c>
      <c r="B695" s="0" t="n">
        <v>105319</v>
      </c>
      <c r="C695" s="0" t="n">
        <v>4</v>
      </c>
      <c r="D695" s="0" t="inlineStr">
        <is>
          <t>구월아시아드선수촌8단지</t>
        </is>
      </c>
      <c r="E695" s="0" t="inlineStr">
        <is>
          <t>2015.06.</t>
        </is>
      </c>
      <c r="F695" s="0" t="n">
        <v>768</v>
      </c>
      <c r="G695" s="0" t="n">
        <v>30.34</v>
      </c>
      <c r="H695" s="0" t="n">
        <v>100.31</v>
      </c>
      <c r="I695" s="0" t="n">
        <v>22.67</v>
      </c>
      <c r="J695" s="0" t="n">
        <v>74.95999999999999</v>
      </c>
      <c r="K695" s="0" t="n">
        <v>19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100B</t>
        </is>
      </c>
      <c r="X695" s="0" t="n">
        <v>29</v>
      </c>
      <c r="Y695" s="0" t="n">
        <v>9</v>
      </c>
      <c r="Z695" s="0" t="inlineStr">
        <is>
          <t>https://new.land.naver.com/complexes/105319?tab=detail&amp;rf=Y</t>
        </is>
      </c>
      <c r="AA695" s="0" t="inlineStr">
        <is>
          <t>인천시 남동구 구월동 1554</t>
        </is>
      </c>
      <c r="AB695" s="0" t="inlineStr">
        <is>
          <t>인천시</t>
        </is>
      </c>
      <c r="AC695" s="0" t="inlineStr">
        <is>
          <t>남동구</t>
        </is>
      </c>
      <c r="AD695" s="0" t="inlineStr">
        <is>
          <t>구월동</t>
        </is>
      </c>
      <c r="AG695" s="0" t="inlineStr">
        <is>
          <t>인천시 남동구 선수촌로 8</t>
        </is>
      </c>
      <c r="AH695" s="0" t="n">
        <v>0</v>
      </c>
      <c r="AI695" s="0" t="n">
        <v>219</v>
      </c>
      <c r="AJ695" s="0" t="n">
        <v>17</v>
      </c>
      <c r="AK695" s="0" t="n">
        <v>906</v>
      </c>
      <c r="AL695" s="0" t="n">
        <v>1.18</v>
      </c>
    </row>
    <row r="696">
      <c r="A696" s="0" t="inlineStr">
        <is>
          <t>[구월동]</t>
        </is>
      </c>
      <c r="B696" s="0" t="n">
        <v>105319</v>
      </c>
      <c r="C696" s="0" t="n">
        <v>5</v>
      </c>
      <c r="D696" s="0" t="inlineStr">
        <is>
          <t>구월아시아드선수촌8단지</t>
        </is>
      </c>
      <c r="E696" s="0" t="inlineStr">
        <is>
          <t>2015.06.</t>
        </is>
      </c>
      <c r="F696" s="0" t="n">
        <v>768</v>
      </c>
      <c r="G696" s="0" t="n">
        <v>34.3</v>
      </c>
      <c r="H696" s="0" t="n">
        <v>113.41</v>
      </c>
      <c r="I696" s="0" t="n">
        <v>25.67</v>
      </c>
      <c r="J696" s="0" t="n">
        <v>84.89</v>
      </c>
      <c r="K696" s="0" t="n">
        <v>58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113E</t>
        </is>
      </c>
      <c r="X696" s="0" t="n">
        <v>29</v>
      </c>
      <c r="Y696" s="0" t="n">
        <v>9</v>
      </c>
      <c r="Z696" s="0" t="inlineStr">
        <is>
          <t>https://new.land.naver.com/complexes/105319?tab=detail&amp;rf=Y</t>
        </is>
      </c>
      <c r="AA696" s="0" t="inlineStr">
        <is>
          <t>인천시 남동구 구월동 1554</t>
        </is>
      </c>
      <c r="AB696" s="0" t="inlineStr">
        <is>
          <t>인천시</t>
        </is>
      </c>
      <c r="AC696" s="0" t="inlineStr">
        <is>
          <t>남동구</t>
        </is>
      </c>
      <c r="AD696" s="0" t="inlineStr">
        <is>
          <t>구월동</t>
        </is>
      </c>
      <c r="AG696" s="0" t="inlineStr">
        <is>
          <t>인천시 남동구 선수촌로 8</t>
        </is>
      </c>
      <c r="AH696" s="0" t="n">
        <v>0</v>
      </c>
      <c r="AI696" s="0" t="n">
        <v>219</v>
      </c>
      <c r="AJ696" s="0" t="n">
        <v>17</v>
      </c>
      <c r="AK696" s="0" t="n">
        <v>906</v>
      </c>
      <c r="AL696" s="0" t="n">
        <v>1.18</v>
      </c>
    </row>
    <row r="697">
      <c r="A697" s="0" t="inlineStr">
        <is>
          <t>[구월동]</t>
        </is>
      </c>
      <c r="B697" s="0" t="n">
        <v>105319</v>
      </c>
      <c r="C697" s="0" t="n">
        <v>6</v>
      </c>
      <c r="D697" s="0" t="inlineStr">
        <is>
          <t>구월아시아드선수촌8단지</t>
        </is>
      </c>
      <c r="E697" s="0" t="inlineStr">
        <is>
          <t>2015.06.</t>
        </is>
      </c>
      <c r="F697" s="0" t="n">
        <v>768</v>
      </c>
      <c r="G697" s="0" t="n">
        <v>34.53</v>
      </c>
      <c r="H697" s="0" t="n">
        <v>114.16</v>
      </c>
      <c r="I697" s="0" t="n">
        <v>25.7</v>
      </c>
      <c r="J697" s="0" t="n">
        <v>84.97</v>
      </c>
      <c r="K697" s="0" t="n">
        <v>170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114B</t>
        </is>
      </c>
      <c r="X697" s="0" t="n">
        <v>29</v>
      </c>
      <c r="Y697" s="0" t="n">
        <v>9</v>
      </c>
      <c r="Z697" s="0" t="inlineStr">
        <is>
          <t>https://new.land.naver.com/complexes/105319?tab=detail&amp;rf=Y</t>
        </is>
      </c>
      <c r="AA697" s="0" t="inlineStr">
        <is>
          <t>인천시 남동구 구월동 1554</t>
        </is>
      </c>
      <c r="AB697" s="0" t="inlineStr">
        <is>
          <t>인천시</t>
        </is>
      </c>
      <c r="AC697" s="0" t="inlineStr">
        <is>
          <t>남동구</t>
        </is>
      </c>
      <c r="AD697" s="0" t="inlineStr">
        <is>
          <t>구월동</t>
        </is>
      </c>
      <c r="AG697" s="0" t="inlineStr">
        <is>
          <t>인천시 남동구 선수촌로 8</t>
        </is>
      </c>
      <c r="AH697" s="0" t="n">
        <v>0</v>
      </c>
      <c r="AI697" s="0" t="n">
        <v>219</v>
      </c>
      <c r="AJ697" s="0" t="n">
        <v>17</v>
      </c>
      <c r="AK697" s="0" t="n">
        <v>906</v>
      </c>
      <c r="AL697" s="0" t="n">
        <v>1.18</v>
      </c>
    </row>
    <row r="698">
      <c r="A698" s="0" t="inlineStr">
        <is>
          <t>[구월동]</t>
        </is>
      </c>
      <c r="B698" s="0" t="n">
        <v>119085</v>
      </c>
      <c r="C698" s="0" t="n">
        <v>1</v>
      </c>
      <c r="D698" s="0" t="inlineStr">
        <is>
          <t>탑클래스(1142-27)</t>
        </is>
      </c>
      <c r="E698" s="0" t="inlineStr">
        <is>
          <t>2016.04.</t>
        </is>
      </c>
      <c r="F698" s="0" t="n">
        <v>12</v>
      </c>
      <c r="G698" s="0" t="n">
        <v>22.75</v>
      </c>
      <c r="H698" s="0" t="n">
        <v>75.20999999999999</v>
      </c>
      <c r="I698" s="0" t="n">
        <v>18.04</v>
      </c>
      <c r="J698" s="0" t="n">
        <v>59.64</v>
      </c>
      <c r="K698" s="0" t="n">
        <v>3</v>
      </c>
      <c r="T698" s="0" t="n">
        <v>3</v>
      </c>
      <c r="U698" s="0" t="n">
        <v>1</v>
      </c>
      <c r="V698" s="0" t="inlineStr">
        <is>
          <t>복합식</t>
        </is>
      </c>
      <c r="W698" s="0" t="inlineStr">
        <is>
          <t>75B</t>
        </is>
      </c>
      <c r="X698" s="0" t="n">
        <v>14</v>
      </c>
      <c r="Y698" s="0" t="n">
        <v>14</v>
      </c>
      <c r="Z698" s="0" t="inlineStr">
        <is>
          <t>https://new.land.naver.com/complexes/119085?tab=detail&amp;rf=Y</t>
        </is>
      </c>
      <c r="AA698" s="0" t="inlineStr">
        <is>
          <t>인천시 남동구 구월동 1142-27</t>
        </is>
      </c>
      <c r="AB698" s="0" t="inlineStr">
        <is>
          <t>인천시</t>
        </is>
      </c>
      <c r="AC698" s="0" t="inlineStr">
        <is>
          <t>남동구</t>
        </is>
      </c>
      <c r="AD698" s="0" t="inlineStr">
        <is>
          <t>구월동</t>
        </is>
      </c>
      <c r="AG698" s="0" t="inlineStr">
        <is>
          <t>인천시 남동구 인주대로623번길 51</t>
        </is>
      </c>
      <c r="AH698" s="0" t="n">
        <v>0</v>
      </c>
      <c r="AI698" s="0" t="n">
        <v>778</v>
      </c>
      <c r="AJ698" s="0" t="n">
        <v>61</v>
      </c>
      <c r="AK698" s="0" t="n">
        <v>8</v>
      </c>
      <c r="AL698" s="0" t="n">
        <v>0.67</v>
      </c>
    </row>
    <row r="699">
      <c r="A699" s="0" t="inlineStr">
        <is>
          <t>[구월동]</t>
        </is>
      </c>
      <c r="B699" s="0" t="n">
        <v>119085</v>
      </c>
      <c r="C699" s="0" t="n">
        <v>2</v>
      </c>
      <c r="D699" s="0" t="inlineStr">
        <is>
          <t>탑클래스(1142-27)</t>
        </is>
      </c>
      <c r="E699" s="0" t="inlineStr">
        <is>
          <t>2016.04.</t>
        </is>
      </c>
      <c r="F699" s="0" t="n">
        <v>12</v>
      </c>
      <c r="G699" s="0" t="n">
        <v>22.83</v>
      </c>
      <c r="H699" s="0" t="n">
        <v>75.48</v>
      </c>
      <c r="I699" s="0" t="n">
        <v>18.1</v>
      </c>
      <c r="J699" s="0" t="n">
        <v>59.84</v>
      </c>
      <c r="K699" s="0" t="n">
        <v>3</v>
      </c>
      <c r="T699" s="0" t="n">
        <v>3</v>
      </c>
      <c r="U699" s="0" t="n">
        <v>1</v>
      </c>
      <c r="V699" s="0" t="inlineStr">
        <is>
          <t>복합식</t>
        </is>
      </c>
      <c r="W699" s="0" t="inlineStr">
        <is>
          <t>75C</t>
        </is>
      </c>
      <c r="X699" s="0" t="n">
        <v>14</v>
      </c>
      <c r="Y699" s="0" t="n">
        <v>14</v>
      </c>
      <c r="Z699" s="0" t="inlineStr">
        <is>
          <t>https://new.land.naver.com/complexes/119085?tab=detail&amp;rf=Y</t>
        </is>
      </c>
      <c r="AA699" s="0" t="inlineStr">
        <is>
          <t>인천시 남동구 구월동 1142-27</t>
        </is>
      </c>
      <c r="AB699" s="0" t="inlineStr">
        <is>
          <t>인천시</t>
        </is>
      </c>
      <c r="AC699" s="0" t="inlineStr">
        <is>
          <t>남동구</t>
        </is>
      </c>
      <c r="AD699" s="0" t="inlineStr">
        <is>
          <t>구월동</t>
        </is>
      </c>
      <c r="AG699" s="0" t="inlineStr">
        <is>
          <t>인천시 남동구 인주대로623번길 51</t>
        </is>
      </c>
      <c r="AH699" s="0" t="n">
        <v>0</v>
      </c>
      <c r="AI699" s="0" t="n">
        <v>778</v>
      </c>
      <c r="AJ699" s="0" t="n">
        <v>61</v>
      </c>
      <c r="AK699" s="0" t="n">
        <v>8</v>
      </c>
      <c r="AL699" s="0" t="n">
        <v>0.67</v>
      </c>
    </row>
    <row r="700">
      <c r="A700" s="0" t="inlineStr">
        <is>
          <t>[구월동]</t>
        </is>
      </c>
      <c r="B700" s="0" t="n">
        <v>119085</v>
      </c>
      <c r="C700" s="0" t="n">
        <v>3</v>
      </c>
      <c r="D700" s="0" t="inlineStr">
        <is>
          <t>탑클래스(1142-27)</t>
        </is>
      </c>
      <c r="E700" s="0" t="inlineStr">
        <is>
          <t>2016.04.</t>
        </is>
      </c>
      <c r="F700" s="0" t="n">
        <v>12</v>
      </c>
      <c r="G700" s="0" t="n">
        <v>23.28</v>
      </c>
      <c r="H700" s="0" t="n">
        <v>76.98999999999999</v>
      </c>
      <c r="I700" s="0" t="n">
        <v>18.1</v>
      </c>
      <c r="J700" s="0" t="n">
        <v>59.85</v>
      </c>
      <c r="K700" s="0" t="n">
        <v>3</v>
      </c>
      <c r="T700" s="0" t="n">
        <v>3</v>
      </c>
      <c r="U700" s="0" t="n">
        <v>1</v>
      </c>
      <c r="V700" s="0" t="inlineStr">
        <is>
          <t>복합식</t>
        </is>
      </c>
      <c r="W700" s="0" t="inlineStr">
        <is>
          <t>76A</t>
        </is>
      </c>
      <c r="X700" s="0" t="n">
        <v>14</v>
      </c>
      <c r="Y700" s="0" t="n">
        <v>14</v>
      </c>
      <c r="Z700" s="0" t="inlineStr">
        <is>
          <t>https://new.land.naver.com/complexes/119085?tab=detail&amp;rf=Y</t>
        </is>
      </c>
      <c r="AA700" s="0" t="inlineStr">
        <is>
          <t>인천시 남동구 구월동 1142-27</t>
        </is>
      </c>
      <c r="AB700" s="0" t="inlineStr">
        <is>
          <t>인천시</t>
        </is>
      </c>
      <c r="AC700" s="0" t="inlineStr">
        <is>
          <t>남동구</t>
        </is>
      </c>
      <c r="AD700" s="0" t="inlineStr">
        <is>
          <t>구월동</t>
        </is>
      </c>
      <c r="AG700" s="0" t="inlineStr">
        <is>
          <t>인천시 남동구 인주대로623번길 51</t>
        </is>
      </c>
      <c r="AH700" s="0" t="n">
        <v>0</v>
      </c>
      <c r="AI700" s="0" t="n">
        <v>778</v>
      </c>
      <c r="AJ700" s="0" t="n">
        <v>61</v>
      </c>
      <c r="AK700" s="0" t="n">
        <v>8</v>
      </c>
      <c r="AL700" s="0" t="n">
        <v>0.67</v>
      </c>
    </row>
    <row r="701">
      <c r="A701" s="0" t="inlineStr">
        <is>
          <t>[구월동]</t>
        </is>
      </c>
      <c r="B701" s="0" t="n">
        <v>119085</v>
      </c>
      <c r="C701" s="0" t="n">
        <v>4</v>
      </c>
      <c r="D701" s="0" t="inlineStr">
        <is>
          <t>탑클래스(1142-27)</t>
        </is>
      </c>
      <c r="E701" s="0" t="inlineStr">
        <is>
          <t>2016.04.</t>
        </is>
      </c>
      <c r="F701" s="0" t="n">
        <v>12</v>
      </c>
      <c r="G701" s="0" t="n">
        <v>23.24</v>
      </c>
      <c r="H701" s="0" t="n">
        <v>76.84999999999999</v>
      </c>
      <c r="I701" s="0" t="n">
        <v>18.11</v>
      </c>
      <c r="J701" s="0" t="n">
        <v>59.87</v>
      </c>
      <c r="K701" s="0" t="n">
        <v>3</v>
      </c>
      <c r="T701" s="0" t="n">
        <v>3</v>
      </c>
      <c r="U701" s="0" t="n">
        <v>1</v>
      </c>
      <c r="V701" s="0" t="inlineStr">
        <is>
          <t>복합식</t>
        </is>
      </c>
      <c r="W701" s="0" t="inlineStr">
        <is>
          <t>76D</t>
        </is>
      </c>
      <c r="X701" s="0" t="n">
        <v>14</v>
      </c>
      <c r="Y701" s="0" t="n">
        <v>14</v>
      </c>
      <c r="Z701" s="0" t="inlineStr">
        <is>
          <t>https://new.land.naver.com/complexes/119085?tab=detail&amp;rf=Y</t>
        </is>
      </c>
      <c r="AA701" s="0" t="inlineStr">
        <is>
          <t>인천시 남동구 구월동 1142-27</t>
        </is>
      </c>
      <c r="AB701" s="0" t="inlineStr">
        <is>
          <t>인천시</t>
        </is>
      </c>
      <c r="AC701" s="0" t="inlineStr">
        <is>
          <t>남동구</t>
        </is>
      </c>
      <c r="AD701" s="0" t="inlineStr">
        <is>
          <t>구월동</t>
        </is>
      </c>
      <c r="AG701" s="0" t="inlineStr">
        <is>
          <t>인천시 남동구 인주대로623번길 51</t>
        </is>
      </c>
      <c r="AH701" s="0" t="n">
        <v>0</v>
      </c>
      <c r="AI701" s="0" t="n">
        <v>778</v>
      </c>
      <c r="AJ701" s="0" t="n">
        <v>61</v>
      </c>
      <c r="AK701" s="0" t="n">
        <v>8</v>
      </c>
      <c r="AL701" s="0" t="n">
        <v>0.67</v>
      </c>
    </row>
    <row r="702">
      <c r="A702" s="0" t="inlineStr">
        <is>
          <t>[구월동]</t>
        </is>
      </c>
      <c r="B702" s="0" t="n">
        <v>121355</v>
      </c>
      <c r="C702" s="0" t="n">
        <v>1</v>
      </c>
      <c r="D702" s="0" t="inlineStr">
        <is>
          <t>세종리젠시(도시형)</t>
        </is>
      </c>
      <c r="E702" s="0" t="inlineStr">
        <is>
          <t>2016.12.</t>
        </is>
      </c>
      <c r="F702" s="0" t="n">
        <v>12</v>
      </c>
      <c r="G702" s="0" t="n">
        <v>14.62</v>
      </c>
      <c r="H702" s="0" t="n">
        <v>48.35</v>
      </c>
      <c r="I702" s="0" t="n">
        <v>11.03</v>
      </c>
      <c r="J702" s="0" t="n">
        <v>36.48</v>
      </c>
      <c r="K702" s="0" t="n">
        <v>1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48A</t>
        </is>
      </c>
      <c r="X702" s="0" t="n">
        <v>14</v>
      </c>
      <c r="Y702" s="0" t="n">
        <v>14</v>
      </c>
      <c r="Z702" s="0" t="inlineStr">
        <is>
          <t>https://new.land.naver.com/complexes/121355?tab=detail&amp;rf=Y</t>
        </is>
      </c>
      <c r="AA702" s="0" t="inlineStr">
        <is>
          <t>인천시 남동구 구월동 1359-15</t>
        </is>
      </c>
      <c r="AB702" s="0" t="inlineStr">
        <is>
          <t>인천시</t>
        </is>
      </c>
      <c r="AC702" s="0" t="inlineStr">
        <is>
          <t>남동구</t>
        </is>
      </c>
      <c r="AD702" s="0" t="inlineStr">
        <is>
          <t>구월동</t>
        </is>
      </c>
      <c r="AG702" s="0" t="inlineStr">
        <is>
          <t>인천시 남동구 인주대로522번길 60</t>
        </is>
      </c>
      <c r="AH702" s="0" t="n">
        <v>0</v>
      </c>
      <c r="AI702" s="0" t="n">
        <v>437</v>
      </c>
      <c r="AJ702" s="0" t="n">
        <v>51</v>
      </c>
      <c r="AK702" s="0" t="n">
        <v>8</v>
      </c>
      <c r="AL702" s="0" t="n">
        <v>0.67</v>
      </c>
    </row>
    <row r="703">
      <c r="A703" s="0" t="inlineStr">
        <is>
          <t>[구월동]</t>
        </is>
      </c>
      <c r="B703" s="0" t="n">
        <v>121355</v>
      </c>
      <c r="C703" s="0" t="n">
        <v>2</v>
      </c>
      <c r="D703" s="0" t="inlineStr">
        <is>
          <t>세종리젠시(도시형)</t>
        </is>
      </c>
      <c r="E703" s="0" t="inlineStr">
        <is>
          <t>2016.12.</t>
        </is>
      </c>
      <c r="F703" s="0" t="n">
        <v>12</v>
      </c>
      <c r="G703" s="0" t="n">
        <v>14.96</v>
      </c>
      <c r="H703" s="0" t="n">
        <v>49.46</v>
      </c>
      <c r="I703" s="0" t="n">
        <v>11.34</v>
      </c>
      <c r="J703" s="0" t="n">
        <v>37.52</v>
      </c>
      <c r="K703" s="0" t="n">
        <v>1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49B</t>
        </is>
      </c>
      <c r="X703" s="0" t="n">
        <v>14</v>
      </c>
      <c r="Y703" s="0" t="n">
        <v>14</v>
      </c>
      <c r="Z703" s="0" t="inlineStr">
        <is>
          <t>https://new.land.naver.com/complexes/121355?tab=detail&amp;rf=Y</t>
        </is>
      </c>
      <c r="AA703" s="0" t="inlineStr">
        <is>
          <t>인천시 남동구 구월동 1359-15</t>
        </is>
      </c>
      <c r="AB703" s="0" t="inlineStr">
        <is>
          <t>인천시</t>
        </is>
      </c>
      <c r="AC703" s="0" t="inlineStr">
        <is>
          <t>남동구</t>
        </is>
      </c>
      <c r="AD703" s="0" t="inlineStr">
        <is>
          <t>구월동</t>
        </is>
      </c>
      <c r="AG703" s="0" t="inlineStr">
        <is>
          <t>인천시 남동구 인주대로522번길 60</t>
        </is>
      </c>
      <c r="AH703" s="0" t="n">
        <v>0</v>
      </c>
      <c r="AI703" s="0" t="n">
        <v>437</v>
      </c>
      <c r="AJ703" s="0" t="n">
        <v>51</v>
      </c>
      <c r="AK703" s="0" t="n">
        <v>8</v>
      </c>
      <c r="AL703" s="0" t="n">
        <v>0.67</v>
      </c>
    </row>
    <row r="704">
      <c r="A704" s="0" t="inlineStr">
        <is>
          <t>[구월동]</t>
        </is>
      </c>
      <c r="B704" s="0" t="n">
        <v>121355</v>
      </c>
      <c r="C704" s="0" t="n">
        <v>3</v>
      </c>
      <c r="D704" s="0" t="inlineStr">
        <is>
          <t>세종리젠시(도시형)</t>
        </is>
      </c>
      <c r="E704" s="0" t="inlineStr">
        <is>
          <t>2016.12.</t>
        </is>
      </c>
      <c r="F704" s="0" t="n">
        <v>12</v>
      </c>
      <c r="G704" s="0" t="n">
        <v>15.14</v>
      </c>
      <c r="H704" s="0" t="n">
        <v>50.08</v>
      </c>
      <c r="I704" s="0" t="n">
        <v>11.49</v>
      </c>
      <c r="J704" s="0" t="n">
        <v>38.01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50C</t>
        </is>
      </c>
      <c r="X704" s="0" t="n">
        <v>14</v>
      </c>
      <c r="Y704" s="0" t="n">
        <v>14</v>
      </c>
      <c r="Z704" s="0" t="inlineStr">
        <is>
          <t>https://new.land.naver.com/complexes/121355?tab=detail&amp;rf=Y</t>
        </is>
      </c>
      <c r="AA704" s="0" t="inlineStr">
        <is>
          <t>인천시 남동구 구월동 1359-15</t>
        </is>
      </c>
      <c r="AB704" s="0" t="inlineStr">
        <is>
          <t>인천시</t>
        </is>
      </c>
      <c r="AC704" s="0" t="inlineStr">
        <is>
          <t>남동구</t>
        </is>
      </c>
      <c r="AD704" s="0" t="inlineStr">
        <is>
          <t>구월동</t>
        </is>
      </c>
      <c r="AG704" s="0" t="inlineStr">
        <is>
          <t>인천시 남동구 인주대로522번길 60</t>
        </is>
      </c>
      <c r="AH704" s="0" t="n">
        <v>0</v>
      </c>
      <c r="AI704" s="0" t="n">
        <v>437</v>
      </c>
      <c r="AJ704" s="0" t="n">
        <v>51</v>
      </c>
      <c r="AK704" s="0" t="n">
        <v>8</v>
      </c>
      <c r="AL704" s="0" t="n">
        <v>0.67</v>
      </c>
    </row>
    <row r="705">
      <c r="A705" s="0" t="inlineStr">
        <is>
          <t>[구월동]</t>
        </is>
      </c>
      <c r="B705" s="0" t="n">
        <v>121355</v>
      </c>
      <c r="C705" s="0" t="n">
        <v>4</v>
      </c>
      <c r="D705" s="0" t="inlineStr">
        <is>
          <t>세종리젠시(도시형)</t>
        </is>
      </c>
      <c r="E705" s="0" t="inlineStr">
        <is>
          <t>2016.12.</t>
        </is>
      </c>
      <c r="F705" s="0" t="n">
        <v>12</v>
      </c>
      <c r="G705" s="0" t="n">
        <v>15.89</v>
      </c>
      <c r="H705" s="0" t="n">
        <v>52.54</v>
      </c>
      <c r="I705" s="0" t="n">
        <v>11.92</v>
      </c>
      <c r="J705" s="0" t="n">
        <v>39.43</v>
      </c>
      <c r="K705" s="0" t="n">
        <v>6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52</v>
      </c>
      <c r="X705" s="0" t="n">
        <v>14</v>
      </c>
      <c r="Y705" s="0" t="n">
        <v>14</v>
      </c>
      <c r="Z705" s="0" t="inlineStr">
        <is>
          <t>https://new.land.naver.com/complexes/121355?tab=detail&amp;rf=Y</t>
        </is>
      </c>
      <c r="AA705" s="0" t="inlineStr">
        <is>
          <t>인천시 남동구 구월동 1359-15</t>
        </is>
      </c>
      <c r="AB705" s="0" t="inlineStr">
        <is>
          <t>인천시</t>
        </is>
      </c>
      <c r="AC705" s="0" t="inlineStr">
        <is>
          <t>남동구</t>
        </is>
      </c>
      <c r="AD705" s="0" t="inlineStr">
        <is>
          <t>구월동</t>
        </is>
      </c>
      <c r="AG705" s="0" t="inlineStr">
        <is>
          <t>인천시 남동구 인주대로522번길 60</t>
        </is>
      </c>
      <c r="AH705" s="0" t="n">
        <v>0</v>
      </c>
      <c r="AI705" s="0" t="n">
        <v>437</v>
      </c>
      <c r="AJ705" s="0" t="n">
        <v>51</v>
      </c>
      <c r="AK705" s="0" t="n">
        <v>8</v>
      </c>
      <c r="AL705" s="0" t="n">
        <v>0.67</v>
      </c>
    </row>
    <row r="706">
      <c r="A706" s="0" t="inlineStr">
        <is>
          <t>[구월동]</t>
        </is>
      </c>
      <c r="B706" s="0" t="n">
        <v>105002</v>
      </c>
      <c r="C706" s="0" t="n">
        <v>1</v>
      </c>
      <c r="D706" s="0" t="inlineStr">
        <is>
          <t>구월아시아드선수촌5단지</t>
        </is>
      </c>
      <c r="E706" s="0" t="inlineStr">
        <is>
          <t>2015.06.</t>
        </is>
      </c>
      <c r="F706" s="0" t="n">
        <v>782</v>
      </c>
      <c r="G706" s="0" t="n">
        <v>30.22</v>
      </c>
      <c r="H706" s="0" t="n">
        <v>99.91</v>
      </c>
      <c r="I706" s="0" t="n">
        <v>22.66</v>
      </c>
      <c r="J706" s="0" t="n">
        <v>74.93000000000001</v>
      </c>
      <c r="K706" s="0" t="n">
        <v>116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99D</t>
        </is>
      </c>
      <c r="X706" s="0" t="n">
        <v>29</v>
      </c>
      <c r="Y706" s="0" t="n">
        <v>25</v>
      </c>
      <c r="Z706" s="0" t="inlineStr">
        <is>
          <t>https://new.land.naver.com/complexes/105002?tab=detail&amp;rf=Y</t>
        </is>
      </c>
      <c r="AA706" s="0" t="inlineStr">
        <is>
          <t>인천시 남동구 구월동 1513</t>
        </is>
      </c>
      <c r="AB706" s="0" t="inlineStr">
        <is>
          <t>인천시</t>
        </is>
      </c>
      <c r="AC706" s="0" t="inlineStr">
        <is>
          <t>남동구</t>
        </is>
      </c>
      <c r="AD706" s="0" t="inlineStr">
        <is>
          <t>구월동</t>
        </is>
      </c>
      <c r="AG706" s="0" t="inlineStr">
        <is>
          <t>인천시 남동구 선수촌로 56</t>
        </is>
      </c>
      <c r="AH706" s="0" t="n">
        <v>0</v>
      </c>
      <c r="AI706" s="0" t="n">
        <v>218</v>
      </c>
      <c r="AJ706" s="0" t="n">
        <v>13</v>
      </c>
      <c r="AK706" s="0" t="n">
        <v>918</v>
      </c>
      <c r="AL706" s="0" t="n">
        <v>1.17</v>
      </c>
    </row>
    <row r="707">
      <c r="A707" s="0" t="inlineStr">
        <is>
          <t>[구월동]</t>
        </is>
      </c>
      <c r="B707" s="0" t="n">
        <v>105002</v>
      </c>
      <c r="C707" s="0" t="n">
        <v>2</v>
      </c>
      <c r="D707" s="0" t="inlineStr">
        <is>
          <t>구월아시아드선수촌5단지</t>
        </is>
      </c>
      <c r="E707" s="0" t="inlineStr">
        <is>
          <t>2015.06.</t>
        </is>
      </c>
      <c r="F707" s="0" t="n">
        <v>782</v>
      </c>
      <c r="G707" s="0" t="n">
        <v>30.31</v>
      </c>
      <c r="H707" s="0" t="n">
        <v>100.2</v>
      </c>
      <c r="I707" s="0" t="n">
        <v>22.66</v>
      </c>
      <c r="J707" s="0" t="n">
        <v>74.94</v>
      </c>
      <c r="K707" s="0" t="n">
        <v>251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29</v>
      </c>
      <c r="Y707" s="0" t="n">
        <v>25</v>
      </c>
      <c r="Z707" s="0" t="inlineStr">
        <is>
          <t>https://new.land.naver.com/complexes/105002?tab=detail&amp;rf=Y</t>
        </is>
      </c>
      <c r="AA707" s="0" t="inlineStr">
        <is>
          <t>인천시 남동구 구월동 1513</t>
        </is>
      </c>
      <c r="AB707" s="0" t="inlineStr">
        <is>
          <t>인천시</t>
        </is>
      </c>
      <c r="AC707" s="0" t="inlineStr">
        <is>
          <t>남동구</t>
        </is>
      </c>
      <c r="AD707" s="0" t="inlineStr">
        <is>
          <t>구월동</t>
        </is>
      </c>
      <c r="AG707" s="0" t="inlineStr">
        <is>
          <t>인천시 남동구 선수촌로 56</t>
        </is>
      </c>
      <c r="AH707" s="0" t="n">
        <v>0</v>
      </c>
      <c r="AI707" s="0" t="n">
        <v>218</v>
      </c>
      <c r="AJ707" s="0" t="n">
        <v>13</v>
      </c>
      <c r="AK707" s="0" t="n">
        <v>918</v>
      </c>
      <c r="AL707" s="0" t="n">
        <v>1.17</v>
      </c>
    </row>
    <row r="708">
      <c r="A708" s="0" t="inlineStr">
        <is>
          <t>[구월동]</t>
        </is>
      </c>
      <c r="B708" s="0" t="n">
        <v>105002</v>
      </c>
      <c r="C708" s="0" t="n">
        <v>3</v>
      </c>
      <c r="D708" s="0" t="inlineStr">
        <is>
          <t>구월아시아드선수촌5단지</t>
        </is>
      </c>
      <c r="E708" s="0" t="inlineStr">
        <is>
          <t>2015.06.</t>
        </is>
      </c>
      <c r="F708" s="0" t="n">
        <v>782</v>
      </c>
      <c r="G708" s="0" t="n">
        <v>30.31</v>
      </c>
      <c r="H708" s="0" t="n">
        <v>100.2</v>
      </c>
      <c r="I708" s="0" t="n">
        <v>22.66</v>
      </c>
      <c r="J708" s="0" t="n">
        <v>74.94</v>
      </c>
      <c r="K708" s="0" t="n">
        <v>27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100CN</t>
        </is>
      </c>
      <c r="X708" s="0" t="n">
        <v>29</v>
      </c>
      <c r="Y708" s="0" t="n">
        <v>25</v>
      </c>
      <c r="Z708" s="0" t="inlineStr">
        <is>
          <t>https://new.land.naver.com/complexes/105002?tab=detail&amp;rf=Y</t>
        </is>
      </c>
      <c r="AA708" s="0" t="inlineStr">
        <is>
          <t>인천시 남동구 구월동 1513</t>
        </is>
      </c>
      <c r="AB708" s="0" t="inlineStr">
        <is>
          <t>인천시</t>
        </is>
      </c>
      <c r="AC708" s="0" t="inlineStr">
        <is>
          <t>남동구</t>
        </is>
      </c>
      <c r="AD708" s="0" t="inlineStr">
        <is>
          <t>구월동</t>
        </is>
      </c>
      <c r="AG708" s="0" t="inlineStr">
        <is>
          <t>인천시 남동구 선수촌로 56</t>
        </is>
      </c>
      <c r="AH708" s="0" t="n">
        <v>0</v>
      </c>
      <c r="AI708" s="0" t="n">
        <v>218</v>
      </c>
      <c r="AJ708" s="0" t="n">
        <v>13</v>
      </c>
      <c r="AK708" s="0" t="n">
        <v>918</v>
      </c>
      <c r="AL708" s="0" t="n">
        <v>1.17</v>
      </c>
    </row>
    <row r="709">
      <c r="A709" s="0" t="inlineStr">
        <is>
          <t>[구월동]</t>
        </is>
      </c>
      <c r="B709" s="0" t="n">
        <v>105002</v>
      </c>
      <c r="C709" s="0" t="n">
        <v>4</v>
      </c>
      <c r="D709" s="0" t="inlineStr">
        <is>
          <t>구월아시아드선수촌5단지</t>
        </is>
      </c>
      <c r="E709" s="0" t="inlineStr">
        <is>
          <t>2015.06.</t>
        </is>
      </c>
      <c r="F709" s="0" t="n">
        <v>782</v>
      </c>
      <c r="G709" s="0" t="n">
        <v>30.6</v>
      </c>
      <c r="H709" s="0" t="n">
        <v>101.16</v>
      </c>
      <c r="I709" s="0" t="n">
        <v>22.66</v>
      </c>
      <c r="J709" s="0" t="n">
        <v>74.92</v>
      </c>
      <c r="K709" s="0" t="n">
        <v>133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101E</t>
        </is>
      </c>
      <c r="X709" s="0" t="n">
        <v>29</v>
      </c>
      <c r="Y709" s="0" t="n">
        <v>25</v>
      </c>
      <c r="Z709" s="0" t="inlineStr">
        <is>
          <t>https://new.land.naver.com/complexes/105002?tab=detail&amp;rf=Y</t>
        </is>
      </c>
      <c r="AA709" s="0" t="inlineStr">
        <is>
          <t>인천시 남동구 구월동 1513</t>
        </is>
      </c>
      <c r="AB709" s="0" t="inlineStr">
        <is>
          <t>인천시</t>
        </is>
      </c>
      <c r="AC709" s="0" t="inlineStr">
        <is>
          <t>남동구</t>
        </is>
      </c>
      <c r="AD709" s="0" t="inlineStr">
        <is>
          <t>구월동</t>
        </is>
      </c>
      <c r="AG709" s="0" t="inlineStr">
        <is>
          <t>인천시 남동구 선수촌로 56</t>
        </is>
      </c>
      <c r="AH709" s="0" t="n">
        <v>0</v>
      </c>
      <c r="AI709" s="0" t="n">
        <v>218</v>
      </c>
      <c r="AJ709" s="0" t="n">
        <v>13</v>
      </c>
      <c r="AK709" s="0" t="n">
        <v>918</v>
      </c>
      <c r="AL709" s="0" t="n">
        <v>1.17</v>
      </c>
    </row>
    <row r="710">
      <c r="A710" s="0" t="inlineStr">
        <is>
          <t>[구월동]</t>
        </is>
      </c>
      <c r="B710" s="0" t="n">
        <v>105002</v>
      </c>
      <c r="C710" s="0" t="n">
        <v>5</v>
      </c>
      <c r="D710" s="0" t="inlineStr">
        <is>
          <t>구월아시아드선수촌5단지</t>
        </is>
      </c>
      <c r="E710" s="0" t="inlineStr">
        <is>
          <t>2015.06.</t>
        </is>
      </c>
      <c r="F710" s="0" t="n">
        <v>782</v>
      </c>
      <c r="G710" s="0" t="n">
        <v>34.3</v>
      </c>
      <c r="H710" s="0" t="n">
        <v>113.42</v>
      </c>
      <c r="I710" s="0" t="n">
        <v>25.7</v>
      </c>
      <c r="J710" s="0" t="n">
        <v>84.97</v>
      </c>
      <c r="K710" s="0" t="n">
        <v>116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29</v>
      </c>
      <c r="Y710" s="0" t="n">
        <v>25</v>
      </c>
      <c r="Z710" s="0" t="inlineStr">
        <is>
          <t>https://new.land.naver.com/complexes/105002?tab=detail&amp;rf=Y</t>
        </is>
      </c>
      <c r="AA710" s="0" t="inlineStr">
        <is>
          <t>인천시 남동구 구월동 1513</t>
        </is>
      </c>
      <c r="AB710" s="0" t="inlineStr">
        <is>
          <t>인천시</t>
        </is>
      </c>
      <c r="AC710" s="0" t="inlineStr">
        <is>
          <t>남동구</t>
        </is>
      </c>
      <c r="AD710" s="0" t="inlineStr">
        <is>
          <t>구월동</t>
        </is>
      </c>
      <c r="AG710" s="0" t="inlineStr">
        <is>
          <t>인천시 남동구 선수촌로 56</t>
        </is>
      </c>
      <c r="AH710" s="0" t="n">
        <v>0</v>
      </c>
      <c r="AI710" s="0" t="n">
        <v>218</v>
      </c>
      <c r="AJ710" s="0" t="n">
        <v>13</v>
      </c>
      <c r="AK710" s="0" t="n">
        <v>918</v>
      </c>
      <c r="AL710" s="0" t="n">
        <v>1.17</v>
      </c>
    </row>
    <row r="711">
      <c r="A711" s="0" t="inlineStr">
        <is>
          <t>[구월동]</t>
        </is>
      </c>
      <c r="B711" s="0" t="n">
        <v>105002</v>
      </c>
      <c r="C711" s="0" t="n">
        <v>6</v>
      </c>
      <c r="D711" s="0" t="inlineStr">
        <is>
          <t>구월아시아드선수촌5단지</t>
        </is>
      </c>
      <c r="E711" s="0" t="inlineStr">
        <is>
          <t>2015.06.</t>
        </is>
      </c>
      <c r="F711" s="0" t="n">
        <v>782</v>
      </c>
      <c r="G711" s="0" t="n">
        <v>34.37</v>
      </c>
      <c r="H711" s="0" t="n">
        <v>113.65</v>
      </c>
      <c r="I711" s="0" t="n">
        <v>25.69</v>
      </c>
      <c r="J711" s="0" t="n">
        <v>84.94</v>
      </c>
      <c r="K711" s="0" t="n">
        <v>112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113D</t>
        </is>
      </c>
      <c r="X711" s="0" t="n">
        <v>29</v>
      </c>
      <c r="Y711" s="0" t="n">
        <v>25</v>
      </c>
      <c r="Z711" s="0" t="inlineStr">
        <is>
          <t>https://new.land.naver.com/complexes/105002?tab=detail&amp;rf=Y</t>
        </is>
      </c>
      <c r="AA711" s="0" t="inlineStr">
        <is>
          <t>인천시 남동구 구월동 1513</t>
        </is>
      </c>
      <c r="AB711" s="0" t="inlineStr">
        <is>
          <t>인천시</t>
        </is>
      </c>
      <c r="AC711" s="0" t="inlineStr">
        <is>
          <t>남동구</t>
        </is>
      </c>
      <c r="AD711" s="0" t="inlineStr">
        <is>
          <t>구월동</t>
        </is>
      </c>
      <c r="AG711" s="0" t="inlineStr">
        <is>
          <t>인천시 남동구 선수촌로 56</t>
        </is>
      </c>
      <c r="AH711" s="0" t="n">
        <v>0</v>
      </c>
      <c r="AI711" s="0" t="n">
        <v>218</v>
      </c>
      <c r="AJ711" s="0" t="n">
        <v>13</v>
      </c>
      <c r="AK711" s="0" t="n">
        <v>918</v>
      </c>
      <c r="AL711" s="0" t="n">
        <v>1.17</v>
      </c>
    </row>
    <row r="712">
      <c r="A712" s="0" t="inlineStr">
        <is>
          <t>[구월동]</t>
        </is>
      </c>
      <c r="B712" s="0" t="n">
        <v>105002</v>
      </c>
      <c r="C712" s="0" t="n">
        <v>7</v>
      </c>
      <c r="D712" s="0" t="inlineStr">
        <is>
          <t>구월아시아드선수촌5단지</t>
        </is>
      </c>
      <c r="E712" s="0" t="inlineStr">
        <is>
          <t>2015.06.</t>
        </is>
      </c>
      <c r="F712" s="0" t="n">
        <v>782</v>
      </c>
      <c r="G712" s="0" t="n">
        <v>34.37</v>
      </c>
      <c r="H712" s="0" t="n">
        <v>113.65</v>
      </c>
      <c r="I712" s="0" t="n">
        <v>25.69</v>
      </c>
      <c r="J712" s="0" t="n">
        <v>84.94</v>
      </c>
      <c r="K712" s="0" t="n">
        <v>27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113DN</t>
        </is>
      </c>
      <c r="X712" s="0" t="n">
        <v>29</v>
      </c>
      <c r="Y712" s="0" t="n">
        <v>25</v>
      </c>
      <c r="Z712" s="0" t="inlineStr">
        <is>
          <t>https://new.land.naver.com/complexes/105002?tab=detail&amp;rf=Y</t>
        </is>
      </c>
      <c r="AA712" s="0" t="inlineStr">
        <is>
          <t>인천시 남동구 구월동 1513</t>
        </is>
      </c>
      <c r="AB712" s="0" t="inlineStr">
        <is>
          <t>인천시</t>
        </is>
      </c>
      <c r="AC712" s="0" t="inlineStr">
        <is>
          <t>남동구</t>
        </is>
      </c>
      <c r="AD712" s="0" t="inlineStr">
        <is>
          <t>구월동</t>
        </is>
      </c>
      <c r="AG712" s="0" t="inlineStr">
        <is>
          <t>인천시 남동구 선수촌로 56</t>
        </is>
      </c>
      <c r="AH712" s="0" t="n">
        <v>0</v>
      </c>
      <c r="AI712" s="0" t="n">
        <v>218</v>
      </c>
      <c r="AJ712" s="0" t="n">
        <v>13</v>
      </c>
      <c r="AK712" s="0" t="n">
        <v>918</v>
      </c>
      <c r="AL712" s="0" t="n">
        <v>1.17</v>
      </c>
    </row>
    <row r="713">
      <c r="A713" s="0" t="inlineStr">
        <is>
          <t>[구월동]</t>
        </is>
      </c>
      <c r="B713" s="0" t="n">
        <v>115855</v>
      </c>
      <c r="C713" s="0" t="n">
        <v>1</v>
      </c>
      <c r="D713" s="0" t="inlineStr">
        <is>
          <t>퍼스트클래스(도시형)</t>
        </is>
      </c>
      <c r="E713" s="0" t="inlineStr">
        <is>
          <t>2015.08.</t>
        </is>
      </c>
      <c r="F713" s="0" t="n">
        <v>24</v>
      </c>
      <c r="G713" s="0" t="n">
        <v>18.98</v>
      </c>
      <c r="H713" s="0" t="n">
        <v>62.76</v>
      </c>
      <c r="I713" s="0" t="n">
        <v>14.78</v>
      </c>
      <c r="J713" s="0" t="n">
        <v>48.86</v>
      </c>
      <c r="K713" s="0" t="n">
        <v>12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62</v>
      </c>
      <c r="X713" s="0" t="n">
        <v>14</v>
      </c>
      <c r="Y713" s="0" t="n">
        <v>14</v>
      </c>
      <c r="Z713" s="0" t="inlineStr">
        <is>
          <t>https://new.land.naver.com/complexes/115855?tab=detail&amp;rf=Y</t>
        </is>
      </c>
      <c r="AA713" s="0" t="inlineStr">
        <is>
          <t>인천시 남동구 구월동 1143-11</t>
        </is>
      </c>
      <c r="AB713" s="0" t="inlineStr">
        <is>
          <t>인천시</t>
        </is>
      </c>
      <c r="AC713" s="0" t="inlineStr">
        <is>
          <t>남동구</t>
        </is>
      </c>
      <c r="AD713" s="0" t="inlineStr">
        <is>
          <t>구월동</t>
        </is>
      </c>
      <c r="AG713" s="0" t="inlineStr">
        <is>
          <t>인천시 남동구 남동대로765번길 42-9</t>
        </is>
      </c>
      <c r="AH713" s="0" t="n">
        <v>0</v>
      </c>
      <c r="AI713" s="0" t="n">
        <v>739</v>
      </c>
      <c r="AJ713" s="0" t="n">
        <v>69</v>
      </c>
      <c r="AK713" s="0" t="n">
        <v>19</v>
      </c>
      <c r="AL713" s="0" t="n">
        <v>0.79</v>
      </c>
    </row>
    <row r="714">
      <c r="A714" s="0" t="inlineStr">
        <is>
          <t>[구월동]</t>
        </is>
      </c>
      <c r="B714" s="0" t="n">
        <v>115855</v>
      </c>
      <c r="C714" s="0" t="n">
        <v>2</v>
      </c>
      <c r="D714" s="0" t="inlineStr">
        <is>
          <t>퍼스트클래스(도시형)</t>
        </is>
      </c>
      <c r="E714" s="0" t="inlineStr">
        <is>
          <t>2015.08.</t>
        </is>
      </c>
      <c r="F714" s="0" t="n">
        <v>24</v>
      </c>
      <c r="G714" s="0" t="n">
        <v>19.53</v>
      </c>
      <c r="H714" s="0" t="n">
        <v>64.56999999999999</v>
      </c>
      <c r="I714" s="0" t="n">
        <v>15.09</v>
      </c>
      <c r="J714" s="0" t="n">
        <v>49.9</v>
      </c>
      <c r="K714" s="0" t="n">
        <v>12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64</v>
      </c>
      <c r="X714" s="0" t="n">
        <v>14</v>
      </c>
      <c r="Y714" s="0" t="n">
        <v>14</v>
      </c>
      <c r="Z714" s="0" t="inlineStr">
        <is>
          <t>https://new.land.naver.com/complexes/115855?tab=detail&amp;rf=Y</t>
        </is>
      </c>
      <c r="AA714" s="0" t="inlineStr">
        <is>
          <t>인천시 남동구 구월동 1143-11</t>
        </is>
      </c>
      <c r="AB714" s="0" t="inlineStr">
        <is>
          <t>인천시</t>
        </is>
      </c>
      <c r="AC714" s="0" t="inlineStr">
        <is>
          <t>남동구</t>
        </is>
      </c>
      <c r="AD714" s="0" t="inlineStr">
        <is>
          <t>구월동</t>
        </is>
      </c>
      <c r="AG714" s="0" t="inlineStr">
        <is>
          <t>인천시 남동구 남동대로765번길 42-9</t>
        </is>
      </c>
      <c r="AH714" s="0" t="n">
        <v>0</v>
      </c>
      <c r="AI714" s="0" t="n">
        <v>739</v>
      </c>
      <c r="AJ714" s="0" t="n">
        <v>69</v>
      </c>
      <c r="AK714" s="0" t="n">
        <v>19</v>
      </c>
      <c r="AL714" s="0" t="n">
        <v>0.79</v>
      </c>
    </row>
    <row r="715">
      <c r="A715" s="0" t="inlineStr">
        <is>
          <t>[구월동]</t>
        </is>
      </c>
      <c r="B715" s="0" t="n">
        <v>106186</v>
      </c>
      <c r="C715" s="0" t="n">
        <v>1</v>
      </c>
      <c r="D715" s="0" t="inlineStr">
        <is>
          <t>구월아시아드선수촌센트럴자이</t>
        </is>
      </c>
      <c r="E715" s="0" t="inlineStr">
        <is>
          <t>2015.06.</t>
        </is>
      </c>
      <c r="F715" s="0" t="n">
        <v>850</v>
      </c>
      <c r="G715" s="0" t="n">
        <v>34.14</v>
      </c>
      <c r="H715" s="0" t="n">
        <v>112.88</v>
      </c>
      <c r="I715" s="0" t="n">
        <v>25.64</v>
      </c>
      <c r="J715" s="0" t="n">
        <v>84.78</v>
      </c>
      <c r="K715" s="0" t="n">
        <v>55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112B</t>
        </is>
      </c>
      <c r="X715" s="0" t="n">
        <v>29</v>
      </c>
      <c r="Y715" s="0" t="n">
        <v>28</v>
      </c>
      <c r="Z715" s="0" t="inlineStr">
        <is>
          <t>https://new.land.naver.com/complexes/106186?tab=detail&amp;rf=Y</t>
        </is>
      </c>
      <c r="AA715" s="0" t="inlineStr">
        <is>
          <t>인천시 남동구 구월동 1510</t>
        </is>
      </c>
      <c r="AB715" s="0" t="inlineStr">
        <is>
          <t>인천시</t>
        </is>
      </c>
      <c r="AC715" s="0" t="inlineStr">
        <is>
          <t>남동구</t>
        </is>
      </c>
      <c r="AD715" s="0" t="inlineStr">
        <is>
          <t>구월동</t>
        </is>
      </c>
      <c r="AG715" s="0" t="inlineStr">
        <is>
          <t>인천시 남동구 선수촌로 55</t>
        </is>
      </c>
      <c r="AH715" s="0" t="n">
        <v>0</v>
      </c>
      <c r="AI715" s="0" t="n">
        <v>196</v>
      </c>
      <c r="AJ715" s="0" t="n">
        <v>9</v>
      </c>
      <c r="AK715" s="0" t="n">
        <v>1265</v>
      </c>
      <c r="AL715" s="0" t="n">
        <v>1.49</v>
      </c>
    </row>
    <row r="716">
      <c r="A716" s="0" t="inlineStr">
        <is>
          <t>[구월동]</t>
        </is>
      </c>
      <c r="B716" s="0" t="n">
        <v>106186</v>
      </c>
      <c r="C716" s="0" t="n">
        <v>2</v>
      </c>
      <c r="D716" s="0" t="inlineStr">
        <is>
          <t>구월아시아드선수촌센트럴자이</t>
        </is>
      </c>
      <c r="E716" s="0" t="inlineStr">
        <is>
          <t>2015.06.</t>
        </is>
      </c>
      <c r="F716" s="0" t="n">
        <v>850</v>
      </c>
      <c r="G716" s="0" t="n">
        <v>34.24</v>
      </c>
      <c r="H716" s="0" t="n">
        <v>113.22</v>
      </c>
      <c r="I716" s="0" t="n">
        <v>25.69</v>
      </c>
      <c r="J716" s="0" t="n">
        <v>84.94</v>
      </c>
      <c r="K716" s="0" t="n">
        <v>110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113A</t>
        </is>
      </c>
      <c r="X716" s="0" t="n">
        <v>29</v>
      </c>
      <c r="Y716" s="0" t="n">
        <v>28</v>
      </c>
      <c r="Z716" s="0" t="inlineStr">
        <is>
          <t>https://new.land.naver.com/complexes/106186?tab=detail&amp;rf=Y</t>
        </is>
      </c>
      <c r="AA716" s="0" t="inlineStr">
        <is>
          <t>인천시 남동구 구월동 1510</t>
        </is>
      </c>
      <c r="AB716" s="0" t="inlineStr">
        <is>
          <t>인천시</t>
        </is>
      </c>
      <c r="AC716" s="0" t="inlineStr">
        <is>
          <t>남동구</t>
        </is>
      </c>
      <c r="AD716" s="0" t="inlineStr">
        <is>
          <t>구월동</t>
        </is>
      </c>
      <c r="AG716" s="0" t="inlineStr">
        <is>
          <t>인천시 남동구 선수촌로 55</t>
        </is>
      </c>
      <c r="AH716" s="0" t="n">
        <v>0</v>
      </c>
      <c r="AI716" s="0" t="n">
        <v>196</v>
      </c>
      <c r="AJ716" s="0" t="n">
        <v>9</v>
      </c>
      <c r="AK716" s="0" t="n">
        <v>1265</v>
      </c>
      <c r="AL716" s="0" t="n">
        <v>1.49</v>
      </c>
    </row>
    <row r="717">
      <c r="A717" s="0" t="inlineStr">
        <is>
          <t>[구월동]</t>
        </is>
      </c>
      <c r="B717" s="0" t="n">
        <v>106186</v>
      </c>
      <c r="C717" s="0" t="n">
        <v>3</v>
      </c>
      <c r="D717" s="0" t="inlineStr">
        <is>
          <t>구월아시아드선수촌센트럴자이</t>
        </is>
      </c>
      <c r="E717" s="0" t="inlineStr">
        <is>
          <t>2015.06.</t>
        </is>
      </c>
      <c r="F717" s="0" t="n">
        <v>850</v>
      </c>
      <c r="G717" s="0" t="n">
        <v>34.32</v>
      </c>
      <c r="H717" s="0" t="n">
        <v>113.47</v>
      </c>
      <c r="I717" s="0" t="n">
        <v>25.69</v>
      </c>
      <c r="J717" s="0" t="n">
        <v>84.93000000000001</v>
      </c>
      <c r="K717" s="0" t="n">
        <v>85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113C</t>
        </is>
      </c>
      <c r="X717" s="0" t="n">
        <v>29</v>
      </c>
      <c r="Y717" s="0" t="n">
        <v>28</v>
      </c>
      <c r="Z717" s="0" t="inlineStr">
        <is>
          <t>https://new.land.naver.com/complexes/106186?tab=detail&amp;rf=Y</t>
        </is>
      </c>
      <c r="AA717" s="0" t="inlineStr">
        <is>
          <t>인천시 남동구 구월동 1510</t>
        </is>
      </c>
      <c r="AB717" s="0" t="inlineStr">
        <is>
          <t>인천시</t>
        </is>
      </c>
      <c r="AC717" s="0" t="inlineStr">
        <is>
          <t>남동구</t>
        </is>
      </c>
      <c r="AD717" s="0" t="inlineStr">
        <is>
          <t>구월동</t>
        </is>
      </c>
      <c r="AG717" s="0" t="inlineStr">
        <is>
          <t>인천시 남동구 선수촌로 55</t>
        </is>
      </c>
      <c r="AH717" s="0" t="n">
        <v>0</v>
      </c>
      <c r="AI717" s="0" t="n">
        <v>196</v>
      </c>
      <c r="AJ717" s="0" t="n">
        <v>9</v>
      </c>
      <c r="AK717" s="0" t="n">
        <v>1265</v>
      </c>
      <c r="AL717" s="0" t="n">
        <v>1.49</v>
      </c>
    </row>
    <row r="718">
      <c r="A718" s="0" t="inlineStr">
        <is>
          <t>[구월동]</t>
        </is>
      </c>
      <c r="B718" s="0" t="n">
        <v>106186</v>
      </c>
      <c r="C718" s="0" t="n">
        <v>4</v>
      </c>
      <c r="D718" s="0" t="inlineStr">
        <is>
          <t>구월아시아드선수촌센트럴자이</t>
        </is>
      </c>
      <c r="E718" s="0" t="inlineStr">
        <is>
          <t>2015.06.</t>
        </is>
      </c>
      <c r="F718" s="0" t="n">
        <v>850</v>
      </c>
      <c r="G718" s="0" t="n">
        <v>34.32</v>
      </c>
      <c r="H718" s="0" t="n">
        <v>113.47</v>
      </c>
      <c r="I718" s="0" t="n">
        <v>25.69</v>
      </c>
      <c r="J718" s="0" t="n">
        <v>84.93000000000001</v>
      </c>
      <c r="K718" s="0" t="n">
        <v>29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113D</t>
        </is>
      </c>
      <c r="X718" s="0" t="n">
        <v>29</v>
      </c>
      <c r="Y718" s="0" t="n">
        <v>28</v>
      </c>
      <c r="Z718" s="0" t="inlineStr">
        <is>
          <t>https://new.land.naver.com/complexes/106186?tab=detail&amp;rf=Y</t>
        </is>
      </c>
      <c r="AA718" s="0" t="inlineStr">
        <is>
          <t>인천시 남동구 구월동 1510</t>
        </is>
      </c>
      <c r="AB718" s="0" t="inlineStr">
        <is>
          <t>인천시</t>
        </is>
      </c>
      <c r="AC718" s="0" t="inlineStr">
        <is>
          <t>남동구</t>
        </is>
      </c>
      <c r="AD718" s="0" t="inlineStr">
        <is>
          <t>구월동</t>
        </is>
      </c>
      <c r="AG718" s="0" t="inlineStr">
        <is>
          <t>인천시 남동구 선수촌로 55</t>
        </is>
      </c>
      <c r="AH718" s="0" t="n">
        <v>0</v>
      </c>
      <c r="AI718" s="0" t="n">
        <v>196</v>
      </c>
      <c r="AJ718" s="0" t="n">
        <v>9</v>
      </c>
      <c r="AK718" s="0" t="n">
        <v>1265</v>
      </c>
      <c r="AL718" s="0" t="n">
        <v>1.49</v>
      </c>
    </row>
    <row r="719">
      <c r="A719" s="0" t="inlineStr">
        <is>
          <t>[구월동]</t>
        </is>
      </c>
      <c r="B719" s="0" t="n">
        <v>106186</v>
      </c>
      <c r="C719" s="0" t="n">
        <v>5</v>
      </c>
      <c r="D719" s="0" t="inlineStr">
        <is>
          <t>구월아시아드선수촌센트럴자이</t>
        </is>
      </c>
      <c r="E719" s="0" t="inlineStr">
        <is>
          <t>2015.06.</t>
        </is>
      </c>
      <c r="F719" s="0" t="n">
        <v>850</v>
      </c>
      <c r="G719" s="0" t="n">
        <v>40</v>
      </c>
      <c r="H719" s="0" t="n">
        <v>132.26</v>
      </c>
      <c r="I719" s="0" t="n">
        <v>30.83</v>
      </c>
      <c r="J719" s="0" t="n">
        <v>101.93</v>
      </c>
      <c r="K719" s="0" t="n">
        <v>285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132A</t>
        </is>
      </c>
      <c r="X719" s="0" t="n">
        <v>29</v>
      </c>
      <c r="Y719" s="0" t="n">
        <v>28</v>
      </c>
      <c r="Z719" s="0" t="inlineStr">
        <is>
          <t>https://new.land.naver.com/complexes/106186?tab=detail&amp;rf=Y</t>
        </is>
      </c>
      <c r="AA719" s="0" t="inlineStr">
        <is>
          <t>인천시 남동구 구월동 1510</t>
        </is>
      </c>
      <c r="AB719" s="0" t="inlineStr">
        <is>
          <t>인천시</t>
        </is>
      </c>
      <c r="AC719" s="0" t="inlineStr">
        <is>
          <t>남동구</t>
        </is>
      </c>
      <c r="AD719" s="0" t="inlineStr">
        <is>
          <t>구월동</t>
        </is>
      </c>
      <c r="AG719" s="0" t="inlineStr">
        <is>
          <t>인천시 남동구 선수촌로 55</t>
        </is>
      </c>
      <c r="AH719" s="0" t="n">
        <v>0</v>
      </c>
      <c r="AI719" s="0" t="n">
        <v>196</v>
      </c>
      <c r="AJ719" s="0" t="n">
        <v>9</v>
      </c>
      <c r="AK719" s="0" t="n">
        <v>1265</v>
      </c>
      <c r="AL719" s="0" t="n">
        <v>1.49</v>
      </c>
    </row>
    <row r="720">
      <c r="A720" s="0" t="inlineStr">
        <is>
          <t>[구월동]</t>
        </is>
      </c>
      <c r="B720" s="0" t="n">
        <v>106186</v>
      </c>
      <c r="C720" s="0" t="n">
        <v>6</v>
      </c>
      <c r="D720" s="0" t="inlineStr">
        <is>
          <t>구월아시아드선수촌센트럴자이</t>
        </is>
      </c>
      <c r="E720" s="0" t="inlineStr">
        <is>
          <t>2015.06.</t>
        </is>
      </c>
      <c r="F720" s="0" t="n">
        <v>850</v>
      </c>
      <c r="G720" s="0" t="n">
        <v>40.43</v>
      </c>
      <c r="H720" s="0" t="n">
        <v>133.66</v>
      </c>
      <c r="I720" s="0" t="n">
        <v>30.83</v>
      </c>
      <c r="J720" s="0" t="n">
        <v>101.92</v>
      </c>
      <c r="K720" s="0" t="n">
        <v>143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133B</t>
        </is>
      </c>
      <c r="X720" s="0" t="n">
        <v>29</v>
      </c>
      <c r="Y720" s="0" t="n">
        <v>28</v>
      </c>
      <c r="Z720" s="0" t="inlineStr">
        <is>
          <t>https://new.land.naver.com/complexes/106186?tab=detail&amp;rf=Y</t>
        </is>
      </c>
      <c r="AA720" s="0" t="inlineStr">
        <is>
          <t>인천시 남동구 구월동 1510</t>
        </is>
      </c>
      <c r="AB720" s="0" t="inlineStr">
        <is>
          <t>인천시</t>
        </is>
      </c>
      <c r="AC720" s="0" t="inlineStr">
        <is>
          <t>남동구</t>
        </is>
      </c>
      <c r="AD720" s="0" t="inlineStr">
        <is>
          <t>구월동</t>
        </is>
      </c>
      <c r="AG720" s="0" t="inlineStr">
        <is>
          <t>인천시 남동구 선수촌로 55</t>
        </is>
      </c>
      <c r="AH720" s="0" t="n">
        <v>0</v>
      </c>
      <c r="AI720" s="0" t="n">
        <v>196</v>
      </c>
      <c r="AJ720" s="0" t="n">
        <v>9</v>
      </c>
      <c r="AK720" s="0" t="n">
        <v>1265</v>
      </c>
      <c r="AL720" s="0" t="n">
        <v>1.49</v>
      </c>
    </row>
    <row r="721">
      <c r="A721" s="0" t="inlineStr">
        <is>
          <t>[구월동]</t>
        </is>
      </c>
      <c r="B721" s="0" t="n">
        <v>106186</v>
      </c>
      <c r="C721" s="0" t="n">
        <v>7</v>
      </c>
      <c r="D721" s="0" t="inlineStr">
        <is>
          <t>구월아시아드선수촌센트럴자이</t>
        </is>
      </c>
      <c r="E721" s="0" t="inlineStr">
        <is>
          <t>2015.06.</t>
        </is>
      </c>
      <c r="F721" s="0" t="n">
        <v>850</v>
      </c>
      <c r="G721" s="0" t="n">
        <v>40.45</v>
      </c>
      <c r="H721" s="0" t="n">
        <v>133.73</v>
      </c>
      <c r="I721" s="0" t="n">
        <v>30.83</v>
      </c>
      <c r="J721" s="0" t="n">
        <v>101.95</v>
      </c>
      <c r="K721" s="0" t="n">
        <v>114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133C</t>
        </is>
      </c>
      <c r="X721" s="0" t="n">
        <v>29</v>
      </c>
      <c r="Y721" s="0" t="n">
        <v>28</v>
      </c>
      <c r="Z721" s="0" t="inlineStr">
        <is>
          <t>https://new.land.naver.com/complexes/106186?tab=detail&amp;rf=Y</t>
        </is>
      </c>
      <c r="AA721" s="0" t="inlineStr">
        <is>
          <t>인천시 남동구 구월동 1510</t>
        </is>
      </c>
      <c r="AB721" s="0" t="inlineStr">
        <is>
          <t>인천시</t>
        </is>
      </c>
      <c r="AC721" s="0" t="inlineStr">
        <is>
          <t>남동구</t>
        </is>
      </c>
      <c r="AD721" s="0" t="inlineStr">
        <is>
          <t>구월동</t>
        </is>
      </c>
      <c r="AG721" s="0" t="inlineStr">
        <is>
          <t>인천시 남동구 선수촌로 55</t>
        </is>
      </c>
      <c r="AH721" s="0" t="n">
        <v>0</v>
      </c>
      <c r="AI721" s="0" t="n">
        <v>196</v>
      </c>
      <c r="AJ721" s="0" t="n">
        <v>9</v>
      </c>
      <c r="AK721" s="0" t="n">
        <v>1265</v>
      </c>
      <c r="AL721" s="0" t="n">
        <v>1.49</v>
      </c>
    </row>
    <row r="722">
      <c r="A722" s="0" t="inlineStr">
        <is>
          <t>[구월동]</t>
        </is>
      </c>
      <c r="B722" s="0" t="n">
        <v>106186</v>
      </c>
      <c r="C722" s="0" t="n">
        <v>8</v>
      </c>
      <c r="D722" s="0" t="inlineStr">
        <is>
          <t>구월아시아드선수촌센트럴자이</t>
        </is>
      </c>
      <c r="E722" s="0" t="inlineStr">
        <is>
          <t>2015.06.</t>
        </is>
      </c>
      <c r="F722" s="0" t="n">
        <v>850</v>
      </c>
      <c r="G722" s="0" t="n">
        <v>40.45</v>
      </c>
      <c r="H722" s="0" t="n">
        <v>133.73</v>
      </c>
      <c r="I722" s="0" t="n">
        <v>30.83</v>
      </c>
      <c r="J722" s="0" t="n">
        <v>101.95</v>
      </c>
      <c r="K722" s="0" t="n">
        <v>29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133D</t>
        </is>
      </c>
      <c r="X722" s="0" t="n">
        <v>29</v>
      </c>
      <c r="Y722" s="0" t="n">
        <v>28</v>
      </c>
      <c r="Z722" s="0" t="inlineStr">
        <is>
          <t>https://new.land.naver.com/complexes/106186?tab=detail&amp;rf=Y</t>
        </is>
      </c>
      <c r="AA722" s="0" t="inlineStr">
        <is>
          <t>인천시 남동구 구월동 1510</t>
        </is>
      </c>
      <c r="AB722" s="0" t="inlineStr">
        <is>
          <t>인천시</t>
        </is>
      </c>
      <c r="AC722" s="0" t="inlineStr">
        <is>
          <t>남동구</t>
        </is>
      </c>
      <c r="AD722" s="0" t="inlineStr">
        <is>
          <t>구월동</t>
        </is>
      </c>
      <c r="AG722" s="0" t="inlineStr">
        <is>
          <t>인천시 남동구 선수촌로 55</t>
        </is>
      </c>
      <c r="AH722" s="0" t="n">
        <v>0</v>
      </c>
      <c r="AI722" s="0" t="n">
        <v>196</v>
      </c>
      <c r="AJ722" s="0" t="n">
        <v>9</v>
      </c>
      <c r="AK722" s="0" t="n">
        <v>1265</v>
      </c>
      <c r="AL722" s="0" t="n">
        <v>1.49</v>
      </c>
    </row>
    <row r="723">
      <c r="A723" s="0" t="inlineStr">
        <is>
          <t>[구월동]</t>
        </is>
      </c>
      <c r="B723" s="0" t="n">
        <v>140085</v>
      </c>
      <c r="C723" s="0" t="n">
        <v>1</v>
      </c>
      <c r="D723" s="0" t="inlineStr">
        <is>
          <t>화성파크빌(도시형)</t>
        </is>
      </c>
      <c r="E723" s="0" t="inlineStr">
        <is>
          <t>2014.02.</t>
        </is>
      </c>
      <c r="F723" s="0" t="n">
        <v>64</v>
      </c>
      <c r="G723" s="0" t="n">
        <v>6.2</v>
      </c>
      <c r="H723" s="0" t="n">
        <v>20.51</v>
      </c>
      <c r="I723" s="0" t="n">
        <v>3.63</v>
      </c>
      <c r="J723" s="0" t="n">
        <v>12.02</v>
      </c>
      <c r="K723" s="0" t="n">
        <v>21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20B</t>
        </is>
      </c>
      <c r="X723" s="0" t="n">
        <v>5</v>
      </c>
      <c r="Y723" s="0" t="n">
        <v>4</v>
      </c>
      <c r="Z723" s="0" t="inlineStr">
        <is>
          <t>https://new.land.naver.com/complexes/140085?tab=detail&amp;rf=Y</t>
        </is>
      </c>
      <c r="AA723" s="0" t="inlineStr">
        <is>
          <t>인천시 남동구 구월동 1163-7</t>
        </is>
      </c>
      <c r="AB723" s="0" t="inlineStr">
        <is>
          <t>인천시</t>
        </is>
      </c>
      <c r="AC723" s="0" t="inlineStr">
        <is>
          <t>남동구</t>
        </is>
      </c>
      <c r="AD723" s="0" t="inlineStr">
        <is>
          <t>구월동</t>
        </is>
      </c>
      <c r="AG723" s="0" t="inlineStr">
        <is>
          <t>인천시 남동구 성말로 31</t>
        </is>
      </c>
      <c r="AH723" s="0" t="n">
        <v>0</v>
      </c>
      <c r="AI723" s="0" t="n">
        <v>249</v>
      </c>
      <c r="AJ723" s="0" t="n">
        <v>59</v>
      </c>
      <c r="AK723" s="0" t="n">
        <v>28</v>
      </c>
      <c r="AL723" s="0" t="n">
        <v>0.44</v>
      </c>
    </row>
    <row r="724">
      <c r="A724" s="0" t="inlineStr">
        <is>
          <t>[구월동]</t>
        </is>
      </c>
      <c r="B724" s="0" t="n">
        <v>140085</v>
      </c>
      <c r="C724" s="0" t="n">
        <v>2</v>
      </c>
      <c r="D724" s="0" t="inlineStr">
        <is>
          <t>화성파크빌(도시형)</t>
        </is>
      </c>
      <c r="E724" s="0" t="inlineStr">
        <is>
          <t>2014.02.</t>
        </is>
      </c>
      <c r="F724" s="0" t="n">
        <v>64</v>
      </c>
      <c r="G724" s="0" t="n">
        <v>6.27</v>
      </c>
      <c r="H724" s="0" t="n">
        <v>20.75</v>
      </c>
      <c r="I724" s="0" t="n">
        <v>3.68</v>
      </c>
      <c r="J724" s="0" t="n">
        <v>12.19</v>
      </c>
      <c r="K724" s="0" t="n">
        <v>20</v>
      </c>
      <c r="T724" s="0" t="n">
        <v>1</v>
      </c>
      <c r="U724" s="0" t="n">
        <v>1</v>
      </c>
      <c r="V724" s="0" t="inlineStr">
        <is>
          <t>계단식</t>
        </is>
      </c>
      <c r="W724" s="0" t="inlineStr">
        <is>
          <t>20F</t>
        </is>
      </c>
      <c r="X724" s="0" t="n">
        <v>5</v>
      </c>
      <c r="Y724" s="0" t="n">
        <v>4</v>
      </c>
      <c r="Z724" s="0" t="inlineStr">
        <is>
          <t>https://new.land.naver.com/complexes/140085?tab=detail&amp;rf=Y</t>
        </is>
      </c>
      <c r="AA724" s="0" t="inlineStr">
        <is>
          <t>인천시 남동구 구월동 1163-7</t>
        </is>
      </c>
      <c r="AB724" s="0" t="inlineStr">
        <is>
          <t>인천시</t>
        </is>
      </c>
      <c r="AC724" s="0" t="inlineStr">
        <is>
          <t>남동구</t>
        </is>
      </c>
      <c r="AD724" s="0" t="inlineStr">
        <is>
          <t>구월동</t>
        </is>
      </c>
      <c r="AG724" s="0" t="inlineStr">
        <is>
          <t>인천시 남동구 성말로 31</t>
        </is>
      </c>
      <c r="AH724" s="0" t="n">
        <v>0</v>
      </c>
      <c r="AI724" s="0" t="n">
        <v>249</v>
      </c>
      <c r="AJ724" s="0" t="n">
        <v>59</v>
      </c>
      <c r="AK724" s="0" t="n">
        <v>28</v>
      </c>
      <c r="AL724" s="0" t="n">
        <v>0.44</v>
      </c>
    </row>
    <row r="725">
      <c r="A725" s="0" t="inlineStr">
        <is>
          <t>[구월동]</t>
        </is>
      </c>
      <c r="B725" s="0" t="n">
        <v>140085</v>
      </c>
      <c r="C725" s="0" t="n">
        <v>3</v>
      </c>
      <c r="D725" s="0" t="inlineStr">
        <is>
          <t>화성파크빌(도시형)</t>
        </is>
      </c>
      <c r="E725" s="0" t="inlineStr">
        <is>
          <t>2014.02.</t>
        </is>
      </c>
      <c r="F725" s="0" t="n">
        <v>64</v>
      </c>
      <c r="G725" s="0" t="n">
        <v>6.3</v>
      </c>
      <c r="H725" s="0" t="n">
        <v>20.83</v>
      </c>
      <c r="I725" s="0" t="n">
        <v>3.63</v>
      </c>
      <c r="J725" s="0" t="n">
        <v>12.01</v>
      </c>
      <c r="K725" s="0" t="n">
        <v>4</v>
      </c>
      <c r="T725" s="0" t="n">
        <v>1</v>
      </c>
      <c r="U725" s="0" t="n">
        <v>1</v>
      </c>
      <c r="V725" s="0" t="inlineStr">
        <is>
          <t>계단식</t>
        </is>
      </c>
      <c r="W725" s="0" t="inlineStr">
        <is>
          <t>20A</t>
        </is>
      </c>
      <c r="X725" s="0" t="n">
        <v>5</v>
      </c>
      <c r="Y725" s="0" t="n">
        <v>4</v>
      </c>
      <c r="Z725" s="0" t="inlineStr">
        <is>
          <t>https://new.land.naver.com/complexes/140085?tab=detail&amp;rf=Y</t>
        </is>
      </c>
      <c r="AA725" s="0" t="inlineStr">
        <is>
          <t>인천시 남동구 구월동 1163-7</t>
        </is>
      </c>
      <c r="AB725" s="0" t="inlineStr">
        <is>
          <t>인천시</t>
        </is>
      </c>
      <c r="AC725" s="0" t="inlineStr">
        <is>
          <t>남동구</t>
        </is>
      </c>
      <c r="AD725" s="0" t="inlineStr">
        <is>
          <t>구월동</t>
        </is>
      </c>
      <c r="AG725" s="0" t="inlineStr">
        <is>
          <t>인천시 남동구 성말로 31</t>
        </is>
      </c>
      <c r="AH725" s="0" t="n">
        <v>0</v>
      </c>
      <c r="AI725" s="0" t="n">
        <v>249</v>
      </c>
      <c r="AJ725" s="0" t="n">
        <v>59</v>
      </c>
      <c r="AK725" s="0" t="n">
        <v>28</v>
      </c>
      <c r="AL725" s="0" t="n">
        <v>0.44</v>
      </c>
    </row>
    <row r="726">
      <c r="A726" s="0" t="inlineStr">
        <is>
          <t>[구월동]</t>
        </is>
      </c>
      <c r="B726" s="0" t="n">
        <v>140085</v>
      </c>
      <c r="C726" s="0" t="n">
        <v>4</v>
      </c>
      <c r="D726" s="0" t="inlineStr">
        <is>
          <t>화성파크빌(도시형)</t>
        </is>
      </c>
      <c r="E726" s="0" t="inlineStr">
        <is>
          <t>2014.02.</t>
        </is>
      </c>
      <c r="F726" s="0" t="n">
        <v>64</v>
      </c>
      <c r="G726" s="0" t="n">
        <v>6.41</v>
      </c>
      <c r="H726" s="0" t="n">
        <v>21.2</v>
      </c>
      <c r="I726" s="0" t="n">
        <v>3.66</v>
      </c>
      <c r="J726" s="0" t="n">
        <v>12.11</v>
      </c>
      <c r="K726" s="0" t="n">
        <v>6</v>
      </c>
      <c r="T726" s="0" t="n">
        <v>1</v>
      </c>
      <c r="U726" s="0" t="n">
        <v>1</v>
      </c>
      <c r="V726" s="0" t="inlineStr">
        <is>
          <t>계단식</t>
        </is>
      </c>
      <c r="W726" s="0" t="inlineStr">
        <is>
          <t>21D</t>
        </is>
      </c>
      <c r="X726" s="0" t="n">
        <v>5</v>
      </c>
      <c r="Y726" s="0" t="n">
        <v>4</v>
      </c>
      <c r="Z726" s="0" t="inlineStr">
        <is>
          <t>https://new.land.naver.com/complexes/140085?tab=detail&amp;rf=Y</t>
        </is>
      </c>
      <c r="AA726" s="0" t="inlineStr">
        <is>
          <t>인천시 남동구 구월동 1163-7</t>
        </is>
      </c>
      <c r="AB726" s="0" t="inlineStr">
        <is>
          <t>인천시</t>
        </is>
      </c>
      <c r="AC726" s="0" t="inlineStr">
        <is>
          <t>남동구</t>
        </is>
      </c>
      <c r="AD726" s="0" t="inlineStr">
        <is>
          <t>구월동</t>
        </is>
      </c>
      <c r="AG726" s="0" t="inlineStr">
        <is>
          <t>인천시 남동구 성말로 31</t>
        </is>
      </c>
      <c r="AH726" s="0" t="n">
        <v>0</v>
      </c>
      <c r="AI726" s="0" t="n">
        <v>249</v>
      </c>
      <c r="AJ726" s="0" t="n">
        <v>59</v>
      </c>
      <c r="AK726" s="0" t="n">
        <v>28</v>
      </c>
      <c r="AL726" s="0" t="n">
        <v>0.44</v>
      </c>
    </row>
    <row r="727">
      <c r="A727" s="0" t="inlineStr">
        <is>
          <t>[구월동]</t>
        </is>
      </c>
      <c r="B727" s="0" t="n">
        <v>140085</v>
      </c>
      <c r="C727" s="0" t="n">
        <v>5</v>
      </c>
      <c r="D727" s="0" t="inlineStr">
        <is>
          <t>화성파크빌(도시형)</t>
        </is>
      </c>
      <c r="E727" s="0" t="inlineStr">
        <is>
          <t>2014.02.</t>
        </is>
      </c>
      <c r="F727" s="0" t="n">
        <v>64</v>
      </c>
      <c r="G727" s="0" t="n">
        <v>6.58</v>
      </c>
      <c r="H727" s="0" t="n">
        <v>21.76</v>
      </c>
      <c r="I727" s="0" t="n">
        <v>3.63</v>
      </c>
      <c r="J727" s="0" t="n">
        <v>12.03</v>
      </c>
      <c r="K727" s="0" t="n">
        <v>4</v>
      </c>
      <c r="T727" s="0" t="n">
        <v>1</v>
      </c>
      <c r="U727" s="0" t="n">
        <v>1</v>
      </c>
      <c r="V727" s="0" t="inlineStr">
        <is>
          <t>계단식</t>
        </is>
      </c>
      <c r="W727" s="0" t="inlineStr">
        <is>
          <t>21A</t>
        </is>
      </c>
      <c r="X727" s="0" t="n">
        <v>5</v>
      </c>
      <c r="Y727" s="0" t="n">
        <v>4</v>
      </c>
      <c r="Z727" s="0" t="inlineStr">
        <is>
          <t>https://new.land.naver.com/complexes/140085?tab=detail&amp;rf=Y</t>
        </is>
      </c>
      <c r="AA727" s="0" t="inlineStr">
        <is>
          <t>인천시 남동구 구월동 1163-7</t>
        </is>
      </c>
      <c r="AB727" s="0" t="inlineStr">
        <is>
          <t>인천시</t>
        </is>
      </c>
      <c r="AC727" s="0" t="inlineStr">
        <is>
          <t>남동구</t>
        </is>
      </c>
      <c r="AD727" s="0" t="inlineStr">
        <is>
          <t>구월동</t>
        </is>
      </c>
      <c r="AG727" s="0" t="inlineStr">
        <is>
          <t>인천시 남동구 성말로 31</t>
        </is>
      </c>
      <c r="AH727" s="0" t="n">
        <v>0</v>
      </c>
      <c r="AI727" s="0" t="n">
        <v>249</v>
      </c>
      <c r="AJ727" s="0" t="n">
        <v>59</v>
      </c>
      <c r="AK727" s="0" t="n">
        <v>28</v>
      </c>
      <c r="AL727" s="0" t="n">
        <v>0.44</v>
      </c>
    </row>
    <row r="728">
      <c r="A728" s="0" t="inlineStr">
        <is>
          <t>[구월동]</t>
        </is>
      </c>
      <c r="B728" s="0" t="n">
        <v>140085</v>
      </c>
      <c r="C728" s="0" t="n">
        <v>6</v>
      </c>
      <c r="D728" s="0" t="inlineStr">
        <is>
          <t>화성파크빌(도시형)</t>
        </is>
      </c>
      <c r="E728" s="0" t="inlineStr">
        <is>
          <t>2014.02.</t>
        </is>
      </c>
      <c r="F728" s="0" t="n">
        <v>64</v>
      </c>
      <c r="G728" s="0" t="n">
        <v>6.39</v>
      </c>
      <c r="H728" s="0" t="n">
        <v>21.13</v>
      </c>
      <c r="I728" s="0" t="n">
        <v>3.68</v>
      </c>
      <c r="J728" s="0" t="n">
        <v>12.18</v>
      </c>
      <c r="K728" s="0" t="n">
        <v>4</v>
      </c>
      <c r="T728" s="0" t="n">
        <v>1</v>
      </c>
      <c r="U728" s="0" t="n">
        <v>1</v>
      </c>
      <c r="V728" s="0" t="inlineStr">
        <is>
          <t>계단식</t>
        </is>
      </c>
      <c r="W728" s="0" t="inlineStr">
        <is>
          <t>21E</t>
        </is>
      </c>
      <c r="X728" s="0" t="n">
        <v>5</v>
      </c>
      <c r="Y728" s="0" t="n">
        <v>4</v>
      </c>
      <c r="Z728" s="0" t="inlineStr">
        <is>
          <t>https://new.land.naver.com/complexes/140085?tab=detail&amp;rf=Y</t>
        </is>
      </c>
      <c r="AA728" s="0" t="inlineStr">
        <is>
          <t>인천시 남동구 구월동 1163-7</t>
        </is>
      </c>
      <c r="AB728" s="0" t="inlineStr">
        <is>
          <t>인천시</t>
        </is>
      </c>
      <c r="AC728" s="0" t="inlineStr">
        <is>
          <t>남동구</t>
        </is>
      </c>
      <c r="AD728" s="0" t="inlineStr">
        <is>
          <t>구월동</t>
        </is>
      </c>
      <c r="AG728" s="0" t="inlineStr">
        <is>
          <t>인천시 남동구 성말로 31</t>
        </is>
      </c>
      <c r="AH728" s="0" t="n">
        <v>0</v>
      </c>
      <c r="AI728" s="0" t="n">
        <v>249</v>
      </c>
      <c r="AJ728" s="0" t="n">
        <v>59</v>
      </c>
      <c r="AK728" s="0" t="n">
        <v>28</v>
      </c>
      <c r="AL728" s="0" t="n">
        <v>0.44</v>
      </c>
    </row>
    <row r="729">
      <c r="A729" s="0" t="inlineStr">
        <is>
          <t>[구월동]</t>
        </is>
      </c>
      <c r="B729" s="0" t="n">
        <v>140085</v>
      </c>
      <c r="C729" s="0" t="n">
        <v>7</v>
      </c>
      <c r="D729" s="0" t="inlineStr">
        <is>
          <t>화성파크빌(도시형)</t>
        </is>
      </c>
      <c r="E729" s="0" t="inlineStr">
        <is>
          <t>2014.02.</t>
        </is>
      </c>
      <c r="F729" s="0" t="n">
        <v>64</v>
      </c>
      <c r="G729" s="0" t="n">
        <v>6.44</v>
      </c>
      <c r="H729" s="0" t="n">
        <v>21.31</v>
      </c>
      <c r="I729" s="0" t="n">
        <v>3.64</v>
      </c>
      <c r="J729" s="0" t="n">
        <v>12.05</v>
      </c>
      <c r="K729" s="0" t="n">
        <v>3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21C</t>
        </is>
      </c>
      <c r="X729" s="0" t="n">
        <v>5</v>
      </c>
      <c r="Y729" s="0" t="n">
        <v>4</v>
      </c>
      <c r="Z729" s="0" t="inlineStr">
        <is>
          <t>https://new.land.naver.com/complexes/140085?tab=detail&amp;rf=Y</t>
        </is>
      </c>
      <c r="AA729" s="0" t="inlineStr">
        <is>
          <t>인천시 남동구 구월동 1163-7</t>
        </is>
      </c>
      <c r="AB729" s="0" t="inlineStr">
        <is>
          <t>인천시</t>
        </is>
      </c>
      <c r="AC729" s="0" t="inlineStr">
        <is>
          <t>남동구</t>
        </is>
      </c>
      <c r="AD729" s="0" t="inlineStr">
        <is>
          <t>구월동</t>
        </is>
      </c>
      <c r="AG729" s="0" t="inlineStr">
        <is>
          <t>인천시 남동구 성말로 31</t>
        </is>
      </c>
      <c r="AH729" s="0" t="n">
        <v>0</v>
      </c>
      <c r="AI729" s="0" t="n">
        <v>249</v>
      </c>
      <c r="AJ729" s="0" t="n">
        <v>59</v>
      </c>
      <c r="AK729" s="0" t="n">
        <v>28</v>
      </c>
      <c r="AL729" s="0" t="n">
        <v>0.44</v>
      </c>
    </row>
    <row r="730">
      <c r="A730" s="0" t="inlineStr">
        <is>
          <t>[구월동]</t>
        </is>
      </c>
      <c r="B730" s="0" t="n">
        <v>140085</v>
      </c>
      <c r="C730" s="0" t="n">
        <v>8</v>
      </c>
      <c r="D730" s="0" t="inlineStr">
        <is>
          <t>화성파크빌(도시형)</t>
        </is>
      </c>
      <c r="E730" s="0" t="inlineStr">
        <is>
          <t>2014.02.</t>
        </is>
      </c>
      <c r="F730" s="0" t="n">
        <v>64</v>
      </c>
      <c r="G730" s="0" t="n">
        <v>6.52</v>
      </c>
      <c r="H730" s="0" t="n">
        <v>21.57</v>
      </c>
      <c r="I730" s="0" t="n">
        <v>3.69</v>
      </c>
      <c r="J730" s="0" t="n">
        <v>12.2</v>
      </c>
      <c r="K730" s="0" t="n">
        <v>2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21B</t>
        </is>
      </c>
      <c r="X730" s="0" t="n">
        <v>5</v>
      </c>
      <c r="Y730" s="0" t="n">
        <v>4</v>
      </c>
      <c r="Z730" s="0" t="inlineStr">
        <is>
          <t>https://new.land.naver.com/complexes/140085?tab=detail&amp;rf=Y</t>
        </is>
      </c>
      <c r="AA730" s="0" t="inlineStr">
        <is>
          <t>인천시 남동구 구월동 1163-7</t>
        </is>
      </c>
      <c r="AB730" s="0" t="inlineStr">
        <is>
          <t>인천시</t>
        </is>
      </c>
      <c r="AC730" s="0" t="inlineStr">
        <is>
          <t>남동구</t>
        </is>
      </c>
      <c r="AD730" s="0" t="inlineStr">
        <is>
          <t>구월동</t>
        </is>
      </c>
      <c r="AG730" s="0" t="inlineStr">
        <is>
          <t>인천시 남동구 성말로 31</t>
        </is>
      </c>
      <c r="AH730" s="0" t="n">
        <v>0</v>
      </c>
      <c r="AI730" s="0" t="n">
        <v>249</v>
      </c>
      <c r="AJ730" s="0" t="n">
        <v>59</v>
      </c>
      <c r="AK730" s="0" t="n">
        <v>28</v>
      </c>
      <c r="AL730" s="0" t="n">
        <v>0.44</v>
      </c>
    </row>
    <row r="731">
      <c r="A731" s="0" t="inlineStr">
        <is>
          <t>[구월동]</t>
        </is>
      </c>
      <c r="B731" s="0" t="n">
        <v>117668</v>
      </c>
      <c r="C731" s="0" t="n">
        <v>1</v>
      </c>
      <c r="D731" s="0" t="inlineStr">
        <is>
          <t>메종드시월</t>
        </is>
      </c>
      <c r="E731" s="0" t="inlineStr">
        <is>
          <t>2017.04.</t>
        </is>
      </c>
      <c r="F731" s="0" t="n">
        <v>18</v>
      </c>
      <c r="G731" s="0" t="n">
        <v>7.22</v>
      </c>
      <c r="H731" s="0" t="n">
        <v>23.88</v>
      </c>
      <c r="I731" s="0" t="n">
        <v>5.26</v>
      </c>
      <c r="J731" s="0" t="n">
        <v>17.39</v>
      </c>
      <c r="K731" s="0" t="n">
        <v>6</v>
      </c>
      <c r="T731" s="0" t="n">
        <v>1</v>
      </c>
      <c r="U731" s="0" t="n">
        <v>1</v>
      </c>
      <c r="V731" s="0" t="inlineStr">
        <is>
          <t>계단식</t>
        </is>
      </c>
      <c r="W731" s="0" t="n">
        <v>23</v>
      </c>
      <c r="X731" s="0" t="n">
        <v>7</v>
      </c>
      <c r="Y731" s="0" t="n">
        <v>7</v>
      </c>
      <c r="Z731" s="0" t="inlineStr">
        <is>
          <t>https://new.land.naver.com/complexes/117668?tab=detail&amp;rf=Y</t>
        </is>
      </c>
      <c r="AA731" s="0" t="inlineStr">
        <is>
          <t>인천시 남동구 구월동 1451-4</t>
        </is>
      </c>
      <c r="AB731" s="0" t="inlineStr">
        <is>
          <t>인천시</t>
        </is>
      </c>
      <c r="AC731" s="0" t="inlineStr">
        <is>
          <t>남동구</t>
        </is>
      </c>
      <c r="AD731" s="0" t="inlineStr">
        <is>
          <t>구월동</t>
        </is>
      </c>
      <c r="AG731" s="0" t="inlineStr">
        <is>
          <t>인천시 남동구 인하로507번길 76</t>
        </is>
      </c>
      <c r="AH731" s="0" t="n">
        <v>0</v>
      </c>
      <c r="AI731" s="0" t="n">
        <v>419</v>
      </c>
      <c r="AJ731" s="0" t="n">
        <v>69</v>
      </c>
      <c r="AK731" s="0" t="n">
        <v>16</v>
      </c>
      <c r="AL731" s="0" t="n">
        <v>0.89</v>
      </c>
    </row>
    <row r="732">
      <c r="A732" s="0" t="inlineStr">
        <is>
          <t>[구월동]</t>
        </is>
      </c>
      <c r="B732" s="0" t="n">
        <v>117668</v>
      </c>
      <c r="C732" s="0" t="n">
        <v>2</v>
      </c>
      <c r="D732" s="0" t="inlineStr">
        <is>
          <t>메종드시월</t>
        </is>
      </c>
      <c r="E732" s="0" t="inlineStr">
        <is>
          <t>2017.04.</t>
        </is>
      </c>
      <c r="F732" s="0" t="n">
        <v>18</v>
      </c>
      <c r="G732" s="0" t="n">
        <v>14.98</v>
      </c>
      <c r="H732" s="0" t="n">
        <v>49.55</v>
      </c>
      <c r="I732" s="0" t="n">
        <v>10.98</v>
      </c>
      <c r="J732" s="0" t="n">
        <v>36.33</v>
      </c>
      <c r="K732" s="0" t="n">
        <v>3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49</v>
      </c>
      <c r="X732" s="0" t="n">
        <v>7</v>
      </c>
      <c r="Y732" s="0" t="n">
        <v>7</v>
      </c>
      <c r="Z732" s="0" t="inlineStr">
        <is>
          <t>https://new.land.naver.com/complexes/117668?tab=detail&amp;rf=Y</t>
        </is>
      </c>
      <c r="AA732" s="0" t="inlineStr">
        <is>
          <t>인천시 남동구 구월동 1451-4</t>
        </is>
      </c>
      <c r="AB732" s="0" t="inlineStr">
        <is>
          <t>인천시</t>
        </is>
      </c>
      <c r="AC732" s="0" t="inlineStr">
        <is>
          <t>남동구</t>
        </is>
      </c>
      <c r="AD732" s="0" t="inlineStr">
        <is>
          <t>구월동</t>
        </is>
      </c>
      <c r="AG732" s="0" t="inlineStr">
        <is>
          <t>인천시 남동구 인하로507번길 76</t>
        </is>
      </c>
      <c r="AH732" s="0" t="n">
        <v>0</v>
      </c>
      <c r="AI732" s="0" t="n">
        <v>419</v>
      </c>
      <c r="AJ732" s="0" t="n">
        <v>69</v>
      </c>
      <c r="AK732" s="0" t="n">
        <v>16</v>
      </c>
      <c r="AL732" s="0" t="n">
        <v>0.89</v>
      </c>
    </row>
    <row r="733">
      <c r="A733" s="0" t="inlineStr">
        <is>
          <t>[구월동]</t>
        </is>
      </c>
      <c r="B733" s="0" t="n">
        <v>117668</v>
      </c>
      <c r="C733" s="0" t="n">
        <v>3</v>
      </c>
      <c r="D733" s="0" t="inlineStr">
        <is>
          <t>메종드시월</t>
        </is>
      </c>
      <c r="E733" s="0" t="inlineStr">
        <is>
          <t>2017.04.</t>
        </is>
      </c>
      <c r="F733" s="0" t="n">
        <v>18</v>
      </c>
      <c r="G733" s="0" t="n">
        <v>18.64</v>
      </c>
      <c r="H733" s="0" t="n">
        <v>61.64</v>
      </c>
      <c r="I733" s="0" t="n">
        <v>13.88</v>
      </c>
      <c r="J733" s="0" t="n">
        <v>45.89</v>
      </c>
      <c r="K733" s="0" t="n">
        <v>3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61</v>
      </c>
      <c r="X733" s="0" t="n">
        <v>7</v>
      </c>
      <c r="Y733" s="0" t="n">
        <v>7</v>
      </c>
      <c r="Z733" s="0" t="inlineStr">
        <is>
          <t>https://new.land.naver.com/complexes/117668?tab=detail&amp;rf=Y</t>
        </is>
      </c>
      <c r="AA733" s="0" t="inlineStr">
        <is>
          <t>인천시 남동구 구월동 1451-4</t>
        </is>
      </c>
      <c r="AB733" s="0" t="inlineStr">
        <is>
          <t>인천시</t>
        </is>
      </c>
      <c r="AC733" s="0" t="inlineStr">
        <is>
          <t>남동구</t>
        </is>
      </c>
      <c r="AD733" s="0" t="inlineStr">
        <is>
          <t>구월동</t>
        </is>
      </c>
      <c r="AG733" s="0" t="inlineStr">
        <is>
          <t>인천시 남동구 인하로507번길 76</t>
        </is>
      </c>
      <c r="AH733" s="0" t="n">
        <v>0</v>
      </c>
      <c r="AI733" s="0" t="n">
        <v>419</v>
      </c>
      <c r="AJ733" s="0" t="n">
        <v>69</v>
      </c>
      <c r="AK733" s="0" t="n">
        <v>16</v>
      </c>
      <c r="AL733" s="0" t="n">
        <v>0.89</v>
      </c>
    </row>
    <row r="734">
      <c r="A734" s="0" t="inlineStr">
        <is>
          <t>[구월동]</t>
        </is>
      </c>
      <c r="B734" s="0" t="n">
        <v>117668</v>
      </c>
      <c r="C734" s="0" t="n">
        <v>4</v>
      </c>
      <c r="D734" s="0" t="inlineStr">
        <is>
          <t>메종드시월</t>
        </is>
      </c>
      <c r="E734" s="0" t="inlineStr">
        <is>
          <t>2017.04.</t>
        </is>
      </c>
      <c r="F734" s="0" t="n">
        <v>18</v>
      </c>
      <c r="G734" s="0" t="n">
        <v>21.35</v>
      </c>
      <c r="H734" s="0" t="n">
        <v>70.59</v>
      </c>
      <c r="I734" s="0" t="n">
        <v>15.91</v>
      </c>
      <c r="J734" s="0" t="n">
        <v>52.61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n">
        <v>70</v>
      </c>
      <c r="X734" s="0" t="n">
        <v>7</v>
      </c>
      <c r="Y734" s="0" t="n">
        <v>7</v>
      </c>
      <c r="Z734" s="0" t="inlineStr">
        <is>
          <t>https://new.land.naver.com/complexes/117668?tab=detail&amp;rf=Y</t>
        </is>
      </c>
      <c r="AA734" s="0" t="inlineStr">
        <is>
          <t>인천시 남동구 구월동 1451-4</t>
        </is>
      </c>
      <c r="AB734" s="0" t="inlineStr">
        <is>
          <t>인천시</t>
        </is>
      </c>
      <c r="AC734" s="0" t="inlineStr">
        <is>
          <t>남동구</t>
        </is>
      </c>
      <c r="AD734" s="0" t="inlineStr">
        <is>
          <t>구월동</t>
        </is>
      </c>
      <c r="AG734" s="0" t="inlineStr">
        <is>
          <t>인천시 남동구 인하로507번길 76</t>
        </is>
      </c>
      <c r="AH734" s="0" t="n">
        <v>0</v>
      </c>
      <c r="AI734" s="0" t="n">
        <v>419</v>
      </c>
      <c r="AJ734" s="0" t="n">
        <v>69</v>
      </c>
      <c r="AK734" s="0" t="n">
        <v>16</v>
      </c>
      <c r="AL734" s="0" t="n">
        <v>0.89</v>
      </c>
    </row>
    <row r="735">
      <c r="A735" s="0" t="inlineStr">
        <is>
          <t>[구월동]</t>
        </is>
      </c>
      <c r="B735" s="0" t="n">
        <v>111559</v>
      </c>
      <c r="C735" s="0" t="n">
        <v>1</v>
      </c>
      <c r="D735" s="0" t="inlineStr">
        <is>
          <t>해드림(도시형)</t>
        </is>
      </c>
      <c r="E735" s="0" t="inlineStr">
        <is>
          <t>2015.04.</t>
        </is>
      </c>
      <c r="F735" s="0" t="n">
        <v>45</v>
      </c>
      <c r="G735" s="0" t="n">
        <v>15.44</v>
      </c>
      <c r="H735" s="0" t="n">
        <v>51.05</v>
      </c>
      <c r="I735" s="0" t="n">
        <v>12.39</v>
      </c>
      <c r="J735" s="0" t="n">
        <v>40.97</v>
      </c>
      <c r="K735" s="0" t="n">
        <v>18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51</v>
      </c>
      <c r="X735" s="0" t="n">
        <v>13</v>
      </c>
      <c r="Y735" s="0" t="n">
        <v>13</v>
      </c>
      <c r="Z735" s="0" t="inlineStr">
        <is>
          <t>https://new.land.naver.com/complexes/111559?tab=detail&amp;rf=Y</t>
        </is>
      </c>
      <c r="AA735" s="0" t="inlineStr">
        <is>
          <t>인천시 남동구 구월동 1136-7</t>
        </is>
      </c>
      <c r="AB735" s="0" t="inlineStr">
        <is>
          <t>인천시</t>
        </is>
      </c>
      <c r="AC735" s="0" t="inlineStr">
        <is>
          <t>남동구</t>
        </is>
      </c>
      <c r="AD735" s="0" t="inlineStr">
        <is>
          <t>구월동</t>
        </is>
      </c>
      <c r="AG735" s="0" t="inlineStr">
        <is>
          <t>인천시 남동구 예술로226번길 35</t>
        </is>
      </c>
      <c r="AH735" s="0" t="n">
        <v>0</v>
      </c>
      <c r="AI735" s="0" t="n">
        <v>578</v>
      </c>
      <c r="AJ735" s="0" t="n">
        <v>60</v>
      </c>
      <c r="AK735" s="0" t="n">
        <v>24</v>
      </c>
      <c r="AL735" s="0" t="n">
        <v>0.53</v>
      </c>
    </row>
    <row r="736">
      <c r="A736" s="0" t="inlineStr">
        <is>
          <t>[구월동]</t>
        </is>
      </c>
      <c r="B736" s="0" t="n">
        <v>111559</v>
      </c>
      <c r="C736" s="0" t="n">
        <v>2</v>
      </c>
      <c r="D736" s="0" t="inlineStr">
        <is>
          <t>해드림(도시형)</t>
        </is>
      </c>
      <c r="E736" s="0" t="inlineStr">
        <is>
          <t>2015.04.</t>
        </is>
      </c>
      <c r="F736" s="0" t="n">
        <v>45</v>
      </c>
      <c r="G736" s="0" t="n">
        <v>15.98</v>
      </c>
      <c r="H736" s="0" t="n">
        <v>52.85</v>
      </c>
      <c r="I736" s="0" t="n">
        <v>12.77</v>
      </c>
      <c r="J736" s="0" t="n">
        <v>42.23</v>
      </c>
      <c r="K736" s="0" t="n">
        <v>9</v>
      </c>
      <c r="T736" s="0" t="n">
        <v>1</v>
      </c>
      <c r="U736" s="0" t="n">
        <v>1</v>
      </c>
      <c r="V736" s="0" t="inlineStr">
        <is>
          <t>계단식</t>
        </is>
      </c>
      <c r="W736" s="0" t="n">
        <v>52</v>
      </c>
      <c r="X736" s="0" t="n">
        <v>13</v>
      </c>
      <c r="Y736" s="0" t="n">
        <v>13</v>
      </c>
      <c r="Z736" s="0" t="inlineStr">
        <is>
          <t>https://new.land.naver.com/complexes/111559?tab=detail&amp;rf=Y</t>
        </is>
      </c>
      <c r="AA736" s="0" t="inlineStr">
        <is>
          <t>인천시 남동구 구월동 1136-7</t>
        </is>
      </c>
      <c r="AB736" s="0" t="inlineStr">
        <is>
          <t>인천시</t>
        </is>
      </c>
      <c r="AC736" s="0" t="inlineStr">
        <is>
          <t>남동구</t>
        </is>
      </c>
      <c r="AD736" s="0" t="inlineStr">
        <is>
          <t>구월동</t>
        </is>
      </c>
      <c r="AG736" s="0" t="inlineStr">
        <is>
          <t>인천시 남동구 예술로226번길 35</t>
        </is>
      </c>
      <c r="AH736" s="0" t="n">
        <v>0</v>
      </c>
      <c r="AI736" s="0" t="n">
        <v>578</v>
      </c>
      <c r="AJ736" s="0" t="n">
        <v>60</v>
      </c>
      <c r="AK736" s="0" t="n">
        <v>24</v>
      </c>
      <c r="AL736" s="0" t="n">
        <v>0.53</v>
      </c>
    </row>
    <row r="737">
      <c r="A737" s="0" t="inlineStr">
        <is>
          <t>[구월동]</t>
        </is>
      </c>
      <c r="B737" s="0" t="n">
        <v>111559</v>
      </c>
      <c r="C737" s="0" t="n">
        <v>3</v>
      </c>
      <c r="D737" s="0" t="inlineStr">
        <is>
          <t>해드림(도시형)</t>
        </is>
      </c>
      <c r="E737" s="0" t="inlineStr">
        <is>
          <t>2015.04.</t>
        </is>
      </c>
      <c r="F737" s="0" t="n">
        <v>45</v>
      </c>
      <c r="G737" s="0" t="n">
        <v>16.88</v>
      </c>
      <c r="H737" s="0" t="n">
        <v>55.83</v>
      </c>
      <c r="I737" s="0" t="n">
        <v>13.57</v>
      </c>
      <c r="J737" s="0" t="n">
        <v>44.89</v>
      </c>
      <c r="K737" s="0" t="n">
        <v>9</v>
      </c>
      <c r="T737" s="0" t="n">
        <v>1</v>
      </c>
      <c r="U737" s="0" t="n">
        <v>1</v>
      </c>
      <c r="V737" s="0" t="inlineStr">
        <is>
          <t>계단식</t>
        </is>
      </c>
      <c r="W737" s="0" t="n">
        <v>55</v>
      </c>
      <c r="X737" s="0" t="n">
        <v>13</v>
      </c>
      <c r="Y737" s="0" t="n">
        <v>13</v>
      </c>
      <c r="Z737" s="0" t="inlineStr">
        <is>
          <t>https://new.land.naver.com/complexes/111559?tab=detail&amp;rf=Y</t>
        </is>
      </c>
      <c r="AA737" s="0" t="inlineStr">
        <is>
          <t>인천시 남동구 구월동 1136-7</t>
        </is>
      </c>
      <c r="AB737" s="0" t="inlineStr">
        <is>
          <t>인천시</t>
        </is>
      </c>
      <c r="AC737" s="0" t="inlineStr">
        <is>
          <t>남동구</t>
        </is>
      </c>
      <c r="AD737" s="0" t="inlineStr">
        <is>
          <t>구월동</t>
        </is>
      </c>
      <c r="AG737" s="0" t="inlineStr">
        <is>
          <t>인천시 남동구 예술로226번길 35</t>
        </is>
      </c>
      <c r="AH737" s="0" t="n">
        <v>0</v>
      </c>
      <c r="AI737" s="0" t="n">
        <v>578</v>
      </c>
      <c r="AJ737" s="0" t="n">
        <v>60</v>
      </c>
      <c r="AK737" s="0" t="n">
        <v>24</v>
      </c>
      <c r="AL737" s="0" t="n">
        <v>0.53</v>
      </c>
    </row>
    <row r="738">
      <c r="A738" s="0" t="inlineStr">
        <is>
          <t>[구월동]</t>
        </is>
      </c>
      <c r="B738" s="0" t="n">
        <v>111559</v>
      </c>
      <c r="C738" s="0" t="n">
        <v>4</v>
      </c>
      <c r="D738" s="0" t="inlineStr">
        <is>
          <t>해드림(도시형)</t>
        </is>
      </c>
      <c r="E738" s="0" t="inlineStr">
        <is>
          <t>2015.04.</t>
        </is>
      </c>
      <c r="F738" s="0" t="n">
        <v>45</v>
      </c>
      <c r="G738" s="0" t="n">
        <v>18.27</v>
      </c>
      <c r="H738" s="0" t="n">
        <v>60.42</v>
      </c>
      <c r="I738" s="0" t="n">
        <v>14.71</v>
      </c>
      <c r="J738" s="0" t="n">
        <v>48.65</v>
      </c>
      <c r="K738" s="0" t="n">
        <v>9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60</v>
      </c>
      <c r="X738" s="0" t="n">
        <v>13</v>
      </c>
      <c r="Y738" s="0" t="n">
        <v>13</v>
      </c>
      <c r="Z738" s="0" t="inlineStr">
        <is>
          <t>https://new.land.naver.com/complexes/111559?tab=detail&amp;rf=Y</t>
        </is>
      </c>
      <c r="AA738" s="0" t="inlineStr">
        <is>
          <t>인천시 남동구 구월동 1136-7</t>
        </is>
      </c>
      <c r="AB738" s="0" t="inlineStr">
        <is>
          <t>인천시</t>
        </is>
      </c>
      <c r="AC738" s="0" t="inlineStr">
        <is>
          <t>남동구</t>
        </is>
      </c>
      <c r="AD738" s="0" t="inlineStr">
        <is>
          <t>구월동</t>
        </is>
      </c>
      <c r="AG738" s="0" t="inlineStr">
        <is>
          <t>인천시 남동구 예술로226번길 35</t>
        </is>
      </c>
      <c r="AH738" s="0" t="n">
        <v>0</v>
      </c>
      <c r="AI738" s="0" t="n">
        <v>578</v>
      </c>
      <c r="AJ738" s="0" t="n">
        <v>60</v>
      </c>
      <c r="AK738" s="0" t="n">
        <v>24</v>
      </c>
      <c r="AL738" s="0" t="n">
        <v>0.53</v>
      </c>
    </row>
    <row r="739">
      <c r="A739" s="0" t="inlineStr">
        <is>
          <t>[구월동]</t>
        </is>
      </c>
      <c r="B739" s="0" t="n">
        <v>131062</v>
      </c>
      <c r="C739" s="0" t="n">
        <v>1</v>
      </c>
      <c r="D739" s="0" t="inlineStr">
        <is>
          <t>마커스</t>
        </is>
      </c>
      <c r="E739" s="0" t="inlineStr">
        <is>
          <t>2020.04.</t>
        </is>
      </c>
      <c r="F739" s="0" t="n">
        <v>72</v>
      </c>
      <c r="G739" s="0" t="n">
        <v>23.85</v>
      </c>
      <c r="H739" s="0" t="n">
        <v>78.84999999999999</v>
      </c>
      <c r="I739" s="0" t="n">
        <v>18.34</v>
      </c>
      <c r="J739" s="0" t="n">
        <v>60.64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78</v>
      </c>
      <c r="X739" s="0" t="n">
        <v>20</v>
      </c>
      <c r="Y739" s="0" t="n">
        <v>20</v>
      </c>
      <c r="Z739" s="0" t="inlineStr">
        <is>
          <t>https://new.land.naver.com/complexes/131062?tab=detail&amp;rf=Y</t>
        </is>
      </c>
      <c r="AA739" s="0" t="inlineStr">
        <is>
          <t>인천시 남동구 구월동 1146</t>
        </is>
      </c>
      <c r="AB739" s="0" t="inlineStr">
        <is>
          <t>인천시</t>
        </is>
      </c>
      <c r="AC739" s="0" t="inlineStr">
        <is>
          <t>남동구</t>
        </is>
      </c>
      <c r="AD739" s="0" t="inlineStr">
        <is>
          <t>구월동</t>
        </is>
      </c>
      <c r="AG739" s="0" t="inlineStr">
        <is>
          <t>인천시 남동구 미래로 6</t>
        </is>
      </c>
      <c r="AH739" s="0" t="n">
        <v>0</v>
      </c>
      <c r="AI739" s="0" t="n">
        <v>809</v>
      </c>
      <c r="AJ739" s="0" t="n">
        <v>60</v>
      </c>
      <c r="AK739" s="0" t="n">
        <v>80</v>
      </c>
      <c r="AL739" s="0" t="n">
        <v>1.11</v>
      </c>
    </row>
    <row r="740">
      <c r="A740" s="0" t="inlineStr">
        <is>
          <t>[구월동]</t>
        </is>
      </c>
      <c r="B740" s="0" t="n">
        <v>131062</v>
      </c>
      <c r="C740" s="0" t="n">
        <v>2</v>
      </c>
      <c r="D740" s="0" t="inlineStr">
        <is>
          <t>마커스</t>
        </is>
      </c>
      <c r="E740" s="0" t="inlineStr">
        <is>
          <t>2020.04.</t>
        </is>
      </c>
      <c r="F740" s="0" t="n">
        <v>72</v>
      </c>
      <c r="G740" s="0" t="n">
        <v>24.71</v>
      </c>
      <c r="H740" s="0" t="n">
        <v>81.7</v>
      </c>
      <c r="I740" s="0" t="n">
        <v>19.01</v>
      </c>
      <c r="J740" s="0" t="n">
        <v>62.85</v>
      </c>
      <c r="K740" s="0" t="n">
        <v>18</v>
      </c>
      <c r="T740" s="0" t="n">
        <v>3</v>
      </c>
      <c r="U740" s="0" t="n">
        <v>2</v>
      </c>
      <c r="V740" s="0" t="inlineStr">
        <is>
          <t>복합식</t>
        </is>
      </c>
      <c r="W740" s="0" t="n">
        <v>81</v>
      </c>
      <c r="X740" s="0" t="n">
        <v>20</v>
      </c>
      <c r="Y740" s="0" t="n">
        <v>20</v>
      </c>
      <c r="Z740" s="0" t="inlineStr">
        <is>
          <t>https://new.land.naver.com/complexes/131062?tab=detail&amp;rf=Y</t>
        </is>
      </c>
      <c r="AA740" s="0" t="inlineStr">
        <is>
          <t>인천시 남동구 구월동 1146</t>
        </is>
      </c>
      <c r="AB740" s="0" t="inlineStr">
        <is>
          <t>인천시</t>
        </is>
      </c>
      <c r="AC740" s="0" t="inlineStr">
        <is>
          <t>남동구</t>
        </is>
      </c>
      <c r="AD740" s="0" t="inlineStr">
        <is>
          <t>구월동</t>
        </is>
      </c>
      <c r="AG740" s="0" t="inlineStr">
        <is>
          <t>인천시 남동구 미래로 6</t>
        </is>
      </c>
      <c r="AH740" s="0" t="n">
        <v>0</v>
      </c>
      <c r="AI740" s="0" t="n">
        <v>809</v>
      </c>
      <c r="AJ740" s="0" t="n">
        <v>60</v>
      </c>
      <c r="AK740" s="0" t="n">
        <v>80</v>
      </c>
      <c r="AL740" s="0" t="n">
        <v>1.11</v>
      </c>
    </row>
    <row r="741">
      <c r="A741" s="0" t="inlineStr">
        <is>
          <t>[구월동]</t>
        </is>
      </c>
      <c r="B741" s="0" t="n">
        <v>131062</v>
      </c>
      <c r="C741" s="0" t="n">
        <v>3</v>
      </c>
      <c r="D741" s="0" t="inlineStr">
        <is>
          <t>마커스</t>
        </is>
      </c>
      <c r="E741" s="0" t="inlineStr">
        <is>
          <t>2020.04.</t>
        </is>
      </c>
      <c r="F741" s="0" t="n">
        <v>72</v>
      </c>
      <c r="G741" s="0" t="n">
        <v>26.83</v>
      </c>
      <c r="H741" s="0" t="n">
        <v>88.72</v>
      </c>
      <c r="I741" s="0" t="n">
        <v>20.66</v>
      </c>
      <c r="J741" s="0" t="n">
        <v>68.3</v>
      </c>
      <c r="K741" s="0" t="n">
        <v>18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88A</t>
        </is>
      </c>
      <c r="X741" s="0" t="n">
        <v>20</v>
      </c>
      <c r="Y741" s="0" t="n">
        <v>20</v>
      </c>
      <c r="Z741" s="0" t="inlineStr">
        <is>
          <t>https://new.land.naver.com/complexes/131062?tab=detail&amp;rf=Y</t>
        </is>
      </c>
      <c r="AA741" s="0" t="inlineStr">
        <is>
          <t>인천시 남동구 구월동 1146</t>
        </is>
      </c>
      <c r="AB741" s="0" t="inlineStr">
        <is>
          <t>인천시</t>
        </is>
      </c>
      <c r="AC741" s="0" t="inlineStr">
        <is>
          <t>남동구</t>
        </is>
      </c>
      <c r="AD741" s="0" t="inlineStr">
        <is>
          <t>구월동</t>
        </is>
      </c>
      <c r="AG741" s="0" t="inlineStr">
        <is>
          <t>인천시 남동구 미래로 6</t>
        </is>
      </c>
      <c r="AH741" s="0" t="n">
        <v>0</v>
      </c>
      <c r="AI741" s="0" t="n">
        <v>809</v>
      </c>
      <c r="AJ741" s="0" t="n">
        <v>60</v>
      </c>
      <c r="AK741" s="0" t="n">
        <v>80</v>
      </c>
      <c r="AL741" s="0" t="n">
        <v>1.11</v>
      </c>
    </row>
    <row r="742">
      <c r="A742" s="0" t="inlineStr">
        <is>
          <t>[구월동]</t>
        </is>
      </c>
      <c r="B742" s="0" t="n">
        <v>131062</v>
      </c>
      <c r="C742" s="0" t="n">
        <v>4</v>
      </c>
      <c r="D742" s="0" t="inlineStr">
        <is>
          <t>마커스</t>
        </is>
      </c>
      <c r="E742" s="0" t="inlineStr">
        <is>
          <t>2020.04.</t>
        </is>
      </c>
      <c r="F742" s="0" t="n">
        <v>72</v>
      </c>
      <c r="G742" s="0" t="n">
        <v>26.63</v>
      </c>
      <c r="H742" s="0" t="n">
        <v>88.06</v>
      </c>
      <c r="I742" s="0" t="n">
        <v>20.26</v>
      </c>
      <c r="J742" s="0" t="n">
        <v>67</v>
      </c>
      <c r="K742" s="0" t="n">
        <v>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88B</t>
        </is>
      </c>
      <c r="X742" s="0" t="n">
        <v>20</v>
      </c>
      <c r="Y742" s="0" t="n">
        <v>20</v>
      </c>
      <c r="Z742" s="0" t="inlineStr">
        <is>
          <t>https://new.land.naver.com/complexes/131062?tab=detail&amp;rf=Y</t>
        </is>
      </c>
      <c r="AA742" s="0" t="inlineStr">
        <is>
          <t>인천시 남동구 구월동 1146</t>
        </is>
      </c>
      <c r="AB742" s="0" t="inlineStr">
        <is>
          <t>인천시</t>
        </is>
      </c>
      <c r="AC742" s="0" t="inlineStr">
        <is>
          <t>남동구</t>
        </is>
      </c>
      <c r="AD742" s="0" t="inlineStr">
        <is>
          <t>구월동</t>
        </is>
      </c>
      <c r="AG742" s="0" t="inlineStr">
        <is>
          <t>인천시 남동구 미래로 6</t>
        </is>
      </c>
      <c r="AH742" s="0" t="n">
        <v>0</v>
      </c>
      <c r="AI742" s="0" t="n">
        <v>809</v>
      </c>
      <c r="AJ742" s="0" t="n">
        <v>60</v>
      </c>
      <c r="AK742" s="0" t="n">
        <v>80</v>
      </c>
      <c r="AL742" s="0" t="n">
        <v>1.11</v>
      </c>
    </row>
    <row r="743">
      <c r="A743" s="0" t="inlineStr">
        <is>
          <t>[구월동]</t>
        </is>
      </c>
      <c r="B743" s="0" t="n">
        <v>10590</v>
      </c>
      <c r="C743" s="0" t="n">
        <v>1</v>
      </c>
      <c r="D743" s="0" t="inlineStr">
        <is>
          <t>성문</t>
        </is>
      </c>
      <c r="E743" s="0" t="inlineStr">
        <is>
          <t>1996.10.</t>
        </is>
      </c>
      <c r="F743" s="0" t="n">
        <v>103</v>
      </c>
      <c r="G743" s="0" t="n">
        <v>24.69</v>
      </c>
      <c r="H743" s="0" t="n">
        <v>81.65000000000001</v>
      </c>
      <c r="I743" s="0" t="n">
        <v>18.1</v>
      </c>
      <c r="J743" s="0" t="n">
        <v>59.86</v>
      </c>
      <c r="K743" s="0" t="n">
        <v>103</v>
      </c>
      <c r="T743" s="0" t="n">
        <v>3</v>
      </c>
      <c r="U743" s="0" t="n">
        <v>1</v>
      </c>
      <c r="V743" s="0" t="inlineStr">
        <is>
          <t>복도식</t>
        </is>
      </c>
      <c r="W743" s="0" t="n">
        <v>81</v>
      </c>
      <c r="X743" s="0" t="n">
        <v>14</v>
      </c>
      <c r="Y743" s="0" t="n">
        <v>7</v>
      </c>
      <c r="Z743" s="0" t="inlineStr">
        <is>
          <t>https://new.land.naver.com/complexes/10590?tab=detail&amp;rf=Y</t>
        </is>
      </c>
      <c r="AA743" s="0" t="inlineStr">
        <is>
          <t>인천시 남동구 구월동 1291-7</t>
        </is>
      </c>
      <c r="AB743" s="0" t="inlineStr">
        <is>
          <t>인천시</t>
        </is>
      </c>
      <c r="AC743" s="0" t="inlineStr">
        <is>
          <t>남동구</t>
        </is>
      </c>
      <c r="AD743" s="0" t="inlineStr">
        <is>
          <t>구월동</t>
        </is>
      </c>
      <c r="AG743" s="0" t="inlineStr">
        <is>
          <t>인천시 남동구 호구포로744번길 26</t>
        </is>
      </c>
      <c r="AH743" s="0" t="n">
        <v>0</v>
      </c>
      <c r="AI743" s="0" t="n">
        <v>229</v>
      </c>
      <c r="AJ743" s="0" t="n">
        <v>27</v>
      </c>
      <c r="AK743" s="0" t="n">
        <v>61</v>
      </c>
      <c r="AL743" s="0" t="n">
        <v>0.59</v>
      </c>
    </row>
    <row r="744">
      <c r="A744" s="0" t="inlineStr">
        <is>
          <t>[구월동]</t>
        </is>
      </c>
      <c r="B744" s="0" t="n">
        <v>132208</v>
      </c>
      <c r="C744" s="0" t="n">
        <v>1</v>
      </c>
      <c r="D744" s="0" t="inlineStr">
        <is>
          <t>더테라스(도시형)</t>
        </is>
      </c>
      <c r="E744" s="0" t="inlineStr">
        <is>
          <t>2020.01.</t>
        </is>
      </c>
      <c r="F744" s="0" t="n">
        <v>9</v>
      </c>
      <c r="G744" s="0" t="n">
        <v>21.01</v>
      </c>
      <c r="H744" s="0" t="n">
        <v>69.48</v>
      </c>
      <c r="I744" s="0" t="n">
        <v>17.21</v>
      </c>
      <c r="J744" s="0" t="n">
        <v>56.91</v>
      </c>
      <c r="K744" s="0" t="n">
        <v>3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69</v>
      </c>
      <c r="X744" s="0" t="n">
        <v>11</v>
      </c>
      <c r="Y744" s="0" t="n">
        <v>11</v>
      </c>
      <c r="Z744" s="0" t="inlineStr">
        <is>
          <t>https://new.land.naver.com/complexes/132208?tab=detail&amp;rf=Y</t>
        </is>
      </c>
      <c r="AA744" s="0" t="inlineStr">
        <is>
          <t>인천시 남동구 구월동 1121-7</t>
        </is>
      </c>
      <c r="AB744" s="0" t="inlineStr">
        <is>
          <t>인천시</t>
        </is>
      </c>
      <c r="AC744" s="0" t="inlineStr">
        <is>
          <t>남동구</t>
        </is>
      </c>
      <c r="AD744" s="0" t="inlineStr">
        <is>
          <t>구월동</t>
        </is>
      </c>
      <c r="AG744" s="0" t="inlineStr">
        <is>
          <t>인천시 남동구 인주대로 530-1</t>
        </is>
      </c>
      <c r="AH744" s="0" t="n">
        <v>0</v>
      </c>
      <c r="AI744" s="0" t="n">
        <v>499</v>
      </c>
      <c r="AJ744" s="0" t="n">
        <v>56</v>
      </c>
      <c r="AK744" s="0" t="n">
        <v>9</v>
      </c>
      <c r="AL744" s="0" t="n">
        <v>1</v>
      </c>
    </row>
    <row r="745">
      <c r="A745" s="0" t="inlineStr">
        <is>
          <t>[구월동]</t>
        </is>
      </c>
      <c r="B745" s="0" t="n">
        <v>132208</v>
      </c>
      <c r="C745" s="0" t="n">
        <v>2</v>
      </c>
      <c r="D745" s="0" t="inlineStr">
        <is>
          <t>더테라스(도시형)</t>
        </is>
      </c>
      <c r="E745" s="0" t="inlineStr">
        <is>
          <t>2020.01.</t>
        </is>
      </c>
      <c r="F745" s="0" t="n">
        <v>9</v>
      </c>
      <c r="G745" s="0" t="n">
        <v>22.74</v>
      </c>
      <c r="H745" s="0" t="n">
        <v>75.18000000000001</v>
      </c>
      <c r="I745" s="0" t="n">
        <v>18.6</v>
      </c>
      <c r="J745" s="0" t="n">
        <v>61.52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75</v>
      </c>
      <c r="X745" s="0" t="n">
        <v>11</v>
      </c>
      <c r="Y745" s="0" t="n">
        <v>11</v>
      </c>
      <c r="Z745" s="0" t="inlineStr">
        <is>
          <t>https://new.land.naver.com/complexes/132208?tab=detail&amp;rf=Y</t>
        </is>
      </c>
      <c r="AA745" s="0" t="inlineStr">
        <is>
          <t>인천시 남동구 구월동 1121-7</t>
        </is>
      </c>
      <c r="AB745" s="0" t="inlineStr">
        <is>
          <t>인천시</t>
        </is>
      </c>
      <c r="AC745" s="0" t="inlineStr">
        <is>
          <t>남동구</t>
        </is>
      </c>
      <c r="AD745" s="0" t="inlineStr">
        <is>
          <t>구월동</t>
        </is>
      </c>
      <c r="AG745" s="0" t="inlineStr">
        <is>
          <t>인천시 남동구 인주대로 530-1</t>
        </is>
      </c>
      <c r="AH745" s="0" t="n">
        <v>0</v>
      </c>
      <c r="AI745" s="0" t="n">
        <v>499</v>
      </c>
      <c r="AJ745" s="0" t="n">
        <v>56</v>
      </c>
      <c r="AK745" s="0" t="n">
        <v>9</v>
      </c>
      <c r="AL745" s="0" t="n">
        <v>1</v>
      </c>
    </row>
    <row r="746">
      <c r="A746" s="0" t="inlineStr">
        <is>
          <t>[구월동]</t>
        </is>
      </c>
      <c r="B746" s="0" t="n">
        <v>113447</v>
      </c>
      <c r="C746" s="0" t="n">
        <v>1</v>
      </c>
      <c r="D746" s="0" t="inlineStr">
        <is>
          <t>구월프라움아트(도시형)</t>
        </is>
      </c>
      <c r="E746" s="0" t="inlineStr">
        <is>
          <t>2016.07.</t>
        </is>
      </c>
      <c r="F746" s="0" t="n">
        <v>244</v>
      </c>
      <c r="G746" s="0" t="n">
        <v>6.94</v>
      </c>
      <c r="H746" s="0" t="n">
        <v>22.95</v>
      </c>
      <c r="I746" s="0" t="n">
        <v>4.52</v>
      </c>
      <c r="J746" s="0" t="n">
        <v>14.95</v>
      </c>
      <c r="K746" s="0" t="n">
        <v>104</v>
      </c>
      <c r="T746" s="0" t="n">
        <v>1</v>
      </c>
      <c r="U746" s="0" t="n">
        <v>1</v>
      </c>
      <c r="V746" s="0" t="inlineStr">
        <is>
          <t>계단식</t>
        </is>
      </c>
      <c r="W746" s="0" t="inlineStr">
        <is>
          <t>22A</t>
        </is>
      </c>
      <c r="X746" s="0" t="n">
        <v>18</v>
      </c>
      <c r="Y746" s="0" t="n">
        <v>17</v>
      </c>
      <c r="Z746" s="0" t="inlineStr">
        <is>
          <t>https://new.land.naver.com/complexes/113447?tab=detail&amp;rf=Y</t>
        </is>
      </c>
      <c r="AA746" s="0" t="inlineStr">
        <is>
          <t>인천시 남동구 구월동 1131-18</t>
        </is>
      </c>
      <c r="AB746" s="0" t="inlineStr">
        <is>
          <t>인천시</t>
        </is>
      </c>
      <c r="AC746" s="0" t="inlineStr">
        <is>
          <t>남동구</t>
        </is>
      </c>
      <c r="AD746" s="0" t="inlineStr">
        <is>
          <t>구월동</t>
        </is>
      </c>
      <c r="AG746" s="0" t="inlineStr">
        <is>
          <t>인천시 남동구 예술로204번길 19</t>
        </is>
      </c>
      <c r="AH746" s="0" t="n">
        <v>0</v>
      </c>
      <c r="AI746" s="0" t="n">
        <v>691</v>
      </c>
      <c r="AJ746" s="0" t="n">
        <v>57</v>
      </c>
      <c r="AK746" s="0" t="n">
        <v>124</v>
      </c>
      <c r="AL746" s="0" t="n">
        <v>0.51</v>
      </c>
    </row>
    <row r="747">
      <c r="A747" s="0" t="inlineStr">
        <is>
          <t>[구월동]</t>
        </is>
      </c>
      <c r="B747" s="0" t="n">
        <v>113447</v>
      </c>
      <c r="C747" s="0" t="n">
        <v>2</v>
      </c>
      <c r="D747" s="0" t="inlineStr">
        <is>
          <t>구월프라움아트(도시형)</t>
        </is>
      </c>
      <c r="E747" s="0" t="inlineStr">
        <is>
          <t>2016.07.</t>
        </is>
      </c>
      <c r="F747" s="0" t="n">
        <v>244</v>
      </c>
      <c r="G747" s="0" t="n">
        <v>7.1</v>
      </c>
      <c r="H747" s="0" t="n">
        <v>23.48</v>
      </c>
      <c r="I747" s="0" t="n">
        <v>4.54</v>
      </c>
      <c r="J747" s="0" t="n">
        <v>15.01</v>
      </c>
      <c r="K747" s="0" t="n">
        <v>39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23B</t>
        </is>
      </c>
      <c r="X747" s="0" t="n">
        <v>18</v>
      </c>
      <c r="Y747" s="0" t="n">
        <v>17</v>
      </c>
      <c r="Z747" s="0" t="inlineStr">
        <is>
          <t>https://new.land.naver.com/complexes/113447?tab=detail&amp;rf=Y</t>
        </is>
      </c>
      <c r="AA747" s="0" t="inlineStr">
        <is>
          <t>인천시 남동구 구월동 1131-18</t>
        </is>
      </c>
      <c r="AB747" s="0" t="inlineStr">
        <is>
          <t>인천시</t>
        </is>
      </c>
      <c r="AC747" s="0" t="inlineStr">
        <is>
          <t>남동구</t>
        </is>
      </c>
      <c r="AD747" s="0" t="inlineStr">
        <is>
          <t>구월동</t>
        </is>
      </c>
      <c r="AG747" s="0" t="inlineStr">
        <is>
          <t>인천시 남동구 예술로204번길 19</t>
        </is>
      </c>
      <c r="AH747" s="0" t="n">
        <v>0</v>
      </c>
      <c r="AI747" s="0" t="n">
        <v>691</v>
      </c>
      <c r="AJ747" s="0" t="n">
        <v>57</v>
      </c>
      <c r="AK747" s="0" t="n">
        <v>124</v>
      </c>
      <c r="AL747" s="0" t="n">
        <v>0.51</v>
      </c>
    </row>
    <row r="748">
      <c r="A748" s="0" t="inlineStr">
        <is>
          <t>[구월동]</t>
        </is>
      </c>
      <c r="B748" s="0" t="n">
        <v>113447</v>
      </c>
      <c r="C748" s="0" t="n">
        <v>3</v>
      </c>
      <c r="D748" s="0" t="inlineStr">
        <is>
          <t>구월프라움아트(도시형)</t>
        </is>
      </c>
      <c r="E748" s="0" t="inlineStr">
        <is>
          <t>2016.07.</t>
        </is>
      </c>
      <c r="F748" s="0" t="n">
        <v>244</v>
      </c>
      <c r="G748" s="0" t="n">
        <v>7.05</v>
      </c>
      <c r="H748" s="0" t="n">
        <v>23.31</v>
      </c>
      <c r="I748" s="0" t="n">
        <v>4.65</v>
      </c>
      <c r="J748" s="0" t="n">
        <v>15.38</v>
      </c>
      <c r="K748" s="0" t="n">
        <v>2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23C</t>
        </is>
      </c>
      <c r="X748" s="0" t="n">
        <v>18</v>
      </c>
      <c r="Y748" s="0" t="n">
        <v>17</v>
      </c>
      <c r="Z748" s="0" t="inlineStr">
        <is>
          <t>https://new.land.naver.com/complexes/113447?tab=detail&amp;rf=Y</t>
        </is>
      </c>
      <c r="AA748" s="0" t="inlineStr">
        <is>
          <t>인천시 남동구 구월동 1131-18</t>
        </is>
      </c>
      <c r="AB748" s="0" t="inlineStr">
        <is>
          <t>인천시</t>
        </is>
      </c>
      <c r="AC748" s="0" t="inlineStr">
        <is>
          <t>남동구</t>
        </is>
      </c>
      <c r="AD748" s="0" t="inlineStr">
        <is>
          <t>구월동</t>
        </is>
      </c>
      <c r="AG748" s="0" t="inlineStr">
        <is>
          <t>인천시 남동구 예술로204번길 19</t>
        </is>
      </c>
      <c r="AH748" s="0" t="n">
        <v>0</v>
      </c>
      <c r="AI748" s="0" t="n">
        <v>691</v>
      </c>
      <c r="AJ748" s="0" t="n">
        <v>57</v>
      </c>
      <c r="AK748" s="0" t="n">
        <v>124</v>
      </c>
      <c r="AL748" s="0" t="n">
        <v>0.51</v>
      </c>
    </row>
    <row r="749">
      <c r="A749" s="0" t="inlineStr">
        <is>
          <t>[구월동]</t>
        </is>
      </c>
      <c r="B749" s="0" t="n">
        <v>113447</v>
      </c>
      <c r="C749" s="0" t="n">
        <v>4</v>
      </c>
      <c r="D749" s="0" t="inlineStr">
        <is>
          <t>구월프라움아트(도시형)</t>
        </is>
      </c>
      <c r="E749" s="0" t="inlineStr">
        <is>
          <t>2016.07.</t>
        </is>
      </c>
      <c r="F749" s="0" t="n">
        <v>244</v>
      </c>
      <c r="G749" s="0" t="n">
        <v>8.460000000000001</v>
      </c>
      <c r="H749" s="0" t="n">
        <v>27.97</v>
      </c>
      <c r="I749" s="0" t="n">
        <v>5.51</v>
      </c>
      <c r="J749" s="0" t="n">
        <v>18.22</v>
      </c>
      <c r="K749" s="0" t="n">
        <v>2</v>
      </c>
      <c r="T749" s="0" t="n">
        <v>1</v>
      </c>
      <c r="U749" s="0" t="n">
        <v>1</v>
      </c>
      <c r="V749" s="0" t="inlineStr">
        <is>
          <t>계단식</t>
        </is>
      </c>
      <c r="W749" s="0" t="n">
        <v>27</v>
      </c>
      <c r="X749" s="0" t="n">
        <v>18</v>
      </c>
      <c r="Y749" s="0" t="n">
        <v>17</v>
      </c>
      <c r="Z749" s="0" t="inlineStr">
        <is>
          <t>https://new.land.naver.com/complexes/113447?tab=detail&amp;rf=Y</t>
        </is>
      </c>
      <c r="AA749" s="0" t="inlineStr">
        <is>
          <t>인천시 남동구 구월동 1131-18</t>
        </is>
      </c>
      <c r="AB749" s="0" t="inlineStr">
        <is>
          <t>인천시</t>
        </is>
      </c>
      <c r="AC749" s="0" t="inlineStr">
        <is>
          <t>남동구</t>
        </is>
      </c>
      <c r="AD749" s="0" t="inlineStr">
        <is>
          <t>구월동</t>
        </is>
      </c>
      <c r="AG749" s="0" t="inlineStr">
        <is>
          <t>인천시 남동구 예술로204번길 19</t>
        </is>
      </c>
      <c r="AH749" s="0" t="n">
        <v>0</v>
      </c>
      <c r="AI749" s="0" t="n">
        <v>691</v>
      </c>
      <c r="AJ749" s="0" t="n">
        <v>57</v>
      </c>
      <c r="AK749" s="0" t="n">
        <v>124</v>
      </c>
      <c r="AL749" s="0" t="n">
        <v>0.51</v>
      </c>
    </row>
    <row r="750">
      <c r="A750" s="0" t="inlineStr">
        <is>
          <t>[구월동]</t>
        </is>
      </c>
      <c r="B750" s="0" t="n">
        <v>113447</v>
      </c>
      <c r="C750" s="0" t="n">
        <v>5</v>
      </c>
      <c r="D750" s="0" t="inlineStr">
        <is>
          <t>구월프라움아트(도시형)</t>
        </is>
      </c>
      <c r="E750" s="0" t="inlineStr">
        <is>
          <t>2016.07.</t>
        </is>
      </c>
      <c r="F750" s="0" t="n">
        <v>244</v>
      </c>
      <c r="G750" s="0" t="n">
        <v>8.57</v>
      </c>
      <c r="H750" s="0" t="n">
        <v>28.34</v>
      </c>
      <c r="I750" s="0" t="n">
        <v>5.45</v>
      </c>
      <c r="J750" s="0" t="n">
        <v>18.02</v>
      </c>
      <c r="K750" s="0" t="n">
        <v>13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28A</t>
        </is>
      </c>
      <c r="X750" s="0" t="n">
        <v>18</v>
      </c>
      <c r="Y750" s="0" t="n">
        <v>17</v>
      </c>
      <c r="Z750" s="0" t="inlineStr">
        <is>
          <t>https://new.land.naver.com/complexes/113447?tab=detail&amp;rf=Y</t>
        </is>
      </c>
      <c r="AA750" s="0" t="inlineStr">
        <is>
          <t>인천시 남동구 구월동 1131-18</t>
        </is>
      </c>
      <c r="AB750" s="0" t="inlineStr">
        <is>
          <t>인천시</t>
        </is>
      </c>
      <c r="AC750" s="0" t="inlineStr">
        <is>
          <t>남동구</t>
        </is>
      </c>
      <c r="AD750" s="0" t="inlineStr">
        <is>
          <t>구월동</t>
        </is>
      </c>
      <c r="AG750" s="0" t="inlineStr">
        <is>
          <t>인천시 남동구 예술로204번길 19</t>
        </is>
      </c>
      <c r="AH750" s="0" t="n">
        <v>0</v>
      </c>
      <c r="AI750" s="0" t="n">
        <v>691</v>
      </c>
      <c r="AJ750" s="0" t="n">
        <v>57</v>
      </c>
      <c r="AK750" s="0" t="n">
        <v>124</v>
      </c>
      <c r="AL750" s="0" t="n">
        <v>0.51</v>
      </c>
    </row>
    <row r="751">
      <c r="A751" s="0" t="inlineStr">
        <is>
          <t>[구월동]</t>
        </is>
      </c>
      <c r="B751" s="0" t="n">
        <v>113447</v>
      </c>
      <c r="C751" s="0" t="n">
        <v>6</v>
      </c>
      <c r="D751" s="0" t="inlineStr">
        <is>
          <t>구월프라움아트(도시형)</t>
        </is>
      </c>
      <c r="E751" s="0" t="inlineStr">
        <is>
          <t>2016.07.</t>
        </is>
      </c>
      <c r="F751" s="0" t="n">
        <v>244</v>
      </c>
      <c r="G751" s="0" t="n">
        <v>8.800000000000001</v>
      </c>
      <c r="H751" s="0" t="n">
        <v>29.11</v>
      </c>
      <c r="I751" s="0" t="n">
        <v>5.74</v>
      </c>
      <c r="J751" s="0" t="n">
        <v>19</v>
      </c>
      <c r="K751" s="0" t="n">
        <v>65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29B</t>
        </is>
      </c>
      <c r="X751" s="0" t="n">
        <v>18</v>
      </c>
      <c r="Y751" s="0" t="n">
        <v>17</v>
      </c>
      <c r="Z751" s="0" t="inlineStr">
        <is>
          <t>https://new.land.naver.com/complexes/113447?tab=detail&amp;rf=Y</t>
        </is>
      </c>
      <c r="AA751" s="0" t="inlineStr">
        <is>
          <t>인천시 남동구 구월동 1131-18</t>
        </is>
      </c>
      <c r="AB751" s="0" t="inlineStr">
        <is>
          <t>인천시</t>
        </is>
      </c>
      <c r="AC751" s="0" t="inlineStr">
        <is>
          <t>남동구</t>
        </is>
      </c>
      <c r="AD751" s="0" t="inlineStr">
        <is>
          <t>구월동</t>
        </is>
      </c>
      <c r="AG751" s="0" t="inlineStr">
        <is>
          <t>인천시 남동구 예술로204번길 19</t>
        </is>
      </c>
      <c r="AH751" s="0" t="n">
        <v>0</v>
      </c>
      <c r="AI751" s="0" t="n">
        <v>691</v>
      </c>
      <c r="AJ751" s="0" t="n">
        <v>57</v>
      </c>
      <c r="AK751" s="0" t="n">
        <v>124</v>
      </c>
      <c r="AL751" s="0" t="n">
        <v>0.51</v>
      </c>
    </row>
    <row r="752">
      <c r="A752" s="0" t="inlineStr">
        <is>
          <t>[구월동]</t>
        </is>
      </c>
      <c r="B752" s="0" t="n">
        <v>113447</v>
      </c>
      <c r="C752" s="0" t="n">
        <v>7</v>
      </c>
      <c r="D752" s="0" t="inlineStr">
        <is>
          <t>구월프라움아트(도시형)</t>
        </is>
      </c>
      <c r="E752" s="0" t="inlineStr">
        <is>
          <t>2016.07.</t>
        </is>
      </c>
      <c r="F752" s="0" t="n">
        <v>244</v>
      </c>
      <c r="G752" s="0" t="n">
        <v>8.890000000000001</v>
      </c>
      <c r="H752" s="0" t="n">
        <v>29.39</v>
      </c>
      <c r="I752" s="0" t="n">
        <v>5.81</v>
      </c>
      <c r="J752" s="0" t="n">
        <v>19.23</v>
      </c>
      <c r="K752" s="0" t="n">
        <v>3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29C</t>
        </is>
      </c>
      <c r="X752" s="0" t="n">
        <v>18</v>
      </c>
      <c r="Y752" s="0" t="n">
        <v>17</v>
      </c>
      <c r="Z752" s="0" t="inlineStr">
        <is>
          <t>https://new.land.naver.com/complexes/113447?tab=detail&amp;rf=Y</t>
        </is>
      </c>
      <c r="AA752" s="0" t="inlineStr">
        <is>
          <t>인천시 남동구 구월동 1131-18</t>
        </is>
      </c>
      <c r="AB752" s="0" t="inlineStr">
        <is>
          <t>인천시</t>
        </is>
      </c>
      <c r="AC752" s="0" t="inlineStr">
        <is>
          <t>남동구</t>
        </is>
      </c>
      <c r="AD752" s="0" t="inlineStr">
        <is>
          <t>구월동</t>
        </is>
      </c>
      <c r="AG752" s="0" t="inlineStr">
        <is>
          <t>인천시 남동구 예술로204번길 19</t>
        </is>
      </c>
      <c r="AH752" s="0" t="n">
        <v>0</v>
      </c>
      <c r="AI752" s="0" t="n">
        <v>691</v>
      </c>
      <c r="AJ752" s="0" t="n">
        <v>57</v>
      </c>
      <c r="AK752" s="0" t="n">
        <v>124</v>
      </c>
      <c r="AL752" s="0" t="n">
        <v>0.51</v>
      </c>
    </row>
    <row r="753">
      <c r="A753" s="0" t="inlineStr">
        <is>
          <t>[구월동]</t>
        </is>
      </c>
      <c r="B753" s="0" t="n">
        <v>113447</v>
      </c>
      <c r="C753" s="0" t="n">
        <v>8</v>
      </c>
      <c r="D753" s="0" t="inlineStr">
        <is>
          <t>구월프라움아트(도시형)</t>
        </is>
      </c>
      <c r="E753" s="0" t="inlineStr">
        <is>
          <t>2016.07.</t>
        </is>
      </c>
      <c r="F753" s="0" t="n">
        <v>244</v>
      </c>
      <c r="G753" s="0" t="n">
        <v>8.99</v>
      </c>
      <c r="H753" s="0" t="n">
        <v>29.74</v>
      </c>
      <c r="I753" s="0" t="n">
        <v>5.83</v>
      </c>
      <c r="J753" s="0" t="n">
        <v>19.29</v>
      </c>
      <c r="K753" s="0" t="n">
        <v>1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29D</t>
        </is>
      </c>
      <c r="X753" s="0" t="n">
        <v>18</v>
      </c>
      <c r="Y753" s="0" t="n">
        <v>17</v>
      </c>
      <c r="Z753" s="0" t="inlineStr">
        <is>
          <t>https://new.land.naver.com/complexes/113447?tab=detail&amp;rf=Y</t>
        </is>
      </c>
      <c r="AA753" s="0" t="inlineStr">
        <is>
          <t>인천시 남동구 구월동 1131-18</t>
        </is>
      </c>
      <c r="AB753" s="0" t="inlineStr">
        <is>
          <t>인천시</t>
        </is>
      </c>
      <c r="AC753" s="0" t="inlineStr">
        <is>
          <t>남동구</t>
        </is>
      </c>
      <c r="AD753" s="0" t="inlineStr">
        <is>
          <t>구월동</t>
        </is>
      </c>
      <c r="AG753" s="0" t="inlineStr">
        <is>
          <t>인천시 남동구 예술로204번길 19</t>
        </is>
      </c>
      <c r="AH753" s="0" t="n">
        <v>0</v>
      </c>
      <c r="AI753" s="0" t="n">
        <v>691</v>
      </c>
      <c r="AJ753" s="0" t="n">
        <v>57</v>
      </c>
      <c r="AK753" s="0" t="n">
        <v>124</v>
      </c>
      <c r="AL753" s="0" t="n">
        <v>0.51</v>
      </c>
    </row>
    <row r="754">
      <c r="A754" s="0" t="inlineStr">
        <is>
          <t>[구월동]</t>
        </is>
      </c>
      <c r="B754" s="0" t="n">
        <v>113447</v>
      </c>
      <c r="C754" s="0" t="n">
        <v>9</v>
      </c>
      <c r="D754" s="0" t="inlineStr">
        <is>
          <t>구월프라움아트(도시형)</t>
        </is>
      </c>
      <c r="E754" s="0" t="inlineStr">
        <is>
          <t>2016.07.</t>
        </is>
      </c>
      <c r="F754" s="0" t="n">
        <v>244</v>
      </c>
      <c r="G754" s="0" t="n">
        <v>9.25</v>
      </c>
      <c r="H754" s="0" t="n">
        <v>30.59</v>
      </c>
      <c r="I754" s="0" t="n">
        <v>5.84</v>
      </c>
      <c r="J754" s="0" t="n">
        <v>19.32</v>
      </c>
      <c r="K754" s="0" t="n">
        <v>13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30E</t>
        </is>
      </c>
      <c r="X754" s="0" t="n">
        <v>18</v>
      </c>
      <c r="Y754" s="0" t="n">
        <v>17</v>
      </c>
      <c r="Z754" s="0" t="inlineStr">
        <is>
          <t>https://new.land.naver.com/complexes/113447?tab=detail&amp;rf=Y</t>
        </is>
      </c>
      <c r="AA754" s="0" t="inlineStr">
        <is>
          <t>인천시 남동구 구월동 1131-18</t>
        </is>
      </c>
      <c r="AB754" s="0" t="inlineStr">
        <is>
          <t>인천시</t>
        </is>
      </c>
      <c r="AC754" s="0" t="inlineStr">
        <is>
          <t>남동구</t>
        </is>
      </c>
      <c r="AD754" s="0" t="inlineStr">
        <is>
          <t>구월동</t>
        </is>
      </c>
      <c r="AG754" s="0" t="inlineStr">
        <is>
          <t>인천시 남동구 예술로204번길 19</t>
        </is>
      </c>
      <c r="AH754" s="0" t="n">
        <v>0</v>
      </c>
      <c r="AI754" s="0" t="n">
        <v>691</v>
      </c>
      <c r="AJ754" s="0" t="n">
        <v>57</v>
      </c>
      <c r="AK754" s="0" t="n">
        <v>124</v>
      </c>
      <c r="AL754" s="0" t="n">
        <v>0.51</v>
      </c>
    </row>
    <row r="755">
      <c r="A755" s="0" t="inlineStr">
        <is>
          <t>[구월동]</t>
        </is>
      </c>
      <c r="B755" s="0" t="n">
        <v>113447</v>
      </c>
      <c r="C755" s="0" t="n">
        <v>10</v>
      </c>
      <c r="D755" s="0" t="inlineStr">
        <is>
          <t>구월프라움아트(도시형)</t>
        </is>
      </c>
      <c r="E755" s="0" t="inlineStr">
        <is>
          <t>2016.07.</t>
        </is>
      </c>
      <c r="F755" s="0" t="n">
        <v>244</v>
      </c>
      <c r="G755" s="0" t="n">
        <v>9.51</v>
      </c>
      <c r="H755" s="0" t="n">
        <v>31.45</v>
      </c>
      <c r="I755" s="0" t="n">
        <v>5.94</v>
      </c>
      <c r="J755" s="0" t="n">
        <v>19.65</v>
      </c>
      <c r="K755" s="0" t="n">
        <v>1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31</v>
      </c>
      <c r="X755" s="0" t="n">
        <v>18</v>
      </c>
      <c r="Y755" s="0" t="n">
        <v>17</v>
      </c>
      <c r="Z755" s="0" t="inlineStr">
        <is>
          <t>https://new.land.naver.com/complexes/113447?tab=detail&amp;rf=Y</t>
        </is>
      </c>
      <c r="AA755" s="0" t="inlineStr">
        <is>
          <t>인천시 남동구 구월동 1131-18</t>
        </is>
      </c>
      <c r="AB755" s="0" t="inlineStr">
        <is>
          <t>인천시</t>
        </is>
      </c>
      <c r="AC755" s="0" t="inlineStr">
        <is>
          <t>남동구</t>
        </is>
      </c>
      <c r="AD755" s="0" t="inlineStr">
        <is>
          <t>구월동</t>
        </is>
      </c>
      <c r="AG755" s="0" t="inlineStr">
        <is>
          <t>인천시 남동구 예술로204번길 19</t>
        </is>
      </c>
      <c r="AH755" s="0" t="n">
        <v>0</v>
      </c>
      <c r="AI755" s="0" t="n">
        <v>691</v>
      </c>
      <c r="AJ755" s="0" t="n">
        <v>57</v>
      </c>
      <c r="AK755" s="0" t="n">
        <v>124</v>
      </c>
      <c r="AL755" s="0" t="n">
        <v>0.51</v>
      </c>
    </row>
    <row r="756">
      <c r="A756" s="0" t="inlineStr">
        <is>
          <t>[구월동]</t>
        </is>
      </c>
      <c r="B756" s="0" t="n">
        <v>113447</v>
      </c>
      <c r="C756" s="0" t="n">
        <v>11</v>
      </c>
      <c r="D756" s="0" t="inlineStr">
        <is>
          <t>구월프라움아트(도시형)</t>
        </is>
      </c>
      <c r="E756" s="0" t="inlineStr">
        <is>
          <t>2016.07.</t>
        </is>
      </c>
      <c r="F756" s="0" t="n">
        <v>244</v>
      </c>
      <c r="G756" s="0" t="n">
        <v>10.55</v>
      </c>
      <c r="H756" s="0" t="n">
        <v>34.88</v>
      </c>
      <c r="I756" s="0" t="n">
        <v>6.89</v>
      </c>
      <c r="J756" s="0" t="n">
        <v>22.8</v>
      </c>
      <c r="K756" s="0" t="n">
        <v>1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34</v>
      </c>
      <c r="X756" s="0" t="n">
        <v>18</v>
      </c>
      <c r="Y756" s="0" t="n">
        <v>17</v>
      </c>
      <c r="Z756" s="0" t="inlineStr">
        <is>
          <t>https://new.land.naver.com/complexes/113447?tab=detail&amp;rf=Y</t>
        </is>
      </c>
      <c r="AA756" s="0" t="inlineStr">
        <is>
          <t>인천시 남동구 구월동 1131-18</t>
        </is>
      </c>
      <c r="AB756" s="0" t="inlineStr">
        <is>
          <t>인천시</t>
        </is>
      </c>
      <c r="AC756" s="0" t="inlineStr">
        <is>
          <t>남동구</t>
        </is>
      </c>
      <c r="AD756" s="0" t="inlineStr">
        <is>
          <t>구월동</t>
        </is>
      </c>
      <c r="AG756" s="0" t="inlineStr">
        <is>
          <t>인천시 남동구 예술로204번길 19</t>
        </is>
      </c>
      <c r="AH756" s="0" t="n">
        <v>0</v>
      </c>
      <c r="AI756" s="0" t="n">
        <v>691</v>
      </c>
      <c r="AJ756" s="0" t="n">
        <v>57</v>
      </c>
      <c r="AK756" s="0" t="n">
        <v>124</v>
      </c>
      <c r="AL756" s="0" t="n">
        <v>0.51</v>
      </c>
    </row>
    <row r="757">
      <c r="A757" s="0" t="inlineStr">
        <is>
          <t>[구월동]</t>
        </is>
      </c>
      <c r="B757" s="0" t="n">
        <v>114949</v>
      </c>
      <c r="C757" s="0" t="n">
        <v>1</v>
      </c>
      <c r="D757" s="0" t="inlineStr">
        <is>
          <t>골드클래스(도시형)</t>
        </is>
      </c>
      <c r="E757" s="0" t="inlineStr">
        <is>
          <t>2014.09.</t>
        </is>
      </c>
      <c r="F757" s="0" t="n">
        <v>28</v>
      </c>
      <c r="G757" s="0" t="n">
        <v>15.92</v>
      </c>
      <c r="H757" s="0" t="n">
        <v>52.64</v>
      </c>
      <c r="I757" s="0" t="n">
        <v>13.5</v>
      </c>
      <c r="J757" s="0" t="n">
        <v>44.63</v>
      </c>
      <c r="K757" s="0" t="n">
        <v>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52</v>
      </c>
      <c r="X757" s="0" t="n">
        <v>14</v>
      </c>
      <c r="Y757" s="0" t="n">
        <v>14</v>
      </c>
      <c r="Z757" s="0" t="inlineStr">
        <is>
          <t>https://new.land.naver.com/complexes/114949?tab=detail&amp;rf=Y</t>
        </is>
      </c>
      <c r="AA757" s="0" t="inlineStr">
        <is>
          <t>인천시 남동구 구월동 1142-12</t>
        </is>
      </c>
      <c r="AB757" s="0" t="inlineStr">
        <is>
          <t>인천시</t>
        </is>
      </c>
      <c r="AC757" s="0" t="inlineStr">
        <is>
          <t>남동구</t>
        </is>
      </c>
      <c r="AD757" s="0" t="inlineStr">
        <is>
          <t>구월동</t>
        </is>
      </c>
      <c r="AG757" s="0" t="inlineStr">
        <is>
          <t>인천시 남동구 구월남로 146-10</t>
        </is>
      </c>
      <c r="AH757" s="0" t="n">
        <v>0</v>
      </c>
      <c r="AI757" s="0" t="n">
        <v>683</v>
      </c>
      <c r="AJ757" s="0" t="n">
        <v>68</v>
      </c>
      <c r="AK757" s="0" t="n">
        <v>20</v>
      </c>
      <c r="AL757" s="0" t="n">
        <v>0.71</v>
      </c>
    </row>
    <row r="758">
      <c r="A758" s="0" t="inlineStr">
        <is>
          <t>[구월동]</t>
        </is>
      </c>
      <c r="B758" s="0" t="n">
        <v>114949</v>
      </c>
      <c r="C758" s="0" t="n">
        <v>2</v>
      </c>
      <c r="D758" s="0" t="inlineStr">
        <is>
          <t>골드클래스(도시형)</t>
        </is>
      </c>
      <c r="E758" s="0" t="inlineStr">
        <is>
          <t>2014.09.</t>
        </is>
      </c>
      <c r="F758" s="0" t="n">
        <v>28</v>
      </c>
      <c r="G758" s="0" t="n">
        <v>17.18</v>
      </c>
      <c r="H758" s="0" t="n">
        <v>56.82</v>
      </c>
      <c r="I758" s="0" t="n">
        <v>14.57</v>
      </c>
      <c r="J758" s="0" t="n">
        <v>48.17</v>
      </c>
      <c r="K758" s="0" t="n">
        <v>8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56A</t>
        </is>
      </c>
      <c r="X758" s="0" t="n">
        <v>14</v>
      </c>
      <c r="Y758" s="0" t="n">
        <v>14</v>
      </c>
      <c r="Z758" s="0" t="inlineStr">
        <is>
          <t>https://new.land.naver.com/complexes/114949?tab=detail&amp;rf=Y</t>
        </is>
      </c>
      <c r="AA758" s="0" t="inlineStr">
        <is>
          <t>인천시 남동구 구월동 1142-12</t>
        </is>
      </c>
      <c r="AB758" s="0" t="inlineStr">
        <is>
          <t>인천시</t>
        </is>
      </c>
      <c r="AC758" s="0" t="inlineStr">
        <is>
          <t>남동구</t>
        </is>
      </c>
      <c r="AD758" s="0" t="inlineStr">
        <is>
          <t>구월동</t>
        </is>
      </c>
      <c r="AG758" s="0" t="inlineStr">
        <is>
          <t>인천시 남동구 구월남로 146-10</t>
        </is>
      </c>
      <c r="AH758" s="0" t="n">
        <v>0</v>
      </c>
      <c r="AI758" s="0" t="n">
        <v>683</v>
      </c>
      <c r="AJ758" s="0" t="n">
        <v>68</v>
      </c>
      <c r="AK758" s="0" t="n">
        <v>20</v>
      </c>
      <c r="AL758" s="0" t="n">
        <v>0.71</v>
      </c>
    </row>
    <row r="759">
      <c r="A759" s="0" t="inlineStr">
        <is>
          <t>[구월동]</t>
        </is>
      </c>
      <c r="B759" s="0" t="n">
        <v>114949</v>
      </c>
      <c r="C759" s="0" t="n">
        <v>3</v>
      </c>
      <c r="D759" s="0" t="inlineStr">
        <is>
          <t>골드클래스(도시형)</t>
        </is>
      </c>
      <c r="E759" s="0" t="inlineStr">
        <is>
          <t>2014.09.</t>
        </is>
      </c>
      <c r="F759" s="0" t="n">
        <v>28</v>
      </c>
      <c r="G759" s="0" t="n">
        <v>17.33</v>
      </c>
      <c r="H759" s="0" t="n">
        <v>57.32</v>
      </c>
      <c r="I759" s="0" t="n">
        <v>14.7</v>
      </c>
      <c r="J759" s="0" t="n">
        <v>48.6</v>
      </c>
      <c r="K759" s="0" t="n">
        <v>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57B</t>
        </is>
      </c>
      <c r="X759" s="0" t="n">
        <v>14</v>
      </c>
      <c r="Y759" s="0" t="n">
        <v>14</v>
      </c>
      <c r="Z759" s="0" t="inlineStr">
        <is>
          <t>https://new.land.naver.com/complexes/114949?tab=detail&amp;rf=Y</t>
        </is>
      </c>
      <c r="AA759" s="0" t="inlineStr">
        <is>
          <t>인천시 남동구 구월동 1142-12</t>
        </is>
      </c>
      <c r="AB759" s="0" t="inlineStr">
        <is>
          <t>인천시</t>
        </is>
      </c>
      <c r="AC759" s="0" t="inlineStr">
        <is>
          <t>남동구</t>
        </is>
      </c>
      <c r="AD759" s="0" t="inlineStr">
        <is>
          <t>구월동</t>
        </is>
      </c>
      <c r="AG759" s="0" t="inlineStr">
        <is>
          <t>인천시 남동구 구월남로 146-10</t>
        </is>
      </c>
      <c r="AH759" s="0" t="n">
        <v>0</v>
      </c>
      <c r="AI759" s="0" t="n">
        <v>683</v>
      </c>
      <c r="AJ759" s="0" t="n">
        <v>68</v>
      </c>
      <c r="AK759" s="0" t="n">
        <v>20</v>
      </c>
      <c r="AL759" s="0" t="n">
        <v>0.71</v>
      </c>
    </row>
    <row r="760">
      <c r="A760" s="0" t="inlineStr">
        <is>
          <t>[구월동]</t>
        </is>
      </c>
      <c r="B760" s="0" t="n">
        <v>114949</v>
      </c>
      <c r="C760" s="0" t="n">
        <v>4</v>
      </c>
      <c r="D760" s="0" t="inlineStr">
        <is>
          <t>골드클래스(도시형)</t>
        </is>
      </c>
      <c r="E760" s="0" t="inlineStr">
        <is>
          <t>2014.09.</t>
        </is>
      </c>
      <c r="F760" s="0" t="n">
        <v>28</v>
      </c>
      <c r="G760" s="0" t="n">
        <v>17.81</v>
      </c>
      <c r="H760" s="0" t="n">
        <v>58.89</v>
      </c>
      <c r="I760" s="0" t="n">
        <v>15.1</v>
      </c>
      <c r="J760" s="0" t="n">
        <v>49.93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58</v>
      </c>
      <c r="X760" s="0" t="n">
        <v>14</v>
      </c>
      <c r="Y760" s="0" t="n">
        <v>14</v>
      </c>
      <c r="Z760" s="0" t="inlineStr">
        <is>
          <t>https://new.land.naver.com/complexes/114949?tab=detail&amp;rf=Y</t>
        </is>
      </c>
      <c r="AA760" s="0" t="inlineStr">
        <is>
          <t>인천시 남동구 구월동 1142-12</t>
        </is>
      </c>
      <c r="AB760" s="0" t="inlineStr">
        <is>
          <t>인천시</t>
        </is>
      </c>
      <c r="AC760" s="0" t="inlineStr">
        <is>
          <t>남동구</t>
        </is>
      </c>
      <c r="AD760" s="0" t="inlineStr">
        <is>
          <t>구월동</t>
        </is>
      </c>
      <c r="AG760" s="0" t="inlineStr">
        <is>
          <t>인천시 남동구 구월남로 146-10</t>
        </is>
      </c>
      <c r="AH760" s="0" t="n">
        <v>0</v>
      </c>
      <c r="AI760" s="0" t="n">
        <v>683</v>
      </c>
      <c r="AJ760" s="0" t="n">
        <v>68</v>
      </c>
      <c r="AK760" s="0" t="n">
        <v>20</v>
      </c>
      <c r="AL760" s="0" t="n">
        <v>0.71</v>
      </c>
    </row>
    <row r="761">
      <c r="A761" s="0" t="inlineStr">
        <is>
          <t>[구월동]</t>
        </is>
      </c>
      <c r="B761" s="0" t="n">
        <v>107174</v>
      </c>
      <c r="C761" s="0" t="n">
        <v>1</v>
      </c>
      <c r="D761" s="0" t="inlineStr">
        <is>
          <t>에코라이프(도시형)</t>
        </is>
      </c>
      <c r="E761" s="0" t="inlineStr">
        <is>
          <t>2013.09.</t>
        </is>
      </c>
      <c r="F761" s="0" t="n">
        <v>78</v>
      </c>
      <c r="G761" s="0" t="n">
        <v>13.19</v>
      </c>
      <c r="H761" s="0" t="n">
        <v>43.62</v>
      </c>
      <c r="I761" s="0" t="n">
        <v>6.1</v>
      </c>
      <c r="J761" s="0" t="n">
        <v>20.19</v>
      </c>
      <c r="K761" s="0" t="n">
        <v>46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43A</t>
        </is>
      </c>
      <c r="X761" s="0" t="n">
        <v>18</v>
      </c>
      <c r="Y761" s="0" t="n">
        <v>18</v>
      </c>
      <c r="Z761" s="0" t="inlineStr">
        <is>
          <t>https://new.land.naver.com/complexes/107174?tab=detail&amp;rf=Y</t>
        </is>
      </c>
      <c r="AA761" s="0" t="inlineStr">
        <is>
          <t>인천시 남동구 구월동 1143-31</t>
        </is>
      </c>
      <c r="AB761" s="0" t="inlineStr">
        <is>
          <t>인천시</t>
        </is>
      </c>
      <c r="AC761" s="0" t="inlineStr">
        <is>
          <t>남동구</t>
        </is>
      </c>
      <c r="AD761" s="0" t="inlineStr">
        <is>
          <t>구월동</t>
        </is>
      </c>
      <c r="AG761" s="0" t="inlineStr">
        <is>
          <t>인천시 남동구 인주대로623번길 31</t>
        </is>
      </c>
      <c r="AH761" s="0" t="n">
        <v>0</v>
      </c>
      <c r="AI761" s="0" t="n">
        <v>764</v>
      </c>
      <c r="AJ761" s="0" t="n">
        <v>54</v>
      </c>
      <c r="AK761" s="0" t="n">
        <v>47</v>
      </c>
      <c r="AL761" s="0" t="n">
        <v>0.6</v>
      </c>
    </row>
    <row r="762">
      <c r="A762" s="0" t="inlineStr">
        <is>
          <t>[구월동]</t>
        </is>
      </c>
      <c r="B762" s="0" t="n">
        <v>107174</v>
      </c>
      <c r="C762" s="0" t="n">
        <v>2</v>
      </c>
      <c r="D762" s="0" t="inlineStr">
        <is>
          <t>에코라이프(도시형)</t>
        </is>
      </c>
      <c r="E762" s="0" t="inlineStr">
        <is>
          <t>2013.09.</t>
        </is>
      </c>
      <c r="F762" s="0" t="n">
        <v>78</v>
      </c>
      <c r="G762" s="0" t="n">
        <v>13.42</v>
      </c>
      <c r="H762" s="0" t="n">
        <v>44.38</v>
      </c>
      <c r="I762" s="0" t="n">
        <v>6.21</v>
      </c>
      <c r="J762" s="0" t="n">
        <v>20.54</v>
      </c>
      <c r="K762" s="0" t="n">
        <v>32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44B</t>
        </is>
      </c>
      <c r="X762" s="0" t="n">
        <v>18</v>
      </c>
      <c r="Y762" s="0" t="n">
        <v>18</v>
      </c>
      <c r="Z762" s="0" t="inlineStr">
        <is>
          <t>https://new.land.naver.com/complexes/107174?tab=detail&amp;rf=Y</t>
        </is>
      </c>
      <c r="AA762" s="0" t="inlineStr">
        <is>
          <t>인천시 남동구 구월동 1143-31</t>
        </is>
      </c>
      <c r="AB762" s="0" t="inlineStr">
        <is>
          <t>인천시</t>
        </is>
      </c>
      <c r="AC762" s="0" t="inlineStr">
        <is>
          <t>남동구</t>
        </is>
      </c>
      <c r="AD762" s="0" t="inlineStr">
        <is>
          <t>구월동</t>
        </is>
      </c>
      <c r="AG762" s="0" t="inlineStr">
        <is>
          <t>인천시 남동구 인주대로623번길 31</t>
        </is>
      </c>
      <c r="AH762" s="0" t="n">
        <v>0</v>
      </c>
      <c r="AI762" s="0" t="n">
        <v>764</v>
      </c>
      <c r="AJ762" s="0" t="n">
        <v>54</v>
      </c>
      <c r="AK762" s="0" t="n">
        <v>47</v>
      </c>
      <c r="AL762" s="0" t="n">
        <v>0.6</v>
      </c>
    </row>
    <row r="763">
      <c r="A763" s="0" t="inlineStr">
        <is>
          <t>[구월동]</t>
        </is>
      </c>
      <c r="B763" s="0" t="n">
        <v>14251</v>
      </c>
      <c r="C763" s="0" t="n">
        <v>1</v>
      </c>
      <c r="D763" s="0" t="inlineStr">
        <is>
          <t>신화화인힐</t>
        </is>
      </c>
      <c r="E763" s="0" t="inlineStr">
        <is>
          <t>2003.04.</t>
        </is>
      </c>
      <c r="F763" s="0" t="n">
        <v>19</v>
      </c>
      <c r="G763" s="0" t="n">
        <v>26.3</v>
      </c>
      <c r="H763" s="0" t="n">
        <v>86.95999999999999</v>
      </c>
      <c r="I763" s="0" t="n">
        <v>21.75</v>
      </c>
      <c r="J763" s="0" t="n">
        <v>71.92</v>
      </c>
      <c r="K763" s="0" t="n">
        <v>5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86</v>
      </c>
      <c r="X763" s="0" t="n">
        <v>7</v>
      </c>
      <c r="Y763" s="0" t="n">
        <v>7</v>
      </c>
      <c r="Z763" s="0" t="inlineStr">
        <is>
          <t>https://new.land.naver.com/complexes/14251?tab=detail&amp;rf=Y</t>
        </is>
      </c>
      <c r="AA763" s="0" t="inlineStr">
        <is>
          <t>인천시 남동구 구월동 1298</t>
        </is>
      </c>
      <c r="AB763" s="0" t="inlineStr">
        <is>
          <t>인천시</t>
        </is>
      </c>
      <c r="AC763" s="0" t="inlineStr">
        <is>
          <t>남동구</t>
        </is>
      </c>
      <c r="AD763" s="0" t="inlineStr">
        <is>
          <t>구월동</t>
        </is>
      </c>
      <c r="AG763" s="0" t="inlineStr">
        <is>
          <t>인천시 남동구 호구포로764번길 60</t>
        </is>
      </c>
      <c r="AH763" s="0" t="n">
        <v>0</v>
      </c>
      <c r="AI763" s="0" t="n">
        <v>294</v>
      </c>
      <c r="AJ763" s="0" t="n">
        <v>57</v>
      </c>
      <c r="AK763" s="0" t="n">
        <v>16</v>
      </c>
      <c r="AL763" s="0" t="n">
        <v>0.84</v>
      </c>
    </row>
    <row r="764">
      <c r="A764" s="0" t="inlineStr">
        <is>
          <t>[구월동]</t>
        </is>
      </c>
      <c r="B764" s="0" t="n">
        <v>14251</v>
      </c>
      <c r="C764" s="0" t="n">
        <v>2</v>
      </c>
      <c r="D764" s="0" t="inlineStr">
        <is>
          <t>신화화인힐</t>
        </is>
      </c>
      <c r="E764" s="0" t="inlineStr">
        <is>
          <t>2003.04.</t>
        </is>
      </c>
      <c r="F764" s="0" t="n">
        <v>19</v>
      </c>
      <c r="G764" s="0" t="n">
        <v>27.18</v>
      </c>
      <c r="H764" s="0" t="n">
        <v>89.87</v>
      </c>
      <c r="I764" s="0" t="n">
        <v>22.48</v>
      </c>
      <c r="J764" s="0" t="n">
        <v>74.33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89</v>
      </c>
      <c r="X764" s="0" t="n">
        <v>7</v>
      </c>
      <c r="Y764" s="0" t="n">
        <v>7</v>
      </c>
      <c r="Z764" s="0" t="inlineStr">
        <is>
          <t>https://new.land.naver.com/complexes/14251?tab=detail&amp;rf=Y</t>
        </is>
      </c>
      <c r="AA764" s="0" t="inlineStr">
        <is>
          <t>인천시 남동구 구월동 1298</t>
        </is>
      </c>
      <c r="AB764" s="0" t="inlineStr">
        <is>
          <t>인천시</t>
        </is>
      </c>
      <c r="AC764" s="0" t="inlineStr">
        <is>
          <t>남동구</t>
        </is>
      </c>
      <c r="AD764" s="0" t="inlineStr">
        <is>
          <t>구월동</t>
        </is>
      </c>
      <c r="AG764" s="0" t="inlineStr">
        <is>
          <t>인천시 남동구 호구포로764번길 60</t>
        </is>
      </c>
      <c r="AH764" s="0" t="n">
        <v>0</v>
      </c>
      <c r="AI764" s="0" t="n">
        <v>294</v>
      </c>
      <c r="AJ764" s="0" t="n">
        <v>57</v>
      </c>
      <c r="AK764" s="0" t="n">
        <v>16</v>
      </c>
      <c r="AL764" s="0" t="n">
        <v>0.84</v>
      </c>
    </row>
    <row r="765">
      <c r="A765" s="0" t="inlineStr">
        <is>
          <t>[구월동]</t>
        </is>
      </c>
      <c r="B765" s="0" t="n">
        <v>14251</v>
      </c>
      <c r="C765" s="0" t="n">
        <v>3</v>
      </c>
      <c r="D765" s="0" t="inlineStr">
        <is>
          <t>신화화인힐</t>
        </is>
      </c>
      <c r="E765" s="0" t="inlineStr">
        <is>
          <t>2003.04.</t>
        </is>
      </c>
      <c r="F765" s="0" t="n">
        <v>19</v>
      </c>
      <c r="G765" s="0" t="n">
        <v>27.77</v>
      </c>
      <c r="H765" s="0" t="n">
        <v>91.81999999999999</v>
      </c>
      <c r="I765" s="0" t="n">
        <v>22.96</v>
      </c>
      <c r="J765" s="0" t="n">
        <v>75.93000000000001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91B</t>
        </is>
      </c>
      <c r="X765" s="0" t="n">
        <v>7</v>
      </c>
      <c r="Y765" s="0" t="n">
        <v>7</v>
      </c>
      <c r="Z765" s="0" t="inlineStr">
        <is>
          <t>https://new.land.naver.com/complexes/14251?tab=detail&amp;rf=Y</t>
        </is>
      </c>
      <c r="AA765" s="0" t="inlineStr">
        <is>
          <t>인천시 남동구 구월동 1298</t>
        </is>
      </c>
      <c r="AB765" s="0" t="inlineStr">
        <is>
          <t>인천시</t>
        </is>
      </c>
      <c r="AC765" s="0" t="inlineStr">
        <is>
          <t>남동구</t>
        </is>
      </c>
      <c r="AD765" s="0" t="inlineStr">
        <is>
          <t>구월동</t>
        </is>
      </c>
      <c r="AG765" s="0" t="inlineStr">
        <is>
          <t>인천시 남동구 호구포로764번길 60</t>
        </is>
      </c>
      <c r="AH765" s="0" t="n">
        <v>0</v>
      </c>
      <c r="AI765" s="0" t="n">
        <v>294</v>
      </c>
      <c r="AJ765" s="0" t="n">
        <v>57</v>
      </c>
      <c r="AK765" s="0" t="n">
        <v>16</v>
      </c>
      <c r="AL765" s="0" t="n">
        <v>0.84</v>
      </c>
    </row>
    <row r="766">
      <c r="A766" s="0" t="inlineStr">
        <is>
          <t>[구월동]</t>
        </is>
      </c>
      <c r="B766" s="0" t="n">
        <v>14251</v>
      </c>
      <c r="C766" s="0" t="n">
        <v>4</v>
      </c>
      <c r="D766" s="0" t="inlineStr">
        <is>
          <t>신화화인힐</t>
        </is>
      </c>
      <c r="E766" s="0" t="inlineStr">
        <is>
          <t>2003.04.</t>
        </is>
      </c>
      <c r="F766" s="0" t="n">
        <v>19</v>
      </c>
      <c r="G766" s="0" t="n">
        <v>27.6</v>
      </c>
      <c r="H766" s="0" t="n">
        <v>91.26000000000001</v>
      </c>
      <c r="I766" s="0" t="n">
        <v>22.83</v>
      </c>
      <c r="J766" s="0" t="n">
        <v>75.48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91A</t>
        </is>
      </c>
      <c r="X766" s="0" t="n">
        <v>7</v>
      </c>
      <c r="Y766" s="0" t="n">
        <v>7</v>
      </c>
      <c r="Z766" s="0" t="inlineStr">
        <is>
          <t>https://new.land.naver.com/complexes/14251?tab=detail&amp;rf=Y</t>
        </is>
      </c>
      <c r="AA766" s="0" t="inlineStr">
        <is>
          <t>인천시 남동구 구월동 1298</t>
        </is>
      </c>
      <c r="AB766" s="0" t="inlineStr">
        <is>
          <t>인천시</t>
        </is>
      </c>
      <c r="AC766" s="0" t="inlineStr">
        <is>
          <t>남동구</t>
        </is>
      </c>
      <c r="AD766" s="0" t="inlineStr">
        <is>
          <t>구월동</t>
        </is>
      </c>
      <c r="AG766" s="0" t="inlineStr">
        <is>
          <t>인천시 남동구 호구포로764번길 60</t>
        </is>
      </c>
      <c r="AH766" s="0" t="n">
        <v>0</v>
      </c>
      <c r="AI766" s="0" t="n">
        <v>294</v>
      </c>
      <c r="AJ766" s="0" t="n">
        <v>57</v>
      </c>
      <c r="AK766" s="0" t="n">
        <v>16</v>
      </c>
      <c r="AL766" s="0" t="n">
        <v>0.84</v>
      </c>
    </row>
    <row r="767">
      <c r="A767" s="0" t="inlineStr">
        <is>
          <t>[구월동]</t>
        </is>
      </c>
      <c r="B767" s="0" t="n">
        <v>14251</v>
      </c>
      <c r="C767" s="0" t="n">
        <v>5</v>
      </c>
      <c r="D767" s="0" t="inlineStr">
        <is>
          <t>신화화인힐</t>
        </is>
      </c>
      <c r="E767" s="0" t="inlineStr">
        <is>
          <t>2003.04.</t>
        </is>
      </c>
      <c r="F767" s="0" t="n">
        <v>19</v>
      </c>
      <c r="G767" s="0" t="n">
        <v>31.04</v>
      </c>
      <c r="H767" s="0" t="n">
        <v>102.62</v>
      </c>
      <c r="I767" s="0" t="n">
        <v>25.67</v>
      </c>
      <c r="J767" s="0" t="n">
        <v>84.87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n">
        <v>102</v>
      </c>
      <c r="X767" s="0" t="n">
        <v>7</v>
      </c>
      <c r="Y767" s="0" t="n">
        <v>7</v>
      </c>
      <c r="Z767" s="0" t="inlineStr">
        <is>
          <t>https://new.land.naver.com/complexes/14251?tab=detail&amp;rf=Y</t>
        </is>
      </c>
      <c r="AA767" s="0" t="inlineStr">
        <is>
          <t>인천시 남동구 구월동 1298</t>
        </is>
      </c>
      <c r="AB767" s="0" t="inlineStr">
        <is>
          <t>인천시</t>
        </is>
      </c>
      <c r="AC767" s="0" t="inlineStr">
        <is>
          <t>남동구</t>
        </is>
      </c>
      <c r="AD767" s="0" t="inlineStr">
        <is>
          <t>구월동</t>
        </is>
      </c>
      <c r="AG767" s="0" t="inlineStr">
        <is>
          <t>인천시 남동구 호구포로764번길 60</t>
        </is>
      </c>
      <c r="AH767" s="0" t="n">
        <v>0</v>
      </c>
      <c r="AI767" s="0" t="n">
        <v>294</v>
      </c>
      <c r="AJ767" s="0" t="n">
        <v>57</v>
      </c>
      <c r="AK767" s="0" t="n">
        <v>16</v>
      </c>
      <c r="AL767" s="0" t="n">
        <v>0.84</v>
      </c>
    </row>
    <row r="768">
      <c r="A768" s="0" t="inlineStr">
        <is>
          <t>[구월동]</t>
        </is>
      </c>
      <c r="B768" s="0" t="n">
        <v>122946</v>
      </c>
      <c r="C768" s="0" t="n">
        <v>1</v>
      </c>
      <c r="D768" s="0" t="inlineStr">
        <is>
          <t>창우노블리안</t>
        </is>
      </c>
      <c r="E768" s="0" t="inlineStr">
        <is>
          <t>2018.03.</t>
        </is>
      </c>
      <c r="F768" s="0" t="n">
        <v>4</v>
      </c>
      <c r="G768" s="0" t="n">
        <v>17.06</v>
      </c>
      <c r="H768" s="0" t="n">
        <v>56.41</v>
      </c>
      <c r="I768" s="0" t="n">
        <v>14.76</v>
      </c>
      <c r="J768" s="0" t="n">
        <v>48.8</v>
      </c>
      <c r="K768" s="0" t="n">
        <v>2</v>
      </c>
      <c r="T768" s="0" t="n">
        <v>2</v>
      </c>
      <c r="U768" s="0" t="n">
        <v>1</v>
      </c>
      <c r="V768" s="0" t="inlineStr">
        <is>
          <t>계단식</t>
        </is>
      </c>
      <c r="W768" s="0" t="n">
        <v>56</v>
      </c>
      <c r="X768" s="0" t="n">
        <v>14</v>
      </c>
      <c r="Y768" s="0" t="n">
        <v>14</v>
      </c>
      <c r="Z768" s="0" t="inlineStr">
        <is>
          <t>https://new.land.naver.com/complexes/122946?tab=detail&amp;rf=Y</t>
        </is>
      </c>
      <c r="AA768" s="0" t="inlineStr">
        <is>
          <t>인천시 남동구 구월동 1121-3</t>
        </is>
      </c>
      <c r="AB768" s="0" t="inlineStr">
        <is>
          <t>인천시</t>
        </is>
      </c>
      <c r="AC768" s="0" t="inlineStr">
        <is>
          <t>남동구</t>
        </is>
      </c>
      <c r="AD768" s="0" t="inlineStr">
        <is>
          <t>구월동</t>
        </is>
      </c>
      <c r="AG768" s="0" t="inlineStr">
        <is>
          <t>인천시 남동구 인주대로 528</t>
        </is>
      </c>
      <c r="AH768" s="0" t="n">
        <v>0</v>
      </c>
      <c r="AI768" s="0" t="n">
        <v>532</v>
      </c>
      <c r="AJ768" s="0" t="n">
        <v>49</v>
      </c>
      <c r="AK768" s="0" t="n">
        <v>4</v>
      </c>
      <c r="AL768" s="0" t="n">
        <v>1</v>
      </c>
    </row>
    <row r="769">
      <c r="A769" s="0" t="inlineStr">
        <is>
          <t>[구월동]</t>
        </is>
      </c>
      <c r="B769" s="0" t="n">
        <v>122946</v>
      </c>
      <c r="C769" s="0" t="n">
        <v>2</v>
      </c>
      <c r="D769" s="0" t="inlineStr">
        <is>
          <t>창우노블리안</t>
        </is>
      </c>
      <c r="E769" s="0" t="inlineStr">
        <is>
          <t>2018.03.</t>
        </is>
      </c>
      <c r="F769" s="0" t="n">
        <v>4</v>
      </c>
      <c r="G769" s="0" t="n">
        <v>18.88</v>
      </c>
      <c r="H769" s="0" t="n">
        <v>62.43</v>
      </c>
      <c r="I769" s="0" t="n">
        <v>16.12</v>
      </c>
      <c r="J769" s="0" t="n">
        <v>53.29</v>
      </c>
      <c r="K769" s="0" t="n">
        <v>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62</v>
      </c>
      <c r="X769" s="0" t="n">
        <v>14</v>
      </c>
      <c r="Y769" s="0" t="n">
        <v>14</v>
      </c>
      <c r="Z769" s="0" t="inlineStr">
        <is>
          <t>https://new.land.naver.com/complexes/122946?tab=detail&amp;rf=Y</t>
        </is>
      </c>
      <c r="AA769" s="0" t="inlineStr">
        <is>
          <t>인천시 남동구 구월동 1121-3</t>
        </is>
      </c>
      <c r="AB769" s="0" t="inlineStr">
        <is>
          <t>인천시</t>
        </is>
      </c>
      <c r="AC769" s="0" t="inlineStr">
        <is>
          <t>남동구</t>
        </is>
      </c>
      <c r="AD769" s="0" t="inlineStr">
        <is>
          <t>구월동</t>
        </is>
      </c>
      <c r="AG769" s="0" t="inlineStr">
        <is>
          <t>인천시 남동구 인주대로 528</t>
        </is>
      </c>
      <c r="AH769" s="0" t="n">
        <v>0</v>
      </c>
      <c r="AI769" s="0" t="n">
        <v>532</v>
      </c>
      <c r="AJ769" s="0" t="n">
        <v>49</v>
      </c>
      <c r="AK769" s="0" t="n">
        <v>4</v>
      </c>
      <c r="AL769" s="0" t="n">
        <v>1</v>
      </c>
    </row>
    <row r="770">
      <c r="A770" s="0" t="inlineStr">
        <is>
          <t>[구월동]</t>
        </is>
      </c>
      <c r="B770" s="0" t="n">
        <v>103724</v>
      </c>
      <c r="C770" s="0" t="n">
        <v>1</v>
      </c>
      <c r="D770" s="0" t="inlineStr">
        <is>
          <t>아델라이(도시형)</t>
        </is>
      </c>
      <c r="E770" s="0" t="inlineStr">
        <is>
          <t>2012.06.</t>
        </is>
      </c>
      <c r="F770" s="0" t="n">
        <v>116</v>
      </c>
      <c r="G770" s="0" t="n">
        <v>9.32</v>
      </c>
      <c r="H770" s="0" t="n">
        <v>30.82</v>
      </c>
      <c r="I770" s="0" t="n">
        <v>5.12</v>
      </c>
      <c r="J770" s="0" t="n">
        <v>16.93</v>
      </c>
      <c r="K770" s="0" t="n">
        <v>8</v>
      </c>
      <c r="T770" s="0" t="n">
        <v>1</v>
      </c>
      <c r="U770" s="0" t="n">
        <v>1</v>
      </c>
      <c r="V770" s="0" t="inlineStr">
        <is>
          <t>복도식</t>
        </is>
      </c>
      <c r="W770" s="0" t="inlineStr">
        <is>
          <t>30C</t>
        </is>
      </c>
      <c r="X770" s="0" t="n">
        <v>17</v>
      </c>
      <c r="Y770" s="0" t="n">
        <v>8</v>
      </c>
      <c r="Z770" s="0" t="inlineStr">
        <is>
          <t>https://new.land.naver.com/complexes/103724?tab=detail&amp;rf=Y</t>
        </is>
      </c>
      <c r="AA770" s="0" t="inlineStr">
        <is>
          <t>인천시 남동구 구월동 1129</t>
        </is>
      </c>
      <c r="AB770" s="0" t="inlineStr">
        <is>
          <t>인천시</t>
        </is>
      </c>
      <c r="AC770" s="0" t="inlineStr">
        <is>
          <t>남동구</t>
        </is>
      </c>
      <c r="AD770" s="0" t="inlineStr">
        <is>
          <t>구월동</t>
        </is>
      </c>
      <c r="AG770" s="0" t="inlineStr">
        <is>
          <t>인천시 남동구 예술로204번길 26</t>
        </is>
      </c>
      <c r="AH770" s="0" t="n">
        <v>0</v>
      </c>
      <c r="AI770" s="0" t="n">
        <v>670</v>
      </c>
      <c r="AJ770" s="0" t="n">
        <v>61</v>
      </c>
      <c r="AK770" s="0" t="n">
        <v>35</v>
      </c>
      <c r="AL770" s="0" t="n">
        <v>0.3</v>
      </c>
    </row>
    <row r="771">
      <c r="A771" s="0" t="inlineStr">
        <is>
          <t>[구월동]</t>
        </is>
      </c>
      <c r="B771" s="0" t="n">
        <v>103724</v>
      </c>
      <c r="C771" s="0" t="n">
        <v>2</v>
      </c>
      <c r="D771" s="0" t="inlineStr">
        <is>
          <t>아델라이(도시형)</t>
        </is>
      </c>
      <c r="E771" s="0" t="inlineStr">
        <is>
          <t>2012.06.</t>
        </is>
      </c>
      <c r="F771" s="0" t="n">
        <v>116</v>
      </c>
      <c r="G771" s="0" t="n">
        <v>9.699999999999999</v>
      </c>
      <c r="H771" s="0" t="n">
        <v>32.09</v>
      </c>
      <c r="I771" s="0" t="n">
        <v>5.33</v>
      </c>
      <c r="J771" s="0" t="n">
        <v>17.63</v>
      </c>
      <c r="K771" s="0" t="n">
        <v>30</v>
      </c>
      <c r="T771" s="0" t="n">
        <v>1</v>
      </c>
      <c r="U771" s="0" t="n">
        <v>1</v>
      </c>
      <c r="V771" s="0" t="inlineStr">
        <is>
          <t>복도식</t>
        </is>
      </c>
      <c r="W771" s="0" t="inlineStr">
        <is>
          <t>32E</t>
        </is>
      </c>
      <c r="X771" s="0" t="n">
        <v>17</v>
      </c>
      <c r="Y771" s="0" t="n">
        <v>8</v>
      </c>
      <c r="Z771" s="0" t="inlineStr">
        <is>
          <t>https://new.land.naver.com/complexes/103724?tab=detail&amp;rf=Y</t>
        </is>
      </c>
      <c r="AA771" s="0" t="inlineStr">
        <is>
          <t>인천시 남동구 구월동 1129</t>
        </is>
      </c>
      <c r="AB771" s="0" t="inlineStr">
        <is>
          <t>인천시</t>
        </is>
      </c>
      <c r="AC771" s="0" t="inlineStr">
        <is>
          <t>남동구</t>
        </is>
      </c>
      <c r="AD771" s="0" t="inlineStr">
        <is>
          <t>구월동</t>
        </is>
      </c>
      <c r="AG771" s="0" t="inlineStr">
        <is>
          <t>인천시 남동구 예술로204번길 26</t>
        </is>
      </c>
      <c r="AH771" s="0" t="n">
        <v>0</v>
      </c>
      <c r="AI771" s="0" t="n">
        <v>670</v>
      </c>
      <c r="AJ771" s="0" t="n">
        <v>61</v>
      </c>
      <c r="AK771" s="0" t="n">
        <v>35</v>
      </c>
      <c r="AL771" s="0" t="n">
        <v>0.3</v>
      </c>
    </row>
    <row r="772">
      <c r="A772" s="0" t="inlineStr">
        <is>
          <t>[구월동]</t>
        </is>
      </c>
      <c r="B772" s="0" t="n">
        <v>103724</v>
      </c>
      <c r="C772" s="0" t="n">
        <v>3</v>
      </c>
      <c r="D772" s="0" t="inlineStr">
        <is>
          <t>아델라이(도시형)</t>
        </is>
      </c>
      <c r="E772" s="0" t="inlineStr">
        <is>
          <t>2012.06.</t>
        </is>
      </c>
      <c r="F772" s="0" t="n">
        <v>116</v>
      </c>
      <c r="G772" s="0" t="n">
        <v>10.13</v>
      </c>
      <c r="H772" s="0" t="n">
        <v>33.5</v>
      </c>
      <c r="I772" s="0" t="n">
        <v>5.56</v>
      </c>
      <c r="J772" s="0" t="n">
        <v>18.41</v>
      </c>
      <c r="K772" s="0" t="n">
        <v>22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33D</t>
        </is>
      </c>
      <c r="X772" s="0" t="n">
        <v>17</v>
      </c>
      <c r="Y772" s="0" t="n">
        <v>8</v>
      </c>
      <c r="Z772" s="0" t="inlineStr">
        <is>
          <t>https://new.land.naver.com/complexes/103724?tab=detail&amp;rf=Y</t>
        </is>
      </c>
      <c r="AA772" s="0" t="inlineStr">
        <is>
          <t>인천시 남동구 구월동 1129</t>
        </is>
      </c>
      <c r="AB772" s="0" t="inlineStr">
        <is>
          <t>인천시</t>
        </is>
      </c>
      <c r="AC772" s="0" t="inlineStr">
        <is>
          <t>남동구</t>
        </is>
      </c>
      <c r="AD772" s="0" t="inlineStr">
        <is>
          <t>구월동</t>
        </is>
      </c>
      <c r="AG772" s="0" t="inlineStr">
        <is>
          <t>인천시 남동구 예술로204번길 26</t>
        </is>
      </c>
      <c r="AH772" s="0" t="n">
        <v>0</v>
      </c>
      <c r="AI772" s="0" t="n">
        <v>670</v>
      </c>
      <c r="AJ772" s="0" t="n">
        <v>61</v>
      </c>
      <c r="AK772" s="0" t="n">
        <v>35</v>
      </c>
      <c r="AL772" s="0" t="n">
        <v>0.3</v>
      </c>
    </row>
    <row r="773">
      <c r="A773" s="0" t="inlineStr">
        <is>
          <t>[구월동]</t>
        </is>
      </c>
      <c r="B773" s="0" t="n">
        <v>103724</v>
      </c>
      <c r="C773" s="0" t="n">
        <v>4</v>
      </c>
      <c r="D773" s="0" t="inlineStr">
        <is>
          <t>아델라이(도시형)</t>
        </is>
      </c>
      <c r="E773" s="0" t="inlineStr">
        <is>
          <t>2012.06.</t>
        </is>
      </c>
      <c r="F773" s="0" t="n">
        <v>116</v>
      </c>
      <c r="G773" s="0" t="n">
        <v>10.74</v>
      </c>
      <c r="H773" s="0" t="n">
        <v>35.53</v>
      </c>
      <c r="I773" s="0" t="n">
        <v>5.9</v>
      </c>
      <c r="J773" s="0" t="n">
        <v>19.53</v>
      </c>
      <c r="K773" s="0" t="n">
        <v>12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35H</t>
        </is>
      </c>
      <c r="X773" s="0" t="n">
        <v>17</v>
      </c>
      <c r="Y773" s="0" t="n">
        <v>8</v>
      </c>
      <c r="Z773" s="0" t="inlineStr">
        <is>
          <t>https://new.land.naver.com/complexes/103724?tab=detail&amp;rf=Y</t>
        </is>
      </c>
      <c r="AA773" s="0" t="inlineStr">
        <is>
          <t>인천시 남동구 구월동 1129</t>
        </is>
      </c>
      <c r="AB773" s="0" t="inlineStr">
        <is>
          <t>인천시</t>
        </is>
      </c>
      <c r="AC773" s="0" t="inlineStr">
        <is>
          <t>남동구</t>
        </is>
      </c>
      <c r="AD773" s="0" t="inlineStr">
        <is>
          <t>구월동</t>
        </is>
      </c>
      <c r="AG773" s="0" t="inlineStr">
        <is>
          <t>인천시 남동구 예술로204번길 26</t>
        </is>
      </c>
      <c r="AH773" s="0" t="n">
        <v>0</v>
      </c>
      <c r="AI773" s="0" t="n">
        <v>670</v>
      </c>
      <c r="AJ773" s="0" t="n">
        <v>61</v>
      </c>
      <c r="AK773" s="0" t="n">
        <v>35</v>
      </c>
      <c r="AL773" s="0" t="n">
        <v>0.3</v>
      </c>
    </row>
    <row r="774">
      <c r="A774" s="0" t="inlineStr">
        <is>
          <t>[구월동]</t>
        </is>
      </c>
      <c r="B774" s="0" t="n">
        <v>103724</v>
      </c>
      <c r="C774" s="0" t="n">
        <v>5</v>
      </c>
      <c r="D774" s="0" t="inlineStr">
        <is>
          <t>아델라이(도시형)</t>
        </is>
      </c>
      <c r="E774" s="0" t="inlineStr">
        <is>
          <t>2012.06.</t>
        </is>
      </c>
      <c r="F774" s="0" t="n">
        <v>116</v>
      </c>
      <c r="G774" s="0" t="n">
        <v>11.18</v>
      </c>
      <c r="H774" s="0" t="n">
        <v>36.99</v>
      </c>
      <c r="I774" s="0" t="n">
        <v>6.14</v>
      </c>
      <c r="J774" s="0" t="n">
        <v>20.33</v>
      </c>
      <c r="K774" s="0" t="n">
        <v>16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36B</t>
        </is>
      </c>
      <c r="X774" s="0" t="n">
        <v>17</v>
      </c>
      <c r="Y774" s="0" t="n">
        <v>8</v>
      </c>
      <c r="Z774" s="0" t="inlineStr">
        <is>
          <t>https://new.land.naver.com/complexes/103724?tab=detail&amp;rf=Y</t>
        </is>
      </c>
      <c r="AA774" s="0" t="inlineStr">
        <is>
          <t>인천시 남동구 구월동 1129</t>
        </is>
      </c>
      <c r="AB774" s="0" t="inlineStr">
        <is>
          <t>인천시</t>
        </is>
      </c>
      <c r="AC774" s="0" t="inlineStr">
        <is>
          <t>남동구</t>
        </is>
      </c>
      <c r="AD774" s="0" t="inlineStr">
        <is>
          <t>구월동</t>
        </is>
      </c>
      <c r="AG774" s="0" t="inlineStr">
        <is>
          <t>인천시 남동구 예술로204번길 26</t>
        </is>
      </c>
      <c r="AH774" s="0" t="n">
        <v>0</v>
      </c>
      <c r="AI774" s="0" t="n">
        <v>670</v>
      </c>
      <c r="AJ774" s="0" t="n">
        <v>61</v>
      </c>
      <c r="AK774" s="0" t="n">
        <v>35</v>
      </c>
      <c r="AL774" s="0" t="n">
        <v>0.3</v>
      </c>
    </row>
    <row r="775">
      <c r="A775" s="0" t="inlineStr">
        <is>
          <t>[구월동]</t>
        </is>
      </c>
      <c r="B775" s="0" t="n">
        <v>103724</v>
      </c>
      <c r="C775" s="0" t="n">
        <v>6</v>
      </c>
      <c r="D775" s="0" t="inlineStr">
        <is>
          <t>아델라이(도시형)</t>
        </is>
      </c>
      <c r="E775" s="0" t="inlineStr">
        <is>
          <t>2012.06.</t>
        </is>
      </c>
      <c r="F775" s="0" t="n">
        <v>116</v>
      </c>
      <c r="G775" s="0" t="n">
        <v>11.17</v>
      </c>
      <c r="H775" s="0" t="n">
        <v>36.95</v>
      </c>
      <c r="I775" s="0" t="n">
        <v>6.14</v>
      </c>
      <c r="J775" s="0" t="n">
        <v>20.31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36A</t>
        </is>
      </c>
      <c r="X775" s="0" t="n">
        <v>17</v>
      </c>
      <c r="Y775" s="0" t="n">
        <v>8</v>
      </c>
      <c r="Z775" s="0" t="inlineStr">
        <is>
          <t>https://new.land.naver.com/complexes/103724?tab=detail&amp;rf=Y</t>
        </is>
      </c>
      <c r="AA775" s="0" t="inlineStr">
        <is>
          <t>인천시 남동구 구월동 1129</t>
        </is>
      </c>
      <c r="AB775" s="0" t="inlineStr">
        <is>
          <t>인천시</t>
        </is>
      </c>
      <c r="AC775" s="0" t="inlineStr">
        <is>
          <t>남동구</t>
        </is>
      </c>
      <c r="AD775" s="0" t="inlineStr">
        <is>
          <t>구월동</t>
        </is>
      </c>
      <c r="AG775" s="0" t="inlineStr">
        <is>
          <t>인천시 남동구 예술로204번길 26</t>
        </is>
      </c>
      <c r="AH775" s="0" t="n">
        <v>0</v>
      </c>
      <c r="AI775" s="0" t="n">
        <v>670</v>
      </c>
      <c r="AJ775" s="0" t="n">
        <v>61</v>
      </c>
      <c r="AK775" s="0" t="n">
        <v>35</v>
      </c>
      <c r="AL775" s="0" t="n">
        <v>0.3</v>
      </c>
    </row>
    <row r="776">
      <c r="A776" s="0" t="inlineStr">
        <is>
          <t>[구월동]</t>
        </is>
      </c>
      <c r="B776" s="0" t="n">
        <v>103724</v>
      </c>
      <c r="C776" s="0" t="n">
        <v>7</v>
      </c>
      <c r="D776" s="0" t="inlineStr">
        <is>
          <t>아델라이(도시형)</t>
        </is>
      </c>
      <c r="E776" s="0" t="inlineStr">
        <is>
          <t>2012.06.</t>
        </is>
      </c>
      <c r="F776" s="0" t="n">
        <v>116</v>
      </c>
      <c r="G776" s="0" t="n">
        <v>12.83</v>
      </c>
      <c r="H776" s="0" t="n">
        <v>42.42</v>
      </c>
      <c r="I776" s="0" t="n">
        <v>7.05</v>
      </c>
      <c r="J776" s="0" t="n">
        <v>23.33</v>
      </c>
      <c r="K776" s="0" t="n">
        <v>18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42G</t>
        </is>
      </c>
      <c r="X776" s="0" t="n">
        <v>17</v>
      </c>
      <c r="Y776" s="0" t="n">
        <v>8</v>
      </c>
      <c r="Z776" s="0" t="inlineStr">
        <is>
          <t>https://new.land.naver.com/complexes/103724?tab=detail&amp;rf=Y</t>
        </is>
      </c>
      <c r="AA776" s="0" t="inlineStr">
        <is>
          <t>인천시 남동구 구월동 1129</t>
        </is>
      </c>
      <c r="AB776" s="0" t="inlineStr">
        <is>
          <t>인천시</t>
        </is>
      </c>
      <c r="AC776" s="0" t="inlineStr">
        <is>
          <t>남동구</t>
        </is>
      </c>
      <c r="AD776" s="0" t="inlineStr">
        <is>
          <t>구월동</t>
        </is>
      </c>
      <c r="AG776" s="0" t="inlineStr">
        <is>
          <t>인천시 남동구 예술로204번길 26</t>
        </is>
      </c>
      <c r="AH776" s="0" t="n">
        <v>0</v>
      </c>
      <c r="AI776" s="0" t="n">
        <v>670</v>
      </c>
      <c r="AJ776" s="0" t="n">
        <v>61</v>
      </c>
      <c r="AK776" s="0" t="n">
        <v>35</v>
      </c>
      <c r="AL776" s="0" t="n">
        <v>0.3</v>
      </c>
    </row>
    <row r="777">
      <c r="A777" s="0" t="inlineStr">
        <is>
          <t>[구월동]</t>
        </is>
      </c>
      <c r="B777" s="0" t="n">
        <v>103724</v>
      </c>
      <c r="C777" s="0" t="n">
        <v>8</v>
      </c>
      <c r="D777" s="0" t="inlineStr">
        <is>
          <t>아델라이(도시형)</t>
        </is>
      </c>
      <c r="E777" s="0" t="inlineStr">
        <is>
          <t>2012.06.</t>
        </is>
      </c>
      <c r="F777" s="0" t="n">
        <v>116</v>
      </c>
      <c r="G777" s="0" t="n">
        <v>12.81</v>
      </c>
      <c r="H777" s="0" t="n">
        <v>42.38</v>
      </c>
      <c r="I777" s="0" t="n">
        <v>7.05</v>
      </c>
      <c r="J777" s="0" t="n">
        <v>23.31</v>
      </c>
      <c r="K777" s="0" t="n">
        <v>6</v>
      </c>
      <c r="T777" s="0" t="n">
        <v>1</v>
      </c>
      <c r="U777" s="0" t="n">
        <v>1</v>
      </c>
      <c r="V777" s="0" t="inlineStr">
        <is>
          <t>복도식</t>
        </is>
      </c>
      <c r="W777" s="0" t="inlineStr">
        <is>
          <t>42F</t>
        </is>
      </c>
      <c r="X777" s="0" t="n">
        <v>17</v>
      </c>
      <c r="Y777" s="0" t="n">
        <v>8</v>
      </c>
      <c r="Z777" s="0" t="inlineStr">
        <is>
          <t>https://new.land.naver.com/complexes/103724?tab=detail&amp;rf=Y</t>
        </is>
      </c>
      <c r="AA777" s="0" t="inlineStr">
        <is>
          <t>인천시 남동구 구월동 1129</t>
        </is>
      </c>
      <c r="AB777" s="0" t="inlineStr">
        <is>
          <t>인천시</t>
        </is>
      </c>
      <c r="AC777" s="0" t="inlineStr">
        <is>
          <t>남동구</t>
        </is>
      </c>
      <c r="AD777" s="0" t="inlineStr">
        <is>
          <t>구월동</t>
        </is>
      </c>
      <c r="AG777" s="0" t="inlineStr">
        <is>
          <t>인천시 남동구 예술로204번길 26</t>
        </is>
      </c>
      <c r="AH777" s="0" t="n">
        <v>0</v>
      </c>
      <c r="AI777" s="0" t="n">
        <v>670</v>
      </c>
      <c r="AJ777" s="0" t="n">
        <v>61</v>
      </c>
      <c r="AK777" s="0" t="n">
        <v>35</v>
      </c>
      <c r="AL777" s="0" t="n">
        <v>0.3</v>
      </c>
    </row>
    <row r="778">
      <c r="A778" s="0" t="inlineStr">
        <is>
          <t>[구월동]</t>
        </is>
      </c>
      <c r="B778" s="0" t="n">
        <v>104167</v>
      </c>
      <c r="C778" s="0" t="n">
        <v>1</v>
      </c>
      <c r="D778" s="0" t="inlineStr">
        <is>
          <t>엠타워-2(도시형)</t>
        </is>
      </c>
      <c r="E778" s="0" t="inlineStr">
        <is>
          <t>2011.09.</t>
        </is>
      </c>
      <c r="F778" s="0" t="n">
        <v>41</v>
      </c>
      <c r="G778" s="0" t="n">
        <v>6.15</v>
      </c>
      <c r="H778" s="0" t="n">
        <v>20.34</v>
      </c>
      <c r="I778" s="0" t="n">
        <v>4.13</v>
      </c>
      <c r="J778" s="0" t="n">
        <v>13.68</v>
      </c>
      <c r="K778" s="0" t="n">
        <v>14</v>
      </c>
      <c r="T778" s="0" t="n">
        <v>1</v>
      </c>
      <c r="U778" s="0" t="n">
        <v>1</v>
      </c>
      <c r="V778" s="0" t="inlineStr">
        <is>
          <t>복도식</t>
        </is>
      </c>
      <c r="W778" s="0" t="n">
        <v>20</v>
      </c>
      <c r="X778" s="0" t="n">
        <v>10</v>
      </c>
      <c r="Y778" s="0" t="n">
        <v>10</v>
      </c>
      <c r="Z778" s="0" t="inlineStr">
        <is>
          <t>https://new.land.naver.com/complexes/104167?tab=detail&amp;rf=Y</t>
        </is>
      </c>
      <c r="AA778" s="0" t="inlineStr">
        <is>
          <t>인천시 남동구 구월동 1125-3</t>
        </is>
      </c>
      <c r="AB778" s="0" t="inlineStr">
        <is>
          <t>인천시</t>
        </is>
      </c>
      <c r="AC778" s="0" t="inlineStr">
        <is>
          <t>남동구</t>
        </is>
      </c>
      <c r="AD778" s="0" t="inlineStr">
        <is>
          <t>구월동</t>
        </is>
      </c>
      <c r="AG778" s="0" t="inlineStr">
        <is>
          <t>인천시 남동구 예술로174번길 34</t>
        </is>
      </c>
      <c r="AH778" s="0" t="n">
        <v>0</v>
      </c>
      <c r="AI778" s="0" t="n">
        <v>503</v>
      </c>
      <c r="AJ778" s="0" t="n">
        <v>70</v>
      </c>
      <c r="AK778" s="0" t="n">
        <v>9</v>
      </c>
      <c r="AL778" s="0" t="n">
        <v>0.22</v>
      </c>
    </row>
    <row r="779">
      <c r="A779" s="0" t="inlineStr">
        <is>
          <t>[구월동]</t>
        </is>
      </c>
      <c r="B779" s="0" t="n">
        <v>104167</v>
      </c>
      <c r="C779" s="0" t="n">
        <v>2</v>
      </c>
      <c r="D779" s="0" t="inlineStr">
        <is>
          <t>엠타워-2(도시형)</t>
        </is>
      </c>
      <c r="E779" s="0" t="inlineStr">
        <is>
          <t>2011.09.</t>
        </is>
      </c>
      <c r="F779" s="0" t="n">
        <v>41</v>
      </c>
      <c r="G779" s="0" t="n">
        <v>6.51</v>
      </c>
      <c r="H779" s="0" t="n">
        <v>21.53</v>
      </c>
      <c r="I779" s="0" t="n">
        <v>4.38</v>
      </c>
      <c r="J779" s="0" t="n">
        <v>14.48</v>
      </c>
      <c r="K779" s="0" t="n">
        <v>20</v>
      </c>
      <c r="T779" s="0" t="n">
        <v>1</v>
      </c>
      <c r="U779" s="0" t="n">
        <v>1</v>
      </c>
      <c r="V779" s="0" t="inlineStr">
        <is>
          <t>복도식</t>
        </is>
      </c>
      <c r="W779" s="0" t="inlineStr">
        <is>
          <t>21A</t>
        </is>
      </c>
      <c r="X779" s="0" t="n">
        <v>10</v>
      </c>
      <c r="Y779" s="0" t="n">
        <v>10</v>
      </c>
      <c r="Z779" s="0" t="inlineStr">
        <is>
          <t>https://new.land.naver.com/complexes/104167?tab=detail&amp;rf=Y</t>
        </is>
      </c>
      <c r="AA779" s="0" t="inlineStr">
        <is>
          <t>인천시 남동구 구월동 1125-3</t>
        </is>
      </c>
      <c r="AB779" s="0" t="inlineStr">
        <is>
          <t>인천시</t>
        </is>
      </c>
      <c r="AC779" s="0" t="inlineStr">
        <is>
          <t>남동구</t>
        </is>
      </c>
      <c r="AD779" s="0" t="inlineStr">
        <is>
          <t>구월동</t>
        </is>
      </c>
      <c r="AG779" s="0" t="inlineStr">
        <is>
          <t>인천시 남동구 예술로174번길 34</t>
        </is>
      </c>
      <c r="AH779" s="0" t="n">
        <v>0</v>
      </c>
      <c r="AI779" s="0" t="n">
        <v>503</v>
      </c>
      <c r="AJ779" s="0" t="n">
        <v>70</v>
      </c>
      <c r="AK779" s="0" t="n">
        <v>9</v>
      </c>
      <c r="AL779" s="0" t="n">
        <v>0.22</v>
      </c>
    </row>
    <row r="780">
      <c r="A780" s="0" t="inlineStr">
        <is>
          <t>[구월동]</t>
        </is>
      </c>
      <c r="B780" s="0" t="n">
        <v>104167</v>
      </c>
      <c r="C780" s="0" t="n">
        <v>3</v>
      </c>
      <c r="D780" s="0" t="inlineStr">
        <is>
          <t>엠타워-2(도시형)</t>
        </is>
      </c>
      <c r="E780" s="0" t="inlineStr">
        <is>
          <t>2011.09.</t>
        </is>
      </c>
      <c r="F780" s="0" t="n">
        <v>41</v>
      </c>
      <c r="G780" s="0" t="n">
        <v>6.69</v>
      </c>
      <c r="H780" s="0" t="n">
        <v>22.12</v>
      </c>
      <c r="I780" s="0" t="n">
        <v>4.5</v>
      </c>
      <c r="J780" s="0" t="n">
        <v>14.88</v>
      </c>
      <c r="K780" s="0" t="n">
        <v>2</v>
      </c>
      <c r="T780" s="0" t="n">
        <v>1</v>
      </c>
      <c r="U780" s="0" t="n">
        <v>1</v>
      </c>
      <c r="V780" s="0" t="inlineStr">
        <is>
          <t>복도식</t>
        </is>
      </c>
      <c r="W780" s="0" t="inlineStr">
        <is>
          <t>22B</t>
        </is>
      </c>
      <c r="X780" s="0" t="n">
        <v>10</v>
      </c>
      <c r="Y780" s="0" t="n">
        <v>10</v>
      </c>
      <c r="Z780" s="0" t="inlineStr">
        <is>
          <t>https://new.land.naver.com/complexes/104167?tab=detail&amp;rf=Y</t>
        </is>
      </c>
      <c r="AA780" s="0" t="inlineStr">
        <is>
          <t>인천시 남동구 구월동 1125-3</t>
        </is>
      </c>
      <c r="AB780" s="0" t="inlineStr">
        <is>
          <t>인천시</t>
        </is>
      </c>
      <c r="AC780" s="0" t="inlineStr">
        <is>
          <t>남동구</t>
        </is>
      </c>
      <c r="AD780" s="0" t="inlineStr">
        <is>
          <t>구월동</t>
        </is>
      </c>
      <c r="AG780" s="0" t="inlineStr">
        <is>
          <t>인천시 남동구 예술로174번길 34</t>
        </is>
      </c>
      <c r="AH780" s="0" t="n">
        <v>0</v>
      </c>
      <c r="AI780" s="0" t="n">
        <v>503</v>
      </c>
      <c r="AJ780" s="0" t="n">
        <v>70</v>
      </c>
      <c r="AK780" s="0" t="n">
        <v>9</v>
      </c>
      <c r="AL780" s="0" t="n">
        <v>0.22</v>
      </c>
    </row>
    <row r="781">
      <c r="A781" s="0" t="inlineStr">
        <is>
          <t>[구월동]</t>
        </is>
      </c>
      <c r="B781" s="0" t="n">
        <v>104167</v>
      </c>
      <c r="C781" s="0" t="n">
        <v>4</v>
      </c>
      <c r="D781" s="0" t="inlineStr">
        <is>
          <t>엠타워-2(도시형)</t>
        </is>
      </c>
      <c r="E781" s="0" t="inlineStr">
        <is>
          <t>2011.09.</t>
        </is>
      </c>
      <c r="F781" s="0" t="n">
        <v>41</v>
      </c>
      <c r="G781" s="0" t="n">
        <v>7.41</v>
      </c>
      <c r="H781" s="0" t="n">
        <v>24.5</v>
      </c>
      <c r="I781" s="0" t="n">
        <v>4.98</v>
      </c>
      <c r="J781" s="0" t="n">
        <v>16.48</v>
      </c>
      <c r="K781" s="0" t="n">
        <v>2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24C</t>
        </is>
      </c>
      <c r="X781" s="0" t="n">
        <v>10</v>
      </c>
      <c r="Y781" s="0" t="n">
        <v>10</v>
      </c>
      <c r="Z781" s="0" t="inlineStr">
        <is>
          <t>https://new.land.naver.com/complexes/104167?tab=detail&amp;rf=Y</t>
        </is>
      </c>
      <c r="AA781" s="0" t="inlineStr">
        <is>
          <t>인천시 남동구 구월동 1125-3</t>
        </is>
      </c>
      <c r="AB781" s="0" t="inlineStr">
        <is>
          <t>인천시</t>
        </is>
      </c>
      <c r="AC781" s="0" t="inlineStr">
        <is>
          <t>남동구</t>
        </is>
      </c>
      <c r="AD781" s="0" t="inlineStr">
        <is>
          <t>구월동</t>
        </is>
      </c>
      <c r="AG781" s="0" t="inlineStr">
        <is>
          <t>인천시 남동구 예술로174번길 34</t>
        </is>
      </c>
      <c r="AH781" s="0" t="n">
        <v>0</v>
      </c>
      <c r="AI781" s="0" t="n">
        <v>503</v>
      </c>
      <c r="AJ781" s="0" t="n">
        <v>70</v>
      </c>
      <c r="AK781" s="0" t="n">
        <v>9</v>
      </c>
      <c r="AL781" s="0" t="n">
        <v>0.22</v>
      </c>
    </row>
    <row r="782">
      <c r="A782" s="0" t="inlineStr">
        <is>
          <t>[구월동]</t>
        </is>
      </c>
      <c r="B782" s="0" t="n">
        <v>104167</v>
      </c>
      <c r="C782" s="0" t="n">
        <v>5</v>
      </c>
      <c r="D782" s="0" t="inlineStr">
        <is>
          <t>엠타워-2(도시형)</t>
        </is>
      </c>
      <c r="E782" s="0" t="inlineStr">
        <is>
          <t>2011.09.</t>
        </is>
      </c>
      <c r="F782" s="0" t="n">
        <v>41</v>
      </c>
      <c r="G782" s="0" t="n">
        <v>8.470000000000001</v>
      </c>
      <c r="H782" s="0" t="n">
        <v>28.03</v>
      </c>
      <c r="I782" s="0" t="n">
        <v>5.7</v>
      </c>
      <c r="J782" s="0" t="n">
        <v>18.85</v>
      </c>
      <c r="K782" s="0" t="n">
        <v>1</v>
      </c>
      <c r="T782" s="0" t="n">
        <v>1</v>
      </c>
      <c r="U782" s="0" t="n">
        <v>1</v>
      </c>
      <c r="V782" s="0" t="inlineStr">
        <is>
          <t>복도식</t>
        </is>
      </c>
      <c r="W782" s="0" t="n">
        <v>28</v>
      </c>
      <c r="X782" s="0" t="n">
        <v>10</v>
      </c>
      <c r="Y782" s="0" t="n">
        <v>10</v>
      </c>
      <c r="Z782" s="0" t="inlineStr">
        <is>
          <t>https://new.land.naver.com/complexes/104167?tab=detail&amp;rf=Y</t>
        </is>
      </c>
      <c r="AA782" s="0" t="inlineStr">
        <is>
          <t>인천시 남동구 구월동 1125-3</t>
        </is>
      </c>
      <c r="AB782" s="0" t="inlineStr">
        <is>
          <t>인천시</t>
        </is>
      </c>
      <c r="AC782" s="0" t="inlineStr">
        <is>
          <t>남동구</t>
        </is>
      </c>
      <c r="AD782" s="0" t="inlineStr">
        <is>
          <t>구월동</t>
        </is>
      </c>
      <c r="AG782" s="0" t="inlineStr">
        <is>
          <t>인천시 남동구 예술로174번길 34</t>
        </is>
      </c>
      <c r="AH782" s="0" t="n">
        <v>0</v>
      </c>
      <c r="AI782" s="0" t="n">
        <v>503</v>
      </c>
      <c r="AJ782" s="0" t="n">
        <v>70</v>
      </c>
      <c r="AK782" s="0" t="n">
        <v>9</v>
      </c>
      <c r="AL782" s="0" t="n">
        <v>0.22</v>
      </c>
    </row>
    <row r="783">
      <c r="A783" s="0" t="inlineStr">
        <is>
          <t>[구월동]</t>
        </is>
      </c>
      <c r="B783" s="0" t="n">
        <v>104167</v>
      </c>
      <c r="C783" s="0" t="n">
        <v>6</v>
      </c>
      <c r="D783" s="0" t="inlineStr">
        <is>
          <t>엠타워-2(도시형)</t>
        </is>
      </c>
      <c r="E783" s="0" t="inlineStr">
        <is>
          <t>2011.09.</t>
        </is>
      </c>
      <c r="F783" s="0" t="n">
        <v>41</v>
      </c>
      <c r="G783" s="0" t="n">
        <v>8.65</v>
      </c>
      <c r="H783" s="0" t="n">
        <v>28.62</v>
      </c>
      <c r="I783" s="0" t="n">
        <v>5.82</v>
      </c>
      <c r="J783" s="0" t="n">
        <v>19.25</v>
      </c>
      <c r="K783" s="0" t="n">
        <v>1</v>
      </c>
      <c r="T783" s="0" t="n">
        <v>1</v>
      </c>
      <c r="U783" s="0" t="n">
        <v>1</v>
      </c>
      <c r="V783" s="0" t="inlineStr">
        <is>
          <t>복도식</t>
        </is>
      </c>
      <c r="W783" s="0" t="n">
        <v>28</v>
      </c>
      <c r="X783" s="0" t="n">
        <v>10</v>
      </c>
      <c r="Y783" s="0" t="n">
        <v>10</v>
      </c>
      <c r="Z783" s="0" t="inlineStr">
        <is>
          <t>https://new.land.naver.com/complexes/104167?tab=detail&amp;rf=Y</t>
        </is>
      </c>
      <c r="AA783" s="0" t="inlineStr">
        <is>
          <t>인천시 남동구 구월동 1125-3</t>
        </is>
      </c>
      <c r="AB783" s="0" t="inlineStr">
        <is>
          <t>인천시</t>
        </is>
      </c>
      <c r="AC783" s="0" t="inlineStr">
        <is>
          <t>남동구</t>
        </is>
      </c>
      <c r="AD783" s="0" t="inlineStr">
        <is>
          <t>구월동</t>
        </is>
      </c>
      <c r="AG783" s="0" t="inlineStr">
        <is>
          <t>인천시 남동구 예술로174번길 34</t>
        </is>
      </c>
      <c r="AH783" s="0" t="n">
        <v>0</v>
      </c>
      <c r="AI783" s="0" t="n">
        <v>503</v>
      </c>
      <c r="AJ783" s="0" t="n">
        <v>70</v>
      </c>
      <c r="AK783" s="0" t="n">
        <v>9</v>
      </c>
      <c r="AL783" s="0" t="n">
        <v>0.22</v>
      </c>
    </row>
    <row r="784">
      <c r="A784" s="0" t="inlineStr">
        <is>
          <t>[구월동]</t>
        </is>
      </c>
      <c r="B784" s="0" t="n">
        <v>104167</v>
      </c>
      <c r="C784" s="0" t="n">
        <v>7</v>
      </c>
      <c r="D784" s="0" t="inlineStr">
        <is>
          <t>엠타워-2(도시형)</t>
        </is>
      </c>
      <c r="E784" s="0" t="inlineStr">
        <is>
          <t>2011.09.</t>
        </is>
      </c>
      <c r="F784" s="0" t="n">
        <v>41</v>
      </c>
      <c r="G784" s="0" t="n">
        <v>10.51</v>
      </c>
      <c r="H784" s="0" t="n">
        <v>34.75</v>
      </c>
      <c r="I784" s="0" t="n">
        <v>7.07</v>
      </c>
      <c r="J784" s="0" t="n">
        <v>23.38</v>
      </c>
      <c r="K784" s="0" t="n">
        <v>1</v>
      </c>
      <c r="T784" s="0" t="n">
        <v>1</v>
      </c>
      <c r="U784" s="0" t="n">
        <v>1</v>
      </c>
      <c r="V784" s="0" t="inlineStr">
        <is>
          <t>복도식</t>
        </is>
      </c>
      <c r="W784" s="0" t="n">
        <v>34</v>
      </c>
      <c r="X784" s="0" t="n">
        <v>10</v>
      </c>
      <c r="Y784" s="0" t="n">
        <v>10</v>
      </c>
      <c r="Z784" s="0" t="inlineStr">
        <is>
          <t>https://new.land.naver.com/complexes/104167?tab=detail&amp;rf=Y</t>
        </is>
      </c>
      <c r="AA784" s="0" t="inlineStr">
        <is>
          <t>인천시 남동구 구월동 1125-3</t>
        </is>
      </c>
      <c r="AB784" s="0" t="inlineStr">
        <is>
          <t>인천시</t>
        </is>
      </c>
      <c r="AC784" s="0" t="inlineStr">
        <is>
          <t>남동구</t>
        </is>
      </c>
      <c r="AD784" s="0" t="inlineStr">
        <is>
          <t>구월동</t>
        </is>
      </c>
      <c r="AG784" s="0" t="inlineStr">
        <is>
          <t>인천시 남동구 예술로174번길 34</t>
        </is>
      </c>
      <c r="AH784" s="0" t="n">
        <v>0</v>
      </c>
      <c r="AI784" s="0" t="n">
        <v>503</v>
      </c>
      <c r="AJ784" s="0" t="n">
        <v>70</v>
      </c>
      <c r="AK784" s="0" t="n">
        <v>9</v>
      </c>
      <c r="AL784" s="0" t="n">
        <v>0.22</v>
      </c>
    </row>
    <row r="785">
      <c r="A785" s="0" t="inlineStr">
        <is>
          <t>[구월동]</t>
        </is>
      </c>
      <c r="B785" s="0" t="n">
        <v>128145</v>
      </c>
      <c r="C785" s="0" t="n">
        <v>1</v>
      </c>
      <c r="D785" s="0" t="inlineStr">
        <is>
          <t>웰메이드(1203-7,도시형)</t>
        </is>
      </c>
      <c r="E785" s="0" t="inlineStr">
        <is>
          <t>2014.12.</t>
        </is>
      </c>
      <c r="F785" s="0" t="n">
        <v>12</v>
      </c>
      <c r="G785" s="0" t="n">
        <v>15.33</v>
      </c>
      <c r="H785" s="0" t="n">
        <v>50.68</v>
      </c>
      <c r="I785" s="0" t="n">
        <v>13.25</v>
      </c>
      <c r="J785" s="0" t="n">
        <v>43.83</v>
      </c>
      <c r="K785" s="0" t="n">
        <v>1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50</v>
      </c>
      <c r="X785" s="0" t="n">
        <v>10</v>
      </c>
      <c r="Y785" s="0" t="n">
        <v>10</v>
      </c>
      <c r="Z785" s="0" t="inlineStr">
        <is>
          <t>https://new.land.naver.com/complexes/128145?tab=detail&amp;rf=Y</t>
        </is>
      </c>
      <c r="AA785" s="0" t="inlineStr">
        <is>
          <t>인천시 남동구 구월동 1203-7</t>
        </is>
      </c>
      <c r="AB785" s="0" t="inlineStr">
        <is>
          <t>인천시</t>
        </is>
      </c>
      <c r="AC785" s="0" t="inlineStr">
        <is>
          <t>남동구</t>
        </is>
      </c>
      <c r="AD785" s="0" t="inlineStr">
        <is>
          <t>구월동</t>
        </is>
      </c>
      <c r="AG785" s="0" t="inlineStr">
        <is>
          <t>인천시 남동구 독점로3번길 10-16</t>
        </is>
      </c>
      <c r="AH785" s="0" t="n">
        <v>0</v>
      </c>
      <c r="AI785" s="0" t="n">
        <v>431</v>
      </c>
      <c r="AJ785" s="0" t="n">
        <v>59</v>
      </c>
      <c r="AK785" s="0" t="n">
        <v>10</v>
      </c>
      <c r="AL785" s="0" t="n">
        <v>0.83</v>
      </c>
    </row>
    <row r="786">
      <c r="A786" s="0" t="inlineStr">
        <is>
          <t>[구월동]</t>
        </is>
      </c>
      <c r="B786" s="0" t="n">
        <v>128145</v>
      </c>
      <c r="C786" s="0" t="n">
        <v>2</v>
      </c>
      <c r="D786" s="0" t="inlineStr">
        <is>
          <t>웰메이드(1203-7,도시형)</t>
        </is>
      </c>
      <c r="E786" s="0" t="inlineStr">
        <is>
          <t>2014.12.</t>
        </is>
      </c>
      <c r="F786" s="0" t="n">
        <v>12</v>
      </c>
      <c r="G786" s="0" t="n">
        <v>15.8</v>
      </c>
      <c r="H786" s="0" t="n">
        <v>52.26</v>
      </c>
      <c r="I786" s="0" t="n">
        <v>13.66</v>
      </c>
      <c r="J786" s="0" t="n">
        <v>45.19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52A</t>
        </is>
      </c>
      <c r="X786" s="0" t="n">
        <v>10</v>
      </c>
      <c r="Y786" s="0" t="n">
        <v>10</v>
      </c>
      <c r="Z786" s="0" t="inlineStr">
        <is>
          <t>https://new.land.naver.com/complexes/128145?tab=detail&amp;rf=Y</t>
        </is>
      </c>
      <c r="AA786" s="0" t="inlineStr">
        <is>
          <t>인천시 남동구 구월동 1203-7</t>
        </is>
      </c>
      <c r="AB786" s="0" t="inlineStr">
        <is>
          <t>인천시</t>
        </is>
      </c>
      <c r="AC786" s="0" t="inlineStr">
        <is>
          <t>남동구</t>
        </is>
      </c>
      <c r="AD786" s="0" t="inlineStr">
        <is>
          <t>구월동</t>
        </is>
      </c>
      <c r="AG786" s="0" t="inlineStr">
        <is>
          <t>인천시 남동구 독점로3번길 10-16</t>
        </is>
      </c>
      <c r="AH786" s="0" t="n">
        <v>0</v>
      </c>
      <c r="AI786" s="0" t="n">
        <v>431</v>
      </c>
      <c r="AJ786" s="0" t="n">
        <v>59</v>
      </c>
      <c r="AK786" s="0" t="n">
        <v>10</v>
      </c>
      <c r="AL786" s="0" t="n">
        <v>0.83</v>
      </c>
    </row>
    <row r="787">
      <c r="A787" s="0" t="inlineStr">
        <is>
          <t>[구월동]</t>
        </is>
      </c>
      <c r="B787" s="0" t="n">
        <v>128145</v>
      </c>
      <c r="C787" s="0" t="n">
        <v>3</v>
      </c>
      <c r="D787" s="0" t="inlineStr">
        <is>
          <t>웰메이드(1203-7,도시형)</t>
        </is>
      </c>
      <c r="E787" s="0" t="inlineStr">
        <is>
          <t>2014.12.</t>
        </is>
      </c>
      <c r="F787" s="0" t="n">
        <v>12</v>
      </c>
      <c r="G787" s="0" t="n">
        <v>15.94</v>
      </c>
      <c r="H787" s="0" t="n">
        <v>52.71</v>
      </c>
      <c r="I787" s="0" t="n">
        <v>13.78</v>
      </c>
      <c r="J787" s="0" t="n">
        <v>45.58</v>
      </c>
      <c r="K787" s="0" t="n">
        <v>3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52C</t>
        </is>
      </c>
      <c r="X787" s="0" t="n">
        <v>10</v>
      </c>
      <c r="Y787" s="0" t="n">
        <v>10</v>
      </c>
      <c r="Z787" s="0" t="inlineStr">
        <is>
          <t>https://new.land.naver.com/complexes/128145?tab=detail&amp;rf=Y</t>
        </is>
      </c>
      <c r="AA787" s="0" t="inlineStr">
        <is>
          <t>인천시 남동구 구월동 1203-7</t>
        </is>
      </c>
      <c r="AB787" s="0" t="inlineStr">
        <is>
          <t>인천시</t>
        </is>
      </c>
      <c r="AC787" s="0" t="inlineStr">
        <is>
          <t>남동구</t>
        </is>
      </c>
      <c r="AD787" s="0" t="inlineStr">
        <is>
          <t>구월동</t>
        </is>
      </c>
      <c r="AG787" s="0" t="inlineStr">
        <is>
          <t>인천시 남동구 독점로3번길 10-16</t>
        </is>
      </c>
      <c r="AH787" s="0" t="n">
        <v>0</v>
      </c>
      <c r="AI787" s="0" t="n">
        <v>431</v>
      </c>
      <c r="AJ787" s="0" t="n">
        <v>59</v>
      </c>
      <c r="AK787" s="0" t="n">
        <v>10</v>
      </c>
      <c r="AL787" s="0" t="n">
        <v>0.83</v>
      </c>
    </row>
    <row r="788">
      <c r="A788" s="0" t="inlineStr">
        <is>
          <t>[구월동]</t>
        </is>
      </c>
      <c r="B788" s="0" t="n">
        <v>128145</v>
      </c>
      <c r="C788" s="0" t="n">
        <v>4</v>
      </c>
      <c r="D788" s="0" t="inlineStr">
        <is>
          <t>웰메이드(1203-7,도시형)</t>
        </is>
      </c>
      <c r="E788" s="0" t="inlineStr">
        <is>
          <t>2014.12.</t>
        </is>
      </c>
      <c r="F788" s="0" t="n">
        <v>12</v>
      </c>
      <c r="G788" s="0" t="n">
        <v>15.8</v>
      </c>
      <c r="H788" s="0" t="n">
        <v>52.26</v>
      </c>
      <c r="I788" s="0" t="n">
        <v>13.66</v>
      </c>
      <c r="J788" s="0" t="n">
        <v>45.19</v>
      </c>
      <c r="K788" s="0" t="n">
        <v>1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52B</t>
        </is>
      </c>
      <c r="X788" s="0" t="n">
        <v>10</v>
      </c>
      <c r="Y788" s="0" t="n">
        <v>10</v>
      </c>
      <c r="Z788" s="0" t="inlineStr">
        <is>
          <t>https://new.land.naver.com/complexes/128145?tab=detail&amp;rf=Y</t>
        </is>
      </c>
      <c r="AA788" s="0" t="inlineStr">
        <is>
          <t>인천시 남동구 구월동 1203-7</t>
        </is>
      </c>
      <c r="AB788" s="0" t="inlineStr">
        <is>
          <t>인천시</t>
        </is>
      </c>
      <c r="AC788" s="0" t="inlineStr">
        <is>
          <t>남동구</t>
        </is>
      </c>
      <c r="AD788" s="0" t="inlineStr">
        <is>
          <t>구월동</t>
        </is>
      </c>
      <c r="AG788" s="0" t="inlineStr">
        <is>
          <t>인천시 남동구 독점로3번길 10-16</t>
        </is>
      </c>
      <c r="AH788" s="0" t="n">
        <v>0</v>
      </c>
      <c r="AI788" s="0" t="n">
        <v>431</v>
      </c>
      <c r="AJ788" s="0" t="n">
        <v>59</v>
      </c>
      <c r="AK788" s="0" t="n">
        <v>10</v>
      </c>
      <c r="AL788" s="0" t="n">
        <v>0.83</v>
      </c>
    </row>
    <row r="789">
      <c r="A789" s="0" t="inlineStr">
        <is>
          <t>[구월동]</t>
        </is>
      </c>
      <c r="B789" s="0" t="n">
        <v>128145</v>
      </c>
      <c r="C789" s="0" t="n">
        <v>5</v>
      </c>
      <c r="D789" s="0" t="inlineStr">
        <is>
          <t>웰메이드(1203-7,도시형)</t>
        </is>
      </c>
      <c r="E789" s="0" t="inlineStr">
        <is>
          <t>2014.12.</t>
        </is>
      </c>
      <c r="F789" s="0" t="n">
        <v>12</v>
      </c>
      <c r="G789" s="0" t="n">
        <v>15.94</v>
      </c>
      <c r="H789" s="0" t="n">
        <v>52.71</v>
      </c>
      <c r="I789" s="0" t="n">
        <v>13.78</v>
      </c>
      <c r="J789" s="0" t="n">
        <v>45.58</v>
      </c>
      <c r="K789" s="0" t="n">
        <v>1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52D</t>
        </is>
      </c>
      <c r="X789" s="0" t="n">
        <v>10</v>
      </c>
      <c r="Y789" s="0" t="n">
        <v>10</v>
      </c>
      <c r="Z789" s="0" t="inlineStr">
        <is>
          <t>https://new.land.naver.com/complexes/128145?tab=detail&amp;rf=Y</t>
        </is>
      </c>
      <c r="AA789" s="0" t="inlineStr">
        <is>
          <t>인천시 남동구 구월동 1203-7</t>
        </is>
      </c>
      <c r="AB789" s="0" t="inlineStr">
        <is>
          <t>인천시</t>
        </is>
      </c>
      <c r="AC789" s="0" t="inlineStr">
        <is>
          <t>남동구</t>
        </is>
      </c>
      <c r="AD789" s="0" t="inlineStr">
        <is>
          <t>구월동</t>
        </is>
      </c>
      <c r="AG789" s="0" t="inlineStr">
        <is>
          <t>인천시 남동구 독점로3번길 10-16</t>
        </is>
      </c>
      <c r="AH789" s="0" t="n">
        <v>0</v>
      </c>
      <c r="AI789" s="0" t="n">
        <v>431</v>
      </c>
      <c r="AJ789" s="0" t="n">
        <v>59</v>
      </c>
      <c r="AK789" s="0" t="n">
        <v>10</v>
      </c>
      <c r="AL789" s="0" t="n">
        <v>0.83</v>
      </c>
    </row>
    <row r="790">
      <c r="A790" s="0" t="inlineStr">
        <is>
          <t>[구월동]</t>
        </is>
      </c>
      <c r="B790" s="0" t="n">
        <v>128145</v>
      </c>
      <c r="C790" s="0" t="n">
        <v>6</v>
      </c>
      <c r="D790" s="0" t="inlineStr">
        <is>
          <t>웰메이드(1203-7,도시형)</t>
        </is>
      </c>
      <c r="E790" s="0" t="inlineStr">
        <is>
          <t>2014.12.</t>
        </is>
      </c>
      <c r="F790" s="0" t="n">
        <v>12</v>
      </c>
      <c r="G790" s="0" t="n">
        <v>17.43</v>
      </c>
      <c r="H790" s="0" t="n">
        <v>57.62</v>
      </c>
      <c r="I790" s="0" t="n">
        <v>15.07</v>
      </c>
      <c r="J790" s="0" t="n">
        <v>49.83</v>
      </c>
      <c r="K790" s="0" t="n">
        <v>3</v>
      </c>
      <c r="T790" s="0" t="n">
        <v>3</v>
      </c>
      <c r="U790" s="0" t="n">
        <v>1</v>
      </c>
      <c r="V790" s="0" t="inlineStr">
        <is>
          <t>계단식</t>
        </is>
      </c>
      <c r="W790" s="0" t="n">
        <v>57</v>
      </c>
      <c r="X790" s="0" t="n">
        <v>10</v>
      </c>
      <c r="Y790" s="0" t="n">
        <v>10</v>
      </c>
      <c r="Z790" s="0" t="inlineStr">
        <is>
          <t>https://new.land.naver.com/complexes/128145?tab=detail&amp;rf=Y</t>
        </is>
      </c>
      <c r="AA790" s="0" t="inlineStr">
        <is>
          <t>인천시 남동구 구월동 1203-7</t>
        </is>
      </c>
      <c r="AB790" s="0" t="inlineStr">
        <is>
          <t>인천시</t>
        </is>
      </c>
      <c r="AC790" s="0" t="inlineStr">
        <is>
          <t>남동구</t>
        </is>
      </c>
      <c r="AD790" s="0" t="inlineStr">
        <is>
          <t>구월동</t>
        </is>
      </c>
      <c r="AG790" s="0" t="inlineStr">
        <is>
          <t>인천시 남동구 독점로3번길 10-16</t>
        </is>
      </c>
      <c r="AH790" s="0" t="n">
        <v>0</v>
      </c>
      <c r="AI790" s="0" t="n">
        <v>431</v>
      </c>
      <c r="AJ790" s="0" t="n">
        <v>59</v>
      </c>
      <c r="AK790" s="0" t="n">
        <v>10</v>
      </c>
      <c r="AL790" s="0" t="n">
        <v>0.83</v>
      </c>
    </row>
    <row r="791">
      <c r="A791" s="0" t="inlineStr">
        <is>
          <t>[구월동]</t>
        </is>
      </c>
      <c r="B791" s="0" t="n">
        <v>120030</v>
      </c>
      <c r="C791" s="0" t="n">
        <v>1</v>
      </c>
      <c r="D791" s="0" t="inlineStr">
        <is>
          <t>인스테이션Ⅱ(도시형)</t>
        </is>
      </c>
      <c r="E791" s="0" t="inlineStr">
        <is>
          <t>2012.02.</t>
        </is>
      </c>
      <c r="F791" s="0" t="n">
        <v>24</v>
      </c>
      <c r="G791" s="0" t="n">
        <v>6.93</v>
      </c>
      <c r="H791" s="0" t="n">
        <v>22.94</v>
      </c>
      <c r="I791" s="0" t="n">
        <v>5.07</v>
      </c>
      <c r="J791" s="0" t="n">
        <v>16.79</v>
      </c>
      <c r="K791" s="0" t="n">
        <v>12</v>
      </c>
      <c r="T791" s="0" t="n">
        <v>1</v>
      </c>
      <c r="U791" s="0" t="n">
        <v>1</v>
      </c>
      <c r="V791" s="0" t="inlineStr">
        <is>
          <t>계단식</t>
        </is>
      </c>
      <c r="W791" s="0" t="n">
        <v>22</v>
      </c>
      <c r="X791" s="0" t="n">
        <v>5</v>
      </c>
      <c r="Y791" s="0" t="n">
        <v>5</v>
      </c>
      <c r="Z791" s="0" t="inlineStr">
        <is>
          <t>https://new.land.naver.com/complexes/120030?tab=detail&amp;rf=Y</t>
        </is>
      </c>
      <c r="AA791" s="0" t="inlineStr">
        <is>
          <t>인천시 남동구 구월동 1125-9</t>
        </is>
      </c>
      <c r="AB791" s="0" t="inlineStr">
        <is>
          <t>인천시</t>
        </is>
      </c>
      <c r="AC791" s="0" t="inlineStr">
        <is>
          <t>남동구</t>
        </is>
      </c>
      <c r="AD791" s="0" t="inlineStr">
        <is>
          <t>구월동</t>
        </is>
      </c>
      <c r="AG791" s="0" t="inlineStr">
        <is>
          <t>인천시 남동구 예술로174번길 46</t>
        </is>
      </c>
      <c r="AH791" s="0" t="n">
        <v>0</v>
      </c>
      <c r="AI791" s="0" t="n">
        <v>332</v>
      </c>
      <c r="AJ791" s="0" t="n">
        <v>73</v>
      </c>
      <c r="AK791" s="0" t="n">
        <v>4</v>
      </c>
      <c r="AL791" s="0" t="n">
        <v>0.17</v>
      </c>
    </row>
    <row r="792">
      <c r="A792" s="0" t="inlineStr">
        <is>
          <t>[구월동]</t>
        </is>
      </c>
      <c r="B792" s="0" t="n">
        <v>120030</v>
      </c>
      <c r="C792" s="0" t="n">
        <v>2</v>
      </c>
      <c r="D792" s="0" t="inlineStr">
        <is>
          <t>인스테이션Ⅱ(도시형)</t>
        </is>
      </c>
      <c r="E792" s="0" t="inlineStr">
        <is>
          <t>2012.02.</t>
        </is>
      </c>
      <c r="F792" s="0" t="n">
        <v>24</v>
      </c>
      <c r="G792" s="0" t="n">
        <v>8.960000000000001</v>
      </c>
      <c r="H792" s="0" t="n">
        <v>29.65</v>
      </c>
      <c r="I792" s="0" t="n">
        <v>6.56</v>
      </c>
      <c r="J792" s="0" t="n">
        <v>21.71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29</v>
      </c>
      <c r="X792" s="0" t="n">
        <v>5</v>
      </c>
      <c r="Y792" s="0" t="n">
        <v>5</v>
      </c>
      <c r="Z792" s="0" t="inlineStr">
        <is>
          <t>https://new.land.naver.com/complexes/120030?tab=detail&amp;rf=Y</t>
        </is>
      </c>
      <c r="AA792" s="0" t="inlineStr">
        <is>
          <t>인천시 남동구 구월동 1125-9</t>
        </is>
      </c>
      <c r="AB792" s="0" t="inlineStr">
        <is>
          <t>인천시</t>
        </is>
      </c>
      <c r="AC792" s="0" t="inlineStr">
        <is>
          <t>남동구</t>
        </is>
      </c>
      <c r="AD792" s="0" t="inlineStr">
        <is>
          <t>구월동</t>
        </is>
      </c>
      <c r="AG792" s="0" t="inlineStr">
        <is>
          <t>인천시 남동구 예술로174번길 46</t>
        </is>
      </c>
      <c r="AH792" s="0" t="n">
        <v>0</v>
      </c>
      <c r="AI792" s="0" t="n">
        <v>332</v>
      </c>
      <c r="AJ792" s="0" t="n">
        <v>73</v>
      </c>
      <c r="AK792" s="0" t="n">
        <v>4</v>
      </c>
      <c r="AL792" s="0" t="n">
        <v>0.17</v>
      </c>
    </row>
    <row r="793">
      <c r="A793" s="0" t="inlineStr">
        <is>
          <t>[구월동]</t>
        </is>
      </c>
      <c r="B793" s="0" t="n">
        <v>120030</v>
      </c>
      <c r="C793" s="0" t="n">
        <v>3</v>
      </c>
      <c r="D793" s="0" t="inlineStr">
        <is>
          <t>인스테이션Ⅱ(도시형)</t>
        </is>
      </c>
      <c r="E793" s="0" t="inlineStr">
        <is>
          <t>2012.02.</t>
        </is>
      </c>
      <c r="F793" s="0" t="n">
        <v>24</v>
      </c>
      <c r="G793" s="0" t="n">
        <v>9.74</v>
      </c>
      <c r="H793" s="0" t="n">
        <v>32.2</v>
      </c>
      <c r="I793" s="0" t="n">
        <v>7.12</v>
      </c>
      <c r="J793" s="0" t="n">
        <v>23.57</v>
      </c>
      <c r="K793" s="0" t="n">
        <v>4</v>
      </c>
      <c r="T793" s="0" t="n">
        <v>1</v>
      </c>
      <c r="U793" s="0" t="n">
        <v>1</v>
      </c>
      <c r="V793" s="0" t="inlineStr">
        <is>
          <t>계단식</t>
        </is>
      </c>
      <c r="W793" s="0" t="inlineStr">
        <is>
          <t>32A</t>
        </is>
      </c>
      <c r="X793" s="0" t="n">
        <v>5</v>
      </c>
      <c r="Y793" s="0" t="n">
        <v>5</v>
      </c>
      <c r="Z793" s="0" t="inlineStr">
        <is>
          <t>https://new.land.naver.com/complexes/120030?tab=detail&amp;rf=Y</t>
        </is>
      </c>
      <c r="AA793" s="0" t="inlineStr">
        <is>
          <t>인천시 남동구 구월동 1125-9</t>
        </is>
      </c>
      <c r="AB793" s="0" t="inlineStr">
        <is>
          <t>인천시</t>
        </is>
      </c>
      <c r="AC793" s="0" t="inlineStr">
        <is>
          <t>남동구</t>
        </is>
      </c>
      <c r="AD793" s="0" t="inlineStr">
        <is>
          <t>구월동</t>
        </is>
      </c>
      <c r="AG793" s="0" t="inlineStr">
        <is>
          <t>인천시 남동구 예술로174번길 46</t>
        </is>
      </c>
      <c r="AH793" s="0" t="n">
        <v>0</v>
      </c>
      <c r="AI793" s="0" t="n">
        <v>332</v>
      </c>
      <c r="AJ793" s="0" t="n">
        <v>73</v>
      </c>
      <c r="AK793" s="0" t="n">
        <v>4</v>
      </c>
      <c r="AL793" s="0" t="n">
        <v>0.17</v>
      </c>
    </row>
    <row r="794">
      <c r="A794" s="0" t="inlineStr">
        <is>
          <t>[구월동]</t>
        </is>
      </c>
      <c r="B794" s="0" t="n">
        <v>120030</v>
      </c>
      <c r="C794" s="0" t="n">
        <v>4</v>
      </c>
      <c r="D794" s="0" t="inlineStr">
        <is>
          <t>인스테이션Ⅱ(도시형)</t>
        </is>
      </c>
      <c r="E794" s="0" t="inlineStr">
        <is>
          <t>2012.02.</t>
        </is>
      </c>
      <c r="F794" s="0" t="n">
        <v>24</v>
      </c>
      <c r="G794" s="0" t="n">
        <v>10.03</v>
      </c>
      <c r="H794" s="0" t="n">
        <v>33.19</v>
      </c>
      <c r="I794" s="0" t="n">
        <v>7.35</v>
      </c>
      <c r="J794" s="0" t="n">
        <v>24.3</v>
      </c>
      <c r="K794" s="0" t="n">
        <v>4</v>
      </c>
      <c r="T794" s="0" t="n">
        <v>1</v>
      </c>
      <c r="U794" s="0" t="n">
        <v>1</v>
      </c>
      <c r="V794" s="0" t="inlineStr">
        <is>
          <t>계단식</t>
        </is>
      </c>
      <c r="W794" s="0" t="inlineStr">
        <is>
          <t>33B</t>
        </is>
      </c>
      <c r="X794" s="0" t="n">
        <v>5</v>
      </c>
      <c r="Y794" s="0" t="n">
        <v>5</v>
      </c>
      <c r="Z794" s="0" t="inlineStr">
        <is>
          <t>https://new.land.naver.com/complexes/120030?tab=detail&amp;rf=Y</t>
        </is>
      </c>
      <c r="AA794" s="0" t="inlineStr">
        <is>
          <t>인천시 남동구 구월동 1125-9</t>
        </is>
      </c>
      <c r="AB794" s="0" t="inlineStr">
        <is>
          <t>인천시</t>
        </is>
      </c>
      <c r="AC794" s="0" t="inlineStr">
        <is>
          <t>남동구</t>
        </is>
      </c>
      <c r="AD794" s="0" t="inlineStr">
        <is>
          <t>구월동</t>
        </is>
      </c>
      <c r="AG794" s="0" t="inlineStr">
        <is>
          <t>인천시 남동구 예술로174번길 46</t>
        </is>
      </c>
      <c r="AH794" s="0" t="n">
        <v>0</v>
      </c>
      <c r="AI794" s="0" t="n">
        <v>332</v>
      </c>
      <c r="AJ794" s="0" t="n">
        <v>73</v>
      </c>
      <c r="AK794" s="0" t="n">
        <v>4</v>
      </c>
      <c r="AL794" s="0" t="n">
        <v>0.17</v>
      </c>
    </row>
    <row r="795">
      <c r="A795" s="0" t="inlineStr">
        <is>
          <t>[구월동]</t>
        </is>
      </c>
      <c r="B795" s="0" t="n">
        <v>104298</v>
      </c>
      <c r="C795" s="0" t="n">
        <v>1</v>
      </c>
      <c r="D795" s="0" t="inlineStr">
        <is>
          <t>유-프라우스(도시형)</t>
        </is>
      </c>
      <c r="E795" s="0" t="inlineStr">
        <is>
          <t>2011.12.</t>
        </is>
      </c>
      <c r="F795" s="0" t="n">
        <v>54</v>
      </c>
      <c r="G795" s="0" t="n">
        <v>5.84</v>
      </c>
      <c r="H795" s="0" t="n">
        <v>19.33</v>
      </c>
      <c r="I795" s="0" t="n">
        <v>3.71</v>
      </c>
      <c r="J795" s="0" t="n">
        <v>12.29</v>
      </c>
      <c r="K795" s="0" t="n">
        <v>12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19A</t>
        </is>
      </c>
      <c r="X795" s="0" t="n">
        <v>8</v>
      </c>
      <c r="Y795" s="0" t="n">
        <v>8</v>
      </c>
      <c r="Z795" s="0" t="inlineStr">
        <is>
          <t>https://new.land.naver.com/complexes/104298?tab=detail&amp;rf=Y</t>
        </is>
      </c>
      <c r="AA795" s="0" t="inlineStr">
        <is>
          <t>인천시 남동구 구월동 1135-9</t>
        </is>
      </c>
      <c r="AB795" s="0" t="inlineStr">
        <is>
          <t>인천시</t>
        </is>
      </c>
      <c r="AC795" s="0" t="inlineStr">
        <is>
          <t>남동구</t>
        </is>
      </c>
      <c r="AD795" s="0" t="inlineStr">
        <is>
          <t>구월동</t>
        </is>
      </c>
      <c r="AG795" s="0" t="inlineStr">
        <is>
          <t>인천시 남동구 정각로 6</t>
        </is>
      </c>
      <c r="AH795" s="0" t="n">
        <v>0</v>
      </c>
      <c r="AI795" s="0" t="n">
        <v>355</v>
      </c>
      <c r="AJ795" s="0" t="n">
        <v>56</v>
      </c>
      <c r="AK795" s="0" t="n">
        <v>8</v>
      </c>
      <c r="AL795" s="0" t="n">
        <v>0.15</v>
      </c>
    </row>
    <row r="796">
      <c r="A796" s="0" t="inlineStr">
        <is>
          <t>[구월동]</t>
        </is>
      </c>
      <c r="B796" s="0" t="n">
        <v>104298</v>
      </c>
      <c r="C796" s="0" t="n">
        <v>2</v>
      </c>
      <c r="D796" s="0" t="inlineStr">
        <is>
          <t>유-프라우스(도시형)</t>
        </is>
      </c>
      <c r="E796" s="0" t="inlineStr">
        <is>
          <t>2011.12.</t>
        </is>
      </c>
      <c r="F796" s="0" t="n">
        <v>54</v>
      </c>
      <c r="G796" s="0" t="n">
        <v>6.53</v>
      </c>
      <c r="H796" s="0" t="n">
        <v>21.59</v>
      </c>
      <c r="I796" s="0" t="n">
        <v>4.15</v>
      </c>
      <c r="J796" s="0" t="n">
        <v>13.72</v>
      </c>
      <c r="K796" s="0" t="n">
        <v>24</v>
      </c>
      <c r="T796" s="0" t="n">
        <v>1</v>
      </c>
      <c r="U796" s="0" t="n">
        <v>1</v>
      </c>
      <c r="V796" s="0" t="inlineStr">
        <is>
          <t>복합식</t>
        </is>
      </c>
      <c r="W796" s="0" t="n">
        <v>21</v>
      </c>
      <c r="X796" s="0" t="n">
        <v>8</v>
      </c>
      <c r="Y796" s="0" t="n">
        <v>8</v>
      </c>
      <c r="Z796" s="0" t="inlineStr">
        <is>
          <t>https://new.land.naver.com/complexes/104298?tab=detail&amp;rf=Y</t>
        </is>
      </c>
      <c r="AA796" s="0" t="inlineStr">
        <is>
          <t>인천시 남동구 구월동 1135-9</t>
        </is>
      </c>
      <c r="AB796" s="0" t="inlineStr">
        <is>
          <t>인천시</t>
        </is>
      </c>
      <c r="AC796" s="0" t="inlineStr">
        <is>
          <t>남동구</t>
        </is>
      </c>
      <c r="AD796" s="0" t="inlineStr">
        <is>
          <t>구월동</t>
        </is>
      </c>
      <c r="AG796" s="0" t="inlineStr">
        <is>
          <t>인천시 남동구 정각로 6</t>
        </is>
      </c>
      <c r="AH796" s="0" t="n">
        <v>0</v>
      </c>
      <c r="AI796" s="0" t="n">
        <v>355</v>
      </c>
      <c r="AJ796" s="0" t="n">
        <v>56</v>
      </c>
      <c r="AK796" s="0" t="n">
        <v>8</v>
      </c>
      <c r="AL796" s="0" t="n">
        <v>0.15</v>
      </c>
    </row>
    <row r="797">
      <c r="A797" s="0" t="inlineStr">
        <is>
          <t>[구월동]</t>
        </is>
      </c>
      <c r="B797" s="0" t="n">
        <v>104298</v>
      </c>
      <c r="C797" s="0" t="n">
        <v>3</v>
      </c>
      <c r="D797" s="0" t="inlineStr">
        <is>
          <t>유-프라우스(도시형)</t>
        </is>
      </c>
      <c r="E797" s="0" t="inlineStr">
        <is>
          <t>2011.12.</t>
        </is>
      </c>
      <c r="F797" s="0" t="n">
        <v>54</v>
      </c>
      <c r="G797" s="0" t="n">
        <v>6.42</v>
      </c>
      <c r="H797" s="0" t="n">
        <v>21.24</v>
      </c>
      <c r="I797" s="0" t="n">
        <v>4.08</v>
      </c>
      <c r="J797" s="0" t="n">
        <v>13.5</v>
      </c>
      <c r="K797" s="0" t="n">
        <v>18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21B</t>
        </is>
      </c>
      <c r="X797" s="0" t="n">
        <v>8</v>
      </c>
      <c r="Y797" s="0" t="n">
        <v>8</v>
      </c>
      <c r="Z797" s="0" t="inlineStr">
        <is>
          <t>https://new.land.naver.com/complexes/104298?tab=detail&amp;rf=Y</t>
        </is>
      </c>
      <c r="AA797" s="0" t="inlineStr">
        <is>
          <t>인천시 남동구 구월동 1135-9</t>
        </is>
      </c>
      <c r="AB797" s="0" t="inlineStr">
        <is>
          <t>인천시</t>
        </is>
      </c>
      <c r="AC797" s="0" t="inlineStr">
        <is>
          <t>남동구</t>
        </is>
      </c>
      <c r="AD797" s="0" t="inlineStr">
        <is>
          <t>구월동</t>
        </is>
      </c>
      <c r="AG797" s="0" t="inlineStr">
        <is>
          <t>인천시 남동구 정각로 6</t>
        </is>
      </c>
      <c r="AH797" s="0" t="n">
        <v>0</v>
      </c>
      <c r="AI797" s="0" t="n">
        <v>355</v>
      </c>
      <c r="AJ797" s="0" t="n">
        <v>56</v>
      </c>
      <c r="AK797" s="0" t="n">
        <v>8</v>
      </c>
      <c r="AL797" s="0" t="n">
        <v>0.15</v>
      </c>
    </row>
    <row r="798">
      <c r="A798" s="0" t="inlineStr">
        <is>
          <t>[구월동]</t>
        </is>
      </c>
      <c r="B798" s="0" t="n">
        <v>107001</v>
      </c>
      <c r="C798" s="0" t="n">
        <v>1</v>
      </c>
      <c r="D798" s="0" t="inlineStr">
        <is>
          <t>아이원파크(도시형)</t>
        </is>
      </c>
      <c r="E798" s="0" t="inlineStr">
        <is>
          <t>2012.04.</t>
        </is>
      </c>
      <c r="F798" s="0" t="n">
        <v>24</v>
      </c>
      <c r="G798" s="0" t="n">
        <v>14.55</v>
      </c>
      <c r="H798" s="0" t="n">
        <v>48.1</v>
      </c>
      <c r="I798" s="0" t="n">
        <v>13.63</v>
      </c>
      <c r="J798" s="0" t="n">
        <v>45.07</v>
      </c>
      <c r="K798" s="0" t="n">
        <v>6</v>
      </c>
      <c r="T798" s="0" t="n">
        <v>1</v>
      </c>
      <c r="U798" s="0" t="n">
        <v>1</v>
      </c>
      <c r="V798" s="0" t="inlineStr">
        <is>
          <t>복합식</t>
        </is>
      </c>
      <c r="W798" s="0" t="inlineStr">
        <is>
          <t>48A</t>
        </is>
      </c>
      <c r="X798" s="0" t="n">
        <v>4</v>
      </c>
      <c r="Y798" s="0" t="n">
        <v>4</v>
      </c>
      <c r="Z798" s="0" t="inlineStr">
        <is>
          <t>https://new.land.naver.com/complexes/107001?tab=detail&amp;rf=Y</t>
        </is>
      </c>
      <c r="AA798" s="0" t="inlineStr">
        <is>
          <t>인천시 남동구 구월동 1192</t>
        </is>
      </c>
      <c r="AB798" s="0" t="inlineStr">
        <is>
          <t>인천시</t>
        </is>
      </c>
      <c r="AC798" s="0" t="inlineStr">
        <is>
          <t>남동구</t>
        </is>
      </c>
      <c r="AD798" s="0" t="inlineStr">
        <is>
          <t>구월동</t>
        </is>
      </c>
      <c r="AG798" s="0" t="inlineStr">
        <is>
          <t>인천시 남동구 남동대로726번길 5-38</t>
        </is>
      </c>
      <c r="AH798" s="0" t="n">
        <v>0</v>
      </c>
      <c r="AI798" s="0" t="n">
        <v>0</v>
      </c>
      <c r="AJ798" s="0" t="n">
        <v>0</v>
      </c>
      <c r="AK798" s="0" t="n">
        <v>20</v>
      </c>
      <c r="AL798" s="0" t="n">
        <v>0.83</v>
      </c>
    </row>
    <row r="799">
      <c r="A799" s="0" t="inlineStr">
        <is>
          <t>[구월동]</t>
        </is>
      </c>
      <c r="B799" s="0" t="n">
        <v>107001</v>
      </c>
      <c r="C799" s="0" t="n">
        <v>2</v>
      </c>
      <c r="D799" s="0" t="inlineStr">
        <is>
          <t>아이원파크(도시형)</t>
        </is>
      </c>
      <c r="E799" s="0" t="inlineStr">
        <is>
          <t>2012.04.</t>
        </is>
      </c>
      <c r="F799" s="0" t="n">
        <v>24</v>
      </c>
      <c r="G799" s="0" t="n">
        <v>14.88</v>
      </c>
      <c r="H799" s="0" t="n">
        <v>49.2</v>
      </c>
      <c r="I799" s="0" t="n">
        <v>13.95</v>
      </c>
      <c r="J799" s="0" t="n">
        <v>46.13</v>
      </c>
      <c r="K799" s="0" t="n">
        <v>6</v>
      </c>
      <c r="T799" s="0" t="n">
        <v>1</v>
      </c>
      <c r="U799" s="0" t="n">
        <v>1</v>
      </c>
      <c r="V799" s="0" t="inlineStr">
        <is>
          <t>복합식</t>
        </is>
      </c>
      <c r="W799" s="0" t="inlineStr">
        <is>
          <t>49B</t>
        </is>
      </c>
      <c r="X799" s="0" t="n">
        <v>4</v>
      </c>
      <c r="Y799" s="0" t="n">
        <v>4</v>
      </c>
      <c r="Z799" s="0" t="inlineStr">
        <is>
          <t>https://new.land.naver.com/complexes/107001?tab=detail&amp;rf=Y</t>
        </is>
      </c>
      <c r="AA799" s="0" t="inlineStr">
        <is>
          <t>인천시 남동구 구월동 1192</t>
        </is>
      </c>
      <c r="AB799" s="0" t="inlineStr">
        <is>
          <t>인천시</t>
        </is>
      </c>
      <c r="AC799" s="0" t="inlineStr">
        <is>
          <t>남동구</t>
        </is>
      </c>
      <c r="AD799" s="0" t="inlineStr">
        <is>
          <t>구월동</t>
        </is>
      </c>
      <c r="AG799" s="0" t="inlineStr">
        <is>
          <t>인천시 남동구 남동대로726번길 5-38</t>
        </is>
      </c>
      <c r="AH799" s="0" t="n">
        <v>0</v>
      </c>
      <c r="AI799" s="0" t="n">
        <v>0</v>
      </c>
      <c r="AJ799" s="0" t="n">
        <v>0</v>
      </c>
      <c r="AK799" s="0" t="n">
        <v>20</v>
      </c>
      <c r="AL799" s="0" t="n">
        <v>0.83</v>
      </c>
    </row>
    <row r="800">
      <c r="A800" s="0" t="inlineStr">
        <is>
          <t>[구월동]</t>
        </is>
      </c>
      <c r="B800" s="0" t="n">
        <v>107001</v>
      </c>
      <c r="C800" s="0" t="n">
        <v>3</v>
      </c>
      <c r="D800" s="0" t="inlineStr">
        <is>
          <t>아이원파크(도시형)</t>
        </is>
      </c>
      <c r="E800" s="0" t="inlineStr">
        <is>
          <t>2012.04.</t>
        </is>
      </c>
      <c r="F800" s="0" t="n">
        <v>24</v>
      </c>
      <c r="G800" s="0" t="n">
        <v>17.79</v>
      </c>
      <c r="H800" s="0" t="n">
        <v>58.81</v>
      </c>
      <c r="I800" s="0" t="n">
        <v>16.67</v>
      </c>
      <c r="J800" s="0" t="n">
        <v>55.14</v>
      </c>
      <c r="K800" s="0" t="n">
        <v>12</v>
      </c>
      <c r="T800" s="0" t="n">
        <v>2</v>
      </c>
      <c r="U800" s="0" t="n">
        <v>1</v>
      </c>
      <c r="V800" s="0" t="inlineStr">
        <is>
          <t>복합식</t>
        </is>
      </c>
      <c r="W800" s="0" t="n">
        <v>58</v>
      </c>
      <c r="X800" s="0" t="n">
        <v>4</v>
      </c>
      <c r="Y800" s="0" t="n">
        <v>4</v>
      </c>
      <c r="Z800" s="0" t="inlineStr">
        <is>
          <t>https://new.land.naver.com/complexes/107001?tab=detail&amp;rf=Y</t>
        </is>
      </c>
      <c r="AA800" s="0" t="inlineStr">
        <is>
          <t>인천시 남동구 구월동 1192</t>
        </is>
      </c>
      <c r="AB800" s="0" t="inlineStr">
        <is>
          <t>인천시</t>
        </is>
      </c>
      <c r="AC800" s="0" t="inlineStr">
        <is>
          <t>남동구</t>
        </is>
      </c>
      <c r="AD800" s="0" t="inlineStr">
        <is>
          <t>구월동</t>
        </is>
      </c>
      <c r="AG800" s="0" t="inlineStr">
        <is>
          <t>인천시 남동구 남동대로726번길 5-38</t>
        </is>
      </c>
      <c r="AH800" s="0" t="n">
        <v>0</v>
      </c>
      <c r="AI800" s="0" t="n">
        <v>0</v>
      </c>
      <c r="AJ800" s="0" t="n">
        <v>0</v>
      </c>
      <c r="AK800" s="0" t="n">
        <v>20</v>
      </c>
      <c r="AL800" s="0" t="n">
        <v>0.83</v>
      </c>
    </row>
    <row r="801">
      <c r="A801" s="0" t="inlineStr">
        <is>
          <t>[구월동]</t>
        </is>
      </c>
      <c r="B801" s="0" t="n">
        <v>17312</v>
      </c>
      <c r="C801" s="0" t="n">
        <v>1</v>
      </c>
      <c r="D801" s="0" t="inlineStr">
        <is>
          <t>(신)현광</t>
        </is>
      </c>
      <c r="E801" s="0" t="inlineStr">
        <is>
          <t>1987.09.</t>
        </is>
      </c>
      <c r="F801" s="0" t="n">
        <v>40</v>
      </c>
      <c r="G801" s="0" t="n">
        <v>14.29</v>
      </c>
      <c r="H801" s="0" t="n">
        <v>47.24</v>
      </c>
      <c r="I801" s="0" t="n">
        <v>11.03</v>
      </c>
      <c r="J801" s="0" t="n">
        <v>36.48</v>
      </c>
      <c r="K801" s="0" t="n">
        <v>20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47</v>
      </c>
      <c r="X801" s="0" t="n">
        <v>5</v>
      </c>
      <c r="Y801" s="0" t="n">
        <v>5</v>
      </c>
      <c r="Z801" s="0" t="inlineStr">
        <is>
          <t>https://new.land.naver.com/complexes/17312?tab=detail&amp;rf=Y</t>
        </is>
      </c>
      <c r="AA801" s="0" t="inlineStr">
        <is>
          <t>인천시 남동구 구월동 1259-14</t>
        </is>
      </c>
      <c r="AB801" s="0" t="inlineStr">
        <is>
          <t>인천시</t>
        </is>
      </c>
      <c r="AC801" s="0" t="inlineStr">
        <is>
          <t>남동구</t>
        </is>
      </c>
      <c r="AD801" s="0" t="inlineStr">
        <is>
          <t>구월동</t>
        </is>
      </c>
      <c r="AG801" s="0" t="inlineStr">
        <is>
          <t>인천시 남동구 호구포로810번길 66-55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[구월동]</t>
        </is>
      </c>
      <c r="B802" s="0" t="n">
        <v>17312</v>
      </c>
      <c r="C802" s="0" t="n">
        <v>2</v>
      </c>
      <c r="D802" s="0" t="inlineStr">
        <is>
          <t>(신)현광</t>
        </is>
      </c>
      <c r="E802" s="0" t="inlineStr">
        <is>
          <t>1987.09.</t>
        </is>
      </c>
      <c r="F802" s="0" t="n">
        <v>40</v>
      </c>
      <c r="G802" s="0" t="n">
        <v>15.21</v>
      </c>
      <c r="H802" s="0" t="n">
        <v>50.29</v>
      </c>
      <c r="I802" s="0" t="n">
        <v>11.85</v>
      </c>
      <c r="J802" s="0" t="n">
        <v>39.18</v>
      </c>
      <c r="K802" s="0" t="n">
        <v>20</v>
      </c>
      <c r="T802" s="0" t="n">
        <v>2</v>
      </c>
      <c r="U802" s="0" t="n">
        <v>1</v>
      </c>
      <c r="V802" s="0" t="inlineStr">
        <is>
          <t>복도식</t>
        </is>
      </c>
      <c r="W802" s="0" t="n">
        <v>50</v>
      </c>
      <c r="X802" s="0" t="n">
        <v>5</v>
      </c>
      <c r="Y802" s="0" t="n">
        <v>5</v>
      </c>
      <c r="Z802" s="0" t="inlineStr">
        <is>
          <t>https://new.land.naver.com/complexes/17312?tab=detail&amp;rf=Y</t>
        </is>
      </c>
      <c r="AA802" s="0" t="inlineStr">
        <is>
          <t>인천시 남동구 구월동 1259-14</t>
        </is>
      </c>
      <c r="AB802" s="0" t="inlineStr">
        <is>
          <t>인천시</t>
        </is>
      </c>
      <c r="AC802" s="0" t="inlineStr">
        <is>
          <t>남동구</t>
        </is>
      </c>
      <c r="AD802" s="0" t="inlineStr">
        <is>
          <t>구월동</t>
        </is>
      </c>
      <c r="AG802" s="0" t="inlineStr">
        <is>
          <t>인천시 남동구 호구포로810번길 66-55</t>
        </is>
      </c>
      <c r="AH802" s="0" t="n">
        <v>0</v>
      </c>
      <c r="AI802" s="0" t="n">
        <v>0</v>
      </c>
      <c r="AJ802" s="0" t="n">
        <v>0</v>
      </c>
      <c r="AK802" s="0" t="n">
        <v>0</v>
      </c>
      <c r="AL802" s="0" t="n">
        <v>0</v>
      </c>
    </row>
    <row r="803">
      <c r="A803" s="0" t="inlineStr">
        <is>
          <t>[구월동]</t>
        </is>
      </c>
      <c r="B803" s="0" t="n">
        <v>18894</v>
      </c>
      <c r="C803" s="0" t="n">
        <v>1</v>
      </c>
      <c r="D803" s="0" t="inlineStr">
        <is>
          <t>구월힐스테이트3단지</t>
        </is>
      </c>
      <c r="E803" s="0" t="inlineStr">
        <is>
          <t>2007.08.</t>
        </is>
      </c>
      <c r="F803" s="0" t="n">
        <v>474</v>
      </c>
      <c r="G803" s="0" t="n">
        <v>33.79</v>
      </c>
      <c r="H803" s="0" t="n">
        <v>111.72</v>
      </c>
      <c r="I803" s="0" t="n">
        <v>25.37</v>
      </c>
      <c r="J803" s="0" t="n">
        <v>83.87</v>
      </c>
      <c r="K803" s="0" t="n">
        <v>63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23</v>
      </c>
      <c r="Y803" s="0" t="n">
        <v>12</v>
      </c>
      <c r="Z803" s="0" t="inlineStr">
        <is>
          <t>https://new.land.naver.com/complexes/18894?tab=detail&amp;rf=Y</t>
        </is>
      </c>
      <c r="AA803" s="0" t="inlineStr">
        <is>
          <t>인천시 남동구 구월동 20</t>
        </is>
      </c>
      <c r="AB803" s="0" t="inlineStr">
        <is>
          <t>인천시</t>
        </is>
      </c>
      <c r="AC803" s="0" t="inlineStr">
        <is>
          <t>남동구</t>
        </is>
      </c>
      <c r="AD803" s="0" t="inlineStr">
        <is>
          <t>구월동</t>
        </is>
      </c>
      <c r="AG803" s="0" t="inlineStr">
        <is>
          <t>인천시 남동구 용천로87번길 23</t>
        </is>
      </c>
      <c r="AH803" s="0" t="n">
        <v>0</v>
      </c>
      <c r="AI803" s="0" t="n">
        <v>338</v>
      </c>
      <c r="AJ803" s="0" t="n">
        <v>24</v>
      </c>
      <c r="AK803" s="0" t="n">
        <v>501</v>
      </c>
      <c r="AL803" s="0" t="n">
        <v>1.06</v>
      </c>
    </row>
    <row r="804">
      <c r="A804" s="0" t="inlineStr">
        <is>
          <t>[구월동]</t>
        </is>
      </c>
      <c r="B804" s="0" t="n">
        <v>18894</v>
      </c>
      <c r="C804" s="0" t="n">
        <v>2</v>
      </c>
      <c r="D804" s="0" t="inlineStr">
        <is>
          <t>구월힐스테이트3단지</t>
        </is>
      </c>
      <c r="E804" s="0" t="inlineStr">
        <is>
          <t>2007.08.</t>
        </is>
      </c>
      <c r="F804" s="0" t="n">
        <v>474</v>
      </c>
      <c r="G804" s="0" t="n">
        <v>33.79</v>
      </c>
      <c r="H804" s="0" t="n">
        <v>111.72</v>
      </c>
      <c r="I804" s="0" t="n">
        <v>25.37</v>
      </c>
      <c r="J804" s="0" t="n">
        <v>83.87</v>
      </c>
      <c r="K804" s="0" t="n">
        <v>56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23</v>
      </c>
      <c r="Y804" s="0" t="n">
        <v>12</v>
      </c>
      <c r="Z804" s="0" t="inlineStr">
        <is>
          <t>https://new.land.naver.com/complexes/18894?tab=detail&amp;rf=Y</t>
        </is>
      </c>
      <c r="AA804" s="0" t="inlineStr">
        <is>
          <t>인천시 남동구 구월동 20</t>
        </is>
      </c>
      <c r="AB804" s="0" t="inlineStr">
        <is>
          <t>인천시</t>
        </is>
      </c>
      <c r="AC804" s="0" t="inlineStr">
        <is>
          <t>남동구</t>
        </is>
      </c>
      <c r="AD804" s="0" t="inlineStr">
        <is>
          <t>구월동</t>
        </is>
      </c>
      <c r="AG804" s="0" t="inlineStr">
        <is>
          <t>인천시 남동구 용천로87번길 23</t>
        </is>
      </c>
      <c r="AH804" s="0" t="n">
        <v>0</v>
      </c>
      <c r="AI804" s="0" t="n">
        <v>338</v>
      </c>
      <c r="AJ804" s="0" t="n">
        <v>24</v>
      </c>
      <c r="AK804" s="0" t="n">
        <v>501</v>
      </c>
      <c r="AL804" s="0" t="n">
        <v>1.06</v>
      </c>
    </row>
    <row r="805">
      <c r="A805" s="0" t="inlineStr">
        <is>
          <t>[구월동]</t>
        </is>
      </c>
      <c r="B805" s="0" t="n">
        <v>18894</v>
      </c>
      <c r="C805" s="0" t="n">
        <v>3</v>
      </c>
      <c r="D805" s="0" t="inlineStr">
        <is>
          <t>구월힐스테이트3단지</t>
        </is>
      </c>
      <c r="E805" s="0" t="inlineStr">
        <is>
          <t>2007.08.</t>
        </is>
      </c>
      <c r="F805" s="0" t="n">
        <v>474</v>
      </c>
      <c r="G805" s="0" t="n">
        <v>33.9</v>
      </c>
      <c r="H805" s="0" t="n">
        <v>112.09</v>
      </c>
      <c r="I805" s="0" t="n">
        <v>25.4</v>
      </c>
      <c r="J805" s="0" t="n">
        <v>83.98</v>
      </c>
      <c r="K805" s="0" t="n">
        <v>131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112</v>
      </c>
      <c r="X805" s="0" t="n">
        <v>23</v>
      </c>
      <c r="Y805" s="0" t="n">
        <v>12</v>
      </c>
      <c r="Z805" s="0" t="inlineStr">
        <is>
          <t>https://new.land.naver.com/complexes/18894?tab=detail&amp;rf=Y</t>
        </is>
      </c>
      <c r="AA805" s="0" t="inlineStr">
        <is>
          <t>인천시 남동구 구월동 20</t>
        </is>
      </c>
      <c r="AB805" s="0" t="inlineStr">
        <is>
          <t>인천시</t>
        </is>
      </c>
      <c r="AC805" s="0" t="inlineStr">
        <is>
          <t>남동구</t>
        </is>
      </c>
      <c r="AD805" s="0" t="inlineStr">
        <is>
          <t>구월동</t>
        </is>
      </c>
      <c r="AG805" s="0" t="inlineStr">
        <is>
          <t>인천시 남동구 용천로87번길 23</t>
        </is>
      </c>
      <c r="AH805" s="0" t="n">
        <v>0</v>
      </c>
      <c r="AI805" s="0" t="n">
        <v>338</v>
      </c>
      <c r="AJ805" s="0" t="n">
        <v>24</v>
      </c>
      <c r="AK805" s="0" t="n">
        <v>501</v>
      </c>
      <c r="AL805" s="0" t="n">
        <v>1.06</v>
      </c>
    </row>
    <row r="806">
      <c r="A806" s="0" t="inlineStr">
        <is>
          <t>[구월동]</t>
        </is>
      </c>
      <c r="B806" s="0" t="n">
        <v>18894</v>
      </c>
      <c r="C806" s="0" t="n">
        <v>4</v>
      </c>
      <c r="D806" s="0" t="inlineStr">
        <is>
          <t>구월힐스테이트3단지</t>
        </is>
      </c>
      <c r="E806" s="0" t="inlineStr">
        <is>
          <t>2007.08.</t>
        </is>
      </c>
      <c r="F806" s="0" t="n">
        <v>474</v>
      </c>
      <c r="G806" s="0" t="n">
        <v>34.62</v>
      </c>
      <c r="H806" s="0" t="n">
        <v>114.47</v>
      </c>
      <c r="I806" s="0" t="n">
        <v>25.65</v>
      </c>
      <c r="J806" s="0" t="n">
        <v>84.81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114</v>
      </c>
      <c r="X806" s="0" t="n">
        <v>23</v>
      </c>
      <c r="Y806" s="0" t="n">
        <v>12</v>
      </c>
      <c r="Z806" s="0" t="inlineStr">
        <is>
          <t>https://new.land.naver.com/complexes/18894?tab=detail&amp;rf=Y</t>
        </is>
      </c>
      <c r="AA806" s="0" t="inlineStr">
        <is>
          <t>인천시 남동구 구월동 20</t>
        </is>
      </c>
      <c r="AB806" s="0" t="inlineStr">
        <is>
          <t>인천시</t>
        </is>
      </c>
      <c r="AC806" s="0" t="inlineStr">
        <is>
          <t>남동구</t>
        </is>
      </c>
      <c r="AD806" s="0" t="inlineStr">
        <is>
          <t>구월동</t>
        </is>
      </c>
      <c r="AG806" s="0" t="inlineStr">
        <is>
          <t>인천시 남동구 용천로87번길 23</t>
        </is>
      </c>
      <c r="AH806" s="0" t="n">
        <v>0</v>
      </c>
      <c r="AI806" s="0" t="n">
        <v>338</v>
      </c>
      <c r="AJ806" s="0" t="n">
        <v>24</v>
      </c>
      <c r="AK806" s="0" t="n">
        <v>501</v>
      </c>
      <c r="AL806" s="0" t="n">
        <v>1.06</v>
      </c>
    </row>
    <row r="807">
      <c r="A807" s="0" t="inlineStr">
        <is>
          <t>[구월동]</t>
        </is>
      </c>
      <c r="B807" s="0" t="n">
        <v>8654</v>
      </c>
      <c r="C807" s="0" t="n">
        <v>1</v>
      </c>
      <c r="D807" s="0" t="inlineStr">
        <is>
          <t>벽산</t>
        </is>
      </c>
      <c r="E807" s="0" t="inlineStr">
        <is>
          <t>1989.10.</t>
        </is>
      </c>
      <c r="F807" s="0" t="n">
        <v>149</v>
      </c>
      <c r="G807" s="0" t="n">
        <v>19.78</v>
      </c>
      <c r="H807" s="0" t="n">
        <v>65.39</v>
      </c>
      <c r="I807" s="0" t="n">
        <v>15.37</v>
      </c>
      <c r="J807" s="0" t="n">
        <v>50.82</v>
      </c>
      <c r="K807" s="0" t="n">
        <v>6</v>
      </c>
      <c r="T807" s="0" t="n">
        <v>2</v>
      </c>
      <c r="U807" s="0" t="n">
        <v>1</v>
      </c>
      <c r="V807" s="0" t="inlineStr">
        <is>
          <t>복합식</t>
        </is>
      </c>
      <c r="W807" s="0" t="n">
        <v>65</v>
      </c>
      <c r="X807" s="0" t="n">
        <v>6</v>
      </c>
      <c r="Y807" s="0" t="n">
        <v>6</v>
      </c>
      <c r="Z807" s="0" t="inlineStr">
        <is>
          <t>https://new.land.naver.com/complexes/8654?tab=detail&amp;rf=Y</t>
        </is>
      </c>
      <c r="AA807" s="0" t="inlineStr">
        <is>
          <t>인천시 남동구 구월동 1312-6</t>
        </is>
      </c>
      <c r="AB807" s="0" t="inlineStr">
        <is>
          <t>인천시</t>
        </is>
      </c>
      <c r="AC807" s="0" t="inlineStr">
        <is>
          <t>남동구</t>
        </is>
      </c>
      <c r="AD807" s="0" t="inlineStr">
        <is>
          <t>구월동</t>
        </is>
      </c>
      <c r="AG807" s="0" t="inlineStr">
        <is>
          <t>인천시 남동구 구월말로4번길 9-6</t>
        </is>
      </c>
      <c r="AH807" s="0" t="n">
        <v>0</v>
      </c>
      <c r="AI807" s="0" t="n">
        <v>194</v>
      </c>
      <c r="AJ807" s="0" t="n">
        <v>32</v>
      </c>
      <c r="AK807" s="0" t="n">
        <v>0</v>
      </c>
      <c r="AL807" s="0" t="n">
        <v>0</v>
      </c>
    </row>
    <row r="808">
      <c r="A808" s="0" t="inlineStr">
        <is>
          <t>[구월동]</t>
        </is>
      </c>
      <c r="B808" s="0" t="n">
        <v>8654</v>
      </c>
      <c r="C808" s="0" t="n">
        <v>2</v>
      </c>
      <c r="D808" s="0" t="inlineStr">
        <is>
          <t>벽산</t>
        </is>
      </c>
      <c r="E808" s="0" t="inlineStr">
        <is>
          <t>1989.10.</t>
        </is>
      </c>
      <c r="F808" s="0" t="n">
        <v>149</v>
      </c>
      <c r="G808" s="0" t="n">
        <v>20.75</v>
      </c>
      <c r="H808" s="0" t="n">
        <v>68.62</v>
      </c>
      <c r="I808" s="0" t="n">
        <v>16.2</v>
      </c>
      <c r="J808" s="0" t="n">
        <v>53.58</v>
      </c>
      <c r="K808" s="0" t="n">
        <v>119</v>
      </c>
      <c r="T808" s="0" t="n">
        <v>3</v>
      </c>
      <c r="U808" s="0" t="n">
        <v>1</v>
      </c>
      <c r="V808" s="0" t="inlineStr">
        <is>
          <t>계단식</t>
        </is>
      </c>
      <c r="W808" s="0" t="n">
        <v>68</v>
      </c>
      <c r="X808" s="0" t="n">
        <v>6</v>
      </c>
      <c r="Y808" s="0" t="n">
        <v>6</v>
      </c>
      <c r="Z808" s="0" t="inlineStr">
        <is>
          <t>https://new.land.naver.com/complexes/8654?tab=detail&amp;rf=Y</t>
        </is>
      </c>
      <c r="AA808" s="0" t="inlineStr">
        <is>
          <t>인천시 남동구 구월동 1312-6</t>
        </is>
      </c>
      <c r="AB808" s="0" t="inlineStr">
        <is>
          <t>인천시</t>
        </is>
      </c>
      <c r="AC808" s="0" t="inlineStr">
        <is>
          <t>남동구</t>
        </is>
      </c>
      <c r="AD808" s="0" t="inlineStr">
        <is>
          <t>구월동</t>
        </is>
      </c>
      <c r="AG808" s="0" t="inlineStr">
        <is>
          <t>인천시 남동구 구월말로4번길 9-6</t>
        </is>
      </c>
      <c r="AH808" s="0" t="n">
        <v>0</v>
      </c>
      <c r="AI808" s="0" t="n">
        <v>194</v>
      </c>
      <c r="AJ808" s="0" t="n">
        <v>32</v>
      </c>
      <c r="AK808" s="0" t="n">
        <v>0</v>
      </c>
      <c r="AL808" s="0" t="n">
        <v>0</v>
      </c>
    </row>
    <row r="809">
      <c r="A809" s="0" t="inlineStr">
        <is>
          <t>[구월동]</t>
        </is>
      </c>
      <c r="B809" s="0" t="n">
        <v>8654</v>
      </c>
      <c r="C809" s="0" t="n">
        <v>3</v>
      </c>
      <c r="D809" s="0" t="inlineStr">
        <is>
          <t>벽산</t>
        </is>
      </c>
      <c r="E809" s="0" t="inlineStr">
        <is>
          <t>1989.10.</t>
        </is>
      </c>
      <c r="F809" s="0" t="n">
        <v>149</v>
      </c>
      <c r="G809" s="0" t="n">
        <v>22.3</v>
      </c>
      <c r="H809" s="0" t="n">
        <v>73.72</v>
      </c>
      <c r="I809" s="0" t="n">
        <v>17.52</v>
      </c>
      <c r="J809" s="0" t="n">
        <v>57.93</v>
      </c>
      <c r="K809" s="0" t="n">
        <v>12</v>
      </c>
      <c r="T809" s="0" t="n">
        <v>2</v>
      </c>
      <c r="U809" s="0" t="n">
        <v>1</v>
      </c>
      <c r="V809" s="0" t="inlineStr">
        <is>
          <t>계단식</t>
        </is>
      </c>
      <c r="W809" s="0" t="inlineStr">
        <is>
          <t>73A</t>
        </is>
      </c>
      <c r="X809" s="0" t="n">
        <v>6</v>
      </c>
      <c r="Y809" s="0" t="n">
        <v>6</v>
      </c>
      <c r="Z809" s="0" t="inlineStr">
        <is>
          <t>https://new.land.naver.com/complexes/8654?tab=detail&amp;rf=Y</t>
        </is>
      </c>
      <c r="AA809" s="0" t="inlineStr">
        <is>
          <t>인천시 남동구 구월동 1312-6</t>
        </is>
      </c>
      <c r="AB809" s="0" t="inlineStr">
        <is>
          <t>인천시</t>
        </is>
      </c>
      <c r="AC809" s="0" t="inlineStr">
        <is>
          <t>남동구</t>
        </is>
      </c>
      <c r="AD809" s="0" t="inlineStr">
        <is>
          <t>구월동</t>
        </is>
      </c>
      <c r="AG809" s="0" t="inlineStr">
        <is>
          <t>인천시 남동구 구월말로4번길 9-6</t>
        </is>
      </c>
      <c r="AH809" s="0" t="n">
        <v>0</v>
      </c>
      <c r="AI809" s="0" t="n">
        <v>194</v>
      </c>
      <c r="AJ809" s="0" t="n">
        <v>32</v>
      </c>
      <c r="AK809" s="0" t="n">
        <v>0</v>
      </c>
      <c r="AL809" s="0" t="n">
        <v>0</v>
      </c>
    </row>
    <row r="810">
      <c r="A810" s="0" t="inlineStr">
        <is>
          <t>[구월동]</t>
        </is>
      </c>
      <c r="B810" s="0" t="n">
        <v>8654</v>
      </c>
      <c r="C810" s="0" t="n">
        <v>4</v>
      </c>
      <c r="D810" s="0" t="inlineStr">
        <is>
          <t>벽산</t>
        </is>
      </c>
      <c r="E810" s="0" t="inlineStr">
        <is>
          <t>1989.10.</t>
        </is>
      </c>
      <c r="F810" s="0" t="n">
        <v>149</v>
      </c>
      <c r="G810" s="0" t="n">
        <v>22.48</v>
      </c>
      <c r="H810" s="0" t="n">
        <v>74.31999999999999</v>
      </c>
      <c r="I810" s="0" t="n">
        <v>17.67</v>
      </c>
      <c r="J810" s="0" t="n">
        <v>58.44</v>
      </c>
      <c r="K810" s="0" t="n">
        <v>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74B</t>
        </is>
      </c>
      <c r="X810" s="0" t="n">
        <v>6</v>
      </c>
      <c r="Y810" s="0" t="n">
        <v>6</v>
      </c>
      <c r="Z810" s="0" t="inlineStr">
        <is>
          <t>https://new.land.naver.com/complexes/8654?tab=detail&amp;rf=Y</t>
        </is>
      </c>
      <c r="AA810" s="0" t="inlineStr">
        <is>
          <t>인천시 남동구 구월동 1312-6</t>
        </is>
      </c>
      <c r="AB810" s="0" t="inlineStr">
        <is>
          <t>인천시</t>
        </is>
      </c>
      <c r="AC810" s="0" t="inlineStr">
        <is>
          <t>남동구</t>
        </is>
      </c>
      <c r="AD810" s="0" t="inlineStr">
        <is>
          <t>구월동</t>
        </is>
      </c>
      <c r="AG810" s="0" t="inlineStr">
        <is>
          <t>인천시 남동구 구월말로4번길 9-6</t>
        </is>
      </c>
      <c r="AH810" s="0" t="n">
        <v>0</v>
      </c>
      <c r="AI810" s="0" t="n">
        <v>194</v>
      </c>
      <c r="AJ810" s="0" t="n">
        <v>32</v>
      </c>
      <c r="AK810" s="0" t="n">
        <v>0</v>
      </c>
      <c r="AL810" s="0" t="n">
        <v>0</v>
      </c>
    </row>
    <row r="811">
      <c r="A811" s="0" t="inlineStr">
        <is>
          <t>[구월동]</t>
        </is>
      </c>
      <c r="B811" s="0" t="n">
        <v>8654</v>
      </c>
      <c r="C811" s="0" t="n">
        <v>5</v>
      </c>
      <c r="D811" s="0" t="inlineStr">
        <is>
          <t>벽산</t>
        </is>
      </c>
      <c r="E811" s="0" t="inlineStr">
        <is>
          <t>1989.10.</t>
        </is>
      </c>
      <c r="F811" s="0" t="n">
        <v>149</v>
      </c>
      <c r="G811" s="0" t="n">
        <v>24.75</v>
      </c>
      <c r="H811" s="0" t="n">
        <v>81.81999999999999</v>
      </c>
      <c r="I811" s="0" t="n">
        <v>18.1</v>
      </c>
      <c r="J811" s="0" t="n">
        <v>59.85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81</v>
      </c>
      <c r="X811" s="0" t="n">
        <v>6</v>
      </c>
      <c r="Y811" s="0" t="n">
        <v>6</v>
      </c>
      <c r="Z811" s="0" t="inlineStr">
        <is>
          <t>https://new.land.naver.com/complexes/8654?tab=detail&amp;rf=Y</t>
        </is>
      </c>
      <c r="AA811" s="0" t="inlineStr">
        <is>
          <t>인천시 남동구 구월동 1312-6</t>
        </is>
      </c>
      <c r="AB811" s="0" t="inlineStr">
        <is>
          <t>인천시</t>
        </is>
      </c>
      <c r="AC811" s="0" t="inlineStr">
        <is>
          <t>남동구</t>
        </is>
      </c>
      <c r="AD811" s="0" t="inlineStr">
        <is>
          <t>구월동</t>
        </is>
      </c>
      <c r="AG811" s="0" t="inlineStr">
        <is>
          <t>인천시 남동구 구월말로4번길 9-6</t>
        </is>
      </c>
      <c r="AH811" s="0" t="n">
        <v>0</v>
      </c>
      <c r="AI811" s="0" t="n">
        <v>194</v>
      </c>
      <c r="AJ811" s="0" t="n">
        <v>32</v>
      </c>
      <c r="AK811" s="0" t="n">
        <v>0</v>
      </c>
      <c r="AL811" s="0" t="n">
        <v>0</v>
      </c>
    </row>
    <row r="812">
      <c r="A812" s="0" t="inlineStr">
        <is>
          <t>[구월동]</t>
        </is>
      </c>
      <c r="B812" s="0" t="n">
        <v>27158</v>
      </c>
      <c r="C812" s="0" t="n">
        <v>1</v>
      </c>
      <c r="D812" s="0" t="inlineStr">
        <is>
          <t>영빈맨션</t>
        </is>
      </c>
      <c r="E812" s="0" t="inlineStr">
        <is>
          <t>2004.02.</t>
        </is>
      </c>
      <c r="F812" s="0" t="n">
        <v>18</v>
      </c>
      <c r="G812" s="0" t="n">
        <v>28.69</v>
      </c>
      <c r="H812" s="0" t="n">
        <v>94.86</v>
      </c>
      <c r="I812" s="0" t="n">
        <v>25.02</v>
      </c>
      <c r="J812" s="0" t="n">
        <v>82.73</v>
      </c>
      <c r="K812" s="0" t="n">
        <v>1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94A</t>
        </is>
      </c>
      <c r="X812" s="0" t="n">
        <v>10</v>
      </c>
      <c r="Y812" s="0" t="n">
        <v>10</v>
      </c>
      <c r="Z812" s="0" t="inlineStr">
        <is>
          <t>https://new.land.naver.com/complexes/27158?tab=detail&amp;rf=Y</t>
        </is>
      </c>
      <c r="AA812" s="0" t="inlineStr">
        <is>
          <t>인천시 남동구 구월동 285-12</t>
        </is>
      </c>
      <c r="AB812" s="0" t="inlineStr">
        <is>
          <t>인천시</t>
        </is>
      </c>
      <c r="AC812" s="0" t="inlineStr">
        <is>
          <t>남동구</t>
        </is>
      </c>
      <c r="AD812" s="0" t="inlineStr">
        <is>
          <t>구월동</t>
        </is>
      </c>
      <c r="AG812" s="0" t="inlineStr">
        <is>
          <t>인천시 남동구 호구포로739번길 104</t>
        </is>
      </c>
      <c r="AH812" s="0" t="n">
        <v>0</v>
      </c>
      <c r="AI812" s="0" t="n">
        <v>273</v>
      </c>
      <c r="AJ812" s="0" t="n">
        <v>32</v>
      </c>
      <c r="AK812" s="0" t="n">
        <v>18</v>
      </c>
      <c r="AL812" s="0" t="n">
        <v>1</v>
      </c>
    </row>
    <row r="813">
      <c r="A813" s="0" t="inlineStr">
        <is>
          <t>[구월동]</t>
        </is>
      </c>
      <c r="B813" s="0" t="n">
        <v>27158</v>
      </c>
      <c r="C813" s="0" t="n">
        <v>2</v>
      </c>
      <c r="D813" s="0" t="inlineStr">
        <is>
          <t>영빈맨션</t>
        </is>
      </c>
      <c r="E813" s="0" t="inlineStr">
        <is>
          <t>2004.02.</t>
        </is>
      </c>
      <c r="F813" s="0" t="n">
        <v>18</v>
      </c>
      <c r="G813" s="0" t="n">
        <v>29.25</v>
      </c>
      <c r="H813" s="0" t="n">
        <v>96.7</v>
      </c>
      <c r="I813" s="0" t="n">
        <v>25.5</v>
      </c>
      <c r="J813" s="0" t="n">
        <v>84.33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96B</t>
        </is>
      </c>
      <c r="X813" s="0" t="n">
        <v>10</v>
      </c>
      <c r="Y813" s="0" t="n">
        <v>10</v>
      </c>
      <c r="Z813" s="0" t="inlineStr">
        <is>
          <t>https://new.land.naver.com/complexes/27158?tab=detail&amp;rf=Y</t>
        </is>
      </c>
      <c r="AA813" s="0" t="inlineStr">
        <is>
          <t>인천시 남동구 구월동 285-12</t>
        </is>
      </c>
      <c r="AB813" s="0" t="inlineStr">
        <is>
          <t>인천시</t>
        </is>
      </c>
      <c r="AC813" s="0" t="inlineStr">
        <is>
          <t>남동구</t>
        </is>
      </c>
      <c r="AD813" s="0" t="inlineStr">
        <is>
          <t>구월동</t>
        </is>
      </c>
      <c r="AG813" s="0" t="inlineStr">
        <is>
          <t>인천시 남동구 호구포로739번길 104</t>
        </is>
      </c>
      <c r="AH813" s="0" t="n">
        <v>0</v>
      </c>
      <c r="AI813" s="0" t="n">
        <v>273</v>
      </c>
      <c r="AJ813" s="0" t="n">
        <v>32</v>
      </c>
      <c r="AK813" s="0" t="n">
        <v>18</v>
      </c>
      <c r="AL813" s="0" t="n">
        <v>1</v>
      </c>
    </row>
    <row r="814">
      <c r="A814" s="0" t="inlineStr">
        <is>
          <t>[구월동]</t>
        </is>
      </c>
      <c r="B814" s="0" t="n">
        <v>104110</v>
      </c>
      <c r="C814" s="0" t="n">
        <v>1</v>
      </c>
      <c r="D814" s="0" t="inlineStr">
        <is>
          <t>뉴다인(도시형)</t>
        </is>
      </c>
      <c r="E814" s="0" t="inlineStr">
        <is>
          <t>2011.08.</t>
        </is>
      </c>
      <c r="F814" s="0" t="n">
        <v>35</v>
      </c>
      <c r="G814" s="0" t="n">
        <v>9</v>
      </c>
      <c r="H814" s="0" t="n">
        <v>29.77</v>
      </c>
      <c r="I814" s="0" t="n">
        <v>5.96</v>
      </c>
      <c r="J814" s="0" t="n">
        <v>19.73</v>
      </c>
      <c r="K814" s="0" t="n">
        <v>8</v>
      </c>
      <c r="T814" s="0" t="n">
        <v>1</v>
      </c>
      <c r="U814" s="0" t="n">
        <v>1</v>
      </c>
      <c r="V814" s="0" t="inlineStr">
        <is>
          <t>복도식</t>
        </is>
      </c>
      <c r="W814" s="0" t="n">
        <v>29</v>
      </c>
      <c r="X814" s="0" t="n">
        <v>7</v>
      </c>
      <c r="Y814" s="0" t="n">
        <v>7</v>
      </c>
      <c r="Z814" s="0" t="inlineStr">
        <is>
          <t>https://new.land.naver.com/complexes/104110?tab=detail&amp;rf=Y</t>
        </is>
      </c>
      <c r="AA814" s="0" t="inlineStr">
        <is>
          <t>인천시 남동구 구월동 1451-1</t>
        </is>
      </c>
      <c r="AB814" s="0" t="inlineStr">
        <is>
          <t>인천시</t>
        </is>
      </c>
      <c r="AC814" s="0" t="inlineStr">
        <is>
          <t>남동구</t>
        </is>
      </c>
      <c r="AD814" s="0" t="inlineStr">
        <is>
          <t>구월동</t>
        </is>
      </c>
      <c r="AG814" s="0" t="inlineStr">
        <is>
          <t>인천시 남동구 인하로507번길 88</t>
        </is>
      </c>
      <c r="AH814" s="0" t="n">
        <v>0</v>
      </c>
      <c r="AI814" s="0" t="n">
        <v>366</v>
      </c>
      <c r="AJ814" s="0" t="n">
        <v>69</v>
      </c>
      <c r="AK814" s="0" t="n">
        <v>15</v>
      </c>
      <c r="AL814" s="0" t="n">
        <v>0.43</v>
      </c>
    </row>
    <row r="815">
      <c r="A815" s="0" t="inlineStr">
        <is>
          <t>[구월동]</t>
        </is>
      </c>
      <c r="B815" s="0" t="n">
        <v>104110</v>
      </c>
      <c r="C815" s="0" t="n">
        <v>2</v>
      </c>
      <c r="D815" s="0" t="inlineStr">
        <is>
          <t>뉴다인(도시형)</t>
        </is>
      </c>
      <c r="E815" s="0" t="inlineStr">
        <is>
          <t>2011.08.</t>
        </is>
      </c>
      <c r="F815" s="0" t="n">
        <v>35</v>
      </c>
      <c r="G815" s="0" t="n">
        <v>11.31</v>
      </c>
      <c r="H815" s="0" t="n">
        <v>37.42</v>
      </c>
      <c r="I815" s="0" t="n">
        <v>7.55</v>
      </c>
      <c r="J815" s="0" t="n">
        <v>24.99</v>
      </c>
      <c r="K815" s="0" t="n">
        <v>2</v>
      </c>
      <c r="T815" s="0" t="n">
        <v>1</v>
      </c>
      <c r="U815" s="0" t="n">
        <v>1</v>
      </c>
      <c r="V815" s="0" t="inlineStr">
        <is>
          <t>복도식</t>
        </is>
      </c>
      <c r="W815" s="0" t="n">
        <v>37</v>
      </c>
      <c r="X815" s="0" t="n">
        <v>7</v>
      </c>
      <c r="Y815" s="0" t="n">
        <v>7</v>
      </c>
      <c r="Z815" s="0" t="inlineStr">
        <is>
          <t>https://new.land.naver.com/complexes/104110?tab=detail&amp;rf=Y</t>
        </is>
      </c>
      <c r="AA815" s="0" t="inlineStr">
        <is>
          <t>인천시 남동구 구월동 1451-1</t>
        </is>
      </c>
      <c r="AB815" s="0" t="inlineStr">
        <is>
          <t>인천시</t>
        </is>
      </c>
      <c r="AC815" s="0" t="inlineStr">
        <is>
          <t>남동구</t>
        </is>
      </c>
      <c r="AD815" s="0" t="inlineStr">
        <is>
          <t>구월동</t>
        </is>
      </c>
      <c r="AG815" s="0" t="inlineStr">
        <is>
          <t>인천시 남동구 인하로507번길 88</t>
        </is>
      </c>
      <c r="AH815" s="0" t="n">
        <v>0</v>
      </c>
      <c r="AI815" s="0" t="n">
        <v>366</v>
      </c>
      <c r="AJ815" s="0" t="n">
        <v>69</v>
      </c>
      <c r="AK815" s="0" t="n">
        <v>15</v>
      </c>
      <c r="AL815" s="0" t="n">
        <v>0.43</v>
      </c>
    </row>
    <row r="816">
      <c r="A816" s="0" t="inlineStr">
        <is>
          <t>[구월동]</t>
        </is>
      </c>
      <c r="B816" s="0" t="n">
        <v>104110</v>
      </c>
      <c r="C816" s="0" t="n">
        <v>3</v>
      </c>
      <c r="D816" s="0" t="inlineStr">
        <is>
          <t>뉴다인(도시형)</t>
        </is>
      </c>
      <c r="E816" s="0" t="inlineStr">
        <is>
          <t>2011.08.</t>
        </is>
      </c>
      <c r="F816" s="0" t="n">
        <v>35</v>
      </c>
      <c r="G816" s="0" t="n">
        <v>11.83</v>
      </c>
      <c r="H816" s="0" t="n">
        <v>39.12</v>
      </c>
      <c r="I816" s="0" t="n">
        <v>7.82</v>
      </c>
      <c r="J816" s="0" t="n">
        <v>25.86</v>
      </c>
      <c r="K816" s="0" t="n">
        <v>4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39A</t>
        </is>
      </c>
      <c r="X816" s="0" t="n">
        <v>7</v>
      </c>
      <c r="Y816" s="0" t="n">
        <v>7</v>
      </c>
      <c r="Z816" s="0" t="inlineStr">
        <is>
          <t>https://new.land.naver.com/complexes/104110?tab=detail&amp;rf=Y</t>
        </is>
      </c>
      <c r="AA816" s="0" t="inlineStr">
        <is>
          <t>인천시 남동구 구월동 1451-1</t>
        </is>
      </c>
      <c r="AB816" s="0" t="inlineStr">
        <is>
          <t>인천시</t>
        </is>
      </c>
      <c r="AC816" s="0" t="inlineStr">
        <is>
          <t>남동구</t>
        </is>
      </c>
      <c r="AD816" s="0" t="inlineStr">
        <is>
          <t>구월동</t>
        </is>
      </c>
      <c r="AG816" s="0" t="inlineStr">
        <is>
          <t>인천시 남동구 인하로507번길 88</t>
        </is>
      </c>
      <c r="AH816" s="0" t="n">
        <v>0</v>
      </c>
      <c r="AI816" s="0" t="n">
        <v>366</v>
      </c>
      <c r="AJ816" s="0" t="n">
        <v>69</v>
      </c>
      <c r="AK816" s="0" t="n">
        <v>15</v>
      </c>
      <c r="AL816" s="0" t="n">
        <v>0.43</v>
      </c>
    </row>
    <row r="817">
      <c r="A817" s="0" t="inlineStr">
        <is>
          <t>[구월동]</t>
        </is>
      </c>
      <c r="B817" s="0" t="n">
        <v>104110</v>
      </c>
      <c r="C817" s="0" t="n">
        <v>4</v>
      </c>
      <c r="D817" s="0" t="inlineStr">
        <is>
          <t>뉴다인(도시형)</t>
        </is>
      </c>
      <c r="E817" s="0" t="inlineStr">
        <is>
          <t>2011.08.</t>
        </is>
      </c>
      <c r="F817" s="0" t="n">
        <v>35</v>
      </c>
      <c r="G817" s="0" t="n">
        <v>11.8</v>
      </c>
      <c r="H817" s="0" t="n">
        <v>39.01</v>
      </c>
      <c r="I817" s="0" t="n">
        <v>7.86</v>
      </c>
      <c r="J817" s="0" t="n">
        <v>25.99</v>
      </c>
      <c r="K817" s="0" t="n">
        <v>4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39B</t>
        </is>
      </c>
      <c r="X817" s="0" t="n">
        <v>7</v>
      </c>
      <c r="Y817" s="0" t="n">
        <v>7</v>
      </c>
      <c r="Z817" s="0" t="inlineStr">
        <is>
          <t>https://new.land.naver.com/complexes/104110?tab=detail&amp;rf=Y</t>
        </is>
      </c>
      <c r="AA817" s="0" t="inlineStr">
        <is>
          <t>인천시 남동구 구월동 1451-1</t>
        </is>
      </c>
      <c r="AB817" s="0" t="inlineStr">
        <is>
          <t>인천시</t>
        </is>
      </c>
      <c r="AC817" s="0" t="inlineStr">
        <is>
          <t>남동구</t>
        </is>
      </c>
      <c r="AD817" s="0" t="inlineStr">
        <is>
          <t>구월동</t>
        </is>
      </c>
      <c r="AG817" s="0" t="inlineStr">
        <is>
          <t>인천시 남동구 인하로507번길 88</t>
        </is>
      </c>
      <c r="AH817" s="0" t="n">
        <v>0</v>
      </c>
      <c r="AI817" s="0" t="n">
        <v>366</v>
      </c>
      <c r="AJ817" s="0" t="n">
        <v>69</v>
      </c>
      <c r="AK817" s="0" t="n">
        <v>15</v>
      </c>
      <c r="AL817" s="0" t="n">
        <v>0.43</v>
      </c>
    </row>
    <row r="818">
      <c r="A818" s="0" t="inlineStr">
        <is>
          <t>[구월동]</t>
        </is>
      </c>
      <c r="B818" s="0" t="n">
        <v>104110</v>
      </c>
      <c r="C818" s="0" t="n">
        <v>5</v>
      </c>
      <c r="D818" s="0" t="inlineStr">
        <is>
          <t>뉴다인(도시형)</t>
        </is>
      </c>
      <c r="E818" s="0" t="inlineStr">
        <is>
          <t>2011.08.</t>
        </is>
      </c>
      <c r="F818" s="0" t="n">
        <v>35</v>
      </c>
      <c r="G818" s="0" t="n">
        <v>12.43</v>
      </c>
      <c r="H818" s="0" t="n">
        <v>41.12</v>
      </c>
      <c r="I818" s="0" t="n">
        <v>8.300000000000001</v>
      </c>
      <c r="J818" s="0" t="n">
        <v>27.45</v>
      </c>
      <c r="K818" s="0" t="n">
        <v>8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41C</t>
        </is>
      </c>
      <c r="X818" s="0" t="n">
        <v>7</v>
      </c>
      <c r="Y818" s="0" t="n">
        <v>7</v>
      </c>
      <c r="Z818" s="0" t="inlineStr">
        <is>
          <t>https://new.land.naver.com/complexes/104110?tab=detail&amp;rf=Y</t>
        </is>
      </c>
      <c r="AA818" s="0" t="inlineStr">
        <is>
          <t>인천시 남동구 구월동 1451-1</t>
        </is>
      </c>
      <c r="AB818" s="0" t="inlineStr">
        <is>
          <t>인천시</t>
        </is>
      </c>
      <c r="AC818" s="0" t="inlineStr">
        <is>
          <t>남동구</t>
        </is>
      </c>
      <c r="AD818" s="0" t="inlineStr">
        <is>
          <t>구월동</t>
        </is>
      </c>
      <c r="AG818" s="0" t="inlineStr">
        <is>
          <t>인천시 남동구 인하로507번길 88</t>
        </is>
      </c>
      <c r="AH818" s="0" t="n">
        <v>0</v>
      </c>
      <c r="AI818" s="0" t="n">
        <v>366</v>
      </c>
      <c r="AJ818" s="0" t="n">
        <v>69</v>
      </c>
      <c r="AK818" s="0" t="n">
        <v>15</v>
      </c>
      <c r="AL818" s="0" t="n">
        <v>0.43</v>
      </c>
    </row>
    <row r="819">
      <c r="A819" s="0" t="inlineStr">
        <is>
          <t>[구월동]</t>
        </is>
      </c>
      <c r="B819" s="0" t="n">
        <v>104110</v>
      </c>
      <c r="C819" s="0" t="n">
        <v>6</v>
      </c>
      <c r="D819" s="0" t="inlineStr">
        <is>
          <t>뉴다인(도시형)</t>
        </is>
      </c>
      <c r="E819" s="0" t="inlineStr">
        <is>
          <t>2011.08.</t>
        </is>
      </c>
      <c r="F819" s="0" t="n">
        <v>35</v>
      </c>
      <c r="G819" s="0" t="n">
        <v>13.49</v>
      </c>
      <c r="H819" s="0" t="n">
        <v>44.61</v>
      </c>
      <c r="I819" s="0" t="n">
        <v>8.99</v>
      </c>
      <c r="J819" s="0" t="n">
        <v>29.74</v>
      </c>
      <c r="K819" s="0" t="n">
        <v>4</v>
      </c>
      <c r="T819" s="0" t="n">
        <v>1</v>
      </c>
      <c r="U819" s="0" t="n">
        <v>1</v>
      </c>
      <c r="V819" s="0" t="inlineStr">
        <is>
          <t>복도식</t>
        </is>
      </c>
      <c r="W819" s="0" t="n">
        <v>44</v>
      </c>
      <c r="X819" s="0" t="n">
        <v>7</v>
      </c>
      <c r="Y819" s="0" t="n">
        <v>7</v>
      </c>
      <c r="Z819" s="0" t="inlineStr">
        <is>
          <t>https://new.land.naver.com/complexes/104110?tab=detail&amp;rf=Y</t>
        </is>
      </c>
      <c r="AA819" s="0" t="inlineStr">
        <is>
          <t>인천시 남동구 구월동 1451-1</t>
        </is>
      </c>
      <c r="AB819" s="0" t="inlineStr">
        <is>
          <t>인천시</t>
        </is>
      </c>
      <c r="AC819" s="0" t="inlineStr">
        <is>
          <t>남동구</t>
        </is>
      </c>
      <c r="AD819" s="0" t="inlineStr">
        <is>
          <t>구월동</t>
        </is>
      </c>
      <c r="AG819" s="0" t="inlineStr">
        <is>
          <t>인천시 남동구 인하로507번길 88</t>
        </is>
      </c>
      <c r="AH819" s="0" t="n">
        <v>0</v>
      </c>
      <c r="AI819" s="0" t="n">
        <v>366</v>
      </c>
      <c r="AJ819" s="0" t="n">
        <v>69</v>
      </c>
      <c r="AK819" s="0" t="n">
        <v>15</v>
      </c>
      <c r="AL819" s="0" t="n">
        <v>0.43</v>
      </c>
    </row>
    <row r="820">
      <c r="A820" s="0" t="inlineStr">
        <is>
          <t>[구월동]</t>
        </is>
      </c>
      <c r="B820" s="0" t="n">
        <v>104110</v>
      </c>
      <c r="C820" s="0" t="n">
        <v>7</v>
      </c>
      <c r="D820" s="0" t="inlineStr">
        <is>
          <t>뉴다인(도시형)</t>
        </is>
      </c>
      <c r="E820" s="0" t="inlineStr">
        <is>
          <t>2011.08.</t>
        </is>
      </c>
      <c r="F820" s="0" t="n">
        <v>35</v>
      </c>
      <c r="G820" s="0" t="n">
        <v>13.99</v>
      </c>
      <c r="H820" s="0" t="n">
        <v>46.27</v>
      </c>
      <c r="I820" s="0" t="n">
        <v>9.369999999999999</v>
      </c>
      <c r="J820" s="0" t="n">
        <v>30.98</v>
      </c>
      <c r="K820" s="0" t="n">
        <v>1</v>
      </c>
      <c r="T820" s="0" t="n">
        <v>1</v>
      </c>
      <c r="U820" s="0" t="n">
        <v>1</v>
      </c>
      <c r="V820" s="0" t="inlineStr">
        <is>
          <t>복도식</t>
        </is>
      </c>
      <c r="W820" s="0" t="n">
        <v>46</v>
      </c>
      <c r="X820" s="0" t="n">
        <v>7</v>
      </c>
      <c r="Y820" s="0" t="n">
        <v>7</v>
      </c>
      <c r="Z820" s="0" t="inlineStr">
        <is>
          <t>https://new.land.naver.com/complexes/104110?tab=detail&amp;rf=Y</t>
        </is>
      </c>
      <c r="AA820" s="0" t="inlineStr">
        <is>
          <t>인천시 남동구 구월동 1451-1</t>
        </is>
      </c>
      <c r="AB820" s="0" t="inlineStr">
        <is>
          <t>인천시</t>
        </is>
      </c>
      <c r="AC820" s="0" t="inlineStr">
        <is>
          <t>남동구</t>
        </is>
      </c>
      <c r="AD820" s="0" t="inlineStr">
        <is>
          <t>구월동</t>
        </is>
      </c>
      <c r="AG820" s="0" t="inlineStr">
        <is>
          <t>인천시 남동구 인하로507번길 88</t>
        </is>
      </c>
      <c r="AH820" s="0" t="n">
        <v>0</v>
      </c>
      <c r="AI820" s="0" t="n">
        <v>366</v>
      </c>
      <c r="AJ820" s="0" t="n">
        <v>69</v>
      </c>
      <c r="AK820" s="0" t="n">
        <v>15</v>
      </c>
      <c r="AL820" s="0" t="n">
        <v>0.43</v>
      </c>
    </row>
    <row r="821">
      <c r="A821" s="0" t="inlineStr">
        <is>
          <t>[구월동]</t>
        </is>
      </c>
      <c r="B821" s="0" t="n">
        <v>104110</v>
      </c>
      <c r="C821" s="0" t="n">
        <v>8</v>
      </c>
      <c r="D821" s="0" t="inlineStr">
        <is>
          <t>뉴다인(도시형)</t>
        </is>
      </c>
      <c r="E821" s="0" t="inlineStr">
        <is>
          <t>2011.08.</t>
        </is>
      </c>
      <c r="F821" s="0" t="n">
        <v>35</v>
      </c>
      <c r="G821" s="0" t="n">
        <v>14.75</v>
      </c>
      <c r="H821" s="0" t="n">
        <v>48.77</v>
      </c>
      <c r="I821" s="0" t="n">
        <v>9.890000000000001</v>
      </c>
      <c r="J821" s="0" t="n">
        <v>32.72</v>
      </c>
      <c r="K821" s="0" t="n">
        <v>2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48A</t>
        </is>
      </c>
      <c r="X821" s="0" t="n">
        <v>7</v>
      </c>
      <c r="Y821" s="0" t="n">
        <v>7</v>
      </c>
      <c r="Z821" s="0" t="inlineStr">
        <is>
          <t>https://new.land.naver.com/complexes/104110?tab=detail&amp;rf=Y</t>
        </is>
      </c>
      <c r="AA821" s="0" t="inlineStr">
        <is>
          <t>인천시 남동구 구월동 1451-1</t>
        </is>
      </c>
      <c r="AB821" s="0" t="inlineStr">
        <is>
          <t>인천시</t>
        </is>
      </c>
      <c r="AC821" s="0" t="inlineStr">
        <is>
          <t>남동구</t>
        </is>
      </c>
      <c r="AD821" s="0" t="inlineStr">
        <is>
          <t>구월동</t>
        </is>
      </c>
      <c r="AG821" s="0" t="inlineStr">
        <is>
          <t>인천시 남동구 인하로507번길 88</t>
        </is>
      </c>
      <c r="AH821" s="0" t="n">
        <v>0</v>
      </c>
      <c r="AI821" s="0" t="n">
        <v>366</v>
      </c>
      <c r="AJ821" s="0" t="n">
        <v>69</v>
      </c>
      <c r="AK821" s="0" t="n">
        <v>15</v>
      </c>
      <c r="AL821" s="0" t="n">
        <v>0.43</v>
      </c>
    </row>
    <row r="822">
      <c r="A822" s="0" t="inlineStr">
        <is>
          <t>[구월동]</t>
        </is>
      </c>
      <c r="B822" s="0" t="n">
        <v>104110</v>
      </c>
      <c r="C822" s="0" t="n">
        <v>9</v>
      </c>
      <c r="D822" s="0" t="inlineStr">
        <is>
          <t>뉴다인(도시형)</t>
        </is>
      </c>
      <c r="E822" s="0" t="inlineStr">
        <is>
          <t>2011.08.</t>
        </is>
      </c>
      <c r="F822" s="0" t="n">
        <v>35</v>
      </c>
      <c r="G822" s="0" t="n">
        <v>15.25</v>
      </c>
      <c r="H822" s="0" t="n">
        <v>50.43</v>
      </c>
      <c r="I822" s="0" t="n">
        <v>10.18</v>
      </c>
      <c r="J822" s="0" t="n">
        <v>33.67</v>
      </c>
      <c r="K822" s="0" t="n">
        <v>1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50B</t>
        </is>
      </c>
      <c r="X822" s="0" t="n">
        <v>7</v>
      </c>
      <c r="Y822" s="0" t="n">
        <v>7</v>
      </c>
      <c r="Z822" s="0" t="inlineStr">
        <is>
          <t>https://new.land.naver.com/complexes/104110?tab=detail&amp;rf=Y</t>
        </is>
      </c>
      <c r="AA822" s="0" t="inlineStr">
        <is>
          <t>인천시 남동구 구월동 1451-1</t>
        </is>
      </c>
      <c r="AB822" s="0" t="inlineStr">
        <is>
          <t>인천시</t>
        </is>
      </c>
      <c r="AC822" s="0" t="inlineStr">
        <is>
          <t>남동구</t>
        </is>
      </c>
      <c r="AD822" s="0" t="inlineStr">
        <is>
          <t>구월동</t>
        </is>
      </c>
      <c r="AG822" s="0" t="inlineStr">
        <is>
          <t>인천시 남동구 인하로507번길 88</t>
        </is>
      </c>
      <c r="AH822" s="0" t="n">
        <v>0</v>
      </c>
      <c r="AI822" s="0" t="n">
        <v>366</v>
      </c>
      <c r="AJ822" s="0" t="n">
        <v>69</v>
      </c>
      <c r="AK822" s="0" t="n">
        <v>15</v>
      </c>
      <c r="AL822" s="0" t="n">
        <v>0.43</v>
      </c>
    </row>
    <row r="823">
      <c r="A823" s="0" t="inlineStr">
        <is>
          <t>[구월동]</t>
        </is>
      </c>
      <c r="B823" s="0" t="n">
        <v>104110</v>
      </c>
      <c r="C823" s="0" t="n">
        <v>10</v>
      </c>
      <c r="D823" s="0" t="inlineStr">
        <is>
          <t>뉴다인(도시형)</t>
        </is>
      </c>
      <c r="E823" s="0" t="inlineStr">
        <is>
          <t>2011.08.</t>
        </is>
      </c>
      <c r="F823" s="0" t="n">
        <v>35</v>
      </c>
      <c r="G823" s="0" t="n">
        <v>16.29</v>
      </c>
      <c r="H823" s="0" t="n">
        <v>53.88</v>
      </c>
      <c r="I823" s="0" t="n">
        <v>10.93</v>
      </c>
      <c r="J823" s="0" t="n">
        <v>36.15</v>
      </c>
      <c r="K823" s="0" t="n">
        <v>1</v>
      </c>
      <c r="T823" s="0" t="n">
        <v>1</v>
      </c>
      <c r="U823" s="0" t="n">
        <v>1</v>
      </c>
      <c r="V823" s="0" t="inlineStr">
        <is>
          <t>복도식</t>
        </is>
      </c>
      <c r="W823" s="0" t="n">
        <v>53</v>
      </c>
      <c r="X823" s="0" t="n">
        <v>7</v>
      </c>
      <c r="Y823" s="0" t="n">
        <v>7</v>
      </c>
      <c r="Z823" s="0" t="inlineStr">
        <is>
          <t>https://new.land.naver.com/complexes/104110?tab=detail&amp;rf=Y</t>
        </is>
      </c>
      <c r="AA823" s="0" t="inlineStr">
        <is>
          <t>인천시 남동구 구월동 1451-1</t>
        </is>
      </c>
      <c r="AB823" s="0" t="inlineStr">
        <is>
          <t>인천시</t>
        </is>
      </c>
      <c r="AC823" s="0" t="inlineStr">
        <is>
          <t>남동구</t>
        </is>
      </c>
      <c r="AD823" s="0" t="inlineStr">
        <is>
          <t>구월동</t>
        </is>
      </c>
      <c r="AG823" s="0" t="inlineStr">
        <is>
          <t>인천시 남동구 인하로507번길 88</t>
        </is>
      </c>
      <c r="AH823" s="0" t="n">
        <v>0</v>
      </c>
      <c r="AI823" s="0" t="n">
        <v>366</v>
      </c>
      <c r="AJ823" s="0" t="n">
        <v>69</v>
      </c>
      <c r="AK823" s="0" t="n">
        <v>15</v>
      </c>
      <c r="AL823" s="0" t="n">
        <v>0.43</v>
      </c>
    </row>
    <row r="824">
      <c r="A824" s="0" t="inlineStr">
        <is>
          <t>[구월동]</t>
        </is>
      </c>
      <c r="B824" s="0" t="n">
        <v>11652</v>
      </c>
      <c r="C824" s="0" t="n">
        <v>1</v>
      </c>
      <c r="D824" s="0" t="inlineStr">
        <is>
          <t>정광</t>
        </is>
      </c>
      <c r="E824" s="0" t="inlineStr">
        <is>
          <t>1985.03.</t>
        </is>
      </c>
      <c r="F824" s="0" t="n">
        <v>70</v>
      </c>
      <c r="G824" s="0" t="n">
        <v>21.86</v>
      </c>
      <c r="H824" s="0" t="n">
        <v>72.28</v>
      </c>
      <c r="I824" s="0" t="n">
        <v>18.54</v>
      </c>
      <c r="J824" s="0" t="n">
        <v>61.32</v>
      </c>
      <c r="K824" s="0" t="n">
        <v>40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72A</t>
        </is>
      </c>
      <c r="X824" s="0" t="n">
        <v>5</v>
      </c>
      <c r="Y824" s="0" t="n">
        <v>5</v>
      </c>
      <c r="Z824" s="0" t="inlineStr">
        <is>
          <t>https://new.land.naver.com/complexes/11652?tab=detail&amp;rf=Y</t>
        </is>
      </c>
      <c r="AA824" s="0" t="inlineStr">
        <is>
          <t>인천시 남동구 구월동 1153-2</t>
        </is>
      </c>
      <c r="AB824" s="0" t="inlineStr">
        <is>
          <t>인천시</t>
        </is>
      </c>
      <c r="AC824" s="0" t="inlineStr">
        <is>
          <t>남동구</t>
        </is>
      </c>
      <c r="AD824" s="0" t="inlineStr">
        <is>
          <t>구월동</t>
        </is>
      </c>
      <c r="AG824" s="0" t="inlineStr">
        <is>
          <t>인천시 남동구 남동대로725번길 32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[구월동]</t>
        </is>
      </c>
      <c r="B825" s="0" t="n">
        <v>11652</v>
      </c>
      <c r="C825" s="0" t="n">
        <v>2</v>
      </c>
      <c r="D825" s="0" t="inlineStr">
        <is>
          <t>정광</t>
        </is>
      </c>
      <c r="E825" s="0" t="inlineStr">
        <is>
          <t>1985.03.</t>
        </is>
      </c>
      <c r="F825" s="0" t="n">
        <v>70</v>
      </c>
      <c r="G825" s="0" t="n">
        <v>22.35</v>
      </c>
      <c r="H825" s="0" t="n">
        <v>73.90000000000001</v>
      </c>
      <c r="I825" s="0" t="n">
        <v>18.97</v>
      </c>
      <c r="J825" s="0" t="n">
        <v>62.73</v>
      </c>
      <c r="K825" s="0" t="n">
        <v>30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73B</t>
        </is>
      </c>
      <c r="X825" s="0" t="n">
        <v>5</v>
      </c>
      <c r="Y825" s="0" t="n">
        <v>5</v>
      </c>
      <c r="Z825" s="0" t="inlineStr">
        <is>
          <t>https://new.land.naver.com/complexes/11652?tab=detail&amp;rf=Y</t>
        </is>
      </c>
      <c r="AA825" s="0" t="inlineStr">
        <is>
          <t>인천시 남동구 구월동 1153-2</t>
        </is>
      </c>
      <c r="AB825" s="0" t="inlineStr">
        <is>
          <t>인천시</t>
        </is>
      </c>
      <c r="AC825" s="0" t="inlineStr">
        <is>
          <t>남동구</t>
        </is>
      </c>
      <c r="AD825" s="0" t="inlineStr">
        <is>
          <t>구월동</t>
        </is>
      </c>
      <c r="AG825" s="0" t="inlineStr">
        <is>
          <t>인천시 남동구 남동대로725번길 32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[구월동]</t>
        </is>
      </c>
      <c r="B826" s="0" t="n">
        <v>11210</v>
      </c>
      <c r="C826" s="0" t="n">
        <v>1</v>
      </c>
      <c r="D826" s="0" t="inlineStr">
        <is>
          <t>해창</t>
        </is>
      </c>
      <c r="E826" s="0" t="inlineStr">
        <is>
          <t>1984.02.</t>
        </is>
      </c>
      <c r="F826" s="0" t="n">
        <v>150</v>
      </c>
      <c r="G826" s="0" t="n">
        <v>17.56</v>
      </c>
      <c r="H826" s="0" t="n">
        <v>58.05</v>
      </c>
      <c r="I826" s="0" t="n">
        <v>15.18</v>
      </c>
      <c r="J826" s="0" t="n">
        <v>50.21</v>
      </c>
      <c r="K826" s="0" t="n">
        <v>30</v>
      </c>
      <c r="T826" s="0" t="n">
        <v>2</v>
      </c>
      <c r="U826" s="0" t="n">
        <v>1</v>
      </c>
      <c r="V826" s="0" t="inlineStr">
        <is>
          <t>계단식</t>
        </is>
      </c>
      <c r="W826" s="0" t="n">
        <v>58</v>
      </c>
      <c r="X826" s="0" t="n">
        <v>5</v>
      </c>
      <c r="Y826" s="0" t="n">
        <v>5</v>
      </c>
      <c r="Z826" s="0" t="inlineStr">
        <is>
          <t>https://new.land.naver.com/complexes/11210?tab=detail&amp;rf=Y</t>
        </is>
      </c>
      <c r="AA826" s="0" t="inlineStr">
        <is>
          <t>인천시 남동구 구월동 70-26</t>
        </is>
      </c>
      <c r="AB826" s="0" t="inlineStr">
        <is>
          <t>인천시</t>
        </is>
      </c>
      <c r="AC826" s="0" t="inlineStr">
        <is>
          <t>남동구</t>
        </is>
      </c>
      <c r="AD826" s="0" t="inlineStr">
        <is>
          <t>구월동</t>
        </is>
      </c>
      <c r="AG826" s="0" t="inlineStr">
        <is>
          <t>인천시 남동구 양지로34번길 11</t>
        </is>
      </c>
      <c r="AH826" s="0" t="n">
        <v>0</v>
      </c>
      <c r="AI826" s="0" t="n">
        <v>146</v>
      </c>
      <c r="AJ826" s="0" t="n">
        <v>29</v>
      </c>
      <c r="AK826" s="0" t="n">
        <v>160</v>
      </c>
      <c r="AL826" s="0" t="n">
        <v>1.07</v>
      </c>
    </row>
    <row r="827">
      <c r="A827" s="0" t="inlineStr">
        <is>
          <t>[구월동]</t>
        </is>
      </c>
      <c r="B827" s="0" t="n">
        <v>11210</v>
      </c>
      <c r="C827" s="0" t="n">
        <v>2</v>
      </c>
      <c r="D827" s="0" t="inlineStr">
        <is>
          <t>해창</t>
        </is>
      </c>
      <c r="E827" s="0" t="inlineStr">
        <is>
          <t>1984.02.</t>
        </is>
      </c>
      <c r="F827" s="0" t="n">
        <v>150</v>
      </c>
      <c r="G827" s="0" t="n">
        <v>19.58</v>
      </c>
      <c r="H827" s="0" t="n">
        <v>64.73</v>
      </c>
      <c r="I827" s="0" t="n">
        <v>16.82</v>
      </c>
      <c r="J827" s="0" t="n">
        <v>55.61</v>
      </c>
      <c r="K827" s="0" t="n">
        <v>40</v>
      </c>
      <c r="T827" s="0" t="n">
        <v>2</v>
      </c>
      <c r="U827" s="0" t="n">
        <v>1</v>
      </c>
      <c r="V827" s="0" t="inlineStr">
        <is>
          <t>계단식</t>
        </is>
      </c>
      <c r="W827" s="0" t="n">
        <v>64</v>
      </c>
      <c r="X827" s="0" t="n">
        <v>5</v>
      </c>
      <c r="Y827" s="0" t="n">
        <v>5</v>
      </c>
      <c r="Z827" s="0" t="inlineStr">
        <is>
          <t>https://new.land.naver.com/complexes/11210?tab=detail&amp;rf=Y</t>
        </is>
      </c>
      <c r="AA827" s="0" t="inlineStr">
        <is>
          <t>인천시 남동구 구월동 70-26</t>
        </is>
      </c>
      <c r="AB827" s="0" t="inlineStr">
        <is>
          <t>인천시</t>
        </is>
      </c>
      <c r="AC827" s="0" t="inlineStr">
        <is>
          <t>남동구</t>
        </is>
      </c>
      <c r="AD827" s="0" t="inlineStr">
        <is>
          <t>구월동</t>
        </is>
      </c>
      <c r="AG827" s="0" t="inlineStr">
        <is>
          <t>인천시 남동구 양지로34번길 11</t>
        </is>
      </c>
      <c r="AH827" s="0" t="n">
        <v>0</v>
      </c>
      <c r="AI827" s="0" t="n">
        <v>146</v>
      </c>
      <c r="AJ827" s="0" t="n">
        <v>29</v>
      </c>
      <c r="AK827" s="0" t="n">
        <v>160</v>
      </c>
      <c r="AL827" s="0" t="n">
        <v>1.07</v>
      </c>
    </row>
    <row r="828">
      <c r="A828" s="0" t="inlineStr">
        <is>
          <t>[구월동]</t>
        </is>
      </c>
      <c r="B828" s="0" t="n">
        <v>11210</v>
      </c>
      <c r="C828" s="0" t="n">
        <v>3</v>
      </c>
      <c r="D828" s="0" t="inlineStr">
        <is>
          <t>해창</t>
        </is>
      </c>
      <c r="E828" s="0" t="inlineStr">
        <is>
          <t>1984.02.</t>
        </is>
      </c>
      <c r="F828" s="0" t="n">
        <v>150</v>
      </c>
      <c r="G828" s="0" t="n">
        <v>23.11</v>
      </c>
      <c r="H828" s="0" t="n">
        <v>76.41</v>
      </c>
      <c r="I828" s="0" t="n">
        <v>19.32</v>
      </c>
      <c r="J828" s="0" t="n">
        <v>63.89</v>
      </c>
      <c r="K828" s="0" t="n">
        <v>40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76A</t>
        </is>
      </c>
      <c r="X828" s="0" t="n">
        <v>5</v>
      </c>
      <c r="Y828" s="0" t="n">
        <v>5</v>
      </c>
      <c r="Z828" s="0" t="inlineStr">
        <is>
          <t>https://new.land.naver.com/complexes/11210?tab=detail&amp;rf=Y</t>
        </is>
      </c>
      <c r="AA828" s="0" t="inlineStr">
        <is>
          <t>인천시 남동구 구월동 70-26</t>
        </is>
      </c>
      <c r="AB828" s="0" t="inlineStr">
        <is>
          <t>인천시</t>
        </is>
      </c>
      <c r="AC828" s="0" t="inlineStr">
        <is>
          <t>남동구</t>
        </is>
      </c>
      <c r="AD828" s="0" t="inlineStr">
        <is>
          <t>구월동</t>
        </is>
      </c>
      <c r="AG828" s="0" t="inlineStr">
        <is>
          <t>인천시 남동구 양지로34번길 11</t>
        </is>
      </c>
      <c r="AH828" s="0" t="n">
        <v>0</v>
      </c>
      <c r="AI828" s="0" t="n">
        <v>146</v>
      </c>
      <c r="AJ828" s="0" t="n">
        <v>29</v>
      </c>
      <c r="AK828" s="0" t="n">
        <v>160</v>
      </c>
      <c r="AL828" s="0" t="n">
        <v>1.07</v>
      </c>
    </row>
    <row r="829">
      <c r="A829" s="0" t="inlineStr">
        <is>
          <t>[구월동]</t>
        </is>
      </c>
      <c r="B829" s="0" t="n">
        <v>11210</v>
      </c>
      <c r="C829" s="0" t="n">
        <v>4</v>
      </c>
      <c r="D829" s="0" t="inlineStr">
        <is>
          <t>해창</t>
        </is>
      </c>
      <c r="E829" s="0" t="inlineStr">
        <is>
          <t>1984.02.</t>
        </is>
      </c>
      <c r="F829" s="0" t="n">
        <v>150</v>
      </c>
      <c r="G829" s="0" t="n">
        <v>23.47</v>
      </c>
      <c r="H829" s="0" t="n">
        <v>77.61</v>
      </c>
      <c r="I829" s="0" t="n">
        <v>19.62</v>
      </c>
      <c r="J829" s="0" t="n">
        <v>64.88</v>
      </c>
      <c r="K829" s="0" t="n">
        <v>40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77B</t>
        </is>
      </c>
      <c r="X829" s="0" t="n">
        <v>5</v>
      </c>
      <c r="Y829" s="0" t="n">
        <v>5</v>
      </c>
      <c r="Z829" s="0" t="inlineStr">
        <is>
          <t>https://new.land.naver.com/complexes/11210?tab=detail&amp;rf=Y</t>
        </is>
      </c>
      <c r="AA829" s="0" t="inlineStr">
        <is>
          <t>인천시 남동구 구월동 70-26</t>
        </is>
      </c>
      <c r="AB829" s="0" t="inlineStr">
        <is>
          <t>인천시</t>
        </is>
      </c>
      <c r="AC829" s="0" t="inlineStr">
        <is>
          <t>남동구</t>
        </is>
      </c>
      <c r="AD829" s="0" t="inlineStr">
        <is>
          <t>구월동</t>
        </is>
      </c>
      <c r="AG829" s="0" t="inlineStr">
        <is>
          <t>인천시 남동구 양지로34번길 11</t>
        </is>
      </c>
      <c r="AH829" s="0" t="n">
        <v>0</v>
      </c>
      <c r="AI829" s="0" t="n">
        <v>146</v>
      </c>
      <c r="AJ829" s="0" t="n">
        <v>29</v>
      </c>
      <c r="AK829" s="0" t="n">
        <v>160</v>
      </c>
      <c r="AL829" s="0" t="n">
        <v>1.07</v>
      </c>
    </row>
    <row r="830">
      <c r="A830" s="0" t="inlineStr">
        <is>
          <t>[구월동]</t>
        </is>
      </c>
      <c r="B830" s="0" t="n">
        <v>117314</v>
      </c>
      <c r="C830" s="0" t="n">
        <v>1</v>
      </c>
      <c r="D830" s="0" t="inlineStr">
        <is>
          <t>신영구월지웰시티푸르지오</t>
        </is>
      </c>
      <c r="E830" s="0" t="inlineStr">
        <is>
          <t>2020.12.</t>
        </is>
      </c>
      <c r="F830" s="0" t="n">
        <v>376</v>
      </c>
      <c r="G830" s="0" t="n">
        <v>31.26</v>
      </c>
      <c r="H830" s="0" t="n">
        <v>103.35</v>
      </c>
      <c r="I830" s="0" t="n">
        <v>22.8</v>
      </c>
      <c r="J830" s="0" t="n">
        <v>75.38</v>
      </c>
      <c r="K830" s="0" t="n">
        <v>26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103</v>
      </c>
      <c r="X830" s="0" t="n">
        <v>43</v>
      </c>
      <c r="Y830" s="0" t="n">
        <v>29</v>
      </c>
      <c r="Z830" s="0" t="inlineStr">
        <is>
          <t>https://new.land.naver.com/complexes/117314?tab=detail&amp;rf=Y</t>
        </is>
      </c>
      <c r="AA830" s="0" t="inlineStr">
        <is>
          <t>인천시 남동구 구월동 1608</t>
        </is>
      </c>
      <c r="AB830" s="0" t="inlineStr">
        <is>
          <t>인천시</t>
        </is>
      </c>
      <c r="AC830" s="0" t="inlineStr">
        <is>
          <t>남동구</t>
        </is>
      </c>
      <c r="AD830" s="0" t="inlineStr">
        <is>
          <t>구월동</t>
        </is>
      </c>
      <c r="AG830" s="0" t="inlineStr">
        <is>
          <t>인천시 남동구 남동대로799번길 34</t>
        </is>
      </c>
      <c r="AH830" s="0" t="n">
        <v>0</v>
      </c>
      <c r="AI830" s="0" t="n">
        <v>689</v>
      </c>
      <c r="AJ830" s="0" t="n">
        <v>65</v>
      </c>
      <c r="AK830" s="0" t="n">
        <v>453</v>
      </c>
      <c r="AL830" s="0" t="n">
        <v>1.2</v>
      </c>
    </row>
    <row r="831">
      <c r="A831" s="0" t="inlineStr">
        <is>
          <t>[구월동]</t>
        </is>
      </c>
      <c r="B831" s="0" t="n">
        <v>117314</v>
      </c>
      <c r="C831" s="0" t="n">
        <v>2</v>
      </c>
      <c r="D831" s="0" t="inlineStr">
        <is>
          <t>신영구월지웰시티푸르지오</t>
        </is>
      </c>
      <c r="E831" s="0" t="inlineStr">
        <is>
          <t>2020.12.</t>
        </is>
      </c>
      <c r="F831" s="0" t="n">
        <v>376</v>
      </c>
      <c r="G831" s="0" t="n">
        <v>35.18</v>
      </c>
      <c r="H831" s="0" t="n">
        <v>116.3</v>
      </c>
      <c r="I831" s="0" t="n">
        <v>25.69</v>
      </c>
      <c r="J831" s="0" t="n">
        <v>84.93000000000001</v>
      </c>
      <c r="K831" s="0" t="n">
        <v>76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116C</t>
        </is>
      </c>
      <c r="X831" s="0" t="n">
        <v>43</v>
      </c>
      <c r="Y831" s="0" t="n">
        <v>29</v>
      </c>
      <c r="Z831" s="0" t="inlineStr">
        <is>
          <t>https://new.land.naver.com/complexes/117314?tab=detail&amp;rf=Y</t>
        </is>
      </c>
      <c r="AA831" s="0" t="inlineStr">
        <is>
          <t>인천시 남동구 구월동 1608</t>
        </is>
      </c>
      <c r="AB831" s="0" t="inlineStr">
        <is>
          <t>인천시</t>
        </is>
      </c>
      <c r="AC831" s="0" t="inlineStr">
        <is>
          <t>남동구</t>
        </is>
      </c>
      <c r="AD831" s="0" t="inlineStr">
        <is>
          <t>구월동</t>
        </is>
      </c>
      <c r="AG831" s="0" t="inlineStr">
        <is>
          <t>인천시 남동구 남동대로799번길 34</t>
        </is>
      </c>
      <c r="AH831" s="0" t="n">
        <v>0</v>
      </c>
      <c r="AI831" s="0" t="n">
        <v>689</v>
      </c>
      <c r="AJ831" s="0" t="n">
        <v>65</v>
      </c>
      <c r="AK831" s="0" t="n">
        <v>453</v>
      </c>
      <c r="AL831" s="0" t="n">
        <v>1.2</v>
      </c>
    </row>
    <row r="832">
      <c r="A832" s="0" t="inlineStr">
        <is>
          <t>[구월동]</t>
        </is>
      </c>
      <c r="B832" s="0" t="n">
        <v>117314</v>
      </c>
      <c r="C832" s="0" t="n">
        <v>3</v>
      </c>
      <c r="D832" s="0" t="inlineStr">
        <is>
          <t>신영구월지웰시티푸르지오</t>
        </is>
      </c>
      <c r="E832" s="0" t="inlineStr">
        <is>
          <t>2020.12.</t>
        </is>
      </c>
      <c r="F832" s="0" t="n">
        <v>376</v>
      </c>
      <c r="G832" s="0" t="n">
        <v>35.37</v>
      </c>
      <c r="H832" s="0" t="n">
        <v>116.95</v>
      </c>
      <c r="I832" s="0" t="n">
        <v>25.69</v>
      </c>
      <c r="J832" s="0" t="n">
        <v>84.93000000000001</v>
      </c>
      <c r="K832" s="0" t="n">
        <v>73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116D</t>
        </is>
      </c>
      <c r="X832" s="0" t="n">
        <v>43</v>
      </c>
      <c r="Y832" s="0" t="n">
        <v>29</v>
      </c>
      <c r="Z832" s="0" t="inlineStr">
        <is>
          <t>https://new.land.naver.com/complexes/117314?tab=detail&amp;rf=Y</t>
        </is>
      </c>
      <c r="AA832" s="0" t="inlineStr">
        <is>
          <t>인천시 남동구 구월동 1608</t>
        </is>
      </c>
      <c r="AB832" s="0" t="inlineStr">
        <is>
          <t>인천시</t>
        </is>
      </c>
      <c r="AC832" s="0" t="inlineStr">
        <is>
          <t>남동구</t>
        </is>
      </c>
      <c r="AD832" s="0" t="inlineStr">
        <is>
          <t>구월동</t>
        </is>
      </c>
      <c r="AG832" s="0" t="inlineStr">
        <is>
          <t>인천시 남동구 남동대로799번길 34</t>
        </is>
      </c>
      <c r="AH832" s="0" t="n">
        <v>0</v>
      </c>
      <c r="AI832" s="0" t="n">
        <v>689</v>
      </c>
      <c r="AJ832" s="0" t="n">
        <v>65</v>
      </c>
      <c r="AK832" s="0" t="n">
        <v>453</v>
      </c>
      <c r="AL832" s="0" t="n">
        <v>1.2</v>
      </c>
    </row>
    <row r="833">
      <c r="A833" s="0" t="inlineStr">
        <is>
          <t>[구월동]</t>
        </is>
      </c>
      <c r="B833" s="0" t="n">
        <v>117314</v>
      </c>
      <c r="C833" s="0" t="n">
        <v>4</v>
      </c>
      <c r="D833" s="0" t="inlineStr">
        <is>
          <t>신영구월지웰시티푸르지오</t>
        </is>
      </c>
      <c r="E833" s="0" t="inlineStr">
        <is>
          <t>2020.12.</t>
        </is>
      </c>
      <c r="F833" s="0" t="n">
        <v>376</v>
      </c>
      <c r="G833" s="0" t="n">
        <v>35.67</v>
      </c>
      <c r="H833" s="0" t="n">
        <v>117.92</v>
      </c>
      <c r="I833" s="0" t="n">
        <v>25.68</v>
      </c>
      <c r="J833" s="0" t="n">
        <v>84.91</v>
      </c>
      <c r="K833" s="0" t="n">
        <v>110</v>
      </c>
      <c r="T833" s="0" t="n">
        <v>3</v>
      </c>
      <c r="U833" s="0" t="n">
        <v>2</v>
      </c>
      <c r="V833" s="0" t="inlineStr">
        <is>
          <t>계단식</t>
        </is>
      </c>
      <c r="W833" s="0" t="inlineStr">
        <is>
          <t>117A</t>
        </is>
      </c>
      <c r="X833" s="0" t="n">
        <v>43</v>
      </c>
      <c r="Y833" s="0" t="n">
        <v>29</v>
      </c>
      <c r="Z833" s="0" t="inlineStr">
        <is>
          <t>https://new.land.naver.com/complexes/117314?tab=detail&amp;rf=Y</t>
        </is>
      </c>
      <c r="AA833" s="0" t="inlineStr">
        <is>
          <t>인천시 남동구 구월동 1608</t>
        </is>
      </c>
      <c r="AB833" s="0" t="inlineStr">
        <is>
          <t>인천시</t>
        </is>
      </c>
      <c r="AC833" s="0" t="inlineStr">
        <is>
          <t>남동구</t>
        </is>
      </c>
      <c r="AD833" s="0" t="inlineStr">
        <is>
          <t>구월동</t>
        </is>
      </c>
      <c r="AG833" s="0" t="inlineStr">
        <is>
          <t>인천시 남동구 남동대로799번길 34</t>
        </is>
      </c>
      <c r="AH833" s="0" t="n">
        <v>0</v>
      </c>
      <c r="AI833" s="0" t="n">
        <v>689</v>
      </c>
      <c r="AJ833" s="0" t="n">
        <v>65</v>
      </c>
      <c r="AK833" s="0" t="n">
        <v>453</v>
      </c>
      <c r="AL833" s="0" t="n">
        <v>1.2</v>
      </c>
    </row>
    <row r="834">
      <c r="A834" s="0" t="inlineStr">
        <is>
          <t>[구월동]</t>
        </is>
      </c>
      <c r="B834" s="0" t="n">
        <v>117314</v>
      </c>
      <c r="C834" s="0" t="n">
        <v>5</v>
      </c>
      <c r="D834" s="0" t="inlineStr">
        <is>
          <t>신영구월지웰시티푸르지오</t>
        </is>
      </c>
      <c r="E834" s="0" t="inlineStr">
        <is>
          <t>2020.12.</t>
        </is>
      </c>
      <c r="F834" s="0" t="n">
        <v>376</v>
      </c>
      <c r="G834" s="0" t="n">
        <v>35.47</v>
      </c>
      <c r="H834" s="0" t="n">
        <v>117.28</v>
      </c>
      <c r="I834" s="0" t="n">
        <v>25.68</v>
      </c>
      <c r="J834" s="0" t="n">
        <v>84.91</v>
      </c>
      <c r="K834" s="0" t="n">
        <v>39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117B</t>
        </is>
      </c>
      <c r="X834" s="0" t="n">
        <v>43</v>
      </c>
      <c r="Y834" s="0" t="n">
        <v>29</v>
      </c>
      <c r="Z834" s="0" t="inlineStr">
        <is>
          <t>https://new.land.naver.com/complexes/117314?tab=detail&amp;rf=Y</t>
        </is>
      </c>
      <c r="AA834" s="0" t="inlineStr">
        <is>
          <t>인천시 남동구 구월동 1608</t>
        </is>
      </c>
      <c r="AB834" s="0" t="inlineStr">
        <is>
          <t>인천시</t>
        </is>
      </c>
      <c r="AC834" s="0" t="inlineStr">
        <is>
          <t>남동구</t>
        </is>
      </c>
      <c r="AD834" s="0" t="inlineStr">
        <is>
          <t>구월동</t>
        </is>
      </c>
      <c r="AG834" s="0" t="inlineStr">
        <is>
          <t>인천시 남동구 남동대로799번길 34</t>
        </is>
      </c>
      <c r="AH834" s="0" t="n">
        <v>0</v>
      </c>
      <c r="AI834" s="0" t="n">
        <v>689</v>
      </c>
      <c r="AJ834" s="0" t="n">
        <v>65</v>
      </c>
      <c r="AK834" s="0" t="n">
        <v>453</v>
      </c>
      <c r="AL834" s="0" t="n">
        <v>1.2</v>
      </c>
    </row>
    <row r="835">
      <c r="A835" s="0" t="inlineStr">
        <is>
          <t>[구월동]</t>
        </is>
      </c>
      <c r="B835" s="0" t="n">
        <v>117314</v>
      </c>
      <c r="C835" s="0" t="n">
        <v>6</v>
      </c>
      <c r="D835" s="0" t="inlineStr">
        <is>
          <t>신영구월지웰시티푸르지오</t>
        </is>
      </c>
      <c r="E835" s="0" t="inlineStr">
        <is>
          <t>2020.12.</t>
        </is>
      </c>
      <c r="F835" s="0" t="n">
        <v>376</v>
      </c>
      <c r="G835" s="0" t="n">
        <v>39.64</v>
      </c>
      <c r="H835" s="0" t="n">
        <v>131.05</v>
      </c>
      <c r="I835" s="0" t="n">
        <v>29.03</v>
      </c>
      <c r="J835" s="0" t="n">
        <v>95.98999999999999</v>
      </c>
      <c r="K835" s="0" t="n">
        <v>52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131</v>
      </c>
      <c r="X835" s="0" t="n">
        <v>43</v>
      </c>
      <c r="Y835" s="0" t="n">
        <v>29</v>
      </c>
      <c r="Z835" s="0" t="inlineStr">
        <is>
          <t>https://new.land.naver.com/complexes/117314?tab=detail&amp;rf=Y</t>
        </is>
      </c>
      <c r="AA835" s="0" t="inlineStr">
        <is>
          <t>인천시 남동구 구월동 1608</t>
        </is>
      </c>
      <c r="AB835" s="0" t="inlineStr">
        <is>
          <t>인천시</t>
        </is>
      </c>
      <c r="AC835" s="0" t="inlineStr">
        <is>
          <t>남동구</t>
        </is>
      </c>
      <c r="AD835" s="0" t="inlineStr">
        <is>
          <t>구월동</t>
        </is>
      </c>
      <c r="AG835" s="0" t="inlineStr">
        <is>
          <t>인천시 남동구 남동대로799번길 34</t>
        </is>
      </c>
      <c r="AH835" s="0" t="n">
        <v>0</v>
      </c>
      <c r="AI835" s="0" t="n">
        <v>689</v>
      </c>
      <c r="AJ835" s="0" t="n">
        <v>65</v>
      </c>
      <c r="AK835" s="0" t="n">
        <v>453</v>
      </c>
      <c r="AL835" s="0" t="n">
        <v>1.2</v>
      </c>
    </row>
    <row r="836">
      <c r="A836" s="0" t="inlineStr">
        <is>
          <t>[구월동]</t>
        </is>
      </c>
      <c r="B836" s="0" t="n">
        <v>26395</v>
      </c>
      <c r="C836" s="0" t="n">
        <v>1</v>
      </c>
      <c r="D836" s="0" t="inlineStr">
        <is>
          <t>두드림</t>
        </is>
      </c>
      <c r="E836" s="0" t="inlineStr">
        <is>
          <t>2006.12.</t>
        </is>
      </c>
      <c r="F836" s="0" t="n">
        <v>91</v>
      </c>
      <c r="G836" s="0" t="n">
        <v>25.51</v>
      </c>
      <c r="H836" s="0" t="n">
        <v>84.34999999999999</v>
      </c>
      <c r="I836" s="0" t="n">
        <v>20.6</v>
      </c>
      <c r="J836" s="0" t="n">
        <v>68.13</v>
      </c>
      <c r="K836" s="0" t="n">
        <v>7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84</v>
      </c>
      <c r="X836" s="0" t="n">
        <v>13</v>
      </c>
      <c r="Y836" s="0" t="n">
        <v>13</v>
      </c>
      <c r="Z836" s="0" t="inlineStr">
        <is>
          <t>https://new.land.naver.com/complexes/26395?tab=detail&amp;rf=Y</t>
        </is>
      </c>
      <c r="AA836" s="0" t="inlineStr">
        <is>
          <t>인천시 남동구 구월동 6-3</t>
        </is>
      </c>
      <c r="AB836" s="0" t="inlineStr">
        <is>
          <t>인천시</t>
        </is>
      </c>
      <c r="AC836" s="0" t="inlineStr">
        <is>
          <t>남동구</t>
        </is>
      </c>
      <c r="AD836" s="0" t="inlineStr">
        <is>
          <t>구월동</t>
        </is>
      </c>
      <c r="AG836" s="0" t="inlineStr">
        <is>
          <t>인천시 남동구 용천로98번길 24</t>
        </is>
      </c>
      <c r="AH836" s="0" t="n">
        <v>0</v>
      </c>
      <c r="AI836" s="0" t="n">
        <v>241</v>
      </c>
      <c r="AJ836" s="0" t="n">
        <v>20</v>
      </c>
      <c r="AK836" s="0" t="n">
        <v>102</v>
      </c>
      <c r="AL836" s="0" t="n">
        <v>1.12</v>
      </c>
    </row>
    <row r="837">
      <c r="A837" s="0" t="inlineStr">
        <is>
          <t>[구월동]</t>
        </is>
      </c>
      <c r="B837" s="0" t="n">
        <v>26395</v>
      </c>
      <c r="C837" s="0" t="n">
        <v>2</v>
      </c>
      <c r="D837" s="0" t="inlineStr">
        <is>
          <t>두드림</t>
        </is>
      </c>
      <c r="E837" s="0" t="inlineStr">
        <is>
          <t>2006.12.</t>
        </is>
      </c>
      <c r="F837" s="0" t="n">
        <v>91</v>
      </c>
      <c r="G837" s="0" t="n">
        <v>31.06</v>
      </c>
      <c r="H837" s="0" t="n">
        <v>102.71</v>
      </c>
      <c r="I837" s="0" t="n">
        <v>25.13</v>
      </c>
      <c r="J837" s="0" t="n">
        <v>83.09999999999999</v>
      </c>
      <c r="K837" s="0" t="n">
        <v>84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102</v>
      </c>
      <c r="X837" s="0" t="n">
        <v>13</v>
      </c>
      <c r="Y837" s="0" t="n">
        <v>13</v>
      </c>
      <c r="Z837" s="0" t="inlineStr">
        <is>
          <t>https://new.land.naver.com/complexes/26395?tab=detail&amp;rf=Y</t>
        </is>
      </c>
      <c r="AA837" s="0" t="inlineStr">
        <is>
          <t>인천시 남동구 구월동 6-3</t>
        </is>
      </c>
      <c r="AB837" s="0" t="inlineStr">
        <is>
          <t>인천시</t>
        </is>
      </c>
      <c r="AC837" s="0" t="inlineStr">
        <is>
          <t>남동구</t>
        </is>
      </c>
      <c r="AD837" s="0" t="inlineStr">
        <is>
          <t>구월동</t>
        </is>
      </c>
      <c r="AG837" s="0" t="inlineStr">
        <is>
          <t>인천시 남동구 용천로98번길 24</t>
        </is>
      </c>
      <c r="AH837" s="0" t="n">
        <v>0</v>
      </c>
      <c r="AI837" s="0" t="n">
        <v>241</v>
      </c>
      <c r="AJ837" s="0" t="n">
        <v>20</v>
      </c>
      <c r="AK837" s="0" t="n">
        <v>102</v>
      </c>
      <c r="AL837" s="0" t="n">
        <v>1.12</v>
      </c>
    </row>
    <row r="838">
      <c r="A838" s="0" t="inlineStr">
        <is>
          <t>[구월동]</t>
        </is>
      </c>
      <c r="B838" s="0" t="n">
        <v>18892</v>
      </c>
      <c r="C838" s="0" t="n">
        <v>1</v>
      </c>
      <c r="D838" s="0" t="inlineStr">
        <is>
          <t>구월힐스테이트,롯데캐슬골드1단지</t>
        </is>
      </c>
      <c r="E838" s="0" t="inlineStr">
        <is>
          <t>2007.08.</t>
        </is>
      </c>
      <c r="F838" s="0" t="n">
        <v>5076</v>
      </c>
      <c r="G838" s="0" t="n">
        <v>19.95</v>
      </c>
      <c r="H838" s="0" t="n">
        <v>65.98</v>
      </c>
      <c r="I838" s="0" t="n">
        <v>14.17</v>
      </c>
      <c r="J838" s="0" t="n">
        <v>46.87</v>
      </c>
      <c r="K838" s="0" t="n">
        <v>8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65</v>
      </c>
      <c r="X838" s="0" t="n">
        <v>37</v>
      </c>
      <c r="Y838" s="0" t="n">
        <v>17</v>
      </c>
      <c r="Z838" s="0" t="inlineStr">
        <is>
          <t>https://new.land.naver.com/complexes/18892?tab=detail&amp;rf=Y</t>
        </is>
      </c>
      <c r="AA838" s="0" t="inlineStr">
        <is>
          <t>인천시 남동구 구월동 23</t>
        </is>
      </c>
      <c r="AB838" s="0" t="inlineStr">
        <is>
          <t>인천시</t>
        </is>
      </c>
      <c r="AC838" s="0" t="inlineStr">
        <is>
          <t>남동구</t>
        </is>
      </c>
      <c r="AD838" s="0" t="inlineStr">
        <is>
          <t>구월동</t>
        </is>
      </c>
      <c r="AG838" s="0" t="inlineStr">
        <is>
          <t>인천시 남동구 구월로 192</t>
        </is>
      </c>
      <c r="AH838" s="0" t="n">
        <v>100</v>
      </c>
      <c r="AI838" s="0" t="n">
        <v>349</v>
      </c>
      <c r="AJ838" s="0" t="n">
        <v>20</v>
      </c>
      <c r="AK838" s="0" t="n">
        <v>6127</v>
      </c>
      <c r="AL838" s="0" t="n">
        <v>1.21</v>
      </c>
    </row>
    <row r="839">
      <c r="A839" s="0" t="inlineStr">
        <is>
          <t>[구월동]</t>
        </is>
      </c>
      <c r="B839" s="0" t="n">
        <v>18892</v>
      </c>
      <c r="C839" s="0" t="n">
        <v>2</v>
      </c>
      <c r="D839" s="0" t="inlineStr">
        <is>
          <t>구월힐스테이트,롯데캐슬골드1단지</t>
        </is>
      </c>
      <c r="E839" s="0" t="inlineStr">
        <is>
          <t>2007.08.</t>
        </is>
      </c>
      <c r="F839" s="0" t="n">
        <v>5076</v>
      </c>
      <c r="G839" s="0" t="n">
        <v>26.61</v>
      </c>
      <c r="H839" s="0" t="n">
        <v>87.98</v>
      </c>
      <c r="I839" s="0" t="n">
        <v>18.11</v>
      </c>
      <c r="J839" s="0" t="n">
        <v>59.9</v>
      </c>
      <c r="K839" s="0" t="n">
        <v>449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87</v>
      </c>
      <c r="X839" s="0" t="n">
        <v>37</v>
      </c>
      <c r="Y839" s="0" t="n">
        <v>17</v>
      </c>
      <c r="Z839" s="0" t="inlineStr">
        <is>
          <t>https://new.land.naver.com/complexes/18892?tab=detail&amp;rf=Y</t>
        </is>
      </c>
      <c r="AA839" s="0" t="inlineStr">
        <is>
          <t>인천시 남동구 구월동 23</t>
        </is>
      </c>
      <c r="AB839" s="0" t="inlineStr">
        <is>
          <t>인천시</t>
        </is>
      </c>
      <c r="AC839" s="0" t="inlineStr">
        <is>
          <t>남동구</t>
        </is>
      </c>
      <c r="AD839" s="0" t="inlineStr">
        <is>
          <t>구월동</t>
        </is>
      </c>
      <c r="AG839" s="0" t="inlineStr">
        <is>
          <t>인천시 남동구 구월로 192</t>
        </is>
      </c>
      <c r="AH839" s="0" t="n">
        <v>100</v>
      </c>
      <c r="AI839" s="0" t="n">
        <v>349</v>
      </c>
      <c r="AJ839" s="0" t="n">
        <v>20</v>
      </c>
      <c r="AK839" s="0" t="n">
        <v>6127</v>
      </c>
      <c r="AL839" s="0" t="n">
        <v>1.21</v>
      </c>
    </row>
    <row r="840">
      <c r="A840" s="0" t="inlineStr">
        <is>
          <t>[구월동]</t>
        </is>
      </c>
      <c r="B840" s="0" t="n">
        <v>18892</v>
      </c>
      <c r="C840" s="0" t="n">
        <v>3</v>
      </c>
      <c r="D840" s="0" t="inlineStr">
        <is>
          <t>구월힐스테이트,롯데캐슬골드1단지</t>
        </is>
      </c>
      <c r="E840" s="0" t="inlineStr">
        <is>
          <t>2007.08.</t>
        </is>
      </c>
      <c r="F840" s="0" t="n">
        <v>5076</v>
      </c>
      <c r="G840" s="0" t="n">
        <v>31.64</v>
      </c>
      <c r="H840" s="0" t="n">
        <v>104.61</v>
      </c>
      <c r="I840" s="0" t="n">
        <v>22.77</v>
      </c>
      <c r="J840" s="0" t="n">
        <v>75.3</v>
      </c>
      <c r="K840" s="0" t="n">
        <v>643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104</v>
      </c>
      <c r="X840" s="0" t="n">
        <v>37</v>
      </c>
      <c r="Y840" s="0" t="n">
        <v>17</v>
      </c>
      <c r="Z840" s="0" t="inlineStr">
        <is>
          <t>https://new.land.naver.com/complexes/18892?tab=detail&amp;rf=Y</t>
        </is>
      </c>
      <c r="AA840" s="0" t="inlineStr">
        <is>
          <t>인천시 남동구 구월동 23</t>
        </is>
      </c>
      <c r="AB840" s="0" t="inlineStr">
        <is>
          <t>인천시</t>
        </is>
      </c>
      <c r="AC840" s="0" t="inlineStr">
        <is>
          <t>남동구</t>
        </is>
      </c>
      <c r="AD840" s="0" t="inlineStr">
        <is>
          <t>구월동</t>
        </is>
      </c>
      <c r="AG840" s="0" t="inlineStr">
        <is>
          <t>인천시 남동구 구월로 192</t>
        </is>
      </c>
      <c r="AH840" s="0" t="n">
        <v>100</v>
      </c>
      <c r="AI840" s="0" t="n">
        <v>349</v>
      </c>
      <c r="AJ840" s="0" t="n">
        <v>20</v>
      </c>
      <c r="AK840" s="0" t="n">
        <v>6127</v>
      </c>
      <c r="AL840" s="0" t="n">
        <v>1.21</v>
      </c>
    </row>
    <row r="841">
      <c r="A841" s="0" t="inlineStr">
        <is>
          <t>[구월동]</t>
        </is>
      </c>
      <c r="B841" s="0" t="n">
        <v>18892</v>
      </c>
      <c r="C841" s="0" t="n">
        <v>4</v>
      </c>
      <c r="D841" s="0" t="inlineStr">
        <is>
          <t>구월힐스테이트,롯데캐슬골드1단지</t>
        </is>
      </c>
      <c r="E841" s="0" t="inlineStr">
        <is>
          <t>2007.08.</t>
        </is>
      </c>
      <c r="F841" s="0" t="n">
        <v>5076</v>
      </c>
      <c r="G841" s="0" t="n">
        <v>33.75</v>
      </c>
      <c r="H841" s="0" t="n">
        <v>111.6</v>
      </c>
      <c r="I841" s="0" t="n">
        <v>25.4</v>
      </c>
      <c r="J841" s="0" t="n">
        <v>83.98</v>
      </c>
      <c r="K841" s="0" t="n">
        <v>484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111A</t>
        </is>
      </c>
      <c r="X841" s="0" t="n">
        <v>37</v>
      </c>
      <c r="Y841" s="0" t="n">
        <v>17</v>
      </c>
      <c r="Z841" s="0" t="inlineStr">
        <is>
          <t>https://new.land.naver.com/complexes/18892?tab=detail&amp;rf=Y</t>
        </is>
      </c>
      <c r="AA841" s="0" t="inlineStr">
        <is>
          <t>인천시 남동구 구월동 23</t>
        </is>
      </c>
      <c r="AB841" s="0" t="inlineStr">
        <is>
          <t>인천시</t>
        </is>
      </c>
      <c r="AC841" s="0" t="inlineStr">
        <is>
          <t>남동구</t>
        </is>
      </c>
      <c r="AD841" s="0" t="inlineStr">
        <is>
          <t>구월동</t>
        </is>
      </c>
      <c r="AG841" s="0" t="inlineStr">
        <is>
          <t>인천시 남동구 구월로 192</t>
        </is>
      </c>
      <c r="AH841" s="0" t="n">
        <v>100</v>
      </c>
      <c r="AI841" s="0" t="n">
        <v>349</v>
      </c>
      <c r="AJ841" s="0" t="n">
        <v>20</v>
      </c>
      <c r="AK841" s="0" t="n">
        <v>6127</v>
      </c>
      <c r="AL841" s="0" t="n">
        <v>1.21</v>
      </c>
    </row>
    <row r="842">
      <c r="A842" s="0" t="inlineStr">
        <is>
          <t>[구월동]</t>
        </is>
      </c>
      <c r="B842" s="0" t="n">
        <v>18892</v>
      </c>
      <c r="C842" s="0" t="n">
        <v>5</v>
      </c>
      <c r="D842" s="0" t="inlineStr">
        <is>
          <t>구월힐스테이트,롯데캐슬골드1단지</t>
        </is>
      </c>
      <c r="E842" s="0" t="inlineStr">
        <is>
          <t>2007.08.</t>
        </is>
      </c>
      <c r="F842" s="0" t="n">
        <v>5076</v>
      </c>
      <c r="G842" s="0" t="n">
        <v>33.64</v>
      </c>
      <c r="H842" s="0" t="n">
        <v>111.23</v>
      </c>
      <c r="I842" s="0" t="n">
        <v>25.37</v>
      </c>
      <c r="J842" s="0" t="n">
        <v>83.87</v>
      </c>
      <c r="K842" s="0" t="n">
        <v>433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111B</t>
        </is>
      </c>
      <c r="X842" s="0" t="n">
        <v>37</v>
      </c>
      <c r="Y842" s="0" t="n">
        <v>17</v>
      </c>
      <c r="Z842" s="0" t="inlineStr">
        <is>
          <t>https://new.land.naver.com/complexes/18892?tab=detail&amp;rf=Y</t>
        </is>
      </c>
      <c r="AA842" s="0" t="inlineStr">
        <is>
          <t>인천시 남동구 구월동 23</t>
        </is>
      </c>
      <c r="AB842" s="0" t="inlineStr">
        <is>
          <t>인천시</t>
        </is>
      </c>
      <c r="AC842" s="0" t="inlineStr">
        <is>
          <t>남동구</t>
        </is>
      </c>
      <c r="AD842" s="0" t="inlineStr">
        <is>
          <t>구월동</t>
        </is>
      </c>
      <c r="AG842" s="0" t="inlineStr">
        <is>
          <t>인천시 남동구 구월로 192</t>
        </is>
      </c>
      <c r="AH842" s="0" t="n">
        <v>100</v>
      </c>
      <c r="AI842" s="0" t="n">
        <v>349</v>
      </c>
      <c r="AJ842" s="0" t="n">
        <v>20</v>
      </c>
      <c r="AK842" s="0" t="n">
        <v>6127</v>
      </c>
      <c r="AL842" s="0" t="n">
        <v>1.21</v>
      </c>
    </row>
    <row r="843">
      <c r="A843" s="0" t="inlineStr">
        <is>
          <t>[구월동]</t>
        </is>
      </c>
      <c r="B843" s="0" t="n">
        <v>18892</v>
      </c>
      <c r="C843" s="0" t="n">
        <v>6</v>
      </c>
      <c r="D843" s="0" t="inlineStr">
        <is>
          <t>구월힐스테이트,롯데캐슬골드1단지</t>
        </is>
      </c>
      <c r="E843" s="0" t="inlineStr">
        <is>
          <t>2007.08.</t>
        </is>
      </c>
      <c r="F843" s="0" t="n">
        <v>5076</v>
      </c>
      <c r="G843" s="0" t="n">
        <v>33.64</v>
      </c>
      <c r="H843" s="0" t="n">
        <v>111.23</v>
      </c>
      <c r="I843" s="0" t="n">
        <v>25.37</v>
      </c>
      <c r="J843" s="0" t="n">
        <v>83.87</v>
      </c>
      <c r="K843" s="0" t="n">
        <v>68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111E</t>
        </is>
      </c>
      <c r="X843" s="0" t="n">
        <v>37</v>
      </c>
      <c r="Y843" s="0" t="n">
        <v>17</v>
      </c>
      <c r="Z843" s="0" t="inlineStr">
        <is>
          <t>https://new.land.naver.com/complexes/18892?tab=detail&amp;rf=Y</t>
        </is>
      </c>
      <c r="AA843" s="0" t="inlineStr">
        <is>
          <t>인천시 남동구 구월동 23</t>
        </is>
      </c>
      <c r="AB843" s="0" t="inlineStr">
        <is>
          <t>인천시</t>
        </is>
      </c>
      <c r="AC843" s="0" t="inlineStr">
        <is>
          <t>남동구</t>
        </is>
      </c>
      <c r="AD843" s="0" t="inlineStr">
        <is>
          <t>구월동</t>
        </is>
      </c>
      <c r="AG843" s="0" t="inlineStr">
        <is>
          <t>인천시 남동구 구월로 192</t>
        </is>
      </c>
      <c r="AH843" s="0" t="n">
        <v>100</v>
      </c>
      <c r="AI843" s="0" t="n">
        <v>349</v>
      </c>
      <c r="AJ843" s="0" t="n">
        <v>20</v>
      </c>
      <c r="AK843" s="0" t="n">
        <v>6127</v>
      </c>
      <c r="AL843" s="0" t="n">
        <v>1.21</v>
      </c>
    </row>
    <row r="844">
      <c r="A844" s="0" t="inlineStr">
        <is>
          <t>[구월동]</t>
        </is>
      </c>
      <c r="B844" s="0" t="n">
        <v>18892</v>
      </c>
      <c r="C844" s="0" t="n">
        <v>7</v>
      </c>
      <c r="D844" s="0" t="inlineStr">
        <is>
          <t>구월힐스테이트,롯데캐슬골드1단지</t>
        </is>
      </c>
      <c r="E844" s="0" t="inlineStr">
        <is>
          <t>2007.08.</t>
        </is>
      </c>
      <c r="F844" s="0" t="n">
        <v>5076</v>
      </c>
      <c r="G844" s="0" t="n">
        <v>34.68</v>
      </c>
      <c r="H844" s="0" t="n">
        <v>114.67</v>
      </c>
      <c r="I844" s="0" t="n">
        <v>25.65</v>
      </c>
      <c r="J844" s="0" t="n">
        <v>84.81</v>
      </c>
      <c r="K844" s="0" t="n">
        <v>746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114</v>
      </c>
      <c r="X844" s="0" t="n">
        <v>37</v>
      </c>
      <c r="Y844" s="0" t="n">
        <v>17</v>
      </c>
      <c r="Z844" s="0" t="inlineStr">
        <is>
          <t>https://new.land.naver.com/complexes/18892?tab=detail&amp;rf=Y</t>
        </is>
      </c>
      <c r="AA844" s="0" t="inlineStr">
        <is>
          <t>인천시 남동구 구월동 23</t>
        </is>
      </c>
      <c r="AB844" s="0" t="inlineStr">
        <is>
          <t>인천시</t>
        </is>
      </c>
      <c r="AC844" s="0" t="inlineStr">
        <is>
          <t>남동구</t>
        </is>
      </c>
      <c r="AD844" s="0" t="inlineStr">
        <is>
          <t>구월동</t>
        </is>
      </c>
      <c r="AG844" s="0" t="inlineStr">
        <is>
          <t>인천시 남동구 구월로 192</t>
        </is>
      </c>
      <c r="AH844" s="0" t="n">
        <v>100</v>
      </c>
      <c r="AI844" s="0" t="n">
        <v>349</v>
      </c>
      <c r="AJ844" s="0" t="n">
        <v>20</v>
      </c>
      <c r="AK844" s="0" t="n">
        <v>6127</v>
      </c>
      <c r="AL844" s="0" t="n">
        <v>1.21</v>
      </c>
    </row>
    <row r="845">
      <c r="A845" s="0" t="inlineStr">
        <is>
          <t>[구월동]</t>
        </is>
      </c>
      <c r="B845" s="0" t="n">
        <v>18892</v>
      </c>
      <c r="C845" s="0" t="n">
        <v>8</v>
      </c>
      <c r="D845" s="0" t="inlineStr">
        <is>
          <t>구월힐스테이트,롯데캐슬골드1단지</t>
        </is>
      </c>
      <c r="E845" s="0" t="inlineStr">
        <is>
          <t>2007.08.</t>
        </is>
      </c>
      <c r="F845" s="0" t="n">
        <v>5076</v>
      </c>
      <c r="G845" s="0" t="n">
        <v>34.73</v>
      </c>
      <c r="H845" s="0" t="n">
        <v>114.82</v>
      </c>
      <c r="I845" s="0" t="n">
        <v>25.34</v>
      </c>
      <c r="J845" s="0" t="n">
        <v>83.77</v>
      </c>
      <c r="K845" s="0" t="n">
        <v>348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114C</t>
        </is>
      </c>
      <c r="X845" s="0" t="n">
        <v>37</v>
      </c>
      <c r="Y845" s="0" t="n">
        <v>17</v>
      </c>
      <c r="Z845" s="0" t="inlineStr">
        <is>
          <t>https://new.land.naver.com/complexes/18892?tab=detail&amp;rf=Y</t>
        </is>
      </c>
      <c r="AA845" s="0" t="inlineStr">
        <is>
          <t>인천시 남동구 구월동 23</t>
        </is>
      </c>
      <c r="AB845" s="0" t="inlineStr">
        <is>
          <t>인천시</t>
        </is>
      </c>
      <c r="AC845" s="0" t="inlineStr">
        <is>
          <t>남동구</t>
        </is>
      </c>
      <c r="AD845" s="0" t="inlineStr">
        <is>
          <t>구월동</t>
        </is>
      </c>
      <c r="AG845" s="0" t="inlineStr">
        <is>
          <t>인천시 남동구 구월로 192</t>
        </is>
      </c>
      <c r="AH845" s="0" t="n">
        <v>100</v>
      </c>
      <c r="AI845" s="0" t="n">
        <v>349</v>
      </c>
      <c r="AJ845" s="0" t="n">
        <v>20</v>
      </c>
      <c r="AK845" s="0" t="n">
        <v>6127</v>
      </c>
      <c r="AL845" s="0" t="n">
        <v>1.21</v>
      </c>
    </row>
    <row r="846">
      <c r="A846" s="0" t="inlineStr">
        <is>
          <t>[구월동]</t>
        </is>
      </c>
      <c r="B846" s="0" t="n">
        <v>18892</v>
      </c>
      <c r="C846" s="0" t="n">
        <v>9</v>
      </c>
      <c r="D846" s="0" t="inlineStr">
        <is>
          <t>구월힐스테이트,롯데캐슬골드1단지</t>
        </is>
      </c>
      <c r="E846" s="0" t="inlineStr">
        <is>
          <t>2007.08.</t>
        </is>
      </c>
      <c r="F846" s="0" t="n">
        <v>5076</v>
      </c>
      <c r="G846" s="0" t="n">
        <v>34.51</v>
      </c>
      <c r="H846" s="0" t="n">
        <v>114.09</v>
      </c>
      <c r="I846" s="0" t="n">
        <v>25.37</v>
      </c>
      <c r="J846" s="0" t="n">
        <v>83.89</v>
      </c>
      <c r="K846" s="0" t="n">
        <v>348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114D</t>
        </is>
      </c>
      <c r="X846" s="0" t="n">
        <v>37</v>
      </c>
      <c r="Y846" s="0" t="n">
        <v>17</v>
      </c>
      <c r="Z846" s="0" t="inlineStr">
        <is>
          <t>https://new.land.naver.com/complexes/18892?tab=detail&amp;rf=Y</t>
        </is>
      </c>
      <c r="AA846" s="0" t="inlineStr">
        <is>
          <t>인천시 남동구 구월동 23</t>
        </is>
      </c>
      <c r="AB846" s="0" t="inlineStr">
        <is>
          <t>인천시</t>
        </is>
      </c>
      <c r="AC846" s="0" t="inlineStr">
        <is>
          <t>남동구</t>
        </is>
      </c>
      <c r="AD846" s="0" t="inlineStr">
        <is>
          <t>구월동</t>
        </is>
      </c>
      <c r="AG846" s="0" t="inlineStr">
        <is>
          <t>인천시 남동구 구월로 192</t>
        </is>
      </c>
      <c r="AH846" s="0" t="n">
        <v>100</v>
      </c>
      <c r="AI846" s="0" t="n">
        <v>349</v>
      </c>
      <c r="AJ846" s="0" t="n">
        <v>20</v>
      </c>
      <c r="AK846" s="0" t="n">
        <v>6127</v>
      </c>
      <c r="AL846" s="0" t="n">
        <v>1.21</v>
      </c>
    </row>
    <row r="847">
      <c r="A847" s="0" t="inlineStr">
        <is>
          <t>[구월동]</t>
        </is>
      </c>
      <c r="B847" s="0" t="n">
        <v>18892</v>
      </c>
      <c r="C847" s="0" t="n">
        <v>10</v>
      </c>
      <c r="D847" s="0" t="inlineStr">
        <is>
          <t>구월힐스테이트,롯데캐슬골드1단지</t>
        </is>
      </c>
      <c r="E847" s="0" t="inlineStr">
        <is>
          <t>2007.08.</t>
        </is>
      </c>
      <c r="F847" s="0" t="n">
        <v>5076</v>
      </c>
      <c r="G847" s="0" t="n">
        <v>44.68</v>
      </c>
      <c r="H847" s="0" t="n">
        <v>147.73</v>
      </c>
      <c r="I847" s="0" t="n">
        <v>34.98</v>
      </c>
      <c r="J847" s="0" t="n">
        <v>115.66</v>
      </c>
      <c r="K847" s="0" t="n">
        <v>1093</v>
      </c>
      <c r="T847" s="0" t="n">
        <v>4</v>
      </c>
      <c r="U847" s="0" t="n">
        <v>2</v>
      </c>
      <c r="V847" s="0" t="inlineStr">
        <is>
          <t>계단식</t>
        </is>
      </c>
      <c r="W847" s="0" t="n">
        <v>147</v>
      </c>
      <c r="X847" s="0" t="n">
        <v>37</v>
      </c>
      <c r="Y847" s="0" t="n">
        <v>17</v>
      </c>
      <c r="Z847" s="0" t="inlineStr">
        <is>
          <t>https://new.land.naver.com/complexes/18892?tab=detail&amp;rf=Y</t>
        </is>
      </c>
      <c r="AA847" s="0" t="inlineStr">
        <is>
          <t>인천시 남동구 구월동 23</t>
        </is>
      </c>
      <c r="AB847" s="0" t="inlineStr">
        <is>
          <t>인천시</t>
        </is>
      </c>
      <c r="AC847" s="0" t="inlineStr">
        <is>
          <t>남동구</t>
        </is>
      </c>
      <c r="AD847" s="0" t="inlineStr">
        <is>
          <t>구월동</t>
        </is>
      </c>
      <c r="AG847" s="0" t="inlineStr">
        <is>
          <t>인천시 남동구 구월로 192</t>
        </is>
      </c>
      <c r="AH847" s="0" t="n">
        <v>100</v>
      </c>
      <c r="AI847" s="0" t="n">
        <v>349</v>
      </c>
      <c r="AJ847" s="0" t="n">
        <v>20</v>
      </c>
      <c r="AK847" s="0" t="n">
        <v>6127</v>
      </c>
      <c r="AL847" s="0" t="n">
        <v>1.21</v>
      </c>
    </row>
    <row r="848">
      <c r="A848" s="0" t="inlineStr">
        <is>
          <t>[구월동]</t>
        </is>
      </c>
      <c r="B848" s="0" t="n">
        <v>18892</v>
      </c>
      <c r="C848" s="0" t="n">
        <v>11</v>
      </c>
      <c r="D848" s="0" t="inlineStr">
        <is>
          <t>구월힐스테이트,롯데캐슬골드1단지</t>
        </is>
      </c>
      <c r="E848" s="0" t="inlineStr">
        <is>
          <t>2007.08.</t>
        </is>
      </c>
      <c r="F848" s="0" t="n">
        <v>5076</v>
      </c>
      <c r="G848" s="0" t="n">
        <v>50.85</v>
      </c>
      <c r="H848" s="0" t="n">
        <v>168.11</v>
      </c>
      <c r="I848" s="0" t="n">
        <v>40.48</v>
      </c>
      <c r="J848" s="0" t="n">
        <v>133.82</v>
      </c>
      <c r="K848" s="0" t="n">
        <v>356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168</v>
      </c>
      <c r="X848" s="0" t="n">
        <v>37</v>
      </c>
      <c r="Y848" s="0" t="n">
        <v>17</v>
      </c>
      <c r="Z848" s="0" t="inlineStr">
        <is>
          <t>https://new.land.naver.com/complexes/18892?tab=detail&amp;rf=Y</t>
        </is>
      </c>
      <c r="AA848" s="0" t="inlineStr">
        <is>
          <t>인천시 남동구 구월동 23</t>
        </is>
      </c>
      <c r="AB848" s="0" t="inlineStr">
        <is>
          <t>인천시</t>
        </is>
      </c>
      <c r="AC848" s="0" t="inlineStr">
        <is>
          <t>남동구</t>
        </is>
      </c>
      <c r="AD848" s="0" t="inlineStr">
        <is>
          <t>구월동</t>
        </is>
      </c>
      <c r="AG848" s="0" t="inlineStr">
        <is>
          <t>인천시 남동구 구월로 192</t>
        </is>
      </c>
      <c r="AH848" s="0" t="n">
        <v>100</v>
      </c>
      <c r="AI848" s="0" t="n">
        <v>349</v>
      </c>
      <c r="AJ848" s="0" t="n">
        <v>20</v>
      </c>
      <c r="AK848" s="0" t="n">
        <v>6127</v>
      </c>
      <c r="AL848" s="0" t="n">
        <v>1.21</v>
      </c>
    </row>
    <row r="849">
      <c r="A849" s="0" t="inlineStr">
        <is>
          <t>[구월동]</t>
        </is>
      </c>
      <c r="B849" s="0" t="n">
        <v>133482</v>
      </c>
      <c r="C849" s="0" t="n">
        <v>1</v>
      </c>
      <c r="D849" s="0" t="inlineStr">
        <is>
          <t>라클라쎄(도시형)</t>
        </is>
      </c>
      <c r="E849" s="0" t="inlineStr">
        <is>
          <t>2020.01.</t>
        </is>
      </c>
      <c r="F849" s="0" t="n">
        <v>15</v>
      </c>
      <c r="G849" s="0" t="n">
        <v>22.23</v>
      </c>
      <c r="H849" s="0" t="n">
        <v>73.51000000000001</v>
      </c>
      <c r="I849" s="0" t="n">
        <v>17.33</v>
      </c>
      <c r="J849" s="0" t="n">
        <v>57.31</v>
      </c>
      <c r="K849" s="0" t="n">
        <v>9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73</v>
      </c>
      <c r="X849" s="0" t="n">
        <v>13</v>
      </c>
      <c r="Y849" s="0" t="n">
        <v>13</v>
      </c>
      <c r="Z849" s="0" t="inlineStr">
        <is>
          <t>https://new.land.naver.com/complexes/133482?tab=detail&amp;rf=Y</t>
        </is>
      </c>
      <c r="AA849" s="0" t="inlineStr">
        <is>
          <t>인천시 남동구 구월동 1197-1</t>
        </is>
      </c>
      <c r="AB849" s="0" t="inlineStr">
        <is>
          <t>인천시</t>
        </is>
      </c>
      <c r="AC849" s="0" t="inlineStr">
        <is>
          <t>남동구</t>
        </is>
      </c>
      <c r="AD849" s="0" t="inlineStr">
        <is>
          <t>구월동</t>
        </is>
      </c>
      <c r="AG849" s="0" t="inlineStr">
        <is>
          <t>인천시 남동구 인주대로653번길 21</t>
        </is>
      </c>
      <c r="AH849" s="0" t="n">
        <v>0</v>
      </c>
      <c r="AI849" s="0" t="n">
        <v>574</v>
      </c>
      <c r="AJ849" s="0" t="n">
        <v>59</v>
      </c>
      <c r="AK849" s="0" t="n">
        <v>15</v>
      </c>
      <c r="AL849" s="0" t="n">
        <v>1</v>
      </c>
    </row>
    <row r="850">
      <c r="A850" s="0" t="inlineStr">
        <is>
          <t>[구월동]</t>
        </is>
      </c>
      <c r="B850" s="0" t="n">
        <v>133482</v>
      </c>
      <c r="C850" s="0" t="n">
        <v>2</v>
      </c>
      <c r="D850" s="0" t="inlineStr">
        <is>
          <t>라클라쎄(도시형)</t>
        </is>
      </c>
      <c r="E850" s="0" t="inlineStr">
        <is>
          <t>2020.01.</t>
        </is>
      </c>
      <c r="F850" s="0" t="n">
        <v>15</v>
      </c>
      <c r="G850" s="0" t="n">
        <v>23.1</v>
      </c>
      <c r="H850" s="0" t="n">
        <v>76.39</v>
      </c>
      <c r="I850" s="0" t="n">
        <v>17.88</v>
      </c>
      <c r="J850" s="0" t="n">
        <v>59.14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n">
        <v>76</v>
      </c>
      <c r="X850" s="0" t="n">
        <v>13</v>
      </c>
      <c r="Y850" s="0" t="n">
        <v>13</v>
      </c>
      <c r="Z850" s="0" t="inlineStr">
        <is>
          <t>https://new.land.naver.com/complexes/133482?tab=detail&amp;rf=Y</t>
        </is>
      </c>
      <c r="AA850" s="0" t="inlineStr">
        <is>
          <t>인천시 남동구 구월동 1197-1</t>
        </is>
      </c>
      <c r="AB850" s="0" t="inlineStr">
        <is>
          <t>인천시</t>
        </is>
      </c>
      <c r="AC850" s="0" t="inlineStr">
        <is>
          <t>남동구</t>
        </is>
      </c>
      <c r="AD850" s="0" t="inlineStr">
        <is>
          <t>구월동</t>
        </is>
      </c>
      <c r="AG850" s="0" t="inlineStr">
        <is>
          <t>인천시 남동구 인주대로653번길 21</t>
        </is>
      </c>
      <c r="AH850" s="0" t="n">
        <v>0</v>
      </c>
      <c r="AI850" s="0" t="n">
        <v>574</v>
      </c>
      <c r="AJ850" s="0" t="n">
        <v>59</v>
      </c>
      <c r="AK850" s="0" t="n">
        <v>15</v>
      </c>
      <c r="AL850" s="0" t="n">
        <v>1</v>
      </c>
    </row>
    <row r="851">
      <c r="A851" s="0" t="inlineStr">
        <is>
          <t>[구월동]</t>
        </is>
      </c>
      <c r="B851" s="0" t="n">
        <v>133482</v>
      </c>
      <c r="C851" s="0" t="n">
        <v>3</v>
      </c>
      <c r="D851" s="0" t="inlineStr">
        <is>
          <t>라클라쎄(도시형)</t>
        </is>
      </c>
      <c r="E851" s="0" t="inlineStr">
        <is>
          <t>2020.01.</t>
        </is>
      </c>
      <c r="F851" s="0" t="n">
        <v>15</v>
      </c>
      <c r="G851" s="0" t="n">
        <v>24.04</v>
      </c>
      <c r="H851" s="0" t="n">
        <v>79.48</v>
      </c>
      <c r="I851" s="0" t="n">
        <v>18.76</v>
      </c>
      <c r="J851" s="0" t="n">
        <v>62.04</v>
      </c>
      <c r="K851" s="0" t="n">
        <v>3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79</v>
      </c>
      <c r="X851" s="0" t="n">
        <v>13</v>
      </c>
      <c r="Y851" s="0" t="n">
        <v>13</v>
      </c>
      <c r="Z851" s="0" t="inlineStr">
        <is>
          <t>https://new.land.naver.com/complexes/133482?tab=detail&amp;rf=Y</t>
        </is>
      </c>
      <c r="AA851" s="0" t="inlineStr">
        <is>
          <t>인천시 남동구 구월동 1197-1</t>
        </is>
      </c>
      <c r="AB851" s="0" t="inlineStr">
        <is>
          <t>인천시</t>
        </is>
      </c>
      <c r="AC851" s="0" t="inlineStr">
        <is>
          <t>남동구</t>
        </is>
      </c>
      <c r="AD851" s="0" t="inlineStr">
        <is>
          <t>구월동</t>
        </is>
      </c>
      <c r="AG851" s="0" t="inlineStr">
        <is>
          <t>인천시 남동구 인주대로653번길 21</t>
        </is>
      </c>
      <c r="AH851" s="0" t="n">
        <v>0</v>
      </c>
      <c r="AI851" s="0" t="n">
        <v>574</v>
      </c>
      <c r="AJ851" s="0" t="n">
        <v>59</v>
      </c>
      <c r="AK851" s="0" t="n">
        <v>15</v>
      </c>
      <c r="AL851" s="0" t="n">
        <v>1</v>
      </c>
    </row>
    <row r="852">
      <c r="A852" s="0" t="inlineStr">
        <is>
          <t>[구월동]</t>
        </is>
      </c>
      <c r="B852" s="0" t="n">
        <v>110586</v>
      </c>
      <c r="C852" s="0" t="n">
        <v>1</v>
      </c>
      <c r="D852" s="0" t="inlineStr">
        <is>
          <t>구월프라움시티(도시형)</t>
        </is>
      </c>
      <c r="E852" s="0" t="inlineStr">
        <is>
          <t>2015.06.</t>
        </is>
      </c>
      <c r="F852" s="0" t="n">
        <v>240</v>
      </c>
      <c r="G852" s="0" t="n">
        <v>6.09</v>
      </c>
      <c r="H852" s="0" t="n">
        <v>20.14</v>
      </c>
      <c r="I852" s="0" t="n">
        <v>4.12</v>
      </c>
      <c r="J852" s="0" t="n">
        <v>13.65</v>
      </c>
      <c r="K852" s="0" t="n">
        <v>24</v>
      </c>
      <c r="T852" s="0" t="n">
        <v>1</v>
      </c>
      <c r="U852" s="0" t="n">
        <v>1</v>
      </c>
      <c r="V852" s="0" t="inlineStr">
        <is>
          <t>복도식</t>
        </is>
      </c>
      <c r="W852" s="0" t="inlineStr">
        <is>
          <t>20C</t>
        </is>
      </c>
      <c r="X852" s="0" t="n">
        <v>13</v>
      </c>
      <c r="Y852" s="0" t="n">
        <v>13</v>
      </c>
      <c r="Z852" s="0" t="inlineStr">
        <is>
          <t>https://new.land.naver.com/complexes/110586?tab=detail&amp;rf=Y</t>
        </is>
      </c>
      <c r="AA852" s="0" t="inlineStr">
        <is>
          <t>인천시 남동구 구월동 1135-15</t>
        </is>
      </c>
      <c r="AB852" s="0" t="inlineStr">
        <is>
          <t>인천시</t>
        </is>
      </c>
      <c r="AC852" s="0" t="inlineStr">
        <is>
          <t>남동구</t>
        </is>
      </c>
      <c r="AD852" s="0" t="inlineStr">
        <is>
          <t>구월동</t>
        </is>
      </c>
      <c r="AG852" s="0" t="inlineStr">
        <is>
          <t>인천시 남동구 예술로226번길 17</t>
        </is>
      </c>
      <c r="AH852" s="0" t="n">
        <v>0</v>
      </c>
      <c r="AI852" s="0" t="n">
        <v>563</v>
      </c>
      <c r="AJ852" s="0" t="n">
        <v>52</v>
      </c>
      <c r="AK852" s="0" t="n">
        <v>33</v>
      </c>
      <c r="AL852" s="0" t="n">
        <v>0.14</v>
      </c>
    </row>
    <row r="853">
      <c r="A853" s="0" t="inlineStr">
        <is>
          <t>[구월동]</t>
        </is>
      </c>
      <c r="B853" s="0" t="n">
        <v>110586</v>
      </c>
      <c r="C853" s="0" t="n">
        <v>2</v>
      </c>
      <c r="D853" s="0" t="inlineStr">
        <is>
          <t>구월프라움시티(도시형)</t>
        </is>
      </c>
      <c r="E853" s="0" t="inlineStr">
        <is>
          <t>2015.06.</t>
        </is>
      </c>
      <c r="F853" s="0" t="n">
        <v>240</v>
      </c>
      <c r="G853" s="0" t="n">
        <v>6.25</v>
      </c>
      <c r="H853" s="0" t="n">
        <v>20.67</v>
      </c>
      <c r="I853" s="0" t="n">
        <v>4.25</v>
      </c>
      <c r="J853" s="0" t="n">
        <v>14.08</v>
      </c>
      <c r="K853" s="0" t="n">
        <v>24</v>
      </c>
      <c r="T853" s="0" t="n">
        <v>1</v>
      </c>
      <c r="U853" s="0" t="n">
        <v>1</v>
      </c>
      <c r="V853" s="0" t="inlineStr">
        <is>
          <t>복도식</t>
        </is>
      </c>
      <c r="W853" s="0" t="inlineStr">
        <is>
          <t>20C1</t>
        </is>
      </c>
      <c r="X853" s="0" t="n">
        <v>13</v>
      </c>
      <c r="Y853" s="0" t="n">
        <v>13</v>
      </c>
      <c r="Z853" s="0" t="inlineStr">
        <is>
          <t>https://new.land.naver.com/complexes/110586?tab=detail&amp;rf=Y</t>
        </is>
      </c>
      <c r="AA853" s="0" t="inlineStr">
        <is>
          <t>인천시 남동구 구월동 1135-15</t>
        </is>
      </c>
      <c r="AB853" s="0" t="inlineStr">
        <is>
          <t>인천시</t>
        </is>
      </c>
      <c r="AC853" s="0" t="inlineStr">
        <is>
          <t>남동구</t>
        </is>
      </c>
      <c r="AD853" s="0" t="inlineStr">
        <is>
          <t>구월동</t>
        </is>
      </c>
      <c r="AG853" s="0" t="inlineStr">
        <is>
          <t>인천시 남동구 예술로226번길 17</t>
        </is>
      </c>
      <c r="AH853" s="0" t="n">
        <v>0</v>
      </c>
      <c r="AI853" s="0" t="n">
        <v>563</v>
      </c>
      <c r="AJ853" s="0" t="n">
        <v>52</v>
      </c>
      <c r="AK853" s="0" t="n">
        <v>33</v>
      </c>
      <c r="AL853" s="0" t="n">
        <v>0.14</v>
      </c>
    </row>
    <row r="854">
      <c r="A854" s="0" t="inlineStr">
        <is>
          <t>[구월동]</t>
        </is>
      </c>
      <c r="B854" s="0" t="n">
        <v>110586</v>
      </c>
      <c r="C854" s="0" t="n">
        <v>3</v>
      </c>
      <c r="D854" s="0" t="inlineStr">
        <is>
          <t>구월프라움시티(도시형)</t>
        </is>
      </c>
      <c r="E854" s="0" t="inlineStr">
        <is>
          <t>2015.06.</t>
        </is>
      </c>
      <c r="F854" s="0" t="n">
        <v>240</v>
      </c>
      <c r="G854" s="0" t="n">
        <v>6.13</v>
      </c>
      <c r="H854" s="0" t="n">
        <v>20.28</v>
      </c>
      <c r="I854" s="0" t="n">
        <v>4.17</v>
      </c>
      <c r="J854" s="0" t="n">
        <v>13.81</v>
      </c>
      <c r="K854" s="0" t="n">
        <v>24</v>
      </c>
      <c r="T854" s="0" t="n">
        <v>1</v>
      </c>
      <c r="U854" s="0" t="n">
        <v>1</v>
      </c>
      <c r="V854" s="0" t="inlineStr">
        <is>
          <t>복도식</t>
        </is>
      </c>
      <c r="W854" s="0" t="inlineStr">
        <is>
          <t>20D</t>
        </is>
      </c>
      <c r="X854" s="0" t="n">
        <v>13</v>
      </c>
      <c r="Y854" s="0" t="n">
        <v>13</v>
      </c>
      <c r="Z854" s="0" t="inlineStr">
        <is>
          <t>https://new.land.naver.com/complexes/110586?tab=detail&amp;rf=Y</t>
        </is>
      </c>
      <c r="AA854" s="0" t="inlineStr">
        <is>
          <t>인천시 남동구 구월동 1135-15</t>
        </is>
      </c>
      <c r="AB854" s="0" t="inlineStr">
        <is>
          <t>인천시</t>
        </is>
      </c>
      <c r="AC854" s="0" t="inlineStr">
        <is>
          <t>남동구</t>
        </is>
      </c>
      <c r="AD854" s="0" t="inlineStr">
        <is>
          <t>구월동</t>
        </is>
      </c>
      <c r="AG854" s="0" t="inlineStr">
        <is>
          <t>인천시 남동구 예술로226번길 17</t>
        </is>
      </c>
      <c r="AH854" s="0" t="n">
        <v>0</v>
      </c>
      <c r="AI854" s="0" t="n">
        <v>563</v>
      </c>
      <c r="AJ854" s="0" t="n">
        <v>52</v>
      </c>
      <c r="AK854" s="0" t="n">
        <v>33</v>
      </c>
      <c r="AL854" s="0" t="n">
        <v>0.14</v>
      </c>
    </row>
    <row r="855">
      <c r="A855" s="0" t="inlineStr">
        <is>
          <t>[구월동]</t>
        </is>
      </c>
      <c r="B855" s="0" t="n">
        <v>110586</v>
      </c>
      <c r="C855" s="0" t="n">
        <v>4</v>
      </c>
      <c r="D855" s="0" t="inlineStr">
        <is>
          <t>구월프라움시티(도시형)</t>
        </is>
      </c>
      <c r="E855" s="0" t="inlineStr">
        <is>
          <t>2015.06.</t>
        </is>
      </c>
      <c r="F855" s="0" t="n">
        <v>240</v>
      </c>
      <c r="G855" s="0" t="n">
        <v>7.01</v>
      </c>
      <c r="H855" s="0" t="n">
        <v>23.19</v>
      </c>
      <c r="I855" s="0" t="n">
        <v>4.79</v>
      </c>
      <c r="J855" s="0" t="n">
        <v>15.84</v>
      </c>
      <c r="K855" s="0" t="n">
        <v>72</v>
      </c>
      <c r="T855" s="0" t="n">
        <v>1</v>
      </c>
      <c r="U855" s="0" t="n">
        <v>1</v>
      </c>
      <c r="V855" s="0" t="inlineStr">
        <is>
          <t>복도식</t>
        </is>
      </c>
      <c r="W855" s="0" t="inlineStr">
        <is>
          <t>23B</t>
        </is>
      </c>
      <c r="X855" s="0" t="n">
        <v>13</v>
      </c>
      <c r="Y855" s="0" t="n">
        <v>13</v>
      </c>
      <c r="Z855" s="0" t="inlineStr">
        <is>
          <t>https://new.land.naver.com/complexes/110586?tab=detail&amp;rf=Y</t>
        </is>
      </c>
      <c r="AA855" s="0" t="inlineStr">
        <is>
          <t>인천시 남동구 구월동 1135-15</t>
        </is>
      </c>
      <c r="AB855" s="0" t="inlineStr">
        <is>
          <t>인천시</t>
        </is>
      </c>
      <c r="AC855" s="0" t="inlineStr">
        <is>
          <t>남동구</t>
        </is>
      </c>
      <c r="AD855" s="0" t="inlineStr">
        <is>
          <t>구월동</t>
        </is>
      </c>
      <c r="AG855" s="0" t="inlineStr">
        <is>
          <t>인천시 남동구 예술로226번길 17</t>
        </is>
      </c>
      <c r="AH855" s="0" t="n">
        <v>0</v>
      </c>
      <c r="AI855" s="0" t="n">
        <v>563</v>
      </c>
      <c r="AJ855" s="0" t="n">
        <v>52</v>
      </c>
      <c r="AK855" s="0" t="n">
        <v>33</v>
      </c>
      <c r="AL855" s="0" t="n">
        <v>0.14</v>
      </c>
    </row>
    <row r="856">
      <c r="A856" s="0" t="inlineStr">
        <is>
          <t>[구월동]</t>
        </is>
      </c>
      <c r="B856" s="0" t="n">
        <v>110586</v>
      </c>
      <c r="C856" s="0" t="n">
        <v>5</v>
      </c>
      <c r="D856" s="0" t="inlineStr">
        <is>
          <t>구월프라움시티(도시형)</t>
        </is>
      </c>
      <c r="E856" s="0" t="inlineStr">
        <is>
          <t>2015.06.</t>
        </is>
      </c>
      <c r="F856" s="0" t="n">
        <v>240</v>
      </c>
      <c r="G856" s="0" t="n">
        <v>7.1</v>
      </c>
      <c r="H856" s="0" t="n">
        <v>23.49</v>
      </c>
      <c r="I856" s="0" t="n">
        <v>4.8</v>
      </c>
      <c r="J856" s="0" t="n">
        <v>15.88</v>
      </c>
      <c r="K856" s="0" t="n">
        <v>12</v>
      </c>
      <c r="T856" s="0" t="n">
        <v>1</v>
      </c>
      <c r="U856" s="0" t="n">
        <v>1</v>
      </c>
      <c r="V856" s="0" t="inlineStr">
        <is>
          <t>복도식</t>
        </is>
      </c>
      <c r="W856" s="0" t="inlineStr">
        <is>
          <t>23A</t>
        </is>
      </c>
      <c r="X856" s="0" t="n">
        <v>13</v>
      </c>
      <c r="Y856" s="0" t="n">
        <v>13</v>
      </c>
      <c r="Z856" s="0" t="inlineStr">
        <is>
          <t>https://new.land.naver.com/complexes/110586?tab=detail&amp;rf=Y</t>
        </is>
      </c>
      <c r="AA856" s="0" t="inlineStr">
        <is>
          <t>인천시 남동구 구월동 1135-15</t>
        </is>
      </c>
      <c r="AB856" s="0" t="inlineStr">
        <is>
          <t>인천시</t>
        </is>
      </c>
      <c r="AC856" s="0" t="inlineStr">
        <is>
          <t>남동구</t>
        </is>
      </c>
      <c r="AD856" s="0" t="inlineStr">
        <is>
          <t>구월동</t>
        </is>
      </c>
      <c r="AG856" s="0" t="inlineStr">
        <is>
          <t>인천시 남동구 예술로226번길 17</t>
        </is>
      </c>
      <c r="AH856" s="0" t="n">
        <v>0</v>
      </c>
      <c r="AI856" s="0" t="n">
        <v>563</v>
      </c>
      <c r="AJ856" s="0" t="n">
        <v>52</v>
      </c>
      <c r="AK856" s="0" t="n">
        <v>33</v>
      </c>
      <c r="AL856" s="0" t="n">
        <v>0.14</v>
      </c>
    </row>
    <row r="857">
      <c r="A857" s="0" t="inlineStr">
        <is>
          <t>[구월동]</t>
        </is>
      </c>
      <c r="B857" s="0" t="n">
        <v>110586</v>
      </c>
      <c r="C857" s="0" t="n">
        <v>6</v>
      </c>
      <c r="D857" s="0" t="inlineStr">
        <is>
          <t>구월프라움시티(도시형)</t>
        </is>
      </c>
      <c r="E857" s="0" t="inlineStr">
        <is>
          <t>2015.06.</t>
        </is>
      </c>
      <c r="F857" s="0" t="n">
        <v>240</v>
      </c>
      <c r="G857" s="0" t="n">
        <v>8.09</v>
      </c>
      <c r="H857" s="0" t="n">
        <v>26.75</v>
      </c>
      <c r="I857" s="0" t="n">
        <v>5.56</v>
      </c>
      <c r="J857" s="0" t="n">
        <v>18.39</v>
      </c>
      <c r="K857" s="0" t="n">
        <v>48</v>
      </c>
      <c r="T857" s="0" t="n">
        <v>1</v>
      </c>
      <c r="U857" s="0" t="n">
        <v>1</v>
      </c>
      <c r="V857" s="0" t="inlineStr">
        <is>
          <t>복도식</t>
        </is>
      </c>
      <c r="W857" s="0" t="inlineStr">
        <is>
          <t>26E</t>
        </is>
      </c>
      <c r="X857" s="0" t="n">
        <v>13</v>
      </c>
      <c r="Y857" s="0" t="n">
        <v>13</v>
      </c>
      <c r="Z857" s="0" t="inlineStr">
        <is>
          <t>https://new.land.naver.com/complexes/110586?tab=detail&amp;rf=Y</t>
        </is>
      </c>
      <c r="AA857" s="0" t="inlineStr">
        <is>
          <t>인천시 남동구 구월동 1135-15</t>
        </is>
      </c>
      <c r="AB857" s="0" t="inlineStr">
        <is>
          <t>인천시</t>
        </is>
      </c>
      <c r="AC857" s="0" t="inlineStr">
        <is>
          <t>남동구</t>
        </is>
      </c>
      <c r="AD857" s="0" t="inlineStr">
        <is>
          <t>구월동</t>
        </is>
      </c>
      <c r="AG857" s="0" t="inlineStr">
        <is>
          <t>인천시 남동구 예술로226번길 17</t>
        </is>
      </c>
      <c r="AH857" s="0" t="n">
        <v>0</v>
      </c>
      <c r="AI857" s="0" t="n">
        <v>563</v>
      </c>
      <c r="AJ857" s="0" t="n">
        <v>52</v>
      </c>
      <c r="AK857" s="0" t="n">
        <v>33</v>
      </c>
      <c r="AL857" s="0" t="n">
        <v>0.14</v>
      </c>
    </row>
    <row r="858">
      <c r="A858" s="0" t="inlineStr">
        <is>
          <t>[구월동]</t>
        </is>
      </c>
      <c r="B858" s="0" t="n">
        <v>110586</v>
      </c>
      <c r="C858" s="0" t="n">
        <v>7</v>
      </c>
      <c r="D858" s="0" t="inlineStr">
        <is>
          <t>구월프라움시티(도시형)</t>
        </is>
      </c>
      <c r="E858" s="0" t="inlineStr">
        <is>
          <t>2015.06.</t>
        </is>
      </c>
      <c r="F858" s="0" t="n">
        <v>240</v>
      </c>
      <c r="G858" s="0" t="n">
        <v>9.33</v>
      </c>
      <c r="H858" s="0" t="n">
        <v>30.85</v>
      </c>
      <c r="I858" s="0" t="n">
        <v>6.36</v>
      </c>
      <c r="J858" s="0" t="n">
        <v>21.03</v>
      </c>
      <c r="K858" s="0" t="n">
        <v>12</v>
      </c>
      <c r="T858" s="0" t="n">
        <v>1</v>
      </c>
      <c r="U858" s="0" t="n">
        <v>1</v>
      </c>
      <c r="V858" s="0" t="inlineStr">
        <is>
          <t>복도식</t>
        </is>
      </c>
      <c r="W858" s="0" t="inlineStr">
        <is>
          <t>30F</t>
        </is>
      </c>
      <c r="X858" s="0" t="n">
        <v>13</v>
      </c>
      <c r="Y858" s="0" t="n">
        <v>13</v>
      </c>
      <c r="Z858" s="0" t="inlineStr">
        <is>
          <t>https://new.land.naver.com/complexes/110586?tab=detail&amp;rf=Y</t>
        </is>
      </c>
      <c r="AA858" s="0" t="inlineStr">
        <is>
          <t>인천시 남동구 구월동 1135-15</t>
        </is>
      </c>
      <c r="AB858" s="0" t="inlineStr">
        <is>
          <t>인천시</t>
        </is>
      </c>
      <c r="AC858" s="0" t="inlineStr">
        <is>
          <t>남동구</t>
        </is>
      </c>
      <c r="AD858" s="0" t="inlineStr">
        <is>
          <t>구월동</t>
        </is>
      </c>
      <c r="AG858" s="0" t="inlineStr">
        <is>
          <t>인천시 남동구 예술로226번길 17</t>
        </is>
      </c>
      <c r="AH858" s="0" t="n">
        <v>0</v>
      </c>
      <c r="AI858" s="0" t="n">
        <v>563</v>
      </c>
      <c r="AJ858" s="0" t="n">
        <v>52</v>
      </c>
      <c r="AK858" s="0" t="n">
        <v>33</v>
      </c>
      <c r="AL858" s="0" t="n">
        <v>0.14</v>
      </c>
    </row>
    <row r="859">
      <c r="A859" s="0" t="inlineStr">
        <is>
          <t>[구월동]</t>
        </is>
      </c>
      <c r="B859" s="0" t="n">
        <v>110586</v>
      </c>
      <c r="C859" s="0" t="n">
        <v>8</v>
      </c>
      <c r="D859" s="0" t="inlineStr">
        <is>
          <t>구월프라움시티(도시형)</t>
        </is>
      </c>
      <c r="E859" s="0" t="inlineStr">
        <is>
          <t>2015.06.</t>
        </is>
      </c>
      <c r="F859" s="0" t="n">
        <v>240</v>
      </c>
      <c r="G859" s="0" t="n">
        <v>9.890000000000001</v>
      </c>
      <c r="H859" s="0" t="n">
        <v>32.71</v>
      </c>
      <c r="I859" s="0" t="n">
        <v>6.83</v>
      </c>
      <c r="J859" s="0" t="n">
        <v>22.59</v>
      </c>
      <c r="K859" s="0" t="n">
        <v>12</v>
      </c>
      <c r="T859" s="0" t="n">
        <v>1</v>
      </c>
      <c r="U859" s="0" t="n">
        <v>1</v>
      </c>
      <c r="V859" s="0" t="inlineStr">
        <is>
          <t>복도식</t>
        </is>
      </c>
      <c r="W859" s="0" t="inlineStr">
        <is>
          <t>32A</t>
        </is>
      </c>
      <c r="X859" s="0" t="n">
        <v>13</v>
      </c>
      <c r="Y859" s="0" t="n">
        <v>13</v>
      </c>
      <c r="Z859" s="0" t="inlineStr">
        <is>
          <t>https://new.land.naver.com/complexes/110586?tab=detail&amp;rf=Y</t>
        </is>
      </c>
      <c r="AA859" s="0" t="inlineStr">
        <is>
          <t>인천시 남동구 구월동 1135-15</t>
        </is>
      </c>
      <c r="AB859" s="0" t="inlineStr">
        <is>
          <t>인천시</t>
        </is>
      </c>
      <c r="AC859" s="0" t="inlineStr">
        <is>
          <t>남동구</t>
        </is>
      </c>
      <c r="AD859" s="0" t="inlineStr">
        <is>
          <t>구월동</t>
        </is>
      </c>
      <c r="AG859" s="0" t="inlineStr">
        <is>
          <t>인천시 남동구 예술로226번길 17</t>
        </is>
      </c>
      <c r="AH859" s="0" t="n">
        <v>0</v>
      </c>
      <c r="AI859" s="0" t="n">
        <v>563</v>
      </c>
      <c r="AJ859" s="0" t="n">
        <v>52</v>
      </c>
      <c r="AK859" s="0" t="n">
        <v>33</v>
      </c>
      <c r="AL859" s="0" t="n">
        <v>0.14</v>
      </c>
    </row>
    <row r="860">
      <c r="A860" s="0" t="inlineStr">
        <is>
          <t>[구월동]</t>
        </is>
      </c>
      <c r="B860" s="0" t="n">
        <v>110586</v>
      </c>
      <c r="C860" s="0" t="n">
        <v>9</v>
      </c>
      <c r="D860" s="0" t="inlineStr">
        <is>
          <t>구월프라움시티(도시형)</t>
        </is>
      </c>
      <c r="E860" s="0" t="inlineStr">
        <is>
          <t>2015.06.</t>
        </is>
      </c>
      <c r="F860" s="0" t="n">
        <v>240</v>
      </c>
      <c r="G860" s="0" t="n">
        <v>10.02</v>
      </c>
      <c r="H860" s="0" t="n">
        <v>33.15</v>
      </c>
      <c r="I860" s="0" t="n">
        <v>6.95</v>
      </c>
      <c r="J860" s="0" t="n">
        <v>22.99</v>
      </c>
      <c r="K860" s="0" t="n">
        <v>12</v>
      </c>
      <c r="T860" s="0" t="n">
        <v>1</v>
      </c>
      <c r="U860" s="0" t="n">
        <v>1</v>
      </c>
      <c r="V860" s="0" t="inlineStr">
        <is>
          <t>복도식</t>
        </is>
      </c>
      <c r="W860" s="0" t="inlineStr">
        <is>
          <t>33B</t>
        </is>
      </c>
      <c r="X860" s="0" t="n">
        <v>13</v>
      </c>
      <c r="Y860" s="0" t="n">
        <v>13</v>
      </c>
      <c r="Z860" s="0" t="inlineStr">
        <is>
          <t>https://new.land.naver.com/complexes/110586?tab=detail&amp;rf=Y</t>
        </is>
      </c>
      <c r="AA860" s="0" t="inlineStr">
        <is>
          <t>인천시 남동구 구월동 1135-15</t>
        </is>
      </c>
      <c r="AB860" s="0" t="inlineStr">
        <is>
          <t>인천시</t>
        </is>
      </c>
      <c r="AC860" s="0" t="inlineStr">
        <is>
          <t>남동구</t>
        </is>
      </c>
      <c r="AD860" s="0" t="inlineStr">
        <is>
          <t>구월동</t>
        </is>
      </c>
      <c r="AG860" s="0" t="inlineStr">
        <is>
          <t>인천시 남동구 예술로226번길 17</t>
        </is>
      </c>
      <c r="AH860" s="0" t="n">
        <v>0</v>
      </c>
      <c r="AI860" s="0" t="n">
        <v>563</v>
      </c>
      <c r="AJ860" s="0" t="n">
        <v>52</v>
      </c>
      <c r="AK860" s="0" t="n">
        <v>33</v>
      </c>
      <c r="AL860" s="0" t="n">
        <v>0.14</v>
      </c>
    </row>
    <row r="861">
      <c r="A861" s="0" t="inlineStr">
        <is>
          <t>[구월동]</t>
        </is>
      </c>
      <c r="B861" s="0" t="n">
        <v>9793</v>
      </c>
      <c r="C861" s="0" t="n">
        <v>1</v>
      </c>
      <c r="D861" s="0" t="inlineStr">
        <is>
          <t>우정개나리</t>
        </is>
      </c>
      <c r="E861" s="0" t="inlineStr">
        <is>
          <t>1983.12.</t>
        </is>
      </c>
      <c r="F861" s="0" t="n">
        <v>95</v>
      </c>
      <c r="G861" s="0" t="n">
        <v>20.21</v>
      </c>
      <c r="H861" s="0" t="n">
        <v>66.81</v>
      </c>
      <c r="I861" s="0" t="n">
        <v>16.98</v>
      </c>
      <c r="J861" s="0" t="n">
        <v>56.16</v>
      </c>
      <c r="K861" s="0" t="n">
        <v>50</v>
      </c>
      <c r="T861" s="0" t="n">
        <v>3</v>
      </c>
      <c r="U861" s="0" t="n">
        <v>1</v>
      </c>
      <c r="V861" s="0" t="inlineStr">
        <is>
          <t>계단식</t>
        </is>
      </c>
      <c r="W861" s="0" t="n">
        <v>66</v>
      </c>
      <c r="X861" s="0" t="n">
        <v>5</v>
      </c>
      <c r="Y861" s="0" t="n">
        <v>5</v>
      </c>
      <c r="Z861" s="0" t="inlineStr">
        <is>
          <t>https://new.land.naver.com/complexes/9793?tab=detail&amp;rf=Y</t>
        </is>
      </c>
      <c r="AA861" s="0" t="inlineStr">
        <is>
          <t>인천시 남동구 구월동 1188</t>
        </is>
      </c>
      <c r="AB861" s="0" t="inlineStr">
        <is>
          <t>인천시</t>
        </is>
      </c>
      <c r="AC861" s="0" t="inlineStr">
        <is>
          <t>남동구</t>
        </is>
      </c>
      <c r="AD861" s="0" t="inlineStr">
        <is>
          <t>구월동</t>
        </is>
      </c>
      <c r="AG861" s="0" t="inlineStr">
        <is>
          <t>인천시 남동구 성리로35번길 20-14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[구월동]</t>
        </is>
      </c>
      <c r="B862" s="0" t="n">
        <v>9793</v>
      </c>
      <c r="C862" s="0" t="n">
        <v>2</v>
      </c>
      <c r="D862" s="0" t="inlineStr">
        <is>
          <t>우정개나리</t>
        </is>
      </c>
      <c r="E862" s="0" t="inlineStr">
        <is>
          <t>1983.12.</t>
        </is>
      </c>
      <c r="F862" s="0" t="n">
        <v>95</v>
      </c>
      <c r="G862" s="0" t="n">
        <v>22.13</v>
      </c>
      <c r="H862" s="0" t="n">
        <v>73.18000000000001</v>
      </c>
      <c r="I862" s="0" t="n">
        <v>18.56</v>
      </c>
      <c r="J862" s="0" t="n">
        <v>61.38</v>
      </c>
      <c r="K862" s="0" t="n">
        <v>40</v>
      </c>
      <c r="T862" s="0" t="n">
        <v>3</v>
      </c>
      <c r="U862" s="0" t="n">
        <v>1</v>
      </c>
      <c r="V862" s="0" t="inlineStr">
        <is>
          <t>계단식</t>
        </is>
      </c>
      <c r="W862" s="0" t="n">
        <v>73</v>
      </c>
      <c r="X862" s="0" t="n">
        <v>5</v>
      </c>
      <c r="Y862" s="0" t="n">
        <v>5</v>
      </c>
      <c r="Z862" s="0" t="inlineStr">
        <is>
          <t>https://new.land.naver.com/complexes/9793?tab=detail&amp;rf=Y</t>
        </is>
      </c>
      <c r="AA862" s="0" t="inlineStr">
        <is>
          <t>인천시 남동구 구월동 1188</t>
        </is>
      </c>
      <c r="AB862" s="0" t="inlineStr">
        <is>
          <t>인천시</t>
        </is>
      </c>
      <c r="AC862" s="0" t="inlineStr">
        <is>
          <t>남동구</t>
        </is>
      </c>
      <c r="AD862" s="0" t="inlineStr">
        <is>
          <t>구월동</t>
        </is>
      </c>
      <c r="AG862" s="0" t="inlineStr">
        <is>
          <t>인천시 남동구 성리로35번길 20-14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[구월동]</t>
        </is>
      </c>
      <c r="B863" s="0" t="n">
        <v>9793</v>
      </c>
      <c r="C863" s="0" t="n">
        <v>3</v>
      </c>
      <c r="D863" s="0" t="inlineStr">
        <is>
          <t>우정개나리</t>
        </is>
      </c>
      <c r="E863" s="0" t="inlineStr">
        <is>
          <t>1983.12.</t>
        </is>
      </c>
      <c r="F863" s="0" t="n">
        <v>95</v>
      </c>
      <c r="G863" s="0" t="n">
        <v>23.87</v>
      </c>
      <c r="H863" s="0" t="n">
        <v>78.94</v>
      </c>
      <c r="I863" s="0" t="n">
        <v>20.3</v>
      </c>
      <c r="J863" s="0" t="n">
        <v>67.14</v>
      </c>
      <c r="K863" s="0" t="n">
        <v>5</v>
      </c>
      <c r="T863" s="0" t="n">
        <v>3</v>
      </c>
      <c r="U863" s="0" t="n">
        <v>1</v>
      </c>
      <c r="V863" s="0" t="inlineStr">
        <is>
          <t>계단식</t>
        </is>
      </c>
      <c r="W863" s="0" t="n">
        <v>78</v>
      </c>
      <c r="X863" s="0" t="n">
        <v>5</v>
      </c>
      <c r="Y863" s="0" t="n">
        <v>5</v>
      </c>
      <c r="Z863" s="0" t="inlineStr">
        <is>
          <t>https://new.land.naver.com/complexes/9793?tab=detail&amp;rf=Y</t>
        </is>
      </c>
      <c r="AA863" s="0" t="inlineStr">
        <is>
          <t>인천시 남동구 구월동 1188</t>
        </is>
      </c>
      <c r="AB863" s="0" t="inlineStr">
        <is>
          <t>인천시</t>
        </is>
      </c>
      <c r="AC863" s="0" t="inlineStr">
        <is>
          <t>남동구</t>
        </is>
      </c>
      <c r="AD863" s="0" t="inlineStr">
        <is>
          <t>구월동</t>
        </is>
      </c>
      <c r="AG863" s="0" t="inlineStr">
        <is>
          <t>인천시 남동구 성리로35번길 20-14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[구월동]</t>
        </is>
      </c>
      <c r="B864" s="0" t="n">
        <v>137808</v>
      </c>
      <c r="C864" s="0" t="n">
        <v>1</v>
      </c>
      <c r="D864" s="0" t="inlineStr">
        <is>
          <t>델루나</t>
        </is>
      </c>
      <c r="E864" s="0" t="inlineStr">
        <is>
          <t>2020.12.</t>
        </is>
      </c>
      <c r="F864" s="0" t="n">
        <v>26</v>
      </c>
      <c r="G864" s="0" t="n">
        <v>22.29</v>
      </c>
      <c r="H864" s="0" t="n">
        <v>73.69</v>
      </c>
      <c r="I864" s="0" t="n">
        <v>17.08</v>
      </c>
      <c r="J864" s="0" t="n">
        <v>56.47</v>
      </c>
      <c r="K864" s="0" t="n">
        <v>24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73</v>
      </c>
      <c r="X864" s="0" t="n">
        <v>14</v>
      </c>
      <c r="Y864" s="0" t="n">
        <v>14</v>
      </c>
      <c r="Z864" s="0" t="inlineStr">
        <is>
          <t>https://new.land.naver.com/complexes/137808?tab=detail&amp;rf=Y</t>
        </is>
      </c>
      <c r="AA864" s="0" t="inlineStr">
        <is>
          <t>인천시 남동구 구월동 1217-8</t>
        </is>
      </c>
      <c r="AB864" s="0" t="inlineStr">
        <is>
          <t>인천시</t>
        </is>
      </c>
      <c r="AC864" s="0" t="inlineStr">
        <is>
          <t>남동구</t>
        </is>
      </c>
      <c r="AD864" s="0" t="inlineStr">
        <is>
          <t>구월동</t>
        </is>
      </c>
      <c r="AG864" s="0" t="inlineStr">
        <is>
          <t>인천시 남동구 용천로17번길 3</t>
        </is>
      </c>
      <c r="AH864" s="0" t="n">
        <v>0</v>
      </c>
      <c r="AI864" s="0" t="n">
        <v>248</v>
      </c>
      <c r="AJ864" s="0" t="n">
        <v>36</v>
      </c>
      <c r="AK864" s="0" t="n">
        <v>24</v>
      </c>
      <c r="AL864" s="0" t="n">
        <v>0.92</v>
      </c>
    </row>
    <row r="865">
      <c r="A865" s="0" t="inlineStr">
        <is>
          <t>[구월동]</t>
        </is>
      </c>
      <c r="B865" s="0" t="n">
        <v>137808</v>
      </c>
      <c r="C865" s="0" t="n">
        <v>2</v>
      </c>
      <c r="D865" s="0" t="inlineStr">
        <is>
          <t>델루나</t>
        </is>
      </c>
      <c r="E865" s="0" t="inlineStr">
        <is>
          <t>2020.12.</t>
        </is>
      </c>
      <c r="F865" s="0" t="n">
        <v>26</v>
      </c>
      <c r="G865" s="0" t="n">
        <v>22.62</v>
      </c>
      <c r="H865" s="0" t="n">
        <v>74.78</v>
      </c>
      <c r="I865" s="0" t="n">
        <v>17.24</v>
      </c>
      <c r="J865" s="0" t="n">
        <v>57.02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https://new.land.naver.com/complexes/137808?tab=detail&amp;rf=Y</t>
        </is>
      </c>
      <c r="AA865" s="0" t="inlineStr">
        <is>
          <t>인천시 남동구 구월동 1217-8</t>
        </is>
      </c>
      <c r="AB865" s="0" t="inlineStr">
        <is>
          <t>인천시</t>
        </is>
      </c>
      <c r="AC865" s="0" t="inlineStr">
        <is>
          <t>남동구</t>
        </is>
      </c>
      <c r="AD865" s="0" t="inlineStr">
        <is>
          <t>구월동</t>
        </is>
      </c>
      <c r="AG865" s="0" t="inlineStr">
        <is>
          <t>인천시 남동구 용천로17번길 3</t>
        </is>
      </c>
      <c r="AH865" s="0" t="n">
        <v>0</v>
      </c>
      <c r="AI865" s="0" t="n">
        <v>248</v>
      </c>
      <c r="AJ865" s="0" t="n">
        <v>36</v>
      </c>
      <c r="AK865" s="0" t="n">
        <v>24</v>
      </c>
      <c r="AL865" s="0" t="n">
        <v>0.92</v>
      </c>
    </row>
    <row r="866">
      <c r="A866" s="0" t="inlineStr">
        <is>
          <t>[구월동]</t>
        </is>
      </c>
      <c r="B866" s="0" t="n">
        <v>117951</v>
      </c>
      <c r="C866" s="0" t="n">
        <v>1</v>
      </c>
      <c r="D866" s="0" t="inlineStr">
        <is>
          <t>지앤수</t>
        </is>
      </c>
      <c r="E866" s="0" t="inlineStr">
        <is>
          <t>2017.02.</t>
        </is>
      </c>
      <c r="F866" s="0" t="n">
        <v>24</v>
      </c>
      <c r="G866" s="0" t="n">
        <v>17.98</v>
      </c>
      <c r="H866" s="0" t="n">
        <v>59.44</v>
      </c>
      <c r="I866" s="0" t="n">
        <v>14.39</v>
      </c>
      <c r="J866" s="0" t="n">
        <v>47.6</v>
      </c>
      <c r="K866" s="0" t="n">
        <v>6</v>
      </c>
      <c r="T866" s="0" t="n">
        <v>2</v>
      </c>
      <c r="U866" s="0" t="n">
        <v>1</v>
      </c>
      <c r="V866" s="0" t="inlineStr">
        <is>
          <t>계단식</t>
        </is>
      </c>
      <c r="W866" s="0" t="n">
        <v>59</v>
      </c>
      <c r="X866" s="0" t="n">
        <v>14</v>
      </c>
      <c r="Y866" s="0" t="n">
        <v>14</v>
      </c>
      <c r="Z866" s="0" t="inlineStr">
        <is>
          <t>https://new.land.naver.com/complexes/117951?tab=detail&amp;rf=Y</t>
        </is>
      </c>
      <c r="AA866" s="0" t="inlineStr">
        <is>
          <t>인천시 남동구 구월동 1143-13</t>
        </is>
      </c>
      <c r="AB866" s="0" t="inlineStr">
        <is>
          <t>인천시</t>
        </is>
      </c>
      <c r="AC866" s="0" t="inlineStr">
        <is>
          <t>남동구</t>
        </is>
      </c>
      <c r="AD866" s="0" t="inlineStr">
        <is>
          <t>구월동</t>
        </is>
      </c>
      <c r="AG866" s="0" t="inlineStr">
        <is>
          <t>인천시 남동구 남동대로765번길 42-15</t>
        </is>
      </c>
      <c r="AH866" s="0" t="n">
        <v>0</v>
      </c>
      <c r="AI866" s="0" t="n">
        <v>721</v>
      </c>
      <c r="AJ866" s="0" t="n">
        <v>69</v>
      </c>
      <c r="AK866" s="0" t="n">
        <v>19</v>
      </c>
      <c r="AL866" s="0" t="n">
        <v>0.79</v>
      </c>
    </row>
    <row r="867">
      <c r="A867" s="0" t="inlineStr">
        <is>
          <t>[구월동]</t>
        </is>
      </c>
      <c r="B867" s="0" t="n">
        <v>117951</v>
      </c>
      <c r="C867" s="0" t="n">
        <v>2</v>
      </c>
      <c r="D867" s="0" t="inlineStr">
        <is>
          <t>지앤수</t>
        </is>
      </c>
      <c r="E867" s="0" t="inlineStr">
        <is>
          <t>2017.02.</t>
        </is>
      </c>
      <c r="F867" s="0" t="n">
        <v>24</v>
      </c>
      <c r="G867" s="0" t="n">
        <v>18.72</v>
      </c>
      <c r="H867" s="0" t="n">
        <v>61.9</v>
      </c>
      <c r="I867" s="0" t="n">
        <v>15.03</v>
      </c>
      <c r="J867" s="0" t="n">
        <v>49.7</v>
      </c>
      <c r="K867" s="0" t="n">
        <v>6</v>
      </c>
      <c r="T867" s="0" t="n">
        <v>2</v>
      </c>
      <c r="U867" s="0" t="n">
        <v>1</v>
      </c>
      <c r="V867" s="0" t="inlineStr">
        <is>
          <t>계단식</t>
        </is>
      </c>
      <c r="W867" s="0" t="inlineStr">
        <is>
          <t>61B</t>
        </is>
      </c>
      <c r="X867" s="0" t="n">
        <v>14</v>
      </c>
      <c r="Y867" s="0" t="n">
        <v>14</v>
      </c>
      <c r="Z867" s="0" t="inlineStr">
        <is>
          <t>https://new.land.naver.com/complexes/117951?tab=detail&amp;rf=Y</t>
        </is>
      </c>
      <c r="AA867" s="0" t="inlineStr">
        <is>
          <t>인천시 남동구 구월동 1143-13</t>
        </is>
      </c>
      <c r="AB867" s="0" t="inlineStr">
        <is>
          <t>인천시</t>
        </is>
      </c>
      <c r="AC867" s="0" t="inlineStr">
        <is>
          <t>남동구</t>
        </is>
      </c>
      <c r="AD867" s="0" t="inlineStr">
        <is>
          <t>구월동</t>
        </is>
      </c>
      <c r="AG867" s="0" t="inlineStr">
        <is>
          <t>인천시 남동구 남동대로765번길 42-15</t>
        </is>
      </c>
      <c r="AH867" s="0" t="n">
        <v>0</v>
      </c>
      <c r="AI867" s="0" t="n">
        <v>721</v>
      </c>
      <c r="AJ867" s="0" t="n">
        <v>69</v>
      </c>
      <c r="AK867" s="0" t="n">
        <v>19</v>
      </c>
      <c r="AL867" s="0" t="n">
        <v>0.79</v>
      </c>
    </row>
    <row r="868">
      <c r="A868" s="0" t="inlineStr">
        <is>
          <t>[구월동]</t>
        </is>
      </c>
      <c r="B868" s="0" t="n">
        <v>117951</v>
      </c>
      <c r="C868" s="0" t="n">
        <v>3</v>
      </c>
      <c r="D868" s="0" t="inlineStr">
        <is>
          <t>지앤수</t>
        </is>
      </c>
      <c r="E868" s="0" t="inlineStr">
        <is>
          <t>2017.02.</t>
        </is>
      </c>
      <c r="F868" s="0" t="n">
        <v>24</v>
      </c>
      <c r="G868" s="0" t="n">
        <v>18.79</v>
      </c>
      <c r="H868" s="0" t="n">
        <v>62.14</v>
      </c>
      <c r="I868" s="0" t="n">
        <v>15.02</v>
      </c>
      <c r="J868" s="0" t="n">
        <v>49.67</v>
      </c>
      <c r="K868" s="0" t="n">
        <v>6</v>
      </c>
      <c r="T868" s="0" t="n">
        <v>2</v>
      </c>
      <c r="U868" s="0" t="n">
        <v>1</v>
      </c>
      <c r="V868" s="0" t="inlineStr">
        <is>
          <t>계단식</t>
        </is>
      </c>
      <c r="W868" s="0" t="inlineStr">
        <is>
          <t>62A</t>
        </is>
      </c>
      <c r="X868" s="0" t="n">
        <v>14</v>
      </c>
      <c r="Y868" s="0" t="n">
        <v>14</v>
      </c>
      <c r="Z868" s="0" t="inlineStr">
        <is>
          <t>https://new.land.naver.com/complexes/117951?tab=detail&amp;rf=Y</t>
        </is>
      </c>
      <c r="AA868" s="0" t="inlineStr">
        <is>
          <t>인천시 남동구 구월동 1143-13</t>
        </is>
      </c>
      <c r="AB868" s="0" t="inlineStr">
        <is>
          <t>인천시</t>
        </is>
      </c>
      <c r="AC868" s="0" t="inlineStr">
        <is>
          <t>남동구</t>
        </is>
      </c>
      <c r="AD868" s="0" t="inlineStr">
        <is>
          <t>구월동</t>
        </is>
      </c>
      <c r="AG868" s="0" t="inlineStr">
        <is>
          <t>인천시 남동구 남동대로765번길 42-15</t>
        </is>
      </c>
      <c r="AH868" s="0" t="n">
        <v>0</v>
      </c>
      <c r="AI868" s="0" t="n">
        <v>721</v>
      </c>
      <c r="AJ868" s="0" t="n">
        <v>69</v>
      </c>
      <c r="AK868" s="0" t="n">
        <v>19</v>
      </c>
      <c r="AL868" s="0" t="n">
        <v>0.79</v>
      </c>
    </row>
    <row r="869">
      <c r="A869" s="0" t="inlineStr">
        <is>
          <t>[구월동]</t>
        </is>
      </c>
      <c r="B869" s="0" t="n">
        <v>117951</v>
      </c>
      <c r="C869" s="0" t="n">
        <v>4</v>
      </c>
      <c r="D869" s="0" t="inlineStr">
        <is>
          <t>지앤수</t>
        </is>
      </c>
      <c r="E869" s="0" t="inlineStr">
        <is>
          <t>2017.02.</t>
        </is>
      </c>
      <c r="F869" s="0" t="n">
        <v>24</v>
      </c>
      <c r="G869" s="0" t="n">
        <v>18.77</v>
      </c>
      <c r="H869" s="0" t="n">
        <v>62.05</v>
      </c>
      <c r="I869" s="0" t="n">
        <v>15.11</v>
      </c>
      <c r="J869" s="0" t="n">
        <v>49.97</v>
      </c>
      <c r="K869" s="0" t="n">
        <v>6</v>
      </c>
      <c r="T869" s="0" t="n">
        <v>2</v>
      </c>
      <c r="U869" s="0" t="n">
        <v>1</v>
      </c>
      <c r="V869" s="0" t="inlineStr">
        <is>
          <t>계단식</t>
        </is>
      </c>
      <c r="W869" s="0" t="inlineStr">
        <is>
          <t>62C</t>
        </is>
      </c>
      <c r="X869" s="0" t="n">
        <v>14</v>
      </c>
      <c r="Y869" s="0" t="n">
        <v>14</v>
      </c>
      <c r="Z869" s="0" t="inlineStr">
        <is>
          <t>https://new.land.naver.com/complexes/117951?tab=detail&amp;rf=Y</t>
        </is>
      </c>
      <c r="AA869" s="0" t="inlineStr">
        <is>
          <t>인천시 남동구 구월동 1143-13</t>
        </is>
      </c>
      <c r="AB869" s="0" t="inlineStr">
        <is>
          <t>인천시</t>
        </is>
      </c>
      <c r="AC869" s="0" t="inlineStr">
        <is>
          <t>남동구</t>
        </is>
      </c>
      <c r="AD869" s="0" t="inlineStr">
        <is>
          <t>구월동</t>
        </is>
      </c>
      <c r="AG869" s="0" t="inlineStr">
        <is>
          <t>인천시 남동구 남동대로765번길 42-15</t>
        </is>
      </c>
      <c r="AH869" s="0" t="n">
        <v>0</v>
      </c>
      <c r="AI869" s="0" t="n">
        <v>721</v>
      </c>
      <c r="AJ869" s="0" t="n">
        <v>69</v>
      </c>
      <c r="AK869" s="0" t="n">
        <v>19</v>
      </c>
      <c r="AL869" s="0" t="n">
        <v>0.79</v>
      </c>
    </row>
    <row r="870">
      <c r="A870" s="0" t="inlineStr">
        <is>
          <t>[구월동]</t>
        </is>
      </c>
      <c r="B870" s="0" t="n">
        <v>119061</v>
      </c>
      <c r="C870" s="0" t="n">
        <v>1</v>
      </c>
      <c r="D870" s="0" t="inlineStr">
        <is>
          <t>하람(도시형)</t>
        </is>
      </c>
      <c r="E870" s="0" t="inlineStr">
        <is>
          <t>2012.11.</t>
        </is>
      </c>
      <c r="F870" s="0" t="n">
        <v>13</v>
      </c>
      <c r="G870" s="0" t="n">
        <v>8.470000000000001</v>
      </c>
      <c r="H870" s="0" t="n">
        <v>28.03</v>
      </c>
      <c r="I870" s="0" t="n">
        <v>5.92</v>
      </c>
      <c r="J870" s="0" t="n">
        <v>19.6</v>
      </c>
      <c r="K870" s="0" t="n">
        <v>9</v>
      </c>
      <c r="T870" s="0" t="n">
        <v>1</v>
      </c>
      <c r="U870" s="0" t="n">
        <v>1</v>
      </c>
      <c r="V870" s="0" t="inlineStr">
        <is>
          <t>복합식</t>
        </is>
      </c>
      <c r="W870" s="0" t="n">
        <v>28</v>
      </c>
      <c r="X870" s="0" t="n">
        <v>5</v>
      </c>
      <c r="Y870" s="0" t="n">
        <v>4</v>
      </c>
      <c r="Z870" s="0" t="inlineStr">
        <is>
          <t>https://new.land.naver.com/complexes/119061?tab=detail&amp;rf=Y</t>
        </is>
      </c>
      <c r="AA870" s="0" t="inlineStr">
        <is>
          <t>인천시 남동구 구월동 1181-34</t>
        </is>
      </c>
      <c r="AB870" s="0" t="inlineStr">
        <is>
          <t>인천시</t>
        </is>
      </c>
      <c r="AC870" s="0" t="inlineStr">
        <is>
          <t>남동구</t>
        </is>
      </c>
      <c r="AD870" s="0" t="inlineStr">
        <is>
          <t>구월동</t>
        </is>
      </c>
      <c r="AG870" s="0" t="inlineStr">
        <is>
          <t>인천시 남동구 남동대로692번길 9</t>
        </is>
      </c>
      <c r="AH870" s="0" t="n">
        <v>0</v>
      </c>
      <c r="AI870" s="0" t="n">
        <v>181</v>
      </c>
      <c r="AJ870" s="0" t="n">
        <v>50</v>
      </c>
      <c r="AK870" s="0" t="n">
        <v>7</v>
      </c>
      <c r="AL870" s="0" t="n">
        <v>0.54</v>
      </c>
    </row>
    <row r="871">
      <c r="A871" s="0" t="inlineStr">
        <is>
          <t>[구월동]</t>
        </is>
      </c>
      <c r="B871" s="0" t="n">
        <v>119061</v>
      </c>
      <c r="C871" s="0" t="n">
        <v>2</v>
      </c>
      <c r="D871" s="0" t="inlineStr">
        <is>
          <t>하람(도시형)</t>
        </is>
      </c>
      <c r="E871" s="0" t="inlineStr">
        <is>
          <t>2012.11.</t>
        </is>
      </c>
      <c r="F871" s="0" t="n">
        <v>13</v>
      </c>
      <c r="G871" s="0" t="n">
        <v>11.35</v>
      </c>
      <c r="H871" s="0" t="n">
        <v>37.53</v>
      </c>
      <c r="I871" s="0" t="n">
        <v>7.93</v>
      </c>
      <c r="J871" s="0" t="n">
        <v>26.24</v>
      </c>
      <c r="K871" s="0" t="n">
        <v>3</v>
      </c>
      <c r="T871" s="0" t="n">
        <v>1</v>
      </c>
      <c r="U871" s="0" t="n">
        <v>1</v>
      </c>
      <c r="V871" s="0" t="inlineStr">
        <is>
          <t>복합식</t>
        </is>
      </c>
      <c r="W871" s="0" t="n">
        <v>37</v>
      </c>
      <c r="X871" s="0" t="n">
        <v>5</v>
      </c>
      <c r="Y871" s="0" t="n">
        <v>4</v>
      </c>
      <c r="Z871" s="0" t="inlineStr">
        <is>
          <t>https://new.land.naver.com/complexes/119061?tab=detail&amp;rf=Y</t>
        </is>
      </c>
      <c r="AA871" s="0" t="inlineStr">
        <is>
          <t>인천시 남동구 구월동 1181-34</t>
        </is>
      </c>
      <c r="AB871" s="0" t="inlineStr">
        <is>
          <t>인천시</t>
        </is>
      </c>
      <c r="AC871" s="0" t="inlineStr">
        <is>
          <t>남동구</t>
        </is>
      </c>
      <c r="AD871" s="0" t="inlineStr">
        <is>
          <t>구월동</t>
        </is>
      </c>
      <c r="AG871" s="0" t="inlineStr">
        <is>
          <t>인천시 남동구 남동대로692번길 9</t>
        </is>
      </c>
      <c r="AH871" s="0" t="n">
        <v>0</v>
      </c>
      <c r="AI871" s="0" t="n">
        <v>181</v>
      </c>
      <c r="AJ871" s="0" t="n">
        <v>50</v>
      </c>
      <c r="AK871" s="0" t="n">
        <v>7</v>
      </c>
      <c r="AL871" s="0" t="n">
        <v>0.54</v>
      </c>
    </row>
    <row r="872">
      <c r="A872" s="0" t="inlineStr">
        <is>
          <t>[구월동]</t>
        </is>
      </c>
      <c r="B872" s="0" t="n">
        <v>119061</v>
      </c>
      <c r="C872" s="0" t="n">
        <v>3</v>
      </c>
      <c r="D872" s="0" t="inlineStr">
        <is>
          <t>하람(도시형)</t>
        </is>
      </c>
      <c r="E872" s="0" t="inlineStr">
        <is>
          <t>2012.11.</t>
        </is>
      </c>
      <c r="F872" s="0" t="n">
        <v>13</v>
      </c>
      <c r="G872" s="0" t="n">
        <v>32.69</v>
      </c>
      <c r="H872" s="0" t="n">
        <v>108.07</v>
      </c>
      <c r="I872" s="0" t="n">
        <v>25.42</v>
      </c>
      <c r="J872" s="0" t="n">
        <v>84.04000000000001</v>
      </c>
      <c r="K872" s="0" t="n">
        <v>1</v>
      </c>
      <c r="T872" s="0" t="n">
        <v>3</v>
      </c>
      <c r="U872" s="0" t="n">
        <v>2</v>
      </c>
      <c r="V872" s="0" t="inlineStr">
        <is>
          <t>복합식</t>
        </is>
      </c>
      <c r="W872" s="0" t="n">
        <v>108</v>
      </c>
      <c r="X872" s="0" t="n">
        <v>5</v>
      </c>
      <c r="Y872" s="0" t="n">
        <v>4</v>
      </c>
      <c r="Z872" s="0" t="inlineStr">
        <is>
          <t>https://new.land.naver.com/complexes/119061?tab=detail&amp;rf=Y</t>
        </is>
      </c>
      <c r="AA872" s="0" t="inlineStr">
        <is>
          <t>인천시 남동구 구월동 1181-34</t>
        </is>
      </c>
      <c r="AB872" s="0" t="inlineStr">
        <is>
          <t>인천시</t>
        </is>
      </c>
      <c r="AC872" s="0" t="inlineStr">
        <is>
          <t>남동구</t>
        </is>
      </c>
      <c r="AD872" s="0" t="inlineStr">
        <is>
          <t>구월동</t>
        </is>
      </c>
      <c r="AG872" s="0" t="inlineStr">
        <is>
          <t>인천시 남동구 남동대로692번길 9</t>
        </is>
      </c>
      <c r="AH872" s="0" t="n">
        <v>0</v>
      </c>
      <c r="AI872" s="0" t="n">
        <v>181</v>
      </c>
      <c r="AJ872" s="0" t="n">
        <v>50</v>
      </c>
      <c r="AK872" s="0" t="n">
        <v>7</v>
      </c>
      <c r="AL872" s="0" t="n">
        <v>0.54</v>
      </c>
    </row>
    <row r="873">
      <c r="A873" s="0" t="inlineStr">
        <is>
          <t>[구월동]</t>
        </is>
      </c>
      <c r="B873" s="0" t="n">
        <v>18893</v>
      </c>
      <c r="C873" s="0" t="n">
        <v>1</v>
      </c>
      <c r="D873" s="0" t="inlineStr">
        <is>
          <t>롯데캐슬골드2단지</t>
        </is>
      </c>
      <c r="E873" s="0" t="inlineStr">
        <is>
          <t>2007.08.</t>
        </is>
      </c>
      <c r="F873" s="0" t="n">
        <v>3384</v>
      </c>
      <c r="G873" s="0" t="n">
        <v>19.95</v>
      </c>
      <c r="H873" s="0" t="n">
        <v>65.95999999999999</v>
      </c>
      <c r="I873" s="0" t="n">
        <v>14.17</v>
      </c>
      <c r="J873" s="0" t="n">
        <v>46.87</v>
      </c>
      <c r="K873" s="0" t="n">
        <v>88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65</v>
      </c>
      <c r="X873" s="0" t="n">
        <v>37</v>
      </c>
      <c r="Y873" s="0" t="n">
        <v>17</v>
      </c>
      <c r="Z873" s="0" t="inlineStr">
        <is>
          <t>https://new.land.naver.com/complexes/18893?tab=detail&amp;rf=Y</t>
        </is>
      </c>
      <c r="AA873" s="0" t="inlineStr">
        <is>
          <t>인천시 남동구 구월동 24</t>
        </is>
      </c>
      <c r="AB873" s="0" t="inlineStr">
        <is>
          <t>인천시</t>
        </is>
      </c>
      <c r="AC873" s="0" t="inlineStr">
        <is>
          <t>남동구</t>
        </is>
      </c>
      <c r="AD873" s="0" t="inlineStr">
        <is>
          <t>구월동</t>
        </is>
      </c>
      <c r="AG873" s="0" t="inlineStr">
        <is>
          <t>인천시 남동구 호구포로 803</t>
        </is>
      </c>
      <c r="AH873" s="0" t="n">
        <v>0</v>
      </c>
      <c r="AI873" s="0" t="n">
        <v>347</v>
      </c>
      <c r="AJ873" s="0" t="n">
        <v>18</v>
      </c>
      <c r="AK873" s="0" t="n">
        <v>3864</v>
      </c>
      <c r="AL873" s="0" t="n">
        <v>1.14</v>
      </c>
    </row>
    <row r="874">
      <c r="A874" s="0" t="inlineStr">
        <is>
          <t>[구월동]</t>
        </is>
      </c>
      <c r="B874" s="0" t="n">
        <v>18893</v>
      </c>
      <c r="C874" s="0" t="n">
        <v>2</v>
      </c>
      <c r="D874" s="0" t="inlineStr">
        <is>
          <t>롯데캐슬골드2단지</t>
        </is>
      </c>
      <c r="E874" s="0" t="inlineStr">
        <is>
          <t>2007.08.</t>
        </is>
      </c>
      <c r="F874" s="0" t="n">
        <v>3384</v>
      </c>
      <c r="G874" s="0" t="n">
        <v>26.56</v>
      </c>
      <c r="H874" s="0" t="n">
        <v>87.81</v>
      </c>
      <c r="I874" s="0" t="n">
        <v>18.11</v>
      </c>
      <c r="J874" s="0" t="n">
        <v>59.9</v>
      </c>
      <c r="K874" s="0" t="n">
        <v>184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87</v>
      </c>
      <c r="X874" s="0" t="n">
        <v>37</v>
      </c>
      <c r="Y874" s="0" t="n">
        <v>17</v>
      </c>
      <c r="Z874" s="0" t="inlineStr">
        <is>
          <t>https://new.land.naver.com/complexes/18893?tab=detail&amp;rf=Y</t>
        </is>
      </c>
      <c r="AA874" s="0" t="inlineStr">
        <is>
          <t>인천시 남동구 구월동 24</t>
        </is>
      </c>
      <c r="AB874" s="0" t="inlineStr">
        <is>
          <t>인천시</t>
        </is>
      </c>
      <c r="AC874" s="0" t="inlineStr">
        <is>
          <t>남동구</t>
        </is>
      </c>
      <c r="AD874" s="0" t="inlineStr">
        <is>
          <t>구월동</t>
        </is>
      </c>
      <c r="AG874" s="0" t="inlineStr">
        <is>
          <t>인천시 남동구 호구포로 803</t>
        </is>
      </c>
      <c r="AH874" s="0" t="n">
        <v>0</v>
      </c>
      <c r="AI874" s="0" t="n">
        <v>347</v>
      </c>
      <c r="AJ874" s="0" t="n">
        <v>18</v>
      </c>
      <c r="AK874" s="0" t="n">
        <v>3864</v>
      </c>
      <c r="AL874" s="0" t="n">
        <v>1.14</v>
      </c>
    </row>
    <row r="875">
      <c r="A875" s="0" t="inlineStr">
        <is>
          <t>[구월동]</t>
        </is>
      </c>
      <c r="B875" s="0" t="n">
        <v>18893</v>
      </c>
      <c r="C875" s="0" t="n">
        <v>3</v>
      </c>
      <c r="D875" s="0" t="inlineStr">
        <is>
          <t>롯데캐슬골드2단지</t>
        </is>
      </c>
      <c r="E875" s="0" t="inlineStr">
        <is>
          <t>2007.08.</t>
        </is>
      </c>
      <c r="F875" s="0" t="n">
        <v>3384</v>
      </c>
      <c r="G875" s="0" t="n">
        <v>31.59</v>
      </c>
      <c r="H875" s="0" t="n">
        <v>104.43</v>
      </c>
      <c r="I875" s="0" t="n">
        <v>22.77</v>
      </c>
      <c r="J875" s="0" t="n">
        <v>75.3</v>
      </c>
      <c r="K875" s="0" t="n">
        <v>159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37</v>
      </c>
      <c r="Y875" s="0" t="n">
        <v>17</v>
      </c>
      <c r="Z875" s="0" t="inlineStr">
        <is>
          <t>https://new.land.naver.com/complexes/18893?tab=detail&amp;rf=Y</t>
        </is>
      </c>
      <c r="AA875" s="0" t="inlineStr">
        <is>
          <t>인천시 남동구 구월동 24</t>
        </is>
      </c>
      <c r="AB875" s="0" t="inlineStr">
        <is>
          <t>인천시</t>
        </is>
      </c>
      <c r="AC875" s="0" t="inlineStr">
        <is>
          <t>남동구</t>
        </is>
      </c>
      <c r="AD875" s="0" t="inlineStr">
        <is>
          <t>구월동</t>
        </is>
      </c>
      <c r="AG875" s="0" t="inlineStr">
        <is>
          <t>인천시 남동구 호구포로 803</t>
        </is>
      </c>
      <c r="AH875" s="0" t="n">
        <v>0</v>
      </c>
      <c r="AI875" s="0" t="n">
        <v>347</v>
      </c>
      <c r="AJ875" s="0" t="n">
        <v>18</v>
      </c>
      <c r="AK875" s="0" t="n">
        <v>3864</v>
      </c>
      <c r="AL875" s="0" t="n">
        <v>1.14</v>
      </c>
    </row>
    <row r="876">
      <c r="A876" s="0" t="inlineStr">
        <is>
          <t>[구월동]</t>
        </is>
      </c>
      <c r="B876" s="0" t="n">
        <v>18893</v>
      </c>
      <c r="C876" s="0" t="n">
        <v>4</v>
      </c>
      <c r="D876" s="0" t="inlineStr">
        <is>
          <t>롯데캐슬골드2단지</t>
        </is>
      </c>
      <c r="E876" s="0" t="inlineStr">
        <is>
          <t>2007.08.</t>
        </is>
      </c>
      <c r="F876" s="0" t="n">
        <v>3384</v>
      </c>
      <c r="G876" s="0" t="n">
        <v>33.77</v>
      </c>
      <c r="H876" s="0" t="n">
        <v>111.64</v>
      </c>
      <c r="I876" s="0" t="n">
        <v>25.4</v>
      </c>
      <c r="J876" s="0" t="n">
        <v>83.98</v>
      </c>
      <c r="K876" s="0" t="n">
        <v>550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111A</t>
        </is>
      </c>
      <c r="X876" s="0" t="n">
        <v>37</v>
      </c>
      <c r="Y876" s="0" t="n">
        <v>17</v>
      </c>
      <c r="Z876" s="0" t="inlineStr">
        <is>
          <t>https://new.land.naver.com/complexes/18893?tab=detail&amp;rf=Y</t>
        </is>
      </c>
      <c r="AA876" s="0" t="inlineStr">
        <is>
          <t>인천시 남동구 구월동 24</t>
        </is>
      </c>
      <c r="AB876" s="0" t="inlineStr">
        <is>
          <t>인천시</t>
        </is>
      </c>
      <c r="AC876" s="0" t="inlineStr">
        <is>
          <t>남동구</t>
        </is>
      </c>
      <c r="AD876" s="0" t="inlineStr">
        <is>
          <t>구월동</t>
        </is>
      </c>
      <c r="AG876" s="0" t="inlineStr">
        <is>
          <t>인천시 남동구 호구포로 803</t>
        </is>
      </c>
      <c r="AH876" s="0" t="n">
        <v>0</v>
      </c>
      <c r="AI876" s="0" t="n">
        <v>347</v>
      </c>
      <c r="AJ876" s="0" t="n">
        <v>18</v>
      </c>
      <c r="AK876" s="0" t="n">
        <v>3864</v>
      </c>
      <c r="AL876" s="0" t="n">
        <v>1.14</v>
      </c>
    </row>
    <row r="877">
      <c r="A877" s="0" t="inlineStr">
        <is>
          <t>[구월동]</t>
        </is>
      </c>
      <c r="B877" s="0" t="n">
        <v>18893</v>
      </c>
      <c r="C877" s="0" t="n">
        <v>5</v>
      </c>
      <c r="D877" s="0" t="inlineStr">
        <is>
          <t>롯데캐슬골드2단지</t>
        </is>
      </c>
      <c r="E877" s="0" t="inlineStr">
        <is>
          <t>2007.08.</t>
        </is>
      </c>
      <c r="F877" s="0" t="n">
        <v>3384</v>
      </c>
      <c r="G877" s="0" t="n">
        <v>33.66</v>
      </c>
      <c r="H877" s="0" t="n">
        <v>111.28</v>
      </c>
      <c r="I877" s="0" t="n">
        <v>25.37</v>
      </c>
      <c r="J877" s="0" t="n">
        <v>83.87</v>
      </c>
      <c r="K877" s="0" t="n">
        <v>450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111B</t>
        </is>
      </c>
      <c r="X877" s="0" t="n">
        <v>37</v>
      </c>
      <c r="Y877" s="0" t="n">
        <v>17</v>
      </c>
      <c r="Z877" s="0" t="inlineStr">
        <is>
          <t>https://new.land.naver.com/complexes/18893?tab=detail&amp;rf=Y</t>
        </is>
      </c>
      <c r="AA877" s="0" t="inlineStr">
        <is>
          <t>인천시 남동구 구월동 24</t>
        </is>
      </c>
      <c r="AB877" s="0" t="inlineStr">
        <is>
          <t>인천시</t>
        </is>
      </c>
      <c r="AC877" s="0" t="inlineStr">
        <is>
          <t>남동구</t>
        </is>
      </c>
      <c r="AD877" s="0" t="inlineStr">
        <is>
          <t>구월동</t>
        </is>
      </c>
      <c r="AG877" s="0" t="inlineStr">
        <is>
          <t>인천시 남동구 호구포로 803</t>
        </is>
      </c>
      <c r="AH877" s="0" t="n">
        <v>0</v>
      </c>
      <c r="AI877" s="0" t="n">
        <v>347</v>
      </c>
      <c r="AJ877" s="0" t="n">
        <v>18</v>
      </c>
      <c r="AK877" s="0" t="n">
        <v>3864</v>
      </c>
      <c r="AL877" s="0" t="n">
        <v>1.14</v>
      </c>
    </row>
    <row r="878">
      <c r="A878" s="0" t="inlineStr">
        <is>
          <t>[구월동]</t>
        </is>
      </c>
      <c r="B878" s="0" t="n">
        <v>18893</v>
      </c>
      <c r="C878" s="0" t="n">
        <v>6</v>
      </c>
      <c r="D878" s="0" t="inlineStr">
        <is>
          <t>롯데캐슬골드2단지</t>
        </is>
      </c>
      <c r="E878" s="0" t="inlineStr">
        <is>
          <t>2007.08.</t>
        </is>
      </c>
      <c r="F878" s="0" t="n">
        <v>3384</v>
      </c>
      <c r="G878" s="0" t="n">
        <v>33.66</v>
      </c>
      <c r="H878" s="0" t="n">
        <v>111.28</v>
      </c>
      <c r="I878" s="0" t="n">
        <v>25.37</v>
      </c>
      <c r="J878" s="0" t="n">
        <v>83.87</v>
      </c>
      <c r="K878" s="0" t="n">
        <v>86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111E</t>
        </is>
      </c>
      <c r="X878" s="0" t="n">
        <v>37</v>
      </c>
      <c r="Y878" s="0" t="n">
        <v>17</v>
      </c>
      <c r="Z878" s="0" t="inlineStr">
        <is>
          <t>https://new.land.naver.com/complexes/18893?tab=detail&amp;rf=Y</t>
        </is>
      </c>
      <c r="AA878" s="0" t="inlineStr">
        <is>
          <t>인천시 남동구 구월동 24</t>
        </is>
      </c>
      <c r="AB878" s="0" t="inlineStr">
        <is>
          <t>인천시</t>
        </is>
      </c>
      <c r="AC878" s="0" t="inlineStr">
        <is>
          <t>남동구</t>
        </is>
      </c>
      <c r="AD878" s="0" t="inlineStr">
        <is>
          <t>구월동</t>
        </is>
      </c>
      <c r="AG878" s="0" t="inlineStr">
        <is>
          <t>인천시 남동구 호구포로 803</t>
        </is>
      </c>
      <c r="AH878" s="0" t="n">
        <v>0</v>
      </c>
      <c r="AI878" s="0" t="n">
        <v>347</v>
      </c>
      <c r="AJ878" s="0" t="n">
        <v>18</v>
      </c>
      <c r="AK878" s="0" t="n">
        <v>3864</v>
      </c>
      <c r="AL878" s="0" t="n">
        <v>1.14</v>
      </c>
    </row>
    <row r="879">
      <c r="A879" s="0" t="inlineStr">
        <is>
          <t>[구월동]</t>
        </is>
      </c>
      <c r="B879" s="0" t="n">
        <v>18893</v>
      </c>
      <c r="C879" s="0" t="n">
        <v>7</v>
      </c>
      <c r="D879" s="0" t="inlineStr">
        <is>
          <t>롯데캐슬골드2단지</t>
        </is>
      </c>
      <c r="E879" s="0" t="inlineStr">
        <is>
          <t>2007.08.</t>
        </is>
      </c>
      <c r="F879" s="0" t="n">
        <v>3384</v>
      </c>
      <c r="G879" s="0" t="n">
        <v>34.45</v>
      </c>
      <c r="H879" s="0" t="n">
        <v>113.9</v>
      </c>
      <c r="I879" s="0" t="n">
        <v>25.37</v>
      </c>
      <c r="J879" s="0" t="n">
        <v>83.89</v>
      </c>
      <c r="K879" s="0" t="n">
        <v>344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113D</t>
        </is>
      </c>
      <c r="X879" s="0" t="n">
        <v>37</v>
      </c>
      <c r="Y879" s="0" t="n">
        <v>17</v>
      </c>
      <c r="Z879" s="0" t="inlineStr">
        <is>
          <t>https://new.land.naver.com/complexes/18893?tab=detail&amp;rf=Y</t>
        </is>
      </c>
      <c r="AA879" s="0" t="inlineStr">
        <is>
          <t>인천시 남동구 구월동 24</t>
        </is>
      </c>
      <c r="AB879" s="0" t="inlineStr">
        <is>
          <t>인천시</t>
        </is>
      </c>
      <c r="AC879" s="0" t="inlineStr">
        <is>
          <t>남동구</t>
        </is>
      </c>
      <c r="AD879" s="0" t="inlineStr">
        <is>
          <t>구월동</t>
        </is>
      </c>
      <c r="AG879" s="0" t="inlineStr">
        <is>
          <t>인천시 남동구 호구포로 803</t>
        </is>
      </c>
      <c r="AH879" s="0" t="n">
        <v>0</v>
      </c>
      <c r="AI879" s="0" t="n">
        <v>347</v>
      </c>
      <c r="AJ879" s="0" t="n">
        <v>18</v>
      </c>
      <c r="AK879" s="0" t="n">
        <v>3864</v>
      </c>
      <c r="AL879" s="0" t="n">
        <v>1.14</v>
      </c>
    </row>
    <row r="880">
      <c r="A880" s="0" t="inlineStr">
        <is>
          <t>[구월동]</t>
        </is>
      </c>
      <c r="B880" s="0" t="n">
        <v>18893</v>
      </c>
      <c r="C880" s="0" t="n">
        <v>8</v>
      </c>
      <c r="D880" s="0" t="inlineStr">
        <is>
          <t>롯데캐슬골드2단지</t>
        </is>
      </c>
      <c r="E880" s="0" t="inlineStr">
        <is>
          <t>2007.08.</t>
        </is>
      </c>
      <c r="F880" s="0" t="n">
        <v>3384</v>
      </c>
      <c r="G880" s="0" t="n">
        <v>34.77</v>
      </c>
      <c r="H880" s="0" t="n">
        <v>114.95</v>
      </c>
      <c r="I880" s="0" t="n">
        <v>25.65</v>
      </c>
      <c r="J880" s="0" t="n">
        <v>84.81</v>
      </c>
      <c r="K880" s="0" t="n">
        <v>353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114F</t>
        </is>
      </c>
      <c r="X880" s="0" t="n">
        <v>37</v>
      </c>
      <c r="Y880" s="0" t="n">
        <v>17</v>
      </c>
      <c r="Z880" s="0" t="inlineStr">
        <is>
          <t>https://new.land.naver.com/complexes/18893?tab=detail&amp;rf=Y</t>
        </is>
      </c>
      <c r="AA880" s="0" t="inlineStr">
        <is>
          <t>인천시 남동구 구월동 24</t>
        </is>
      </c>
      <c r="AB880" s="0" t="inlineStr">
        <is>
          <t>인천시</t>
        </is>
      </c>
      <c r="AC880" s="0" t="inlineStr">
        <is>
          <t>남동구</t>
        </is>
      </c>
      <c r="AD880" s="0" t="inlineStr">
        <is>
          <t>구월동</t>
        </is>
      </c>
      <c r="AG880" s="0" t="inlineStr">
        <is>
          <t>인천시 남동구 호구포로 803</t>
        </is>
      </c>
      <c r="AH880" s="0" t="n">
        <v>0</v>
      </c>
      <c r="AI880" s="0" t="n">
        <v>347</v>
      </c>
      <c r="AJ880" s="0" t="n">
        <v>18</v>
      </c>
      <c r="AK880" s="0" t="n">
        <v>3864</v>
      </c>
      <c r="AL880" s="0" t="n">
        <v>1.14</v>
      </c>
    </row>
    <row r="881">
      <c r="A881" s="0" t="inlineStr">
        <is>
          <t>[구월동]</t>
        </is>
      </c>
      <c r="B881" s="0" t="n">
        <v>18893</v>
      </c>
      <c r="C881" s="0" t="n">
        <v>9</v>
      </c>
      <c r="D881" s="0" t="inlineStr">
        <is>
          <t>롯데캐슬골드2단지</t>
        </is>
      </c>
      <c r="E881" s="0" t="inlineStr">
        <is>
          <t>2007.08.</t>
        </is>
      </c>
      <c r="F881" s="0" t="n">
        <v>3384</v>
      </c>
      <c r="G881" s="0" t="n">
        <v>34.67</v>
      </c>
      <c r="H881" s="0" t="n">
        <v>114.63</v>
      </c>
      <c r="I881" s="0" t="n">
        <v>25.34</v>
      </c>
      <c r="J881" s="0" t="n">
        <v>83.77</v>
      </c>
      <c r="K881" s="0" t="n">
        <v>352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114C</t>
        </is>
      </c>
      <c r="X881" s="0" t="n">
        <v>37</v>
      </c>
      <c r="Y881" s="0" t="n">
        <v>17</v>
      </c>
      <c r="Z881" s="0" t="inlineStr">
        <is>
          <t>https://new.land.naver.com/complexes/18893?tab=detail&amp;rf=Y</t>
        </is>
      </c>
      <c r="AA881" s="0" t="inlineStr">
        <is>
          <t>인천시 남동구 구월동 24</t>
        </is>
      </c>
      <c r="AB881" s="0" t="inlineStr">
        <is>
          <t>인천시</t>
        </is>
      </c>
      <c r="AC881" s="0" t="inlineStr">
        <is>
          <t>남동구</t>
        </is>
      </c>
      <c r="AD881" s="0" t="inlineStr">
        <is>
          <t>구월동</t>
        </is>
      </c>
      <c r="AG881" s="0" t="inlineStr">
        <is>
          <t>인천시 남동구 호구포로 803</t>
        </is>
      </c>
      <c r="AH881" s="0" t="n">
        <v>0</v>
      </c>
      <c r="AI881" s="0" t="n">
        <v>347</v>
      </c>
      <c r="AJ881" s="0" t="n">
        <v>18</v>
      </c>
      <c r="AK881" s="0" t="n">
        <v>3864</v>
      </c>
      <c r="AL881" s="0" t="n">
        <v>1.14</v>
      </c>
    </row>
    <row r="882">
      <c r="A882" s="0" t="inlineStr">
        <is>
          <t>[구월동]</t>
        </is>
      </c>
      <c r="B882" s="0" t="n">
        <v>18893</v>
      </c>
      <c r="C882" s="0" t="n">
        <v>10</v>
      </c>
      <c r="D882" s="0" t="inlineStr">
        <is>
          <t>롯데캐슬골드2단지</t>
        </is>
      </c>
      <c r="E882" s="0" t="inlineStr">
        <is>
          <t>2007.08.</t>
        </is>
      </c>
      <c r="F882" s="0" t="n">
        <v>3384</v>
      </c>
      <c r="G882" s="0" t="n">
        <v>44.58</v>
      </c>
      <c r="H882" s="0" t="n">
        <v>147.39</v>
      </c>
      <c r="I882" s="0" t="n">
        <v>34.98</v>
      </c>
      <c r="J882" s="0" t="n">
        <v>115.66</v>
      </c>
      <c r="K882" s="0" t="n">
        <v>761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147</v>
      </c>
      <c r="X882" s="0" t="n">
        <v>37</v>
      </c>
      <c r="Y882" s="0" t="n">
        <v>17</v>
      </c>
      <c r="Z882" s="0" t="inlineStr">
        <is>
          <t>https://new.land.naver.com/complexes/18893?tab=detail&amp;rf=Y</t>
        </is>
      </c>
      <c r="AA882" s="0" t="inlineStr">
        <is>
          <t>인천시 남동구 구월동 24</t>
        </is>
      </c>
      <c r="AB882" s="0" t="inlineStr">
        <is>
          <t>인천시</t>
        </is>
      </c>
      <c r="AC882" s="0" t="inlineStr">
        <is>
          <t>남동구</t>
        </is>
      </c>
      <c r="AD882" s="0" t="inlineStr">
        <is>
          <t>구월동</t>
        </is>
      </c>
      <c r="AG882" s="0" t="inlineStr">
        <is>
          <t>인천시 남동구 호구포로 803</t>
        </is>
      </c>
      <c r="AH882" s="0" t="n">
        <v>0</v>
      </c>
      <c r="AI882" s="0" t="n">
        <v>347</v>
      </c>
      <c r="AJ882" s="0" t="n">
        <v>18</v>
      </c>
      <c r="AK882" s="0" t="n">
        <v>3864</v>
      </c>
      <c r="AL882" s="0" t="n">
        <v>1.14</v>
      </c>
    </row>
    <row r="883">
      <c r="A883" s="0" t="inlineStr">
        <is>
          <t>[구월동]</t>
        </is>
      </c>
      <c r="B883" s="0" t="n">
        <v>18893</v>
      </c>
      <c r="C883" s="0" t="n">
        <v>11</v>
      </c>
      <c r="D883" s="0" t="inlineStr">
        <is>
          <t>롯데캐슬골드2단지</t>
        </is>
      </c>
      <c r="E883" s="0" t="inlineStr">
        <is>
          <t>2007.08.</t>
        </is>
      </c>
      <c r="F883" s="0" t="n">
        <v>3384</v>
      </c>
      <c r="G883" s="0" t="n">
        <v>50.73</v>
      </c>
      <c r="H883" s="0" t="n">
        <v>167.72</v>
      </c>
      <c r="I883" s="0" t="n">
        <v>40.48</v>
      </c>
      <c r="J883" s="0" t="n">
        <v>133.82</v>
      </c>
      <c r="K883" s="0" t="n">
        <v>57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167</v>
      </c>
      <c r="X883" s="0" t="n">
        <v>37</v>
      </c>
      <c r="Y883" s="0" t="n">
        <v>17</v>
      </c>
      <c r="Z883" s="0" t="inlineStr">
        <is>
          <t>https://new.land.naver.com/complexes/18893?tab=detail&amp;rf=Y</t>
        </is>
      </c>
      <c r="AA883" s="0" t="inlineStr">
        <is>
          <t>인천시 남동구 구월동 24</t>
        </is>
      </c>
      <c r="AB883" s="0" t="inlineStr">
        <is>
          <t>인천시</t>
        </is>
      </c>
      <c r="AC883" s="0" t="inlineStr">
        <is>
          <t>남동구</t>
        </is>
      </c>
      <c r="AD883" s="0" t="inlineStr">
        <is>
          <t>구월동</t>
        </is>
      </c>
      <c r="AG883" s="0" t="inlineStr">
        <is>
          <t>인천시 남동구 호구포로 803</t>
        </is>
      </c>
      <c r="AH883" s="0" t="n">
        <v>0</v>
      </c>
      <c r="AI883" s="0" t="n">
        <v>347</v>
      </c>
      <c r="AJ883" s="0" t="n">
        <v>18</v>
      </c>
      <c r="AK883" s="0" t="n">
        <v>3864</v>
      </c>
      <c r="AL883" s="0" t="n">
        <v>1.14</v>
      </c>
    </row>
    <row r="884">
      <c r="A884" s="0" t="inlineStr">
        <is>
          <t>[구월동]</t>
        </is>
      </c>
      <c r="B884" s="0" t="n">
        <v>118290</v>
      </c>
      <c r="C884" s="0" t="n">
        <v>1</v>
      </c>
      <c r="D884" s="0" t="inlineStr">
        <is>
          <t>위너스타워</t>
        </is>
      </c>
      <c r="E884" s="0" t="inlineStr">
        <is>
          <t>2017.07.</t>
        </is>
      </c>
      <c r="F884" s="0" t="n">
        <v>48</v>
      </c>
      <c r="G884" s="0" t="n">
        <v>14.42</v>
      </c>
      <c r="H884" s="0" t="n">
        <v>47.68</v>
      </c>
      <c r="I884" s="0" t="n">
        <v>11.15</v>
      </c>
      <c r="J884" s="0" t="n">
        <v>36.87</v>
      </c>
      <c r="K884" s="0" t="n">
        <v>6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47</v>
      </c>
      <c r="X884" s="0" t="n">
        <v>14</v>
      </c>
      <c r="Y884" s="0" t="n">
        <v>14</v>
      </c>
      <c r="Z884" s="0" t="inlineStr">
        <is>
          <t>https://new.land.naver.com/complexes/118290?tab=detail&amp;rf=Y</t>
        </is>
      </c>
      <c r="AA884" s="0" t="inlineStr">
        <is>
          <t>인천시 남동구 구월동 1136-3</t>
        </is>
      </c>
      <c r="AB884" s="0" t="inlineStr">
        <is>
          <t>인천시</t>
        </is>
      </c>
      <c r="AC884" s="0" t="inlineStr">
        <is>
          <t>남동구</t>
        </is>
      </c>
      <c r="AD884" s="0" t="inlineStr">
        <is>
          <t>구월동</t>
        </is>
      </c>
      <c r="AG884" s="0" t="inlineStr">
        <is>
          <t>인천시 남동구 인주대로591번길 94</t>
        </is>
      </c>
      <c r="AH884" s="0" t="n">
        <v>0</v>
      </c>
      <c r="AI884" s="0" t="n">
        <v>683</v>
      </c>
      <c r="AJ884" s="0" t="n">
        <v>58</v>
      </c>
      <c r="AK884" s="0" t="n">
        <v>32</v>
      </c>
      <c r="AL884" s="0" t="n">
        <v>0.67</v>
      </c>
    </row>
    <row r="885">
      <c r="A885" s="0" t="inlineStr">
        <is>
          <t>[구월동]</t>
        </is>
      </c>
      <c r="B885" s="0" t="n">
        <v>118290</v>
      </c>
      <c r="C885" s="0" t="n">
        <v>2</v>
      </c>
      <c r="D885" s="0" t="inlineStr">
        <is>
          <t>위너스타워</t>
        </is>
      </c>
      <c r="E885" s="0" t="inlineStr">
        <is>
          <t>2017.07.</t>
        </is>
      </c>
      <c r="F885" s="0" t="n">
        <v>48</v>
      </c>
      <c r="G885" s="0" t="n">
        <v>14.51</v>
      </c>
      <c r="H885" s="0" t="n">
        <v>47.97</v>
      </c>
      <c r="I885" s="0" t="n">
        <v>11.23</v>
      </c>
      <c r="J885" s="0" t="n">
        <v>37.14</v>
      </c>
      <c r="K885" s="0" t="n">
        <v>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47A</t>
        </is>
      </c>
      <c r="X885" s="0" t="n">
        <v>14</v>
      </c>
      <c r="Y885" s="0" t="n">
        <v>14</v>
      </c>
      <c r="Z885" s="0" t="inlineStr">
        <is>
          <t>https://new.land.naver.com/complexes/118290?tab=detail&amp;rf=Y</t>
        </is>
      </c>
      <c r="AA885" s="0" t="inlineStr">
        <is>
          <t>인천시 남동구 구월동 1136-3</t>
        </is>
      </c>
      <c r="AB885" s="0" t="inlineStr">
        <is>
          <t>인천시</t>
        </is>
      </c>
      <c r="AC885" s="0" t="inlineStr">
        <is>
          <t>남동구</t>
        </is>
      </c>
      <c r="AD885" s="0" t="inlineStr">
        <is>
          <t>구월동</t>
        </is>
      </c>
      <c r="AG885" s="0" t="inlineStr">
        <is>
          <t>인천시 남동구 인주대로591번길 94</t>
        </is>
      </c>
      <c r="AH885" s="0" t="n">
        <v>0</v>
      </c>
      <c r="AI885" s="0" t="n">
        <v>683</v>
      </c>
      <c r="AJ885" s="0" t="n">
        <v>58</v>
      </c>
      <c r="AK885" s="0" t="n">
        <v>32</v>
      </c>
      <c r="AL885" s="0" t="n">
        <v>0.67</v>
      </c>
    </row>
    <row r="886">
      <c r="A886" s="0" t="inlineStr">
        <is>
          <t>[구월동]</t>
        </is>
      </c>
      <c r="B886" s="0" t="n">
        <v>118290</v>
      </c>
      <c r="C886" s="0" t="n">
        <v>3</v>
      </c>
      <c r="D886" s="0" t="inlineStr">
        <is>
          <t>위너스타워</t>
        </is>
      </c>
      <c r="E886" s="0" t="inlineStr">
        <is>
          <t>2017.07.</t>
        </is>
      </c>
      <c r="F886" s="0" t="n">
        <v>48</v>
      </c>
      <c r="G886" s="0" t="n">
        <v>14.88</v>
      </c>
      <c r="H886" s="0" t="n">
        <v>49.22</v>
      </c>
      <c r="I886" s="0" t="n">
        <v>11.49</v>
      </c>
      <c r="J886" s="0" t="n">
        <v>37.99</v>
      </c>
      <c r="K886" s="0" t="n">
        <v>6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49B</t>
        </is>
      </c>
      <c r="X886" s="0" t="n">
        <v>14</v>
      </c>
      <c r="Y886" s="0" t="n">
        <v>14</v>
      </c>
      <c r="Z886" s="0" t="inlineStr">
        <is>
          <t>https://new.land.naver.com/complexes/118290?tab=detail&amp;rf=Y</t>
        </is>
      </c>
      <c r="AA886" s="0" t="inlineStr">
        <is>
          <t>인천시 남동구 구월동 1136-3</t>
        </is>
      </c>
      <c r="AB886" s="0" t="inlineStr">
        <is>
          <t>인천시</t>
        </is>
      </c>
      <c r="AC886" s="0" t="inlineStr">
        <is>
          <t>남동구</t>
        </is>
      </c>
      <c r="AD886" s="0" t="inlineStr">
        <is>
          <t>구월동</t>
        </is>
      </c>
      <c r="AG886" s="0" t="inlineStr">
        <is>
          <t>인천시 남동구 인주대로591번길 94</t>
        </is>
      </c>
      <c r="AH886" s="0" t="n">
        <v>0</v>
      </c>
      <c r="AI886" s="0" t="n">
        <v>683</v>
      </c>
      <c r="AJ886" s="0" t="n">
        <v>58</v>
      </c>
      <c r="AK886" s="0" t="n">
        <v>32</v>
      </c>
      <c r="AL886" s="0" t="n">
        <v>0.67</v>
      </c>
    </row>
    <row r="887">
      <c r="A887" s="0" t="inlineStr">
        <is>
          <t>[구월동]</t>
        </is>
      </c>
      <c r="B887" s="0" t="n">
        <v>118290</v>
      </c>
      <c r="C887" s="0" t="n">
        <v>4</v>
      </c>
      <c r="D887" s="0" t="inlineStr">
        <is>
          <t>위너스타워</t>
        </is>
      </c>
      <c r="E887" s="0" t="inlineStr">
        <is>
          <t>2017.07.</t>
        </is>
      </c>
      <c r="F887" s="0" t="n">
        <v>48</v>
      </c>
      <c r="G887" s="0" t="n">
        <v>15.1</v>
      </c>
      <c r="H887" s="0" t="n">
        <v>49.95</v>
      </c>
      <c r="I887" s="0" t="n">
        <v>11.64</v>
      </c>
      <c r="J887" s="0" t="n">
        <v>38.48</v>
      </c>
      <c r="K887" s="0" t="n">
        <v>6</v>
      </c>
      <c r="T887" s="0" t="n">
        <v>1</v>
      </c>
      <c r="U887" s="0" t="n">
        <v>1</v>
      </c>
      <c r="V887" s="0" t="inlineStr">
        <is>
          <t>복도식</t>
        </is>
      </c>
      <c r="W887" s="0" t="inlineStr">
        <is>
          <t>49C</t>
        </is>
      </c>
      <c r="X887" s="0" t="n">
        <v>14</v>
      </c>
      <c r="Y887" s="0" t="n">
        <v>14</v>
      </c>
      <c r="Z887" s="0" t="inlineStr">
        <is>
          <t>https://new.land.naver.com/complexes/118290?tab=detail&amp;rf=Y</t>
        </is>
      </c>
      <c r="AA887" s="0" t="inlineStr">
        <is>
          <t>인천시 남동구 구월동 1136-3</t>
        </is>
      </c>
      <c r="AB887" s="0" t="inlineStr">
        <is>
          <t>인천시</t>
        </is>
      </c>
      <c r="AC887" s="0" t="inlineStr">
        <is>
          <t>남동구</t>
        </is>
      </c>
      <c r="AD887" s="0" t="inlineStr">
        <is>
          <t>구월동</t>
        </is>
      </c>
      <c r="AG887" s="0" t="inlineStr">
        <is>
          <t>인천시 남동구 인주대로591번길 94</t>
        </is>
      </c>
      <c r="AH887" s="0" t="n">
        <v>0</v>
      </c>
      <c r="AI887" s="0" t="n">
        <v>683</v>
      </c>
      <c r="AJ887" s="0" t="n">
        <v>58</v>
      </c>
      <c r="AK887" s="0" t="n">
        <v>32</v>
      </c>
      <c r="AL887" s="0" t="n">
        <v>0.67</v>
      </c>
    </row>
    <row r="888">
      <c r="A888" s="0" t="inlineStr">
        <is>
          <t>[구월동]</t>
        </is>
      </c>
      <c r="B888" s="0" t="n">
        <v>118290</v>
      </c>
      <c r="C888" s="0" t="n">
        <v>5</v>
      </c>
      <c r="D888" s="0" t="inlineStr">
        <is>
          <t>위너스타워</t>
        </is>
      </c>
      <c r="E888" s="0" t="inlineStr">
        <is>
          <t>2017.07.</t>
        </is>
      </c>
      <c r="F888" s="0" t="n">
        <v>48</v>
      </c>
      <c r="G888" s="0" t="n">
        <v>15.21</v>
      </c>
      <c r="H888" s="0" t="n">
        <v>50.31</v>
      </c>
      <c r="I888" s="0" t="n">
        <v>11.73</v>
      </c>
      <c r="J888" s="0" t="n">
        <v>38.78</v>
      </c>
      <c r="K888" s="0" t="n">
        <v>6</v>
      </c>
      <c r="T888" s="0" t="n">
        <v>1</v>
      </c>
      <c r="U888" s="0" t="n">
        <v>1</v>
      </c>
      <c r="V888" s="0" t="inlineStr">
        <is>
          <t>복도식</t>
        </is>
      </c>
      <c r="W888" s="0" t="inlineStr">
        <is>
          <t>50D</t>
        </is>
      </c>
      <c r="X888" s="0" t="n">
        <v>14</v>
      </c>
      <c r="Y888" s="0" t="n">
        <v>14</v>
      </c>
      <c r="Z888" s="0" t="inlineStr">
        <is>
          <t>https://new.land.naver.com/complexes/118290?tab=detail&amp;rf=Y</t>
        </is>
      </c>
      <c r="AA888" s="0" t="inlineStr">
        <is>
          <t>인천시 남동구 구월동 1136-3</t>
        </is>
      </c>
      <c r="AB888" s="0" t="inlineStr">
        <is>
          <t>인천시</t>
        </is>
      </c>
      <c r="AC888" s="0" t="inlineStr">
        <is>
          <t>남동구</t>
        </is>
      </c>
      <c r="AD888" s="0" t="inlineStr">
        <is>
          <t>구월동</t>
        </is>
      </c>
      <c r="AG888" s="0" t="inlineStr">
        <is>
          <t>인천시 남동구 인주대로591번길 94</t>
        </is>
      </c>
      <c r="AH888" s="0" t="n">
        <v>0</v>
      </c>
      <c r="AI888" s="0" t="n">
        <v>683</v>
      </c>
      <c r="AJ888" s="0" t="n">
        <v>58</v>
      </c>
      <c r="AK888" s="0" t="n">
        <v>32</v>
      </c>
      <c r="AL888" s="0" t="n">
        <v>0.67</v>
      </c>
    </row>
    <row r="889">
      <c r="A889" s="0" t="inlineStr">
        <is>
          <t>[구월동]</t>
        </is>
      </c>
      <c r="B889" s="0" t="n">
        <v>118290</v>
      </c>
      <c r="C889" s="0" t="n">
        <v>6</v>
      </c>
      <c r="D889" s="0" t="inlineStr">
        <is>
          <t>위너스타워</t>
        </is>
      </c>
      <c r="E889" s="0" t="inlineStr">
        <is>
          <t>2017.07.</t>
        </is>
      </c>
      <c r="F889" s="0" t="n">
        <v>48</v>
      </c>
      <c r="G889" s="0" t="n">
        <v>15.33</v>
      </c>
      <c r="H889" s="0" t="n">
        <v>50.71</v>
      </c>
      <c r="I889" s="0" t="n">
        <v>11.8</v>
      </c>
      <c r="J889" s="0" t="n">
        <v>39.01</v>
      </c>
      <c r="K889" s="0" t="n">
        <v>6</v>
      </c>
      <c r="T889" s="0" t="n">
        <v>1</v>
      </c>
      <c r="U889" s="0" t="n">
        <v>1</v>
      </c>
      <c r="V889" s="0" t="inlineStr">
        <is>
          <t>복도식</t>
        </is>
      </c>
      <c r="W889" s="0" t="inlineStr">
        <is>
          <t>50E</t>
        </is>
      </c>
      <c r="X889" s="0" t="n">
        <v>14</v>
      </c>
      <c r="Y889" s="0" t="n">
        <v>14</v>
      </c>
      <c r="Z889" s="0" t="inlineStr">
        <is>
          <t>https://new.land.naver.com/complexes/118290?tab=detail&amp;rf=Y</t>
        </is>
      </c>
      <c r="AA889" s="0" t="inlineStr">
        <is>
          <t>인천시 남동구 구월동 1136-3</t>
        </is>
      </c>
      <c r="AB889" s="0" t="inlineStr">
        <is>
          <t>인천시</t>
        </is>
      </c>
      <c r="AC889" s="0" t="inlineStr">
        <is>
          <t>남동구</t>
        </is>
      </c>
      <c r="AD889" s="0" t="inlineStr">
        <is>
          <t>구월동</t>
        </is>
      </c>
      <c r="AG889" s="0" t="inlineStr">
        <is>
          <t>인천시 남동구 인주대로591번길 94</t>
        </is>
      </c>
      <c r="AH889" s="0" t="n">
        <v>0</v>
      </c>
      <c r="AI889" s="0" t="n">
        <v>683</v>
      </c>
      <c r="AJ889" s="0" t="n">
        <v>58</v>
      </c>
      <c r="AK889" s="0" t="n">
        <v>32</v>
      </c>
      <c r="AL889" s="0" t="n">
        <v>0.67</v>
      </c>
    </row>
    <row r="890">
      <c r="A890" s="0" t="inlineStr">
        <is>
          <t>[구월동]</t>
        </is>
      </c>
      <c r="B890" s="0" t="n">
        <v>118290</v>
      </c>
      <c r="C890" s="0" t="n">
        <v>7</v>
      </c>
      <c r="D890" s="0" t="inlineStr">
        <is>
          <t>위너스타워</t>
        </is>
      </c>
      <c r="E890" s="0" t="inlineStr">
        <is>
          <t>2017.07.</t>
        </is>
      </c>
      <c r="F890" s="0" t="n">
        <v>48</v>
      </c>
      <c r="G890" s="0" t="n">
        <v>15.75</v>
      </c>
      <c r="H890" s="0" t="n">
        <v>52.07</v>
      </c>
      <c r="I890" s="0" t="n">
        <v>12.16</v>
      </c>
      <c r="J890" s="0" t="n">
        <v>40.21</v>
      </c>
      <c r="K890" s="0" t="n">
        <v>6</v>
      </c>
      <c r="T890" s="0" t="n">
        <v>1</v>
      </c>
      <c r="U890" s="0" t="n">
        <v>1</v>
      </c>
      <c r="V890" s="0" t="inlineStr">
        <is>
          <t>복도식</t>
        </is>
      </c>
      <c r="W890" s="0" t="inlineStr">
        <is>
          <t>52A</t>
        </is>
      </c>
      <c r="X890" s="0" t="n">
        <v>14</v>
      </c>
      <c r="Y890" s="0" t="n">
        <v>14</v>
      </c>
      <c r="Z890" s="0" t="inlineStr">
        <is>
          <t>https://new.land.naver.com/complexes/118290?tab=detail&amp;rf=Y</t>
        </is>
      </c>
      <c r="AA890" s="0" t="inlineStr">
        <is>
          <t>인천시 남동구 구월동 1136-3</t>
        </is>
      </c>
      <c r="AB890" s="0" t="inlineStr">
        <is>
          <t>인천시</t>
        </is>
      </c>
      <c r="AC890" s="0" t="inlineStr">
        <is>
          <t>남동구</t>
        </is>
      </c>
      <c r="AD890" s="0" t="inlineStr">
        <is>
          <t>구월동</t>
        </is>
      </c>
      <c r="AG890" s="0" t="inlineStr">
        <is>
          <t>인천시 남동구 인주대로591번길 94</t>
        </is>
      </c>
      <c r="AH890" s="0" t="n">
        <v>0</v>
      </c>
      <c r="AI890" s="0" t="n">
        <v>683</v>
      </c>
      <c r="AJ890" s="0" t="n">
        <v>58</v>
      </c>
      <c r="AK890" s="0" t="n">
        <v>32</v>
      </c>
      <c r="AL890" s="0" t="n">
        <v>0.67</v>
      </c>
    </row>
    <row r="891">
      <c r="A891" s="0" t="inlineStr">
        <is>
          <t>[구월동]</t>
        </is>
      </c>
      <c r="B891" s="0" t="n">
        <v>118290</v>
      </c>
      <c r="C891" s="0" t="n">
        <v>8</v>
      </c>
      <c r="D891" s="0" t="inlineStr">
        <is>
          <t>위너스타워</t>
        </is>
      </c>
      <c r="E891" s="0" t="inlineStr">
        <is>
          <t>2017.07.</t>
        </is>
      </c>
      <c r="F891" s="0" t="n">
        <v>48</v>
      </c>
      <c r="G891" s="0" t="n">
        <v>16.38</v>
      </c>
      <c r="H891" s="0" t="n">
        <v>54.17</v>
      </c>
      <c r="I891" s="0" t="n">
        <v>12.61</v>
      </c>
      <c r="J891" s="0" t="n">
        <v>41.69</v>
      </c>
      <c r="K891" s="0" t="n">
        <v>6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54B</t>
        </is>
      </c>
      <c r="X891" s="0" t="n">
        <v>14</v>
      </c>
      <c r="Y891" s="0" t="n">
        <v>14</v>
      </c>
      <c r="Z891" s="0" t="inlineStr">
        <is>
          <t>https://new.land.naver.com/complexes/118290?tab=detail&amp;rf=Y</t>
        </is>
      </c>
      <c r="AA891" s="0" t="inlineStr">
        <is>
          <t>인천시 남동구 구월동 1136-3</t>
        </is>
      </c>
      <c r="AB891" s="0" t="inlineStr">
        <is>
          <t>인천시</t>
        </is>
      </c>
      <c r="AC891" s="0" t="inlineStr">
        <is>
          <t>남동구</t>
        </is>
      </c>
      <c r="AD891" s="0" t="inlineStr">
        <is>
          <t>구월동</t>
        </is>
      </c>
      <c r="AG891" s="0" t="inlineStr">
        <is>
          <t>인천시 남동구 인주대로591번길 94</t>
        </is>
      </c>
      <c r="AH891" s="0" t="n">
        <v>0</v>
      </c>
      <c r="AI891" s="0" t="n">
        <v>683</v>
      </c>
      <c r="AJ891" s="0" t="n">
        <v>58</v>
      </c>
      <c r="AK891" s="0" t="n">
        <v>32</v>
      </c>
      <c r="AL891" s="0" t="n">
        <v>0.67</v>
      </c>
    </row>
    <row r="892">
      <c r="A892" s="0" t="inlineStr">
        <is>
          <t>[구월동]</t>
        </is>
      </c>
      <c r="B892" s="0" t="n">
        <v>105273</v>
      </c>
      <c r="C892" s="0" t="n">
        <v>1</v>
      </c>
      <c r="D892" s="0" t="inlineStr">
        <is>
          <t>구월와이드빌</t>
        </is>
      </c>
      <c r="E892" s="0" t="inlineStr">
        <is>
          <t>2003.07.</t>
        </is>
      </c>
      <c r="F892" s="0" t="n">
        <v>17</v>
      </c>
      <c r="G892" s="0" t="n">
        <v>22.03</v>
      </c>
      <c r="H892" s="0" t="n">
        <v>72.83</v>
      </c>
      <c r="I892" s="0" t="n">
        <v>16.94</v>
      </c>
      <c r="J892" s="0" t="n">
        <v>56.01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n">
        <v>72</v>
      </c>
      <c r="X892" s="0" t="n">
        <v>10</v>
      </c>
      <c r="Y892" s="0" t="n">
        <v>9</v>
      </c>
      <c r="Z892" s="0" t="inlineStr">
        <is>
          <t>https://new.land.naver.com/complexes/105273?tab=detail&amp;rf=Y</t>
        </is>
      </c>
      <c r="AA892" s="0" t="inlineStr">
        <is>
          <t>인천시 남동구 구월동 1236</t>
        </is>
      </c>
      <c r="AB892" s="0" t="inlineStr">
        <is>
          <t>인천시</t>
        </is>
      </c>
      <c r="AC892" s="0" t="inlineStr">
        <is>
          <t>남동구</t>
        </is>
      </c>
      <c r="AD892" s="0" t="inlineStr">
        <is>
          <t>구월동</t>
        </is>
      </c>
      <c r="AG892" s="0" t="inlineStr">
        <is>
          <t>인천시 남동구 호구포로765번길 9</t>
        </is>
      </c>
      <c r="AH892" s="0" t="n">
        <v>0</v>
      </c>
      <c r="AI892" s="0" t="n">
        <v>363</v>
      </c>
      <c r="AJ892" s="0" t="n">
        <v>56</v>
      </c>
      <c r="AK892" s="0" t="n">
        <v>12</v>
      </c>
      <c r="AL892" s="0" t="n">
        <v>0.71</v>
      </c>
    </row>
    <row r="893">
      <c r="A893" s="0" t="inlineStr">
        <is>
          <t>[구월동]</t>
        </is>
      </c>
      <c r="B893" s="0" t="n">
        <v>105273</v>
      </c>
      <c r="C893" s="0" t="n">
        <v>2</v>
      </c>
      <c r="D893" s="0" t="inlineStr">
        <is>
          <t>구월와이드빌</t>
        </is>
      </c>
      <c r="E893" s="0" t="inlineStr">
        <is>
          <t>2003.07.</t>
        </is>
      </c>
      <c r="F893" s="0" t="n">
        <v>17</v>
      </c>
      <c r="G893" s="0" t="n">
        <v>23.7</v>
      </c>
      <c r="H893" s="0" t="n">
        <v>78.34999999999999</v>
      </c>
      <c r="I893" s="0" t="n">
        <v>18.22</v>
      </c>
      <c r="J893" s="0" t="n">
        <v>60.25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78</v>
      </c>
      <c r="X893" s="0" t="n">
        <v>10</v>
      </c>
      <c r="Y893" s="0" t="n">
        <v>9</v>
      </c>
      <c r="Z893" s="0" t="inlineStr">
        <is>
          <t>https://new.land.naver.com/complexes/105273?tab=detail&amp;rf=Y</t>
        </is>
      </c>
      <c r="AA893" s="0" t="inlineStr">
        <is>
          <t>인천시 남동구 구월동 1236</t>
        </is>
      </c>
      <c r="AB893" s="0" t="inlineStr">
        <is>
          <t>인천시</t>
        </is>
      </c>
      <c r="AC893" s="0" t="inlineStr">
        <is>
          <t>남동구</t>
        </is>
      </c>
      <c r="AD893" s="0" t="inlineStr">
        <is>
          <t>구월동</t>
        </is>
      </c>
      <c r="AG893" s="0" t="inlineStr">
        <is>
          <t>인천시 남동구 호구포로765번길 9</t>
        </is>
      </c>
      <c r="AH893" s="0" t="n">
        <v>0</v>
      </c>
      <c r="AI893" s="0" t="n">
        <v>363</v>
      </c>
      <c r="AJ893" s="0" t="n">
        <v>56</v>
      </c>
      <c r="AK893" s="0" t="n">
        <v>12</v>
      </c>
      <c r="AL893" s="0" t="n">
        <v>0.71</v>
      </c>
    </row>
    <row r="894">
      <c r="A894" s="0" t="inlineStr">
        <is>
          <t>[구월동]</t>
        </is>
      </c>
      <c r="B894" s="0" t="n">
        <v>105273</v>
      </c>
      <c r="C894" s="0" t="n">
        <v>3</v>
      </c>
      <c r="D894" s="0" t="inlineStr">
        <is>
          <t>구월와이드빌</t>
        </is>
      </c>
      <c r="E894" s="0" t="inlineStr">
        <is>
          <t>2003.07.</t>
        </is>
      </c>
      <c r="F894" s="0" t="n">
        <v>17</v>
      </c>
      <c r="G894" s="0" t="n">
        <v>24.86</v>
      </c>
      <c r="H894" s="0" t="n">
        <v>82.2</v>
      </c>
      <c r="I894" s="0" t="n">
        <v>19.12</v>
      </c>
      <c r="J894" s="0" t="n">
        <v>63.21</v>
      </c>
      <c r="K894" s="0" t="n">
        <v>1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82</v>
      </c>
      <c r="X894" s="0" t="n">
        <v>10</v>
      </c>
      <c r="Y894" s="0" t="n">
        <v>9</v>
      </c>
      <c r="Z894" s="0" t="inlineStr">
        <is>
          <t>https://new.land.naver.com/complexes/105273?tab=detail&amp;rf=Y</t>
        </is>
      </c>
      <c r="AA894" s="0" t="inlineStr">
        <is>
          <t>인천시 남동구 구월동 1236</t>
        </is>
      </c>
      <c r="AB894" s="0" t="inlineStr">
        <is>
          <t>인천시</t>
        </is>
      </c>
      <c r="AC894" s="0" t="inlineStr">
        <is>
          <t>남동구</t>
        </is>
      </c>
      <c r="AD894" s="0" t="inlineStr">
        <is>
          <t>구월동</t>
        </is>
      </c>
      <c r="AG894" s="0" t="inlineStr">
        <is>
          <t>인천시 남동구 호구포로765번길 9</t>
        </is>
      </c>
      <c r="AH894" s="0" t="n">
        <v>0</v>
      </c>
      <c r="AI894" s="0" t="n">
        <v>363</v>
      </c>
      <c r="AJ894" s="0" t="n">
        <v>56</v>
      </c>
      <c r="AK894" s="0" t="n">
        <v>12</v>
      </c>
      <c r="AL894" s="0" t="n">
        <v>0.71</v>
      </c>
    </row>
    <row r="895">
      <c r="A895" s="0" t="inlineStr">
        <is>
          <t>[구월동]</t>
        </is>
      </c>
      <c r="B895" s="0" t="n">
        <v>105273</v>
      </c>
      <c r="C895" s="0" t="n">
        <v>4</v>
      </c>
      <c r="D895" s="0" t="inlineStr">
        <is>
          <t>구월와이드빌</t>
        </is>
      </c>
      <c r="E895" s="0" t="inlineStr">
        <is>
          <t>2003.07.</t>
        </is>
      </c>
      <c r="F895" s="0" t="n">
        <v>17</v>
      </c>
      <c r="G895" s="0" t="n">
        <v>26.1</v>
      </c>
      <c r="H895" s="0" t="n">
        <v>86.31</v>
      </c>
      <c r="I895" s="0" t="n">
        <v>20.07</v>
      </c>
      <c r="J895" s="0" t="n">
        <v>66.37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86</v>
      </c>
      <c r="X895" s="0" t="n">
        <v>10</v>
      </c>
      <c r="Y895" s="0" t="n">
        <v>9</v>
      </c>
      <c r="Z895" s="0" t="inlineStr">
        <is>
          <t>https://new.land.naver.com/complexes/105273?tab=detail&amp;rf=Y</t>
        </is>
      </c>
      <c r="AA895" s="0" t="inlineStr">
        <is>
          <t>인천시 남동구 구월동 1236</t>
        </is>
      </c>
      <c r="AB895" s="0" t="inlineStr">
        <is>
          <t>인천시</t>
        </is>
      </c>
      <c r="AC895" s="0" t="inlineStr">
        <is>
          <t>남동구</t>
        </is>
      </c>
      <c r="AD895" s="0" t="inlineStr">
        <is>
          <t>구월동</t>
        </is>
      </c>
      <c r="AG895" s="0" t="inlineStr">
        <is>
          <t>인천시 남동구 호구포로765번길 9</t>
        </is>
      </c>
      <c r="AH895" s="0" t="n">
        <v>0</v>
      </c>
      <c r="AI895" s="0" t="n">
        <v>363</v>
      </c>
      <c r="AJ895" s="0" t="n">
        <v>56</v>
      </c>
      <c r="AK895" s="0" t="n">
        <v>12</v>
      </c>
      <c r="AL895" s="0" t="n">
        <v>0.71</v>
      </c>
    </row>
    <row r="896">
      <c r="A896" s="0" t="inlineStr">
        <is>
          <t>[구월동]</t>
        </is>
      </c>
      <c r="B896" s="0" t="n">
        <v>105273</v>
      </c>
      <c r="C896" s="0" t="n">
        <v>5</v>
      </c>
      <c r="D896" s="0" t="inlineStr">
        <is>
          <t>구월와이드빌</t>
        </is>
      </c>
      <c r="E896" s="0" t="inlineStr">
        <is>
          <t>2003.07.</t>
        </is>
      </c>
      <c r="F896" s="0" t="n">
        <v>17</v>
      </c>
      <c r="G896" s="0" t="n">
        <v>29.24</v>
      </c>
      <c r="H896" s="0" t="n">
        <v>96.68000000000001</v>
      </c>
      <c r="I896" s="0" t="n">
        <v>22.49</v>
      </c>
      <c r="J896" s="0" t="n">
        <v>74.34999999999999</v>
      </c>
      <c r="K896" s="0" t="n">
        <v>1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96</v>
      </c>
      <c r="X896" s="0" t="n">
        <v>10</v>
      </c>
      <c r="Y896" s="0" t="n">
        <v>9</v>
      </c>
      <c r="Z896" s="0" t="inlineStr">
        <is>
          <t>https://new.land.naver.com/complexes/105273?tab=detail&amp;rf=Y</t>
        </is>
      </c>
      <c r="AA896" s="0" t="inlineStr">
        <is>
          <t>인천시 남동구 구월동 1236</t>
        </is>
      </c>
      <c r="AB896" s="0" t="inlineStr">
        <is>
          <t>인천시</t>
        </is>
      </c>
      <c r="AC896" s="0" t="inlineStr">
        <is>
          <t>남동구</t>
        </is>
      </c>
      <c r="AD896" s="0" t="inlineStr">
        <is>
          <t>구월동</t>
        </is>
      </c>
      <c r="AG896" s="0" t="inlineStr">
        <is>
          <t>인천시 남동구 호구포로765번길 9</t>
        </is>
      </c>
      <c r="AH896" s="0" t="n">
        <v>0</v>
      </c>
      <c r="AI896" s="0" t="n">
        <v>363</v>
      </c>
      <c r="AJ896" s="0" t="n">
        <v>56</v>
      </c>
      <c r="AK896" s="0" t="n">
        <v>12</v>
      </c>
      <c r="AL896" s="0" t="n">
        <v>0.71</v>
      </c>
    </row>
    <row r="897">
      <c r="A897" s="0" t="inlineStr">
        <is>
          <t>[구월동]</t>
        </is>
      </c>
      <c r="B897" s="0" t="n">
        <v>105273</v>
      </c>
      <c r="C897" s="0" t="n">
        <v>6</v>
      </c>
      <c r="D897" s="0" t="inlineStr">
        <is>
          <t>구월와이드빌</t>
        </is>
      </c>
      <c r="E897" s="0" t="inlineStr">
        <is>
          <t>2003.07.</t>
        </is>
      </c>
      <c r="F897" s="0" t="n">
        <v>17</v>
      </c>
      <c r="G897" s="0" t="n">
        <v>29.8</v>
      </c>
      <c r="H897" s="0" t="n">
        <v>98.53</v>
      </c>
      <c r="I897" s="0" t="n">
        <v>22.92</v>
      </c>
      <c r="J897" s="0" t="n">
        <v>75.77</v>
      </c>
      <c r="K897" s="0" t="n">
        <v>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98</v>
      </c>
      <c r="X897" s="0" t="n">
        <v>10</v>
      </c>
      <c r="Y897" s="0" t="n">
        <v>9</v>
      </c>
      <c r="Z897" s="0" t="inlineStr">
        <is>
          <t>https://new.land.naver.com/complexes/105273?tab=detail&amp;rf=Y</t>
        </is>
      </c>
      <c r="AA897" s="0" t="inlineStr">
        <is>
          <t>인천시 남동구 구월동 1236</t>
        </is>
      </c>
      <c r="AB897" s="0" t="inlineStr">
        <is>
          <t>인천시</t>
        </is>
      </c>
      <c r="AC897" s="0" t="inlineStr">
        <is>
          <t>남동구</t>
        </is>
      </c>
      <c r="AD897" s="0" t="inlineStr">
        <is>
          <t>구월동</t>
        </is>
      </c>
      <c r="AG897" s="0" t="inlineStr">
        <is>
          <t>인천시 남동구 호구포로765번길 9</t>
        </is>
      </c>
      <c r="AH897" s="0" t="n">
        <v>0</v>
      </c>
      <c r="AI897" s="0" t="n">
        <v>363</v>
      </c>
      <c r="AJ897" s="0" t="n">
        <v>56</v>
      </c>
      <c r="AK897" s="0" t="n">
        <v>12</v>
      </c>
      <c r="AL897" s="0" t="n">
        <v>0.71</v>
      </c>
    </row>
    <row r="898">
      <c r="A898" s="0" t="inlineStr">
        <is>
          <t>[구월동]</t>
        </is>
      </c>
      <c r="B898" s="0" t="n">
        <v>105273</v>
      </c>
      <c r="C898" s="0" t="n">
        <v>7</v>
      </c>
      <c r="D898" s="0" t="inlineStr">
        <is>
          <t>구월와이드빌</t>
        </is>
      </c>
      <c r="E898" s="0" t="inlineStr">
        <is>
          <t>2003.07.</t>
        </is>
      </c>
      <c r="F898" s="0" t="n">
        <v>17</v>
      </c>
      <c r="G898" s="0" t="n">
        <v>31.7</v>
      </c>
      <c r="H898" s="0" t="n">
        <v>104.82</v>
      </c>
      <c r="I898" s="0" t="n">
        <v>24.38</v>
      </c>
      <c r="J898" s="0" t="n">
        <v>80.61</v>
      </c>
      <c r="K898" s="0" t="n">
        <v>1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104</v>
      </c>
      <c r="X898" s="0" t="n">
        <v>10</v>
      </c>
      <c r="Y898" s="0" t="n">
        <v>9</v>
      </c>
      <c r="Z898" s="0" t="inlineStr">
        <is>
          <t>https://new.land.naver.com/complexes/105273?tab=detail&amp;rf=Y</t>
        </is>
      </c>
      <c r="AA898" s="0" t="inlineStr">
        <is>
          <t>인천시 남동구 구월동 1236</t>
        </is>
      </c>
      <c r="AB898" s="0" t="inlineStr">
        <is>
          <t>인천시</t>
        </is>
      </c>
      <c r="AC898" s="0" t="inlineStr">
        <is>
          <t>남동구</t>
        </is>
      </c>
      <c r="AD898" s="0" t="inlineStr">
        <is>
          <t>구월동</t>
        </is>
      </c>
      <c r="AG898" s="0" t="inlineStr">
        <is>
          <t>인천시 남동구 호구포로765번길 9</t>
        </is>
      </c>
      <c r="AH898" s="0" t="n">
        <v>0</v>
      </c>
      <c r="AI898" s="0" t="n">
        <v>363</v>
      </c>
      <c r="AJ898" s="0" t="n">
        <v>56</v>
      </c>
      <c r="AK898" s="0" t="n">
        <v>12</v>
      </c>
      <c r="AL898" s="0" t="n">
        <v>0.71</v>
      </c>
    </row>
    <row r="899">
      <c r="A899" s="0" t="inlineStr">
        <is>
          <t>[구월동]</t>
        </is>
      </c>
      <c r="B899" s="0" t="n">
        <v>105273</v>
      </c>
      <c r="C899" s="0" t="n">
        <v>8</v>
      </c>
      <c r="D899" s="0" t="inlineStr">
        <is>
          <t>구월와이드빌</t>
        </is>
      </c>
      <c r="E899" s="0" t="inlineStr">
        <is>
          <t>2003.07.</t>
        </is>
      </c>
      <c r="F899" s="0" t="n">
        <v>17</v>
      </c>
      <c r="G899" s="0" t="n">
        <v>33.35</v>
      </c>
      <c r="H899" s="0" t="n">
        <v>110.27</v>
      </c>
      <c r="I899" s="0" t="n">
        <v>25.65</v>
      </c>
      <c r="J899" s="0" t="n">
        <v>84.8</v>
      </c>
      <c r="K899" s="0" t="n">
        <v>1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110</v>
      </c>
      <c r="X899" s="0" t="n">
        <v>10</v>
      </c>
      <c r="Y899" s="0" t="n">
        <v>9</v>
      </c>
      <c r="Z899" s="0" t="inlineStr">
        <is>
          <t>https://new.land.naver.com/complexes/105273?tab=detail&amp;rf=Y</t>
        </is>
      </c>
      <c r="AA899" s="0" t="inlineStr">
        <is>
          <t>인천시 남동구 구월동 1236</t>
        </is>
      </c>
      <c r="AB899" s="0" t="inlineStr">
        <is>
          <t>인천시</t>
        </is>
      </c>
      <c r="AC899" s="0" t="inlineStr">
        <is>
          <t>남동구</t>
        </is>
      </c>
      <c r="AD899" s="0" t="inlineStr">
        <is>
          <t>구월동</t>
        </is>
      </c>
      <c r="AG899" s="0" t="inlineStr">
        <is>
          <t>인천시 남동구 호구포로765번길 9</t>
        </is>
      </c>
      <c r="AH899" s="0" t="n">
        <v>0</v>
      </c>
      <c r="AI899" s="0" t="n">
        <v>363</v>
      </c>
      <c r="AJ899" s="0" t="n">
        <v>56</v>
      </c>
      <c r="AK899" s="0" t="n">
        <v>12</v>
      </c>
      <c r="AL899" s="0" t="n">
        <v>0.71</v>
      </c>
    </row>
    <row r="900">
      <c r="A900" s="0" t="inlineStr">
        <is>
          <t>[구월동]</t>
        </is>
      </c>
      <c r="B900" s="0" t="n">
        <v>105273</v>
      </c>
      <c r="C900" s="0" t="n">
        <v>9</v>
      </c>
      <c r="D900" s="0" t="inlineStr">
        <is>
          <t>구월와이드빌</t>
        </is>
      </c>
      <c r="E900" s="0" t="inlineStr">
        <is>
          <t>2003.07.</t>
        </is>
      </c>
      <c r="F900" s="0" t="n">
        <v>17</v>
      </c>
      <c r="G900" s="0" t="n">
        <v>35.97</v>
      </c>
      <c r="H900" s="0" t="n">
        <v>118.94</v>
      </c>
      <c r="I900" s="0" t="n">
        <v>27.66</v>
      </c>
      <c r="J900" s="0" t="n">
        <v>91.45999999999999</v>
      </c>
      <c r="K900" s="0" t="n">
        <v>3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118A</t>
        </is>
      </c>
      <c r="X900" s="0" t="n">
        <v>10</v>
      </c>
      <c r="Y900" s="0" t="n">
        <v>9</v>
      </c>
      <c r="Z900" s="0" t="inlineStr">
        <is>
          <t>https://new.land.naver.com/complexes/105273?tab=detail&amp;rf=Y</t>
        </is>
      </c>
      <c r="AA900" s="0" t="inlineStr">
        <is>
          <t>인천시 남동구 구월동 1236</t>
        </is>
      </c>
      <c r="AB900" s="0" t="inlineStr">
        <is>
          <t>인천시</t>
        </is>
      </c>
      <c r="AC900" s="0" t="inlineStr">
        <is>
          <t>남동구</t>
        </is>
      </c>
      <c r="AD900" s="0" t="inlineStr">
        <is>
          <t>구월동</t>
        </is>
      </c>
      <c r="AG900" s="0" t="inlineStr">
        <is>
          <t>인천시 남동구 호구포로765번길 9</t>
        </is>
      </c>
      <c r="AH900" s="0" t="n">
        <v>0</v>
      </c>
      <c r="AI900" s="0" t="n">
        <v>363</v>
      </c>
      <c r="AJ900" s="0" t="n">
        <v>56</v>
      </c>
      <c r="AK900" s="0" t="n">
        <v>12</v>
      </c>
      <c r="AL900" s="0" t="n">
        <v>0.71</v>
      </c>
    </row>
    <row r="901">
      <c r="A901" s="0" t="inlineStr">
        <is>
          <t>[구월동]</t>
        </is>
      </c>
      <c r="B901" s="0" t="n">
        <v>105273</v>
      </c>
      <c r="C901" s="0" t="n">
        <v>10</v>
      </c>
      <c r="D901" s="0" t="inlineStr">
        <is>
          <t>구월와이드빌</t>
        </is>
      </c>
      <c r="E901" s="0" t="inlineStr">
        <is>
          <t>2003.07.</t>
        </is>
      </c>
      <c r="F901" s="0" t="n">
        <v>17</v>
      </c>
      <c r="G901" s="0" t="n">
        <v>36.45</v>
      </c>
      <c r="H901" s="0" t="n">
        <v>120.52</v>
      </c>
      <c r="I901" s="0" t="n">
        <v>28.03</v>
      </c>
      <c r="J901" s="0" t="n">
        <v>92.68000000000001</v>
      </c>
      <c r="K901" s="0" t="n">
        <v>1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120B</t>
        </is>
      </c>
      <c r="X901" s="0" t="n">
        <v>10</v>
      </c>
      <c r="Y901" s="0" t="n">
        <v>9</v>
      </c>
      <c r="Z901" s="0" t="inlineStr">
        <is>
          <t>https://new.land.naver.com/complexes/105273?tab=detail&amp;rf=Y</t>
        </is>
      </c>
      <c r="AA901" s="0" t="inlineStr">
        <is>
          <t>인천시 남동구 구월동 1236</t>
        </is>
      </c>
      <c r="AB901" s="0" t="inlineStr">
        <is>
          <t>인천시</t>
        </is>
      </c>
      <c r="AC901" s="0" t="inlineStr">
        <is>
          <t>남동구</t>
        </is>
      </c>
      <c r="AD901" s="0" t="inlineStr">
        <is>
          <t>구월동</t>
        </is>
      </c>
      <c r="AG901" s="0" t="inlineStr">
        <is>
          <t>인천시 남동구 호구포로765번길 9</t>
        </is>
      </c>
      <c r="AH901" s="0" t="n">
        <v>0</v>
      </c>
      <c r="AI901" s="0" t="n">
        <v>363</v>
      </c>
      <c r="AJ901" s="0" t="n">
        <v>56</v>
      </c>
      <c r="AK901" s="0" t="n">
        <v>12</v>
      </c>
      <c r="AL901" s="0" t="n">
        <v>0.71</v>
      </c>
    </row>
    <row r="902">
      <c r="A902" s="0" t="inlineStr">
        <is>
          <t>[구월동]</t>
        </is>
      </c>
      <c r="B902" s="0" t="n">
        <v>105273</v>
      </c>
      <c r="C902" s="0" t="n">
        <v>11</v>
      </c>
      <c r="D902" s="0" t="inlineStr">
        <is>
          <t>구월와이드빌</t>
        </is>
      </c>
      <c r="E902" s="0" t="inlineStr">
        <is>
          <t>2003.07.</t>
        </is>
      </c>
      <c r="F902" s="0" t="n">
        <v>17</v>
      </c>
      <c r="G902" s="0" t="n">
        <v>37.02</v>
      </c>
      <c r="H902" s="0" t="n">
        <v>122.39</v>
      </c>
      <c r="I902" s="0" t="n">
        <v>28.47</v>
      </c>
      <c r="J902" s="0" t="n">
        <v>94.12</v>
      </c>
      <c r="K902" s="0" t="n">
        <v>1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122</v>
      </c>
      <c r="X902" s="0" t="n">
        <v>10</v>
      </c>
      <c r="Y902" s="0" t="n">
        <v>9</v>
      </c>
      <c r="Z902" s="0" t="inlineStr">
        <is>
          <t>https://new.land.naver.com/complexes/105273?tab=detail&amp;rf=Y</t>
        </is>
      </c>
      <c r="AA902" s="0" t="inlineStr">
        <is>
          <t>인천시 남동구 구월동 1236</t>
        </is>
      </c>
      <c r="AB902" s="0" t="inlineStr">
        <is>
          <t>인천시</t>
        </is>
      </c>
      <c r="AC902" s="0" t="inlineStr">
        <is>
          <t>남동구</t>
        </is>
      </c>
      <c r="AD902" s="0" t="inlineStr">
        <is>
          <t>구월동</t>
        </is>
      </c>
      <c r="AG902" s="0" t="inlineStr">
        <is>
          <t>인천시 남동구 호구포로765번길 9</t>
        </is>
      </c>
      <c r="AH902" s="0" t="n">
        <v>0</v>
      </c>
      <c r="AI902" s="0" t="n">
        <v>363</v>
      </c>
      <c r="AJ902" s="0" t="n">
        <v>56</v>
      </c>
      <c r="AK902" s="0" t="n">
        <v>12</v>
      </c>
      <c r="AL902" s="0" t="n">
        <v>0.71</v>
      </c>
    </row>
    <row r="903">
      <c r="A903" s="0" t="inlineStr">
        <is>
          <t>[구월동]</t>
        </is>
      </c>
      <c r="B903" s="0" t="n">
        <v>105273</v>
      </c>
      <c r="C903" s="0" t="n">
        <v>12</v>
      </c>
      <c r="D903" s="0" t="inlineStr">
        <is>
          <t>구월와이드빌</t>
        </is>
      </c>
      <c r="E903" s="0" t="inlineStr">
        <is>
          <t>2003.07.</t>
        </is>
      </c>
      <c r="F903" s="0" t="n">
        <v>17</v>
      </c>
      <c r="G903" s="0" t="n">
        <v>39.78</v>
      </c>
      <c r="H903" s="0" t="n">
        <v>131.52</v>
      </c>
      <c r="I903" s="0" t="n">
        <v>30.59</v>
      </c>
      <c r="J903" s="0" t="n">
        <v>101.14</v>
      </c>
      <c r="K903" s="0" t="n">
        <v>1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131</v>
      </c>
      <c r="X903" s="0" t="n">
        <v>10</v>
      </c>
      <c r="Y903" s="0" t="n">
        <v>9</v>
      </c>
      <c r="Z903" s="0" t="inlineStr">
        <is>
          <t>https://new.land.naver.com/complexes/105273?tab=detail&amp;rf=Y</t>
        </is>
      </c>
      <c r="AA903" s="0" t="inlineStr">
        <is>
          <t>인천시 남동구 구월동 1236</t>
        </is>
      </c>
      <c r="AB903" s="0" t="inlineStr">
        <is>
          <t>인천시</t>
        </is>
      </c>
      <c r="AC903" s="0" t="inlineStr">
        <is>
          <t>남동구</t>
        </is>
      </c>
      <c r="AD903" s="0" t="inlineStr">
        <is>
          <t>구월동</t>
        </is>
      </c>
      <c r="AG903" s="0" t="inlineStr">
        <is>
          <t>인천시 남동구 호구포로765번길 9</t>
        </is>
      </c>
      <c r="AH903" s="0" t="n">
        <v>0</v>
      </c>
      <c r="AI903" s="0" t="n">
        <v>363</v>
      </c>
      <c r="AJ903" s="0" t="n">
        <v>56</v>
      </c>
      <c r="AK903" s="0" t="n">
        <v>12</v>
      </c>
      <c r="AL903" s="0" t="n">
        <v>0.71</v>
      </c>
    </row>
    <row r="904">
      <c r="A904" s="0" t="inlineStr">
        <is>
          <t>[구월동]</t>
        </is>
      </c>
      <c r="B904" s="0" t="n">
        <v>105980</v>
      </c>
      <c r="C904" s="0" t="n">
        <v>1</v>
      </c>
      <c r="D904" s="0" t="inlineStr">
        <is>
          <t>아트뷰(도시형)</t>
        </is>
      </c>
      <c r="E904" s="0" t="inlineStr">
        <is>
          <t>2012.09.</t>
        </is>
      </c>
      <c r="F904" s="0" t="n">
        <v>126</v>
      </c>
      <c r="G904" s="0" t="n">
        <v>6.46</v>
      </c>
      <c r="H904" s="0" t="n">
        <v>21.37</v>
      </c>
      <c r="I904" s="0" t="n">
        <v>3.68</v>
      </c>
      <c r="J904" s="0" t="n">
        <v>12.17</v>
      </c>
      <c r="K904" s="0" t="n">
        <v>18</v>
      </c>
      <c r="T904" s="0" t="n">
        <v>1</v>
      </c>
      <c r="U904" s="0" t="n">
        <v>1</v>
      </c>
      <c r="V904" s="0" t="inlineStr">
        <is>
          <t>복합식</t>
        </is>
      </c>
      <c r="W904" s="0" t="n">
        <v>21</v>
      </c>
      <c r="X904" s="0" t="n">
        <v>13</v>
      </c>
      <c r="Y904" s="0" t="n">
        <v>13</v>
      </c>
      <c r="Z904" s="0" t="inlineStr">
        <is>
          <t>https://new.land.naver.com/complexes/105980?tab=detail&amp;rf=Y</t>
        </is>
      </c>
      <c r="AA904" s="0" t="inlineStr">
        <is>
          <t>인천시 남동구 구월동 1128-1</t>
        </is>
      </c>
      <c r="AB904" s="0" t="inlineStr">
        <is>
          <t>인천시</t>
        </is>
      </c>
      <c r="AC904" s="0" t="inlineStr">
        <is>
          <t>남동구</t>
        </is>
      </c>
      <c r="AD904" s="0" t="inlineStr">
        <is>
          <t>구월동</t>
        </is>
      </c>
      <c r="AG904" s="0" t="inlineStr">
        <is>
          <t>인천시 남동구 예술로192번길 32</t>
        </is>
      </c>
      <c r="AH904" s="0" t="n">
        <v>0</v>
      </c>
      <c r="AI904" s="0" t="n">
        <v>576</v>
      </c>
      <c r="AJ904" s="0" t="n">
        <v>56</v>
      </c>
      <c r="AK904" s="0" t="n">
        <v>31</v>
      </c>
      <c r="AL904" s="0" t="n">
        <v>0.25</v>
      </c>
    </row>
    <row r="905">
      <c r="A905" s="0" t="inlineStr">
        <is>
          <t>[구월동]</t>
        </is>
      </c>
      <c r="B905" s="0" t="n">
        <v>105980</v>
      </c>
      <c r="C905" s="0" t="n">
        <v>2</v>
      </c>
      <c r="D905" s="0" t="inlineStr">
        <is>
          <t>아트뷰(도시형)</t>
        </is>
      </c>
      <c r="E905" s="0" t="inlineStr">
        <is>
          <t>2012.09.</t>
        </is>
      </c>
      <c r="F905" s="0" t="n">
        <v>126</v>
      </c>
      <c r="G905" s="0" t="n">
        <v>7.28</v>
      </c>
      <c r="H905" s="0" t="n">
        <v>24.09</v>
      </c>
      <c r="I905" s="0" t="n">
        <v>4.15</v>
      </c>
      <c r="J905" s="0" t="n">
        <v>13.72</v>
      </c>
      <c r="K905" s="0" t="n">
        <v>36</v>
      </c>
      <c r="T905" s="0" t="n">
        <v>1</v>
      </c>
      <c r="U905" s="0" t="n">
        <v>1</v>
      </c>
      <c r="V905" s="0" t="inlineStr">
        <is>
          <t>복합식</t>
        </is>
      </c>
      <c r="W905" s="0" t="inlineStr">
        <is>
          <t>24A</t>
        </is>
      </c>
      <c r="X905" s="0" t="n">
        <v>13</v>
      </c>
      <c r="Y905" s="0" t="n">
        <v>13</v>
      </c>
      <c r="Z905" s="0" t="inlineStr">
        <is>
          <t>https://new.land.naver.com/complexes/105980?tab=detail&amp;rf=Y</t>
        </is>
      </c>
      <c r="AA905" s="0" t="inlineStr">
        <is>
          <t>인천시 남동구 구월동 1128-1</t>
        </is>
      </c>
      <c r="AB905" s="0" t="inlineStr">
        <is>
          <t>인천시</t>
        </is>
      </c>
      <c r="AC905" s="0" t="inlineStr">
        <is>
          <t>남동구</t>
        </is>
      </c>
      <c r="AD905" s="0" t="inlineStr">
        <is>
          <t>구월동</t>
        </is>
      </c>
      <c r="AG905" s="0" t="inlineStr">
        <is>
          <t>인천시 남동구 예술로192번길 32</t>
        </is>
      </c>
      <c r="AH905" s="0" t="n">
        <v>0</v>
      </c>
      <c r="AI905" s="0" t="n">
        <v>576</v>
      </c>
      <c r="AJ905" s="0" t="n">
        <v>56</v>
      </c>
      <c r="AK905" s="0" t="n">
        <v>31</v>
      </c>
      <c r="AL905" s="0" t="n">
        <v>0.25</v>
      </c>
    </row>
    <row r="906">
      <c r="A906" s="0" t="inlineStr">
        <is>
          <t>[구월동]</t>
        </is>
      </c>
      <c r="B906" s="0" t="n">
        <v>105980</v>
      </c>
      <c r="C906" s="0" t="n">
        <v>3</v>
      </c>
      <c r="D906" s="0" t="inlineStr">
        <is>
          <t>아트뷰(도시형)</t>
        </is>
      </c>
      <c r="E906" s="0" t="inlineStr">
        <is>
          <t>2012.09.</t>
        </is>
      </c>
      <c r="F906" s="0" t="n">
        <v>126</v>
      </c>
      <c r="G906" s="0" t="n">
        <v>7.33</v>
      </c>
      <c r="H906" s="0" t="n">
        <v>24.26</v>
      </c>
      <c r="I906" s="0" t="n">
        <v>4.17</v>
      </c>
      <c r="J906" s="0" t="n">
        <v>13.81</v>
      </c>
      <c r="K906" s="0" t="n">
        <v>18</v>
      </c>
      <c r="T906" s="0" t="n">
        <v>1</v>
      </c>
      <c r="U906" s="0" t="n">
        <v>1</v>
      </c>
      <c r="V906" s="0" t="inlineStr">
        <is>
          <t>복합식</t>
        </is>
      </c>
      <c r="W906" s="0" t="inlineStr">
        <is>
          <t>24B</t>
        </is>
      </c>
      <c r="X906" s="0" t="n">
        <v>13</v>
      </c>
      <c r="Y906" s="0" t="n">
        <v>13</v>
      </c>
      <c r="Z906" s="0" t="inlineStr">
        <is>
          <t>https://new.land.naver.com/complexes/105980?tab=detail&amp;rf=Y</t>
        </is>
      </c>
      <c r="AA906" s="0" t="inlineStr">
        <is>
          <t>인천시 남동구 구월동 1128-1</t>
        </is>
      </c>
      <c r="AB906" s="0" t="inlineStr">
        <is>
          <t>인천시</t>
        </is>
      </c>
      <c r="AC906" s="0" t="inlineStr">
        <is>
          <t>남동구</t>
        </is>
      </c>
      <c r="AD906" s="0" t="inlineStr">
        <is>
          <t>구월동</t>
        </is>
      </c>
      <c r="AG906" s="0" t="inlineStr">
        <is>
          <t>인천시 남동구 예술로192번길 32</t>
        </is>
      </c>
      <c r="AH906" s="0" t="n">
        <v>0</v>
      </c>
      <c r="AI906" s="0" t="n">
        <v>576</v>
      </c>
      <c r="AJ906" s="0" t="n">
        <v>56</v>
      </c>
      <c r="AK906" s="0" t="n">
        <v>31</v>
      </c>
      <c r="AL906" s="0" t="n">
        <v>0.25</v>
      </c>
    </row>
    <row r="907">
      <c r="A907" s="0" t="inlineStr">
        <is>
          <t>[구월동]</t>
        </is>
      </c>
      <c r="B907" s="0" t="n">
        <v>105980</v>
      </c>
      <c r="C907" s="0" t="n">
        <v>4</v>
      </c>
      <c r="D907" s="0" t="inlineStr">
        <is>
          <t>아트뷰(도시형)</t>
        </is>
      </c>
      <c r="E907" s="0" t="inlineStr">
        <is>
          <t>2012.09.</t>
        </is>
      </c>
      <c r="F907" s="0" t="n">
        <v>126</v>
      </c>
      <c r="G907" s="0" t="n">
        <v>7.62</v>
      </c>
      <c r="H907" s="0" t="n">
        <v>25.2</v>
      </c>
      <c r="I907" s="0" t="n">
        <v>4.34</v>
      </c>
      <c r="J907" s="0" t="n">
        <v>14.35</v>
      </c>
      <c r="K907" s="0" t="n">
        <v>36</v>
      </c>
      <c r="T907" s="0" t="n">
        <v>1</v>
      </c>
      <c r="U907" s="0" t="n">
        <v>1</v>
      </c>
      <c r="V907" s="0" t="inlineStr">
        <is>
          <t>복합식</t>
        </is>
      </c>
      <c r="W907" s="0" t="inlineStr">
        <is>
          <t>25A</t>
        </is>
      </c>
      <c r="X907" s="0" t="n">
        <v>13</v>
      </c>
      <c r="Y907" s="0" t="n">
        <v>13</v>
      </c>
      <c r="Z907" s="0" t="inlineStr">
        <is>
          <t>https://new.land.naver.com/complexes/105980?tab=detail&amp;rf=Y</t>
        </is>
      </c>
      <c r="AA907" s="0" t="inlineStr">
        <is>
          <t>인천시 남동구 구월동 1128-1</t>
        </is>
      </c>
      <c r="AB907" s="0" t="inlineStr">
        <is>
          <t>인천시</t>
        </is>
      </c>
      <c r="AC907" s="0" t="inlineStr">
        <is>
          <t>남동구</t>
        </is>
      </c>
      <c r="AD907" s="0" t="inlineStr">
        <is>
          <t>구월동</t>
        </is>
      </c>
      <c r="AG907" s="0" t="inlineStr">
        <is>
          <t>인천시 남동구 예술로192번길 32</t>
        </is>
      </c>
      <c r="AH907" s="0" t="n">
        <v>0</v>
      </c>
      <c r="AI907" s="0" t="n">
        <v>576</v>
      </c>
      <c r="AJ907" s="0" t="n">
        <v>56</v>
      </c>
      <c r="AK907" s="0" t="n">
        <v>31</v>
      </c>
      <c r="AL907" s="0" t="n">
        <v>0.25</v>
      </c>
    </row>
    <row r="908">
      <c r="A908" s="0" t="inlineStr">
        <is>
          <t>[구월동]</t>
        </is>
      </c>
      <c r="B908" s="0" t="n">
        <v>105980</v>
      </c>
      <c r="C908" s="0" t="n">
        <v>5</v>
      </c>
      <c r="D908" s="0" t="inlineStr">
        <is>
          <t>아트뷰(도시형)</t>
        </is>
      </c>
      <c r="E908" s="0" t="inlineStr">
        <is>
          <t>2012.09.</t>
        </is>
      </c>
      <c r="F908" s="0" t="n">
        <v>126</v>
      </c>
      <c r="G908" s="0" t="n">
        <v>7.67</v>
      </c>
      <c r="H908" s="0" t="n">
        <v>25.37</v>
      </c>
      <c r="I908" s="0" t="n">
        <v>4.36</v>
      </c>
      <c r="J908" s="0" t="n">
        <v>14.44</v>
      </c>
      <c r="K908" s="0" t="n">
        <v>18</v>
      </c>
      <c r="T908" s="0" t="n">
        <v>1</v>
      </c>
      <c r="U908" s="0" t="n">
        <v>1</v>
      </c>
      <c r="V908" s="0" t="inlineStr">
        <is>
          <t>복합식</t>
        </is>
      </c>
      <c r="W908" s="0" t="inlineStr">
        <is>
          <t>25B</t>
        </is>
      </c>
      <c r="X908" s="0" t="n">
        <v>13</v>
      </c>
      <c r="Y908" s="0" t="n">
        <v>13</v>
      </c>
      <c r="Z908" s="0" t="inlineStr">
        <is>
          <t>https://new.land.naver.com/complexes/105980?tab=detail&amp;rf=Y</t>
        </is>
      </c>
      <c r="AA908" s="0" t="inlineStr">
        <is>
          <t>인천시 남동구 구월동 1128-1</t>
        </is>
      </c>
      <c r="AB908" s="0" t="inlineStr">
        <is>
          <t>인천시</t>
        </is>
      </c>
      <c r="AC908" s="0" t="inlineStr">
        <is>
          <t>남동구</t>
        </is>
      </c>
      <c r="AD908" s="0" t="inlineStr">
        <is>
          <t>구월동</t>
        </is>
      </c>
      <c r="AG908" s="0" t="inlineStr">
        <is>
          <t>인천시 남동구 예술로192번길 32</t>
        </is>
      </c>
      <c r="AH908" s="0" t="n">
        <v>0</v>
      </c>
      <c r="AI908" s="0" t="n">
        <v>576</v>
      </c>
      <c r="AJ908" s="0" t="n">
        <v>56</v>
      </c>
      <c r="AK908" s="0" t="n">
        <v>31</v>
      </c>
      <c r="AL908" s="0" t="n">
        <v>0.25</v>
      </c>
    </row>
    <row r="909">
      <c r="A909" s="0" t="inlineStr">
        <is>
          <t>[구월동]</t>
        </is>
      </c>
      <c r="B909" s="0" t="n">
        <v>105001</v>
      </c>
      <c r="C909" s="0" t="n">
        <v>1</v>
      </c>
      <c r="D909" s="0" t="inlineStr">
        <is>
          <t>구월아시아드선수촌2단지</t>
        </is>
      </c>
      <c r="E909" s="0" t="inlineStr">
        <is>
          <t>2015.06.</t>
        </is>
      </c>
      <c r="F909" s="0" t="n">
        <v>636</v>
      </c>
      <c r="G909" s="0" t="n">
        <v>22.3</v>
      </c>
      <c r="H909" s="0" t="n">
        <v>73.73</v>
      </c>
      <c r="I909" s="0" t="n">
        <v>15.59</v>
      </c>
      <c r="J909" s="0" t="n">
        <v>51.56</v>
      </c>
      <c r="K909" s="0" t="n">
        <v>154</v>
      </c>
      <c r="T909" s="0" t="n">
        <v>2</v>
      </c>
      <c r="U909" s="0" t="n">
        <v>1</v>
      </c>
      <c r="V909" s="0" t="inlineStr">
        <is>
          <t>계단식</t>
        </is>
      </c>
      <c r="W909" s="0" t="inlineStr">
        <is>
          <t>73B</t>
        </is>
      </c>
      <c r="X909" s="0" t="n">
        <v>29</v>
      </c>
      <c r="Y909" s="0" t="n">
        <v>8</v>
      </c>
      <c r="Z909" s="0" t="inlineStr">
        <is>
          <t>https://new.land.naver.com/complexes/105001?tab=detail&amp;rf=Y</t>
        </is>
      </c>
      <c r="AA909" s="0" t="inlineStr">
        <is>
          <t>인천시 남동구 구월동 1485</t>
        </is>
      </c>
      <c r="AB909" s="0" t="inlineStr">
        <is>
          <t>인천시</t>
        </is>
      </c>
      <c r="AC909" s="0" t="inlineStr">
        <is>
          <t>남동구</t>
        </is>
      </c>
      <c r="AD909" s="0" t="inlineStr">
        <is>
          <t>구월동</t>
        </is>
      </c>
      <c r="AG909" s="0" t="inlineStr">
        <is>
          <t>인천시 남동구 선수촌공원로 96</t>
        </is>
      </c>
      <c r="AH909" s="0" t="n">
        <v>0</v>
      </c>
      <c r="AI909" s="0" t="n">
        <v>179</v>
      </c>
      <c r="AJ909" s="0" t="n">
        <v>15</v>
      </c>
      <c r="AK909" s="0" t="n">
        <v>648</v>
      </c>
      <c r="AL909" s="0" t="n">
        <v>1.02</v>
      </c>
    </row>
    <row r="910">
      <c r="A910" s="0" t="inlineStr">
        <is>
          <t>[구월동]</t>
        </is>
      </c>
      <c r="B910" s="0" t="n">
        <v>105001</v>
      </c>
      <c r="C910" s="0" t="n">
        <v>2</v>
      </c>
      <c r="D910" s="0" t="inlineStr">
        <is>
          <t>구월아시아드선수촌2단지</t>
        </is>
      </c>
      <c r="E910" s="0" t="inlineStr">
        <is>
          <t>2015.06.</t>
        </is>
      </c>
      <c r="F910" s="0" t="n">
        <v>636</v>
      </c>
      <c r="G910" s="0" t="n">
        <v>22.46</v>
      </c>
      <c r="H910" s="0" t="n">
        <v>74.25</v>
      </c>
      <c r="I910" s="0" t="n">
        <v>15.71</v>
      </c>
      <c r="J910" s="0" t="n">
        <v>51.95</v>
      </c>
      <c r="K910" s="0" t="n">
        <v>112</v>
      </c>
      <c r="T910" s="0" t="n">
        <v>2</v>
      </c>
      <c r="U910" s="0" t="n">
        <v>1</v>
      </c>
      <c r="V910" s="0" t="inlineStr">
        <is>
          <t>계단식</t>
        </is>
      </c>
      <c r="W910" s="0" t="inlineStr">
        <is>
          <t>74A</t>
        </is>
      </c>
      <c r="X910" s="0" t="n">
        <v>29</v>
      </c>
      <c r="Y910" s="0" t="n">
        <v>8</v>
      </c>
      <c r="Z910" s="0" t="inlineStr">
        <is>
          <t>https://new.land.naver.com/complexes/105001?tab=detail&amp;rf=Y</t>
        </is>
      </c>
      <c r="AA910" s="0" t="inlineStr">
        <is>
          <t>인천시 남동구 구월동 1485</t>
        </is>
      </c>
      <c r="AB910" s="0" t="inlineStr">
        <is>
          <t>인천시</t>
        </is>
      </c>
      <c r="AC910" s="0" t="inlineStr">
        <is>
          <t>남동구</t>
        </is>
      </c>
      <c r="AD910" s="0" t="inlineStr">
        <is>
          <t>구월동</t>
        </is>
      </c>
      <c r="AG910" s="0" t="inlineStr">
        <is>
          <t>인천시 남동구 선수촌공원로 96</t>
        </is>
      </c>
      <c r="AH910" s="0" t="n">
        <v>0</v>
      </c>
      <c r="AI910" s="0" t="n">
        <v>179</v>
      </c>
      <c r="AJ910" s="0" t="n">
        <v>15</v>
      </c>
      <c r="AK910" s="0" t="n">
        <v>648</v>
      </c>
      <c r="AL910" s="0" t="n">
        <v>1.02</v>
      </c>
    </row>
    <row r="911">
      <c r="A911" s="0" t="inlineStr">
        <is>
          <t>[구월동]</t>
        </is>
      </c>
      <c r="B911" s="0" t="n">
        <v>105001</v>
      </c>
      <c r="C911" s="0" t="n">
        <v>3</v>
      </c>
      <c r="D911" s="0" t="inlineStr">
        <is>
          <t>구월아시아드선수촌2단지</t>
        </is>
      </c>
      <c r="E911" s="0" t="inlineStr">
        <is>
          <t>2015.06.</t>
        </is>
      </c>
      <c r="F911" s="0" t="n">
        <v>636</v>
      </c>
      <c r="G911" s="0" t="n">
        <v>25.94</v>
      </c>
      <c r="H911" s="0" t="n">
        <v>85.77</v>
      </c>
      <c r="I911" s="0" t="n">
        <v>18.01</v>
      </c>
      <c r="J911" s="0" t="n">
        <v>59.57</v>
      </c>
      <c r="K911" s="0" t="n">
        <v>224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85A</t>
        </is>
      </c>
      <c r="X911" s="0" t="n">
        <v>29</v>
      </c>
      <c r="Y911" s="0" t="n">
        <v>8</v>
      </c>
      <c r="Z911" s="0" t="inlineStr">
        <is>
          <t>https://new.land.naver.com/complexes/105001?tab=detail&amp;rf=Y</t>
        </is>
      </c>
      <c r="AA911" s="0" t="inlineStr">
        <is>
          <t>인천시 남동구 구월동 1485</t>
        </is>
      </c>
      <c r="AB911" s="0" t="inlineStr">
        <is>
          <t>인천시</t>
        </is>
      </c>
      <c r="AC911" s="0" t="inlineStr">
        <is>
          <t>남동구</t>
        </is>
      </c>
      <c r="AD911" s="0" t="inlineStr">
        <is>
          <t>구월동</t>
        </is>
      </c>
      <c r="AG911" s="0" t="inlineStr">
        <is>
          <t>인천시 남동구 선수촌공원로 96</t>
        </is>
      </c>
      <c r="AH911" s="0" t="n">
        <v>0</v>
      </c>
      <c r="AI911" s="0" t="n">
        <v>179</v>
      </c>
      <c r="AJ911" s="0" t="n">
        <v>15</v>
      </c>
      <c r="AK911" s="0" t="n">
        <v>648</v>
      </c>
      <c r="AL911" s="0" t="n">
        <v>1.02</v>
      </c>
    </row>
    <row r="912">
      <c r="A912" s="0" t="inlineStr">
        <is>
          <t>[구월동]</t>
        </is>
      </c>
      <c r="B912" s="0" t="n">
        <v>105001</v>
      </c>
      <c r="C912" s="0" t="n">
        <v>4</v>
      </c>
      <c r="D912" s="0" t="inlineStr">
        <is>
          <t>구월아시아드선수촌2단지</t>
        </is>
      </c>
      <c r="E912" s="0" t="inlineStr">
        <is>
          <t>2015.06.</t>
        </is>
      </c>
      <c r="F912" s="0" t="n">
        <v>636</v>
      </c>
      <c r="G912" s="0" t="n">
        <v>25.99</v>
      </c>
      <c r="H912" s="0" t="n">
        <v>85.92</v>
      </c>
      <c r="I912" s="0" t="n">
        <v>18.14</v>
      </c>
      <c r="J912" s="0" t="n">
        <v>59.99</v>
      </c>
      <c r="K912" s="0" t="n">
        <v>146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85B</t>
        </is>
      </c>
      <c r="X912" s="0" t="n">
        <v>29</v>
      </c>
      <c r="Y912" s="0" t="n">
        <v>8</v>
      </c>
      <c r="Z912" s="0" t="inlineStr">
        <is>
          <t>https://new.land.naver.com/complexes/105001?tab=detail&amp;rf=Y</t>
        </is>
      </c>
      <c r="AA912" s="0" t="inlineStr">
        <is>
          <t>인천시 남동구 구월동 1485</t>
        </is>
      </c>
      <c r="AB912" s="0" t="inlineStr">
        <is>
          <t>인천시</t>
        </is>
      </c>
      <c r="AC912" s="0" t="inlineStr">
        <is>
          <t>남동구</t>
        </is>
      </c>
      <c r="AD912" s="0" t="inlineStr">
        <is>
          <t>구월동</t>
        </is>
      </c>
      <c r="AG912" s="0" t="inlineStr">
        <is>
          <t>인천시 남동구 선수촌공원로 96</t>
        </is>
      </c>
      <c r="AH912" s="0" t="n">
        <v>0</v>
      </c>
      <c r="AI912" s="0" t="n">
        <v>179</v>
      </c>
      <c r="AJ912" s="0" t="n">
        <v>15</v>
      </c>
      <c r="AK912" s="0" t="n">
        <v>648</v>
      </c>
      <c r="AL912" s="0" t="n">
        <v>1.02</v>
      </c>
    </row>
    <row r="913">
      <c r="A913" s="0" t="inlineStr">
        <is>
          <t>[구월동]</t>
        </is>
      </c>
      <c r="B913" s="0" t="n">
        <v>122820</v>
      </c>
      <c r="C913" s="0" t="n">
        <v>1</v>
      </c>
      <c r="D913" s="0" t="inlineStr">
        <is>
          <t>웰메이드(1203-2,도시형)</t>
        </is>
      </c>
      <c r="E913" s="0" t="inlineStr">
        <is>
          <t>2014.12.</t>
        </is>
      </c>
      <c r="F913" s="0" t="n">
        <v>8</v>
      </c>
      <c r="G913" s="0" t="n">
        <v>16.41</v>
      </c>
      <c r="H913" s="0" t="n">
        <v>54.26</v>
      </c>
      <c r="I913" s="0" t="n">
        <v>13.8</v>
      </c>
      <c r="J913" s="0" t="n">
        <v>45.65</v>
      </c>
      <c r="K913" s="0" t="n">
        <v>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54</v>
      </c>
      <c r="X913" s="0" t="n">
        <v>10</v>
      </c>
      <c r="Y913" s="0" t="n">
        <v>10</v>
      </c>
      <c r="Z913" s="0" t="inlineStr">
        <is>
          <t>https://new.land.naver.com/complexes/122820?tab=detail&amp;rf=Y</t>
        </is>
      </c>
      <c r="AA913" s="0" t="inlineStr">
        <is>
          <t>인천시 남동구 구월동 1203-2</t>
        </is>
      </c>
      <c r="AB913" s="0" t="inlineStr">
        <is>
          <t>인천시</t>
        </is>
      </c>
      <c r="AC913" s="0" t="inlineStr">
        <is>
          <t>남동구</t>
        </is>
      </c>
      <c r="AD913" s="0" t="inlineStr">
        <is>
          <t>구월동</t>
        </is>
      </c>
      <c r="AG913" s="0" t="inlineStr">
        <is>
          <t>인천시 남동구 독점로 13</t>
        </is>
      </c>
      <c r="AH913" s="0" t="n">
        <v>0</v>
      </c>
      <c r="AI913" s="0" t="n">
        <v>439</v>
      </c>
      <c r="AJ913" s="0" t="n">
        <v>59</v>
      </c>
      <c r="AK913" s="0" t="n">
        <v>6</v>
      </c>
      <c r="AL913" s="0" t="n">
        <v>0.75</v>
      </c>
    </row>
    <row r="914">
      <c r="A914" s="0" t="inlineStr">
        <is>
          <t>[구월동]</t>
        </is>
      </c>
      <c r="B914" s="0" t="n">
        <v>9446</v>
      </c>
      <c r="C914" s="0" t="n">
        <v>1</v>
      </c>
      <c r="D914" s="0" t="inlineStr">
        <is>
          <t>원경</t>
        </is>
      </c>
      <c r="E914" s="0" t="inlineStr">
        <is>
          <t>1989.01.</t>
        </is>
      </c>
      <c r="F914" s="0" t="n">
        <v>36</v>
      </c>
      <c r="G914" s="0" t="n">
        <v>15.92</v>
      </c>
      <c r="H914" s="0" t="n">
        <v>52.65</v>
      </c>
      <c r="I914" s="0" t="n">
        <v>12.25</v>
      </c>
      <c r="J914" s="0" t="n">
        <v>40.5</v>
      </c>
      <c r="K914" s="0" t="n">
        <v>36</v>
      </c>
      <c r="T914" s="0" t="n">
        <v>2</v>
      </c>
      <c r="U914" s="0" t="n">
        <v>1</v>
      </c>
      <c r="V914" s="0" t="inlineStr">
        <is>
          <t>계단식</t>
        </is>
      </c>
      <c r="W914" s="0" t="n">
        <v>52</v>
      </c>
      <c r="X914" s="0" t="n">
        <v>6</v>
      </c>
      <c r="Y914" s="0" t="n">
        <v>6</v>
      </c>
      <c r="Z914" s="0" t="inlineStr">
        <is>
          <t>https://new.land.naver.com/complexes/9446?tab=detail&amp;rf=Y</t>
        </is>
      </c>
      <c r="AA914" s="0" t="inlineStr">
        <is>
          <t>인천시 남동구 구월동 1251</t>
        </is>
      </c>
      <c r="AB914" s="0" t="inlineStr">
        <is>
          <t>인천시</t>
        </is>
      </c>
      <c r="AC914" s="0" t="inlineStr">
        <is>
          <t>남동구</t>
        </is>
      </c>
      <c r="AD914" s="0" t="inlineStr">
        <is>
          <t>구월동</t>
        </is>
      </c>
      <c r="AG914" s="0" t="inlineStr">
        <is>
          <t>인천시 남동구 호구포로876번길 14</t>
        </is>
      </c>
      <c r="AH914" s="0" t="n">
        <v>0</v>
      </c>
      <c r="AI914" s="0" t="n">
        <v>0</v>
      </c>
      <c r="AJ914" s="0" t="n">
        <v>0</v>
      </c>
      <c r="AK914" s="0" t="n">
        <v>0</v>
      </c>
      <c r="AL914" s="0" t="n">
        <v>0</v>
      </c>
    </row>
    <row r="915">
      <c r="A915" s="0" t="inlineStr">
        <is>
          <t>[구월동]</t>
        </is>
      </c>
      <c r="B915" s="0" t="n">
        <v>116582</v>
      </c>
      <c r="C915" s="0" t="n">
        <v>1</v>
      </c>
      <c r="D915" s="0" t="inlineStr">
        <is>
          <t>룩소르(1144-2)</t>
        </is>
      </c>
      <c r="E915" s="0" t="inlineStr">
        <is>
          <t>2012.06.</t>
        </is>
      </c>
      <c r="F915" s="0" t="n">
        <v>20</v>
      </c>
      <c r="G915" s="0" t="n">
        <v>8.17</v>
      </c>
      <c r="H915" s="0" t="n">
        <v>27.04</v>
      </c>
      <c r="I915" s="0" t="n">
        <v>5.76</v>
      </c>
      <c r="J915" s="0" t="n">
        <v>19.06</v>
      </c>
      <c r="K915" s="0" t="n">
        <v>5</v>
      </c>
      <c r="T915" s="0" t="n">
        <v>1</v>
      </c>
      <c r="U915" s="0" t="n">
        <v>1</v>
      </c>
      <c r="V915" s="0" t="inlineStr">
        <is>
          <t>계단식</t>
        </is>
      </c>
      <c r="W915" s="0" t="inlineStr">
        <is>
          <t>27A</t>
        </is>
      </c>
      <c r="X915" s="0" t="n">
        <v>8</v>
      </c>
      <c r="Y915" s="0" t="n">
        <v>8</v>
      </c>
      <c r="Z915" s="0" t="inlineStr">
        <is>
          <t>https://new.land.naver.com/complexes/116582?tab=detail&amp;rf=Y</t>
        </is>
      </c>
      <c r="AA915" s="0" t="inlineStr">
        <is>
          <t>인천시 남동구 구월동 1144-2</t>
        </is>
      </c>
      <c r="AB915" s="0" t="inlineStr">
        <is>
          <t>인천시</t>
        </is>
      </c>
      <c r="AC915" s="0" t="inlineStr">
        <is>
          <t>남동구</t>
        </is>
      </c>
      <c r="AD915" s="0" t="inlineStr">
        <is>
          <t>구월동</t>
        </is>
      </c>
      <c r="AG915" s="0" t="inlineStr">
        <is>
          <t>인천시 남동구 인주대로623번길 36</t>
        </is>
      </c>
      <c r="AH915" s="0" t="n">
        <v>0</v>
      </c>
      <c r="AI915" s="0" t="n">
        <v>364</v>
      </c>
      <c r="AJ915" s="0" t="n">
        <v>61</v>
      </c>
      <c r="AK915" s="0" t="n">
        <v>8</v>
      </c>
      <c r="AL915" s="0" t="n">
        <v>0.4</v>
      </c>
    </row>
    <row r="916">
      <c r="A916" s="0" t="inlineStr">
        <is>
          <t>[구월동]</t>
        </is>
      </c>
      <c r="B916" s="0" t="n">
        <v>116582</v>
      </c>
      <c r="C916" s="0" t="n">
        <v>2</v>
      </c>
      <c r="D916" s="0" t="inlineStr">
        <is>
          <t>룩소르(1144-2)</t>
        </is>
      </c>
      <c r="E916" s="0" t="inlineStr">
        <is>
          <t>2012.06.</t>
        </is>
      </c>
      <c r="F916" s="0" t="n">
        <v>20</v>
      </c>
      <c r="G916" s="0" t="n">
        <v>8.470000000000001</v>
      </c>
      <c r="H916" s="0" t="n">
        <v>28.03</v>
      </c>
      <c r="I916" s="0" t="n">
        <v>5.97</v>
      </c>
      <c r="J916" s="0" t="n">
        <v>19.76</v>
      </c>
      <c r="K916" s="0" t="n">
        <v>5</v>
      </c>
      <c r="T916" s="0" t="n">
        <v>1</v>
      </c>
      <c r="U916" s="0" t="n">
        <v>1</v>
      </c>
      <c r="V916" s="0" t="inlineStr">
        <is>
          <t>계단식</t>
        </is>
      </c>
      <c r="W916" s="0" t="inlineStr">
        <is>
          <t>28B</t>
        </is>
      </c>
      <c r="X916" s="0" t="n">
        <v>8</v>
      </c>
      <c r="Y916" s="0" t="n">
        <v>8</v>
      </c>
      <c r="Z916" s="0" t="inlineStr">
        <is>
          <t>https://new.land.naver.com/complexes/116582?tab=detail&amp;rf=Y</t>
        </is>
      </c>
      <c r="AA916" s="0" t="inlineStr">
        <is>
          <t>인천시 남동구 구월동 1144-2</t>
        </is>
      </c>
      <c r="AB916" s="0" t="inlineStr">
        <is>
          <t>인천시</t>
        </is>
      </c>
      <c r="AC916" s="0" t="inlineStr">
        <is>
          <t>남동구</t>
        </is>
      </c>
      <c r="AD916" s="0" t="inlineStr">
        <is>
          <t>구월동</t>
        </is>
      </c>
      <c r="AG916" s="0" t="inlineStr">
        <is>
          <t>인천시 남동구 인주대로623번길 36</t>
        </is>
      </c>
      <c r="AH916" s="0" t="n">
        <v>0</v>
      </c>
      <c r="AI916" s="0" t="n">
        <v>364</v>
      </c>
      <c r="AJ916" s="0" t="n">
        <v>61</v>
      </c>
      <c r="AK916" s="0" t="n">
        <v>8</v>
      </c>
      <c r="AL916" s="0" t="n">
        <v>0.4</v>
      </c>
    </row>
    <row r="917">
      <c r="A917" s="0" t="inlineStr">
        <is>
          <t>[구월동]</t>
        </is>
      </c>
      <c r="B917" s="0" t="n">
        <v>116582</v>
      </c>
      <c r="C917" s="0" t="n">
        <v>3</v>
      </c>
      <c r="D917" s="0" t="inlineStr">
        <is>
          <t>룩소르(1144-2)</t>
        </is>
      </c>
      <c r="E917" s="0" t="inlineStr">
        <is>
          <t>2012.06.</t>
        </is>
      </c>
      <c r="F917" s="0" t="n">
        <v>20</v>
      </c>
      <c r="G917" s="0" t="n">
        <v>9.01</v>
      </c>
      <c r="H917" s="0" t="n">
        <v>29.79</v>
      </c>
      <c r="I917" s="0" t="n">
        <v>6.35</v>
      </c>
      <c r="J917" s="0" t="n">
        <v>21</v>
      </c>
      <c r="K917" s="0" t="n">
        <v>5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29</v>
      </c>
      <c r="X917" s="0" t="n">
        <v>8</v>
      </c>
      <c r="Y917" s="0" t="n">
        <v>8</v>
      </c>
      <c r="Z917" s="0" t="inlineStr">
        <is>
          <t>https://new.land.naver.com/complexes/116582?tab=detail&amp;rf=Y</t>
        </is>
      </c>
      <c r="AA917" s="0" t="inlineStr">
        <is>
          <t>인천시 남동구 구월동 1144-2</t>
        </is>
      </c>
      <c r="AB917" s="0" t="inlineStr">
        <is>
          <t>인천시</t>
        </is>
      </c>
      <c r="AC917" s="0" t="inlineStr">
        <is>
          <t>남동구</t>
        </is>
      </c>
      <c r="AD917" s="0" t="inlineStr">
        <is>
          <t>구월동</t>
        </is>
      </c>
      <c r="AG917" s="0" t="inlineStr">
        <is>
          <t>인천시 남동구 인주대로623번길 36</t>
        </is>
      </c>
      <c r="AH917" s="0" t="n">
        <v>0</v>
      </c>
      <c r="AI917" s="0" t="n">
        <v>364</v>
      </c>
      <c r="AJ917" s="0" t="n">
        <v>61</v>
      </c>
      <c r="AK917" s="0" t="n">
        <v>8</v>
      </c>
      <c r="AL917" s="0" t="n">
        <v>0.4</v>
      </c>
    </row>
    <row r="918">
      <c r="A918" s="0" t="inlineStr">
        <is>
          <t>[구월동]</t>
        </is>
      </c>
      <c r="B918" s="0" t="n">
        <v>116582</v>
      </c>
      <c r="C918" s="0" t="n">
        <v>4</v>
      </c>
      <c r="D918" s="0" t="inlineStr">
        <is>
          <t>룩소르(1144-2)</t>
        </is>
      </c>
      <c r="E918" s="0" t="inlineStr">
        <is>
          <t>2012.06.</t>
        </is>
      </c>
      <c r="F918" s="0" t="n">
        <v>20</v>
      </c>
      <c r="G918" s="0" t="n">
        <v>18.59</v>
      </c>
      <c r="H918" s="0" t="n">
        <v>61.48</v>
      </c>
      <c r="I918" s="0" t="n">
        <v>13.1</v>
      </c>
      <c r="J918" s="0" t="n">
        <v>43.33</v>
      </c>
      <c r="K918" s="0" t="n">
        <v>5</v>
      </c>
      <c r="T918" s="0" t="n">
        <v>2</v>
      </c>
      <c r="U918" s="0" t="n">
        <v>1</v>
      </c>
      <c r="V918" s="0" t="inlineStr">
        <is>
          <t>계단식</t>
        </is>
      </c>
      <c r="W918" s="0" t="n">
        <v>61</v>
      </c>
      <c r="X918" s="0" t="n">
        <v>8</v>
      </c>
      <c r="Y918" s="0" t="n">
        <v>8</v>
      </c>
      <c r="Z918" s="0" t="inlineStr">
        <is>
          <t>https://new.land.naver.com/complexes/116582?tab=detail&amp;rf=Y</t>
        </is>
      </c>
      <c r="AA918" s="0" t="inlineStr">
        <is>
          <t>인천시 남동구 구월동 1144-2</t>
        </is>
      </c>
      <c r="AB918" s="0" t="inlineStr">
        <is>
          <t>인천시</t>
        </is>
      </c>
      <c r="AC918" s="0" t="inlineStr">
        <is>
          <t>남동구</t>
        </is>
      </c>
      <c r="AD918" s="0" t="inlineStr">
        <is>
          <t>구월동</t>
        </is>
      </c>
      <c r="AG918" s="0" t="inlineStr">
        <is>
          <t>인천시 남동구 인주대로623번길 36</t>
        </is>
      </c>
      <c r="AH918" s="0" t="n">
        <v>0</v>
      </c>
      <c r="AI918" s="0" t="n">
        <v>364</v>
      </c>
      <c r="AJ918" s="0" t="n">
        <v>61</v>
      </c>
      <c r="AK918" s="0" t="n">
        <v>8</v>
      </c>
      <c r="AL918" s="0" t="n">
        <v>0.4</v>
      </c>
    </row>
    <row r="919">
      <c r="A919" s="0" t="inlineStr">
        <is>
          <t>[구월동]</t>
        </is>
      </c>
      <c r="B919" s="0" t="n">
        <v>112832</v>
      </c>
      <c r="C919" s="0" t="n">
        <v>1</v>
      </c>
      <c r="D919" s="0" t="inlineStr">
        <is>
          <t>탑클래스(1128)</t>
        </is>
      </c>
      <c r="E919" s="0" t="inlineStr">
        <is>
          <t>2016.01.</t>
        </is>
      </c>
      <c r="F919" s="0" t="n">
        <v>56</v>
      </c>
      <c r="G919" s="0" t="n">
        <v>19.57</v>
      </c>
      <c r="H919" s="0" t="n">
        <v>64.7</v>
      </c>
      <c r="I919" s="0" t="n">
        <v>14.98</v>
      </c>
      <c r="J919" s="0" t="n">
        <v>49.55</v>
      </c>
      <c r="K919" s="0" t="n">
        <v>14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64A</t>
        </is>
      </c>
      <c r="X919" s="0" t="n">
        <v>15</v>
      </c>
      <c r="Y919" s="0" t="n">
        <v>15</v>
      </c>
      <c r="Z919" s="0" t="inlineStr">
        <is>
          <t>https://new.land.naver.com/complexes/112832?tab=detail&amp;rf=Y</t>
        </is>
      </c>
      <c r="AA919" s="0" t="inlineStr">
        <is>
          <t>인천시 남동구 구월동 1128</t>
        </is>
      </c>
      <c r="AB919" s="0" t="inlineStr">
        <is>
          <t>인천시</t>
        </is>
      </c>
      <c r="AC919" s="0" t="inlineStr">
        <is>
          <t>남동구</t>
        </is>
      </c>
      <c r="AD919" s="0" t="inlineStr">
        <is>
          <t>구월동</t>
        </is>
      </c>
      <c r="AG919" s="0" t="inlineStr">
        <is>
          <t>인천시 남동구 예술로192번길 30</t>
        </is>
      </c>
      <c r="AH919" s="0" t="n">
        <v>0</v>
      </c>
      <c r="AI919" s="0" t="n">
        <v>768</v>
      </c>
      <c r="AJ919" s="0" t="n">
        <v>68</v>
      </c>
      <c r="AK919" s="0" t="n">
        <v>45</v>
      </c>
      <c r="AL919" s="0" t="n">
        <v>0.8</v>
      </c>
    </row>
    <row r="920">
      <c r="A920" s="0" t="inlineStr">
        <is>
          <t>[구월동]</t>
        </is>
      </c>
      <c r="B920" s="0" t="n">
        <v>112832</v>
      </c>
      <c r="C920" s="0" t="n">
        <v>2</v>
      </c>
      <c r="D920" s="0" t="inlineStr">
        <is>
          <t>탑클래스(1128)</t>
        </is>
      </c>
      <c r="E920" s="0" t="inlineStr">
        <is>
          <t>2016.01.</t>
        </is>
      </c>
      <c r="F920" s="0" t="n">
        <v>56</v>
      </c>
      <c r="G920" s="0" t="n">
        <v>19.63</v>
      </c>
      <c r="H920" s="0" t="n">
        <v>64.91</v>
      </c>
      <c r="I920" s="0" t="n">
        <v>15.11</v>
      </c>
      <c r="J920" s="0" t="n">
        <v>49.97</v>
      </c>
      <c r="K920" s="0" t="n">
        <v>14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64C</t>
        </is>
      </c>
      <c r="X920" s="0" t="n">
        <v>15</v>
      </c>
      <c r="Y920" s="0" t="n">
        <v>15</v>
      </c>
      <c r="Z920" s="0" t="inlineStr">
        <is>
          <t>https://new.land.naver.com/complexes/112832?tab=detail&amp;rf=Y</t>
        </is>
      </c>
      <c r="AA920" s="0" t="inlineStr">
        <is>
          <t>인천시 남동구 구월동 1128</t>
        </is>
      </c>
      <c r="AB920" s="0" t="inlineStr">
        <is>
          <t>인천시</t>
        </is>
      </c>
      <c r="AC920" s="0" t="inlineStr">
        <is>
          <t>남동구</t>
        </is>
      </c>
      <c r="AD920" s="0" t="inlineStr">
        <is>
          <t>구월동</t>
        </is>
      </c>
      <c r="AG920" s="0" t="inlineStr">
        <is>
          <t>인천시 남동구 예술로192번길 30</t>
        </is>
      </c>
      <c r="AH920" s="0" t="n">
        <v>0</v>
      </c>
      <c r="AI920" s="0" t="n">
        <v>768</v>
      </c>
      <c r="AJ920" s="0" t="n">
        <v>68</v>
      </c>
      <c r="AK920" s="0" t="n">
        <v>45</v>
      </c>
      <c r="AL920" s="0" t="n">
        <v>0.8</v>
      </c>
    </row>
    <row r="921">
      <c r="A921" s="0" t="inlineStr">
        <is>
          <t>[구월동]</t>
        </is>
      </c>
      <c r="B921" s="0" t="n">
        <v>112832</v>
      </c>
      <c r="C921" s="0" t="n">
        <v>3</v>
      </c>
      <c r="D921" s="0" t="inlineStr">
        <is>
          <t>탑클래스(1128)</t>
        </is>
      </c>
      <c r="E921" s="0" t="inlineStr">
        <is>
          <t>2016.01.</t>
        </is>
      </c>
      <c r="F921" s="0" t="n">
        <v>56</v>
      </c>
      <c r="G921" s="0" t="n">
        <v>19.66</v>
      </c>
      <c r="H921" s="0" t="n">
        <v>65.02</v>
      </c>
      <c r="I921" s="0" t="n">
        <v>15.1</v>
      </c>
      <c r="J921" s="0" t="n">
        <v>49.95</v>
      </c>
      <c r="K921" s="0" t="n">
        <v>14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65B</t>
        </is>
      </c>
      <c r="X921" s="0" t="n">
        <v>15</v>
      </c>
      <c r="Y921" s="0" t="n">
        <v>15</v>
      </c>
      <c r="Z921" s="0" t="inlineStr">
        <is>
          <t>https://new.land.naver.com/complexes/112832?tab=detail&amp;rf=Y</t>
        </is>
      </c>
      <c r="AA921" s="0" t="inlineStr">
        <is>
          <t>인천시 남동구 구월동 1128</t>
        </is>
      </c>
      <c r="AB921" s="0" t="inlineStr">
        <is>
          <t>인천시</t>
        </is>
      </c>
      <c r="AC921" s="0" t="inlineStr">
        <is>
          <t>남동구</t>
        </is>
      </c>
      <c r="AD921" s="0" t="inlineStr">
        <is>
          <t>구월동</t>
        </is>
      </c>
      <c r="AG921" s="0" t="inlineStr">
        <is>
          <t>인천시 남동구 예술로192번길 30</t>
        </is>
      </c>
      <c r="AH921" s="0" t="n">
        <v>0</v>
      </c>
      <c r="AI921" s="0" t="n">
        <v>768</v>
      </c>
      <c r="AJ921" s="0" t="n">
        <v>68</v>
      </c>
      <c r="AK921" s="0" t="n">
        <v>45</v>
      </c>
      <c r="AL921" s="0" t="n">
        <v>0.8</v>
      </c>
    </row>
    <row r="922">
      <c r="A922" s="0" t="inlineStr">
        <is>
          <t>[구월동]</t>
        </is>
      </c>
      <c r="B922" s="0" t="n">
        <v>112832</v>
      </c>
      <c r="C922" s="0" t="n">
        <v>4</v>
      </c>
      <c r="D922" s="0" t="inlineStr">
        <is>
          <t>탑클래스(1128)</t>
        </is>
      </c>
      <c r="E922" s="0" t="inlineStr">
        <is>
          <t>2016.01.</t>
        </is>
      </c>
      <c r="F922" s="0" t="n">
        <v>56</v>
      </c>
      <c r="G922" s="0" t="n">
        <v>20.11</v>
      </c>
      <c r="H922" s="0" t="n">
        <v>66.51000000000001</v>
      </c>
      <c r="I922" s="0" t="n">
        <v>15.11</v>
      </c>
      <c r="J922" s="0" t="n">
        <v>49.98</v>
      </c>
      <c r="K922" s="0" t="n">
        <v>14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66D</t>
        </is>
      </c>
      <c r="X922" s="0" t="n">
        <v>15</v>
      </c>
      <c r="Y922" s="0" t="n">
        <v>15</v>
      </c>
      <c r="Z922" s="0" t="inlineStr">
        <is>
          <t>https://new.land.naver.com/complexes/112832?tab=detail&amp;rf=Y</t>
        </is>
      </c>
      <c r="AA922" s="0" t="inlineStr">
        <is>
          <t>인천시 남동구 구월동 1128</t>
        </is>
      </c>
      <c r="AB922" s="0" t="inlineStr">
        <is>
          <t>인천시</t>
        </is>
      </c>
      <c r="AC922" s="0" t="inlineStr">
        <is>
          <t>남동구</t>
        </is>
      </c>
      <c r="AD922" s="0" t="inlineStr">
        <is>
          <t>구월동</t>
        </is>
      </c>
      <c r="AG922" s="0" t="inlineStr">
        <is>
          <t>인천시 남동구 예술로192번길 30</t>
        </is>
      </c>
      <c r="AH922" s="0" t="n">
        <v>0</v>
      </c>
      <c r="AI922" s="0" t="n">
        <v>768</v>
      </c>
      <c r="AJ922" s="0" t="n">
        <v>68</v>
      </c>
      <c r="AK922" s="0" t="n">
        <v>45</v>
      </c>
      <c r="AL922" s="0" t="n">
        <v>0.8</v>
      </c>
    </row>
    <row r="923">
      <c r="A923" s="0" t="inlineStr">
        <is>
          <t>[구월동]</t>
        </is>
      </c>
      <c r="B923" s="0" t="n">
        <v>9462</v>
      </c>
      <c r="C923" s="0" t="n">
        <v>1</v>
      </c>
      <c r="D923" s="0" t="inlineStr">
        <is>
          <t>송정</t>
        </is>
      </c>
      <c r="E923" s="0" t="inlineStr">
        <is>
          <t>1988.01.</t>
        </is>
      </c>
      <c r="F923" s="0" t="n">
        <v>108</v>
      </c>
      <c r="G923" s="0" t="n">
        <v>14.98</v>
      </c>
      <c r="H923" s="0" t="n">
        <v>49.54</v>
      </c>
      <c r="I923" s="0" t="n">
        <v>12.16</v>
      </c>
      <c r="J923" s="0" t="n">
        <v>40.2</v>
      </c>
      <c r="K923" s="0" t="n">
        <v>72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49</v>
      </c>
      <c r="X923" s="0" t="n">
        <v>6</v>
      </c>
      <c r="Y923" s="0" t="n">
        <v>6</v>
      </c>
      <c r="Z923" s="0" t="inlineStr">
        <is>
          <t>https://new.land.naver.com/complexes/9462?tab=detail&amp;rf=Y</t>
        </is>
      </c>
      <c r="AA923" s="0" t="inlineStr">
        <is>
          <t>인천시 남동구 구월동 1160</t>
        </is>
      </c>
      <c r="AB923" s="0" t="inlineStr">
        <is>
          <t>인천시</t>
        </is>
      </c>
      <c r="AC923" s="0" t="inlineStr">
        <is>
          <t>남동구</t>
        </is>
      </c>
      <c r="AD923" s="0" t="inlineStr">
        <is>
          <t>구월동</t>
        </is>
      </c>
      <c r="AG923" s="0" t="inlineStr">
        <is>
          <t>인천시 남동구 남동대로725번길 31</t>
        </is>
      </c>
      <c r="AH923" s="0" t="n">
        <v>0</v>
      </c>
      <c r="AI923" s="0" t="n">
        <v>187</v>
      </c>
      <c r="AJ923" s="0" t="n">
        <v>33</v>
      </c>
      <c r="AK923" s="0" t="n">
        <v>0</v>
      </c>
      <c r="AL923" s="0" t="n">
        <v>0</v>
      </c>
    </row>
    <row r="924">
      <c r="A924" s="0" t="inlineStr">
        <is>
          <t>[구월동]</t>
        </is>
      </c>
      <c r="B924" s="0" t="n">
        <v>9462</v>
      </c>
      <c r="C924" s="0" t="n">
        <v>2</v>
      </c>
      <c r="D924" s="0" t="inlineStr">
        <is>
          <t>송정</t>
        </is>
      </c>
      <c r="E924" s="0" t="inlineStr">
        <is>
          <t>1988.01.</t>
        </is>
      </c>
      <c r="F924" s="0" t="n">
        <v>108</v>
      </c>
      <c r="G924" s="0" t="n">
        <v>16.26</v>
      </c>
      <c r="H924" s="0" t="n">
        <v>53.76</v>
      </c>
      <c r="I924" s="0" t="n">
        <v>13.32</v>
      </c>
      <c r="J924" s="0" t="n">
        <v>44.04</v>
      </c>
      <c r="K924" s="0" t="n">
        <v>36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53</v>
      </c>
      <c r="X924" s="0" t="n">
        <v>6</v>
      </c>
      <c r="Y924" s="0" t="n">
        <v>6</v>
      </c>
      <c r="Z924" s="0" t="inlineStr">
        <is>
          <t>https://new.land.naver.com/complexes/9462?tab=detail&amp;rf=Y</t>
        </is>
      </c>
      <c r="AA924" s="0" t="inlineStr">
        <is>
          <t>인천시 남동구 구월동 1160</t>
        </is>
      </c>
      <c r="AB924" s="0" t="inlineStr">
        <is>
          <t>인천시</t>
        </is>
      </c>
      <c r="AC924" s="0" t="inlineStr">
        <is>
          <t>남동구</t>
        </is>
      </c>
      <c r="AD924" s="0" t="inlineStr">
        <is>
          <t>구월동</t>
        </is>
      </c>
      <c r="AG924" s="0" t="inlineStr">
        <is>
          <t>인천시 남동구 남동대로725번길 31</t>
        </is>
      </c>
      <c r="AH924" s="0" t="n">
        <v>0</v>
      </c>
      <c r="AI924" s="0" t="n">
        <v>187</v>
      </c>
      <c r="AJ924" s="0" t="n">
        <v>33</v>
      </c>
      <c r="AK924" s="0" t="n">
        <v>0</v>
      </c>
      <c r="AL924" s="0" t="n">
        <v>0</v>
      </c>
    </row>
    <row r="925">
      <c r="A925" s="0" t="inlineStr">
        <is>
          <t>[구월동]</t>
        </is>
      </c>
      <c r="B925" s="0" t="n">
        <v>118064</v>
      </c>
      <c r="C925" s="0" t="n">
        <v>1</v>
      </c>
      <c r="D925" s="0" t="inlineStr">
        <is>
          <t>하비스트Ⅱ</t>
        </is>
      </c>
      <c r="E925" s="0" t="inlineStr">
        <is>
          <t>2016.06.</t>
        </is>
      </c>
      <c r="F925" s="0" t="n">
        <v>28</v>
      </c>
      <c r="G925" s="0" t="n">
        <v>13.96</v>
      </c>
      <c r="H925" s="0" t="n">
        <v>46.15</v>
      </c>
      <c r="I925" s="0" t="n">
        <v>9.640000000000001</v>
      </c>
      <c r="J925" s="0" t="n">
        <v>31.89</v>
      </c>
      <c r="K925" s="0" t="n">
        <v>14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46</v>
      </c>
      <c r="X925" s="0" t="n">
        <v>14</v>
      </c>
      <c r="Y925" s="0" t="n">
        <v>14</v>
      </c>
      <c r="Z925" s="0" t="inlineStr">
        <is>
          <t>https://new.land.naver.com/complexes/118064?tab=detail&amp;rf=Y</t>
        </is>
      </c>
      <c r="AA925" s="0" t="inlineStr">
        <is>
          <t>인천시 남동구 구월동 1129-21</t>
        </is>
      </c>
      <c r="AB925" s="0" t="inlineStr">
        <is>
          <t>인천시</t>
        </is>
      </c>
      <c r="AC925" s="0" t="inlineStr">
        <is>
          <t>남동구</t>
        </is>
      </c>
      <c r="AD925" s="0" t="inlineStr">
        <is>
          <t>구월동</t>
        </is>
      </c>
      <c r="AG925" s="0" t="inlineStr">
        <is>
          <t>인천시 남동구 미래로 13-1</t>
        </is>
      </c>
      <c r="AH925" s="0" t="n">
        <v>0</v>
      </c>
      <c r="AI925" s="0" t="n">
        <v>690</v>
      </c>
      <c r="AJ925" s="0" t="n">
        <v>59</v>
      </c>
      <c r="AK925" s="0" t="n">
        <v>21</v>
      </c>
      <c r="AL925" s="0" t="n">
        <v>0.75</v>
      </c>
    </row>
    <row r="926">
      <c r="A926" s="0" t="inlineStr">
        <is>
          <t>[구월동]</t>
        </is>
      </c>
      <c r="B926" s="0" t="n">
        <v>118064</v>
      </c>
      <c r="C926" s="0" t="n">
        <v>2</v>
      </c>
      <c r="D926" s="0" t="inlineStr">
        <is>
          <t>하비스트Ⅱ</t>
        </is>
      </c>
      <c r="E926" s="0" t="inlineStr">
        <is>
          <t>2016.06.</t>
        </is>
      </c>
      <c r="F926" s="0" t="n">
        <v>28</v>
      </c>
      <c r="G926" s="0" t="n">
        <v>19.86</v>
      </c>
      <c r="H926" s="0" t="n">
        <v>65.66</v>
      </c>
      <c r="I926" s="0" t="n">
        <v>13.09</v>
      </c>
      <c r="J926" s="0" t="n">
        <v>43.29</v>
      </c>
      <c r="K926" s="0" t="n">
        <v>14</v>
      </c>
      <c r="T926" s="0" t="n">
        <v>2</v>
      </c>
      <c r="U926" s="0" t="n">
        <v>2</v>
      </c>
      <c r="V926" s="0" t="inlineStr">
        <is>
          <t>계단식</t>
        </is>
      </c>
      <c r="W926" s="0" t="n">
        <v>65</v>
      </c>
      <c r="X926" s="0" t="n">
        <v>14</v>
      </c>
      <c r="Y926" s="0" t="n">
        <v>14</v>
      </c>
      <c r="Z926" s="0" t="inlineStr">
        <is>
          <t>https://new.land.naver.com/complexes/118064?tab=detail&amp;rf=Y</t>
        </is>
      </c>
      <c r="AA926" s="0" t="inlineStr">
        <is>
          <t>인천시 남동구 구월동 1129-21</t>
        </is>
      </c>
      <c r="AB926" s="0" t="inlineStr">
        <is>
          <t>인천시</t>
        </is>
      </c>
      <c r="AC926" s="0" t="inlineStr">
        <is>
          <t>남동구</t>
        </is>
      </c>
      <c r="AD926" s="0" t="inlineStr">
        <is>
          <t>구월동</t>
        </is>
      </c>
      <c r="AG926" s="0" t="inlineStr">
        <is>
          <t>인천시 남동구 미래로 13-1</t>
        </is>
      </c>
      <c r="AH926" s="0" t="n">
        <v>0</v>
      </c>
      <c r="AI926" s="0" t="n">
        <v>690</v>
      </c>
      <c r="AJ926" s="0" t="n">
        <v>59</v>
      </c>
      <c r="AK926" s="0" t="n">
        <v>21</v>
      </c>
      <c r="AL926" s="0" t="n">
        <v>0.75</v>
      </c>
    </row>
    <row r="927">
      <c r="A927" s="0" t="inlineStr">
        <is>
          <t>[구월동]</t>
        </is>
      </c>
      <c r="B927" s="0" t="n">
        <v>10977</v>
      </c>
      <c r="C927" s="0" t="n">
        <v>1</v>
      </c>
      <c r="D927" s="0" t="inlineStr">
        <is>
          <t>이화</t>
        </is>
      </c>
      <c r="E927" s="0" t="inlineStr">
        <is>
          <t>1984.09.</t>
        </is>
      </c>
      <c r="F927" s="0" t="n">
        <v>40</v>
      </c>
      <c r="G927" s="0" t="n">
        <v>26.99</v>
      </c>
      <c r="H927" s="0" t="n">
        <v>89.23999999999999</v>
      </c>
      <c r="I927" s="0" t="n">
        <v>22.49</v>
      </c>
      <c r="J927" s="0" t="n">
        <v>74.37</v>
      </c>
      <c r="K927" s="0" t="n">
        <v>40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89</v>
      </c>
      <c r="X927" s="0" t="n">
        <v>5</v>
      </c>
      <c r="Y927" s="0" t="n">
        <v>5</v>
      </c>
      <c r="Z927" s="0" t="inlineStr">
        <is>
          <t>https://new.land.naver.com/complexes/10977?tab=detail&amp;rf=Y</t>
        </is>
      </c>
      <c r="AA927" s="0" t="inlineStr">
        <is>
          <t>인천시 남동구 구월동 1189-8</t>
        </is>
      </c>
      <c r="AB927" s="0" t="inlineStr">
        <is>
          <t>인천시</t>
        </is>
      </c>
      <c r="AC927" s="0" t="inlineStr">
        <is>
          <t>남동구</t>
        </is>
      </c>
      <c r="AD927" s="0" t="inlineStr">
        <is>
          <t>구월동</t>
        </is>
      </c>
      <c r="AG927" s="0" t="inlineStr">
        <is>
          <t>인천시 남동구 남동대로726번길 15-4</t>
        </is>
      </c>
      <c r="AH927" s="0" t="n">
        <v>0</v>
      </c>
      <c r="AI927" s="0" t="n">
        <v>0</v>
      </c>
      <c r="AJ927" s="0" t="n">
        <v>0</v>
      </c>
      <c r="AK927" s="0" t="n">
        <v>0</v>
      </c>
      <c r="AL927" s="0" t="n">
        <v>0</v>
      </c>
    </row>
    <row r="928">
      <c r="A928" s="0" t="inlineStr">
        <is>
          <t>[구월동]</t>
        </is>
      </c>
      <c r="B928" s="0" t="n">
        <v>116568</v>
      </c>
      <c r="C928" s="0" t="n">
        <v>1</v>
      </c>
      <c r="D928" s="0" t="inlineStr">
        <is>
          <t>룩소르(1124-3,도시형)</t>
        </is>
      </c>
      <c r="E928" s="0" t="inlineStr">
        <is>
          <t>2012.12.</t>
        </is>
      </c>
      <c r="F928" s="0" t="n">
        <v>26</v>
      </c>
      <c r="G928" s="0" t="n">
        <v>7.74</v>
      </c>
      <c r="H928" s="0" t="n">
        <v>25.6</v>
      </c>
      <c r="I928" s="0" t="n">
        <v>5.59</v>
      </c>
      <c r="J928" s="0" t="n">
        <v>18.48</v>
      </c>
      <c r="K928" s="0" t="n">
        <v>10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25</v>
      </c>
      <c r="X928" s="0" t="n">
        <v>8</v>
      </c>
      <c r="Y928" s="0" t="n">
        <v>6</v>
      </c>
      <c r="Z928" s="0" t="inlineStr">
        <is>
          <t>https://new.land.naver.com/complexes/116568?tab=detail&amp;rf=Y</t>
        </is>
      </c>
      <c r="AA928" s="0" t="inlineStr">
        <is>
          <t>인천시 남동구 구월동 1124-3</t>
        </is>
      </c>
      <c r="AB928" s="0" t="inlineStr">
        <is>
          <t>인천시</t>
        </is>
      </c>
      <c r="AC928" s="0" t="inlineStr">
        <is>
          <t>남동구</t>
        </is>
      </c>
      <c r="AD928" s="0" t="inlineStr">
        <is>
          <t>구월동</t>
        </is>
      </c>
      <c r="AG928" s="0" t="inlineStr">
        <is>
          <t>인천시 남동구 예술로172번길 9</t>
        </is>
      </c>
      <c r="AH928" s="0" t="n">
        <v>0</v>
      </c>
      <c r="AI928" s="0" t="n">
        <v>496</v>
      </c>
      <c r="AJ928" s="0" t="n">
        <v>69</v>
      </c>
      <c r="AK928" s="0" t="n">
        <v>8</v>
      </c>
      <c r="AL928" s="0" t="n">
        <v>0.31</v>
      </c>
    </row>
    <row r="929">
      <c r="A929" s="0" t="inlineStr">
        <is>
          <t>[구월동]</t>
        </is>
      </c>
      <c r="B929" s="0" t="n">
        <v>116568</v>
      </c>
      <c r="C929" s="0" t="n">
        <v>2</v>
      </c>
      <c r="D929" s="0" t="inlineStr">
        <is>
          <t>룩소르(1124-3,도시형)</t>
        </is>
      </c>
      <c r="E929" s="0" t="inlineStr">
        <is>
          <t>2012.12.</t>
        </is>
      </c>
      <c r="F929" s="0" t="n">
        <v>26</v>
      </c>
      <c r="G929" s="0" t="n">
        <v>13.89</v>
      </c>
      <c r="H929" s="0" t="n">
        <v>45.95</v>
      </c>
      <c r="I929" s="0" t="n">
        <v>10.03</v>
      </c>
      <c r="J929" s="0" t="n">
        <v>33.18</v>
      </c>
      <c r="K929" s="0" t="n">
        <v>7</v>
      </c>
      <c r="T929" s="0" t="n">
        <v>1</v>
      </c>
      <c r="U929" s="0" t="n">
        <v>1</v>
      </c>
      <c r="V929" s="0" t="inlineStr">
        <is>
          <t>계단식</t>
        </is>
      </c>
      <c r="W929" s="0" t="n">
        <v>45</v>
      </c>
      <c r="X929" s="0" t="n">
        <v>8</v>
      </c>
      <c r="Y929" s="0" t="n">
        <v>6</v>
      </c>
      <c r="Z929" s="0" t="inlineStr">
        <is>
          <t>https://new.land.naver.com/complexes/116568?tab=detail&amp;rf=Y</t>
        </is>
      </c>
      <c r="AA929" s="0" t="inlineStr">
        <is>
          <t>인천시 남동구 구월동 1124-3</t>
        </is>
      </c>
      <c r="AB929" s="0" t="inlineStr">
        <is>
          <t>인천시</t>
        </is>
      </c>
      <c r="AC929" s="0" t="inlineStr">
        <is>
          <t>남동구</t>
        </is>
      </c>
      <c r="AD929" s="0" t="inlineStr">
        <is>
          <t>구월동</t>
        </is>
      </c>
      <c r="AG929" s="0" t="inlineStr">
        <is>
          <t>인천시 남동구 예술로172번길 9</t>
        </is>
      </c>
      <c r="AH929" s="0" t="n">
        <v>0</v>
      </c>
      <c r="AI929" s="0" t="n">
        <v>496</v>
      </c>
      <c r="AJ929" s="0" t="n">
        <v>69</v>
      </c>
      <c r="AK929" s="0" t="n">
        <v>8</v>
      </c>
      <c r="AL929" s="0" t="n">
        <v>0.31</v>
      </c>
    </row>
    <row r="930">
      <c r="A930" s="0" t="inlineStr">
        <is>
          <t>[구월동]</t>
        </is>
      </c>
      <c r="B930" s="0" t="n">
        <v>116568</v>
      </c>
      <c r="C930" s="0" t="n">
        <v>3</v>
      </c>
      <c r="D930" s="0" t="inlineStr">
        <is>
          <t>룩소르(1124-3,도시형)</t>
        </is>
      </c>
      <c r="E930" s="0" t="inlineStr">
        <is>
          <t>2012.12.</t>
        </is>
      </c>
      <c r="F930" s="0" t="n">
        <v>26</v>
      </c>
      <c r="G930" s="0" t="n">
        <v>15.48</v>
      </c>
      <c r="H930" s="0" t="n">
        <v>51.2</v>
      </c>
      <c r="I930" s="0" t="n">
        <v>11.18</v>
      </c>
      <c r="J930" s="0" t="n">
        <v>36.97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51</v>
      </c>
      <c r="X930" s="0" t="n">
        <v>8</v>
      </c>
      <c r="Y930" s="0" t="n">
        <v>6</v>
      </c>
      <c r="Z930" s="0" t="inlineStr">
        <is>
          <t>https://new.land.naver.com/complexes/116568?tab=detail&amp;rf=Y</t>
        </is>
      </c>
      <c r="AA930" s="0" t="inlineStr">
        <is>
          <t>인천시 남동구 구월동 1124-3</t>
        </is>
      </c>
      <c r="AB930" s="0" t="inlineStr">
        <is>
          <t>인천시</t>
        </is>
      </c>
      <c r="AC930" s="0" t="inlineStr">
        <is>
          <t>남동구</t>
        </is>
      </c>
      <c r="AD930" s="0" t="inlineStr">
        <is>
          <t>구월동</t>
        </is>
      </c>
      <c r="AG930" s="0" t="inlineStr">
        <is>
          <t>인천시 남동구 예술로172번길 9</t>
        </is>
      </c>
      <c r="AH930" s="0" t="n">
        <v>0</v>
      </c>
      <c r="AI930" s="0" t="n">
        <v>496</v>
      </c>
      <c r="AJ930" s="0" t="n">
        <v>69</v>
      </c>
      <c r="AK930" s="0" t="n">
        <v>8</v>
      </c>
      <c r="AL930" s="0" t="n">
        <v>0.31</v>
      </c>
    </row>
    <row r="931">
      <c r="A931" s="0" t="inlineStr">
        <is>
          <t>[구월동]</t>
        </is>
      </c>
      <c r="B931" s="0" t="n">
        <v>116568</v>
      </c>
      <c r="C931" s="0" t="n">
        <v>4</v>
      </c>
      <c r="D931" s="0" t="inlineStr">
        <is>
          <t>룩소르(1124-3,도시형)</t>
        </is>
      </c>
      <c r="E931" s="0" t="inlineStr">
        <is>
          <t>2012.12.</t>
        </is>
      </c>
      <c r="F931" s="0" t="n">
        <v>26</v>
      </c>
      <c r="G931" s="0" t="n">
        <v>16.01</v>
      </c>
      <c r="H931" s="0" t="n">
        <v>52.95</v>
      </c>
      <c r="I931" s="0" t="n">
        <v>11.56</v>
      </c>
      <c r="J931" s="0" t="n">
        <v>38.23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52B</t>
        </is>
      </c>
      <c r="X931" s="0" t="n">
        <v>8</v>
      </c>
      <c r="Y931" s="0" t="n">
        <v>6</v>
      </c>
      <c r="Z931" s="0" t="inlineStr">
        <is>
          <t>https://new.land.naver.com/complexes/116568?tab=detail&amp;rf=Y</t>
        </is>
      </c>
      <c r="AA931" s="0" t="inlineStr">
        <is>
          <t>인천시 남동구 구월동 1124-3</t>
        </is>
      </c>
      <c r="AB931" s="0" t="inlineStr">
        <is>
          <t>인천시</t>
        </is>
      </c>
      <c r="AC931" s="0" t="inlineStr">
        <is>
          <t>남동구</t>
        </is>
      </c>
      <c r="AD931" s="0" t="inlineStr">
        <is>
          <t>구월동</t>
        </is>
      </c>
      <c r="AG931" s="0" t="inlineStr">
        <is>
          <t>인천시 남동구 예술로172번길 9</t>
        </is>
      </c>
      <c r="AH931" s="0" t="n">
        <v>0</v>
      </c>
      <c r="AI931" s="0" t="n">
        <v>496</v>
      </c>
      <c r="AJ931" s="0" t="n">
        <v>69</v>
      </c>
      <c r="AK931" s="0" t="n">
        <v>8</v>
      </c>
      <c r="AL931" s="0" t="n">
        <v>0.31</v>
      </c>
    </row>
    <row r="932">
      <c r="A932" s="0" t="inlineStr">
        <is>
          <t>[구월동]</t>
        </is>
      </c>
      <c r="B932" s="0" t="n">
        <v>116568</v>
      </c>
      <c r="C932" s="0" t="n">
        <v>5</v>
      </c>
      <c r="D932" s="0" t="inlineStr">
        <is>
          <t>룩소르(1124-3,도시형)</t>
        </is>
      </c>
      <c r="E932" s="0" t="inlineStr">
        <is>
          <t>2012.12.</t>
        </is>
      </c>
      <c r="F932" s="0" t="n">
        <v>26</v>
      </c>
      <c r="G932" s="0" t="n">
        <v>15.78</v>
      </c>
      <c r="H932" s="0" t="n">
        <v>52.19</v>
      </c>
      <c r="I932" s="0" t="n">
        <v>11.39</v>
      </c>
      <c r="J932" s="0" t="n">
        <v>37.68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52A</t>
        </is>
      </c>
      <c r="X932" s="0" t="n">
        <v>8</v>
      </c>
      <c r="Y932" s="0" t="n">
        <v>6</v>
      </c>
      <c r="Z932" s="0" t="inlineStr">
        <is>
          <t>https://new.land.naver.com/complexes/116568?tab=detail&amp;rf=Y</t>
        </is>
      </c>
      <c r="AA932" s="0" t="inlineStr">
        <is>
          <t>인천시 남동구 구월동 1124-3</t>
        </is>
      </c>
      <c r="AB932" s="0" t="inlineStr">
        <is>
          <t>인천시</t>
        </is>
      </c>
      <c r="AC932" s="0" t="inlineStr">
        <is>
          <t>남동구</t>
        </is>
      </c>
      <c r="AD932" s="0" t="inlineStr">
        <is>
          <t>구월동</t>
        </is>
      </c>
      <c r="AG932" s="0" t="inlineStr">
        <is>
          <t>인천시 남동구 예술로172번길 9</t>
        </is>
      </c>
      <c r="AH932" s="0" t="n">
        <v>0</v>
      </c>
      <c r="AI932" s="0" t="n">
        <v>496</v>
      </c>
      <c r="AJ932" s="0" t="n">
        <v>69</v>
      </c>
      <c r="AK932" s="0" t="n">
        <v>8</v>
      </c>
      <c r="AL932" s="0" t="n">
        <v>0.31</v>
      </c>
    </row>
    <row r="933">
      <c r="A933" s="0" t="inlineStr">
        <is>
          <t>[구월동]</t>
        </is>
      </c>
      <c r="B933" s="0" t="n">
        <v>116568</v>
      </c>
      <c r="C933" s="0" t="n">
        <v>6</v>
      </c>
      <c r="D933" s="0" t="inlineStr">
        <is>
          <t>룩소르(1124-3,도시형)</t>
        </is>
      </c>
      <c r="E933" s="0" t="inlineStr">
        <is>
          <t>2012.12.</t>
        </is>
      </c>
      <c r="F933" s="0" t="n">
        <v>26</v>
      </c>
      <c r="G933" s="0" t="n">
        <v>16.23</v>
      </c>
      <c r="H933" s="0" t="n">
        <v>53.66</v>
      </c>
      <c r="I933" s="0" t="n">
        <v>11.77</v>
      </c>
      <c r="J933" s="0" t="n">
        <v>38.94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53C</t>
        </is>
      </c>
      <c r="X933" s="0" t="n">
        <v>8</v>
      </c>
      <c r="Y933" s="0" t="n">
        <v>6</v>
      </c>
      <c r="Z933" s="0" t="inlineStr">
        <is>
          <t>https://new.land.naver.com/complexes/116568?tab=detail&amp;rf=Y</t>
        </is>
      </c>
      <c r="AA933" s="0" t="inlineStr">
        <is>
          <t>인천시 남동구 구월동 1124-3</t>
        </is>
      </c>
      <c r="AB933" s="0" t="inlineStr">
        <is>
          <t>인천시</t>
        </is>
      </c>
      <c r="AC933" s="0" t="inlineStr">
        <is>
          <t>남동구</t>
        </is>
      </c>
      <c r="AD933" s="0" t="inlineStr">
        <is>
          <t>구월동</t>
        </is>
      </c>
      <c r="AG933" s="0" t="inlineStr">
        <is>
          <t>인천시 남동구 예술로172번길 9</t>
        </is>
      </c>
      <c r="AH933" s="0" t="n">
        <v>0</v>
      </c>
      <c r="AI933" s="0" t="n">
        <v>496</v>
      </c>
      <c r="AJ933" s="0" t="n">
        <v>69</v>
      </c>
      <c r="AK933" s="0" t="n">
        <v>8</v>
      </c>
      <c r="AL933" s="0" t="n">
        <v>0.31</v>
      </c>
    </row>
    <row r="934">
      <c r="A934" s="0" t="inlineStr">
        <is>
          <t>[구월동]</t>
        </is>
      </c>
      <c r="B934" s="0" t="n">
        <v>120137</v>
      </c>
      <c r="C934" s="0" t="n">
        <v>1</v>
      </c>
      <c r="D934" s="0" t="inlineStr">
        <is>
          <t>하늘지움</t>
        </is>
      </c>
      <c r="E934" s="0" t="inlineStr">
        <is>
          <t>2018.01.</t>
        </is>
      </c>
      <c r="F934" s="0" t="n">
        <v>54</v>
      </c>
      <c r="G934" s="0" t="n">
        <v>25.71</v>
      </c>
      <c r="H934" s="0" t="n">
        <v>85.02</v>
      </c>
      <c r="I934" s="0" t="n">
        <v>20.88</v>
      </c>
      <c r="J934" s="0" t="n">
        <v>69.03</v>
      </c>
      <c r="K934" s="0" t="n">
        <v>19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85A</t>
        </is>
      </c>
      <c r="X934" s="0" t="n">
        <v>20</v>
      </c>
      <c r="Y934" s="0" t="n">
        <v>20</v>
      </c>
      <c r="Z934" s="0" t="inlineStr">
        <is>
          <t>https://new.land.naver.com/complexes/120137?tab=detail&amp;rf=Y</t>
        </is>
      </c>
      <c r="AA934" s="0" t="inlineStr">
        <is>
          <t>인천시 남동구 구월동 1132-15</t>
        </is>
      </c>
      <c r="AB934" s="0" t="inlineStr">
        <is>
          <t>인천시</t>
        </is>
      </c>
      <c r="AC934" s="0" t="inlineStr">
        <is>
          <t>남동구</t>
        </is>
      </c>
      <c r="AD934" s="0" t="inlineStr">
        <is>
          <t>구월동</t>
        </is>
      </c>
      <c r="AG934" s="0" t="inlineStr">
        <is>
          <t>인천시 남동구 구월남로 130</t>
        </is>
      </c>
      <c r="AH934" s="0" t="n">
        <v>0</v>
      </c>
      <c r="AI934" s="0" t="n">
        <v>899</v>
      </c>
      <c r="AJ934" s="0" t="n">
        <v>68</v>
      </c>
      <c r="AK934" s="0" t="n">
        <v>54</v>
      </c>
      <c r="AL934" s="0" t="n">
        <v>1</v>
      </c>
    </row>
    <row r="935">
      <c r="A935" s="0" t="inlineStr">
        <is>
          <t>[구월동]</t>
        </is>
      </c>
      <c r="B935" s="0" t="n">
        <v>120137</v>
      </c>
      <c r="C935" s="0" t="n">
        <v>2</v>
      </c>
      <c r="D935" s="0" t="inlineStr">
        <is>
          <t>하늘지움</t>
        </is>
      </c>
      <c r="E935" s="0" t="inlineStr">
        <is>
          <t>2018.01.</t>
        </is>
      </c>
      <c r="F935" s="0" t="n">
        <v>54</v>
      </c>
      <c r="G935" s="0" t="n">
        <v>26.3</v>
      </c>
      <c r="H935" s="0" t="n">
        <v>86.95</v>
      </c>
      <c r="I935" s="0" t="n">
        <v>21.51</v>
      </c>
      <c r="J935" s="0" t="n">
        <v>71.11</v>
      </c>
      <c r="K935" s="0" t="n">
        <v>19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86B</t>
        </is>
      </c>
      <c r="X935" s="0" t="n">
        <v>20</v>
      </c>
      <c r="Y935" s="0" t="n">
        <v>20</v>
      </c>
      <c r="Z935" s="0" t="inlineStr">
        <is>
          <t>https://new.land.naver.com/complexes/120137?tab=detail&amp;rf=Y</t>
        </is>
      </c>
      <c r="AA935" s="0" t="inlineStr">
        <is>
          <t>인천시 남동구 구월동 1132-15</t>
        </is>
      </c>
      <c r="AB935" s="0" t="inlineStr">
        <is>
          <t>인천시</t>
        </is>
      </c>
      <c r="AC935" s="0" t="inlineStr">
        <is>
          <t>남동구</t>
        </is>
      </c>
      <c r="AD935" s="0" t="inlineStr">
        <is>
          <t>구월동</t>
        </is>
      </c>
      <c r="AG935" s="0" t="inlineStr">
        <is>
          <t>인천시 남동구 구월남로 130</t>
        </is>
      </c>
      <c r="AH935" s="0" t="n">
        <v>0</v>
      </c>
      <c r="AI935" s="0" t="n">
        <v>899</v>
      </c>
      <c r="AJ935" s="0" t="n">
        <v>68</v>
      </c>
      <c r="AK935" s="0" t="n">
        <v>54</v>
      </c>
      <c r="AL935" s="0" t="n">
        <v>1</v>
      </c>
    </row>
    <row r="936">
      <c r="A936" s="0" t="inlineStr">
        <is>
          <t>[구월동]</t>
        </is>
      </c>
      <c r="B936" s="0" t="n">
        <v>120137</v>
      </c>
      <c r="C936" s="0" t="n">
        <v>3</v>
      </c>
      <c r="D936" s="0" t="inlineStr">
        <is>
          <t>하늘지움</t>
        </is>
      </c>
      <c r="E936" s="0" t="inlineStr">
        <is>
          <t>2018.01.</t>
        </is>
      </c>
      <c r="F936" s="0" t="n">
        <v>54</v>
      </c>
      <c r="G936" s="0" t="n">
        <v>26.54</v>
      </c>
      <c r="H936" s="0" t="n">
        <v>87.76000000000001</v>
      </c>
      <c r="I936" s="0" t="n">
        <v>21.52</v>
      </c>
      <c r="J936" s="0" t="n">
        <v>71.16</v>
      </c>
      <c r="K936" s="0" t="n">
        <v>16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87</v>
      </c>
      <c r="X936" s="0" t="n">
        <v>20</v>
      </c>
      <c r="Y936" s="0" t="n">
        <v>20</v>
      </c>
      <c r="Z936" s="0" t="inlineStr">
        <is>
          <t>https://new.land.naver.com/complexes/120137?tab=detail&amp;rf=Y</t>
        </is>
      </c>
      <c r="AA936" s="0" t="inlineStr">
        <is>
          <t>인천시 남동구 구월동 1132-15</t>
        </is>
      </c>
      <c r="AB936" s="0" t="inlineStr">
        <is>
          <t>인천시</t>
        </is>
      </c>
      <c r="AC936" s="0" t="inlineStr">
        <is>
          <t>남동구</t>
        </is>
      </c>
      <c r="AD936" s="0" t="inlineStr">
        <is>
          <t>구월동</t>
        </is>
      </c>
      <c r="AG936" s="0" t="inlineStr">
        <is>
          <t>인천시 남동구 구월남로 130</t>
        </is>
      </c>
      <c r="AH936" s="0" t="n">
        <v>0</v>
      </c>
      <c r="AI936" s="0" t="n">
        <v>899</v>
      </c>
      <c r="AJ936" s="0" t="n">
        <v>68</v>
      </c>
      <c r="AK936" s="0" t="n">
        <v>54</v>
      </c>
      <c r="AL936" s="0" t="n">
        <v>1</v>
      </c>
    </row>
    <row r="937">
      <c r="A937" s="0" t="inlineStr">
        <is>
          <t>[구월동]</t>
        </is>
      </c>
      <c r="B937" s="0" t="n">
        <v>106094</v>
      </c>
      <c r="C937" s="0" t="n">
        <v>1</v>
      </c>
      <c r="D937" s="0" t="inlineStr">
        <is>
          <t>리치캐슬(도시형)</t>
        </is>
      </c>
      <c r="E937" s="0" t="inlineStr">
        <is>
          <t>2012.09.</t>
        </is>
      </c>
      <c r="F937" s="0" t="n">
        <v>94</v>
      </c>
      <c r="G937" s="0" t="n">
        <v>5.16</v>
      </c>
      <c r="H937" s="0" t="n">
        <v>17.07</v>
      </c>
      <c r="I937" s="0" t="n">
        <v>3.29</v>
      </c>
      <c r="J937" s="0" t="n">
        <v>10.89</v>
      </c>
      <c r="K937" s="0" t="n">
        <v>2</v>
      </c>
      <c r="T937" s="0" t="n">
        <v>1</v>
      </c>
      <c r="U937" s="0" t="n">
        <v>1</v>
      </c>
      <c r="V937" s="0" t="inlineStr">
        <is>
          <t>복합식</t>
        </is>
      </c>
      <c r="W937" s="0" t="n">
        <v>17</v>
      </c>
      <c r="X937" s="0" t="n">
        <v>10</v>
      </c>
      <c r="Y937" s="0" t="n">
        <v>9</v>
      </c>
      <c r="Z937" s="0" t="inlineStr">
        <is>
          <t>https://new.land.naver.com/complexes/106094?tab=detail&amp;rf=Y</t>
        </is>
      </c>
      <c r="AA937" s="0" t="inlineStr">
        <is>
          <t>인천시 남동구 구월동 1124-5</t>
        </is>
      </c>
      <c r="AB937" s="0" t="inlineStr">
        <is>
          <t>인천시</t>
        </is>
      </c>
      <c r="AC937" s="0" t="inlineStr">
        <is>
          <t>남동구</t>
        </is>
      </c>
      <c r="AD937" s="0" t="inlineStr">
        <is>
          <t>구월동</t>
        </is>
      </c>
      <c r="AG937" s="0" t="inlineStr">
        <is>
          <t>인천시 남동구 예술로174번길 12</t>
        </is>
      </c>
      <c r="AH937" s="0" t="n">
        <v>0</v>
      </c>
      <c r="AI937" s="0" t="n">
        <v>507</v>
      </c>
      <c r="AJ937" s="0" t="n">
        <v>78</v>
      </c>
      <c r="AK937" s="0" t="n">
        <v>31</v>
      </c>
      <c r="AL937" s="0" t="n">
        <v>0.33</v>
      </c>
    </row>
    <row r="938">
      <c r="A938" s="0" t="inlineStr">
        <is>
          <t>[구월동]</t>
        </is>
      </c>
      <c r="B938" s="0" t="n">
        <v>106094</v>
      </c>
      <c r="C938" s="0" t="n">
        <v>2</v>
      </c>
      <c r="D938" s="0" t="inlineStr">
        <is>
          <t>리치캐슬(도시형)</t>
        </is>
      </c>
      <c r="E938" s="0" t="inlineStr">
        <is>
          <t>2012.09.</t>
        </is>
      </c>
      <c r="F938" s="0" t="n">
        <v>94</v>
      </c>
      <c r="G938" s="0" t="n">
        <v>6.03</v>
      </c>
      <c r="H938" s="0" t="n">
        <v>19.96</v>
      </c>
      <c r="I938" s="0" t="n">
        <v>3.72</v>
      </c>
      <c r="J938" s="0" t="n">
        <v>12.33</v>
      </c>
      <c r="K938" s="0" t="n">
        <v>8</v>
      </c>
      <c r="T938" s="0" t="n">
        <v>1</v>
      </c>
      <c r="U938" s="0" t="n">
        <v>1</v>
      </c>
      <c r="V938" s="0" t="inlineStr">
        <is>
          <t>복합식</t>
        </is>
      </c>
      <c r="W938" s="0" t="n">
        <v>19</v>
      </c>
      <c r="X938" s="0" t="n">
        <v>10</v>
      </c>
      <c r="Y938" s="0" t="n">
        <v>9</v>
      </c>
      <c r="Z938" s="0" t="inlineStr">
        <is>
          <t>https://new.land.naver.com/complexes/106094?tab=detail&amp;rf=Y</t>
        </is>
      </c>
      <c r="AA938" s="0" t="inlineStr">
        <is>
          <t>인천시 남동구 구월동 1124-5</t>
        </is>
      </c>
      <c r="AB938" s="0" t="inlineStr">
        <is>
          <t>인천시</t>
        </is>
      </c>
      <c r="AC938" s="0" t="inlineStr">
        <is>
          <t>남동구</t>
        </is>
      </c>
      <c r="AD938" s="0" t="inlineStr">
        <is>
          <t>구월동</t>
        </is>
      </c>
      <c r="AG938" s="0" t="inlineStr">
        <is>
          <t>인천시 남동구 예술로174번길 12</t>
        </is>
      </c>
      <c r="AH938" s="0" t="n">
        <v>0</v>
      </c>
      <c r="AI938" s="0" t="n">
        <v>507</v>
      </c>
      <c r="AJ938" s="0" t="n">
        <v>78</v>
      </c>
      <c r="AK938" s="0" t="n">
        <v>31</v>
      </c>
      <c r="AL938" s="0" t="n">
        <v>0.33</v>
      </c>
    </row>
    <row r="939">
      <c r="A939" s="0" t="inlineStr">
        <is>
          <t>[구월동]</t>
        </is>
      </c>
      <c r="B939" s="0" t="n">
        <v>106094</v>
      </c>
      <c r="C939" s="0" t="n">
        <v>3</v>
      </c>
      <c r="D939" s="0" t="inlineStr">
        <is>
          <t>리치캐슬(도시형)</t>
        </is>
      </c>
      <c r="E939" s="0" t="inlineStr">
        <is>
          <t>2012.09.</t>
        </is>
      </c>
      <c r="F939" s="0" t="n">
        <v>94</v>
      </c>
      <c r="G939" s="0" t="n">
        <v>6.95</v>
      </c>
      <c r="H939" s="0" t="n">
        <v>22.98</v>
      </c>
      <c r="I939" s="0" t="n">
        <v>4.5</v>
      </c>
      <c r="J939" s="0" t="n">
        <v>14.88</v>
      </c>
      <c r="K939" s="0" t="n">
        <v>2</v>
      </c>
      <c r="T939" s="0" t="n">
        <v>1</v>
      </c>
      <c r="U939" s="0" t="n">
        <v>1</v>
      </c>
      <c r="V939" s="0" t="inlineStr">
        <is>
          <t>복합식</t>
        </is>
      </c>
      <c r="W939" s="0" t="n">
        <v>22</v>
      </c>
      <c r="X939" s="0" t="n">
        <v>10</v>
      </c>
      <c r="Y939" s="0" t="n">
        <v>9</v>
      </c>
      <c r="Z939" s="0" t="inlineStr">
        <is>
          <t>https://new.land.naver.com/complexes/106094?tab=detail&amp;rf=Y</t>
        </is>
      </c>
      <c r="AA939" s="0" t="inlineStr">
        <is>
          <t>인천시 남동구 구월동 1124-5</t>
        </is>
      </c>
      <c r="AB939" s="0" t="inlineStr">
        <is>
          <t>인천시</t>
        </is>
      </c>
      <c r="AC939" s="0" t="inlineStr">
        <is>
          <t>남동구</t>
        </is>
      </c>
      <c r="AD939" s="0" t="inlineStr">
        <is>
          <t>구월동</t>
        </is>
      </c>
      <c r="AG939" s="0" t="inlineStr">
        <is>
          <t>인천시 남동구 예술로174번길 12</t>
        </is>
      </c>
      <c r="AH939" s="0" t="n">
        <v>0</v>
      </c>
      <c r="AI939" s="0" t="n">
        <v>507</v>
      </c>
      <c r="AJ939" s="0" t="n">
        <v>78</v>
      </c>
      <c r="AK939" s="0" t="n">
        <v>31</v>
      </c>
      <c r="AL939" s="0" t="n">
        <v>0.33</v>
      </c>
    </row>
    <row r="940">
      <c r="A940" s="0" t="inlineStr">
        <is>
          <t>[구월동]</t>
        </is>
      </c>
      <c r="B940" s="0" t="n">
        <v>106094</v>
      </c>
      <c r="C940" s="0" t="n">
        <v>4</v>
      </c>
      <c r="D940" s="0" t="inlineStr">
        <is>
          <t>리치캐슬(도시형)</t>
        </is>
      </c>
      <c r="E940" s="0" t="inlineStr">
        <is>
          <t>2012.09.</t>
        </is>
      </c>
      <c r="F940" s="0" t="n">
        <v>94</v>
      </c>
      <c r="G940" s="0" t="n">
        <v>7.74</v>
      </c>
      <c r="H940" s="0" t="n">
        <v>25.59</v>
      </c>
      <c r="I940" s="0" t="n">
        <v>5.01</v>
      </c>
      <c r="J940" s="0" t="n">
        <v>16.59</v>
      </c>
      <c r="K940" s="0" t="n">
        <v>8</v>
      </c>
      <c r="T940" s="0" t="n">
        <v>1</v>
      </c>
      <c r="U940" s="0" t="n">
        <v>1</v>
      </c>
      <c r="V940" s="0" t="inlineStr">
        <is>
          <t>복합식</t>
        </is>
      </c>
      <c r="W940" s="0" t="inlineStr">
        <is>
          <t>25B</t>
        </is>
      </c>
      <c r="X940" s="0" t="n">
        <v>10</v>
      </c>
      <c r="Y940" s="0" t="n">
        <v>9</v>
      </c>
      <c r="Z940" s="0" t="inlineStr">
        <is>
          <t>https://new.land.naver.com/complexes/106094?tab=detail&amp;rf=Y</t>
        </is>
      </c>
      <c r="AA940" s="0" t="inlineStr">
        <is>
          <t>인천시 남동구 구월동 1124-5</t>
        </is>
      </c>
      <c r="AB940" s="0" t="inlineStr">
        <is>
          <t>인천시</t>
        </is>
      </c>
      <c r="AC940" s="0" t="inlineStr">
        <is>
          <t>남동구</t>
        </is>
      </c>
      <c r="AD940" s="0" t="inlineStr">
        <is>
          <t>구월동</t>
        </is>
      </c>
      <c r="AG940" s="0" t="inlineStr">
        <is>
          <t>인천시 남동구 예술로174번길 12</t>
        </is>
      </c>
      <c r="AH940" s="0" t="n">
        <v>0</v>
      </c>
      <c r="AI940" s="0" t="n">
        <v>507</v>
      </c>
      <c r="AJ940" s="0" t="n">
        <v>78</v>
      </c>
      <c r="AK940" s="0" t="n">
        <v>31</v>
      </c>
      <c r="AL940" s="0" t="n">
        <v>0.33</v>
      </c>
    </row>
    <row r="941">
      <c r="A941" s="0" t="inlineStr">
        <is>
          <t>[구월동]</t>
        </is>
      </c>
      <c r="B941" s="0" t="n">
        <v>106094</v>
      </c>
      <c r="C941" s="0" t="n">
        <v>5</v>
      </c>
      <c r="D941" s="0" t="inlineStr">
        <is>
          <t>리치캐슬(도시형)</t>
        </is>
      </c>
      <c r="E941" s="0" t="inlineStr">
        <is>
          <t>2012.09.</t>
        </is>
      </c>
      <c r="F941" s="0" t="n">
        <v>94</v>
      </c>
      <c r="G941" s="0" t="n">
        <v>7.67</v>
      </c>
      <c r="H941" s="0" t="n">
        <v>25.38</v>
      </c>
      <c r="I941" s="0" t="n">
        <v>4.85</v>
      </c>
      <c r="J941" s="0" t="n">
        <v>16.04</v>
      </c>
      <c r="K941" s="0" t="n">
        <v>2</v>
      </c>
      <c r="T941" s="0" t="n">
        <v>1</v>
      </c>
      <c r="U941" s="0" t="n">
        <v>1</v>
      </c>
      <c r="V941" s="0" t="inlineStr">
        <is>
          <t>복합식</t>
        </is>
      </c>
      <c r="W941" s="0" t="inlineStr">
        <is>
          <t>25A</t>
        </is>
      </c>
      <c r="X941" s="0" t="n">
        <v>10</v>
      </c>
      <c r="Y941" s="0" t="n">
        <v>9</v>
      </c>
      <c r="Z941" s="0" t="inlineStr">
        <is>
          <t>https://new.land.naver.com/complexes/106094?tab=detail&amp;rf=Y</t>
        </is>
      </c>
      <c r="AA941" s="0" t="inlineStr">
        <is>
          <t>인천시 남동구 구월동 1124-5</t>
        </is>
      </c>
      <c r="AB941" s="0" t="inlineStr">
        <is>
          <t>인천시</t>
        </is>
      </c>
      <c r="AC941" s="0" t="inlineStr">
        <is>
          <t>남동구</t>
        </is>
      </c>
      <c r="AD941" s="0" t="inlineStr">
        <is>
          <t>구월동</t>
        </is>
      </c>
      <c r="AG941" s="0" t="inlineStr">
        <is>
          <t>인천시 남동구 예술로174번길 12</t>
        </is>
      </c>
      <c r="AH941" s="0" t="n">
        <v>0</v>
      </c>
      <c r="AI941" s="0" t="n">
        <v>507</v>
      </c>
      <c r="AJ941" s="0" t="n">
        <v>78</v>
      </c>
      <c r="AK941" s="0" t="n">
        <v>31</v>
      </c>
      <c r="AL941" s="0" t="n">
        <v>0.33</v>
      </c>
    </row>
    <row r="942">
      <c r="A942" s="0" t="inlineStr">
        <is>
          <t>[구월동]</t>
        </is>
      </c>
      <c r="B942" s="0" t="n">
        <v>106094</v>
      </c>
      <c r="C942" s="0" t="n">
        <v>6</v>
      </c>
      <c r="D942" s="0" t="inlineStr">
        <is>
          <t>리치캐슬(도시형)</t>
        </is>
      </c>
      <c r="E942" s="0" t="inlineStr">
        <is>
          <t>2012.09.</t>
        </is>
      </c>
      <c r="F942" s="0" t="n">
        <v>94</v>
      </c>
      <c r="G942" s="0" t="n">
        <v>8.27</v>
      </c>
      <c r="H942" s="0" t="n">
        <v>27.36</v>
      </c>
      <c r="I942" s="0" t="n">
        <v>5.32</v>
      </c>
      <c r="J942" s="0" t="n">
        <v>17.61</v>
      </c>
      <c r="K942" s="0" t="n">
        <v>2</v>
      </c>
      <c r="T942" s="0" t="n">
        <v>1</v>
      </c>
      <c r="U942" s="0" t="n">
        <v>1</v>
      </c>
      <c r="V942" s="0" t="inlineStr">
        <is>
          <t>복합식</t>
        </is>
      </c>
      <c r="W942" s="0" t="inlineStr">
        <is>
          <t>27C</t>
        </is>
      </c>
      <c r="X942" s="0" t="n">
        <v>10</v>
      </c>
      <c r="Y942" s="0" t="n">
        <v>9</v>
      </c>
      <c r="Z942" s="0" t="inlineStr">
        <is>
          <t>https://new.land.naver.com/complexes/106094?tab=detail&amp;rf=Y</t>
        </is>
      </c>
      <c r="AA942" s="0" t="inlineStr">
        <is>
          <t>인천시 남동구 구월동 1124-5</t>
        </is>
      </c>
      <c r="AB942" s="0" t="inlineStr">
        <is>
          <t>인천시</t>
        </is>
      </c>
      <c r="AC942" s="0" t="inlineStr">
        <is>
          <t>남동구</t>
        </is>
      </c>
      <c r="AD942" s="0" t="inlineStr">
        <is>
          <t>구월동</t>
        </is>
      </c>
      <c r="AG942" s="0" t="inlineStr">
        <is>
          <t>인천시 남동구 예술로174번길 12</t>
        </is>
      </c>
      <c r="AH942" s="0" t="n">
        <v>0</v>
      </c>
      <c r="AI942" s="0" t="n">
        <v>507</v>
      </c>
      <c r="AJ942" s="0" t="n">
        <v>78</v>
      </c>
      <c r="AK942" s="0" t="n">
        <v>31</v>
      </c>
      <c r="AL942" s="0" t="n">
        <v>0.33</v>
      </c>
    </row>
    <row r="943">
      <c r="A943" s="0" t="inlineStr">
        <is>
          <t>[구월동]</t>
        </is>
      </c>
      <c r="B943" s="0" t="n">
        <v>106094</v>
      </c>
      <c r="C943" s="0" t="n">
        <v>7</v>
      </c>
      <c r="D943" s="0" t="inlineStr">
        <is>
          <t>리치캐슬(도시형)</t>
        </is>
      </c>
      <c r="E943" s="0" t="inlineStr">
        <is>
          <t>2012.09.</t>
        </is>
      </c>
      <c r="F943" s="0" t="n">
        <v>94</v>
      </c>
      <c r="G943" s="0" t="n">
        <v>8.539999999999999</v>
      </c>
      <c r="H943" s="0" t="n">
        <v>28.26</v>
      </c>
      <c r="I943" s="0" t="n">
        <v>5.6</v>
      </c>
      <c r="J943" s="0" t="n">
        <v>18.52</v>
      </c>
      <c r="K943" s="0" t="n">
        <v>1</v>
      </c>
      <c r="T943" s="0" t="n">
        <v>1</v>
      </c>
      <c r="U943" s="0" t="n">
        <v>1</v>
      </c>
      <c r="V943" s="0" t="inlineStr">
        <is>
          <t>복합식</t>
        </is>
      </c>
      <c r="W943" s="0" t="inlineStr">
        <is>
          <t>28A</t>
        </is>
      </c>
      <c r="X943" s="0" t="n">
        <v>10</v>
      </c>
      <c r="Y943" s="0" t="n">
        <v>9</v>
      </c>
      <c r="Z943" s="0" t="inlineStr">
        <is>
          <t>https://new.land.naver.com/complexes/106094?tab=detail&amp;rf=Y</t>
        </is>
      </c>
      <c r="AA943" s="0" t="inlineStr">
        <is>
          <t>인천시 남동구 구월동 1124-5</t>
        </is>
      </c>
      <c r="AB943" s="0" t="inlineStr">
        <is>
          <t>인천시</t>
        </is>
      </c>
      <c r="AC943" s="0" t="inlineStr">
        <is>
          <t>남동구</t>
        </is>
      </c>
      <c r="AD943" s="0" t="inlineStr">
        <is>
          <t>구월동</t>
        </is>
      </c>
      <c r="AG943" s="0" t="inlineStr">
        <is>
          <t>인천시 남동구 예술로174번길 12</t>
        </is>
      </c>
      <c r="AH943" s="0" t="n">
        <v>0</v>
      </c>
      <c r="AI943" s="0" t="n">
        <v>507</v>
      </c>
      <c r="AJ943" s="0" t="n">
        <v>78</v>
      </c>
      <c r="AK943" s="0" t="n">
        <v>31</v>
      </c>
      <c r="AL943" s="0" t="n">
        <v>0.33</v>
      </c>
    </row>
    <row r="944">
      <c r="A944" s="0" t="inlineStr">
        <is>
          <t>[구월동]</t>
        </is>
      </c>
      <c r="B944" s="0" t="n">
        <v>106094</v>
      </c>
      <c r="C944" s="0" t="n">
        <v>8</v>
      </c>
      <c r="D944" s="0" t="inlineStr">
        <is>
          <t>리치캐슬(도시형)</t>
        </is>
      </c>
      <c r="E944" s="0" t="inlineStr">
        <is>
          <t>2012.09.</t>
        </is>
      </c>
      <c r="F944" s="0" t="n">
        <v>94</v>
      </c>
      <c r="G944" s="0" t="n">
        <v>8.56</v>
      </c>
      <c r="H944" s="0" t="n">
        <v>28.32</v>
      </c>
      <c r="I944" s="0" t="n">
        <v>5.58</v>
      </c>
      <c r="J944" s="0" t="n">
        <v>18.45</v>
      </c>
      <c r="K944" s="0" t="n">
        <v>1</v>
      </c>
      <c r="T944" s="0" t="n">
        <v>1</v>
      </c>
      <c r="U944" s="0" t="n">
        <v>1</v>
      </c>
      <c r="V944" s="0" t="inlineStr">
        <is>
          <t>복합식</t>
        </is>
      </c>
      <c r="W944" s="0" t="inlineStr">
        <is>
          <t>28B</t>
        </is>
      </c>
      <c r="X944" s="0" t="n">
        <v>10</v>
      </c>
      <c r="Y944" s="0" t="n">
        <v>9</v>
      </c>
      <c r="Z944" s="0" t="inlineStr">
        <is>
          <t>https://new.land.naver.com/complexes/106094?tab=detail&amp;rf=Y</t>
        </is>
      </c>
      <c r="AA944" s="0" t="inlineStr">
        <is>
          <t>인천시 남동구 구월동 1124-5</t>
        </is>
      </c>
      <c r="AB944" s="0" t="inlineStr">
        <is>
          <t>인천시</t>
        </is>
      </c>
      <c r="AC944" s="0" t="inlineStr">
        <is>
          <t>남동구</t>
        </is>
      </c>
      <c r="AD944" s="0" t="inlineStr">
        <is>
          <t>구월동</t>
        </is>
      </c>
      <c r="AG944" s="0" t="inlineStr">
        <is>
          <t>인천시 남동구 예술로174번길 12</t>
        </is>
      </c>
      <c r="AH944" s="0" t="n">
        <v>0</v>
      </c>
      <c r="AI944" s="0" t="n">
        <v>507</v>
      </c>
      <c r="AJ944" s="0" t="n">
        <v>78</v>
      </c>
      <c r="AK944" s="0" t="n">
        <v>31</v>
      </c>
      <c r="AL944" s="0" t="n">
        <v>0.33</v>
      </c>
    </row>
    <row r="945">
      <c r="A945" s="0" t="inlineStr">
        <is>
          <t>[구월동]</t>
        </is>
      </c>
      <c r="B945" s="0" t="n">
        <v>106094</v>
      </c>
      <c r="C945" s="0" t="n">
        <v>9</v>
      </c>
      <c r="D945" s="0" t="inlineStr">
        <is>
          <t>리치캐슬(도시형)</t>
        </is>
      </c>
      <c r="E945" s="0" t="inlineStr">
        <is>
          <t>2012.09.</t>
        </is>
      </c>
      <c r="F945" s="0" t="n">
        <v>94</v>
      </c>
      <c r="G945" s="0" t="n">
        <v>8.859999999999999</v>
      </c>
      <c r="H945" s="0" t="n">
        <v>29.32</v>
      </c>
      <c r="I945" s="0" t="n">
        <v>5.8</v>
      </c>
      <c r="J945" s="0" t="n">
        <v>19.18</v>
      </c>
      <c r="K945" s="0" t="n">
        <v>7</v>
      </c>
      <c r="T945" s="0" t="n">
        <v>1</v>
      </c>
      <c r="U945" s="0" t="n">
        <v>1</v>
      </c>
      <c r="V945" s="0" t="inlineStr">
        <is>
          <t>복합식</t>
        </is>
      </c>
      <c r="W945" s="0" t="inlineStr">
        <is>
          <t>29E</t>
        </is>
      </c>
      <c r="X945" s="0" t="n">
        <v>10</v>
      </c>
      <c r="Y945" s="0" t="n">
        <v>9</v>
      </c>
      <c r="Z945" s="0" t="inlineStr">
        <is>
          <t>https://new.land.naver.com/complexes/106094?tab=detail&amp;rf=Y</t>
        </is>
      </c>
      <c r="AA945" s="0" t="inlineStr">
        <is>
          <t>인천시 남동구 구월동 1124-5</t>
        </is>
      </c>
      <c r="AB945" s="0" t="inlineStr">
        <is>
          <t>인천시</t>
        </is>
      </c>
      <c r="AC945" s="0" t="inlineStr">
        <is>
          <t>남동구</t>
        </is>
      </c>
      <c r="AD945" s="0" t="inlineStr">
        <is>
          <t>구월동</t>
        </is>
      </c>
      <c r="AG945" s="0" t="inlineStr">
        <is>
          <t>인천시 남동구 예술로174번길 12</t>
        </is>
      </c>
      <c r="AH945" s="0" t="n">
        <v>0</v>
      </c>
      <c r="AI945" s="0" t="n">
        <v>507</v>
      </c>
      <c r="AJ945" s="0" t="n">
        <v>78</v>
      </c>
      <c r="AK945" s="0" t="n">
        <v>31</v>
      </c>
      <c r="AL945" s="0" t="n">
        <v>0.33</v>
      </c>
    </row>
    <row r="946">
      <c r="A946" s="0" t="inlineStr">
        <is>
          <t>[구월동]</t>
        </is>
      </c>
      <c r="B946" s="0" t="n">
        <v>106094</v>
      </c>
      <c r="C946" s="0" t="n">
        <v>10</v>
      </c>
      <c r="D946" s="0" t="inlineStr">
        <is>
          <t>리치캐슬(도시형)</t>
        </is>
      </c>
      <c r="E946" s="0" t="inlineStr">
        <is>
          <t>2012.09.</t>
        </is>
      </c>
      <c r="F946" s="0" t="n">
        <v>94</v>
      </c>
      <c r="G946" s="0" t="n">
        <v>8.789999999999999</v>
      </c>
      <c r="H946" s="0" t="n">
        <v>29.09</v>
      </c>
      <c r="I946" s="0" t="n">
        <v>5.61</v>
      </c>
      <c r="J946" s="0" t="n">
        <v>18.57</v>
      </c>
      <c r="K946" s="0" t="n">
        <v>2</v>
      </c>
      <c r="T946" s="0" t="n">
        <v>1</v>
      </c>
      <c r="U946" s="0" t="n">
        <v>1</v>
      </c>
      <c r="V946" s="0" t="inlineStr">
        <is>
          <t>복합식</t>
        </is>
      </c>
      <c r="W946" s="0" t="inlineStr">
        <is>
          <t>29C</t>
        </is>
      </c>
      <c r="X946" s="0" t="n">
        <v>10</v>
      </c>
      <c r="Y946" s="0" t="n">
        <v>9</v>
      </c>
      <c r="Z946" s="0" t="inlineStr">
        <is>
          <t>https://new.land.naver.com/complexes/106094?tab=detail&amp;rf=Y</t>
        </is>
      </c>
      <c r="AA946" s="0" t="inlineStr">
        <is>
          <t>인천시 남동구 구월동 1124-5</t>
        </is>
      </c>
      <c r="AB946" s="0" t="inlineStr">
        <is>
          <t>인천시</t>
        </is>
      </c>
      <c r="AC946" s="0" t="inlineStr">
        <is>
          <t>남동구</t>
        </is>
      </c>
      <c r="AD946" s="0" t="inlineStr">
        <is>
          <t>구월동</t>
        </is>
      </c>
      <c r="AG946" s="0" t="inlineStr">
        <is>
          <t>인천시 남동구 예술로174번길 12</t>
        </is>
      </c>
      <c r="AH946" s="0" t="n">
        <v>0</v>
      </c>
      <c r="AI946" s="0" t="n">
        <v>507</v>
      </c>
      <c r="AJ946" s="0" t="n">
        <v>78</v>
      </c>
      <c r="AK946" s="0" t="n">
        <v>31</v>
      </c>
      <c r="AL946" s="0" t="n">
        <v>0.33</v>
      </c>
    </row>
    <row r="947">
      <c r="A947" s="0" t="inlineStr">
        <is>
          <t>[구월동]</t>
        </is>
      </c>
      <c r="B947" s="0" t="n">
        <v>106094</v>
      </c>
      <c r="C947" s="0" t="n">
        <v>11</v>
      </c>
      <c r="D947" s="0" t="inlineStr">
        <is>
          <t>리치캐슬(도시형)</t>
        </is>
      </c>
      <c r="E947" s="0" t="inlineStr">
        <is>
          <t>2012.09.</t>
        </is>
      </c>
      <c r="F947" s="0" t="n">
        <v>94</v>
      </c>
      <c r="G947" s="0" t="n">
        <v>8.83</v>
      </c>
      <c r="H947" s="0" t="n">
        <v>29.22</v>
      </c>
      <c r="I947" s="0" t="n">
        <v>5.77</v>
      </c>
      <c r="J947" s="0" t="n">
        <v>19.09</v>
      </c>
      <c r="K947" s="0" t="n">
        <v>2</v>
      </c>
      <c r="T947" s="0" t="n">
        <v>1</v>
      </c>
      <c r="U947" s="0" t="n">
        <v>1</v>
      </c>
      <c r="V947" s="0" t="inlineStr">
        <is>
          <t>복합식</t>
        </is>
      </c>
      <c r="W947" s="0" t="inlineStr">
        <is>
          <t>29D</t>
        </is>
      </c>
      <c r="X947" s="0" t="n">
        <v>10</v>
      </c>
      <c r="Y947" s="0" t="n">
        <v>9</v>
      </c>
      <c r="Z947" s="0" t="inlineStr">
        <is>
          <t>https://new.land.naver.com/complexes/106094?tab=detail&amp;rf=Y</t>
        </is>
      </c>
      <c r="AA947" s="0" t="inlineStr">
        <is>
          <t>인천시 남동구 구월동 1124-5</t>
        </is>
      </c>
      <c r="AB947" s="0" t="inlineStr">
        <is>
          <t>인천시</t>
        </is>
      </c>
      <c r="AC947" s="0" t="inlineStr">
        <is>
          <t>남동구</t>
        </is>
      </c>
      <c r="AD947" s="0" t="inlineStr">
        <is>
          <t>구월동</t>
        </is>
      </c>
      <c r="AG947" s="0" t="inlineStr">
        <is>
          <t>인천시 남동구 예술로174번길 12</t>
        </is>
      </c>
      <c r="AH947" s="0" t="n">
        <v>0</v>
      </c>
      <c r="AI947" s="0" t="n">
        <v>507</v>
      </c>
      <c r="AJ947" s="0" t="n">
        <v>78</v>
      </c>
      <c r="AK947" s="0" t="n">
        <v>31</v>
      </c>
      <c r="AL947" s="0" t="n">
        <v>0.33</v>
      </c>
    </row>
    <row r="948">
      <c r="A948" s="0" t="inlineStr">
        <is>
          <t>[구월동]</t>
        </is>
      </c>
      <c r="B948" s="0" t="n">
        <v>106094</v>
      </c>
      <c r="C948" s="0" t="n">
        <v>12</v>
      </c>
      <c r="D948" s="0" t="inlineStr">
        <is>
          <t>리치캐슬(도시형)</t>
        </is>
      </c>
      <c r="E948" s="0" t="inlineStr">
        <is>
          <t>2012.09.</t>
        </is>
      </c>
      <c r="F948" s="0" t="n">
        <v>94</v>
      </c>
      <c r="G948" s="0" t="n">
        <v>8.869999999999999</v>
      </c>
      <c r="H948" s="0" t="n">
        <v>29.33</v>
      </c>
      <c r="I948" s="0" t="n">
        <v>5.88</v>
      </c>
      <c r="J948" s="0" t="n">
        <v>19.44</v>
      </c>
      <c r="K948" s="0" t="n">
        <v>1</v>
      </c>
      <c r="T948" s="0" t="n">
        <v>1</v>
      </c>
      <c r="U948" s="0" t="n">
        <v>1</v>
      </c>
      <c r="V948" s="0" t="inlineStr">
        <is>
          <t>복합식</t>
        </is>
      </c>
      <c r="W948" s="0" t="inlineStr">
        <is>
          <t>29F</t>
        </is>
      </c>
      <c r="X948" s="0" t="n">
        <v>10</v>
      </c>
      <c r="Y948" s="0" t="n">
        <v>9</v>
      </c>
      <c r="Z948" s="0" t="inlineStr">
        <is>
          <t>https://new.land.naver.com/complexes/106094?tab=detail&amp;rf=Y</t>
        </is>
      </c>
      <c r="AA948" s="0" t="inlineStr">
        <is>
          <t>인천시 남동구 구월동 1124-5</t>
        </is>
      </c>
      <c r="AB948" s="0" t="inlineStr">
        <is>
          <t>인천시</t>
        </is>
      </c>
      <c r="AC948" s="0" t="inlineStr">
        <is>
          <t>남동구</t>
        </is>
      </c>
      <c r="AD948" s="0" t="inlineStr">
        <is>
          <t>구월동</t>
        </is>
      </c>
      <c r="AG948" s="0" t="inlineStr">
        <is>
          <t>인천시 남동구 예술로174번길 12</t>
        </is>
      </c>
      <c r="AH948" s="0" t="n">
        <v>0</v>
      </c>
      <c r="AI948" s="0" t="n">
        <v>507</v>
      </c>
      <c r="AJ948" s="0" t="n">
        <v>78</v>
      </c>
      <c r="AK948" s="0" t="n">
        <v>31</v>
      </c>
      <c r="AL948" s="0" t="n">
        <v>0.33</v>
      </c>
    </row>
    <row r="949">
      <c r="A949" s="0" t="inlineStr">
        <is>
          <t>[구월동]</t>
        </is>
      </c>
      <c r="B949" s="0" t="n">
        <v>106094</v>
      </c>
      <c r="C949" s="0" t="n">
        <v>13</v>
      </c>
      <c r="D949" s="0" t="inlineStr">
        <is>
          <t>리치캐슬(도시형)</t>
        </is>
      </c>
      <c r="E949" s="0" t="inlineStr">
        <is>
          <t>2012.09.</t>
        </is>
      </c>
      <c r="F949" s="0" t="n">
        <v>94</v>
      </c>
      <c r="G949" s="0" t="n">
        <v>9.76</v>
      </c>
      <c r="H949" s="0" t="n">
        <v>32.29</v>
      </c>
      <c r="I949" s="0" t="n">
        <v>6.34</v>
      </c>
      <c r="J949" s="0" t="n">
        <v>20.97</v>
      </c>
      <c r="K949" s="0" t="n">
        <v>8</v>
      </c>
      <c r="T949" s="0" t="n">
        <v>1</v>
      </c>
      <c r="U949" s="0" t="n">
        <v>1</v>
      </c>
      <c r="V949" s="0" t="inlineStr">
        <is>
          <t>복합식</t>
        </is>
      </c>
      <c r="W949" s="0" t="inlineStr">
        <is>
          <t>32A</t>
        </is>
      </c>
      <c r="X949" s="0" t="n">
        <v>10</v>
      </c>
      <c r="Y949" s="0" t="n">
        <v>9</v>
      </c>
      <c r="Z949" s="0" t="inlineStr">
        <is>
          <t>https://new.land.naver.com/complexes/106094?tab=detail&amp;rf=Y</t>
        </is>
      </c>
      <c r="AA949" s="0" t="inlineStr">
        <is>
          <t>인천시 남동구 구월동 1124-5</t>
        </is>
      </c>
      <c r="AB949" s="0" t="inlineStr">
        <is>
          <t>인천시</t>
        </is>
      </c>
      <c r="AC949" s="0" t="inlineStr">
        <is>
          <t>남동구</t>
        </is>
      </c>
      <c r="AD949" s="0" t="inlineStr">
        <is>
          <t>구월동</t>
        </is>
      </c>
      <c r="AG949" s="0" t="inlineStr">
        <is>
          <t>인천시 남동구 예술로174번길 12</t>
        </is>
      </c>
      <c r="AH949" s="0" t="n">
        <v>0</v>
      </c>
      <c r="AI949" s="0" t="n">
        <v>507</v>
      </c>
      <c r="AJ949" s="0" t="n">
        <v>78</v>
      </c>
      <c r="AK949" s="0" t="n">
        <v>31</v>
      </c>
      <c r="AL949" s="0" t="n">
        <v>0.33</v>
      </c>
    </row>
    <row r="950">
      <c r="A950" s="0" t="inlineStr">
        <is>
          <t>[구월동]</t>
        </is>
      </c>
      <c r="B950" s="0" t="n">
        <v>106094</v>
      </c>
      <c r="C950" s="0" t="n">
        <v>14</v>
      </c>
      <c r="D950" s="0" t="inlineStr">
        <is>
          <t>리치캐슬(도시형)</t>
        </is>
      </c>
      <c r="E950" s="0" t="inlineStr">
        <is>
          <t>2012.09.</t>
        </is>
      </c>
      <c r="F950" s="0" t="n">
        <v>94</v>
      </c>
      <c r="G950" s="0" t="n">
        <v>9.93</v>
      </c>
      <c r="H950" s="0" t="n">
        <v>32.83</v>
      </c>
      <c r="I950" s="0" t="n">
        <v>6.55</v>
      </c>
      <c r="J950" s="0" t="n">
        <v>21.67</v>
      </c>
      <c r="K950" s="0" t="n">
        <v>2</v>
      </c>
      <c r="T950" s="0" t="n">
        <v>1</v>
      </c>
      <c r="U950" s="0" t="n">
        <v>1</v>
      </c>
      <c r="V950" s="0" t="inlineStr">
        <is>
          <t>복합식</t>
        </is>
      </c>
      <c r="W950" s="0" t="inlineStr">
        <is>
          <t>32B</t>
        </is>
      </c>
      <c r="X950" s="0" t="n">
        <v>10</v>
      </c>
      <c r="Y950" s="0" t="n">
        <v>9</v>
      </c>
      <c r="Z950" s="0" t="inlineStr">
        <is>
          <t>https://new.land.naver.com/complexes/106094?tab=detail&amp;rf=Y</t>
        </is>
      </c>
      <c r="AA950" s="0" t="inlineStr">
        <is>
          <t>인천시 남동구 구월동 1124-5</t>
        </is>
      </c>
      <c r="AB950" s="0" t="inlineStr">
        <is>
          <t>인천시</t>
        </is>
      </c>
      <c r="AC950" s="0" t="inlineStr">
        <is>
          <t>남동구</t>
        </is>
      </c>
      <c r="AD950" s="0" t="inlineStr">
        <is>
          <t>구월동</t>
        </is>
      </c>
      <c r="AG950" s="0" t="inlineStr">
        <is>
          <t>인천시 남동구 예술로174번길 12</t>
        </is>
      </c>
      <c r="AH950" s="0" t="n">
        <v>0</v>
      </c>
      <c r="AI950" s="0" t="n">
        <v>507</v>
      </c>
      <c r="AJ950" s="0" t="n">
        <v>78</v>
      </c>
      <c r="AK950" s="0" t="n">
        <v>31</v>
      </c>
      <c r="AL950" s="0" t="n">
        <v>0.33</v>
      </c>
    </row>
    <row r="951">
      <c r="A951" s="0" t="inlineStr">
        <is>
          <t>[구월동]</t>
        </is>
      </c>
      <c r="B951" s="0" t="n">
        <v>106094</v>
      </c>
      <c r="C951" s="0" t="n">
        <v>15</v>
      </c>
      <c r="D951" s="0" t="inlineStr">
        <is>
          <t>리치캐슬(도시형)</t>
        </is>
      </c>
      <c r="E951" s="0" t="inlineStr">
        <is>
          <t>2012.09.</t>
        </is>
      </c>
      <c r="F951" s="0" t="n">
        <v>94</v>
      </c>
      <c r="G951" s="0" t="n">
        <v>10.35</v>
      </c>
      <c r="H951" s="0" t="n">
        <v>34.24</v>
      </c>
      <c r="I951" s="0" t="n">
        <v>6.8</v>
      </c>
      <c r="J951" s="0" t="n">
        <v>22.48</v>
      </c>
      <c r="K951" s="0" t="n">
        <v>8</v>
      </c>
      <c r="T951" s="0" t="n">
        <v>1</v>
      </c>
      <c r="U951" s="0" t="n">
        <v>1</v>
      </c>
      <c r="V951" s="0" t="inlineStr">
        <is>
          <t>복합식</t>
        </is>
      </c>
      <c r="W951" s="0" t="inlineStr">
        <is>
          <t>34C</t>
        </is>
      </c>
      <c r="X951" s="0" t="n">
        <v>10</v>
      </c>
      <c r="Y951" s="0" t="n">
        <v>9</v>
      </c>
      <c r="Z951" s="0" t="inlineStr">
        <is>
          <t>https://new.land.naver.com/complexes/106094?tab=detail&amp;rf=Y</t>
        </is>
      </c>
      <c r="AA951" s="0" t="inlineStr">
        <is>
          <t>인천시 남동구 구월동 1124-5</t>
        </is>
      </c>
      <c r="AB951" s="0" t="inlineStr">
        <is>
          <t>인천시</t>
        </is>
      </c>
      <c r="AC951" s="0" t="inlineStr">
        <is>
          <t>남동구</t>
        </is>
      </c>
      <c r="AD951" s="0" t="inlineStr">
        <is>
          <t>구월동</t>
        </is>
      </c>
      <c r="AG951" s="0" t="inlineStr">
        <is>
          <t>인천시 남동구 예술로174번길 12</t>
        </is>
      </c>
      <c r="AH951" s="0" t="n">
        <v>0</v>
      </c>
      <c r="AI951" s="0" t="n">
        <v>507</v>
      </c>
      <c r="AJ951" s="0" t="n">
        <v>78</v>
      </c>
      <c r="AK951" s="0" t="n">
        <v>31</v>
      </c>
      <c r="AL951" s="0" t="n">
        <v>0.33</v>
      </c>
    </row>
    <row r="952">
      <c r="A952" s="0" t="inlineStr">
        <is>
          <t>[구월동]</t>
        </is>
      </c>
      <c r="B952" s="0" t="n">
        <v>106094</v>
      </c>
      <c r="C952" s="0" t="n">
        <v>16</v>
      </c>
      <c r="D952" s="0" t="inlineStr">
        <is>
          <t>리치캐슬(도시형)</t>
        </is>
      </c>
      <c r="E952" s="0" t="inlineStr">
        <is>
          <t>2012.09.</t>
        </is>
      </c>
      <c r="F952" s="0" t="n">
        <v>94</v>
      </c>
      <c r="G952" s="0" t="n">
        <v>11.44</v>
      </c>
      <c r="H952" s="0" t="n">
        <v>37.83</v>
      </c>
      <c r="I952" s="0" t="n">
        <v>7.59</v>
      </c>
      <c r="J952" s="0" t="n">
        <v>25.1</v>
      </c>
      <c r="K952" s="0" t="n">
        <v>8</v>
      </c>
      <c r="T952" s="0" t="n">
        <v>1</v>
      </c>
      <c r="U952" s="0" t="n">
        <v>1</v>
      </c>
      <c r="V952" s="0" t="inlineStr">
        <is>
          <t>복합식</t>
        </is>
      </c>
      <c r="W952" s="0" t="n">
        <v>37</v>
      </c>
      <c r="X952" s="0" t="n">
        <v>10</v>
      </c>
      <c r="Y952" s="0" t="n">
        <v>9</v>
      </c>
      <c r="Z952" s="0" t="inlineStr">
        <is>
          <t>https://new.land.naver.com/complexes/106094?tab=detail&amp;rf=Y</t>
        </is>
      </c>
      <c r="AA952" s="0" t="inlineStr">
        <is>
          <t>인천시 남동구 구월동 1124-5</t>
        </is>
      </c>
      <c r="AB952" s="0" t="inlineStr">
        <is>
          <t>인천시</t>
        </is>
      </c>
      <c r="AC952" s="0" t="inlineStr">
        <is>
          <t>남동구</t>
        </is>
      </c>
      <c r="AD952" s="0" t="inlineStr">
        <is>
          <t>구월동</t>
        </is>
      </c>
      <c r="AG952" s="0" t="inlineStr">
        <is>
          <t>인천시 남동구 예술로174번길 12</t>
        </is>
      </c>
      <c r="AH952" s="0" t="n">
        <v>0</v>
      </c>
      <c r="AI952" s="0" t="n">
        <v>507</v>
      </c>
      <c r="AJ952" s="0" t="n">
        <v>78</v>
      </c>
      <c r="AK952" s="0" t="n">
        <v>31</v>
      </c>
      <c r="AL952" s="0" t="n">
        <v>0.33</v>
      </c>
    </row>
    <row r="953">
      <c r="A953" s="0" t="inlineStr">
        <is>
          <t>[구월동]</t>
        </is>
      </c>
      <c r="B953" s="0" t="n">
        <v>106094</v>
      </c>
      <c r="C953" s="0" t="n">
        <v>17</v>
      </c>
      <c r="D953" s="0" t="inlineStr">
        <is>
          <t>리치캐슬(도시형)</t>
        </is>
      </c>
      <c r="E953" s="0" t="inlineStr">
        <is>
          <t>2012.09.</t>
        </is>
      </c>
      <c r="F953" s="0" t="n">
        <v>94</v>
      </c>
      <c r="G953" s="0" t="n">
        <v>12.13</v>
      </c>
      <c r="H953" s="0" t="n">
        <v>40.12</v>
      </c>
      <c r="I953" s="0" t="n">
        <v>8.039999999999999</v>
      </c>
      <c r="J953" s="0" t="n">
        <v>26.6</v>
      </c>
      <c r="K953" s="0" t="n">
        <v>2</v>
      </c>
      <c r="T953" s="0" t="n">
        <v>1</v>
      </c>
      <c r="U953" s="0" t="n">
        <v>1</v>
      </c>
      <c r="V953" s="0" t="inlineStr">
        <is>
          <t>복합식</t>
        </is>
      </c>
      <c r="W953" s="0" t="inlineStr">
        <is>
          <t>40A</t>
        </is>
      </c>
      <c r="X953" s="0" t="n">
        <v>10</v>
      </c>
      <c r="Y953" s="0" t="n">
        <v>9</v>
      </c>
      <c r="Z953" s="0" t="inlineStr">
        <is>
          <t>https://new.land.naver.com/complexes/106094?tab=detail&amp;rf=Y</t>
        </is>
      </c>
      <c r="AA953" s="0" t="inlineStr">
        <is>
          <t>인천시 남동구 구월동 1124-5</t>
        </is>
      </c>
      <c r="AB953" s="0" t="inlineStr">
        <is>
          <t>인천시</t>
        </is>
      </c>
      <c r="AC953" s="0" t="inlineStr">
        <is>
          <t>남동구</t>
        </is>
      </c>
      <c r="AD953" s="0" t="inlineStr">
        <is>
          <t>구월동</t>
        </is>
      </c>
      <c r="AG953" s="0" t="inlineStr">
        <is>
          <t>인천시 남동구 예술로174번길 12</t>
        </is>
      </c>
      <c r="AH953" s="0" t="n">
        <v>0</v>
      </c>
      <c r="AI953" s="0" t="n">
        <v>507</v>
      </c>
      <c r="AJ953" s="0" t="n">
        <v>78</v>
      </c>
      <c r="AK953" s="0" t="n">
        <v>31</v>
      </c>
      <c r="AL953" s="0" t="n">
        <v>0.33</v>
      </c>
    </row>
    <row r="954">
      <c r="A954" s="0" t="inlineStr">
        <is>
          <t>[구월동]</t>
        </is>
      </c>
      <c r="B954" s="0" t="n">
        <v>106094</v>
      </c>
      <c r="C954" s="0" t="n">
        <v>18</v>
      </c>
      <c r="D954" s="0" t="inlineStr">
        <is>
          <t>리치캐슬(도시형)</t>
        </is>
      </c>
      <c r="E954" s="0" t="inlineStr">
        <is>
          <t>2012.09.</t>
        </is>
      </c>
      <c r="F954" s="0" t="n">
        <v>94</v>
      </c>
      <c r="G954" s="0" t="n">
        <v>12.35</v>
      </c>
      <c r="H954" s="0" t="n">
        <v>40.85</v>
      </c>
      <c r="I954" s="0" t="n">
        <v>8.19</v>
      </c>
      <c r="J954" s="0" t="n">
        <v>27.09</v>
      </c>
      <c r="K954" s="0" t="n">
        <v>2</v>
      </c>
      <c r="T954" s="0" t="n">
        <v>1</v>
      </c>
      <c r="U954" s="0" t="n">
        <v>1</v>
      </c>
      <c r="V954" s="0" t="inlineStr">
        <is>
          <t>복합식</t>
        </is>
      </c>
      <c r="W954" s="0" t="inlineStr">
        <is>
          <t>40B</t>
        </is>
      </c>
      <c r="X954" s="0" t="n">
        <v>10</v>
      </c>
      <c r="Y954" s="0" t="n">
        <v>9</v>
      </c>
      <c r="Z954" s="0" t="inlineStr">
        <is>
          <t>https://new.land.naver.com/complexes/106094?tab=detail&amp;rf=Y</t>
        </is>
      </c>
      <c r="AA954" s="0" t="inlineStr">
        <is>
          <t>인천시 남동구 구월동 1124-5</t>
        </is>
      </c>
      <c r="AB954" s="0" t="inlineStr">
        <is>
          <t>인천시</t>
        </is>
      </c>
      <c r="AC954" s="0" t="inlineStr">
        <is>
          <t>남동구</t>
        </is>
      </c>
      <c r="AD954" s="0" t="inlineStr">
        <is>
          <t>구월동</t>
        </is>
      </c>
      <c r="AG954" s="0" t="inlineStr">
        <is>
          <t>인천시 남동구 예술로174번길 12</t>
        </is>
      </c>
      <c r="AH954" s="0" t="n">
        <v>0</v>
      </c>
      <c r="AI954" s="0" t="n">
        <v>507</v>
      </c>
      <c r="AJ954" s="0" t="n">
        <v>78</v>
      </c>
      <c r="AK954" s="0" t="n">
        <v>31</v>
      </c>
      <c r="AL954" s="0" t="n">
        <v>0.33</v>
      </c>
    </row>
    <row r="955">
      <c r="A955" s="0" t="inlineStr">
        <is>
          <t>[구월동]</t>
        </is>
      </c>
      <c r="B955" s="0" t="n">
        <v>106094</v>
      </c>
      <c r="C955" s="0" t="n">
        <v>19</v>
      </c>
      <c r="D955" s="0" t="inlineStr">
        <is>
          <t>리치캐슬(도시형)</t>
        </is>
      </c>
      <c r="E955" s="0" t="inlineStr">
        <is>
          <t>2012.09.</t>
        </is>
      </c>
      <c r="F955" s="0" t="n">
        <v>94</v>
      </c>
      <c r="G955" s="0" t="n">
        <v>12.55</v>
      </c>
      <c r="H955" s="0" t="n">
        <v>41.49</v>
      </c>
      <c r="I955" s="0" t="n">
        <v>8.16</v>
      </c>
      <c r="J955" s="0" t="n">
        <v>26.98</v>
      </c>
      <c r="K955" s="0" t="n">
        <v>2</v>
      </c>
      <c r="T955" s="0" t="n">
        <v>1</v>
      </c>
      <c r="U955" s="0" t="n">
        <v>1</v>
      </c>
      <c r="V955" s="0" t="inlineStr">
        <is>
          <t>계단식</t>
        </is>
      </c>
      <c r="W955" s="0" t="n">
        <v>41</v>
      </c>
      <c r="X955" s="0" t="n">
        <v>10</v>
      </c>
      <c r="Y955" s="0" t="n">
        <v>9</v>
      </c>
      <c r="Z955" s="0" t="inlineStr">
        <is>
          <t>https://new.land.naver.com/complexes/106094?tab=detail&amp;rf=Y</t>
        </is>
      </c>
      <c r="AA955" s="0" t="inlineStr">
        <is>
          <t>인천시 남동구 구월동 1124-5</t>
        </is>
      </c>
      <c r="AB955" s="0" t="inlineStr">
        <is>
          <t>인천시</t>
        </is>
      </c>
      <c r="AC955" s="0" t="inlineStr">
        <is>
          <t>남동구</t>
        </is>
      </c>
      <c r="AD955" s="0" t="inlineStr">
        <is>
          <t>구월동</t>
        </is>
      </c>
      <c r="AG955" s="0" t="inlineStr">
        <is>
          <t>인천시 남동구 예술로174번길 12</t>
        </is>
      </c>
      <c r="AH955" s="0" t="n">
        <v>0</v>
      </c>
      <c r="AI955" s="0" t="n">
        <v>507</v>
      </c>
      <c r="AJ955" s="0" t="n">
        <v>78</v>
      </c>
      <c r="AK955" s="0" t="n">
        <v>31</v>
      </c>
      <c r="AL955" s="0" t="n">
        <v>0.33</v>
      </c>
    </row>
    <row r="956">
      <c r="A956" s="0" t="inlineStr">
        <is>
          <t>[구월동]</t>
        </is>
      </c>
      <c r="B956" s="0" t="n">
        <v>106094</v>
      </c>
      <c r="C956" s="0" t="n">
        <v>20</v>
      </c>
      <c r="D956" s="0" t="inlineStr">
        <is>
          <t>리치캐슬(도시형)</t>
        </is>
      </c>
      <c r="E956" s="0" t="inlineStr">
        <is>
          <t>2012.09.</t>
        </is>
      </c>
      <c r="F956" s="0" t="n">
        <v>94</v>
      </c>
      <c r="G956" s="0" t="n">
        <v>13.64</v>
      </c>
      <c r="H956" s="0" t="n">
        <v>45.1</v>
      </c>
      <c r="I956" s="0" t="n">
        <v>9.08</v>
      </c>
      <c r="J956" s="0" t="n">
        <v>30.03</v>
      </c>
      <c r="K956" s="0" t="n">
        <v>8</v>
      </c>
      <c r="T956" s="0" t="n">
        <v>1</v>
      </c>
      <c r="U956" s="0" t="n">
        <v>1</v>
      </c>
      <c r="V956" s="0" t="inlineStr">
        <is>
          <t>복합식</t>
        </is>
      </c>
      <c r="W956" s="0" t="inlineStr">
        <is>
          <t>45A</t>
        </is>
      </c>
      <c r="X956" s="0" t="n">
        <v>10</v>
      </c>
      <c r="Y956" s="0" t="n">
        <v>9</v>
      </c>
      <c r="Z956" s="0" t="inlineStr">
        <is>
          <t>https://new.land.naver.com/complexes/106094?tab=detail&amp;rf=Y</t>
        </is>
      </c>
      <c r="AA956" s="0" t="inlineStr">
        <is>
          <t>인천시 남동구 구월동 1124-5</t>
        </is>
      </c>
      <c r="AB956" s="0" t="inlineStr">
        <is>
          <t>인천시</t>
        </is>
      </c>
      <c r="AC956" s="0" t="inlineStr">
        <is>
          <t>남동구</t>
        </is>
      </c>
      <c r="AD956" s="0" t="inlineStr">
        <is>
          <t>구월동</t>
        </is>
      </c>
      <c r="AG956" s="0" t="inlineStr">
        <is>
          <t>인천시 남동구 예술로174번길 12</t>
        </is>
      </c>
      <c r="AH956" s="0" t="n">
        <v>0</v>
      </c>
      <c r="AI956" s="0" t="n">
        <v>507</v>
      </c>
      <c r="AJ956" s="0" t="n">
        <v>78</v>
      </c>
      <c r="AK956" s="0" t="n">
        <v>31</v>
      </c>
      <c r="AL956" s="0" t="n">
        <v>0.33</v>
      </c>
    </row>
    <row r="957">
      <c r="A957" s="0" t="inlineStr">
        <is>
          <t>[구월동]</t>
        </is>
      </c>
      <c r="B957" s="0" t="n">
        <v>106094</v>
      </c>
      <c r="C957" s="0" t="n">
        <v>21</v>
      </c>
      <c r="D957" s="0" t="inlineStr">
        <is>
          <t>리치캐슬(도시형)</t>
        </is>
      </c>
      <c r="E957" s="0" t="inlineStr">
        <is>
          <t>2012.09.</t>
        </is>
      </c>
      <c r="F957" s="0" t="n">
        <v>94</v>
      </c>
      <c r="G957" s="0" t="n">
        <v>13.86</v>
      </c>
      <c r="H957" s="0" t="n">
        <v>45.83</v>
      </c>
      <c r="I957" s="0" t="n">
        <v>9.23</v>
      </c>
      <c r="J957" s="0" t="n">
        <v>30.52</v>
      </c>
      <c r="K957" s="0" t="n">
        <v>8</v>
      </c>
      <c r="T957" s="0" t="n">
        <v>1</v>
      </c>
      <c r="U957" s="0" t="n">
        <v>1</v>
      </c>
      <c r="V957" s="0" t="inlineStr">
        <is>
          <t>복합식</t>
        </is>
      </c>
      <c r="W957" s="0" t="inlineStr">
        <is>
          <t>45C</t>
        </is>
      </c>
      <c r="X957" s="0" t="n">
        <v>10</v>
      </c>
      <c r="Y957" s="0" t="n">
        <v>9</v>
      </c>
      <c r="Z957" s="0" t="inlineStr">
        <is>
          <t>https://new.land.naver.com/complexes/106094?tab=detail&amp;rf=Y</t>
        </is>
      </c>
      <c r="AA957" s="0" t="inlineStr">
        <is>
          <t>인천시 남동구 구월동 1124-5</t>
        </is>
      </c>
      <c r="AB957" s="0" t="inlineStr">
        <is>
          <t>인천시</t>
        </is>
      </c>
      <c r="AC957" s="0" t="inlineStr">
        <is>
          <t>남동구</t>
        </is>
      </c>
      <c r="AD957" s="0" t="inlineStr">
        <is>
          <t>구월동</t>
        </is>
      </c>
      <c r="AG957" s="0" t="inlineStr">
        <is>
          <t>인천시 남동구 예술로174번길 12</t>
        </is>
      </c>
      <c r="AH957" s="0" t="n">
        <v>0</v>
      </c>
      <c r="AI957" s="0" t="n">
        <v>507</v>
      </c>
      <c r="AJ957" s="0" t="n">
        <v>78</v>
      </c>
      <c r="AK957" s="0" t="n">
        <v>31</v>
      </c>
      <c r="AL957" s="0" t="n">
        <v>0.33</v>
      </c>
    </row>
    <row r="958">
      <c r="A958" s="0" t="inlineStr">
        <is>
          <t>[구월동]</t>
        </is>
      </c>
      <c r="B958" s="0" t="n">
        <v>106094</v>
      </c>
      <c r="C958" s="0" t="n">
        <v>22</v>
      </c>
      <c r="D958" s="0" t="inlineStr">
        <is>
          <t>리치캐슬(도시형)</t>
        </is>
      </c>
      <c r="E958" s="0" t="inlineStr">
        <is>
          <t>2012.09.</t>
        </is>
      </c>
      <c r="F958" s="0" t="n">
        <v>94</v>
      </c>
      <c r="G958" s="0" t="n">
        <v>14.05</v>
      </c>
      <c r="H958" s="0" t="n">
        <v>46.46</v>
      </c>
      <c r="I958" s="0" t="n">
        <v>9.17</v>
      </c>
      <c r="J958" s="0" t="n">
        <v>30.32</v>
      </c>
      <c r="K958" s="0" t="n">
        <v>8</v>
      </c>
      <c r="T958" s="0" t="n">
        <v>1</v>
      </c>
      <c r="U958" s="0" t="n">
        <v>1</v>
      </c>
      <c r="V958" s="0" t="inlineStr">
        <is>
          <t>복합식</t>
        </is>
      </c>
      <c r="W958" s="0" t="inlineStr">
        <is>
          <t>46B</t>
        </is>
      </c>
      <c r="X958" s="0" t="n">
        <v>10</v>
      </c>
      <c r="Y958" s="0" t="n">
        <v>9</v>
      </c>
      <c r="Z958" s="0" t="inlineStr">
        <is>
          <t>https://new.land.naver.com/complexes/106094?tab=detail&amp;rf=Y</t>
        </is>
      </c>
      <c r="AA958" s="0" t="inlineStr">
        <is>
          <t>인천시 남동구 구월동 1124-5</t>
        </is>
      </c>
      <c r="AB958" s="0" t="inlineStr">
        <is>
          <t>인천시</t>
        </is>
      </c>
      <c r="AC958" s="0" t="inlineStr">
        <is>
          <t>남동구</t>
        </is>
      </c>
      <c r="AD958" s="0" t="inlineStr">
        <is>
          <t>구월동</t>
        </is>
      </c>
      <c r="AG958" s="0" t="inlineStr">
        <is>
          <t>인천시 남동구 예술로174번길 12</t>
        </is>
      </c>
      <c r="AH958" s="0" t="n">
        <v>0</v>
      </c>
      <c r="AI958" s="0" t="n">
        <v>507</v>
      </c>
      <c r="AJ958" s="0" t="n">
        <v>78</v>
      </c>
      <c r="AK958" s="0" t="n">
        <v>31</v>
      </c>
      <c r="AL958" s="0" t="n">
        <v>0.33</v>
      </c>
    </row>
    <row r="959">
      <c r="A959" s="0" t="inlineStr">
        <is>
          <t>[구월동]</t>
        </is>
      </c>
      <c r="B959" s="0" t="n">
        <v>104175</v>
      </c>
      <c r="C959" s="0" t="n">
        <v>1</v>
      </c>
      <c r="D959" s="0" t="inlineStr">
        <is>
          <t>엠타워-1(도시형)</t>
        </is>
      </c>
      <c r="E959" s="0" t="inlineStr">
        <is>
          <t>2011.09.</t>
        </is>
      </c>
      <c r="F959" s="0" t="n">
        <v>41</v>
      </c>
      <c r="G959" s="0" t="n">
        <v>6.15</v>
      </c>
      <c r="H959" s="0" t="n">
        <v>20.34</v>
      </c>
      <c r="I959" s="0" t="n">
        <v>4.13</v>
      </c>
      <c r="J959" s="0" t="n">
        <v>13.68</v>
      </c>
      <c r="K959" s="0" t="n">
        <v>14</v>
      </c>
      <c r="T959" s="0" t="n">
        <v>1</v>
      </c>
      <c r="U959" s="0" t="n">
        <v>1</v>
      </c>
      <c r="V959" s="0" t="inlineStr">
        <is>
          <t>복도식</t>
        </is>
      </c>
      <c r="W959" s="0" t="n">
        <v>20</v>
      </c>
      <c r="X959" s="0" t="n">
        <v>10</v>
      </c>
      <c r="Y959" s="0" t="n">
        <v>10</v>
      </c>
      <c r="Z959" s="0" t="inlineStr">
        <is>
          <t>https://new.land.naver.com/complexes/104175?tab=detail&amp;rf=Y</t>
        </is>
      </c>
      <c r="AA959" s="0" t="inlineStr">
        <is>
          <t>인천시 남동구 구월동 1125-10</t>
        </is>
      </c>
      <c r="AB959" s="0" t="inlineStr">
        <is>
          <t>인천시</t>
        </is>
      </c>
      <c r="AC959" s="0" t="inlineStr">
        <is>
          <t>남동구</t>
        </is>
      </c>
      <c r="AD959" s="0" t="inlineStr">
        <is>
          <t>구월동</t>
        </is>
      </c>
      <c r="AG959" s="0" t="inlineStr">
        <is>
          <t>인천시 남동구 예술로174번길 36</t>
        </is>
      </c>
      <c r="AH959" s="0" t="n">
        <v>0</v>
      </c>
      <c r="AI959" s="0" t="n">
        <v>502</v>
      </c>
      <c r="AJ959" s="0" t="n">
        <v>70</v>
      </c>
      <c r="AK959" s="0" t="n">
        <v>9</v>
      </c>
      <c r="AL959" s="0" t="n">
        <v>0.22</v>
      </c>
    </row>
    <row r="960">
      <c r="A960" s="0" t="inlineStr">
        <is>
          <t>[구월동]</t>
        </is>
      </c>
      <c r="B960" s="0" t="n">
        <v>104175</v>
      </c>
      <c r="C960" s="0" t="n">
        <v>2</v>
      </c>
      <c r="D960" s="0" t="inlineStr">
        <is>
          <t>엠타워-1(도시형)</t>
        </is>
      </c>
      <c r="E960" s="0" t="inlineStr">
        <is>
          <t>2011.09.</t>
        </is>
      </c>
      <c r="F960" s="0" t="n">
        <v>41</v>
      </c>
      <c r="G960" s="0" t="n">
        <v>6.51</v>
      </c>
      <c r="H960" s="0" t="n">
        <v>21.53</v>
      </c>
      <c r="I960" s="0" t="n">
        <v>4.38</v>
      </c>
      <c r="J960" s="0" t="n">
        <v>14.48</v>
      </c>
      <c r="K960" s="0" t="n">
        <v>20</v>
      </c>
      <c r="T960" s="0" t="n">
        <v>1</v>
      </c>
      <c r="U960" s="0" t="n">
        <v>1</v>
      </c>
      <c r="V960" s="0" t="inlineStr">
        <is>
          <t>복도식</t>
        </is>
      </c>
      <c r="W960" s="0" t="inlineStr">
        <is>
          <t>21A</t>
        </is>
      </c>
      <c r="X960" s="0" t="n">
        <v>10</v>
      </c>
      <c r="Y960" s="0" t="n">
        <v>10</v>
      </c>
      <c r="Z960" s="0" t="inlineStr">
        <is>
          <t>https://new.land.naver.com/complexes/104175?tab=detail&amp;rf=Y</t>
        </is>
      </c>
      <c r="AA960" s="0" t="inlineStr">
        <is>
          <t>인천시 남동구 구월동 1125-10</t>
        </is>
      </c>
      <c r="AB960" s="0" t="inlineStr">
        <is>
          <t>인천시</t>
        </is>
      </c>
      <c r="AC960" s="0" t="inlineStr">
        <is>
          <t>남동구</t>
        </is>
      </c>
      <c r="AD960" s="0" t="inlineStr">
        <is>
          <t>구월동</t>
        </is>
      </c>
      <c r="AG960" s="0" t="inlineStr">
        <is>
          <t>인천시 남동구 예술로174번길 36</t>
        </is>
      </c>
      <c r="AH960" s="0" t="n">
        <v>0</v>
      </c>
      <c r="AI960" s="0" t="n">
        <v>502</v>
      </c>
      <c r="AJ960" s="0" t="n">
        <v>70</v>
      </c>
      <c r="AK960" s="0" t="n">
        <v>9</v>
      </c>
      <c r="AL960" s="0" t="n">
        <v>0.22</v>
      </c>
    </row>
    <row r="961">
      <c r="A961" s="0" t="inlineStr">
        <is>
          <t>[구월동]</t>
        </is>
      </c>
      <c r="B961" s="0" t="n">
        <v>104175</v>
      </c>
      <c r="C961" s="0" t="n">
        <v>3</v>
      </c>
      <c r="D961" s="0" t="inlineStr">
        <is>
          <t>엠타워-1(도시형)</t>
        </is>
      </c>
      <c r="E961" s="0" t="inlineStr">
        <is>
          <t>2011.09.</t>
        </is>
      </c>
      <c r="F961" s="0" t="n">
        <v>41</v>
      </c>
      <c r="G961" s="0" t="n">
        <v>6.69</v>
      </c>
      <c r="H961" s="0" t="n">
        <v>22.12</v>
      </c>
      <c r="I961" s="0" t="n">
        <v>4.5</v>
      </c>
      <c r="J961" s="0" t="n">
        <v>14.88</v>
      </c>
      <c r="K961" s="0" t="n">
        <v>2</v>
      </c>
      <c r="T961" s="0" t="n">
        <v>1</v>
      </c>
      <c r="U961" s="0" t="n">
        <v>1</v>
      </c>
      <c r="V961" s="0" t="inlineStr">
        <is>
          <t>복도식</t>
        </is>
      </c>
      <c r="W961" s="0" t="inlineStr">
        <is>
          <t>22B</t>
        </is>
      </c>
      <c r="X961" s="0" t="n">
        <v>10</v>
      </c>
      <c r="Y961" s="0" t="n">
        <v>10</v>
      </c>
      <c r="Z961" s="0" t="inlineStr">
        <is>
          <t>https://new.land.naver.com/complexes/104175?tab=detail&amp;rf=Y</t>
        </is>
      </c>
      <c r="AA961" s="0" t="inlineStr">
        <is>
          <t>인천시 남동구 구월동 1125-10</t>
        </is>
      </c>
      <c r="AB961" s="0" t="inlineStr">
        <is>
          <t>인천시</t>
        </is>
      </c>
      <c r="AC961" s="0" t="inlineStr">
        <is>
          <t>남동구</t>
        </is>
      </c>
      <c r="AD961" s="0" t="inlineStr">
        <is>
          <t>구월동</t>
        </is>
      </c>
      <c r="AG961" s="0" t="inlineStr">
        <is>
          <t>인천시 남동구 예술로174번길 36</t>
        </is>
      </c>
      <c r="AH961" s="0" t="n">
        <v>0</v>
      </c>
      <c r="AI961" s="0" t="n">
        <v>502</v>
      </c>
      <c r="AJ961" s="0" t="n">
        <v>70</v>
      </c>
      <c r="AK961" s="0" t="n">
        <v>9</v>
      </c>
      <c r="AL961" s="0" t="n">
        <v>0.22</v>
      </c>
    </row>
    <row r="962">
      <c r="A962" s="0" t="inlineStr">
        <is>
          <t>[구월동]</t>
        </is>
      </c>
      <c r="B962" s="0" t="n">
        <v>104175</v>
      </c>
      <c r="C962" s="0" t="n">
        <v>4</v>
      </c>
      <c r="D962" s="0" t="inlineStr">
        <is>
          <t>엠타워-1(도시형)</t>
        </is>
      </c>
      <c r="E962" s="0" t="inlineStr">
        <is>
          <t>2011.09.</t>
        </is>
      </c>
      <c r="F962" s="0" t="n">
        <v>41</v>
      </c>
      <c r="G962" s="0" t="n">
        <v>7.41</v>
      </c>
      <c r="H962" s="0" t="n">
        <v>24.5</v>
      </c>
      <c r="I962" s="0" t="n">
        <v>4.98</v>
      </c>
      <c r="J962" s="0" t="n">
        <v>16.48</v>
      </c>
      <c r="K962" s="0" t="n">
        <v>2</v>
      </c>
      <c r="T962" s="0" t="n">
        <v>1</v>
      </c>
      <c r="U962" s="0" t="n">
        <v>1</v>
      </c>
      <c r="V962" s="0" t="inlineStr">
        <is>
          <t>복도식</t>
        </is>
      </c>
      <c r="W962" s="0" t="inlineStr">
        <is>
          <t>24C</t>
        </is>
      </c>
      <c r="X962" s="0" t="n">
        <v>10</v>
      </c>
      <c r="Y962" s="0" t="n">
        <v>10</v>
      </c>
      <c r="Z962" s="0" t="inlineStr">
        <is>
          <t>https://new.land.naver.com/complexes/104175?tab=detail&amp;rf=Y</t>
        </is>
      </c>
      <c r="AA962" s="0" t="inlineStr">
        <is>
          <t>인천시 남동구 구월동 1125-10</t>
        </is>
      </c>
      <c r="AB962" s="0" t="inlineStr">
        <is>
          <t>인천시</t>
        </is>
      </c>
      <c r="AC962" s="0" t="inlineStr">
        <is>
          <t>남동구</t>
        </is>
      </c>
      <c r="AD962" s="0" t="inlineStr">
        <is>
          <t>구월동</t>
        </is>
      </c>
      <c r="AG962" s="0" t="inlineStr">
        <is>
          <t>인천시 남동구 예술로174번길 36</t>
        </is>
      </c>
      <c r="AH962" s="0" t="n">
        <v>0</v>
      </c>
      <c r="AI962" s="0" t="n">
        <v>502</v>
      </c>
      <c r="AJ962" s="0" t="n">
        <v>70</v>
      </c>
      <c r="AK962" s="0" t="n">
        <v>9</v>
      </c>
      <c r="AL962" s="0" t="n">
        <v>0.22</v>
      </c>
    </row>
    <row r="963">
      <c r="A963" s="0" t="inlineStr">
        <is>
          <t>[구월동]</t>
        </is>
      </c>
      <c r="B963" s="0" t="n">
        <v>104175</v>
      </c>
      <c r="C963" s="0" t="n">
        <v>5</v>
      </c>
      <c r="D963" s="0" t="inlineStr">
        <is>
          <t>엠타워-1(도시형)</t>
        </is>
      </c>
      <c r="E963" s="0" t="inlineStr">
        <is>
          <t>2011.09.</t>
        </is>
      </c>
      <c r="F963" s="0" t="n">
        <v>41</v>
      </c>
      <c r="G963" s="0" t="n">
        <v>8.470000000000001</v>
      </c>
      <c r="H963" s="0" t="n">
        <v>28.03</v>
      </c>
      <c r="I963" s="0" t="n">
        <v>5.7</v>
      </c>
      <c r="J963" s="0" t="n">
        <v>18.85</v>
      </c>
      <c r="K963" s="0" t="n">
        <v>1</v>
      </c>
      <c r="T963" s="0" t="n">
        <v>1</v>
      </c>
      <c r="U963" s="0" t="n">
        <v>1</v>
      </c>
      <c r="V963" s="0" t="inlineStr">
        <is>
          <t>복도식</t>
        </is>
      </c>
      <c r="W963" s="0" t="n">
        <v>28</v>
      </c>
      <c r="X963" s="0" t="n">
        <v>10</v>
      </c>
      <c r="Y963" s="0" t="n">
        <v>10</v>
      </c>
      <c r="Z963" s="0" t="inlineStr">
        <is>
          <t>https://new.land.naver.com/complexes/104175?tab=detail&amp;rf=Y</t>
        </is>
      </c>
      <c r="AA963" s="0" t="inlineStr">
        <is>
          <t>인천시 남동구 구월동 1125-10</t>
        </is>
      </c>
      <c r="AB963" s="0" t="inlineStr">
        <is>
          <t>인천시</t>
        </is>
      </c>
      <c r="AC963" s="0" t="inlineStr">
        <is>
          <t>남동구</t>
        </is>
      </c>
      <c r="AD963" s="0" t="inlineStr">
        <is>
          <t>구월동</t>
        </is>
      </c>
      <c r="AG963" s="0" t="inlineStr">
        <is>
          <t>인천시 남동구 예술로174번길 36</t>
        </is>
      </c>
      <c r="AH963" s="0" t="n">
        <v>0</v>
      </c>
      <c r="AI963" s="0" t="n">
        <v>502</v>
      </c>
      <c r="AJ963" s="0" t="n">
        <v>70</v>
      </c>
      <c r="AK963" s="0" t="n">
        <v>9</v>
      </c>
      <c r="AL963" s="0" t="n">
        <v>0.22</v>
      </c>
    </row>
    <row r="964">
      <c r="A964" s="0" t="inlineStr">
        <is>
          <t>[구월동]</t>
        </is>
      </c>
      <c r="B964" s="0" t="n">
        <v>104175</v>
      </c>
      <c r="C964" s="0" t="n">
        <v>6</v>
      </c>
      <c r="D964" s="0" t="inlineStr">
        <is>
          <t>엠타워-1(도시형)</t>
        </is>
      </c>
      <c r="E964" s="0" t="inlineStr">
        <is>
          <t>2011.09.</t>
        </is>
      </c>
      <c r="F964" s="0" t="n">
        <v>41</v>
      </c>
      <c r="G964" s="0" t="n">
        <v>8.65</v>
      </c>
      <c r="H964" s="0" t="n">
        <v>28.62</v>
      </c>
      <c r="I964" s="0" t="n">
        <v>5.82</v>
      </c>
      <c r="J964" s="0" t="n">
        <v>19.25</v>
      </c>
      <c r="K964" s="0" t="n">
        <v>1</v>
      </c>
      <c r="T964" s="0" t="n">
        <v>1</v>
      </c>
      <c r="U964" s="0" t="n">
        <v>1</v>
      </c>
      <c r="V964" s="0" t="inlineStr">
        <is>
          <t>복도식</t>
        </is>
      </c>
      <c r="W964" s="0" t="n">
        <v>28</v>
      </c>
      <c r="X964" s="0" t="n">
        <v>10</v>
      </c>
      <c r="Y964" s="0" t="n">
        <v>10</v>
      </c>
      <c r="Z964" s="0" t="inlineStr">
        <is>
          <t>https://new.land.naver.com/complexes/104175?tab=detail&amp;rf=Y</t>
        </is>
      </c>
      <c r="AA964" s="0" t="inlineStr">
        <is>
          <t>인천시 남동구 구월동 1125-10</t>
        </is>
      </c>
      <c r="AB964" s="0" t="inlineStr">
        <is>
          <t>인천시</t>
        </is>
      </c>
      <c r="AC964" s="0" t="inlineStr">
        <is>
          <t>남동구</t>
        </is>
      </c>
      <c r="AD964" s="0" t="inlineStr">
        <is>
          <t>구월동</t>
        </is>
      </c>
      <c r="AG964" s="0" t="inlineStr">
        <is>
          <t>인천시 남동구 예술로174번길 36</t>
        </is>
      </c>
      <c r="AH964" s="0" t="n">
        <v>0</v>
      </c>
      <c r="AI964" s="0" t="n">
        <v>502</v>
      </c>
      <c r="AJ964" s="0" t="n">
        <v>70</v>
      </c>
      <c r="AK964" s="0" t="n">
        <v>9</v>
      </c>
      <c r="AL964" s="0" t="n">
        <v>0.22</v>
      </c>
    </row>
    <row r="965">
      <c r="A965" s="0" t="inlineStr">
        <is>
          <t>[구월동]</t>
        </is>
      </c>
      <c r="B965" s="0" t="n">
        <v>104175</v>
      </c>
      <c r="C965" s="0" t="n">
        <v>7</v>
      </c>
      <c r="D965" s="0" t="inlineStr">
        <is>
          <t>엠타워-1(도시형)</t>
        </is>
      </c>
      <c r="E965" s="0" t="inlineStr">
        <is>
          <t>2011.09.</t>
        </is>
      </c>
      <c r="F965" s="0" t="n">
        <v>41</v>
      </c>
      <c r="G965" s="0" t="n">
        <v>10.51</v>
      </c>
      <c r="H965" s="0" t="n">
        <v>34.75</v>
      </c>
      <c r="I965" s="0" t="n">
        <v>7.07</v>
      </c>
      <c r="J965" s="0" t="n">
        <v>23.38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n">
        <v>34</v>
      </c>
      <c r="X965" s="0" t="n">
        <v>10</v>
      </c>
      <c r="Y965" s="0" t="n">
        <v>10</v>
      </c>
      <c r="Z965" s="0" t="inlineStr">
        <is>
          <t>https://new.land.naver.com/complexes/104175?tab=detail&amp;rf=Y</t>
        </is>
      </c>
      <c r="AA965" s="0" t="inlineStr">
        <is>
          <t>인천시 남동구 구월동 1125-10</t>
        </is>
      </c>
      <c r="AB965" s="0" t="inlineStr">
        <is>
          <t>인천시</t>
        </is>
      </c>
      <c r="AC965" s="0" t="inlineStr">
        <is>
          <t>남동구</t>
        </is>
      </c>
      <c r="AD965" s="0" t="inlineStr">
        <is>
          <t>구월동</t>
        </is>
      </c>
      <c r="AG965" s="0" t="inlineStr">
        <is>
          <t>인천시 남동구 예술로174번길 36</t>
        </is>
      </c>
      <c r="AH965" s="0" t="n">
        <v>0</v>
      </c>
      <c r="AI965" s="0" t="n">
        <v>502</v>
      </c>
      <c r="AJ965" s="0" t="n">
        <v>70</v>
      </c>
      <c r="AK965" s="0" t="n">
        <v>9</v>
      </c>
      <c r="AL965" s="0" t="n">
        <v>0.22</v>
      </c>
    </row>
    <row r="966">
      <c r="A966" s="0" t="inlineStr">
        <is>
          <t>[구월동]</t>
        </is>
      </c>
      <c r="B966" s="0" t="n">
        <v>117998</v>
      </c>
      <c r="C966" s="0" t="n">
        <v>1</v>
      </c>
      <c r="D966" s="0" t="inlineStr">
        <is>
          <t>프라임캐슬</t>
        </is>
      </c>
      <c r="E966" s="0" t="inlineStr">
        <is>
          <t>2015.07.</t>
        </is>
      </c>
      <c r="F966" s="0" t="n">
        <v>20</v>
      </c>
      <c r="G966" s="0" t="n">
        <v>21.01</v>
      </c>
      <c r="H966" s="0" t="n">
        <v>69.45999999999999</v>
      </c>
      <c r="I966" s="0" t="n">
        <v>16.45</v>
      </c>
      <c r="J966" s="0" t="n">
        <v>54.39</v>
      </c>
      <c r="K966" s="0" t="n">
        <v>4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69</v>
      </c>
      <c r="X966" s="0" t="n">
        <v>15</v>
      </c>
      <c r="Y966" s="0" t="n">
        <v>15</v>
      </c>
      <c r="Z966" s="0" t="inlineStr">
        <is>
          <t>https://new.land.naver.com/complexes/117998?tab=detail&amp;rf=Y</t>
        </is>
      </c>
      <c r="AA966" s="0" t="inlineStr">
        <is>
          <t>인천시 남동구 구월동 1132-4</t>
        </is>
      </c>
      <c r="AB966" s="0" t="inlineStr">
        <is>
          <t>인천시</t>
        </is>
      </c>
      <c r="AC966" s="0" t="inlineStr">
        <is>
          <t>남동구</t>
        </is>
      </c>
      <c r="AD966" s="0" t="inlineStr">
        <is>
          <t>구월동</t>
        </is>
      </c>
      <c r="AG966" s="0" t="inlineStr">
        <is>
          <t>인천시 남동구 인주대로591번길 56</t>
        </is>
      </c>
      <c r="AH966" s="0" t="n">
        <v>0</v>
      </c>
      <c r="AI966" s="0" t="n">
        <v>840</v>
      </c>
      <c r="AJ966" s="0" t="n">
        <v>63</v>
      </c>
      <c r="AK966" s="0" t="n">
        <v>14</v>
      </c>
      <c r="AL966" s="0" t="n">
        <v>0.7</v>
      </c>
    </row>
    <row r="967">
      <c r="A967" s="0" t="inlineStr">
        <is>
          <t>[구월동]</t>
        </is>
      </c>
      <c r="B967" s="0" t="n">
        <v>117998</v>
      </c>
      <c r="C967" s="0" t="n">
        <v>2</v>
      </c>
      <c r="D967" s="0" t="inlineStr">
        <is>
          <t>프라임캐슬</t>
        </is>
      </c>
      <c r="E967" s="0" t="inlineStr">
        <is>
          <t>2015.07.</t>
        </is>
      </c>
      <c r="F967" s="0" t="n">
        <v>20</v>
      </c>
      <c r="G967" s="0" t="n">
        <v>21.94</v>
      </c>
      <c r="H967" s="0" t="n">
        <v>72.54000000000001</v>
      </c>
      <c r="I967" s="0" t="n">
        <v>17.05</v>
      </c>
      <c r="J967" s="0" t="n">
        <v>56.39</v>
      </c>
      <c r="K967" s="0" t="n">
        <v>4</v>
      </c>
      <c r="T967" s="0" t="n">
        <v>3</v>
      </c>
      <c r="U967" s="0" t="n">
        <v>1</v>
      </c>
      <c r="V967" s="0" t="inlineStr">
        <is>
          <t>복도식</t>
        </is>
      </c>
      <c r="W967" s="0" t="inlineStr">
        <is>
          <t>72A</t>
        </is>
      </c>
      <c r="X967" s="0" t="n">
        <v>15</v>
      </c>
      <c r="Y967" s="0" t="n">
        <v>15</v>
      </c>
      <c r="Z967" s="0" t="inlineStr">
        <is>
          <t>https://new.land.naver.com/complexes/117998?tab=detail&amp;rf=Y</t>
        </is>
      </c>
      <c r="AA967" s="0" t="inlineStr">
        <is>
          <t>인천시 남동구 구월동 1132-4</t>
        </is>
      </c>
      <c r="AB967" s="0" t="inlineStr">
        <is>
          <t>인천시</t>
        </is>
      </c>
      <c r="AC967" s="0" t="inlineStr">
        <is>
          <t>남동구</t>
        </is>
      </c>
      <c r="AD967" s="0" t="inlineStr">
        <is>
          <t>구월동</t>
        </is>
      </c>
      <c r="AG967" s="0" t="inlineStr">
        <is>
          <t>인천시 남동구 인주대로591번길 56</t>
        </is>
      </c>
      <c r="AH967" s="0" t="n">
        <v>0</v>
      </c>
      <c r="AI967" s="0" t="n">
        <v>840</v>
      </c>
      <c r="AJ967" s="0" t="n">
        <v>63</v>
      </c>
      <c r="AK967" s="0" t="n">
        <v>14</v>
      </c>
      <c r="AL967" s="0" t="n">
        <v>0.7</v>
      </c>
    </row>
    <row r="968">
      <c r="A968" s="0" t="inlineStr">
        <is>
          <t>[구월동]</t>
        </is>
      </c>
      <c r="B968" s="0" t="n">
        <v>117998</v>
      </c>
      <c r="C968" s="0" t="n">
        <v>3</v>
      </c>
      <c r="D968" s="0" t="inlineStr">
        <is>
          <t>프라임캐슬</t>
        </is>
      </c>
      <c r="E968" s="0" t="inlineStr">
        <is>
          <t>2015.07.</t>
        </is>
      </c>
      <c r="F968" s="0" t="n">
        <v>20</v>
      </c>
      <c r="G968" s="0" t="n">
        <v>21.86</v>
      </c>
      <c r="H968" s="0" t="n">
        <v>72.29000000000001</v>
      </c>
      <c r="I968" s="0" t="n">
        <v>17.07</v>
      </c>
      <c r="J968" s="0" t="n">
        <v>56.46</v>
      </c>
      <c r="K968" s="0" t="n">
        <v>4</v>
      </c>
      <c r="T968" s="0" t="n">
        <v>3</v>
      </c>
      <c r="U968" s="0" t="n">
        <v>1</v>
      </c>
      <c r="V968" s="0" t="inlineStr">
        <is>
          <t>복도식</t>
        </is>
      </c>
      <c r="W968" s="0" t="inlineStr">
        <is>
          <t>72B</t>
        </is>
      </c>
      <c r="X968" s="0" t="n">
        <v>15</v>
      </c>
      <c r="Y968" s="0" t="n">
        <v>15</v>
      </c>
      <c r="Z968" s="0" t="inlineStr">
        <is>
          <t>https://new.land.naver.com/complexes/117998?tab=detail&amp;rf=Y</t>
        </is>
      </c>
      <c r="AA968" s="0" t="inlineStr">
        <is>
          <t>인천시 남동구 구월동 1132-4</t>
        </is>
      </c>
      <c r="AB968" s="0" t="inlineStr">
        <is>
          <t>인천시</t>
        </is>
      </c>
      <c r="AC968" s="0" t="inlineStr">
        <is>
          <t>남동구</t>
        </is>
      </c>
      <c r="AD968" s="0" t="inlineStr">
        <is>
          <t>구월동</t>
        </is>
      </c>
      <c r="AG968" s="0" t="inlineStr">
        <is>
          <t>인천시 남동구 인주대로591번길 56</t>
        </is>
      </c>
      <c r="AH968" s="0" t="n">
        <v>0</v>
      </c>
      <c r="AI968" s="0" t="n">
        <v>840</v>
      </c>
      <c r="AJ968" s="0" t="n">
        <v>63</v>
      </c>
      <c r="AK968" s="0" t="n">
        <v>14</v>
      </c>
      <c r="AL968" s="0" t="n">
        <v>0.7</v>
      </c>
    </row>
    <row r="969">
      <c r="A969" s="0" t="inlineStr">
        <is>
          <t>[구월동]</t>
        </is>
      </c>
      <c r="B969" s="0" t="n">
        <v>117998</v>
      </c>
      <c r="C969" s="0" t="n">
        <v>4</v>
      </c>
      <c r="D969" s="0" t="inlineStr">
        <is>
          <t>프라임캐슬</t>
        </is>
      </c>
      <c r="E969" s="0" t="inlineStr">
        <is>
          <t>2015.07.</t>
        </is>
      </c>
      <c r="F969" s="0" t="n">
        <v>20</v>
      </c>
      <c r="G969" s="0" t="n">
        <v>22.13</v>
      </c>
      <c r="H969" s="0" t="n">
        <v>73.19</v>
      </c>
      <c r="I969" s="0" t="n">
        <v>17.09</v>
      </c>
      <c r="J969" s="0" t="n">
        <v>56.5</v>
      </c>
      <c r="K969" s="0" t="n">
        <v>4</v>
      </c>
      <c r="T969" s="0" t="n">
        <v>3</v>
      </c>
      <c r="U969" s="0" t="n">
        <v>1</v>
      </c>
      <c r="V969" s="0" t="inlineStr">
        <is>
          <t>복도식</t>
        </is>
      </c>
      <c r="W969" s="0" t="inlineStr">
        <is>
          <t>73C</t>
        </is>
      </c>
      <c r="X969" s="0" t="n">
        <v>15</v>
      </c>
      <c r="Y969" s="0" t="n">
        <v>15</v>
      </c>
      <c r="Z969" s="0" t="inlineStr">
        <is>
          <t>https://new.land.naver.com/complexes/117998?tab=detail&amp;rf=Y</t>
        </is>
      </c>
      <c r="AA969" s="0" t="inlineStr">
        <is>
          <t>인천시 남동구 구월동 1132-4</t>
        </is>
      </c>
      <c r="AB969" s="0" t="inlineStr">
        <is>
          <t>인천시</t>
        </is>
      </c>
      <c r="AC969" s="0" t="inlineStr">
        <is>
          <t>남동구</t>
        </is>
      </c>
      <c r="AD969" s="0" t="inlineStr">
        <is>
          <t>구월동</t>
        </is>
      </c>
      <c r="AG969" s="0" t="inlineStr">
        <is>
          <t>인천시 남동구 인주대로591번길 56</t>
        </is>
      </c>
      <c r="AH969" s="0" t="n">
        <v>0</v>
      </c>
      <c r="AI969" s="0" t="n">
        <v>840</v>
      </c>
      <c r="AJ969" s="0" t="n">
        <v>63</v>
      </c>
      <c r="AK969" s="0" t="n">
        <v>14</v>
      </c>
      <c r="AL969" s="0" t="n">
        <v>0.7</v>
      </c>
    </row>
    <row r="970">
      <c r="A970" s="0" t="inlineStr">
        <is>
          <t>[구월동]</t>
        </is>
      </c>
      <c r="B970" s="0" t="n">
        <v>117998</v>
      </c>
      <c r="C970" s="0" t="n">
        <v>5</v>
      </c>
      <c r="D970" s="0" t="inlineStr">
        <is>
          <t>프라임캐슬</t>
        </is>
      </c>
      <c r="E970" s="0" t="inlineStr">
        <is>
          <t>2015.07.</t>
        </is>
      </c>
      <c r="F970" s="0" t="n">
        <v>20</v>
      </c>
      <c r="G970" s="0" t="n">
        <v>22.56</v>
      </c>
      <c r="H970" s="0" t="n">
        <v>74.59999999999999</v>
      </c>
      <c r="I970" s="0" t="n">
        <v>17.65</v>
      </c>
      <c r="J970" s="0" t="n">
        <v>58.36</v>
      </c>
      <c r="K970" s="0" t="n">
        <v>4</v>
      </c>
      <c r="T970" s="0" t="n">
        <v>3</v>
      </c>
      <c r="U970" s="0" t="n">
        <v>1</v>
      </c>
      <c r="V970" s="0" t="inlineStr">
        <is>
          <t>복도식</t>
        </is>
      </c>
      <c r="W970" s="0" t="n">
        <v>74</v>
      </c>
      <c r="X970" s="0" t="n">
        <v>15</v>
      </c>
      <c r="Y970" s="0" t="n">
        <v>15</v>
      </c>
      <c r="Z970" s="0" t="inlineStr">
        <is>
          <t>https://new.land.naver.com/complexes/117998?tab=detail&amp;rf=Y</t>
        </is>
      </c>
      <c r="AA970" s="0" t="inlineStr">
        <is>
          <t>인천시 남동구 구월동 1132-4</t>
        </is>
      </c>
      <c r="AB970" s="0" t="inlineStr">
        <is>
          <t>인천시</t>
        </is>
      </c>
      <c r="AC970" s="0" t="inlineStr">
        <is>
          <t>남동구</t>
        </is>
      </c>
      <c r="AD970" s="0" t="inlineStr">
        <is>
          <t>구월동</t>
        </is>
      </c>
      <c r="AG970" s="0" t="inlineStr">
        <is>
          <t>인천시 남동구 인주대로591번길 56</t>
        </is>
      </c>
      <c r="AH970" s="0" t="n">
        <v>0</v>
      </c>
      <c r="AI970" s="0" t="n">
        <v>840</v>
      </c>
      <c r="AJ970" s="0" t="n">
        <v>63</v>
      </c>
      <c r="AK970" s="0" t="n">
        <v>14</v>
      </c>
      <c r="AL970" s="0" t="n">
        <v>0.7</v>
      </c>
    </row>
    <row r="971">
      <c r="A971" s="0" t="inlineStr">
        <is>
          <t>[구월동]</t>
        </is>
      </c>
      <c r="B971" s="0" t="n">
        <v>105563</v>
      </c>
      <c r="C971" s="0" t="n">
        <v>1</v>
      </c>
      <c r="D971" s="0" t="inlineStr">
        <is>
          <t>구월파라디아(도시형)</t>
        </is>
      </c>
      <c r="E971" s="0" t="inlineStr">
        <is>
          <t>2014.02.</t>
        </is>
      </c>
      <c r="F971" s="0" t="n">
        <v>125</v>
      </c>
      <c r="G971" s="0" t="n">
        <v>8.640000000000001</v>
      </c>
      <c r="H971" s="0" t="n">
        <v>28.57</v>
      </c>
      <c r="I971" s="0" t="n">
        <v>4.2</v>
      </c>
      <c r="J971" s="0" t="n">
        <v>13.89</v>
      </c>
      <c r="K971" s="0" t="n">
        <v>7</v>
      </c>
      <c r="T971" s="0" t="n">
        <v>1</v>
      </c>
      <c r="U971" s="0" t="n">
        <v>1</v>
      </c>
      <c r="V971" s="0" t="inlineStr">
        <is>
          <t>계단식</t>
        </is>
      </c>
      <c r="W971" s="0" t="inlineStr">
        <is>
          <t>28F</t>
        </is>
      </c>
      <c r="X971" s="0" t="n">
        <v>19</v>
      </c>
      <c r="Y971" s="0" t="n">
        <v>19</v>
      </c>
      <c r="Z971" s="0" t="inlineStr">
        <is>
          <t>https://new.land.naver.com/complexes/105563?tab=detail&amp;rf=Y</t>
        </is>
      </c>
      <c r="AA971" s="0" t="inlineStr">
        <is>
          <t>인천시 남동구 구월동 1143-34</t>
        </is>
      </c>
      <c r="AB971" s="0" t="inlineStr">
        <is>
          <t>인천시</t>
        </is>
      </c>
      <c r="AC971" s="0" t="inlineStr">
        <is>
          <t>남동구</t>
        </is>
      </c>
      <c r="AD971" s="0" t="inlineStr">
        <is>
          <t>구월동</t>
        </is>
      </c>
      <c r="AG971" s="0" t="inlineStr">
        <is>
          <t>인천시 남동구 남동대로765번길 26</t>
        </is>
      </c>
      <c r="AH971" s="0" t="n">
        <v>0</v>
      </c>
      <c r="AI971" s="0" t="n">
        <v>773</v>
      </c>
      <c r="AJ971" s="0" t="n">
        <v>63</v>
      </c>
      <c r="AK971" s="0" t="n">
        <v>75</v>
      </c>
      <c r="AL971" s="0" t="n">
        <v>0.6</v>
      </c>
    </row>
    <row r="972">
      <c r="A972" s="0" t="inlineStr">
        <is>
          <t>[구월동]</t>
        </is>
      </c>
      <c r="B972" s="0" t="n">
        <v>105563</v>
      </c>
      <c r="C972" s="0" t="n">
        <v>2</v>
      </c>
      <c r="D972" s="0" t="inlineStr">
        <is>
          <t>구월파라디아(도시형)</t>
        </is>
      </c>
      <c r="E972" s="0" t="inlineStr">
        <is>
          <t>2014.02.</t>
        </is>
      </c>
      <c r="F972" s="0" t="n">
        <v>125</v>
      </c>
      <c r="G972" s="0" t="n">
        <v>8.84</v>
      </c>
      <c r="H972" s="0" t="n">
        <v>29.23</v>
      </c>
      <c r="I972" s="0" t="n">
        <v>4.29</v>
      </c>
      <c r="J972" s="0" t="n">
        <v>14.21</v>
      </c>
      <c r="K972" s="0" t="n">
        <v>22</v>
      </c>
      <c r="T972" s="0" t="n">
        <v>1</v>
      </c>
      <c r="U972" s="0" t="n">
        <v>1</v>
      </c>
      <c r="V972" s="0" t="inlineStr">
        <is>
          <t>계단식</t>
        </is>
      </c>
      <c r="W972" s="0" t="inlineStr">
        <is>
          <t>29A</t>
        </is>
      </c>
      <c r="X972" s="0" t="n">
        <v>19</v>
      </c>
      <c r="Y972" s="0" t="n">
        <v>19</v>
      </c>
      <c r="Z972" s="0" t="inlineStr">
        <is>
          <t>https://new.land.naver.com/complexes/105563?tab=detail&amp;rf=Y</t>
        </is>
      </c>
      <c r="AA972" s="0" t="inlineStr">
        <is>
          <t>인천시 남동구 구월동 1143-34</t>
        </is>
      </c>
      <c r="AB972" s="0" t="inlineStr">
        <is>
          <t>인천시</t>
        </is>
      </c>
      <c r="AC972" s="0" t="inlineStr">
        <is>
          <t>남동구</t>
        </is>
      </c>
      <c r="AD972" s="0" t="inlineStr">
        <is>
          <t>구월동</t>
        </is>
      </c>
      <c r="AG972" s="0" t="inlineStr">
        <is>
          <t>인천시 남동구 남동대로765번길 26</t>
        </is>
      </c>
      <c r="AH972" s="0" t="n">
        <v>0</v>
      </c>
      <c r="AI972" s="0" t="n">
        <v>773</v>
      </c>
      <c r="AJ972" s="0" t="n">
        <v>63</v>
      </c>
      <c r="AK972" s="0" t="n">
        <v>75</v>
      </c>
      <c r="AL972" s="0" t="n">
        <v>0.6</v>
      </c>
    </row>
    <row r="973">
      <c r="A973" s="0" t="inlineStr">
        <is>
          <t>[구월동]</t>
        </is>
      </c>
      <c r="B973" s="0" t="n">
        <v>105563</v>
      </c>
      <c r="C973" s="0" t="n">
        <v>3</v>
      </c>
      <c r="D973" s="0" t="inlineStr">
        <is>
          <t>구월파라디아(도시형)</t>
        </is>
      </c>
      <c r="E973" s="0" t="inlineStr">
        <is>
          <t>2014.02.</t>
        </is>
      </c>
      <c r="F973" s="0" t="n">
        <v>125</v>
      </c>
      <c r="G973" s="0" t="n">
        <v>9.279999999999999</v>
      </c>
      <c r="H973" s="0" t="n">
        <v>30.71</v>
      </c>
      <c r="I973" s="0" t="n">
        <v>4.51</v>
      </c>
      <c r="J973" s="0" t="n">
        <v>14.93</v>
      </c>
      <c r="K973" s="0" t="n">
        <v>22</v>
      </c>
      <c r="T973" s="0" t="n">
        <v>1</v>
      </c>
      <c r="U973" s="0" t="n">
        <v>1</v>
      </c>
      <c r="V973" s="0" t="inlineStr">
        <is>
          <t>계단식</t>
        </is>
      </c>
      <c r="W973" s="0" t="inlineStr">
        <is>
          <t>30B</t>
        </is>
      </c>
      <c r="X973" s="0" t="n">
        <v>19</v>
      </c>
      <c r="Y973" s="0" t="n">
        <v>19</v>
      </c>
      <c r="Z973" s="0" t="inlineStr">
        <is>
          <t>https://new.land.naver.com/complexes/105563?tab=detail&amp;rf=Y</t>
        </is>
      </c>
      <c r="AA973" s="0" t="inlineStr">
        <is>
          <t>인천시 남동구 구월동 1143-34</t>
        </is>
      </c>
      <c r="AB973" s="0" t="inlineStr">
        <is>
          <t>인천시</t>
        </is>
      </c>
      <c r="AC973" s="0" t="inlineStr">
        <is>
          <t>남동구</t>
        </is>
      </c>
      <c r="AD973" s="0" t="inlineStr">
        <is>
          <t>구월동</t>
        </is>
      </c>
      <c r="AG973" s="0" t="inlineStr">
        <is>
          <t>인천시 남동구 남동대로765번길 26</t>
        </is>
      </c>
      <c r="AH973" s="0" t="n">
        <v>0</v>
      </c>
      <c r="AI973" s="0" t="n">
        <v>773</v>
      </c>
      <c r="AJ973" s="0" t="n">
        <v>63</v>
      </c>
      <c r="AK973" s="0" t="n">
        <v>75</v>
      </c>
      <c r="AL973" s="0" t="n">
        <v>0.6</v>
      </c>
    </row>
    <row r="974">
      <c r="A974" s="0" t="inlineStr">
        <is>
          <t>[구월동]</t>
        </is>
      </c>
      <c r="B974" s="0" t="n">
        <v>105563</v>
      </c>
      <c r="C974" s="0" t="n">
        <v>4</v>
      </c>
      <c r="D974" s="0" t="inlineStr">
        <is>
          <t>구월파라디아(도시형)</t>
        </is>
      </c>
      <c r="E974" s="0" t="inlineStr">
        <is>
          <t>2014.02.</t>
        </is>
      </c>
      <c r="F974" s="0" t="n">
        <v>125</v>
      </c>
      <c r="G974" s="0" t="n">
        <v>10.01</v>
      </c>
      <c r="H974" s="0" t="n">
        <v>33.12</v>
      </c>
      <c r="I974" s="0" t="n">
        <v>4.87</v>
      </c>
      <c r="J974" s="0" t="n">
        <v>16.1</v>
      </c>
      <c r="K974" s="0" t="n">
        <v>8</v>
      </c>
      <c r="T974" s="0" t="n">
        <v>1</v>
      </c>
      <c r="U974" s="0" t="n">
        <v>1</v>
      </c>
      <c r="V974" s="0" t="inlineStr">
        <is>
          <t>계단식</t>
        </is>
      </c>
      <c r="W974" s="0" t="inlineStr">
        <is>
          <t>33C</t>
        </is>
      </c>
      <c r="X974" s="0" t="n">
        <v>19</v>
      </c>
      <c r="Y974" s="0" t="n">
        <v>19</v>
      </c>
      <c r="Z974" s="0" t="inlineStr">
        <is>
          <t>https://new.land.naver.com/complexes/105563?tab=detail&amp;rf=Y</t>
        </is>
      </c>
      <c r="AA974" s="0" t="inlineStr">
        <is>
          <t>인천시 남동구 구월동 1143-34</t>
        </is>
      </c>
      <c r="AB974" s="0" t="inlineStr">
        <is>
          <t>인천시</t>
        </is>
      </c>
      <c r="AC974" s="0" t="inlineStr">
        <is>
          <t>남동구</t>
        </is>
      </c>
      <c r="AD974" s="0" t="inlineStr">
        <is>
          <t>구월동</t>
        </is>
      </c>
      <c r="AG974" s="0" t="inlineStr">
        <is>
          <t>인천시 남동구 남동대로765번길 26</t>
        </is>
      </c>
      <c r="AH974" s="0" t="n">
        <v>0</v>
      </c>
      <c r="AI974" s="0" t="n">
        <v>773</v>
      </c>
      <c r="AJ974" s="0" t="n">
        <v>63</v>
      </c>
      <c r="AK974" s="0" t="n">
        <v>75</v>
      </c>
      <c r="AL974" s="0" t="n">
        <v>0.6</v>
      </c>
    </row>
    <row r="975">
      <c r="A975" s="0" t="inlineStr">
        <is>
          <t>[구월동]</t>
        </is>
      </c>
      <c r="B975" s="0" t="n">
        <v>105563</v>
      </c>
      <c r="C975" s="0" t="n">
        <v>5</v>
      </c>
      <c r="D975" s="0" t="inlineStr">
        <is>
          <t>구월파라디아(도시형)</t>
        </is>
      </c>
      <c r="E975" s="0" t="inlineStr">
        <is>
          <t>2014.02.</t>
        </is>
      </c>
      <c r="F975" s="0" t="n">
        <v>125</v>
      </c>
      <c r="G975" s="0" t="n">
        <v>11.28</v>
      </c>
      <c r="H975" s="0" t="n">
        <v>37.31</v>
      </c>
      <c r="I975" s="0" t="n">
        <v>5.48</v>
      </c>
      <c r="J975" s="0" t="n">
        <v>18.14</v>
      </c>
      <c r="K975" s="0" t="n">
        <v>55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37E</t>
        </is>
      </c>
      <c r="X975" s="0" t="n">
        <v>19</v>
      </c>
      <c r="Y975" s="0" t="n">
        <v>19</v>
      </c>
      <c r="Z975" s="0" t="inlineStr">
        <is>
          <t>https://new.land.naver.com/complexes/105563?tab=detail&amp;rf=Y</t>
        </is>
      </c>
      <c r="AA975" s="0" t="inlineStr">
        <is>
          <t>인천시 남동구 구월동 1143-34</t>
        </is>
      </c>
      <c r="AB975" s="0" t="inlineStr">
        <is>
          <t>인천시</t>
        </is>
      </c>
      <c r="AC975" s="0" t="inlineStr">
        <is>
          <t>남동구</t>
        </is>
      </c>
      <c r="AD975" s="0" t="inlineStr">
        <is>
          <t>구월동</t>
        </is>
      </c>
      <c r="AG975" s="0" t="inlineStr">
        <is>
          <t>인천시 남동구 남동대로765번길 26</t>
        </is>
      </c>
      <c r="AH975" s="0" t="n">
        <v>0</v>
      </c>
      <c r="AI975" s="0" t="n">
        <v>773</v>
      </c>
      <c r="AJ975" s="0" t="n">
        <v>63</v>
      </c>
      <c r="AK975" s="0" t="n">
        <v>75</v>
      </c>
      <c r="AL975" s="0" t="n">
        <v>0.6</v>
      </c>
    </row>
    <row r="976">
      <c r="A976" s="0" t="inlineStr">
        <is>
          <t>[구월동]</t>
        </is>
      </c>
      <c r="B976" s="0" t="n">
        <v>105563</v>
      </c>
      <c r="C976" s="0" t="n">
        <v>6</v>
      </c>
      <c r="D976" s="0" t="inlineStr">
        <is>
          <t>구월파라디아(도시형)</t>
        </is>
      </c>
      <c r="E976" s="0" t="inlineStr">
        <is>
          <t>2014.02.</t>
        </is>
      </c>
      <c r="F976" s="0" t="n">
        <v>125</v>
      </c>
      <c r="G976" s="0" t="n">
        <v>11.47</v>
      </c>
      <c r="H976" s="0" t="n">
        <v>37.93</v>
      </c>
      <c r="I976" s="0" t="n">
        <v>5.57</v>
      </c>
      <c r="J976" s="0" t="n">
        <v>18.44</v>
      </c>
      <c r="K976" s="0" t="n">
        <v>11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37D</t>
        </is>
      </c>
      <c r="X976" s="0" t="n">
        <v>19</v>
      </c>
      <c r="Y976" s="0" t="n">
        <v>19</v>
      </c>
      <c r="Z976" s="0" t="inlineStr">
        <is>
          <t>https://new.land.naver.com/complexes/105563?tab=detail&amp;rf=Y</t>
        </is>
      </c>
      <c r="AA976" s="0" t="inlineStr">
        <is>
          <t>인천시 남동구 구월동 1143-34</t>
        </is>
      </c>
      <c r="AB976" s="0" t="inlineStr">
        <is>
          <t>인천시</t>
        </is>
      </c>
      <c r="AC976" s="0" t="inlineStr">
        <is>
          <t>남동구</t>
        </is>
      </c>
      <c r="AD976" s="0" t="inlineStr">
        <is>
          <t>구월동</t>
        </is>
      </c>
      <c r="AG976" s="0" t="inlineStr">
        <is>
          <t>인천시 남동구 남동대로765번길 26</t>
        </is>
      </c>
      <c r="AH976" s="0" t="n">
        <v>0</v>
      </c>
      <c r="AI976" s="0" t="n">
        <v>773</v>
      </c>
      <c r="AJ976" s="0" t="n">
        <v>63</v>
      </c>
      <c r="AK976" s="0" t="n">
        <v>75</v>
      </c>
      <c r="AL976" s="0" t="n">
        <v>0.6</v>
      </c>
    </row>
    <row r="977">
      <c r="A977" s="0" t="inlineStr">
        <is>
          <t>[구월동]</t>
        </is>
      </c>
      <c r="B977" s="0" t="n">
        <v>110602</v>
      </c>
      <c r="C977" s="0" t="n">
        <v>1</v>
      </c>
      <c r="D977" s="0" t="inlineStr">
        <is>
          <t>나이스뷰(도시형)</t>
        </is>
      </c>
      <c r="E977" s="0" t="inlineStr">
        <is>
          <t>2015.02.</t>
        </is>
      </c>
      <c r="F977" s="0" t="n">
        <v>144</v>
      </c>
      <c r="G977" s="0" t="n">
        <v>7.55</v>
      </c>
      <c r="H977" s="0" t="n">
        <v>24.97</v>
      </c>
      <c r="I977" s="0" t="n">
        <v>4.32</v>
      </c>
      <c r="J977" s="0" t="n">
        <v>14.3</v>
      </c>
      <c r="K977" s="0" t="n">
        <v>54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24B</t>
        </is>
      </c>
      <c r="X977" s="0" t="n">
        <v>15</v>
      </c>
      <c r="Y977" s="0" t="n">
        <v>15</v>
      </c>
      <c r="Z977" s="0" t="inlineStr">
        <is>
          <t>https://new.land.naver.com/complexes/110602?tab=detail&amp;rf=Y</t>
        </is>
      </c>
      <c r="AA977" s="0" t="inlineStr">
        <is>
          <t>인천시 남동구 구월동 1142-21</t>
        </is>
      </c>
      <c r="AB977" s="0" t="inlineStr">
        <is>
          <t>인천시</t>
        </is>
      </c>
      <c r="AC977" s="0" t="inlineStr">
        <is>
          <t>남동구</t>
        </is>
      </c>
      <c r="AD977" s="0" t="inlineStr">
        <is>
          <t>구월동</t>
        </is>
      </c>
      <c r="AG977" s="0" t="inlineStr">
        <is>
          <t>인천시 남동구 구월남로 150</t>
        </is>
      </c>
      <c r="AH977" s="0" t="n">
        <v>0</v>
      </c>
      <c r="AI977" s="0" t="n">
        <v>708</v>
      </c>
      <c r="AJ977" s="0" t="n">
        <v>65</v>
      </c>
      <c r="AK977" s="0" t="n">
        <v>72</v>
      </c>
      <c r="AL977" s="0" t="n">
        <v>0.5</v>
      </c>
    </row>
    <row r="978">
      <c r="A978" s="0" t="inlineStr">
        <is>
          <t>[구월동]</t>
        </is>
      </c>
      <c r="B978" s="0" t="n">
        <v>110602</v>
      </c>
      <c r="C978" s="0" t="n">
        <v>2</v>
      </c>
      <c r="D978" s="0" t="inlineStr">
        <is>
          <t>나이스뷰(도시형)</t>
        </is>
      </c>
      <c r="E978" s="0" t="inlineStr">
        <is>
          <t>2015.02.</t>
        </is>
      </c>
      <c r="F978" s="0" t="n">
        <v>144</v>
      </c>
      <c r="G978" s="0" t="n">
        <v>7.92</v>
      </c>
      <c r="H978" s="0" t="n">
        <v>26.2</v>
      </c>
      <c r="I978" s="0" t="n">
        <v>4.47</v>
      </c>
      <c r="J978" s="0" t="n">
        <v>14.79</v>
      </c>
      <c r="K978" s="0" t="n">
        <v>18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26C</t>
        </is>
      </c>
      <c r="X978" s="0" t="n">
        <v>15</v>
      </c>
      <c r="Y978" s="0" t="n">
        <v>15</v>
      </c>
      <c r="Z978" s="0" t="inlineStr">
        <is>
          <t>https://new.land.naver.com/complexes/110602?tab=detail&amp;rf=Y</t>
        </is>
      </c>
      <c r="AA978" s="0" t="inlineStr">
        <is>
          <t>인천시 남동구 구월동 1142-21</t>
        </is>
      </c>
      <c r="AB978" s="0" t="inlineStr">
        <is>
          <t>인천시</t>
        </is>
      </c>
      <c r="AC978" s="0" t="inlineStr">
        <is>
          <t>남동구</t>
        </is>
      </c>
      <c r="AD978" s="0" t="inlineStr">
        <is>
          <t>구월동</t>
        </is>
      </c>
      <c r="AG978" s="0" t="inlineStr">
        <is>
          <t>인천시 남동구 구월남로 150</t>
        </is>
      </c>
      <c r="AH978" s="0" t="n">
        <v>0</v>
      </c>
      <c r="AI978" s="0" t="n">
        <v>708</v>
      </c>
      <c r="AJ978" s="0" t="n">
        <v>65</v>
      </c>
      <c r="AK978" s="0" t="n">
        <v>72</v>
      </c>
      <c r="AL978" s="0" t="n">
        <v>0.5</v>
      </c>
    </row>
    <row r="979">
      <c r="A979" s="0" t="inlineStr">
        <is>
          <t>[구월동]</t>
        </is>
      </c>
      <c r="B979" s="0" t="n">
        <v>110602</v>
      </c>
      <c r="C979" s="0" t="n">
        <v>3</v>
      </c>
      <c r="D979" s="0" t="inlineStr">
        <is>
          <t>나이스뷰(도시형)</t>
        </is>
      </c>
      <c r="E979" s="0" t="inlineStr">
        <is>
          <t>2015.02.</t>
        </is>
      </c>
      <c r="F979" s="0" t="n">
        <v>144</v>
      </c>
      <c r="G979" s="0" t="n">
        <v>9.59</v>
      </c>
      <c r="H979" s="0" t="n">
        <v>31.71</v>
      </c>
      <c r="I979" s="0" t="n">
        <v>5.56</v>
      </c>
      <c r="J979" s="0" t="n">
        <v>18.4</v>
      </c>
      <c r="K979" s="0" t="n">
        <v>72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31A</t>
        </is>
      </c>
      <c r="X979" s="0" t="n">
        <v>15</v>
      </c>
      <c r="Y979" s="0" t="n">
        <v>15</v>
      </c>
      <c r="Z979" s="0" t="inlineStr">
        <is>
          <t>https://new.land.naver.com/complexes/110602?tab=detail&amp;rf=Y</t>
        </is>
      </c>
      <c r="AA979" s="0" t="inlineStr">
        <is>
          <t>인천시 남동구 구월동 1142-21</t>
        </is>
      </c>
      <c r="AB979" s="0" t="inlineStr">
        <is>
          <t>인천시</t>
        </is>
      </c>
      <c r="AC979" s="0" t="inlineStr">
        <is>
          <t>남동구</t>
        </is>
      </c>
      <c r="AD979" s="0" t="inlineStr">
        <is>
          <t>구월동</t>
        </is>
      </c>
      <c r="AG979" s="0" t="inlineStr">
        <is>
          <t>인천시 남동구 구월남로 150</t>
        </is>
      </c>
      <c r="AH979" s="0" t="n">
        <v>0</v>
      </c>
      <c r="AI979" s="0" t="n">
        <v>708</v>
      </c>
      <c r="AJ979" s="0" t="n">
        <v>65</v>
      </c>
      <c r="AK979" s="0" t="n">
        <v>72</v>
      </c>
      <c r="AL979" s="0" t="n">
        <v>0.5</v>
      </c>
    </row>
    <row r="980">
      <c r="A980" s="0" t="inlineStr">
        <is>
          <t>[구월동]</t>
        </is>
      </c>
      <c r="B980" s="0" t="n">
        <v>2275</v>
      </c>
      <c r="C980" s="0" t="n">
        <v>1</v>
      </c>
      <c r="D980" s="0" t="inlineStr">
        <is>
          <t>동아</t>
        </is>
      </c>
      <c r="E980" s="0" t="inlineStr">
        <is>
          <t>1991.10.</t>
        </is>
      </c>
      <c r="F980" s="0" t="n">
        <v>486</v>
      </c>
      <c r="G980" s="0" t="n">
        <v>29.52</v>
      </c>
      <c r="H980" s="0" t="n">
        <v>97.59999999999999</v>
      </c>
      <c r="I980" s="0" t="n">
        <v>25.69</v>
      </c>
      <c r="J980" s="0" t="n">
        <v>84.95</v>
      </c>
      <c r="K980" s="0" t="n">
        <v>150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97</v>
      </c>
      <c r="X980" s="0" t="n">
        <v>15</v>
      </c>
      <c r="Y980" s="0" t="n">
        <v>11</v>
      </c>
      <c r="Z980" s="0" t="inlineStr">
        <is>
          <t>https://new.land.naver.com/complexes/2275?tab=detail&amp;rf=Y</t>
        </is>
      </c>
      <c r="AA980" s="0" t="inlineStr">
        <is>
          <t>인천시 남동구 구월동 260-5</t>
        </is>
      </c>
      <c r="AB980" s="0" t="inlineStr">
        <is>
          <t>인천시</t>
        </is>
      </c>
      <c r="AC980" s="0" t="inlineStr">
        <is>
          <t>남동구</t>
        </is>
      </c>
      <c r="AD980" s="0" t="inlineStr">
        <is>
          <t>구월동</t>
        </is>
      </c>
      <c r="AG980" s="0" t="inlineStr">
        <is>
          <t>인천시 남동구 인주대로676번길 22</t>
        </is>
      </c>
      <c r="AH980" s="0" t="n">
        <v>0</v>
      </c>
      <c r="AI980" s="0" t="n">
        <v>318</v>
      </c>
      <c r="AJ980" s="0" t="n">
        <v>23</v>
      </c>
      <c r="AK980" s="0" t="n">
        <v>0</v>
      </c>
      <c r="AL980" s="0" t="n">
        <v>0</v>
      </c>
    </row>
    <row r="981">
      <c r="A981" s="0" t="inlineStr">
        <is>
          <t>[구월동]</t>
        </is>
      </c>
      <c r="B981" s="0" t="n">
        <v>2275</v>
      </c>
      <c r="C981" s="0" t="n">
        <v>2</v>
      </c>
      <c r="D981" s="0" t="inlineStr">
        <is>
          <t>동아</t>
        </is>
      </c>
      <c r="E981" s="0" t="inlineStr">
        <is>
          <t>1991.10.</t>
        </is>
      </c>
      <c r="F981" s="0" t="n">
        <v>486</v>
      </c>
      <c r="G981" s="0" t="n">
        <v>30.11</v>
      </c>
      <c r="H981" s="0" t="n">
        <v>99.56</v>
      </c>
      <c r="I981" s="0" t="n">
        <v>25.25</v>
      </c>
      <c r="J981" s="0" t="n">
        <v>83.48999999999999</v>
      </c>
      <c r="K981" s="0" t="n">
        <v>145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99A</t>
        </is>
      </c>
      <c r="X981" s="0" t="n">
        <v>15</v>
      </c>
      <c r="Y981" s="0" t="n">
        <v>11</v>
      </c>
      <c r="Z981" s="0" t="inlineStr">
        <is>
          <t>https://new.land.naver.com/complexes/2275?tab=detail&amp;rf=Y</t>
        </is>
      </c>
      <c r="AA981" s="0" t="inlineStr">
        <is>
          <t>인천시 남동구 구월동 260-5</t>
        </is>
      </c>
      <c r="AB981" s="0" t="inlineStr">
        <is>
          <t>인천시</t>
        </is>
      </c>
      <c r="AC981" s="0" t="inlineStr">
        <is>
          <t>남동구</t>
        </is>
      </c>
      <c r="AD981" s="0" t="inlineStr">
        <is>
          <t>구월동</t>
        </is>
      </c>
      <c r="AG981" s="0" t="inlineStr">
        <is>
          <t>인천시 남동구 인주대로676번길 22</t>
        </is>
      </c>
      <c r="AH981" s="0" t="n">
        <v>0</v>
      </c>
      <c r="AI981" s="0" t="n">
        <v>318</v>
      </c>
      <c r="AJ981" s="0" t="n">
        <v>23</v>
      </c>
      <c r="AK981" s="0" t="n">
        <v>0</v>
      </c>
      <c r="AL981" s="0" t="n">
        <v>0</v>
      </c>
    </row>
    <row r="982">
      <c r="A982" s="0" t="inlineStr">
        <is>
          <t>[구월동]</t>
        </is>
      </c>
      <c r="B982" s="0" t="n">
        <v>2275</v>
      </c>
      <c r="C982" s="0" t="n">
        <v>3</v>
      </c>
      <c r="D982" s="0" t="inlineStr">
        <is>
          <t>동아</t>
        </is>
      </c>
      <c r="E982" s="0" t="inlineStr">
        <is>
          <t>1991.10.</t>
        </is>
      </c>
      <c r="F982" s="0" t="n">
        <v>486</v>
      </c>
      <c r="G982" s="0" t="n">
        <v>30.21</v>
      </c>
      <c r="H982" s="0" t="n">
        <v>99.89</v>
      </c>
      <c r="I982" s="0" t="n">
        <v>25.66</v>
      </c>
      <c r="J982" s="0" t="n">
        <v>84.84999999999999</v>
      </c>
      <c r="K982" s="0" t="n">
        <v>13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99B</t>
        </is>
      </c>
      <c r="X982" s="0" t="n">
        <v>15</v>
      </c>
      <c r="Y982" s="0" t="n">
        <v>11</v>
      </c>
      <c r="Z982" s="0" t="inlineStr">
        <is>
          <t>https://new.land.naver.com/complexes/2275?tab=detail&amp;rf=Y</t>
        </is>
      </c>
      <c r="AA982" s="0" t="inlineStr">
        <is>
          <t>인천시 남동구 구월동 260-5</t>
        </is>
      </c>
      <c r="AB982" s="0" t="inlineStr">
        <is>
          <t>인천시</t>
        </is>
      </c>
      <c r="AC982" s="0" t="inlineStr">
        <is>
          <t>남동구</t>
        </is>
      </c>
      <c r="AD982" s="0" t="inlineStr">
        <is>
          <t>구월동</t>
        </is>
      </c>
      <c r="AG982" s="0" t="inlineStr">
        <is>
          <t>인천시 남동구 인주대로676번길 22</t>
        </is>
      </c>
      <c r="AH982" s="0" t="n">
        <v>0</v>
      </c>
      <c r="AI982" s="0" t="n">
        <v>318</v>
      </c>
      <c r="AJ982" s="0" t="n">
        <v>23</v>
      </c>
      <c r="AK982" s="0" t="n">
        <v>0</v>
      </c>
      <c r="AL982" s="0" t="n">
        <v>0</v>
      </c>
    </row>
    <row r="983">
      <c r="A983" s="0" t="inlineStr">
        <is>
          <t>[구월동]</t>
        </is>
      </c>
      <c r="B983" s="0" t="n">
        <v>2275</v>
      </c>
      <c r="C983" s="0" t="n">
        <v>4</v>
      </c>
      <c r="D983" s="0" t="inlineStr">
        <is>
          <t>동아</t>
        </is>
      </c>
      <c r="E983" s="0" t="inlineStr">
        <is>
          <t>1991.10.</t>
        </is>
      </c>
      <c r="F983" s="0" t="n">
        <v>486</v>
      </c>
      <c r="G983" s="0" t="n">
        <v>40.3</v>
      </c>
      <c r="H983" s="0" t="n">
        <v>133.25</v>
      </c>
      <c r="I983" s="0" t="n">
        <v>34.23</v>
      </c>
      <c r="J983" s="0" t="n">
        <v>113.19</v>
      </c>
      <c r="K983" s="0" t="n">
        <v>43</v>
      </c>
      <c r="T983" s="0" t="n">
        <v>4</v>
      </c>
      <c r="U983" s="0" t="n">
        <v>2</v>
      </c>
      <c r="V983" s="0" t="inlineStr">
        <is>
          <t>계단식</t>
        </is>
      </c>
      <c r="W983" s="0" t="n">
        <v>133</v>
      </c>
      <c r="X983" s="0" t="n">
        <v>15</v>
      </c>
      <c r="Y983" s="0" t="n">
        <v>11</v>
      </c>
      <c r="Z983" s="0" t="inlineStr">
        <is>
          <t>https://new.land.naver.com/complexes/2275?tab=detail&amp;rf=Y</t>
        </is>
      </c>
      <c r="AA983" s="0" t="inlineStr">
        <is>
          <t>인천시 남동구 구월동 260-5</t>
        </is>
      </c>
      <c r="AB983" s="0" t="inlineStr">
        <is>
          <t>인천시</t>
        </is>
      </c>
      <c r="AC983" s="0" t="inlineStr">
        <is>
          <t>남동구</t>
        </is>
      </c>
      <c r="AD983" s="0" t="inlineStr">
        <is>
          <t>구월동</t>
        </is>
      </c>
      <c r="AG983" s="0" t="inlineStr">
        <is>
          <t>인천시 남동구 인주대로676번길 22</t>
        </is>
      </c>
      <c r="AH983" s="0" t="n">
        <v>0</v>
      </c>
      <c r="AI983" s="0" t="n">
        <v>318</v>
      </c>
      <c r="AJ983" s="0" t="n">
        <v>23</v>
      </c>
      <c r="AK983" s="0" t="n">
        <v>0</v>
      </c>
      <c r="AL983" s="0" t="n">
        <v>0</v>
      </c>
    </row>
    <row r="984">
      <c r="A984" s="0" t="inlineStr">
        <is>
          <t>[구월동]</t>
        </is>
      </c>
      <c r="B984" s="0" t="n">
        <v>2275</v>
      </c>
      <c r="C984" s="0" t="n">
        <v>5</v>
      </c>
      <c r="D984" s="0" t="inlineStr">
        <is>
          <t>동아</t>
        </is>
      </c>
      <c r="E984" s="0" t="inlineStr">
        <is>
          <t>1991.10.</t>
        </is>
      </c>
      <c r="F984" s="0" t="n">
        <v>486</v>
      </c>
      <c r="G984" s="0" t="n">
        <v>45.68</v>
      </c>
      <c r="H984" s="0" t="n">
        <v>151.03</v>
      </c>
      <c r="I984" s="0" t="n">
        <v>38.31</v>
      </c>
      <c r="J984" s="0" t="n">
        <v>126.66</v>
      </c>
      <c r="K984" s="0" t="n">
        <v>30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151</v>
      </c>
      <c r="X984" s="0" t="n">
        <v>15</v>
      </c>
      <c r="Y984" s="0" t="n">
        <v>11</v>
      </c>
      <c r="Z984" s="0" t="inlineStr">
        <is>
          <t>https://new.land.naver.com/complexes/2275?tab=detail&amp;rf=Y</t>
        </is>
      </c>
      <c r="AA984" s="0" t="inlineStr">
        <is>
          <t>인천시 남동구 구월동 260-5</t>
        </is>
      </c>
      <c r="AB984" s="0" t="inlineStr">
        <is>
          <t>인천시</t>
        </is>
      </c>
      <c r="AC984" s="0" t="inlineStr">
        <is>
          <t>남동구</t>
        </is>
      </c>
      <c r="AD984" s="0" t="inlineStr">
        <is>
          <t>구월동</t>
        </is>
      </c>
      <c r="AG984" s="0" t="inlineStr">
        <is>
          <t>인천시 남동구 인주대로676번길 22</t>
        </is>
      </c>
      <c r="AH984" s="0" t="n">
        <v>0</v>
      </c>
      <c r="AI984" s="0" t="n">
        <v>318</v>
      </c>
      <c r="AJ984" s="0" t="n">
        <v>23</v>
      </c>
      <c r="AK984" s="0" t="n">
        <v>0</v>
      </c>
      <c r="AL984" s="0" t="n">
        <v>0</v>
      </c>
    </row>
    <row r="985">
      <c r="A985" s="0" t="inlineStr">
        <is>
          <t>[구월동]</t>
        </is>
      </c>
      <c r="B985" s="0" t="n">
        <v>2275</v>
      </c>
      <c r="C985" s="0" t="n">
        <v>6</v>
      </c>
      <c r="D985" s="0" t="inlineStr">
        <is>
          <t>동아</t>
        </is>
      </c>
      <c r="E985" s="0" t="inlineStr">
        <is>
          <t>1991.10.</t>
        </is>
      </c>
      <c r="F985" s="0" t="n">
        <v>486</v>
      </c>
      <c r="G985" s="0" t="n">
        <v>51.5</v>
      </c>
      <c r="H985" s="0" t="n">
        <v>170.26</v>
      </c>
      <c r="I985" s="0" t="n">
        <v>44.82</v>
      </c>
      <c r="J985" s="0" t="n">
        <v>148.19</v>
      </c>
      <c r="K985" s="0" t="n">
        <v>90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170</v>
      </c>
      <c r="X985" s="0" t="n">
        <v>15</v>
      </c>
      <c r="Y985" s="0" t="n">
        <v>11</v>
      </c>
      <c r="Z985" s="0" t="inlineStr">
        <is>
          <t>https://new.land.naver.com/complexes/2275?tab=detail&amp;rf=Y</t>
        </is>
      </c>
      <c r="AA985" s="0" t="inlineStr">
        <is>
          <t>인천시 남동구 구월동 260-5</t>
        </is>
      </c>
      <c r="AB985" s="0" t="inlineStr">
        <is>
          <t>인천시</t>
        </is>
      </c>
      <c r="AC985" s="0" t="inlineStr">
        <is>
          <t>남동구</t>
        </is>
      </c>
      <c r="AD985" s="0" t="inlineStr">
        <is>
          <t>구월동</t>
        </is>
      </c>
      <c r="AG985" s="0" t="inlineStr">
        <is>
          <t>인천시 남동구 인주대로676번길 22</t>
        </is>
      </c>
      <c r="AH985" s="0" t="n">
        <v>0</v>
      </c>
      <c r="AI985" s="0" t="n">
        <v>318</v>
      </c>
      <c r="AJ985" s="0" t="n">
        <v>23</v>
      </c>
      <c r="AK985" s="0" t="n">
        <v>0</v>
      </c>
      <c r="AL985" s="0" t="n">
        <v>0</v>
      </c>
    </row>
    <row r="986">
      <c r="A986" s="0" t="inlineStr">
        <is>
          <t>[구월동]</t>
        </is>
      </c>
      <c r="B986" s="0" t="n">
        <v>2275</v>
      </c>
      <c r="C986" s="0" t="n">
        <v>7</v>
      </c>
      <c r="D986" s="0" t="inlineStr">
        <is>
          <t>동아</t>
        </is>
      </c>
      <c r="E986" s="0" t="inlineStr">
        <is>
          <t>1991.10.</t>
        </is>
      </c>
      <c r="F986" s="0" t="n">
        <v>486</v>
      </c>
      <c r="G986" s="0" t="n">
        <v>56.9</v>
      </c>
      <c r="H986" s="0" t="n">
        <v>188.11</v>
      </c>
      <c r="I986" s="0" t="n">
        <v>47.71</v>
      </c>
      <c r="J986" s="0" t="n">
        <v>157.75</v>
      </c>
      <c r="K986" s="0" t="n">
        <v>15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188</v>
      </c>
      <c r="X986" s="0" t="n">
        <v>15</v>
      </c>
      <c r="Y986" s="0" t="n">
        <v>11</v>
      </c>
      <c r="Z986" s="0" t="inlineStr">
        <is>
          <t>https://new.land.naver.com/complexes/2275?tab=detail&amp;rf=Y</t>
        </is>
      </c>
      <c r="AA986" s="0" t="inlineStr">
        <is>
          <t>인천시 남동구 구월동 260-5</t>
        </is>
      </c>
      <c r="AB986" s="0" t="inlineStr">
        <is>
          <t>인천시</t>
        </is>
      </c>
      <c r="AC986" s="0" t="inlineStr">
        <is>
          <t>남동구</t>
        </is>
      </c>
      <c r="AD986" s="0" t="inlineStr">
        <is>
          <t>구월동</t>
        </is>
      </c>
      <c r="AG986" s="0" t="inlineStr">
        <is>
          <t>인천시 남동구 인주대로676번길 22</t>
        </is>
      </c>
      <c r="AH986" s="0" t="n">
        <v>0</v>
      </c>
      <c r="AI986" s="0" t="n">
        <v>318</v>
      </c>
      <c r="AJ986" s="0" t="n">
        <v>23</v>
      </c>
      <c r="AK986" s="0" t="n">
        <v>0</v>
      </c>
      <c r="AL986" s="0" t="n">
        <v>0</v>
      </c>
    </row>
    <row r="987">
      <c r="A987" s="0" t="inlineStr">
        <is>
          <t>[구월동]</t>
        </is>
      </c>
      <c r="B987" s="0" t="n">
        <v>118104</v>
      </c>
      <c r="C987" s="0" t="n">
        <v>1</v>
      </c>
      <c r="D987" s="0" t="inlineStr">
        <is>
          <t>지앤이츠</t>
        </is>
      </c>
      <c r="E987" s="0" t="inlineStr">
        <is>
          <t>2017.03.</t>
        </is>
      </c>
      <c r="F987" s="0" t="n">
        <v>65</v>
      </c>
      <c r="G987" s="0" t="n">
        <v>21.59</v>
      </c>
      <c r="H987" s="0" t="n">
        <v>71.39</v>
      </c>
      <c r="I987" s="0" t="n">
        <v>14.79</v>
      </c>
      <c r="J987" s="0" t="n">
        <v>48.9</v>
      </c>
      <c r="K987" s="0" t="n">
        <v>12</v>
      </c>
      <c r="T987" s="0" t="n">
        <v>3</v>
      </c>
      <c r="U987" s="0" t="n">
        <v>1</v>
      </c>
      <c r="V987" s="0" t="inlineStr">
        <is>
          <t>계단식</t>
        </is>
      </c>
      <c r="W987" s="0" t="inlineStr">
        <is>
          <t>71B</t>
        </is>
      </c>
      <c r="X987" s="0" t="n">
        <v>14</v>
      </c>
      <c r="Y987" s="0" t="n">
        <v>14</v>
      </c>
      <c r="Z987" s="0" t="inlineStr">
        <is>
          <t>https://new.land.naver.com/complexes/118104?tab=detail&amp;rf=Y</t>
        </is>
      </c>
      <c r="AA987" s="0" t="inlineStr">
        <is>
          <t>인천시 남동구 구월동 1146-5</t>
        </is>
      </c>
      <c r="AB987" s="0" t="inlineStr">
        <is>
          <t>인천시</t>
        </is>
      </c>
      <c r="AC987" s="0" t="inlineStr">
        <is>
          <t>남동구</t>
        </is>
      </c>
      <c r="AD987" s="0" t="inlineStr">
        <is>
          <t>구월동</t>
        </is>
      </c>
      <c r="AG987" s="0" t="inlineStr">
        <is>
          <t>인천시 남동구 남동대로765번길 25</t>
        </is>
      </c>
      <c r="AH987" s="0" t="n">
        <v>0</v>
      </c>
      <c r="AI987" s="0" t="n">
        <v>759</v>
      </c>
      <c r="AJ987" s="0" t="n">
        <v>68</v>
      </c>
      <c r="AK987" s="0" t="n">
        <v>53</v>
      </c>
      <c r="AL987" s="0" t="n">
        <v>0.82</v>
      </c>
    </row>
    <row r="988">
      <c r="A988" s="0" t="inlineStr">
        <is>
          <t>[구월동]</t>
        </is>
      </c>
      <c r="B988" s="0" t="n">
        <v>118104</v>
      </c>
      <c r="C988" s="0" t="n">
        <v>2</v>
      </c>
      <c r="D988" s="0" t="inlineStr">
        <is>
          <t>지앤이츠</t>
        </is>
      </c>
      <c r="E988" s="0" t="inlineStr">
        <is>
          <t>2017.03.</t>
        </is>
      </c>
      <c r="F988" s="0" t="n">
        <v>65</v>
      </c>
      <c r="G988" s="0" t="n">
        <v>21.59</v>
      </c>
      <c r="H988" s="0" t="n">
        <v>71.39</v>
      </c>
      <c r="I988" s="0" t="n">
        <v>14.79</v>
      </c>
      <c r="J988" s="0" t="n">
        <v>48.9</v>
      </c>
      <c r="K988" s="0" t="n">
        <v>1</v>
      </c>
      <c r="T988" s="0" t="n">
        <v>3</v>
      </c>
      <c r="U988" s="0" t="n">
        <v>1</v>
      </c>
      <c r="V988" s="0" t="inlineStr">
        <is>
          <t>계단식</t>
        </is>
      </c>
      <c r="W988" s="0" t="inlineStr">
        <is>
          <t>71A</t>
        </is>
      </c>
      <c r="X988" s="0" t="n">
        <v>14</v>
      </c>
      <c r="Y988" s="0" t="n">
        <v>14</v>
      </c>
      <c r="Z988" s="0" t="inlineStr">
        <is>
          <t>https://new.land.naver.com/complexes/118104?tab=detail&amp;rf=Y</t>
        </is>
      </c>
      <c r="AA988" s="0" t="inlineStr">
        <is>
          <t>인천시 남동구 구월동 1146-5</t>
        </is>
      </c>
      <c r="AB988" s="0" t="inlineStr">
        <is>
          <t>인천시</t>
        </is>
      </c>
      <c r="AC988" s="0" t="inlineStr">
        <is>
          <t>남동구</t>
        </is>
      </c>
      <c r="AD988" s="0" t="inlineStr">
        <is>
          <t>구월동</t>
        </is>
      </c>
      <c r="AG988" s="0" t="inlineStr">
        <is>
          <t>인천시 남동구 남동대로765번길 25</t>
        </is>
      </c>
      <c r="AH988" s="0" t="n">
        <v>0</v>
      </c>
      <c r="AI988" s="0" t="n">
        <v>759</v>
      </c>
      <c r="AJ988" s="0" t="n">
        <v>68</v>
      </c>
      <c r="AK988" s="0" t="n">
        <v>53</v>
      </c>
      <c r="AL988" s="0" t="n">
        <v>0.82</v>
      </c>
    </row>
    <row r="989">
      <c r="A989" s="0" t="inlineStr">
        <is>
          <t>[구월동]</t>
        </is>
      </c>
      <c r="B989" s="0" t="n">
        <v>118104</v>
      </c>
      <c r="C989" s="0" t="n">
        <v>3</v>
      </c>
      <c r="D989" s="0" t="inlineStr">
        <is>
          <t>지앤이츠</t>
        </is>
      </c>
      <c r="E989" s="0" t="inlineStr">
        <is>
          <t>2017.03.</t>
        </is>
      </c>
      <c r="F989" s="0" t="n">
        <v>65</v>
      </c>
      <c r="G989" s="0" t="n">
        <v>22.06</v>
      </c>
      <c r="H989" s="0" t="n">
        <v>72.94</v>
      </c>
      <c r="I989" s="0" t="n">
        <v>14.91</v>
      </c>
      <c r="J989" s="0" t="n">
        <v>49.3</v>
      </c>
      <c r="K989" s="0" t="n">
        <v>12</v>
      </c>
      <c r="T989" s="0" t="n">
        <v>3</v>
      </c>
      <c r="U989" s="0" t="n">
        <v>1</v>
      </c>
      <c r="V989" s="0" t="inlineStr">
        <is>
          <t>계단식</t>
        </is>
      </c>
      <c r="W989" s="0" t="inlineStr">
        <is>
          <t>72D</t>
        </is>
      </c>
      <c r="X989" s="0" t="n">
        <v>14</v>
      </c>
      <c r="Y989" s="0" t="n">
        <v>14</v>
      </c>
      <c r="Z989" s="0" t="inlineStr">
        <is>
          <t>https://new.land.naver.com/complexes/118104?tab=detail&amp;rf=Y</t>
        </is>
      </c>
      <c r="AA989" s="0" t="inlineStr">
        <is>
          <t>인천시 남동구 구월동 1146-5</t>
        </is>
      </c>
      <c r="AB989" s="0" t="inlineStr">
        <is>
          <t>인천시</t>
        </is>
      </c>
      <c r="AC989" s="0" t="inlineStr">
        <is>
          <t>남동구</t>
        </is>
      </c>
      <c r="AD989" s="0" t="inlineStr">
        <is>
          <t>구월동</t>
        </is>
      </c>
      <c r="AG989" s="0" t="inlineStr">
        <is>
          <t>인천시 남동구 남동대로765번길 25</t>
        </is>
      </c>
      <c r="AH989" s="0" t="n">
        <v>0</v>
      </c>
      <c r="AI989" s="0" t="n">
        <v>759</v>
      </c>
      <c r="AJ989" s="0" t="n">
        <v>68</v>
      </c>
      <c r="AK989" s="0" t="n">
        <v>53</v>
      </c>
      <c r="AL989" s="0" t="n">
        <v>0.82</v>
      </c>
    </row>
    <row r="990">
      <c r="A990" s="0" t="inlineStr">
        <is>
          <t>[구월동]</t>
        </is>
      </c>
      <c r="B990" s="0" t="n">
        <v>118104</v>
      </c>
      <c r="C990" s="0" t="n">
        <v>4</v>
      </c>
      <c r="D990" s="0" t="inlineStr">
        <is>
          <t>지앤이츠</t>
        </is>
      </c>
      <c r="E990" s="0" t="inlineStr">
        <is>
          <t>2017.03.</t>
        </is>
      </c>
      <c r="F990" s="0" t="n">
        <v>65</v>
      </c>
      <c r="G990" s="0" t="n">
        <v>21.92</v>
      </c>
      <c r="H990" s="0" t="n">
        <v>72.48</v>
      </c>
      <c r="I990" s="0" t="n">
        <v>14.93</v>
      </c>
      <c r="J990" s="0" t="n">
        <v>49.38</v>
      </c>
      <c r="K990" s="0" t="n">
        <v>12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72F</t>
        </is>
      </c>
      <c r="X990" s="0" t="n">
        <v>14</v>
      </c>
      <c r="Y990" s="0" t="n">
        <v>14</v>
      </c>
      <c r="Z990" s="0" t="inlineStr">
        <is>
          <t>https://new.land.naver.com/complexes/118104?tab=detail&amp;rf=Y</t>
        </is>
      </c>
      <c r="AA990" s="0" t="inlineStr">
        <is>
          <t>인천시 남동구 구월동 1146-5</t>
        </is>
      </c>
      <c r="AB990" s="0" t="inlineStr">
        <is>
          <t>인천시</t>
        </is>
      </c>
      <c r="AC990" s="0" t="inlineStr">
        <is>
          <t>남동구</t>
        </is>
      </c>
      <c r="AD990" s="0" t="inlineStr">
        <is>
          <t>구월동</t>
        </is>
      </c>
      <c r="AG990" s="0" t="inlineStr">
        <is>
          <t>인천시 남동구 남동대로765번길 25</t>
        </is>
      </c>
      <c r="AH990" s="0" t="n">
        <v>0</v>
      </c>
      <c r="AI990" s="0" t="n">
        <v>759</v>
      </c>
      <c r="AJ990" s="0" t="n">
        <v>68</v>
      </c>
      <c r="AK990" s="0" t="n">
        <v>53</v>
      </c>
      <c r="AL990" s="0" t="n">
        <v>0.82</v>
      </c>
    </row>
    <row r="991">
      <c r="A991" s="0" t="inlineStr">
        <is>
          <t>[구월동]</t>
        </is>
      </c>
      <c r="B991" s="0" t="n">
        <v>118104</v>
      </c>
      <c r="C991" s="0" t="n">
        <v>5</v>
      </c>
      <c r="D991" s="0" t="inlineStr">
        <is>
          <t>지앤이츠</t>
        </is>
      </c>
      <c r="E991" s="0" t="inlineStr">
        <is>
          <t>2017.03.</t>
        </is>
      </c>
      <c r="F991" s="0" t="n">
        <v>65</v>
      </c>
      <c r="G991" s="0" t="n">
        <v>22.07</v>
      </c>
      <c r="H991" s="0" t="n">
        <v>72.97</v>
      </c>
      <c r="I991" s="0" t="n">
        <v>15.11</v>
      </c>
      <c r="J991" s="0" t="n">
        <v>49.98</v>
      </c>
      <c r="K991" s="0" t="n">
        <v>12</v>
      </c>
      <c r="T991" s="0" t="n">
        <v>3</v>
      </c>
      <c r="U991" s="0" t="n">
        <v>1</v>
      </c>
      <c r="V991" s="0" t="inlineStr">
        <is>
          <t>계단식</t>
        </is>
      </c>
      <c r="W991" s="0" t="inlineStr">
        <is>
          <t>72H</t>
        </is>
      </c>
      <c r="X991" s="0" t="n">
        <v>14</v>
      </c>
      <c r="Y991" s="0" t="n">
        <v>14</v>
      </c>
      <c r="Z991" s="0" t="inlineStr">
        <is>
          <t>https://new.land.naver.com/complexes/118104?tab=detail&amp;rf=Y</t>
        </is>
      </c>
      <c r="AA991" s="0" t="inlineStr">
        <is>
          <t>인천시 남동구 구월동 1146-5</t>
        </is>
      </c>
      <c r="AB991" s="0" t="inlineStr">
        <is>
          <t>인천시</t>
        </is>
      </c>
      <c r="AC991" s="0" t="inlineStr">
        <is>
          <t>남동구</t>
        </is>
      </c>
      <c r="AD991" s="0" t="inlineStr">
        <is>
          <t>구월동</t>
        </is>
      </c>
      <c r="AG991" s="0" t="inlineStr">
        <is>
          <t>인천시 남동구 남동대로765번길 25</t>
        </is>
      </c>
      <c r="AH991" s="0" t="n">
        <v>0</v>
      </c>
      <c r="AI991" s="0" t="n">
        <v>759</v>
      </c>
      <c r="AJ991" s="0" t="n">
        <v>68</v>
      </c>
      <c r="AK991" s="0" t="n">
        <v>53</v>
      </c>
      <c r="AL991" s="0" t="n">
        <v>0.82</v>
      </c>
    </row>
    <row r="992">
      <c r="A992" s="0" t="inlineStr">
        <is>
          <t>[구월동]</t>
        </is>
      </c>
      <c r="B992" s="0" t="n">
        <v>118104</v>
      </c>
      <c r="C992" s="0" t="n">
        <v>6</v>
      </c>
      <c r="D992" s="0" t="inlineStr">
        <is>
          <t>지앤이츠</t>
        </is>
      </c>
      <c r="E992" s="0" t="inlineStr">
        <is>
          <t>2017.03.</t>
        </is>
      </c>
      <c r="F992" s="0" t="n">
        <v>65</v>
      </c>
      <c r="G992" s="0" t="n">
        <v>22.06</v>
      </c>
      <c r="H992" s="0" t="n">
        <v>72.94</v>
      </c>
      <c r="I992" s="0" t="n">
        <v>14.91</v>
      </c>
      <c r="J992" s="0" t="n">
        <v>49.3</v>
      </c>
      <c r="K992" s="0" t="n">
        <v>1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72C</t>
        </is>
      </c>
      <c r="X992" s="0" t="n">
        <v>14</v>
      </c>
      <c r="Y992" s="0" t="n">
        <v>14</v>
      </c>
      <c r="Z992" s="0" t="inlineStr">
        <is>
          <t>https://new.land.naver.com/complexes/118104?tab=detail&amp;rf=Y</t>
        </is>
      </c>
      <c r="AA992" s="0" t="inlineStr">
        <is>
          <t>인천시 남동구 구월동 1146-5</t>
        </is>
      </c>
      <c r="AB992" s="0" t="inlineStr">
        <is>
          <t>인천시</t>
        </is>
      </c>
      <c r="AC992" s="0" t="inlineStr">
        <is>
          <t>남동구</t>
        </is>
      </c>
      <c r="AD992" s="0" t="inlineStr">
        <is>
          <t>구월동</t>
        </is>
      </c>
      <c r="AG992" s="0" t="inlineStr">
        <is>
          <t>인천시 남동구 남동대로765번길 25</t>
        </is>
      </c>
      <c r="AH992" s="0" t="n">
        <v>0</v>
      </c>
      <c r="AI992" s="0" t="n">
        <v>759</v>
      </c>
      <c r="AJ992" s="0" t="n">
        <v>68</v>
      </c>
      <c r="AK992" s="0" t="n">
        <v>53</v>
      </c>
      <c r="AL992" s="0" t="n">
        <v>0.82</v>
      </c>
    </row>
    <row r="993">
      <c r="A993" s="0" t="inlineStr">
        <is>
          <t>[구월동]</t>
        </is>
      </c>
      <c r="B993" s="0" t="n">
        <v>118104</v>
      </c>
      <c r="C993" s="0" t="n">
        <v>7</v>
      </c>
      <c r="D993" s="0" t="inlineStr">
        <is>
          <t>지앤이츠</t>
        </is>
      </c>
      <c r="E993" s="0" t="inlineStr">
        <is>
          <t>2017.03.</t>
        </is>
      </c>
      <c r="F993" s="0" t="n">
        <v>65</v>
      </c>
      <c r="G993" s="0" t="n">
        <v>21.92</v>
      </c>
      <c r="H993" s="0" t="n">
        <v>72.47</v>
      </c>
      <c r="I993" s="0" t="n">
        <v>14.93</v>
      </c>
      <c r="J993" s="0" t="n">
        <v>49.38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72E</t>
        </is>
      </c>
      <c r="X993" s="0" t="n">
        <v>14</v>
      </c>
      <c r="Y993" s="0" t="n">
        <v>14</v>
      </c>
      <c r="Z993" s="0" t="inlineStr">
        <is>
          <t>https://new.land.naver.com/complexes/118104?tab=detail&amp;rf=Y</t>
        </is>
      </c>
      <c r="AA993" s="0" t="inlineStr">
        <is>
          <t>인천시 남동구 구월동 1146-5</t>
        </is>
      </c>
      <c r="AB993" s="0" t="inlineStr">
        <is>
          <t>인천시</t>
        </is>
      </c>
      <c r="AC993" s="0" t="inlineStr">
        <is>
          <t>남동구</t>
        </is>
      </c>
      <c r="AD993" s="0" t="inlineStr">
        <is>
          <t>구월동</t>
        </is>
      </c>
      <c r="AG993" s="0" t="inlineStr">
        <is>
          <t>인천시 남동구 남동대로765번길 25</t>
        </is>
      </c>
      <c r="AH993" s="0" t="n">
        <v>0</v>
      </c>
      <c r="AI993" s="0" t="n">
        <v>759</v>
      </c>
      <c r="AJ993" s="0" t="n">
        <v>68</v>
      </c>
      <c r="AK993" s="0" t="n">
        <v>53</v>
      </c>
      <c r="AL993" s="0" t="n">
        <v>0.82</v>
      </c>
    </row>
    <row r="994">
      <c r="A994" s="0" t="inlineStr">
        <is>
          <t>[구월동]</t>
        </is>
      </c>
      <c r="B994" s="0" t="n">
        <v>118104</v>
      </c>
      <c r="C994" s="0" t="n">
        <v>8</v>
      </c>
      <c r="D994" s="0" t="inlineStr">
        <is>
          <t>지앤이츠</t>
        </is>
      </c>
      <c r="E994" s="0" t="inlineStr">
        <is>
          <t>2017.03.</t>
        </is>
      </c>
      <c r="F994" s="0" t="n">
        <v>65</v>
      </c>
      <c r="G994" s="0" t="n">
        <v>22.07</v>
      </c>
      <c r="H994" s="0" t="n">
        <v>72.97</v>
      </c>
      <c r="I994" s="0" t="n">
        <v>15.11</v>
      </c>
      <c r="J994" s="0" t="n">
        <v>49.98</v>
      </c>
      <c r="K994" s="0" t="n">
        <v>1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72G</t>
        </is>
      </c>
      <c r="X994" s="0" t="n">
        <v>14</v>
      </c>
      <c r="Y994" s="0" t="n">
        <v>14</v>
      </c>
      <c r="Z994" s="0" t="inlineStr">
        <is>
          <t>https://new.land.naver.com/complexes/118104?tab=detail&amp;rf=Y</t>
        </is>
      </c>
      <c r="AA994" s="0" t="inlineStr">
        <is>
          <t>인천시 남동구 구월동 1146-5</t>
        </is>
      </c>
      <c r="AB994" s="0" t="inlineStr">
        <is>
          <t>인천시</t>
        </is>
      </c>
      <c r="AC994" s="0" t="inlineStr">
        <is>
          <t>남동구</t>
        </is>
      </c>
      <c r="AD994" s="0" t="inlineStr">
        <is>
          <t>구월동</t>
        </is>
      </c>
      <c r="AG994" s="0" t="inlineStr">
        <is>
          <t>인천시 남동구 남동대로765번길 25</t>
        </is>
      </c>
      <c r="AH994" s="0" t="n">
        <v>0</v>
      </c>
      <c r="AI994" s="0" t="n">
        <v>759</v>
      </c>
      <c r="AJ994" s="0" t="n">
        <v>68</v>
      </c>
      <c r="AK994" s="0" t="n">
        <v>53</v>
      </c>
      <c r="AL994" s="0" t="n">
        <v>0.82</v>
      </c>
    </row>
    <row r="995">
      <c r="A995" s="0" t="inlineStr">
        <is>
          <t>[구월동]</t>
        </is>
      </c>
      <c r="B995" s="0" t="n">
        <v>118104</v>
      </c>
      <c r="C995" s="0" t="n">
        <v>9</v>
      </c>
      <c r="D995" s="0" t="inlineStr">
        <is>
          <t>지앤이츠</t>
        </is>
      </c>
      <c r="E995" s="0" t="inlineStr">
        <is>
          <t>2017.03.</t>
        </is>
      </c>
      <c r="F995" s="0" t="n">
        <v>65</v>
      </c>
      <c r="G995" s="0" t="n">
        <v>22.18</v>
      </c>
      <c r="H995" s="0" t="n">
        <v>73.34999999999999</v>
      </c>
      <c r="I995" s="0" t="n">
        <v>15.12</v>
      </c>
      <c r="J995" s="0" t="n">
        <v>49.99</v>
      </c>
      <c r="K995" s="0" t="n">
        <v>12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73J</t>
        </is>
      </c>
      <c r="X995" s="0" t="n">
        <v>14</v>
      </c>
      <c r="Y995" s="0" t="n">
        <v>14</v>
      </c>
      <c r="Z995" s="0" t="inlineStr">
        <is>
          <t>https://new.land.naver.com/complexes/118104?tab=detail&amp;rf=Y</t>
        </is>
      </c>
      <c r="AA995" s="0" t="inlineStr">
        <is>
          <t>인천시 남동구 구월동 1146-5</t>
        </is>
      </c>
      <c r="AB995" s="0" t="inlineStr">
        <is>
          <t>인천시</t>
        </is>
      </c>
      <c r="AC995" s="0" t="inlineStr">
        <is>
          <t>남동구</t>
        </is>
      </c>
      <c r="AD995" s="0" t="inlineStr">
        <is>
          <t>구월동</t>
        </is>
      </c>
      <c r="AG995" s="0" t="inlineStr">
        <is>
          <t>인천시 남동구 남동대로765번길 25</t>
        </is>
      </c>
      <c r="AH995" s="0" t="n">
        <v>0</v>
      </c>
      <c r="AI995" s="0" t="n">
        <v>759</v>
      </c>
      <c r="AJ995" s="0" t="n">
        <v>68</v>
      </c>
      <c r="AK995" s="0" t="n">
        <v>53</v>
      </c>
      <c r="AL995" s="0" t="n">
        <v>0.82</v>
      </c>
    </row>
    <row r="996">
      <c r="A996" s="0" t="inlineStr">
        <is>
          <t>[구월동]</t>
        </is>
      </c>
      <c r="B996" s="0" t="n">
        <v>118104</v>
      </c>
      <c r="C996" s="0" t="n">
        <v>10</v>
      </c>
      <c r="D996" s="0" t="inlineStr">
        <is>
          <t>지앤이츠</t>
        </is>
      </c>
      <c r="E996" s="0" t="inlineStr">
        <is>
          <t>2017.03.</t>
        </is>
      </c>
      <c r="F996" s="0" t="n">
        <v>65</v>
      </c>
      <c r="G996" s="0" t="n">
        <v>22.18</v>
      </c>
      <c r="H996" s="0" t="n">
        <v>73.34999999999999</v>
      </c>
      <c r="I996" s="0" t="n">
        <v>15.12</v>
      </c>
      <c r="J996" s="0" t="n">
        <v>49.99</v>
      </c>
      <c r="K996" s="0" t="n">
        <v>1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73I</t>
        </is>
      </c>
      <c r="X996" s="0" t="n">
        <v>14</v>
      </c>
      <c r="Y996" s="0" t="n">
        <v>14</v>
      </c>
      <c r="Z996" s="0" t="inlineStr">
        <is>
          <t>https://new.land.naver.com/complexes/118104?tab=detail&amp;rf=Y</t>
        </is>
      </c>
      <c r="AA996" s="0" t="inlineStr">
        <is>
          <t>인천시 남동구 구월동 1146-5</t>
        </is>
      </c>
      <c r="AB996" s="0" t="inlineStr">
        <is>
          <t>인천시</t>
        </is>
      </c>
      <c r="AC996" s="0" t="inlineStr">
        <is>
          <t>남동구</t>
        </is>
      </c>
      <c r="AD996" s="0" t="inlineStr">
        <is>
          <t>구월동</t>
        </is>
      </c>
      <c r="AG996" s="0" t="inlineStr">
        <is>
          <t>인천시 남동구 남동대로765번길 25</t>
        </is>
      </c>
      <c r="AH996" s="0" t="n">
        <v>0</v>
      </c>
      <c r="AI996" s="0" t="n">
        <v>759</v>
      </c>
      <c r="AJ996" s="0" t="n">
        <v>68</v>
      </c>
      <c r="AK996" s="0" t="n">
        <v>53</v>
      </c>
      <c r="AL996" s="0" t="n">
        <v>0.82</v>
      </c>
    </row>
    <row r="997">
      <c r="A997" s="0" t="inlineStr">
        <is>
          <t>[구월동]</t>
        </is>
      </c>
      <c r="B997" s="0" t="n">
        <v>24251</v>
      </c>
      <c r="C997" s="0" t="n">
        <v>1</v>
      </c>
      <c r="D997" s="0" t="inlineStr">
        <is>
          <t>청솔</t>
        </is>
      </c>
      <c r="E997" s="0" t="inlineStr">
        <is>
          <t>2004.01.</t>
        </is>
      </c>
      <c r="F997" s="0" t="n">
        <v>18</v>
      </c>
      <c r="G997" s="0" t="n">
        <v>27.16</v>
      </c>
      <c r="H997" s="0" t="n">
        <v>89.8</v>
      </c>
      <c r="I997" s="0" t="n">
        <v>23.74</v>
      </c>
      <c r="J997" s="0" t="n">
        <v>78.48999999999999</v>
      </c>
      <c r="K997" s="0" t="n">
        <v>18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89</v>
      </c>
      <c r="X997" s="0" t="n">
        <v>10</v>
      </c>
      <c r="Y997" s="0" t="n">
        <v>10</v>
      </c>
      <c r="Z997" s="0" t="inlineStr">
        <is>
          <t>https://new.land.naver.com/complexes/24251?tab=detail&amp;rf=Y</t>
        </is>
      </c>
      <c r="AA997" s="0" t="inlineStr">
        <is>
          <t>인천시 남동구 구월동 1221-7</t>
        </is>
      </c>
      <c r="AB997" s="0" t="inlineStr">
        <is>
          <t>인천시</t>
        </is>
      </c>
      <c r="AC997" s="0" t="inlineStr">
        <is>
          <t>남동구</t>
        </is>
      </c>
      <c r="AD997" s="0" t="inlineStr">
        <is>
          <t>구월동</t>
        </is>
      </c>
      <c r="AG997" s="0" t="inlineStr">
        <is>
          <t>인천시 남동구 인주대로 705</t>
        </is>
      </c>
      <c r="AH997" s="0" t="n">
        <v>0</v>
      </c>
      <c r="AI997" s="0" t="n">
        <v>261</v>
      </c>
      <c r="AJ997" s="0" t="n">
        <v>33</v>
      </c>
      <c r="AK997" s="0" t="n">
        <v>18</v>
      </c>
      <c r="AL997" s="0" t="n">
        <v>1</v>
      </c>
    </row>
    <row r="998">
      <c r="A998" s="0" t="inlineStr">
        <is>
          <t>[구월동]</t>
        </is>
      </c>
      <c r="B998" s="0" t="n">
        <v>9528</v>
      </c>
      <c r="C998" s="0" t="n">
        <v>1</v>
      </c>
      <c r="D998" s="0" t="inlineStr">
        <is>
          <t>현광(16-1)</t>
        </is>
      </c>
      <c r="E998" s="0" t="inlineStr">
        <is>
          <t>1984.10.</t>
        </is>
      </c>
      <c r="F998" s="0" t="n">
        <v>80</v>
      </c>
      <c r="G998" s="0" t="n">
        <v>21.17</v>
      </c>
      <c r="H998" s="0" t="n">
        <v>70</v>
      </c>
      <c r="I998" s="0" t="n">
        <v>17.96</v>
      </c>
      <c r="J998" s="0" t="n">
        <v>59.4</v>
      </c>
      <c r="K998" s="0" t="n">
        <v>40</v>
      </c>
      <c r="T998" s="0" t="n">
        <v>2</v>
      </c>
      <c r="U998" s="0" t="n">
        <v>1</v>
      </c>
      <c r="V998" s="0" t="inlineStr">
        <is>
          <t>계단식</t>
        </is>
      </c>
      <c r="W998" s="0" t="inlineStr">
        <is>
          <t>70A</t>
        </is>
      </c>
      <c r="X998" s="0" t="n">
        <v>5</v>
      </c>
      <c r="Y998" s="0" t="n">
        <v>5</v>
      </c>
      <c r="Z998" s="0" t="inlineStr">
        <is>
          <t>https://new.land.naver.com/complexes/9528?tab=detail&amp;rf=Y</t>
        </is>
      </c>
      <c r="AA998" s="0" t="inlineStr">
        <is>
          <t>인천시 남동구 구월동 산16-1</t>
        </is>
      </c>
      <c r="AB998" s="0" t="inlineStr">
        <is>
          <t>인천시</t>
        </is>
      </c>
      <c r="AC998" s="0" t="inlineStr">
        <is>
          <t>남동구</t>
        </is>
      </c>
      <c r="AD998" s="0" t="inlineStr">
        <is>
          <t>구월동</t>
        </is>
      </c>
      <c r="AG998" s="0" t="inlineStr">
        <is>
          <t>인천시 남동구 구월말로39번길 10-11</t>
        </is>
      </c>
      <c r="AH998" s="0" t="n">
        <v>0</v>
      </c>
      <c r="AI998" s="0" t="n">
        <v>0</v>
      </c>
      <c r="AJ998" s="0" t="n">
        <v>0</v>
      </c>
      <c r="AK998" s="0" t="n">
        <v>0</v>
      </c>
      <c r="AL998" s="0" t="n">
        <v>0</v>
      </c>
    </row>
    <row r="999">
      <c r="A999" s="0" t="inlineStr">
        <is>
          <t>[구월동]</t>
        </is>
      </c>
      <c r="B999" s="0" t="n">
        <v>9528</v>
      </c>
      <c r="C999" s="0" t="n">
        <v>2</v>
      </c>
      <c r="D999" s="0" t="inlineStr">
        <is>
          <t>현광(16-1)</t>
        </is>
      </c>
      <c r="E999" s="0" t="inlineStr">
        <is>
          <t>1984.10.</t>
        </is>
      </c>
      <c r="F999" s="0" t="n">
        <v>80</v>
      </c>
      <c r="G999" s="0" t="n">
        <v>21.37</v>
      </c>
      <c r="H999" s="0" t="n">
        <v>70.65000000000001</v>
      </c>
      <c r="I999" s="0" t="n">
        <v>18.13</v>
      </c>
      <c r="J999" s="0" t="n">
        <v>59.94</v>
      </c>
      <c r="K999" s="0" t="n">
        <v>10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70B</t>
        </is>
      </c>
      <c r="X999" s="0" t="n">
        <v>5</v>
      </c>
      <c r="Y999" s="0" t="n">
        <v>5</v>
      </c>
      <c r="Z999" s="0" t="inlineStr">
        <is>
          <t>https://new.land.naver.com/complexes/9528?tab=detail&amp;rf=Y</t>
        </is>
      </c>
      <c r="AA999" s="0" t="inlineStr">
        <is>
          <t>인천시 남동구 구월동 산16-1</t>
        </is>
      </c>
      <c r="AB999" s="0" t="inlineStr">
        <is>
          <t>인천시</t>
        </is>
      </c>
      <c r="AC999" s="0" t="inlineStr">
        <is>
          <t>남동구</t>
        </is>
      </c>
      <c r="AD999" s="0" t="inlineStr">
        <is>
          <t>구월동</t>
        </is>
      </c>
      <c r="AG999" s="0" t="inlineStr">
        <is>
          <t>인천시 남동구 구월말로39번길 10-11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[구월동]</t>
        </is>
      </c>
      <c r="B1000" s="0" t="n">
        <v>9528</v>
      </c>
      <c r="C1000" s="0" t="n">
        <v>3</v>
      </c>
      <c r="D1000" s="0" t="inlineStr">
        <is>
          <t>현광(16-1)</t>
        </is>
      </c>
      <c r="E1000" s="0" t="inlineStr">
        <is>
          <t>1984.10.</t>
        </is>
      </c>
      <c r="F1000" s="0" t="n">
        <v>80</v>
      </c>
      <c r="G1000" s="0" t="n">
        <v>22.15</v>
      </c>
      <c r="H1000" s="0" t="n">
        <v>73.23</v>
      </c>
      <c r="I1000" s="0" t="n">
        <v>18.78</v>
      </c>
      <c r="J1000" s="0" t="n">
        <v>62.1</v>
      </c>
      <c r="K1000" s="0" t="n">
        <v>30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73</v>
      </c>
      <c r="X1000" s="0" t="n">
        <v>5</v>
      </c>
      <c r="Y1000" s="0" t="n">
        <v>5</v>
      </c>
      <c r="Z1000" s="0" t="inlineStr">
        <is>
          <t>https://new.land.naver.com/complexes/9528?tab=detail&amp;rf=Y</t>
        </is>
      </c>
      <c r="AA1000" s="0" t="inlineStr">
        <is>
          <t>인천시 남동구 구월동 산16-1</t>
        </is>
      </c>
      <c r="AB1000" s="0" t="inlineStr">
        <is>
          <t>인천시</t>
        </is>
      </c>
      <c r="AC1000" s="0" t="inlineStr">
        <is>
          <t>남동구</t>
        </is>
      </c>
      <c r="AD1000" s="0" t="inlineStr">
        <is>
          <t>구월동</t>
        </is>
      </c>
      <c r="AG1000" s="0" t="inlineStr">
        <is>
          <t>인천시 남동구 구월말로39번길 10-11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[구월동]</t>
        </is>
      </c>
      <c r="B1001" s="0" t="n">
        <v>115898</v>
      </c>
      <c r="C1001" s="0" t="n">
        <v>1</v>
      </c>
      <c r="D1001" s="0" t="inlineStr">
        <is>
          <t>센트럴타워(도시형)</t>
        </is>
      </c>
      <c r="E1001" s="0" t="inlineStr">
        <is>
          <t>2014.06.</t>
        </is>
      </c>
      <c r="F1001" s="0" t="n">
        <v>18</v>
      </c>
      <c r="G1001" s="0" t="n">
        <v>16.54</v>
      </c>
      <c r="H1001" s="0" t="n">
        <v>54.7</v>
      </c>
      <c r="I1001" s="0" t="n">
        <v>13.79</v>
      </c>
      <c r="J1001" s="0" t="n">
        <v>45.6</v>
      </c>
      <c r="K1001" s="0" t="n">
        <v>6</v>
      </c>
      <c r="T1001" s="0" t="n">
        <v>1</v>
      </c>
      <c r="U1001" s="0" t="n">
        <v>1</v>
      </c>
      <c r="V1001" s="0" t="inlineStr">
        <is>
          <t>계단식</t>
        </is>
      </c>
      <c r="W1001" s="0" t="inlineStr">
        <is>
          <t>54B</t>
        </is>
      </c>
      <c r="X1001" s="0" t="n">
        <v>14</v>
      </c>
      <c r="Y1001" s="0" t="n">
        <v>14</v>
      </c>
      <c r="Z1001" s="0" t="inlineStr">
        <is>
          <t>https://new.land.naver.com/complexes/115898?tab=detail&amp;rf=Y</t>
        </is>
      </c>
      <c r="AA1001" s="0" t="inlineStr">
        <is>
          <t>인천시 남동구 구월동 1143-2</t>
        </is>
      </c>
      <c r="AB1001" s="0" t="inlineStr">
        <is>
          <t>인천시</t>
        </is>
      </c>
      <c r="AC1001" s="0" t="inlineStr">
        <is>
          <t>남동구</t>
        </is>
      </c>
      <c r="AD1001" s="0" t="inlineStr">
        <is>
          <t>구월동</t>
        </is>
      </c>
      <c r="AG1001" s="0" t="inlineStr">
        <is>
          <t>인천시 남동구 미래로 20</t>
        </is>
      </c>
      <c r="AH1001" s="0" t="n">
        <v>0</v>
      </c>
      <c r="AI1001" s="0" t="n">
        <v>794</v>
      </c>
      <c r="AJ1001" s="0" t="n">
        <v>69</v>
      </c>
      <c r="AK1001" s="0" t="n">
        <v>13</v>
      </c>
      <c r="AL1001" s="0" t="n">
        <v>0.72</v>
      </c>
    </row>
    <row r="1002">
      <c r="A1002" s="0" t="inlineStr">
        <is>
          <t>[구월동]</t>
        </is>
      </c>
      <c r="B1002" s="0" t="n">
        <v>115898</v>
      </c>
      <c r="C1002" s="0" t="n">
        <v>2</v>
      </c>
      <c r="D1002" s="0" t="inlineStr">
        <is>
          <t>센트럴타워(도시형)</t>
        </is>
      </c>
      <c r="E1002" s="0" t="inlineStr">
        <is>
          <t>2014.06.</t>
        </is>
      </c>
      <c r="F1002" s="0" t="n">
        <v>18</v>
      </c>
      <c r="G1002" s="0" t="n">
        <v>16.81</v>
      </c>
      <c r="H1002" s="0" t="n">
        <v>55.59</v>
      </c>
      <c r="I1002" s="0" t="n">
        <v>13.71</v>
      </c>
      <c r="J1002" s="0" t="n">
        <v>45.35</v>
      </c>
      <c r="K1002" s="0" t="n">
        <v>6</v>
      </c>
      <c r="T1002" s="0" t="n">
        <v>1</v>
      </c>
      <c r="U1002" s="0" t="n">
        <v>1</v>
      </c>
      <c r="V1002" s="0" t="inlineStr">
        <is>
          <t>계단식</t>
        </is>
      </c>
      <c r="W1002" s="0" t="inlineStr">
        <is>
          <t>55A</t>
        </is>
      </c>
      <c r="X1002" s="0" t="n">
        <v>14</v>
      </c>
      <c r="Y1002" s="0" t="n">
        <v>14</v>
      </c>
      <c r="Z1002" s="0" t="inlineStr">
        <is>
          <t>https://new.land.naver.com/complexes/115898?tab=detail&amp;rf=Y</t>
        </is>
      </c>
      <c r="AA1002" s="0" t="inlineStr">
        <is>
          <t>인천시 남동구 구월동 1143-2</t>
        </is>
      </c>
      <c r="AB1002" s="0" t="inlineStr">
        <is>
          <t>인천시</t>
        </is>
      </c>
      <c r="AC1002" s="0" t="inlineStr">
        <is>
          <t>남동구</t>
        </is>
      </c>
      <c r="AD1002" s="0" t="inlineStr">
        <is>
          <t>구월동</t>
        </is>
      </c>
      <c r="AG1002" s="0" t="inlineStr">
        <is>
          <t>인천시 남동구 미래로 20</t>
        </is>
      </c>
      <c r="AH1002" s="0" t="n">
        <v>0</v>
      </c>
      <c r="AI1002" s="0" t="n">
        <v>794</v>
      </c>
      <c r="AJ1002" s="0" t="n">
        <v>69</v>
      </c>
      <c r="AK1002" s="0" t="n">
        <v>13</v>
      </c>
      <c r="AL1002" s="0" t="n">
        <v>0.72</v>
      </c>
    </row>
    <row r="1003">
      <c r="A1003" s="0" t="inlineStr">
        <is>
          <t>[구월동]</t>
        </is>
      </c>
      <c r="B1003" s="0" t="n">
        <v>115898</v>
      </c>
      <c r="C1003" s="0" t="n">
        <v>3</v>
      </c>
      <c r="D1003" s="0" t="inlineStr">
        <is>
          <t>센트럴타워(도시형)</t>
        </is>
      </c>
      <c r="E1003" s="0" t="inlineStr">
        <is>
          <t>2014.06.</t>
        </is>
      </c>
      <c r="F1003" s="0" t="n">
        <v>18</v>
      </c>
      <c r="G1003" s="0" t="n">
        <v>17.58</v>
      </c>
      <c r="H1003" s="0" t="n">
        <v>58.14</v>
      </c>
      <c r="I1003" s="0" t="n">
        <v>14.7</v>
      </c>
      <c r="J1003" s="0" t="n">
        <v>48.61</v>
      </c>
      <c r="K1003" s="0" t="n">
        <v>6</v>
      </c>
      <c r="T1003" s="0" t="n">
        <v>1</v>
      </c>
      <c r="U1003" s="0" t="n">
        <v>1</v>
      </c>
      <c r="V1003" s="0" t="inlineStr">
        <is>
          <t>계단식</t>
        </is>
      </c>
      <c r="W1003" s="0" t="n">
        <v>58</v>
      </c>
      <c r="X1003" s="0" t="n">
        <v>14</v>
      </c>
      <c r="Y1003" s="0" t="n">
        <v>14</v>
      </c>
      <c r="Z1003" s="0" t="inlineStr">
        <is>
          <t>https://new.land.naver.com/complexes/115898?tab=detail&amp;rf=Y</t>
        </is>
      </c>
      <c r="AA1003" s="0" t="inlineStr">
        <is>
          <t>인천시 남동구 구월동 1143-2</t>
        </is>
      </c>
      <c r="AB1003" s="0" t="inlineStr">
        <is>
          <t>인천시</t>
        </is>
      </c>
      <c r="AC1003" s="0" t="inlineStr">
        <is>
          <t>남동구</t>
        </is>
      </c>
      <c r="AD1003" s="0" t="inlineStr">
        <is>
          <t>구월동</t>
        </is>
      </c>
      <c r="AG1003" s="0" t="inlineStr">
        <is>
          <t>인천시 남동구 미래로 20</t>
        </is>
      </c>
      <c r="AH1003" s="0" t="n">
        <v>0</v>
      </c>
      <c r="AI1003" s="0" t="n">
        <v>794</v>
      </c>
      <c r="AJ1003" s="0" t="n">
        <v>69</v>
      </c>
      <c r="AK1003" s="0" t="n">
        <v>13</v>
      </c>
      <c r="AL1003" s="0" t="n">
        <v>0.72</v>
      </c>
    </row>
    <row r="1004">
      <c r="A1004" s="0" t="inlineStr">
        <is>
          <t>[구월동]</t>
        </is>
      </c>
      <c r="B1004" s="0" t="n">
        <v>114934</v>
      </c>
      <c r="C1004" s="0" t="n">
        <v>1</v>
      </c>
      <c r="D1004" s="0" t="inlineStr">
        <is>
          <t>로드힐(도시형)</t>
        </is>
      </c>
      <c r="E1004" s="0" t="inlineStr">
        <is>
          <t>2015.12.</t>
        </is>
      </c>
      <c r="F1004" s="0" t="n">
        <v>39</v>
      </c>
      <c r="G1004" s="0" t="n">
        <v>17.25</v>
      </c>
      <c r="H1004" s="0" t="n">
        <v>57.03</v>
      </c>
      <c r="I1004" s="0" t="n">
        <v>12.6</v>
      </c>
      <c r="J1004" s="0" t="n">
        <v>41.68</v>
      </c>
      <c r="K1004" s="0" t="n">
        <v>3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57</v>
      </c>
      <c r="X1004" s="0" t="n">
        <v>14</v>
      </c>
      <c r="Y1004" s="0" t="n">
        <v>14</v>
      </c>
      <c r="Z1004" s="0" t="inlineStr">
        <is>
          <t>https://new.land.naver.com/complexes/114934?tab=detail&amp;rf=Y</t>
        </is>
      </c>
      <c r="AA1004" s="0" t="inlineStr">
        <is>
          <t>인천시 남동구 구월동 1129-20</t>
        </is>
      </c>
      <c r="AB1004" s="0" t="inlineStr">
        <is>
          <t>인천시</t>
        </is>
      </c>
      <c r="AC1004" s="0" t="inlineStr">
        <is>
          <t>남동구</t>
        </is>
      </c>
      <c r="AD1004" s="0" t="inlineStr">
        <is>
          <t>구월동</t>
        </is>
      </c>
      <c r="AG1004" s="0" t="inlineStr">
        <is>
          <t>인천시 남동구 미래로 15</t>
        </is>
      </c>
      <c r="AH1004" s="0" t="n">
        <v>0</v>
      </c>
      <c r="AI1004" s="0" t="n">
        <v>618</v>
      </c>
      <c r="AJ1004" s="0" t="n">
        <v>59</v>
      </c>
      <c r="AK1004" s="0" t="n">
        <v>29</v>
      </c>
      <c r="AL1004" s="0" t="n">
        <v>0.74</v>
      </c>
    </row>
    <row r="1005">
      <c r="A1005" s="0" t="inlineStr">
        <is>
          <t>[구월동]</t>
        </is>
      </c>
      <c r="B1005" s="0" t="n">
        <v>114934</v>
      </c>
      <c r="C1005" s="0" t="n">
        <v>2</v>
      </c>
      <c r="D1005" s="0" t="inlineStr">
        <is>
          <t>로드힐(도시형)</t>
        </is>
      </c>
      <c r="E1005" s="0" t="inlineStr">
        <is>
          <t>2015.12.</t>
        </is>
      </c>
      <c r="F1005" s="0" t="n">
        <v>39</v>
      </c>
      <c r="G1005" s="0" t="n">
        <v>19.1</v>
      </c>
      <c r="H1005" s="0" t="n">
        <v>63.16</v>
      </c>
      <c r="I1005" s="0" t="n">
        <v>14.01</v>
      </c>
      <c r="J1005" s="0" t="n">
        <v>46.32</v>
      </c>
      <c r="K1005" s="0" t="n">
        <v>36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63</v>
      </c>
      <c r="X1005" s="0" t="n">
        <v>14</v>
      </c>
      <c r="Y1005" s="0" t="n">
        <v>14</v>
      </c>
      <c r="Z1005" s="0" t="inlineStr">
        <is>
          <t>https://new.land.naver.com/complexes/114934?tab=detail&amp;rf=Y</t>
        </is>
      </c>
      <c r="AA1005" s="0" t="inlineStr">
        <is>
          <t>인천시 남동구 구월동 1129-20</t>
        </is>
      </c>
      <c r="AB1005" s="0" t="inlineStr">
        <is>
          <t>인천시</t>
        </is>
      </c>
      <c r="AC1005" s="0" t="inlineStr">
        <is>
          <t>남동구</t>
        </is>
      </c>
      <c r="AD1005" s="0" t="inlineStr">
        <is>
          <t>구월동</t>
        </is>
      </c>
      <c r="AG1005" s="0" t="inlineStr">
        <is>
          <t>인천시 남동구 미래로 15</t>
        </is>
      </c>
      <c r="AH1005" s="0" t="n">
        <v>0</v>
      </c>
      <c r="AI1005" s="0" t="n">
        <v>618</v>
      </c>
      <c r="AJ1005" s="0" t="n">
        <v>59</v>
      </c>
      <c r="AK1005" s="0" t="n">
        <v>29</v>
      </c>
      <c r="AL1005" s="0" t="n">
        <v>0.74</v>
      </c>
    </row>
    <row r="1006">
      <c r="A1006" s="0" t="inlineStr">
        <is>
          <t>[구월동]</t>
        </is>
      </c>
      <c r="B1006" s="0" t="n">
        <v>117510</v>
      </c>
      <c r="C1006" s="0" t="n">
        <v>1</v>
      </c>
      <c r="D1006" s="0" t="inlineStr">
        <is>
          <t>더클래스Ⅱ</t>
        </is>
      </c>
      <c r="E1006" s="0" t="inlineStr">
        <is>
          <t>2017.07.</t>
        </is>
      </c>
      <c r="F1006" s="0" t="n">
        <v>54</v>
      </c>
      <c r="G1006" s="0" t="n">
        <v>18.13</v>
      </c>
      <c r="H1006" s="0" t="n">
        <v>59.94</v>
      </c>
      <c r="I1006" s="0" t="n">
        <v>15.17</v>
      </c>
      <c r="J1006" s="0" t="n">
        <v>50.15</v>
      </c>
      <c r="K1006" s="0" t="n">
        <v>24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59</v>
      </c>
      <c r="X1006" s="0" t="n">
        <v>14</v>
      </c>
      <c r="Y1006" s="0" t="n">
        <v>13</v>
      </c>
      <c r="Z1006" s="0" t="inlineStr">
        <is>
          <t>https://new.land.naver.com/complexes/117510?tab=detail&amp;rf=Y</t>
        </is>
      </c>
      <c r="AA1006" s="0" t="inlineStr">
        <is>
          <t>인천시 남동구 구월동 1133-4</t>
        </is>
      </c>
      <c r="AB1006" s="0" t="inlineStr">
        <is>
          <t>인천시</t>
        </is>
      </c>
      <c r="AC1006" s="0" t="inlineStr">
        <is>
          <t>남동구</t>
        </is>
      </c>
      <c r="AD1006" s="0" t="inlineStr">
        <is>
          <t>구월동</t>
        </is>
      </c>
      <c r="AG1006" s="0" t="inlineStr">
        <is>
          <t>인천시 남동구 구월남로 125</t>
        </is>
      </c>
      <c r="AH1006" s="0" t="n">
        <v>0</v>
      </c>
      <c r="AI1006" s="0" t="n">
        <v>0</v>
      </c>
      <c r="AJ1006" s="0" t="n">
        <v>0</v>
      </c>
      <c r="AK1006" s="0" t="n">
        <v>47</v>
      </c>
      <c r="AL1006" s="0" t="n">
        <v>0.87</v>
      </c>
    </row>
    <row r="1007">
      <c r="A1007" s="0" t="inlineStr">
        <is>
          <t>[구월동]</t>
        </is>
      </c>
      <c r="B1007" s="0" t="n">
        <v>117510</v>
      </c>
      <c r="C1007" s="0" t="n">
        <v>2</v>
      </c>
      <c r="D1007" s="0" t="inlineStr">
        <is>
          <t>더클래스Ⅱ</t>
        </is>
      </c>
      <c r="E1007" s="0" t="inlineStr">
        <is>
          <t>2017.07.</t>
        </is>
      </c>
      <c r="F1007" s="0" t="n">
        <v>54</v>
      </c>
      <c r="G1007" s="0" t="n">
        <v>20.27</v>
      </c>
      <c r="H1007" s="0" t="n">
        <v>67.03</v>
      </c>
      <c r="I1007" s="0" t="n">
        <v>17.19</v>
      </c>
      <c r="J1007" s="0" t="n">
        <v>56.83</v>
      </c>
      <c r="K1007" s="0" t="n">
        <v>24</v>
      </c>
      <c r="T1007" s="0" t="n">
        <v>3</v>
      </c>
      <c r="U1007" s="0" t="n">
        <v>1</v>
      </c>
      <c r="V1007" s="0" t="inlineStr">
        <is>
          <t>복도식</t>
        </is>
      </c>
      <c r="W1007" s="0" t="n">
        <v>67</v>
      </c>
      <c r="X1007" s="0" t="n">
        <v>14</v>
      </c>
      <c r="Y1007" s="0" t="n">
        <v>13</v>
      </c>
      <c r="Z1007" s="0" t="inlineStr">
        <is>
          <t>https://new.land.naver.com/complexes/117510?tab=detail&amp;rf=Y</t>
        </is>
      </c>
      <c r="AA1007" s="0" t="inlineStr">
        <is>
          <t>인천시 남동구 구월동 1133-4</t>
        </is>
      </c>
      <c r="AB1007" s="0" t="inlineStr">
        <is>
          <t>인천시</t>
        </is>
      </c>
      <c r="AC1007" s="0" t="inlineStr">
        <is>
          <t>남동구</t>
        </is>
      </c>
      <c r="AD1007" s="0" t="inlineStr">
        <is>
          <t>구월동</t>
        </is>
      </c>
      <c r="AG1007" s="0" t="inlineStr">
        <is>
          <t>인천시 남동구 구월남로 125</t>
        </is>
      </c>
      <c r="AH1007" s="0" t="n">
        <v>0</v>
      </c>
      <c r="AI1007" s="0" t="n">
        <v>0</v>
      </c>
      <c r="AJ1007" s="0" t="n">
        <v>0</v>
      </c>
      <c r="AK1007" s="0" t="n">
        <v>47</v>
      </c>
      <c r="AL1007" s="0" t="n">
        <v>0.87</v>
      </c>
    </row>
    <row r="1008">
      <c r="A1008" s="0" t="inlineStr">
        <is>
          <t>[구월동]</t>
        </is>
      </c>
      <c r="B1008" s="0" t="n">
        <v>117510</v>
      </c>
      <c r="C1008" s="0" t="n">
        <v>3</v>
      </c>
      <c r="D1008" s="0" t="inlineStr">
        <is>
          <t>더클래스Ⅱ</t>
        </is>
      </c>
      <c r="E1008" s="0" t="inlineStr">
        <is>
          <t>2017.07.</t>
        </is>
      </c>
      <c r="F1008" s="0" t="n">
        <v>54</v>
      </c>
      <c r="G1008" s="0" t="n">
        <v>21.44</v>
      </c>
      <c r="H1008" s="0" t="n">
        <v>70.89</v>
      </c>
      <c r="I1008" s="0" t="n">
        <v>17.91</v>
      </c>
      <c r="J1008" s="0" t="n">
        <v>59.23</v>
      </c>
      <c r="K1008" s="0" t="n">
        <v>2</v>
      </c>
      <c r="T1008" s="0" t="n">
        <v>3</v>
      </c>
      <c r="U1008" s="0" t="n">
        <v>1</v>
      </c>
      <c r="V1008" s="0" t="inlineStr">
        <is>
          <t>복도식</t>
        </is>
      </c>
      <c r="W1008" s="0" t="n">
        <v>70</v>
      </c>
      <c r="X1008" s="0" t="n">
        <v>14</v>
      </c>
      <c r="Y1008" s="0" t="n">
        <v>13</v>
      </c>
      <c r="Z1008" s="0" t="inlineStr">
        <is>
          <t>https://new.land.naver.com/complexes/117510?tab=detail&amp;rf=Y</t>
        </is>
      </c>
      <c r="AA1008" s="0" t="inlineStr">
        <is>
          <t>인천시 남동구 구월동 1133-4</t>
        </is>
      </c>
      <c r="AB1008" s="0" t="inlineStr">
        <is>
          <t>인천시</t>
        </is>
      </c>
      <c r="AC1008" s="0" t="inlineStr">
        <is>
          <t>남동구</t>
        </is>
      </c>
      <c r="AD1008" s="0" t="inlineStr">
        <is>
          <t>구월동</t>
        </is>
      </c>
      <c r="AG1008" s="0" t="inlineStr">
        <is>
          <t>인천시 남동구 구월남로 125</t>
        </is>
      </c>
      <c r="AH1008" s="0" t="n">
        <v>0</v>
      </c>
      <c r="AI1008" s="0" t="n">
        <v>0</v>
      </c>
      <c r="AJ1008" s="0" t="n">
        <v>0</v>
      </c>
      <c r="AK1008" s="0" t="n">
        <v>47</v>
      </c>
      <c r="AL1008" s="0" t="n">
        <v>0.87</v>
      </c>
    </row>
    <row r="1009">
      <c r="A1009" s="0" t="inlineStr">
        <is>
          <t>[구월동]</t>
        </is>
      </c>
      <c r="B1009" s="0" t="n">
        <v>117510</v>
      </c>
      <c r="C1009" s="0" t="n">
        <v>4</v>
      </c>
      <c r="D1009" s="0" t="inlineStr">
        <is>
          <t>더클래스Ⅱ</t>
        </is>
      </c>
      <c r="E1009" s="0" t="inlineStr">
        <is>
          <t>2017.07.</t>
        </is>
      </c>
      <c r="F1009" s="0" t="n">
        <v>54</v>
      </c>
      <c r="G1009" s="0" t="n">
        <v>21.57</v>
      </c>
      <c r="H1009" s="0" t="n">
        <v>71.33</v>
      </c>
      <c r="I1009" s="0" t="n">
        <v>18.12</v>
      </c>
      <c r="J1009" s="0" t="n">
        <v>59.92</v>
      </c>
      <c r="K1009" s="0" t="n">
        <v>2</v>
      </c>
      <c r="T1009" s="0" t="n">
        <v>3</v>
      </c>
      <c r="U1009" s="0" t="n">
        <v>1</v>
      </c>
      <c r="V1009" s="0" t="inlineStr">
        <is>
          <t>복도식</t>
        </is>
      </c>
      <c r="W1009" s="0" t="n">
        <v>71</v>
      </c>
      <c r="X1009" s="0" t="n">
        <v>14</v>
      </c>
      <c r="Y1009" s="0" t="n">
        <v>13</v>
      </c>
      <c r="Z1009" s="0" t="inlineStr">
        <is>
          <t>https://new.land.naver.com/complexes/117510?tab=detail&amp;rf=Y</t>
        </is>
      </c>
      <c r="AA1009" s="0" t="inlineStr">
        <is>
          <t>인천시 남동구 구월동 1133-4</t>
        </is>
      </c>
      <c r="AB1009" s="0" t="inlineStr">
        <is>
          <t>인천시</t>
        </is>
      </c>
      <c r="AC1009" s="0" t="inlineStr">
        <is>
          <t>남동구</t>
        </is>
      </c>
      <c r="AD1009" s="0" t="inlineStr">
        <is>
          <t>구월동</t>
        </is>
      </c>
      <c r="AG1009" s="0" t="inlineStr">
        <is>
          <t>인천시 남동구 구월남로 125</t>
        </is>
      </c>
      <c r="AH1009" s="0" t="n">
        <v>0</v>
      </c>
      <c r="AI1009" s="0" t="n">
        <v>0</v>
      </c>
      <c r="AJ1009" s="0" t="n">
        <v>0</v>
      </c>
      <c r="AK1009" s="0" t="n">
        <v>47</v>
      </c>
      <c r="AL1009" s="0" t="n">
        <v>0.87</v>
      </c>
    </row>
    <row r="1010">
      <c r="A1010" s="0" t="inlineStr">
        <is>
          <t>[구월동]</t>
        </is>
      </c>
      <c r="B1010" s="0" t="n">
        <v>117510</v>
      </c>
      <c r="C1010" s="0" t="n">
        <v>5</v>
      </c>
      <c r="D1010" s="0" t="inlineStr">
        <is>
          <t>더클래스Ⅱ</t>
        </is>
      </c>
      <c r="E1010" s="0" t="inlineStr">
        <is>
          <t>2017.07.</t>
        </is>
      </c>
      <c r="F1010" s="0" t="n">
        <v>54</v>
      </c>
      <c r="G1010" s="0" t="n">
        <v>23.16</v>
      </c>
      <c r="H1010" s="0" t="n">
        <v>76.59</v>
      </c>
      <c r="I1010" s="0" t="n">
        <v>19.48</v>
      </c>
      <c r="J1010" s="0" t="n">
        <v>64.41</v>
      </c>
      <c r="K1010" s="0" t="n">
        <v>2</v>
      </c>
      <c r="T1010" s="0" t="n">
        <v>3</v>
      </c>
      <c r="U1010" s="0" t="n">
        <v>1</v>
      </c>
      <c r="V1010" s="0" t="inlineStr">
        <is>
          <t>복도식</t>
        </is>
      </c>
      <c r="W1010" s="0" t="n">
        <v>76</v>
      </c>
      <c r="X1010" s="0" t="n">
        <v>14</v>
      </c>
      <c r="Y1010" s="0" t="n">
        <v>13</v>
      </c>
      <c r="Z1010" s="0" t="inlineStr">
        <is>
          <t>https://new.land.naver.com/complexes/117510?tab=detail&amp;rf=Y</t>
        </is>
      </c>
      <c r="AA1010" s="0" t="inlineStr">
        <is>
          <t>인천시 남동구 구월동 1133-4</t>
        </is>
      </c>
      <c r="AB1010" s="0" t="inlineStr">
        <is>
          <t>인천시</t>
        </is>
      </c>
      <c r="AC1010" s="0" t="inlineStr">
        <is>
          <t>남동구</t>
        </is>
      </c>
      <c r="AD1010" s="0" t="inlineStr">
        <is>
          <t>구월동</t>
        </is>
      </c>
      <c r="AG1010" s="0" t="inlineStr">
        <is>
          <t>인천시 남동구 구월남로 125</t>
        </is>
      </c>
      <c r="AH1010" s="0" t="n">
        <v>0</v>
      </c>
      <c r="AI1010" s="0" t="n">
        <v>0</v>
      </c>
      <c r="AJ1010" s="0" t="n">
        <v>0</v>
      </c>
      <c r="AK1010" s="0" t="n">
        <v>47</v>
      </c>
      <c r="AL1010" s="0" t="n">
        <v>0.87</v>
      </c>
    </row>
    <row r="1011">
      <c r="A1011" s="0" t="inlineStr">
        <is>
          <t>[구월동]</t>
        </is>
      </c>
      <c r="B1011" s="0" t="n">
        <v>115974</v>
      </c>
      <c r="C1011" s="0" t="n">
        <v>1</v>
      </c>
      <c r="D1011" s="0" t="inlineStr">
        <is>
          <t>이츠</t>
        </is>
      </c>
      <c r="E1011" s="0" t="inlineStr">
        <is>
          <t>2014.05.</t>
        </is>
      </c>
      <c r="F1011" s="0" t="n">
        <v>11</v>
      </c>
      <c r="G1011" s="0" t="n">
        <v>14.78</v>
      </c>
      <c r="H1011" s="0" t="n">
        <v>48.87</v>
      </c>
      <c r="I1011" s="0" t="n">
        <v>13.08</v>
      </c>
      <c r="J1011" s="0" t="n">
        <v>43.26</v>
      </c>
      <c r="K1011" s="0" t="n">
        <v>2</v>
      </c>
      <c r="T1011" s="0" t="n">
        <v>1</v>
      </c>
      <c r="U1011" s="0" t="n">
        <v>1</v>
      </c>
      <c r="V1011" s="0" t="inlineStr">
        <is>
          <t>계단식</t>
        </is>
      </c>
      <c r="W1011" s="0" t="inlineStr">
        <is>
          <t>48A</t>
        </is>
      </c>
      <c r="X1011" s="0" t="n">
        <v>4</v>
      </c>
      <c r="Y1011" s="0" t="n">
        <v>4</v>
      </c>
      <c r="Z1011" s="0" t="inlineStr">
        <is>
          <t>https://new.land.naver.com/complexes/115974?tab=detail&amp;rf=Y</t>
        </is>
      </c>
      <c r="AA1011" s="0" t="inlineStr">
        <is>
          <t>인천시 남동구 구월동 1114-6</t>
        </is>
      </c>
      <c r="AB1011" s="0" t="inlineStr">
        <is>
          <t>인천시</t>
        </is>
      </c>
      <c r="AC1011" s="0" t="inlineStr">
        <is>
          <t>남동구</t>
        </is>
      </c>
      <c r="AD1011" s="0" t="inlineStr">
        <is>
          <t>구월동</t>
        </is>
      </c>
      <c r="AG1011" s="0" t="inlineStr">
        <is>
          <t>인천시 남동구 인주대로551번길 7</t>
        </is>
      </c>
      <c r="AH1011" s="0" t="n">
        <v>0</v>
      </c>
      <c r="AI1011" s="0" t="n">
        <v>432</v>
      </c>
      <c r="AJ1011" s="0" t="n">
        <v>59</v>
      </c>
      <c r="AK1011" s="0" t="n">
        <v>11</v>
      </c>
      <c r="AL1011" s="0" t="n">
        <v>1</v>
      </c>
    </row>
    <row r="1012">
      <c r="A1012" s="0" t="inlineStr">
        <is>
          <t>[구월동]</t>
        </is>
      </c>
      <c r="B1012" s="0" t="n">
        <v>115974</v>
      </c>
      <c r="C1012" s="0" t="n">
        <v>2</v>
      </c>
      <c r="D1012" s="0" t="inlineStr">
        <is>
          <t>이츠</t>
        </is>
      </c>
      <c r="E1012" s="0" t="inlineStr">
        <is>
          <t>2014.05.</t>
        </is>
      </c>
      <c r="F1012" s="0" t="n">
        <v>11</v>
      </c>
      <c r="G1012" s="0" t="n">
        <v>15.41</v>
      </c>
      <c r="H1012" s="0" t="n">
        <v>50.96</v>
      </c>
      <c r="I1012" s="0" t="n">
        <v>13.64</v>
      </c>
      <c r="J1012" s="0" t="n">
        <v>45.11</v>
      </c>
      <c r="K1012" s="0" t="n">
        <v>3</v>
      </c>
      <c r="T1012" s="0" t="n">
        <v>1</v>
      </c>
      <c r="U1012" s="0" t="n">
        <v>1</v>
      </c>
      <c r="V1012" s="0" t="inlineStr">
        <is>
          <t>계단식</t>
        </is>
      </c>
      <c r="W1012" s="0" t="inlineStr">
        <is>
          <t>50B</t>
        </is>
      </c>
      <c r="X1012" s="0" t="n">
        <v>4</v>
      </c>
      <c r="Y1012" s="0" t="n">
        <v>4</v>
      </c>
      <c r="Z1012" s="0" t="inlineStr">
        <is>
          <t>https://new.land.naver.com/complexes/115974?tab=detail&amp;rf=Y</t>
        </is>
      </c>
      <c r="AA1012" s="0" t="inlineStr">
        <is>
          <t>인천시 남동구 구월동 1114-6</t>
        </is>
      </c>
      <c r="AB1012" s="0" t="inlineStr">
        <is>
          <t>인천시</t>
        </is>
      </c>
      <c r="AC1012" s="0" t="inlineStr">
        <is>
          <t>남동구</t>
        </is>
      </c>
      <c r="AD1012" s="0" t="inlineStr">
        <is>
          <t>구월동</t>
        </is>
      </c>
      <c r="AG1012" s="0" t="inlineStr">
        <is>
          <t>인천시 남동구 인주대로551번길 7</t>
        </is>
      </c>
      <c r="AH1012" s="0" t="n">
        <v>0</v>
      </c>
      <c r="AI1012" s="0" t="n">
        <v>432</v>
      </c>
      <c r="AJ1012" s="0" t="n">
        <v>59</v>
      </c>
      <c r="AK1012" s="0" t="n">
        <v>11</v>
      </c>
      <c r="AL1012" s="0" t="n">
        <v>1</v>
      </c>
    </row>
    <row r="1013">
      <c r="A1013" s="0" t="inlineStr">
        <is>
          <t>[구월동]</t>
        </is>
      </c>
      <c r="B1013" s="0" t="n">
        <v>115974</v>
      </c>
      <c r="C1013" s="0" t="n">
        <v>3</v>
      </c>
      <c r="D1013" s="0" t="inlineStr">
        <is>
          <t>이츠</t>
        </is>
      </c>
      <c r="E1013" s="0" t="inlineStr">
        <is>
          <t>2014.05.</t>
        </is>
      </c>
      <c r="F1013" s="0" t="n">
        <v>11</v>
      </c>
      <c r="G1013" s="0" t="n">
        <v>19.5</v>
      </c>
      <c r="H1013" s="0" t="n">
        <v>64.47</v>
      </c>
      <c r="I1013" s="0" t="n">
        <v>17.26</v>
      </c>
      <c r="J1013" s="0" t="n">
        <v>57.06</v>
      </c>
      <c r="K1013" s="0" t="n">
        <v>3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64A</t>
        </is>
      </c>
      <c r="X1013" s="0" t="n">
        <v>4</v>
      </c>
      <c r="Y1013" s="0" t="n">
        <v>4</v>
      </c>
      <c r="Z1013" s="0" t="inlineStr">
        <is>
          <t>https://new.land.naver.com/complexes/115974?tab=detail&amp;rf=Y</t>
        </is>
      </c>
      <c r="AA1013" s="0" t="inlineStr">
        <is>
          <t>인천시 남동구 구월동 1114-6</t>
        </is>
      </c>
      <c r="AB1013" s="0" t="inlineStr">
        <is>
          <t>인천시</t>
        </is>
      </c>
      <c r="AC1013" s="0" t="inlineStr">
        <is>
          <t>남동구</t>
        </is>
      </c>
      <c r="AD1013" s="0" t="inlineStr">
        <is>
          <t>구월동</t>
        </is>
      </c>
      <c r="AG1013" s="0" t="inlineStr">
        <is>
          <t>인천시 남동구 인주대로551번길 7</t>
        </is>
      </c>
      <c r="AH1013" s="0" t="n">
        <v>0</v>
      </c>
      <c r="AI1013" s="0" t="n">
        <v>432</v>
      </c>
      <c r="AJ1013" s="0" t="n">
        <v>59</v>
      </c>
      <c r="AK1013" s="0" t="n">
        <v>11</v>
      </c>
      <c r="AL1013" s="0" t="n">
        <v>1</v>
      </c>
    </row>
    <row r="1014">
      <c r="A1014" s="0" t="inlineStr">
        <is>
          <t>[구월동]</t>
        </is>
      </c>
      <c r="B1014" s="0" t="n">
        <v>115974</v>
      </c>
      <c r="C1014" s="0" t="n">
        <v>4</v>
      </c>
      <c r="D1014" s="0" t="inlineStr">
        <is>
          <t>이츠</t>
        </is>
      </c>
      <c r="E1014" s="0" t="inlineStr">
        <is>
          <t>2014.05.</t>
        </is>
      </c>
      <c r="F1014" s="0" t="n">
        <v>11</v>
      </c>
      <c r="G1014" s="0" t="n">
        <v>19.55</v>
      </c>
      <c r="H1014" s="0" t="n">
        <v>64.63</v>
      </c>
      <c r="I1014" s="0" t="n">
        <v>17.3</v>
      </c>
      <c r="J1014" s="0" t="n">
        <v>57.2</v>
      </c>
      <c r="K1014" s="0" t="n">
        <v>3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64B</t>
        </is>
      </c>
      <c r="X1014" s="0" t="n">
        <v>4</v>
      </c>
      <c r="Y1014" s="0" t="n">
        <v>4</v>
      </c>
      <c r="Z1014" s="0" t="inlineStr">
        <is>
          <t>https://new.land.naver.com/complexes/115974?tab=detail&amp;rf=Y</t>
        </is>
      </c>
      <c r="AA1014" s="0" t="inlineStr">
        <is>
          <t>인천시 남동구 구월동 1114-6</t>
        </is>
      </c>
      <c r="AB1014" s="0" t="inlineStr">
        <is>
          <t>인천시</t>
        </is>
      </c>
      <c r="AC1014" s="0" t="inlineStr">
        <is>
          <t>남동구</t>
        </is>
      </c>
      <c r="AD1014" s="0" t="inlineStr">
        <is>
          <t>구월동</t>
        </is>
      </c>
      <c r="AG1014" s="0" t="inlineStr">
        <is>
          <t>인천시 남동구 인주대로551번길 7</t>
        </is>
      </c>
      <c r="AH1014" s="0" t="n">
        <v>0</v>
      </c>
      <c r="AI1014" s="0" t="n">
        <v>432</v>
      </c>
      <c r="AJ1014" s="0" t="n">
        <v>59</v>
      </c>
      <c r="AK1014" s="0" t="n">
        <v>11</v>
      </c>
      <c r="AL1014" s="0" t="n">
        <v>1</v>
      </c>
    </row>
    <row r="1015">
      <c r="A1015" s="0" t="inlineStr">
        <is>
          <t>[구월동]</t>
        </is>
      </c>
      <c r="B1015" s="0" t="n">
        <v>11100</v>
      </c>
      <c r="C1015" s="0" t="n">
        <v>1</v>
      </c>
      <c r="D1015" s="0" t="inlineStr">
        <is>
          <t>서울</t>
        </is>
      </c>
      <c r="E1015" s="0" t="inlineStr">
        <is>
          <t>1987.02.</t>
        </is>
      </c>
      <c r="F1015" s="0" t="n">
        <v>40</v>
      </c>
      <c r="G1015" s="0" t="n">
        <v>26.32</v>
      </c>
      <c r="H1015" s="0" t="n">
        <v>87.04000000000001</v>
      </c>
      <c r="I1015" s="0" t="n">
        <v>20.21</v>
      </c>
      <c r="J1015" s="0" t="n">
        <v>66.81</v>
      </c>
      <c r="K1015" s="0" t="n">
        <v>40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87</v>
      </c>
      <c r="X1015" s="0" t="n">
        <v>5</v>
      </c>
      <c r="Y1015" s="0" t="n">
        <v>5</v>
      </c>
      <c r="Z1015" s="0" t="inlineStr">
        <is>
          <t>https://new.land.naver.com/complexes/11100?tab=detail&amp;rf=Y</t>
        </is>
      </c>
      <c r="AA1015" s="0" t="inlineStr">
        <is>
          <t>인천시 남동구 구월동 1298-6</t>
        </is>
      </c>
      <c r="AB1015" s="0" t="inlineStr">
        <is>
          <t>인천시</t>
        </is>
      </c>
      <c r="AC1015" s="0" t="inlineStr">
        <is>
          <t>남동구</t>
        </is>
      </c>
      <c r="AD1015" s="0" t="inlineStr">
        <is>
          <t>구월동</t>
        </is>
      </c>
      <c r="AG1015" s="0" t="inlineStr">
        <is>
          <t>인천시 남동구 구월말로9번길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[구월동]</t>
        </is>
      </c>
      <c r="B1016" s="0" t="n">
        <v>117116</v>
      </c>
      <c r="C1016" s="0" t="n">
        <v>1</v>
      </c>
      <c r="D1016" s="0" t="inlineStr">
        <is>
          <t>더웰(도시형)</t>
        </is>
      </c>
      <c r="E1016" s="0" t="inlineStr">
        <is>
          <t>2015.03.</t>
        </is>
      </c>
      <c r="F1016" s="0" t="n">
        <v>44</v>
      </c>
      <c r="G1016" s="0" t="n">
        <v>17.78</v>
      </c>
      <c r="H1016" s="0" t="n">
        <v>58.79</v>
      </c>
      <c r="I1016" s="0" t="n">
        <v>14.49</v>
      </c>
      <c r="J1016" s="0" t="n">
        <v>47.91</v>
      </c>
      <c r="K1016" s="0" t="n">
        <v>20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58A</t>
        </is>
      </c>
      <c r="X1016" s="0" t="n">
        <v>15</v>
      </c>
      <c r="Y1016" s="0" t="n">
        <v>15</v>
      </c>
      <c r="Z1016" s="0" t="inlineStr">
        <is>
          <t>https://new.land.naver.com/complexes/117116?tab=detail&amp;rf=Y</t>
        </is>
      </c>
      <c r="AA1016" s="0" t="inlineStr">
        <is>
          <t>인천시 남동구 구월동 1142-25</t>
        </is>
      </c>
      <c r="AB1016" s="0" t="inlineStr">
        <is>
          <t>인천시</t>
        </is>
      </c>
      <c r="AC1016" s="0" t="inlineStr">
        <is>
          <t>남동구</t>
        </is>
      </c>
      <c r="AD1016" s="0" t="inlineStr">
        <is>
          <t>구월동</t>
        </is>
      </c>
      <c r="AG1016" s="0" t="inlineStr">
        <is>
          <t>인천시 남동구 인주대로623번길 55</t>
        </is>
      </c>
      <c r="AH1016" s="0" t="n">
        <v>0</v>
      </c>
      <c r="AI1016" s="0" t="n">
        <v>685</v>
      </c>
      <c r="AJ1016" s="0" t="n">
        <v>65</v>
      </c>
      <c r="AK1016" s="0" t="n">
        <v>31</v>
      </c>
      <c r="AL1016" s="0" t="n">
        <v>0.7</v>
      </c>
    </row>
    <row r="1017">
      <c r="A1017" s="0" t="inlineStr">
        <is>
          <t>[구월동]</t>
        </is>
      </c>
      <c r="B1017" s="0" t="n">
        <v>117116</v>
      </c>
      <c r="C1017" s="0" t="n">
        <v>2</v>
      </c>
      <c r="D1017" s="0" t="inlineStr">
        <is>
          <t>더웰(도시형)</t>
        </is>
      </c>
      <c r="E1017" s="0" t="inlineStr">
        <is>
          <t>2015.03.</t>
        </is>
      </c>
      <c r="F1017" s="0" t="n">
        <v>44</v>
      </c>
      <c r="G1017" s="0" t="n">
        <v>17.78</v>
      </c>
      <c r="H1017" s="0" t="n">
        <v>58.79</v>
      </c>
      <c r="I1017" s="0" t="n">
        <v>14.49</v>
      </c>
      <c r="J1017" s="0" t="n">
        <v>47.91</v>
      </c>
      <c r="K1017" s="0" t="n">
        <v>2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58B</t>
        </is>
      </c>
      <c r="X1017" s="0" t="n">
        <v>15</v>
      </c>
      <c r="Y1017" s="0" t="n">
        <v>15</v>
      </c>
      <c r="Z1017" s="0" t="inlineStr">
        <is>
          <t>https://new.land.naver.com/complexes/117116?tab=detail&amp;rf=Y</t>
        </is>
      </c>
      <c r="AA1017" s="0" t="inlineStr">
        <is>
          <t>인천시 남동구 구월동 1142-25</t>
        </is>
      </c>
      <c r="AB1017" s="0" t="inlineStr">
        <is>
          <t>인천시</t>
        </is>
      </c>
      <c r="AC1017" s="0" t="inlineStr">
        <is>
          <t>남동구</t>
        </is>
      </c>
      <c r="AD1017" s="0" t="inlineStr">
        <is>
          <t>구월동</t>
        </is>
      </c>
      <c r="AG1017" s="0" t="inlineStr">
        <is>
          <t>인천시 남동구 인주대로623번길 55</t>
        </is>
      </c>
      <c r="AH1017" s="0" t="n">
        <v>0</v>
      </c>
      <c r="AI1017" s="0" t="n">
        <v>685</v>
      </c>
      <c r="AJ1017" s="0" t="n">
        <v>65</v>
      </c>
      <c r="AK1017" s="0" t="n">
        <v>31</v>
      </c>
      <c r="AL1017" s="0" t="n">
        <v>0.7</v>
      </c>
    </row>
    <row r="1018">
      <c r="A1018" s="0" t="inlineStr">
        <is>
          <t>[구월동]</t>
        </is>
      </c>
      <c r="B1018" s="0" t="n">
        <v>117116</v>
      </c>
      <c r="C1018" s="0" t="n">
        <v>3</v>
      </c>
      <c r="D1018" s="0" t="inlineStr">
        <is>
          <t>더웰(도시형)</t>
        </is>
      </c>
      <c r="E1018" s="0" t="inlineStr">
        <is>
          <t>2015.03.</t>
        </is>
      </c>
      <c r="F1018" s="0" t="n">
        <v>44</v>
      </c>
      <c r="G1018" s="0" t="n">
        <v>18.06</v>
      </c>
      <c r="H1018" s="0" t="n">
        <v>59.73</v>
      </c>
      <c r="I1018" s="0" t="n">
        <v>14.66</v>
      </c>
      <c r="J1018" s="0" t="n">
        <v>48.48</v>
      </c>
      <c r="K1018" s="0" t="n">
        <v>20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59C</t>
        </is>
      </c>
      <c r="X1018" s="0" t="n">
        <v>15</v>
      </c>
      <c r="Y1018" s="0" t="n">
        <v>15</v>
      </c>
      <c r="Z1018" s="0" t="inlineStr">
        <is>
          <t>https://new.land.naver.com/complexes/117116?tab=detail&amp;rf=Y</t>
        </is>
      </c>
      <c r="AA1018" s="0" t="inlineStr">
        <is>
          <t>인천시 남동구 구월동 1142-25</t>
        </is>
      </c>
      <c r="AB1018" s="0" t="inlineStr">
        <is>
          <t>인천시</t>
        </is>
      </c>
      <c r="AC1018" s="0" t="inlineStr">
        <is>
          <t>남동구</t>
        </is>
      </c>
      <c r="AD1018" s="0" t="inlineStr">
        <is>
          <t>구월동</t>
        </is>
      </c>
      <c r="AG1018" s="0" t="inlineStr">
        <is>
          <t>인천시 남동구 인주대로623번길 55</t>
        </is>
      </c>
      <c r="AH1018" s="0" t="n">
        <v>0</v>
      </c>
      <c r="AI1018" s="0" t="n">
        <v>685</v>
      </c>
      <c r="AJ1018" s="0" t="n">
        <v>65</v>
      </c>
      <c r="AK1018" s="0" t="n">
        <v>31</v>
      </c>
      <c r="AL1018" s="0" t="n">
        <v>0.7</v>
      </c>
    </row>
    <row r="1019">
      <c r="A1019" s="0" t="inlineStr">
        <is>
          <t>[구월동]</t>
        </is>
      </c>
      <c r="B1019" s="0" t="n">
        <v>117116</v>
      </c>
      <c r="C1019" s="0" t="n">
        <v>4</v>
      </c>
      <c r="D1019" s="0" t="inlineStr">
        <is>
          <t>더웰(도시형)</t>
        </is>
      </c>
      <c r="E1019" s="0" t="inlineStr">
        <is>
          <t>2015.03.</t>
        </is>
      </c>
      <c r="F1019" s="0" t="n">
        <v>44</v>
      </c>
      <c r="G1019" s="0" t="n">
        <v>18.06</v>
      </c>
      <c r="H1019" s="0" t="n">
        <v>59.73</v>
      </c>
      <c r="I1019" s="0" t="n">
        <v>14.66</v>
      </c>
      <c r="J1019" s="0" t="n">
        <v>48.48</v>
      </c>
      <c r="K1019" s="0" t="n">
        <v>2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59D</t>
        </is>
      </c>
      <c r="X1019" s="0" t="n">
        <v>15</v>
      </c>
      <c r="Y1019" s="0" t="n">
        <v>15</v>
      </c>
      <c r="Z1019" s="0" t="inlineStr">
        <is>
          <t>https://new.land.naver.com/complexes/117116?tab=detail&amp;rf=Y</t>
        </is>
      </c>
      <c r="AA1019" s="0" t="inlineStr">
        <is>
          <t>인천시 남동구 구월동 1142-25</t>
        </is>
      </c>
      <c r="AB1019" s="0" t="inlineStr">
        <is>
          <t>인천시</t>
        </is>
      </c>
      <c r="AC1019" s="0" t="inlineStr">
        <is>
          <t>남동구</t>
        </is>
      </c>
      <c r="AD1019" s="0" t="inlineStr">
        <is>
          <t>구월동</t>
        </is>
      </c>
      <c r="AG1019" s="0" t="inlineStr">
        <is>
          <t>인천시 남동구 인주대로623번길 55</t>
        </is>
      </c>
      <c r="AH1019" s="0" t="n">
        <v>0</v>
      </c>
      <c r="AI1019" s="0" t="n">
        <v>685</v>
      </c>
      <c r="AJ1019" s="0" t="n">
        <v>65</v>
      </c>
      <c r="AK1019" s="0" t="n">
        <v>31</v>
      </c>
      <c r="AL1019" s="0" t="n">
        <v>0.7</v>
      </c>
    </row>
    <row r="1020">
      <c r="A1020" s="0" t="inlineStr">
        <is>
          <t>[구월동]</t>
        </is>
      </c>
      <c r="B1020" s="0" t="n">
        <v>116506</v>
      </c>
      <c r="C1020" s="0" t="n">
        <v>1</v>
      </c>
      <c r="D1020" s="0" t="inlineStr">
        <is>
          <t>구월룩소르</t>
        </is>
      </c>
      <c r="E1020" s="0" t="inlineStr">
        <is>
          <t>2016.07.</t>
        </is>
      </c>
      <c r="F1020" s="0" t="n">
        <v>56</v>
      </c>
      <c r="G1020" s="0" t="n">
        <v>18.58</v>
      </c>
      <c r="H1020" s="0" t="n">
        <v>61.44</v>
      </c>
      <c r="I1020" s="0" t="n">
        <v>14.3</v>
      </c>
      <c r="J1020" s="0" t="n">
        <v>47.28</v>
      </c>
      <c r="K1020" s="0" t="n">
        <v>14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15</v>
      </c>
      <c r="Y1020" s="0" t="n">
        <v>15</v>
      </c>
      <c r="Z1020" s="0" t="inlineStr">
        <is>
          <t>https://new.land.naver.com/complexes/116506?tab=detail&amp;rf=Y</t>
        </is>
      </c>
      <c r="AA1020" s="0" t="inlineStr">
        <is>
          <t>인천시 남동구 구월동 1129-8</t>
        </is>
      </c>
      <c r="AB1020" s="0" t="inlineStr">
        <is>
          <t>인천시</t>
        </is>
      </c>
      <c r="AC1020" s="0" t="inlineStr">
        <is>
          <t>남동구</t>
        </is>
      </c>
      <c r="AD1020" s="0" t="inlineStr">
        <is>
          <t>구월동</t>
        </is>
      </c>
      <c r="AG1020" s="0" t="inlineStr">
        <is>
          <t>인천시 남동구 예술로192번길 35</t>
        </is>
      </c>
      <c r="AH1020" s="0" t="n">
        <v>0</v>
      </c>
      <c r="AI1020" s="0" t="n">
        <v>799</v>
      </c>
      <c r="AJ1020" s="0" t="n">
        <v>68</v>
      </c>
      <c r="AK1020" s="0" t="n">
        <v>39</v>
      </c>
      <c r="AL1020" s="0" t="n">
        <v>0.7</v>
      </c>
    </row>
    <row r="1021">
      <c r="A1021" s="0" t="inlineStr">
        <is>
          <t>[구월동]</t>
        </is>
      </c>
      <c r="B1021" s="0" t="n">
        <v>116506</v>
      </c>
      <c r="C1021" s="0" t="n">
        <v>2</v>
      </c>
      <c r="D1021" s="0" t="inlineStr">
        <is>
          <t>구월룩소르</t>
        </is>
      </c>
      <c r="E1021" s="0" t="inlineStr">
        <is>
          <t>2016.07.</t>
        </is>
      </c>
      <c r="F1021" s="0" t="n">
        <v>56</v>
      </c>
      <c r="G1021" s="0" t="n">
        <v>19.63</v>
      </c>
      <c r="H1021" s="0" t="n">
        <v>64.91</v>
      </c>
      <c r="I1021" s="0" t="n">
        <v>14.74</v>
      </c>
      <c r="J1021" s="0" t="n">
        <v>48.76</v>
      </c>
      <c r="K1021" s="0" t="n">
        <v>14</v>
      </c>
      <c r="T1021" s="0" t="n">
        <v>3</v>
      </c>
      <c r="U1021" s="0" t="n">
        <v>1</v>
      </c>
      <c r="V1021" s="0" t="inlineStr">
        <is>
          <t>계단식</t>
        </is>
      </c>
      <c r="W1021" s="0" t="inlineStr">
        <is>
          <t>64A</t>
        </is>
      </c>
      <c r="X1021" s="0" t="n">
        <v>15</v>
      </c>
      <c r="Y1021" s="0" t="n">
        <v>15</v>
      </c>
      <c r="Z1021" s="0" t="inlineStr">
        <is>
          <t>https://new.land.naver.com/complexes/116506?tab=detail&amp;rf=Y</t>
        </is>
      </c>
      <c r="AA1021" s="0" t="inlineStr">
        <is>
          <t>인천시 남동구 구월동 1129-8</t>
        </is>
      </c>
      <c r="AB1021" s="0" t="inlineStr">
        <is>
          <t>인천시</t>
        </is>
      </c>
      <c r="AC1021" s="0" t="inlineStr">
        <is>
          <t>남동구</t>
        </is>
      </c>
      <c r="AD1021" s="0" t="inlineStr">
        <is>
          <t>구월동</t>
        </is>
      </c>
      <c r="AG1021" s="0" t="inlineStr">
        <is>
          <t>인천시 남동구 예술로192번길 35</t>
        </is>
      </c>
      <c r="AH1021" s="0" t="n">
        <v>0</v>
      </c>
      <c r="AI1021" s="0" t="n">
        <v>799</v>
      </c>
      <c r="AJ1021" s="0" t="n">
        <v>68</v>
      </c>
      <c r="AK1021" s="0" t="n">
        <v>39</v>
      </c>
      <c r="AL1021" s="0" t="n">
        <v>0.7</v>
      </c>
    </row>
    <row r="1022">
      <c r="A1022" s="0" t="inlineStr">
        <is>
          <t>[구월동]</t>
        </is>
      </c>
      <c r="B1022" s="0" t="n">
        <v>116506</v>
      </c>
      <c r="C1022" s="0" t="n">
        <v>3</v>
      </c>
      <c r="D1022" s="0" t="inlineStr">
        <is>
          <t>구월룩소르</t>
        </is>
      </c>
      <c r="E1022" s="0" t="inlineStr">
        <is>
          <t>2016.07.</t>
        </is>
      </c>
      <c r="F1022" s="0" t="n">
        <v>56</v>
      </c>
      <c r="G1022" s="0" t="n">
        <v>20.3</v>
      </c>
      <c r="H1022" s="0" t="n">
        <v>67.14</v>
      </c>
      <c r="I1022" s="0" t="n">
        <v>15.26</v>
      </c>
      <c r="J1022" s="0" t="n">
        <v>50.47</v>
      </c>
      <c r="K1022" s="0" t="n">
        <v>14</v>
      </c>
      <c r="T1022" s="0" t="n">
        <v>3</v>
      </c>
      <c r="U1022" s="0" t="n">
        <v>1</v>
      </c>
      <c r="V1022" s="0" t="inlineStr">
        <is>
          <t>계단식</t>
        </is>
      </c>
      <c r="W1022" s="0" t="inlineStr">
        <is>
          <t>67B</t>
        </is>
      </c>
      <c r="X1022" s="0" t="n">
        <v>15</v>
      </c>
      <c r="Y1022" s="0" t="n">
        <v>15</v>
      </c>
      <c r="Z1022" s="0" t="inlineStr">
        <is>
          <t>https://new.land.naver.com/complexes/116506?tab=detail&amp;rf=Y</t>
        </is>
      </c>
      <c r="AA1022" s="0" t="inlineStr">
        <is>
          <t>인천시 남동구 구월동 1129-8</t>
        </is>
      </c>
      <c r="AB1022" s="0" t="inlineStr">
        <is>
          <t>인천시</t>
        </is>
      </c>
      <c r="AC1022" s="0" t="inlineStr">
        <is>
          <t>남동구</t>
        </is>
      </c>
      <c r="AD1022" s="0" t="inlineStr">
        <is>
          <t>구월동</t>
        </is>
      </c>
      <c r="AG1022" s="0" t="inlineStr">
        <is>
          <t>인천시 남동구 예술로192번길 35</t>
        </is>
      </c>
      <c r="AH1022" s="0" t="n">
        <v>0</v>
      </c>
      <c r="AI1022" s="0" t="n">
        <v>799</v>
      </c>
      <c r="AJ1022" s="0" t="n">
        <v>68</v>
      </c>
      <c r="AK1022" s="0" t="n">
        <v>39</v>
      </c>
      <c r="AL1022" s="0" t="n">
        <v>0.7</v>
      </c>
    </row>
    <row r="1023">
      <c r="A1023" s="0" t="inlineStr">
        <is>
          <t>[구월동]</t>
        </is>
      </c>
      <c r="B1023" s="0" t="n">
        <v>116506</v>
      </c>
      <c r="C1023" s="0" t="n">
        <v>4</v>
      </c>
      <c r="D1023" s="0" t="inlineStr">
        <is>
          <t>구월룩소르</t>
        </is>
      </c>
      <c r="E1023" s="0" t="inlineStr">
        <is>
          <t>2016.07.</t>
        </is>
      </c>
      <c r="F1023" s="0" t="n">
        <v>56</v>
      </c>
      <c r="G1023" s="0" t="n">
        <v>20.43</v>
      </c>
      <c r="H1023" s="0" t="n">
        <v>67.55</v>
      </c>
      <c r="I1023" s="0" t="n">
        <v>15.86</v>
      </c>
      <c r="J1023" s="0" t="n">
        <v>52.43</v>
      </c>
      <c r="K1023" s="0" t="n">
        <v>14</v>
      </c>
      <c r="T1023" s="0" t="n">
        <v>3</v>
      </c>
      <c r="U1023" s="0" t="n">
        <v>1</v>
      </c>
      <c r="V1023" s="0" t="inlineStr">
        <is>
          <t>계단식</t>
        </is>
      </c>
      <c r="W1023" s="0" t="inlineStr">
        <is>
          <t>67C</t>
        </is>
      </c>
      <c r="X1023" s="0" t="n">
        <v>15</v>
      </c>
      <c r="Y1023" s="0" t="n">
        <v>15</v>
      </c>
      <c r="Z1023" s="0" t="inlineStr">
        <is>
          <t>https://new.land.naver.com/complexes/116506?tab=detail&amp;rf=Y</t>
        </is>
      </c>
      <c r="AA1023" s="0" t="inlineStr">
        <is>
          <t>인천시 남동구 구월동 1129-8</t>
        </is>
      </c>
      <c r="AB1023" s="0" t="inlineStr">
        <is>
          <t>인천시</t>
        </is>
      </c>
      <c r="AC1023" s="0" t="inlineStr">
        <is>
          <t>남동구</t>
        </is>
      </c>
      <c r="AD1023" s="0" t="inlineStr">
        <is>
          <t>구월동</t>
        </is>
      </c>
      <c r="AG1023" s="0" t="inlineStr">
        <is>
          <t>인천시 남동구 예술로192번길 35</t>
        </is>
      </c>
      <c r="AH1023" s="0" t="n">
        <v>0</v>
      </c>
      <c r="AI1023" s="0" t="n">
        <v>799</v>
      </c>
      <c r="AJ1023" s="0" t="n">
        <v>68</v>
      </c>
      <c r="AK1023" s="0" t="n">
        <v>39</v>
      </c>
      <c r="AL1023" s="0" t="n">
        <v>0.7</v>
      </c>
    </row>
    <row r="1024">
      <c r="A1024" s="0" t="inlineStr">
        <is>
          <t>[구월동]</t>
        </is>
      </c>
      <c r="B1024" s="0" t="n">
        <v>113371</v>
      </c>
      <c r="C1024" s="0" t="n">
        <v>1</v>
      </c>
      <c r="D1024" s="0" t="inlineStr">
        <is>
          <t>대명어반스테이(도시형)</t>
        </is>
      </c>
      <c r="E1024" s="0" t="inlineStr">
        <is>
          <t>2018.04.</t>
        </is>
      </c>
      <c r="F1024" s="0" t="n">
        <v>144</v>
      </c>
      <c r="G1024" s="0" t="n">
        <v>8.380000000000001</v>
      </c>
      <c r="H1024" s="0" t="n">
        <v>27.72</v>
      </c>
      <c r="I1024" s="0" t="n">
        <v>5.16</v>
      </c>
      <c r="J1024" s="0" t="n">
        <v>17.07</v>
      </c>
      <c r="K1024" s="0" t="n">
        <v>56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27C</t>
        </is>
      </c>
      <c r="X1024" s="0" t="n">
        <v>9</v>
      </c>
      <c r="Y1024" s="0" t="n">
        <v>9</v>
      </c>
      <c r="Z1024" s="0" t="inlineStr">
        <is>
          <t>https://new.land.naver.com/complexes/113371?tab=detail&amp;rf=Y</t>
        </is>
      </c>
      <c r="AA1024" s="0" t="inlineStr">
        <is>
          <t>인천시 남동구 구월동 1142-2</t>
        </is>
      </c>
      <c r="AB1024" s="0" t="inlineStr">
        <is>
          <t>인천시</t>
        </is>
      </c>
      <c r="AC1024" s="0" t="inlineStr">
        <is>
          <t>남동구</t>
        </is>
      </c>
      <c r="AD1024" s="0" t="inlineStr">
        <is>
          <t>구월동</t>
        </is>
      </c>
      <c r="AG1024" s="0" t="inlineStr">
        <is>
          <t>인천시 남동구 미래로 30</t>
        </is>
      </c>
      <c r="AH1024" s="0" t="n">
        <v>0</v>
      </c>
      <c r="AI1024" s="0" t="n">
        <v>996</v>
      </c>
      <c r="AJ1024" s="0" t="n">
        <v>62</v>
      </c>
      <c r="AK1024" s="0" t="n">
        <v>102</v>
      </c>
      <c r="AL1024" s="0" t="n">
        <v>0.71</v>
      </c>
    </row>
    <row r="1025">
      <c r="A1025" s="0" t="inlineStr">
        <is>
          <t>[구월동]</t>
        </is>
      </c>
      <c r="B1025" s="0" t="n">
        <v>113371</v>
      </c>
      <c r="C1025" s="0" t="n">
        <v>2</v>
      </c>
      <c r="D1025" s="0" t="inlineStr">
        <is>
          <t>대명어반스테이(도시형)</t>
        </is>
      </c>
      <c r="E1025" s="0" t="inlineStr">
        <is>
          <t>2018.04.</t>
        </is>
      </c>
      <c r="F1025" s="0" t="n">
        <v>144</v>
      </c>
      <c r="G1025" s="0" t="n">
        <v>8.619999999999999</v>
      </c>
      <c r="H1025" s="0" t="n">
        <v>28.51</v>
      </c>
      <c r="I1025" s="0" t="n">
        <v>5.25</v>
      </c>
      <c r="J1025" s="0" t="n">
        <v>17.37</v>
      </c>
      <c r="K1025" s="0" t="n">
        <v>8</v>
      </c>
      <c r="T1025" s="0" t="n">
        <v>1</v>
      </c>
      <c r="U1025" s="0" t="n">
        <v>1</v>
      </c>
      <c r="V1025" s="0" t="inlineStr">
        <is>
          <t>복도식</t>
        </is>
      </c>
      <c r="W1025" s="0" t="inlineStr">
        <is>
          <t>28C2</t>
        </is>
      </c>
      <c r="X1025" s="0" t="n">
        <v>9</v>
      </c>
      <c r="Y1025" s="0" t="n">
        <v>9</v>
      </c>
      <c r="Z1025" s="0" t="inlineStr">
        <is>
          <t>https://new.land.naver.com/complexes/113371?tab=detail&amp;rf=Y</t>
        </is>
      </c>
      <c r="AA1025" s="0" t="inlineStr">
        <is>
          <t>인천시 남동구 구월동 1142-2</t>
        </is>
      </c>
      <c r="AB1025" s="0" t="inlineStr">
        <is>
          <t>인천시</t>
        </is>
      </c>
      <c r="AC1025" s="0" t="inlineStr">
        <is>
          <t>남동구</t>
        </is>
      </c>
      <c r="AD1025" s="0" t="inlineStr">
        <is>
          <t>구월동</t>
        </is>
      </c>
      <c r="AG1025" s="0" t="inlineStr">
        <is>
          <t>인천시 남동구 미래로 30</t>
        </is>
      </c>
      <c r="AH1025" s="0" t="n">
        <v>0</v>
      </c>
      <c r="AI1025" s="0" t="n">
        <v>996</v>
      </c>
      <c r="AJ1025" s="0" t="n">
        <v>62</v>
      </c>
      <c r="AK1025" s="0" t="n">
        <v>102</v>
      </c>
      <c r="AL1025" s="0" t="n">
        <v>0.71</v>
      </c>
    </row>
    <row r="1026">
      <c r="A1026" s="0" t="inlineStr">
        <is>
          <t>[구월동]</t>
        </is>
      </c>
      <c r="B1026" s="0" t="n">
        <v>113371</v>
      </c>
      <c r="C1026" s="0" t="n">
        <v>3</v>
      </c>
      <c r="D1026" s="0" t="inlineStr">
        <is>
          <t>대명어반스테이(도시형)</t>
        </is>
      </c>
      <c r="E1026" s="0" t="inlineStr">
        <is>
          <t>2018.04.</t>
        </is>
      </c>
      <c r="F1026" s="0" t="n">
        <v>144</v>
      </c>
      <c r="G1026" s="0" t="n">
        <v>9.59</v>
      </c>
      <c r="H1026" s="0" t="n">
        <v>31.71</v>
      </c>
      <c r="I1026" s="0" t="n">
        <v>5.93</v>
      </c>
      <c r="J1026" s="0" t="n">
        <v>19.63</v>
      </c>
      <c r="K1026" s="0" t="n">
        <v>24</v>
      </c>
      <c r="T1026" s="0" t="n">
        <v>1</v>
      </c>
      <c r="U1026" s="0" t="n">
        <v>1</v>
      </c>
      <c r="V1026" s="0" t="inlineStr">
        <is>
          <t>복도식</t>
        </is>
      </c>
      <c r="W1026" s="0" t="inlineStr">
        <is>
          <t>31C5</t>
        </is>
      </c>
      <c r="X1026" s="0" t="n">
        <v>9</v>
      </c>
      <c r="Y1026" s="0" t="n">
        <v>9</v>
      </c>
      <c r="Z1026" s="0" t="inlineStr">
        <is>
          <t>https://new.land.naver.com/complexes/113371?tab=detail&amp;rf=Y</t>
        </is>
      </c>
      <c r="AA1026" s="0" t="inlineStr">
        <is>
          <t>인천시 남동구 구월동 1142-2</t>
        </is>
      </c>
      <c r="AB1026" s="0" t="inlineStr">
        <is>
          <t>인천시</t>
        </is>
      </c>
      <c r="AC1026" s="0" t="inlineStr">
        <is>
          <t>남동구</t>
        </is>
      </c>
      <c r="AD1026" s="0" t="inlineStr">
        <is>
          <t>구월동</t>
        </is>
      </c>
      <c r="AG1026" s="0" t="inlineStr">
        <is>
          <t>인천시 남동구 미래로 30</t>
        </is>
      </c>
      <c r="AH1026" s="0" t="n">
        <v>0</v>
      </c>
      <c r="AI1026" s="0" t="n">
        <v>996</v>
      </c>
      <c r="AJ1026" s="0" t="n">
        <v>62</v>
      </c>
      <c r="AK1026" s="0" t="n">
        <v>102</v>
      </c>
      <c r="AL1026" s="0" t="n">
        <v>0.71</v>
      </c>
    </row>
    <row r="1027">
      <c r="A1027" s="0" t="inlineStr">
        <is>
          <t>[구월동]</t>
        </is>
      </c>
      <c r="B1027" s="0" t="n">
        <v>113371</v>
      </c>
      <c r="C1027" s="0" t="n">
        <v>4</v>
      </c>
      <c r="D1027" s="0" t="inlineStr">
        <is>
          <t>대명어반스테이(도시형)</t>
        </is>
      </c>
      <c r="E1027" s="0" t="inlineStr">
        <is>
          <t>2018.04.</t>
        </is>
      </c>
      <c r="F1027" s="0" t="n">
        <v>144</v>
      </c>
      <c r="G1027" s="0" t="n">
        <v>9.869999999999999</v>
      </c>
      <c r="H1027" s="0" t="n">
        <v>32.64</v>
      </c>
      <c r="I1027" s="0" t="n">
        <v>6.05</v>
      </c>
      <c r="J1027" s="0" t="n">
        <v>20.01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inlineStr">
        <is>
          <t>32C3</t>
        </is>
      </c>
      <c r="X1027" s="0" t="n">
        <v>9</v>
      </c>
      <c r="Y1027" s="0" t="n">
        <v>9</v>
      </c>
      <c r="Z1027" s="0" t="inlineStr">
        <is>
          <t>https://new.land.naver.com/complexes/113371?tab=detail&amp;rf=Y</t>
        </is>
      </c>
      <c r="AA1027" s="0" t="inlineStr">
        <is>
          <t>인천시 남동구 구월동 1142-2</t>
        </is>
      </c>
      <c r="AB1027" s="0" t="inlineStr">
        <is>
          <t>인천시</t>
        </is>
      </c>
      <c r="AC1027" s="0" t="inlineStr">
        <is>
          <t>남동구</t>
        </is>
      </c>
      <c r="AD1027" s="0" t="inlineStr">
        <is>
          <t>구월동</t>
        </is>
      </c>
      <c r="AG1027" s="0" t="inlineStr">
        <is>
          <t>인천시 남동구 미래로 30</t>
        </is>
      </c>
      <c r="AH1027" s="0" t="n">
        <v>0</v>
      </c>
      <c r="AI1027" s="0" t="n">
        <v>996</v>
      </c>
      <c r="AJ1027" s="0" t="n">
        <v>62</v>
      </c>
      <c r="AK1027" s="0" t="n">
        <v>102</v>
      </c>
      <c r="AL1027" s="0" t="n">
        <v>0.71</v>
      </c>
    </row>
    <row r="1028">
      <c r="A1028" s="0" t="inlineStr">
        <is>
          <t>[구월동]</t>
        </is>
      </c>
      <c r="B1028" s="0" t="n">
        <v>113371</v>
      </c>
      <c r="C1028" s="0" t="n">
        <v>5</v>
      </c>
      <c r="D1028" s="0" t="inlineStr">
        <is>
          <t>대명어반스테이(도시형)</t>
        </is>
      </c>
      <c r="E1028" s="0" t="inlineStr">
        <is>
          <t>2018.04.</t>
        </is>
      </c>
      <c r="F1028" s="0" t="n">
        <v>144</v>
      </c>
      <c r="G1028" s="0" t="n">
        <v>9.92</v>
      </c>
      <c r="H1028" s="0" t="n">
        <v>32.8</v>
      </c>
      <c r="I1028" s="0" t="n">
        <v>6.11</v>
      </c>
      <c r="J1028" s="0" t="n">
        <v>20.2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inlineStr">
        <is>
          <t>32C4</t>
        </is>
      </c>
      <c r="X1028" s="0" t="n">
        <v>9</v>
      </c>
      <c r="Y1028" s="0" t="n">
        <v>9</v>
      </c>
      <c r="Z1028" s="0" t="inlineStr">
        <is>
          <t>https://new.land.naver.com/complexes/113371?tab=detail&amp;rf=Y</t>
        </is>
      </c>
      <c r="AA1028" s="0" t="inlineStr">
        <is>
          <t>인천시 남동구 구월동 1142-2</t>
        </is>
      </c>
      <c r="AB1028" s="0" t="inlineStr">
        <is>
          <t>인천시</t>
        </is>
      </c>
      <c r="AC1028" s="0" t="inlineStr">
        <is>
          <t>남동구</t>
        </is>
      </c>
      <c r="AD1028" s="0" t="inlineStr">
        <is>
          <t>구월동</t>
        </is>
      </c>
      <c r="AG1028" s="0" t="inlineStr">
        <is>
          <t>인천시 남동구 미래로 30</t>
        </is>
      </c>
      <c r="AH1028" s="0" t="n">
        <v>0</v>
      </c>
      <c r="AI1028" s="0" t="n">
        <v>996</v>
      </c>
      <c r="AJ1028" s="0" t="n">
        <v>62</v>
      </c>
      <c r="AK1028" s="0" t="n">
        <v>102</v>
      </c>
      <c r="AL1028" s="0" t="n">
        <v>0.71</v>
      </c>
    </row>
    <row r="1029">
      <c r="A1029" s="0" t="inlineStr">
        <is>
          <t>[구월동]</t>
        </is>
      </c>
      <c r="B1029" s="0" t="n">
        <v>113371</v>
      </c>
      <c r="C1029" s="0" t="n">
        <v>6</v>
      </c>
      <c r="D1029" s="0" t="inlineStr">
        <is>
          <t>대명어반스테이(도시형)</t>
        </is>
      </c>
      <c r="E1029" s="0" t="inlineStr">
        <is>
          <t>2018.04.</t>
        </is>
      </c>
      <c r="F1029" s="0" t="n">
        <v>144</v>
      </c>
      <c r="G1029" s="0" t="n">
        <v>10.05</v>
      </c>
      <c r="H1029" s="0" t="n">
        <v>33.23</v>
      </c>
      <c r="I1029" s="0" t="n">
        <v>6.06</v>
      </c>
      <c r="J1029" s="0" t="n">
        <v>20.04</v>
      </c>
      <c r="K1029" s="0" t="n">
        <v>8</v>
      </c>
      <c r="T1029" s="0" t="n">
        <v>1</v>
      </c>
      <c r="U1029" s="0" t="n">
        <v>1</v>
      </c>
      <c r="V1029" s="0" t="inlineStr">
        <is>
          <t>복도식</t>
        </is>
      </c>
      <c r="W1029" s="0" t="inlineStr">
        <is>
          <t>33C1</t>
        </is>
      </c>
      <c r="X1029" s="0" t="n">
        <v>9</v>
      </c>
      <c r="Y1029" s="0" t="n">
        <v>9</v>
      </c>
      <c r="Z1029" s="0" t="inlineStr">
        <is>
          <t>https://new.land.naver.com/complexes/113371?tab=detail&amp;rf=Y</t>
        </is>
      </c>
      <c r="AA1029" s="0" t="inlineStr">
        <is>
          <t>인천시 남동구 구월동 1142-2</t>
        </is>
      </c>
      <c r="AB1029" s="0" t="inlineStr">
        <is>
          <t>인천시</t>
        </is>
      </c>
      <c r="AC1029" s="0" t="inlineStr">
        <is>
          <t>남동구</t>
        </is>
      </c>
      <c r="AD1029" s="0" t="inlineStr">
        <is>
          <t>구월동</t>
        </is>
      </c>
      <c r="AG1029" s="0" t="inlineStr">
        <is>
          <t>인천시 남동구 미래로 30</t>
        </is>
      </c>
      <c r="AH1029" s="0" t="n">
        <v>0</v>
      </c>
      <c r="AI1029" s="0" t="n">
        <v>996</v>
      </c>
      <c r="AJ1029" s="0" t="n">
        <v>62</v>
      </c>
      <c r="AK1029" s="0" t="n">
        <v>102</v>
      </c>
      <c r="AL1029" s="0" t="n">
        <v>0.71</v>
      </c>
    </row>
    <row r="1030">
      <c r="A1030" s="0" t="inlineStr">
        <is>
          <t>[구월동]</t>
        </is>
      </c>
      <c r="B1030" s="0" t="n">
        <v>113371</v>
      </c>
      <c r="C1030" s="0" t="n">
        <v>7</v>
      </c>
      <c r="D1030" s="0" t="inlineStr">
        <is>
          <t>대명어반스테이(도시형)</t>
        </is>
      </c>
      <c r="E1030" s="0" t="inlineStr">
        <is>
          <t>2018.04.</t>
        </is>
      </c>
      <c r="F1030" s="0" t="n">
        <v>144</v>
      </c>
      <c r="G1030" s="0" t="n">
        <v>12.63</v>
      </c>
      <c r="H1030" s="0" t="n">
        <v>41.76</v>
      </c>
      <c r="I1030" s="0" t="n">
        <v>7.91</v>
      </c>
      <c r="J1030" s="0" t="n">
        <v>26.18</v>
      </c>
      <c r="K1030" s="0" t="n">
        <v>32</v>
      </c>
      <c r="T1030" s="0" t="n">
        <v>1</v>
      </c>
      <c r="U1030" s="0" t="n">
        <v>1</v>
      </c>
      <c r="V1030" s="0" t="inlineStr">
        <is>
          <t>복도식</t>
        </is>
      </c>
      <c r="W1030" s="0" t="inlineStr">
        <is>
          <t>41D</t>
        </is>
      </c>
      <c r="X1030" s="0" t="n">
        <v>9</v>
      </c>
      <c r="Y1030" s="0" t="n">
        <v>9</v>
      </c>
      <c r="Z1030" s="0" t="inlineStr">
        <is>
          <t>https://new.land.naver.com/complexes/113371?tab=detail&amp;rf=Y</t>
        </is>
      </c>
      <c r="AA1030" s="0" t="inlineStr">
        <is>
          <t>인천시 남동구 구월동 1142-2</t>
        </is>
      </c>
      <c r="AB1030" s="0" t="inlineStr">
        <is>
          <t>인천시</t>
        </is>
      </c>
      <c r="AC1030" s="0" t="inlineStr">
        <is>
          <t>남동구</t>
        </is>
      </c>
      <c r="AD1030" s="0" t="inlineStr">
        <is>
          <t>구월동</t>
        </is>
      </c>
      <c r="AG1030" s="0" t="inlineStr">
        <is>
          <t>인천시 남동구 미래로 30</t>
        </is>
      </c>
      <c r="AH1030" s="0" t="n">
        <v>0</v>
      </c>
      <c r="AI1030" s="0" t="n">
        <v>996</v>
      </c>
      <c r="AJ1030" s="0" t="n">
        <v>62</v>
      </c>
      <c r="AK1030" s="0" t="n">
        <v>102</v>
      </c>
      <c r="AL1030" s="0" t="n">
        <v>0.71</v>
      </c>
    </row>
    <row r="1031">
      <c r="A1031" s="0" t="inlineStr">
        <is>
          <t>[구월동]</t>
        </is>
      </c>
      <c r="B1031" s="0" t="n">
        <v>101507</v>
      </c>
      <c r="C1031" s="0" t="n">
        <v>1</v>
      </c>
      <c r="D1031" s="0" t="inlineStr">
        <is>
          <t>대우재엘에이치</t>
        </is>
      </c>
      <c r="E1031" s="0" t="inlineStr">
        <is>
          <t>2011.12.</t>
        </is>
      </c>
      <c r="F1031" s="0" t="n">
        <v>120</v>
      </c>
      <c r="G1031" s="0" t="n">
        <v>33.03</v>
      </c>
      <c r="H1031" s="0" t="n">
        <v>109.21</v>
      </c>
      <c r="I1031" s="0" t="n">
        <v>25.63</v>
      </c>
      <c r="J1031" s="0" t="n">
        <v>84.73999999999999</v>
      </c>
      <c r="K1031" s="0" t="n">
        <v>75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109A</t>
        </is>
      </c>
      <c r="X1031" s="0" t="n">
        <v>15</v>
      </c>
      <c r="Y1031" s="0" t="n">
        <v>15</v>
      </c>
      <c r="Z1031" s="0" t="inlineStr">
        <is>
          <t>https://new.land.naver.com/complexes/101507?tab=detail&amp;rf=Y</t>
        </is>
      </c>
      <c r="AA1031" s="0" t="inlineStr">
        <is>
          <t>인천시 남동구 구월동 1476</t>
        </is>
      </c>
      <c r="AB1031" s="0" t="inlineStr">
        <is>
          <t>인천시</t>
        </is>
      </c>
      <c r="AC1031" s="0" t="inlineStr">
        <is>
          <t>남동구</t>
        </is>
      </c>
      <c r="AD1031" s="0" t="inlineStr">
        <is>
          <t>구월동</t>
        </is>
      </c>
      <c r="AG1031" s="0" t="inlineStr">
        <is>
          <t>인천시 남동구 문화로 161</t>
        </is>
      </c>
      <c r="AH1031" s="0" t="n">
        <v>0</v>
      </c>
      <c r="AI1031" s="0" t="n">
        <v>168</v>
      </c>
      <c r="AJ1031" s="0" t="n">
        <v>17</v>
      </c>
      <c r="AK1031" s="0" t="n">
        <v>157</v>
      </c>
      <c r="AL1031" s="0" t="n">
        <v>1.31</v>
      </c>
    </row>
    <row r="1032">
      <c r="A1032" s="0" t="inlineStr">
        <is>
          <t>[구월동]</t>
        </is>
      </c>
      <c r="B1032" s="0" t="n">
        <v>101507</v>
      </c>
      <c r="C1032" s="0" t="n">
        <v>2</v>
      </c>
      <c r="D1032" s="0" t="inlineStr">
        <is>
          <t>대우재엘에이치</t>
        </is>
      </c>
      <c r="E1032" s="0" t="inlineStr">
        <is>
          <t>2011.12.</t>
        </is>
      </c>
      <c r="F1032" s="0" t="n">
        <v>120</v>
      </c>
      <c r="G1032" s="0" t="n">
        <v>33.02</v>
      </c>
      <c r="H1032" s="0" t="n">
        <v>109.16</v>
      </c>
      <c r="I1032" s="0" t="n">
        <v>25.62</v>
      </c>
      <c r="J1032" s="0" t="n">
        <v>84.7</v>
      </c>
      <c r="K1032" s="0" t="n">
        <v>30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109C</t>
        </is>
      </c>
      <c r="X1032" s="0" t="n">
        <v>15</v>
      </c>
      <c r="Y1032" s="0" t="n">
        <v>15</v>
      </c>
      <c r="Z1032" s="0" t="inlineStr">
        <is>
          <t>https://new.land.naver.com/complexes/101507?tab=detail&amp;rf=Y</t>
        </is>
      </c>
      <c r="AA1032" s="0" t="inlineStr">
        <is>
          <t>인천시 남동구 구월동 1476</t>
        </is>
      </c>
      <c r="AB1032" s="0" t="inlineStr">
        <is>
          <t>인천시</t>
        </is>
      </c>
      <c r="AC1032" s="0" t="inlineStr">
        <is>
          <t>남동구</t>
        </is>
      </c>
      <c r="AD1032" s="0" t="inlineStr">
        <is>
          <t>구월동</t>
        </is>
      </c>
      <c r="AG1032" s="0" t="inlineStr">
        <is>
          <t>인천시 남동구 문화로 161</t>
        </is>
      </c>
      <c r="AH1032" s="0" t="n">
        <v>0</v>
      </c>
      <c r="AI1032" s="0" t="n">
        <v>168</v>
      </c>
      <c r="AJ1032" s="0" t="n">
        <v>17</v>
      </c>
      <c r="AK1032" s="0" t="n">
        <v>157</v>
      </c>
      <c r="AL1032" s="0" t="n">
        <v>1.31</v>
      </c>
    </row>
    <row r="1033">
      <c r="A1033" s="0" t="inlineStr">
        <is>
          <t>[구월동]</t>
        </is>
      </c>
      <c r="B1033" s="0" t="n">
        <v>101507</v>
      </c>
      <c r="C1033" s="0" t="n">
        <v>3</v>
      </c>
      <c r="D1033" s="0" t="inlineStr">
        <is>
          <t>대우재엘에이치</t>
        </is>
      </c>
      <c r="E1033" s="0" t="inlineStr">
        <is>
          <t>2011.12.</t>
        </is>
      </c>
      <c r="F1033" s="0" t="n">
        <v>120</v>
      </c>
      <c r="G1033" s="0" t="n">
        <v>33.1</v>
      </c>
      <c r="H1033" s="0" t="n">
        <v>109.44</v>
      </c>
      <c r="I1033" s="0" t="n">
        <v>25.68</v>
      </c>
      <c r="J1033" s="0" t="n">
        <v>84.92</v>
      </c>
      <c r="K1033" s="0" t="n">
        <v>15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109B</t>
        </is>
      </c>
      <c r="X1033" s="0" t="n">
        <v>15</v>
      </c>
      <c r="Y1033" s="0" t="n">
        <v>15</v>
      </c>
      <c r="Z1033" s="0" t="inlineStr">
        <is>
          <t>https://new.land.naver.com/complexes/101507?tab=detail&amp;rf=Y</t>
        </is>
      </c>
      <c r="AA1033" s="0" t="inlineStr">
        <is>
          <t>인천시 남동구 구월동 1476</t>
        </is>
      </c>
      <c r="AB1033" s="0" t="inlineStr">
        <is>
          <t>인천시</t>
        </is>
      </c>
      <c r="AC1033" s="0" t="inlineStr">
        <is>
          <t>남동구</t>
        </is>
      </c>
      <c r="AD1033" s="0" t="inlineStr">
        <is>
          <t>구월동</t>
        </is>
      </c>
      <c r="AG1033" s="0" t="inlineStr">
        <is>
          <t>인천시 남동구 문화로 161</t>
        </is>
      </c>
      <c r="AH1033" s="0" t="n">
        <v>0</v>
      </c>
      <c r="AI1033" s="0" t="n">
        <v>168</v>
      </c>
      <c r="AJ1033" s="0" t="n">
        <v>17</v>
      </c>
      <c r="AK1033" s="0" t="n">
        <v>157</v>
      </c>
      <c r="AL1033" s="0" t="n">
        <v>1.31</v>
      </c>
    </row>
    <row r="1034">
      <c r="A1034" s="0" t="inlineStr">
        <is>
          <t>[구월동]</t>
        </is>
      </c>
      <c r="B1034" s="0" t="n">
        <v>10964</v>
      </c>
      <c r="C1034" s="0" t="n">
        <v>1</v>
      </c>
      <c r="D1034" s="0" t="inlineStr">
        <is>
          <t>드림랜드</t>
        </is>
      </c>
      <c r="E1034" s="0" t="inlineStr">
        <is>
          <t>1995.03.</t>
        </is>
      </c>
      <c r="F1034" s="0" t="n">
        <v>32</v>
      </c>
      <c r="G1034" s="0" t="n">
        <v>24.06</v>
      </c>
      <c r="H1034" s="0" t="n">
        <v>79.55</v>
      </c>
      <c r="I1034" s="0" t="n">
        <v>18.7</v>
      </c>
      <c r="J1034" s="0" t="n">
        <v>61.83</v>
      </c>
      <c r="K1034" s="0" t="n">
        <v>9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79</v>
      </c>
      <c r="X1034" s="0" t="n">
        <v>10</v>
      </c>
      <c r="Y1034" s="0" t="n">
        <v>10</v>
      </c>
      <c r="Z1034" s="0" t="inlineStr">
        <is>
          <t>https://new.land.naver.com/complexes/10964?tab=detail&amp;rf=Y</t>
        </is>
      </c>
      <c r="AA1034" s="0" t="inlineStr">
        <is>
          <t>인천시 남동구 구월동 1316-8</t>
        </is>
      </c>
      <c r="AB1034" s="0" t="inlineStr">
        <is>
          <t>인천시</t>
        </is>
      </c>
      <c r="AC1034" s="0" t="inlineStr">
        <is>
          <t>남동구</t>
        </is>
      </c>
      <c r="AD1034" s="0" t="inlineStr">
        <is>
          <t>구월동</t>
        </is>
      </c>
      <c r="AG1034" s="0" t="inlineStr">
        <is>
          <t>인천시 남동구 복개서로35번길 27-17</t>
        </is>
      </c>
      <c r="AH1034" s="0" t="n">
        <v>0</v>
      </c>
      <c r="AI1034" s="0" t="n">
        <v>292</v>
      </c>
      <c r="AJ1034" s="0" t="n">
        <v>51</v>
      </c>
      <c r="AK1034" s="0" t="n">
        <v>57</v>
      </c>
      <c r="AL1034" s="0" t="n">
        <v>1.78</v>
      </c>
    </row>
    <row r="1035">
      <c r="A1035" s="0" t="inlineStr">
        <is>
          <t>[구월동]</t>
        </is>
      </c>
      <c r="B1035" s="0" t="n">
        <v>10964</v>
      </c>
      <c r="C1035" s="0" t="n">
        <v>2</v>
      </c>
      <c r="D1035" s="0" t="inlineStr">
        <is>
          <t>드림랜드</t>
        </is>
      </c>
      <c r="E1035" s="0" t="inlineStr">
        <is>
          <t>1995.03.</t>
        </is>
      </c>
      <c r="F1035" s="0" t="n">
        <v>32</v>
      </c>
      <c r="G1035" s="0" t="n">
        <v>32.01</v>
      </c>
      <c r="H1035" s="0" t="n">
        <v>105.82</v>
      </c>
      <c r="I1035" s="0" t="n">
        <v>24.88</v>
      </c>
      <c r="J1035" s="0" t="n">
        <v>82.25</v>
      </c>
      <c r="K1035" s="0" t="n">
        <v>23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105</v>
      </c>
      <c r="X1035" s="0" t="n">
        <v>10</v>
      </c>
      <c r="Y1035" s="0" t="n">
        <v>10</v>
      </c>
      <c r="Z1035" s="0" t="inlineStr">
        <is>
          <t>https://new.land.naver.com/complexes/10964?tab=detail&amp;rf=Y</t>
        </is>
      </c>
      <c r="AA1035" s="0" t="inlineStr">
        <is>
          <t>인천시 남동구 구월동 1316-8</t>
        </is>
      </c>
      <c r="AB1035" s="0" t="inlineStr">
        <is>
          <t>인천시</t>
        </is>
      </c>
      <c r="AC1035" s="0" t="inlineStr">
        <is>
          <t>남동구</t>
        </is>
      </c>
      <c r="AD1035" s="0" t="inlineStr">
        <is>
          <t>구월동</t>
        </is>
      </c>
      <c r="AG1035" s="0" t="inlineStr">
        <is>
          <t>인천시 남동구 복개서로35번길 27-17</t>
        </is>
      </c>
      <c r="AH1035" s="0" t="n">
        <v>0</v>
      </c>
      <c r="AI1035" s="0" t="n">
        <v>292</v>
      </c>
      <c r="AJ1035" s="0" t="n">
        <v>51</v>
      </c>
      <c r="AK1035" s="0" t="n">
        <v>57</v>
      </c>
      <c r="AL1035" s="0" t="n">
        <v>1.78</v>
      </c>
    </row>
    <row r="1036">
      <c r="A1036" s="0" t="inlineStr">
        <is>
          <t>[구월동]</t>
        </is>
      </c>
      <c r="B1036" s="0" t="n">
        <v>110100</v>
      </c>
      <c r="C1036" s="0" t="n">
        <v>1</v>
      </c>
      <c r="D1036" s="0" t="inlineStr">
        <is>
          <t>중앙(201-34)</t>
        </is>
      </c>
      <c r="E1036" s="0" t="inlineStr">
        <is>
          <t>2003.05.</t>
        </is>
      </c>
      <c r="F1036" s="0" t="n">
        <v>19</v>
      </c>
      <c r="G1036" s="0" t="n">
        <v>27.86</v>
      </c>
      <c r="H1036" s="0" t="n">
        <v>92.12</v>
      </c>
      <c r="I1036" s="0" t="n">
        <v>25.62</v>
      </c>
      <c r="J1036" s="0" t="n">
        <v>84.70999999999999</v>
      </c>
      <c r="K1036" s="0" t="n">
        <v>8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92A</t>
        </is>
      </c>
      <c r="X1036" s="0" t="n">
        <v>7</v>
      </c>
      <c r="Y1036" s="0" t="n">
        <v>5</v>
      </c>
      <c r="Z1036" s="0" t="inlineStr">
        <is>
          <t>https://new.land.naver.com/complexes/110100?tab=detail&amp;rf=Y</t>
        </is>
      </c>
      <c r="AA1036" s="0" t="inlineStr">
        <is>
          <t>인천시 남동구 구월동 201-34</t>
        </is>
      </c>
      <c r="AB1036" s="0" t="inlineStr">
        <is>
          <t>인천시</t>
        </is>
      </c>
      <c r="AC1036" s="0" t="inlineStr">
        <is>
          <t>남동구</t>
        </is>
      </c>
      <c r="AD1036" s="0" t="inlineStr">
        <is>
          <t>구월동</t>
        </is>
      </c>
      <c r="AG1036" s="0" t="inlineStr">
        <is>
          <t>인천시 남동구 인주대로626번길 7</t>
        </is>
      </c>
      <c r="AH1036" s="0" t="n">
        <v>0</v>
      </c>
      <c r="AI1036" s="0" t="n">
        <v>293</v>
      </c>
      <c r="AJ1036" s="0" t="n">
        <v>55</v>
      </c>
      <c r="AK1036" s="0" t="n">
        <v>22</v>
      </c>
      <c r="AL1036" s="0" t="n">
        <v>1.16</v>
      </c>
    </row>
    <row r="1037">
      <c r="A1037" s="0" t="inlineStr">
        <is>
          <t>[구월동]</t>
        </is>
      </c>
      <c r="B1037" s="0" t="n">
        <v>110100</v>
      </c>
      <c r="C1037" s="0" t="n">
        <v>2</v>
      </c>
      <c r="D1037" s="0" t="inlineStr">
        <is>
          <t>중앙(201-34)</t>
        </is>
      </c>
      <c r="E1037" s="0" t="inlineStr">
        <is>
          <t>2003.05.</t>
        </is>
      </c>
      <c r="F1037" s="0" t="n">
        <v>19</v>
      </c>
      <c r="G1037" s="0" t="n">
        <v>27.88</v>
      </c>
      <c r="H1037" s="0" t="n">
        <v>92.18000000000001</v>
      </c>
      <c r="I1037" s="0" t="n">
        <v>25.64</v>
      </c>
      <c r="J1037" s="0" t="n">
        <v>84.77</v>
      </c>
      <c r="K1037" s="0" t="n">
        <v>8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92B</t>
        </is>
      </c>
      <c r="X1037" s="0" t="n">
        <v>7</v>
      </c>
      <c r="Y1037" s="0" t="n">
        <v>5</v>
      </c>
      <c r="Z1037" s="0" t="inlineStr">
        <is>
          <t>https://new.land.naver.com/complexes/110100?tab=detail&amp;rf=Y</t>
        </is>
      </c>
      <c r="AA1037" s="0" t="inlineStr">
        <is>
          <t>인천시 남동구 구월동 201-34</t>
        </is>
      </c>
      <c r="AB1037" s="0" t="inlineStr">
        <is>
          <t>인천시</t>
        </is>
      </c>
      <c r="AC1037" s="0" t="inlineStr">
        <is>
          <t>남동구</t>
        </is>
      </c>
      <c r="AD1037" s="0" t="inlineStr">
        <is>
          <t>구월동</t>
        </is>
      </c>
      <c r="AG1037" s="0" t="inlineStr">
        <is>
          <t>인천시 남동구 인주대로626번길 7</t>
        </is>
      </c>
      <c r="AH1037" s="0" t="n">
        <v>0</v>
      </c>
      <c r="AI1037" s="0" t="n">
        <v>293</v>
      </c>
      <c r="AJ1037" s="0" t="n">
        <v>55</v>
      </c>
      <c r="AK1037" s="0" t="n">
        <v>22</v>
      </c>
      <c r="AL1037" s="0" t="n">
        <v>1.16</v>
      </c>
    </row>
    <row r="1038">
      <c r="A1038" s="0" t="inlineStr">
        <is>
          <t>[구월동]</t>
        </is>
      </c>
      <c r="B1038" s="0" t="n">
        <v>110100</v>
      </c>
      <c r="C1038" s="0" t="n">
        <v>3</v>
      </c>
      <c r="D1038" s="0" t="inlineStr">
        <is>
          <t>중앙(201-34)</t>
        </is>
      </c>
      <c r="E1038" s="0" t="inlineStr">
        <is>
          <t>2003.05.</t>
        </is>
      </c>
      <c r="F1038" s="0" t="n">
        <v>19</v>
      </c>
      <c r="G1038" s="0" t="n">
        <v>39.2</v>
      </c>
      <c r="H1038" s="0" t="n">
        <v>129.61</v>
      </c>
      <c r="I1038" s="0" t="n">
        <v>35.97</v>
      </c>
      <c r="J1038" s="0" t="n">
        <v>118.92</v>
      </c>
      <c r="K1038" s="0" t="n">
        <v>1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129</v>
      </c>
      <c r="X1038" s="0" t="n">
        <v>7</v>
      </c>
      <c r="Y1038" s="0" t="n">
        <v>5</v>
      </c>
      <c r="Z1038" s="0" t="inlineStr">
        <is>
          <t>https://new.land.naver.com/complexes/110100?tab=detail&amp;rf=Y</t>
        </is>
      </c>
      <c r="AA1038" s="0" t="inlineStr">
        <is>
          <t>인천시 남동구 구월동 201-34</t>
        </is>
      </c>
      <c r="AB1038" s="0" t="inlineStr">
        <is>
          <t>인천시</t>
        </is>
      </c>
      <c r="AC1038" s="0" t="inlineStr">
        <is>
          <t>남동구</t>
        </is>
      </c>
      <c r="AD1038" s="0" t="inlineStr">
        <is>
          <t>구월동</t>
        </is>
      </c>
      <c r="AG1038" s="0" t="inlineStr">
        <is>
          <t>인천시 남동구 인주대로626번길 7</t>
        </is>
      </c>
      <c r="AH1038" s="0" t="n">
        <v>0</v>
      </c>
      <c r="AI1038" s="0" t="n">
        <v>293</v>
      </c>
      <c r="AJ1038" s="0" t="n">
        <v>55</v>
      </c>
      <c r="AK1038" s="0" t="n">
        <v>22</v>
      </c>
      <c r="AL1038" s="0" t="n">
        <v>1.16</v>
      </c>
    </row>
    <row r="1039">
      <c r="A1039" s="0" t="inlineStr">
        <is>
          <t>[구월동]</t>
        </is>
      </c>
      <c r="B1039" s="0" t="n">
        <v>110100</v>
      </c>
      <c r="C1039" s="0" t="n">
        <v>4</v>
      </c>
      <c r="D1039" s="0" t="inlineStr">
        <is>
          <t>중앙(201-34)</t>
        </is>
      </c>
      <c r="E1039" s="0" t="inlineStr">
        <is>
          <t>2003.05.</t>
        </is>
      </c>
      <c r="F1039" s="0" t="n">
        <v>19</v>
      </c>
      <c r="G1039" s="0" t="n">
        <v>45.32</v>
      </c>
      <c r="H1039" s="0" t="n">
        <v>149.85</v>
      </c>
      <c r="I1039" s="0" t="n">
        <v>41.72</v>
      </c>
      <c r="J1039" s="0" t="n">
        <v>137.93</v>
      </c>
      <c r="K1039" s="0" t="n">
        <v>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149</v>
      </c>
      <c r="X1039" s="0" t="n">
        <v>7</v>
      </c>
      <c r="Y1039" s="0" t="n">
        <v>5</v>
      </c>
      <c r="Z1039" s="0" t="inlineStr">
        <is>
          <t>https://new.land.naver.com/complexes/110100?tab=detail&amp;rf=Y</t>
        </is>
      </c>
      <c r="AA1039" s="0" t="inlineStr">
        <is>
          <t>인천시 남동구 구월동 201-34</t>
        </is>
      </c>
      <c r="AB1039" s="0" t="inlineStr">
        <is>
          <t>인천시</t>
        </is>
      </c>
      <c r="AC1039" s="0" t="inlineStr">
        <is>
          <t>남동구</t>
        </is>
      </c>
      <c r="AD1039" s="0" t="inlineStr">
        <is>
          <t>구월동</t>
        </is>
      </c>
      <c r="AG1039" s="0" t="inlineStr">
        <is>
          <t>인천시 남동구 인주대로626번길 7</t>
        </is>
      </c>
      <c r="AH1039" s="0" t="n">
        <v>0</v>
      </c>
      <c r="AI1039" s="0" t="n">
        <v>293</v>
      </c>
      <c r="AJ1039" s="0" t="n">
        <v>55</v>
      </c>
      <c r="AK1039" s="0" t="n">
        <v>22</v>
      </c>
      <c r="AL1039" s="0" t="n">
        <v>1.16</v>
      </c>
    </row>
    <row r="1040">
      <c r="A1040" s="0" t="inlineStr">
        <is>
          <t>[구월동]</t>
        </is>
      </c>
      <c r="B1040" s="0" t="n">
        <v>112076</v>
      </c>
      <c r="C1040" s="0" t="n">
        <v>1</v>
      </c>
      <c r="D1040" s="0" t="inlineStr">
        <is>
          <t>두플라스(도시형)</t>
        </is>
      </c>
      <c r="E1040" s="0" t="inlineStr">
        <is>
          <t>2016.06.</t>
        </is>
      </c>
      <c r="F1040" s="0" t="n">
        <v>168</v>
      </c>
      <c r="G1040" s="0" t="n">
        <v>7.12</v>
      </c>
      <c r="H1040" s="0" t="n">
        <v>23.57</v>
      </c>
      <c r="I1040" s="0" t="n">
        <v>4.96</v>
      </c>
      <c r="J1040" s="0" t="n">
        <v>16.42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23A3</t>
        </is>
      </c>
      <c r="X1040" s="0" t="n">
        <v>12</v>
      </c>
      <c r="Y1040" s="0" t="n">
        <v>5</v>
      </c>
      <c r="Z1040" s="0" t="inlineStr">
        <is>
          <t>https://new.land.naver.com/complexes/112076?tab=detail&amp;rf=Y</t>
        </is>
      </c>
      <c r="AA1040" s="0" t="inlineStr">
        <is>
          <t>인천시 남동구 구월동 1530</t>
        </is>
      </c>
      <c r="AB1040" s="0" t="inlineStr">
        <is>
          <t>인천시</t>
        </is>
      </c>
      <c r="AC1040" s="0" t="inlineStr">
        <is>
          <t>남동구</t>
        </is>
      </c>
      <c r="AD1040" s="0" t="inlineStr">
        <is>
          <t>구월동</t>
        </is>
      </c>
      <c r="AG1040" s="0" t="inlineStr">
        <is>
          <t>인천시 남동구 선수촌공원로 26</t>
        </is>
      </c>
      <c r="AH1040" s="0" t="n">
        <v>0</v>
      </c>
      <c r="AI1040" s="0" t="n">
        <v>499</v>
      </c>
      <c r="AJ1040" s="0" t="n">
        <v>60</v>
      </c>
      <c r="AK1040" s="0" t="n">
        <v>97</v>
      </c>
      <c r="AL1040" s="0" t="n">
        <v>0.58</v>
      </c>
    </row>
    <row r="1041">
      <c r="A1041" s="0" t="inlineStr">
        <is>
          <t>[구월동]</t>
        </is>
      </c>
      <c r="B1041" s="0" t="n">
        <v>112076</v>
      </c>
      <c r="C1041" s="0" t="n">
        <v>2</v>
      </c>
      <c r="D1041" s="0" t="inlineStr">
        <is>
          <t>두플라스(도시형)</t>
        </is>
      </c>
      <c r="E1041" s="0" t="inlineStr">
        <is>
          <t>2016.06.</t>
        </is>
      </c>
      <c r="F1041" s="0" t="n">
        <v>168</v>
      </c>
      <c r="G1041" s="0" t="n">
        <v>8.09</v>
      </c>
      <c r="H1041" s="0" t="n">
        <v>26.76</v>
      </c>
      <c r="I1041" s="0" t="n">
        <v>5.65</v>
      </c>
      <c r="J1041" s="0" t="n">
        <v>18.71</v>
      </c>
      <c r="K1041" s="0" t="n">
        <v>2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26A2</t>
        </is>
      </c>
      <c r="X1041" s="0" t="n">
        <v>12</v>
      </c>
      <c r="Y1041" s="0" t="n">
        <v>5</v>
      </c>
      <c r="Z1041" s="0" t="inlineStr">
        <is>
          <t>https://new.land.naver.com/complexes/112076?tab=detail&amp;rf=Y</t>
        </is>
      </c>
      <c r="AA1041" s="0" t="inlineStr">
        <is>
          <t>인천시 남동구 구월동 1530</t>
        </is>
      </c>
      <c r="AB1041" s="0" t="inlineStr">
        <is>
          <t>인천시</t>
        </is>
      </c>
      <c r="AC1041" s="0" t="inlineStr">
        <is>
          <t>남동구</t>
        </is>
      </c>
      <c r="AD1041" s="0" t="inlineStr">
        <is>
          <t>구월동</t>
        </is>
      </c>
      <c r="AG1041" s="0" t="inlineStr">
        <is>
          <t>인천시 남동구 선수촌공원로 26</t>
        </is>
      </c>
      <c r="AH1041" s="0" t="n">
        <v>0</v>
      </c>
      <c r="AI1041" s="0" t="n">
        <v>499</v>
      </c>
      <c r="AJ1041" s="0" t="n">
        <v>60</v>
      </c>
      <c r="AK1041" s="0" t="n">
        <v>97</v>
      </c>
      <c r="AL1041" s="0" t="n">
        <v>0.58</v>
      </c>
    </row>
    <row r="1042">
      <c r="A1042" s="0" t="inlineStr">
        <is>
          <t>[구월동]</t>
        </is>
      </c>
      <c r="B1042" s="0" t="n">
        <v>112076</v>
      </c>
      <c r="C1042" s="0" t="n">
        <v>3</v>
      </c>
      <c r="D1042" s="0" t="inlineStr">
        <is>
          <t>두플라스(도시형)</t>
        </is>
      </c>
      <c r="E1042" s="0" t="inlineStr">
        <is>
          <t>2016.06.</t>
        </is>
      </c>
      <c r="F1042" s="0" t="n">
        <v>168</v>
      </c>
      <c r="G1042" s="0" t="n">
        <v>8.43</v>
      </c>
      <c r="H1042" s="0" t="n">
        <v>27.88</v>
      </c>
      <c r="I1042" s="0" t="n">
        <v>5.99</v>
      </c>
      <c r="J1042" s="0" t="n">
        <v>19.81</v>
      </c>
      <c r="K1042" s="0" t="n">
        <v>15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27A1a</t>
        </is>
      </c>
      <c r="X1042" s="0" t="n">
        <v>12</v>
      </c>
      <c r="Y1042" s="0" t="n">
        <v>5</v>
      </c>
      <c r="Z1042" s="0" t="inlineStr">
        <is>
          <t>https://new.land.naver.com/complexes/112076?tab=detail&amp;rf=Y</t>
        </is>
      </c>
      <c r="AA1042" s="0" t="inlineStr">
        <is>
          <t>인천시 남동구 구월동 1530</t>
        </is>
      </c>
      <c r="AB1042" s="0" t="inlineStr">
        <is>
          <t>인천시</t>
        </is>
      </c>
      <c r="AC1042" s="0" t="inlineStr">
        <is>
          <t>남동구</t>
        </is>
      </c>
      <c r="AD1042" s="0" t="inlineStr">
        <is>
          <t>구월동</t>
        </is>
      </c>
      <c r="AG1042" s="0" t="inlineStr">
        <is>
          <t>인천시 남동구 선수촌공원로 26</t>
        </is>
      </c>
      <c r="AH1042" s="0" t="n">
        <v>0</v>
      </c>
      <c r="AI1042" s="0" t="n">
        <v>499</v>
      </c>
      <c r="AJ1042" s="0" t="n">
        <v>60</v>
      </c>
      <c r="AK1042" s="0" t="n">
        <v>97</v>
      </c>
      <c r="AL1042" s="0" t="n">
        <v>0.58</v>
      </c>
    </row>
    <row r="1043">
      <c r="A1043" s="0" t="inlineStr">
        <is>
          <t>[구월동]</t>
        </is>
      </c>
      <c r="B1043" s="0" t="n">
        <v>112076</v>
      </c>
      <c r="C1043" s="0" t="n">
        <v>4</v>
      </c>
      <c r="D1043" s="0" t="inlineStr">
        <is>
          <t>두플라스(도시형)</t>
        </is>
      </c>
      <c r="E1043" s="0" t="inlineStr">
        <is>
          <t>2016.06.</t>
        </is>
      </c>
      <c r="F1043" s="0" t="n">
        <v>168</v>
      </c>
      <c r="G1043" s="0" t="n">
        <v>8.31</v>
      </c>
      <c r="H1043" s="0" t="n">
        <v>27.49</v>
      </c>
      <c r="I1043" s="0" t="n">
        <v>5.82</v>
      </c>
      <c r="J1043" s="0" t="n">
        <v>19.24</v>
      </c>
      <c r="K1043" s="0" t="n">
        <v>2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27A1c</t>
        </is>
      </c>
      <c r="X1043" s="0" t="n">
        <v>12</v>
      </c>
      <c r="Y1043" s="0" t="n">
        <v>5</v>
      </c>
      <c r="Z1043" s="0" t="inlineStr">
        <is>
          <t>https://new.land.naver.com/complexes/112076?tab=detail&amp;rf=Y</t>
        </is>
      </c>
      <c r="AA1043" s="0" t="inlineStr">
        <is>
          <t>인천시 남동구 구월동 1530</t>
        </is>
      </c>
      <c r="AB1043" s="0" t="inlineStr">
        <is>
          <t>인천시</t>
        </is>
      </c>
      <c r="AC1043" s="0" t="inlineStr">
        <is>
          <t>남동구</t>
        </is>
      </c>
      <c r="AD1043" s="0" t="inlineStr">
        <is>
          <t>구월동</t>
        </is>
      </c>
      <c r="AG1043" s="0" t="inlineStr">
        <is>
          <t>인천시 남동구 선수촌공원로 26</t>
        </is>
      </c>
      <c r="AH1043" s="0" t="n">
        <v>0</v>
      </c>
      <c r="AI1043" s="0" t="n">
        <v>499</v>
      </c>
      <c r="AJ1043" s="0" t="n">
        <v>60</v>
      </c>
      <c r="AK1043" s="0" t="n">
        <v>97</v>
      </c>
      <c r="AL1043" s="0" t="n">
        <v>0.58</v>
      </c>
    </row>
    <row r="1044">
      <c r="A1044" s="0" t="inlineStr">
        <is>
          <t>[구월동]</t>
        </is>
      </c>
      <c r="B1044" s="0" t="n">
        <v>112076</v>
      </c>
      <c r="C1044" s="0" t="n">
        <v>5</v>
      </c>
      <c r="D1044" s="0" t="inlineStr">
        <is>
          <t>두플라스(도시형)</t>
        </is>
      </c>
      <c r="E1044" s="0" t="inlineStr">
        <is>
          <t>2016.06.</t>
        </is>
      </c>
      <c r="F1044" s="0" t="n">
        <v>168</v>
      </c>
      <c r="G1044" s="0" t="n">
        <v>8.99</v>
      </c>
      <c r="H1044" s="0" t="n">
        <v>29.72</v>
      </c>
      <c r="I1044" s="0" t="n">
        <v>6.4</v>
      </c>
      <c r="J1044" s="0" t="n">
        <v>21.17</v>
      </c>
      <c r="K1044" s="0" t="n">
        <v>16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29A1</t>
        </is>
      </c>
      <c r="X1044" s="0" t="n">
        <v>12</v>
      </c>
      <c r="Y1044" s="0" t="n">
        <v>5</v>
      </c>
      <c r="Z1044" s="0" t="inlineStr">
        <is>
          <t>https://new.land.naver.com/complexes/112076?tab=detail&amp;rf=Y</t>
        </is>
      </c>
      <c r="AA1044" s="0" t="inlineStr">
        <is>
          <t>인천시 남동구 구월동 1530</t>
        </is>
      </c>
      <c r="AB1044" s="0" t="inlineStr">
        <is>
          <t>인천시</t>
        </is>
      </c>
      <c r="AC1044" s="0" t="inlineStr">
        <is>
          <t>남동구</t>
        </is>
      </c>
      <c r="AD1044" s="0" t="inlineStr">
        <is>
          <t>구월동</t>
        </is>
      </c>
      <c r="AG1044" s="0" t="inlineStr">
        <is>
          <t>인천시 남동구 선수촌공원로 26</t>
        </is>
      </c>
      <c r="AH1044" s="0" t="n">
        <v>0</v>
      </c>
      <c r="AI1044" s="0" t="n">
        <v>499</v>
      </c>
      <c r="AJ1044" s="0" t="n">
        <v>60</v>
      </c>
      <c r="AK1044" s="0" t="n">
        <v>97</v>
      </c>
      <c r="AL1044" s="0" t="n">
        <v>0.58</v>
      </c>
    </row>
    <row r="1045">
      <c r="A1045" s="0" t="inlineStr">
        <is>
          <t>[구월동]</t>
        </is>
      </c>
      <c r="B1045" s="0" t="n">
        <v>112076</v>
      </c>
      <c r="C1045" s="0" t="n">
        <v>6</v>
      </c>
      <c r="D1045" s="0" t="inlineStr">
        <is>
          <t>두플라스(도시형)</t>
        </is>
      </c>
      <c r="E1045" s="0" t="inlineStr">
        <is>
          <t>2016.06.</t>
        </is>
      </c>
      <c r="F1045" s="0" t="n">
        <v>168</v>
      </c>
      <c r="G1045" s="0" t="n">
        <v>8.869999999999999</v>
      </c>
      <c r="H1045" s="0" t="n">
        <v>29.34</v>
      </c>
      <c r="I1045" s="0" t="n">
        <v>6.19</v>
      </c>
      <c r="J1045" s="0" t="n">
        <v>20.47</v>
      </c>
      <c r="K1045" s="0" t="n">
        <v>5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29A5</t>
        </is>
      </c>
      <c r="X1045" s="0" t="n">
        <v>12</v>
      </c>
      <c r="Y1045" s="0" t="n">
        <v>5</v>
      </c>
      <c r="Z1045" s="0" t="inlineStr">
        <is>
          <t>https://new.land.naver.com/complexes/112076?tab=detail&amp;rf=Y</t>
        </is>
      </c>
      <c r="AA1045" s="0" t="inlineStr">
        <is>
          <t>인천시 남동구 구월동 1530</t>
        </is>
      </c>
      <c r="AB1045" s="0" t="inlineStr">
        <is>
          <t>인천시</t>
        </is>
      </c>
      <c r="AC1045" s="0" t="inlineStr">
        <is>
          <t>남동구</t>
        </is>
      </c>
      <c r="AD1045" s="0" t="inlineStr">
        <is>
          <t>구월동</t>
        </is>
      </c>
      <c r="AG1045" s="0" t="inlineStr">
        <is>
          <t>인천시 남동구 선수촌공원로 26</t>
        </is>
      </c>
      <c r="AH1045" s="0" t="n">
        <v>0</v>
      </c>
      <c r="AI1045" s="0" t="n">
        <v>499</v>
      </c>
      <c r="AJ1045" s="0" t="n">
        <v>60</v>
      </c>
      <c r="AK1045" s="0" t="n">
        <v>97</v>
      </c>
      <c r="AL1045" s="0" t="n">
        <v>0.58</v>
      </c>
    </row>
    <row r="1046">
      <c r="A1046" s="0" t="inlineStr">
        <is>
          <t>[구월동]</t>
        </is>
      </c>
      <c r="B1046" s="0" t="n">
        <v>112076</v>
      </c>
      <c r="C1046" s="0" t="n">
        <v>7</v>
      </c>
      <c r="D1046" s="0" t="inlineStr">
        <is>
          <t>두플라스(도시형)</t>
        </is>
      </c>
      <c r="E1046" s="0" t="inlineStr">
        <is>
          <t>2016.06.</t>
        </is>
      </c>
      <c r="F1046" s="0" t="n">
        <v>168</v>
      </c>
      <c r="G1046" s="0" t="n">
        <v>8.890000000000001</v>
      </c>
      <c r="H1046" s="0" t="n">
        <v>29.4</v>
      </c>
      <c r="I1046" s="0" t="n">
        <v>6.25</v>
      </c>
      <c r="J1046" s="0" t="n">
        <v>20.68</v>
      </c>
      <c r="K1046" s="0" t="n">
        <v>4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29A1e</t>
        </is>
      </c>
      <c r="X1046" s="0" t="n">
        <v>12</v>
      </c>
      <c r="Y1046" s="0" t="n">
        <v>5</v>
      </c>
      <c r="Z1046" s="0" t="inlineStr">
        <is>
          <t>https://new.land.naver.com/complexes/112076?tab=detail&amp;rf=Y</t>
        </is>
      </c>
      <c r="AA1046" s="0" t="inlineStr">
        <is>
          <t>인천시 남동구 구월동 1530</t>
        </is>
      </c>
      <c r="AB1046" s="0" t="inlineStr">
        <is>
          <t>인천시</t>
        </is>
      </c>
      <c r="AC1046" s="0" t="inlineStr">
        <is>
          <t>남동구</t>
        </is>
      </c>
      <c r="AD1046" s="0" t="inlineStr">
        <is>
          <t>구월동</t>
        </is>
      </c>
      <c r="AG1046" s="0" t="inlineStr">
        <is>
          <t>인천시 남동구 선수촌공원로 26</t>
        </is>
      </c>
      <c r="AH1046" s="0" t="n">
        <v>0</v>
      </c>
      <c r="AI1046" s="0" t="n">
        <v>499</v>
      </c>
      <c r="AJ1046" s="0" t="n">
        <v>60</v>
      </c>
      <c r="AK1046" s="0" t="n">
        <v>97</v>
      </c>
      <c r="AL1046" s="0" t="n">
        <v>0.58</v>
      </c>
    </row>
    <row r="1047">
      <c r="A1047" s="0" t="inlineStr">
        <is>
          <t>[구월동]</t>
        </is>
      </c>
      <c r="B1047" s="0" t="n">
        <v>112076</v>
      </c>
      <c r="C1047" s="0" t="n">
        <v>8</v>
      </c>
      <c r="D1047" s="0" t="inlineStr">
        <is>
          <t>두플라스(도시형)</t>
        </is>
      </c>
      <c r="E1047" s="0" t="inlineStr">
        <is>
          <t>2016.06.</t>
        </is>
      </c>
      <c r="F1047" s="0" t="n">
        <v>168</v>
      </c>
      <c r="G1047" s="0" t="n">
        <v>8.859999999999999</v>
      </c>
      <c r="H1047" s="0" t="n">
        <v>29.31</v>
      </c>
      <c r="I1047" s="0" t="n">
        <v>6.22</v>
      </c>
      <c r="J1047" s="0" t="n">
        <v>20.57</v>
      </c>
      <c r="K1047" s="0" t="n">
        <v>2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29A1d</t>
        </is>
      </c>
      <c r="X1047" s="0" t="n">
        <v>12</v>
      </c>
      <c r="Y1047" s="0" t="n">
        <v>5</v>
      </c>
      <c r="Z1047" s="0" t="inlineStr">
        <is>
          <t>https://new.land.naver.com/complexes/112076?tab=detail&amp;rf=Y</t>
        </is>
      </c>
      <c r="AA1047" s="0" t="inlineStr">
        <is>
          <t>인천시 남동구 구월동 1530</t>
        </is>
      </c>
      <c r="AB1047" s="0" t="inlineStr">
        <is>
          <t>인천시</t>
        </is>
      </c>
      <c r="AC1047" s="0" t="inlineStr">
        <is>
          <t>남동구</t>
        </is>
      </c>
      <c r="AD1047" s="0" t="inlineStr">
        <is>
          <t>구월동</t>
        </is>
      </c>
      <c r="AG1047" s="0" t="inlineStr">
        <is>
          <t>인천시 남동구 선수촌공원로 26</t>
        </is>
      </c>
      <c r="AH1047" s="0" t="n">
        <v>0</v>
      </c>
      <c r="AI1047" s="0" t="n">
        <v>499</v>
      </c>
      <c r="AJ1047" s="0" t="n">
        <v>60</v>
      </c>
      <c r="AK1047" s="0" t="n">
        <v>97</v>
      </c>
      <c r="AL1047" s="0" t="n">
        <v>0.58</v>
      </c>
    </row>
    <row r="1048">
      <c r="A1048" s="0" t="inlineStr">
        <is>
          <t>[구월동]</t>
        </is>
      </c>
      <c r="B1048" s="0" t="n">
        <v>112076</v>
      </c>
      <c r="C1048" s="0" t="n">
        <v>9</v>
      </c>
      <c r="D1048" s="0" t="inlineStr">
        <is>
          <t>두플라스(도시형)</t>
        </is>
      </c>
      <c r="E1048" s="0" t="inlineStr">
        <is>
          <t>2016.06.</t>
        </is>
      </c>
      <c r="F1048" s="0" t="n">
        <v>168</v>
      </c>
      <c r="G1048" s="0" t="n">
        <v>9.82</v>
      </c>
      <c r="H1048" s="0" t="n">
        <v>32.49</v>
      </c>
      <c r="I1048" s="0" t="n">
        <v>7.02</v>
      </c>
      <c r="J1048" s="0" t="n">
        <v>23.21</v>
      </c>
      <c r="K1048" s="0" t="n">
        <v>16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32A1b</t>
        </is>
      </c>
      <c r="X1048" s="0" t="n">
        <v>12</v>
      </c>
      <c r="Y1048" s="0" t="n">
        <v>5</v>
      </c>
      <c r="Z1048" s="0" t="inlineStr">
        <is>
          <t>https://new.land.naver.com/complexes/112076?tab=detail&amp;rf=Y</t>
        </is>
      </c>
      <c r="AA1048" s="0" t="inlineStr">
        <is>
          <t>인천시 남동구 구월동 1530</t>
        </is>
      </c>
      <c r="AB1048" s="0" t="inlineStr">
        <is>
          <t>인천시</t>
        </is>
      </c>
      <c r="AC1048" s="0" t="inlineStr">
        <is>
          <t>남동구</t>
        </is>
      </c>
      <c r="AD1048" s="0" t="inlineStr">
        <is>
          <t>구월동</t>
        </is>
      </c>
      <c r="AG1048" s="0" t="inlineStr">
        <is>
          <t>인천시 남동구 선수촌공원로 26</t>
        </is>
      </c>
      <c r="AH1048" s="0" t="n">
        <v>0</v>
      </c>
      <c r="AI1048" s="0" t="n">
        <v>499</v>
      </c>
      <c r="AJ1048" s="0" t="n">
        <v>60</v>
      </c>
      <c r="AK1048" s="0" t="n">
        <v>97</v>
      </c>
      <c r="AL1048" s="0" t="n">
        <v>0.58</v>
      </c>
    </row>
    <row r="1049">
      <c r="A1049" s="0" t="inlineStr">
        <is>
          <t>[구월동]</t>
        </is>
      </c>
      <c r="B1049" s="0" t="n">
        <v>112076</v>
      </c>
      <c r="C1049" s="0" t="n">
        <v>10</v>
      </c>
      <c r="D1049" s="0" t="inlineStr">
        <is>
          <t>두플라스(도시형)</t>
        </is>
      </c>
      <c r="E1049" s="0" t="inlineStr">
        <is>
          <t>2016.06.</t>
        </is>
      </c>
      <c r="F1049" s="0" t="n">
        <v>168</v>
      </c>
      <c r="G1049" s="0" t="n">
        <v>11.07</v>
      </c>
      <c r="H1049" s="0" t="n">
        <v>36.61</v>
      </c>
      <c r="I1049" s="0" t="n">
        <v>7.76</v>
      </c>
      <c r="J1049" s="0" t="n">
        <v>25.67</v>
      </c>
      <c r="K1049" s="0" t="n">
        <v>9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36A4</t>
        </is>
      </c>
      <c r="X1049" s="0" t="n">
        <v>12</v>
      </c>
      <c r="Y1049" s="0" t="n">
        <v>5</v>
      </c>
      <c r="Z1049" s="0" t="inlineStr">
        <is>
          <t>https://new.land.naver.com/complexes/112076?tab=detail&amp;rf=Y</t>
        </is>
      </c>
      <c r="AA1049" s="0" t="inlineStr">
        <is>
          <t>인천시 남동구 구월동 1530</t>
        </is>
      </c>
      <c r="AB1049" s="0" t="inlineStr">
        <is>
          <t>인천시</t>
        </is>
      </c>
      <c r="AC1049" s="0" t="inlineStr">
        <is>
          <t>남동구</t>
        </is>
      </c>
      <c r="AD1049" s="0" t="inlineStr">
        <is>
          <t>구월동</t>
        </is>
      </c>
      <c r="AG1049" s="0" t="inlineStr">
        <is>
          <t>인천시 남동구 선수촌공원로 26</t>
        </is>
      </c>
      <c r="AH1049" s="0" t="n">
        <v>0</v>
      </c>
      <c r="AI1049" s="0" t="n">
        <v>499</v>
      </c>
      <c r="AJ1049" s="0" t="n">
        <v>60</v>
      </c>
      <c r="AK1049" s="0" t="n">
        <v>97</v>
      </c>
      <c r="AL1049" s="0" t="n">
        <v>0.58</v>
      </c>
    </row>
    <row r="1050">
      <c r="A1050" s="0" t="inlineStr">
        <is>
          <t>[구월동]</t>
        </is>
      </c>
      <c r="B1050" s="0" t="n">
        <v>112076</v>
      </c>
      <c r="C1050" s="0" t="n">
        <v>11</v>
      </c>
      <c r="D1050" s="0" t="inlineStr">
        <is>
          <t>두플라스(도시형)</t>
        </is>
      </c>
      <c r="E1050" s="0" t="inlineStr">
        <is>
          <t>2016.06.</t>
        </is>
      </c>
      <c r="F1050" s="0" t="n">
        <v>168</v>
      </c>
      <c r="G1050" s="0" t="n">
        <v>11.03</v>
      </c>
      <c r="H1050" s="0" t="n">
        <v>36.47</v>
      </c>
      <c r="I1050" s="0" t="n">
        <v>7.79</v>
      </c>
      <c r="J1050" s="0" t="n">
        <v>25.77</v>
      </c>
      <c r="K1050" s="0" t="n">
        <v>4</v>
      </c>
      <c r="T1050" s="0" t="n">
        <v>1</v>
      </c>
      <c r="U1050" s="0" t="n">
        <v>1</v>
      </c>
      <c r="V1050" s="0" t="inlineStr">
        <is>
          <t>복도식</t>
        </is>
      </c>
      <c r="W1050" s="0" t="inlineStr">
        <is>
          <t>36A5a</t>
        </is>
      </c>
      <c r="X1050" s="0" t="n">
        <v>12</v>
      </c>
      <c r="Y1050" s="0" t="n">
        <v>5</v>
      </c>
      <c r="Z1050" s="0" t="inlineStr">
        <is>
          <t>https://new.land.naver.com/complexes/112076?tab=detail&amp;rf=Y</t>
        </is>
      </c>
      <c r="AA1050" s="0" t="inlineStr">
        <is>
          <t>인천시 남동구 구월동 1530</t>
        </is>
      </c>
      <c r="AB1050" s="0" t="inlineStr">
        <is>
          <t>인천시</t>
        </is>
      </c>
      <c r="AC1050" s="0" t="inlineStr">
        <is>
          <t>남동구</t>
        </is>
      </c>
      <c r="AD1050" s="0" t="inlineStr">
        <is>
          <t>구월동</t>
        </is>
      </c>
      <c r="AG1050" s="0" t="inlineStr">
        <is>
          <t>인천시 남동구 선수촌공원로 26</t>
        </is>
      </c>
      <c r="AH1050" s="0" t="n">
        <v>0</v>
      </c>
      <c r="AI1050" s="0" t="n">
        <v>499</v>
      </c>
      <c r="AJ1050" s="0" t="n">
        <v>60</v>
      </c>
      <c r="AK1050" s="0" t="n">
        <v>97</v>
      </c>
      <c r="AL1050" s="0" t="n">
        <v>0.58</v>
      </c>
    </row>
    <row r="1051">
      <c r="A1051" s="0" t="inlineStr">
        <is>
          <t>[구월동]</t>
        </is>
      </c>
      <c r="B1051" s="0" t="n">
        <v>112076</v>
      </c>
      <c r="C1051" s="0" t="n">
        <v>12</v>
      </c>
      <c r="D1051" s="0" t="inlineStr">
        <is>
          <t>두플라스(도시형)</t>
        </is>
      </c>
      <c r="E1051" s="0" t="inlineStr">
        <is>
          <t>2016.06.</t>
        </is>
      </c>
      <c r="F1051" s="0" t="n">
        <v>168</v>
      </c>
      <c r="G1051" s="0" t="n">
        <v>17.23</v>
      </c>
      <c r="H1051" s="0" t="n">
        <v>56.99</v>
      </c>
      <c r="I1051" s="0" t="n">
        <v>12.58</v>
      </c>
      <c r="J1051" s="0" t="n">
        <v>41.61</v>
      </c>
      <c r="K1051" s="0" t="n">
        <v>5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56B1c</t>
        </is>
      </c>
      <c r="X1051" s="0" t="n">
        <v>12</v>
      </c>
      <c r="Y1051" s="0" t="n">
        <v>5</v>
      </c>
      <c r="Z1051" s="0" t="inlineStr">
        <is>
          <t>https://new.land.naver.com/complexes/112076?tab=detail&amp;rf=Y</t>
        </is>
      </c>
      <c r="AA1051" s="0" t="inlineStr">
        <is>
          <t>인천시 남동구 구월동 1530</t>
        </is>
      </c>
      <c r="AB1051" s="0" t="inlineStr">
        <is>
          <t>인천시</t>
        </is>
      </c>
      <c r="AC1051" s="0" t="inlineStr">
        <is>
          <t>남동구</t>
        </is>
      </c>
      <c r="AD1051" s="0" t="inlineStr">
        <is>
          <t>구월동</t>
        </is>
      </c>
      <c r="AG1051" s="0" t="inlineStr">
        <is>
          <t>인천시 남동구 선수촌공원로 26</t>
        </is>
      </c>
      <c r="AH1051" s="0" t="n">
        <v>0</v>
      </c>
      <c r="AI1051" s="0" t="n">
        <v>499</v>
      </c>
      <c r="AJ1051" s="0" t="n">
        <v>60</v>
      </c>
      <c r="AK1051" s="0" t="n">
        <v>97</v>
      </c>
      <c r="AL1051" s="0" t="n">
        <v>0.58</v>
      </c>
    </row>
    <row r="1052">
      <c r="A1052" s="0" t="inlineStr">
        <is>
          <t>[구월동]</t>
        </is>
      </c>
      <c r="B1052" s="0" t="n">
        <v>112076</v>
      </c>
      <c r="C1052" s="0" t="n">
        <v>13</v>
      </c>
      <c r="D1052" s="0" t="inlineStr">
        <is>
          <t>두플라스(도시형)</t>
        </is>
      </c>
      <c r="E1052" s="0" t="inlineStr">
        <is>
          <t>2016.06.</t>
        </is>
      </c>
      <c r="F1052" s="0" t="n">
        <v>168</v>
      </c>
      <c r="G1052" s="0" t="n">
        <v>17.1</v>
      </c>
      <c r="H1052" s="0" t="n">
        <v>56.55</v>
      </c>
      <c r="I1052" s="0" t="n">
        <v>12.4</v>
      </c>
      <c r="J1052" s="0" t="n">
        <v>41</v>
      </c>
      <c r="K1052" s="0" t="n">
        <v>1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56B1f</t>
        </is>
      </c>
      <c r="X1052" s="0" t="n">
        <v>12</v>
      </c>
      <c r="Y1052" s="0" t="n">
        <v>5</v>
      </c>
      <c r="Z1052" s="0" t="inlineStr">
        <is>
          <t>https://new.land.naver.com/complexes/112076?tab=detail&amp;rf=Y</t>
        </is>
      </c>
      <c r="AA1052" s="0" t="inlineStr">
        <is>
          <t>인천시 남동구 구월동 1530</t>
        </is>
      </c>
      <c r="AB1052" s="0" t="inlineStr">
        <is>
          <t>인천시</t>
        </is>
      </c>
      <c r="AC1052" s="0" t="inlineStr">
        <is>
          <t>남동구</t>
        </is>
      </c>
      <c r="AD1052" s="0" t="inlineStr">
        <is>
          <t>구월동</t>
        </is>
      </c>
      <c r="AG1052" s="0" t="inlineStr">
        <is>
          <t>인천시 남동구 선수촌공원로 26</t>
        </is>
      </c>
      <c r="AH1052" s="0" t="n">
        <v>0</v>
      </c>
      <c r="AI1052" s="0" t="n">
        <v>499</v>
      </c>
      <c r="AJ1052" s="0" t="n">
        <v>60</v>
      </c>
      <c r="AK1052" s="0" t="n">
        <v>97</v>
      </c>
      <c r="AL1052" s="0" t="n">
        <v>0.58</v>
      </c>
    </row>
    <row r="1053">
      <c r="A1053" s="0" t="inlineStr">
        <is>
          <t>[구월동]</t>
        </is>
      </c>
      <c r="B1053" s="0" t="n">
        <v>112076</v>
      </c>
      <c r="C1053" s="0" t="n">
        <v>14</v>
      </c>
      <c r="D1053" s="0" t="inlineStr">
        <is>
          <t>두플라스(도시형)</t>
        </is>
      </c>
      <c r="E1053" s="0" t="inlineStr">
        <is>
          <t>2016.06.</t>
        </is>
      </c>
      <c r="F1053" s="0" t="n">
        <v>168</v>
      </c>
      <c r="G1053" s="0" t="n">
        <v>17.45</v>
      </c>
      <c r="H1053" s="0" t="n">
        <v>57.69</v>
      </c>
      <c r="I1053" s="0" t="n">
        <v>12.68</v>
      </c>
      <c r="J1053" s="0" t="n">
        <v>41.92</v>
      </c>
      <c r="K1053" s="0" t="n">
        <v>7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57B2</t>
        </is>
      </c>
      <c r="X1053" s="0" t="n">
        <v>12</v>
      </c>
      <c r="Y1053" s="0" t="n">
        <v>5</v>
      </c>
      <c r="Z1053" s="0" t="inlineStr">
        <is>
          <t>https://new.land.naver.com/complexes/112076?tab=detail&amp;rf=Y</t>
        </is>
      </c>
      <c r="AA1053" s="0" t="inlineStr">
        <is>
          <t>인천시 남동구 구월동 1530</t>
        </is>
      </c>
      <c r="AB1053" s="0" t="inlineStr">
        <is>
          <t>인천시</t>
        </is>
      </c>
      <c r="AC1053" s="0" t="inlineStr">
        <is>
          <t>남동구</t>
        </is>
      </c>
      <c r="AD1053" s="0" t="inlineStr">
        <is>
          <t>구월동</t>
        </is>
      </c>
      <c r="AG1053" s="0" t="inlineStr">
        <is>
          <t>인천시 남동구 선수촌공원로 26</t>
        </is>
      </c>
      <c r="AH1053" s="0" t="n">
        <v>0</v>
      </c>
      <c r="AI1053" s="0" t="n">
        <v>499</v>
      </c>
      <c r="AJ1053" s="0" t="n">
        <v>60</v>
      </c>
      <c r="AK1053" s="0" t="n">
        <v>97</v>
      </c>
      <c r="AL1053" s="0" t="n">
        <v>0.58</v>
      </c>
    </row>
    <row r="1054">
      <c r="A1054" s="0" t="inlineStr">
        <is>
          <t>[구월동]</t>
        </is>
      </c>
      <c r="B1054" s="0" t="n">
        <v>112076</v>
      </c>
      <c r="C1054" s="0" t="n">
        <v>15</v>
      </c>
      <c r="D1054" s="0" t="inlineStr">
        <is>
          <t>두플라스(도시형)</t>
        </is>
      </c>
      <c r="E1054" s="0" t="inlineStr">
        <is>
          <t>2016.06.</t>
        </is>
      </c>
      <c r="F1054" s="0" t="n">
        <v>168</v>
      </c>
      <c r="G1054" s="0" t="n">
        <v>18.36</v>
      </c>
      <c r="H1054" s="0" t="n">
        <v>60.7</v>
      </c>
      <c r="I1054" s="0" t="n">
        <v>13.43</v>
      </c>
      <c r="J1054" s="0" t="n">
        <v>44.42</v>
      </c>
      <c r="K1054" s="0" t="n">
        <v>14</v>
      </c>
      <c r="T1054" s="0" t="n">
        <v>1</v>
      </c>
      <c r="U1054" s="0" t="n">
        <v>1</v>
      </c>
      <c r="V1054" s="0" t="inlineStr">
        <is>
          <t>복도식</t>
        </is>
      </c>
      <c r="W1054" s="0" t="inlineStr">
        <is>
          <t>60B1</t>
        </is>
      </c>
      <c r="X1054" s="0" t="n">
        <v>12</v>
      </c>
      <c r="Y1054" s="0" t="n">
        <v>5</v>
      </c>
      <c r="Z1054" s="0" t="inlineStr">
        <is>
          <t>https://new.land.naver.com/complexes/112076?tab=detail&amp;rf=Y</t>
        </is>
      </c>
      <c r="AA1054" s="0" t="inlineStr">
        <is>
          <t>인천시 남동구 구월동 1530</t>
        </is>
      </c>
      <c r="AB1054" s="0" t="inlineStr">
        <is>
          <t>인천시</t>
        </is>
      </c>
      <c r="AC1054" s="0" t="inlineStr">
        <is>
          <t>남동구</t>
        </is>
      </c>
      <c r="AD1054" s="0" t="inlineStr">
        <is>
          <t>구월동</t>
        </is>
      </c>
      <c r="AG1054" s="0" t="inlineStr">
        <is>
          <t>인천시 남동구 선수촌공원로 26</t>
        </is>
      </c>
      <c r="AH1054" s="0" t="n">
        <v>0</v>
      </c>
      <c r="AI1054" s="0" t="n">
        <v>499</v>
      </c>
      <c r="AJ1054" s="0" t="n">
        <v>60</v>
      </c>
      <c r="AK1054" s="0" t="n">
        <v>97</v>
      </c>
      <c r="AL1054" s="0" t="n">
        <v>0.58</v>
      </c>
    </row>
    <row r="1055">
      <c r="A1055" s="0" t="inlineStr">
        <is>
          <t>[구월동]</t>
        </is>
      </c>
      <c r="B1055" s="0" t="n">
        <v>112076</v>
      </c>
      <c r="C1055" s="0" t="n">
        <v>16</v>
      </c>
      <c r="D1055" s="0" t="inlineStr">
        <is>
          <t>두플라스(도시형)</t>
        </is>
      </c>
      <c r="E1055" s="0" t="inlineStr">
        <is>
          <t>2016.06.</t>
        </is>
      </c>
      <c r="F1055" s="0" t="n">
        <v>168</v>
      </c>
      <c r="G1055" s="0" t="n">
        <v>18.26</v>
      </c>
      <c r="H1055" s="0" t="n">
        <v>60.37</v>
      </c>
      <c r="I1055" s="0" t="n">
        <v>13.27</v>
      </c>
      <c r="J1055" s="0" t="n">
        <v>43.9</v>
      </c>
      <c r="K1055" s="0" t="n">
        <v>14</v>
      </c>
      <c r="T1055" s="0" t="n">
        <v>1</v>
      </c>
      <c r="U1055" s="0" t="n">
        <v>1</v>
      </c>
      <c r="V1055" s="0" t="inlineStr">
        <is>
          <t>복도식</t>
        </is>
      </c>
      <c r="W1055" s="0" t="inlineStr">
        <is>
          <t>60B1h</t>
        </is>
      </c>
      <c r="X1055" s="0" t="n">
        <v>12</v>
      </c>
      <c r="Y1055" s="0" t="n">
        <v>5</v>
      </c>
      <c r="Z1055" s="0" t="inlineStr">
        <is>
          <t>https://new.land.naver.com/complexes/112076?tab=detail&amp;rf=Y</t>
        </is>
      </c>
      <c r="AA1055" s="0" t="inlineStr">
        <is>
          <t>인천시 남동구 구월동 1530</t>
        </is>
      </c>
      <c r="AB1055" s="0" t="inlineStr">
        <is>
          <t>인천시</t>
        </is>
      </c>
      <c r="AC1055" s="0" t="inlineStr">
        <is>
          <t>남동구</t>
        </is>
      </c>
      <c r="AD1055" s="0" t="inlineStr">
        <is>
          <t>구월동</t>
        </is>
      </c>
      <c r="AG1055" s="0" t="inlineStr">
        <is>
          <t>인천시 남동구 선수촌공원로 26</t>
        </is>
      </c>
      <c r="AH1055" s="0" t="n">
        <v>0</v>
      </c>
      <c r="AI1055" s="0" t="n">
        <v>499</v>
      </c>
      <c r="AJ1055" s="0" t="n">
        <v>60</v>
      </c>
      <c r="AK1055" s="0" t="n">
        <v>97</v>
      </c>
      <c r="AL1055" s="0" t="n">
        <v>0.58</v>
      </c>
    </row>
    <row r="1056">
      <c r="A1056" s="0" t="inlineStr">
        <is>
          <t>[구월동]</t>
        </is>
      </c>
      <c r="B1056" s="0" t="n">
        <v>112076</v>
      </c>
      <c r="C1056" s="0" t="n">
        <v>17</v>
      </c>
      <c r="D1056" s="0" t="inlineStr">
        <is>
          <t>두플라스(도시형)</t>
        </is>
      </c>
      <c r="E1056" s="0" t="inlineStr">
        <is>
          <t>2016.06.</t>
        </is>
      </c>
      <c r="F1056" s="0" t="n">
        <v>168</v>
      </c>
      <c r="G1056" s="0" t="n">
        <v>18.22</v>
      </c>
      <c r="H1056" s="0" t="n">
        <v>60.24</v>
      </c>
      <c r="I1056" s="0" t="n">
        <v>13.24</v>
      </c>
      <c r="J1056" s="0" t="n">
        <v>43.77</v>
      </c>
      <c r="K1056" s="0" t="n">
        <v>7</v>
      </c>
      <c r="T1056" s="0" t="n">
        <v>1</v>
      </c>
      <c r="U1056" s="0" t="n">
        <v>1</v>
      </c>
      <c r="V1056" s="0" t="inlineStr">
        <is>
          <t>복도식</t>
        </is>
      </c>
      <c r="W1056" s="0" t="inlineStr">
        <is>
          <t>60B1g</t>
        </is>
      </c>
      <c r="X1056" s="0" t="n">
        <v>12</v>
      </c>
      <c r="Y1056" s="0" t="n">
        <v>5</v>
      </c>
      <c r="Z1056" s="0" t="inlineStr">
        <is>
          <t>https://new.land.naver.com/complexes/112076?tab=detail&amp;rf=Y</t>
        </is>
      </c>
      <c r="AA1056" s="0" t="inlineStr">
        <is>
          <t>인천시 남동구 구월동 1530</t>
        </is>
      </c>
      <c r="AB1056" s="0" t="inlineStr">
        <is>
          <t>인천시</t>
        </is>
      </c>
      <c r="AC1056" s="0" t="inlineStr">
        <is>
          <t>남동구</t>
        </is>
      </c>
      <c r="AD1056" s="0" t="inlineStr">
        <is>
          <t>구월동</t>
        </is>
      </c>
      <c r="AG1056" s="0" t="inlineStr">
        <is>
          <t>인천시 남동구 선수촌공원로 26</t>
        </is>
      </c>
      <c r="AH1056" s="0" t="n">
        <v>0</v>
      </c>
      <c r="AI1056" s="0" t="n">
        <v>499</v>
      </c>
      <c r="AJ1056" s="0" t="n">
        <v>60</v>
      </c>
      <c r="AK1056" s="0" t="n">
        <v>97</v>
      </c>
      <c r="AL1056" s="0" t="n">
        <v>0.58</v>
      </c>
    </row>
    <row r="1057">
      <c r="A1057" s="0" t="inlineStr">
        <is>
          <t>[구월동]</t>
        </is>
      </c>
      <c r="B1057" s="0" t="n">
        <v>112076</v>
      </c>
      <c r="C1057" s="0" t="n">
        <v>18</v>
      </c>
      <c r="D1057" s="0" t="inlineStr">
        <is>
          <t>두플라스(도시형)</t>
        </is>
      </c>
      <c r="E1057" s="0" t="inlineStr">
        <is>
          <t>2016.06.</t>
        </is>
      </c>
      <c r="F1057" s="0" t="n">
        <v>168</v>
      </c>
      <c r="G1057" s="0" t="n">
        <v>18.63</v>
      </c>
      <c r="H1057" s="0" t="n">
        <v>61.6</v>
      </c>
      <c r="I1057" s="0" t="n">
        <v>13.62</v>
      </c>
      <c r="J1057" s="0" t="n">
        <v>45.03</v>
      </c>
      <c r="K1057" s="0" t="n">
        <v>20</v>
      </c>
      <c r="T1057" s="0" t="n">
        <v>1</v>
      </c>
      <c r="U1057" s="0" t="n">
        <v>1</v>
      </c>
      <c r="V1057" s="0" t="inlineStr">
        <is>
          <t>복도식</t>
        </is>
      </c>
      <c r="W1057" s="0" t="inlineStr">
        <is>
          <t>61B1a</t>
        </is>
      </c>
      <c r="X1057" s="0" t="n">
        <v>12</v>
      </c>
      <c r="Y1057" s="0" t="n">
        <v>5</v>
      </c>
      <c r="Z1057" s="0" t="inlineStr">
        <is>
          <t>https://new.land.naver.com/complexes/112076?tab=detail&amp;rf=Y</t>
        </is>
      </c>
      <c r="AA1057" s="0" t="inlineStr">
        <is>
          <t>인천시 남동구 구월동 1530</t>
        </is>
      </c>
      <c r="AB1057" s="0" t="inlineStr">
        <is>
          <t>인천시</t>
        </is>
      </c>
      <c r="AC1057" s="0" t="inlineStr">
        <is>
          <t>남동구</t>
        </is>
      </c>
      <c r="AD1057" s="0" t="inlineStr">
        <is>
          <t>구월동</t>
        </is>
      </c>
      <c r="AG1057" s="0" t="inlineStr">
        <is>
          <t>인천시 남동구 선수촌공원로 26</t>
        </is>
      </c>
      <c r="AH1057" s="0" t="n">
        <v>0</v>
      </c>
      <c r="AI1057" s="0" t="n">
        <v>499</v>
      </c>
      <c r="AJ1057" s="0" t="n">
        <v>60</v>
      </c>
      <c r="AK1057" s="0" t="n">
        <v>97</v>
      </c>
      <c r="AL1057" s="0" t="n">
        <v>0.58</v>
      </c>
    </row>
    <row r="1058">
      <c r="A1058" s="0" t="inlineStr">
        <is>
          <t>[구월동]</t>
        </is>
      </c>
      <c r="B1058" s="0" t="n">
        <v>112076</v>
      </c>
      <c r="C1058" s="0" t="n">
        <v>19</v>
      </c>
      <c r="D1058" s="0" t="inlineStr">
        <is>
          <t>두플라스(도시형)</t>
        </is>
      </c>
      <c r="E1058" s="0" t="inlineStr">
        <is>
          <t>2016.06.</t>
        </is>
      </c>
      <c r="F1058" s="0" t="n">
        <v>168</v>
      </c>
      <c r="G1058" s="0" t="n">
        <v>18.6</v>
      </c>
      <c r="H1058" s="0" t="n">
        <v>61.49</v>
      </c>
      <c r="I1058" s="0" t="n">
        <v>13.57</v>
      </c>
      <c r="J1058" s="0" t="n">
        <v>44.89</v>
      </c>
      <c r="K1058" s="0" t="n">
        <v>10</v>
      </c>
      <c r="T1058" s="0" t="n">
        <v>1</v>
      </c>
      <c r="U1058" s="0" t="n">
        <v>1</v>
      </c>
      <c r="V1058" s="0" t="inlineStr">
        <is>
          <t>복도식</t>
        </is>
      </c>
      <c r="W1058" s="0" t="inlineStr">
        <is>
          <t>61B1b</t>
        </is>
      </c>
      <c r="X1058" s="0" t="n">
        <v>12</v>
      </c>
      <c r="Y1058" s="0" t="n">
        <v>5</v>
      </c>
      <c r="Z1058" s="0" t="inlineStr">
        <is>
          <t>https://new.land.naver.com/complexes/112076?tab=detail&amp;rf=Y</t>
        </is>
      </c>
      <c r="AA1058" s="0" t="inlineStr">
        <is>
          <t>인천시 남동구 구월동 1530</t>
        </is>
      </c>
      <c r="AB1058" s="0" t="inlineStr">
        <is>
          <t>인천시</t>
        </is>
      </c>
      <c r="AC1058" s="0" t="inlineStr">
        <is>
          <t>남동구</t>
        </is>
      </c>
      <c r="AD1058" s="0" t="inlineStr">
        <is>
          <t>구월동</t>
        </is>
      </c>
      <c r="AG1058" s="0" t="inlineStr">
        <is>
          <t>인천시 남동구 선수촌공원로 26</t>
        </is>
      </c>
      <c r="AH1058" s="0" t="n">
        <v>0</v>
      </c>
      <c r="AI1058" s="0" t="n">
        <v>499</v>
      </c>
      <c r="AJ1058" s="0" t="n">
        <v>60</v>
      </c>
      <c r="AK1058" s="0" t="n">
        <v>97</v>
      </c>
      <c r="AL1058" s="0" t="n">
        <v>0.58</v>
      </c>
    </row>
    <row r="1059">
      <c r="A1059" s="0" t="inlineStr">
        <is>
          <t>[구월동]</t>
        </is>
      </c>
      <c r="B1059" s="0" t="n">
        <v>112076</v>
      </c>
      <c r="C1059" s="0" t="n">
        <v>20</v>
      </c>
      <c r="D1059" s="0" t="inlineStr">
        <is>
          <t>두플라스(도시형)</t>
        </is>
      </c>
      <c r="E1059" s="0" t="inlineStr">
        <is>
          <t>2016.06.</t>
        </is>
      </c>
      <c r="F1059" s="0" t="n">
        <v>168</v>
      </c>
      <c r="G1059" s="0" t="n">
        <v>18.48</v>
      </c>
      <c r="H1059" s="0" t="n">
        <v>61.11</v>
      </c>
      <c r="I1059" s="0" t="n">
        <v>13.4</v>
      </c>
      <c r="J1059" s="0" t="n">
        <v>44.33</v>
      </c>
      <c r="K1059" s="0" t="n">
        <v>4</v>
      </c>
      <c r="T1059" s="0" t="n">
        <v>1</v>
      </c>
      <c r="U1059" s="0" t="n">
        <v>1</v>
      </c>
      <c r="V1059" s="0" t="inlineStr">
        <is>
          <t>복도식</t>
        </is>
      </c>
      <c r="W1059" s="0" t="inlineStr">
        <is>
          <t>61B1d</t>
        </is>
      </c>
      <c r="X1059" s="0" t="n">
        <v>12</v>
      </c>
      <c r="Y1059" s="0" t="n">
        <v>5</v>
      </c>
      <c r="Z1059" s="0" t="inlineStr">
        <is>
          <t>https://new.land.naver.com/complexes/112076?tab=detail&amp;rf=Y</t>
        </is>
      </c>
      <c r="AA1059" s="0" t="inlineStr">
        <is>
          <t>인천시 남동구 구월동 1530</t>
        </is>
      </c>
      <c r="AB1059" s="0" t="inlineStr">
        <is>
          <t>인천시</t>
        </is>
      </c>
      <c r="AC1059" s="0" t="inlineStr">
        <is>
          <t>남동구</t>
        </is>
      </c>
      <c r="AD1059" s="0" t="inlineStr">
        <is>
          <t>구월동</t>
        </is>
      </c>
      <c r="AG1059" s="0" t="inlineStr">
        <is>
          <t>인천시 남동구 선수촌공원로 26</t>
        </is>
      </c>
      <c r="AH1059" s="0" t="n">
        <v>0</v>
      </c>
      <c r="AI1059" s="0" t="n">
        <v>499</v>
      </c>
      <c r="AJ1059" s="0" t="n">
        <v>60</v>
      </c>
      <c r="AK1059" s="0" t="n">
        <v>97</v>
      </c>
      <c r="AL1059" s="0" t="n">
        <v>0.58</v>
      </c>
    </row>
    <row r="1060">
      <c r="A1060" s="0" t="inlineStr">
        <is>
          <t>[구월동]</t>
        </is>
      </c>
      <c r="B1060" s="0" t="n">
        <v>112076</v>
      </c>
      <c r="C1060" s="0" t="n">
        <v>21</v>
      </c>
      <c r="D1060" s="0" t="inlineStr">
        <is>
          <t>두플라스(도시형)</t>
        </is>
      </c>
      <c r="E1060" s="0" t="inlineStr">
        <is>
          <t>2016.06.</t>
        </is>
      </c>
      <c r="F1060" s="0" t="n">
        <v>168</v>
      </c>
      <c r="G1060" s="0" t="n">
        <v>18.47</v>
      </c>
      <c r="H1060" s="0" t="n">
        <v>61.06</v>
      </c>
      <c r="I1060" s="0" t="n">
        <v>13.39</v>
      </c>
      <c r="J1060" s="0" t="n">
        <v>44.28</v>
      </c>
      <c r="K1060" s="0" t="n">
        <v>2</v>
      </c>
      <c r="T1060" s="0" t="n">
        <v>1</v>
      </c>
      <c r="U1060" s="0" t="n">
        <v>1</v>
      </c>
      <c r="V1060" s="0" t="inlineStr">
        <is>
          <t>복도식</t>
        </is>
      </c>
      <c r="W1060" s="0" t="inlineStr">
        <is>
          <t>61B1e</t>
        </is>
      </c>
      <c r="X1060" s="0" t="n">
        <v>12</v>
      </c>
      <c r="Y1060" s="0" t="n">
        <v>5</v>
      </c>
      <c r="Z1060" s="0" t="inlineStr">
        <is>
          <t>https://new.land.naver.com/complexes/112076?tab=detail&amp;rf=Y</t>
        </is>
      </c>
      <c r="AA1060" s="0" t="inlineStr">
        <is>
          <t>인천시 남동구 구월동 1530</t>
        </is>
      </c>
      <c r="AB1060" s="0" t="inlineStr">
        <is>
          <t>인천시</t>
        </is>
      </c>
      <c r="AC1060" s="0" t="inlineStr">
        <is>
          <t>남동구</t>
        </is>
      </c>
      <c r="AD1060" s="0" t="inlineStr">
        <is>
          <t>구월동</t>
        </is>
      </c>
      <c r="AG1060" s="0" t="inlineStr">
        <is>
          <t>인천시 남동구 선수촌공원로 26</t>
        </is>
      </c>
      <c r="AH1060" s="0" t="n">
        <v>0</v>
      </c>
      <c r="AI1060" s="0" t="n">
        <v>499</v>
      </c>
      <c r="AJ1060" s="0" t="n">
        <v>60</v>
      </c>
      <c r="AK1060" s="0" t="n">
        <v>97</v>
      </c>
      <c r="AL1060" s="0" t="n">
        <v>0.58</v>
      </c>
    </row>
    <row r="1061">
      <c r="A1061" s="0" t="inlineStr">
        <is>
          <t>[구월동]</t>
        </is>
      </c>
      <c r="B1061" s="0" t="n">
        <v>108416</v>
      </c>
      <c r="C1061" s="0" t="n">
        <v>1</v>
      </c>
      <c r="D1061" s="0" t="inlineStr">
        <is>
          <t>구월유승한내들퍼스티지</t>
        </is>
      </c>
      <c r="E1061" s="0" t="inlineStr">
        <is>
          <t>2016.12.</t>
        </is>
      </c>
      <c r="F1061" s="0" t="n">
        <v>860</v>
      </c>
      <c r="G1061" s="0" t="n">
        <v>29.77</v>
      </c>
      <c r="H1061" s="0" t="n">
        <v>98.44</v>
      </c>
      <c r="I1061" s="0" t="n">
        <v>22.49</v>
      </c>
      <c r="J1061" s="0" t="n">
        <v>74.34999999999999</v>
      </c>
      <c r="K1061" s="0" t="n">
        <v>86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98</v>
      </c>
      <c r="X1061" s="0" t="n">
        <v>29</v>
      </c>
      <c r="Y1061" s="0" t="n">
        <v>23</v>
      </c>
      <c r="Z1061" s="0" t="inlineStr">
        <is>
          <t>https://new.land.naver.com/complexes/108416?tab=detail&amp;rf=Y</t>
        </is>
      </c>
      <c r="AA1061" s="0" t="inlineStr">
        <is>
          <t>인천시 남동구 구월동 1508</t>
        </is>
      </c>
      <c r="AB1061" s="0" t="inlineStr">
        <is>
          <t>인천시</t>
        </is>
      </c>
      <c r="AC1061" s="0" t="inlineStr">
        <is>
          <t>남동구</t>
        </is>
      </c>
      <c r="AD1061" s="0" t="inlineStr">
        <is>
          <t>구월동</t>
        </is>
      </c>
      <c r="AG1061" s="0" t="inlineStr">
        <is>
          <t>인천시 남동구 선수촌로 75</t>
        </is>
      </c>
      <c r="AH1061" s="0" t="n">
        <v>0</v>
      </c>
      <c r="AI1061" s="0" t="n">
        <v>199</v>
      </c>
      <c r="AJ1061" s="0" t="n">
        <v>13</v>
      </c>
      <c r="AK1061" s="0" t="n">
        <v>1083</v>
      </c>
      <c r="AL1061" s="0" t="n">
        <v>1.26</v>
      </c>
    </row>
    <row r="1062">
      <c r="A1062" s="0" t="inlineStr">
        <is>
          <t>[구월동]</t>
        </is>
      </c>
      <c r="B1062" s="0" t="n">
        <v>108416</v>
      </c>
      <c r="C1062" s="0" t="n">
        <v>2</v>
      </c>
      <c r="D1062" s="0" t="inlineStr">
        <is>
          <t>구월유승한내들퍼스티지</t>
        </is>
      </c>
      <c r="E1062" s="0" t="inlineStr">
        <is>
          <t>2016.12.</t>
        </is>
      </c>
      <c r="F1062" s="0" t="n">
        <v>860</v>
      </c>
      <c r="G1062" s="0" t="n">
        <v>33.3</v>
      </c>
      <c r="H1062" s="0" t="n">
        <v>110.09</v>
      </c>
      <c r="I1062" s="0" t="n">
        <v>25.51</v>
      </c>
      <c r="J1062" s="0" t="n">
        <v>84.34</v>
      </c>
      <c r="K1062" s="0" t="n">
        <v>401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110A</t>
        </is>
      </c>
      <c r="X1062" s="0" t="n">
        <v>29</v>
      </c>
      <c r="Y1062" s="0" t="n">
        <v>23</v>
      </c>
      <c r="Z1062" s="0" t="inlineStr">
        <is>
          <t>https://new.land.naver.com/complexes/108416?tab=detail&amp;rf=Y</t>
        </is>
      </c>
      <c r="AA1062" s="0" t="inlineStr">
        <is>
          <t>인천시 남동구 구월동 1508</t>
        </is>
      </c>
      <c r="AB1062" s="0" t="inlineStr">
        <is>
          <t>인천시</t>
        </is>
      </c>
      <c r="AC1062" s="0" t="inlineStr">
        <is>
          <t>남동구</t>
        </is>
      </c>
      <c r="AD1062" s="0" t="inlineStr">
        <is>
          <t>구월동</t>
        </is>
      </c>
      <c r="AG1062" s="0" t="inlineStr">
        <is>
          <t>인천시 남동구 선수촌로 75</t>
        </is>
      </c>
      <c r="AH1062" s="0" t="n">
        <v>0</v>
      </c>
      <c r="AI1062" s="0" t="n">
        <v>199</v>
      </c>
      <c r="AJ1062" s="0" t="n">
        <v>13</v>
      </c>
      <c r="AK1062" s="0" t="n">
        <v>1083</v>
      </c>
      <c r="AL1062" s="0" t="n">
        <v>1.26</v>
      </c>
    </row>
    <row r="1063">
      <c r="A1063" s="0" t="inlineStr">
        <is>
          <t>[구월동]</t>
        </is>
      </c>
      <c r="B1063" s="0" t="n">
        <v>108416</v>
      </c>
      <c r="C1063" s="0" t="n">
        <v>3</v>
      </c>
      <c r="D1063" s="0" t="inlineStr">
        <is>
          <t>구월유승한내들퍼스티지</t>
        </is>
      </c>
      <c r="E1063" s="0" t="inlineStr">
        <is>
          <t>2016.12.</t>
        </is>
      </c>
      <c r="F1063" s="0" t="n">
        <v>860</v>
      </c>
      <c r="G1063" s="0" t="n">
        <v>33.59</v>
      </c>
      <c r="H1063" s="0" t="n">
        <v>111.05</v>
      </c>
      <c r="I1063" s="0" t="n">
        <v>25.48</v>
      </c>
      <c r="J1063" s="0" t="n">
        <v>84.26000000000001</v>
      </c>
      <c r="K1063" s="0" t="n">
        <v>115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111B</t>
        </is>
      </c>
      <c r="X1063" s="0" t="n">
        <v>29</v>
      </c>
      <c r="Y1063" s="0" t="n">
        <v>23</v>
      </c>
      <c r="Z1063" s="0" t="inlineStr">
        <is>
          <t>https://new.land.naver.com/complexes/108416?tab=detail&amp;rf=Y</t>
        </is>
      </c>
      <c r="AA1063" s="0" t="inlineStr">
        <is>
          <t>인천시 남동구 구월동 1508</t>
        </is>
      </c>
      <c r="AB1063" s="0" t="inlineStr">
        <is>
          <t>인천시</t>
        </is>
      </c>
      <c r="AC1063" s="0" t="inlineStr">
        <is>
          <t>남동구</t>
        </is>
      </c>
      <c r="AD1063" s="0" t="inlineStr">
        <is>
          <t>구월동</t>
        </is>
      </c>
      <c r="AG1063" s="0" t="inlineStr">
        <is>
          <t>인천시 남동구 선수촌로 75</t>
        </is>
      </c>
      <c r="AH1063" s="0" t="n">
        <v>0</v>
      </c>
      <c r="AI1063" s="0" t="n">
        <v>199</v>
      </c>
      <c r="AJ1063" s="0" t="n">
        <v>13</v>
      </c>
      <c r="AK1063" s="0" t="n">
        <v>1083</v>
      </c>
      <c r="AL1063" s="0" t="n">
        <v>1.26</v>
      </c>
    </row>
    <row r="1064">
      <c r="A1064" s="0" t="inlineStr">
        <is>
          <t>[구월동]</t>
        </is>
      </c>
      <c r="B1064" s="0" t="n">
        <v>108416</v>
      </c>
      <c r="C1064" s="0" t="n">
        <v>4</v>
      </c>
      <c r="D1064" s="0" t="inlineStr">
        <is>
          <t>구월유승한내들퍼스티지</t>
        </is>
      </c>
      <c r="E1064" s="0" t="inlineStr">
        <is>
          <t>2016.12.</t>
        </is>
      </c>
      <c r="F1064" s="0" t="n">
        <v>860</v>
      </c>
      <c r="G1064" s="0" t="n">
        <v>36.23</v>
      </c>
      <c r="H1064" s="0" t="n">
        <v>119.8</v>
      </c>
      <c r="I1064" s="0" t="n">
        <v>28.44</v>
      </c>
      <c r="J1064" s="0" t="n">
        <v>94.02</v>
      </c>
      <c r="K1064" s="0" t="n">
        <v>246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119</v>
      </c>
      <c r="X1064" s="0" t="n">
        <v>29</v>
      </c>
      <c r="Y1064" s="0" t="n">
        <v>23</v>
      </c>
      <c r="Z1064" s="0" t="inlineStr">
        <is>
          <t>https://new.land.naver.com/complexes/108416?tab=detail&amp;rf=Y</t>
        </is>
      </c>
      <c r="AA1064" s="0" t="inlineStr">
        <is>
          <t>인천시 남동구 구월동 1508</t>
        </is>
      </c>
      <c r="AB1064" s="0" t="inlineStr">
        <is>
          <t>인천시</t>
        </is>
      </c>
      <c r="AC1064" s="0" t="inlineStr">
        <is>
          <t>남동구</t>
        </is>
      </c>
      <c r="AD1064" s="0" t="inlineStr">
        <is>
          <t>구월동</t>
        </is>
      </c>
      <c r="AG1064" s="0" t="inlineStr">
        <is>
          <t>인천시 남동구 선수촌로 75</t>
        </is>
      </c>
      <c r="AH1064" s="0" t="n">
        <v>0</v>
      </c>
      <c r="AI1064" s="0" t="n">
        <v>199</v>
      </c>
      <c r="AJ1064" s="0" t="n">
        <v>13</v>
      </c>
      <c r="AK1064" s="0" t="n">
        <v>1083</v>
      </c>
      <c r="AL1064" s="0" t="n">
        <v>1.26</v>
      </c>
    </row>
    <row r="1065">
      <c r="A1065" s="0" t="inlineStr">
        <is>
          <t>[구월동]</t>
        </is>
      </c>
      <c r="B1065" s="0" t="n">
        <v>108416</v>
      </c>
      <c r="C1065" s="0" t="n">
        <v>5</v>
      </c>
      <c r="D1065" s="0" t="inlineStr">
        <is>
          <t>구월유승한내들퍼스티지</t>
        </is>
      </c>
      <c r="E1065" s="0" t="inlineStr">
        <is>
          <t>2016.12.</t>
        </is>
      </c>
      <c r="F1065" s="0" t="n">
        <v>860</v>
      </c>
      <c r="G1065" s="0" t="n">
        <v>47.6</v>
      </c>
      <c r="H1065" s="0" t="n">
        <v>157.36</v>
      </c>
      <c r="I1065" s="0" t="n">
        <v>36.82</v>
      </c>
      <c r="J1065" s="0" t="n">
        <v>121.75</v>
      </c>
      <c r="K1065" s="0" t="n">
        <v>8</v>
      </c>
      <c r="T1065" s="0" t="n">
        <v>4</v>
      </c>
      <c r="U1065" s="0" t="n">
        <v>3</v>
      </c>
      <c r="V1065" s="0" t="inlineStr">
        <is>
          <t>계단식</t>
        </is>
      </c>
      <c r="W1065" s="0" t="n">
        <v>157</v>
      </c>
      <c r="X1065" s="0" t="n">
        <v>29</v>
      </c>
      <c r="Y1065" s="0" t="n">
        <v>23</v>
      </c>
      <c r="Z1065" s="0" t="inlineStr">
        <is>
          <t>https://new.land.naver.com/complexes/108416?tab=detail&amp;rf=Y</t>
        </is>
      </c>
      <c r="AA1065" s="0" t="inlineStr">
        <is>
          <t>인천시 남동구 구월동 1508</t>
        </is>
      </c>
      <c r="AB1065" s="0" t="inlineStr">
        <is>
          <t>인천시</t>
        </is>
      </c>
      <c r="AC1065" s="0" t="inlineStr">
        <is>
          <t>남동구</t>
        </is>
      </c>
      <c r="AD1065" s="0" t="inlineStr">
        <is>
          <t>구월동</t>
        </is>
      </c>
      <c r="AG1065" s="0" t="inlineStr">
        <is>
          <t>인천시 남동구 선수촌로 75</t>
        </is>
      </c>
      <c r="AH1065" s="0" t="n">
        <v>0</v>
      </c>
      <c r="AI1065" s="0" t="n">
        <v>199</v>
      </c>
      <c r="AJ1065" s="0" t="n">
        <v>13</v>
      </c>
      <c r="AK1065" s="0" t="n">
        <v>1083</v>
      </c>
      <c r="AL1065" s="0" t="n">
        <v>1.26</v>
      </c>
    </row>
    <row r="1066">
      <c r="A1066" s="0" t="inlineStr">
        <is>
          <t>[구월동]</t>
        </is>
      </c>
      <c r="B1066" s="0" t="n">
        <v>108416</v>
      </c>
      <c r="C1066" s="0" t="n">
        <v>6</v>
      </c>
      <c r="D1066" s="0" t="inlineStr">
        <is>
          <t>구월유승한내들퍼스티지</t>
        </is>
      </c>
      <c r="E1066" s="0" t="inlineStr">
        <is>
          <t>2016.12.</t>
        </is>
      </c>
      <c r="F1066" s="0" t="n">
        <v>860</v>
      </c>
      <c r="G1066" s="0" t="n">
        <v>49.49</v>
      </c>
      <c r="H1066" s="0" t="n">
        <v>163.62</v>
      </c>
      <c r="I1066" s="0" t="n">
        <v>37.51</v>
      </c>
      <c r="J1066" s="0" t="n">
        <v>124.03</v>
      </c>
      <c r="K1066" s="0" t="n">
        <v>1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29</v>
      </c>
      <c r="Y1066" s="0" t="n">
        <v>23</v>
      </c>
      <c r="Z1066" s="0" t="inlineStr">
        <is>
          <t>https://new.land.naver.com/complexes/108416?tab=detail&amp;rf=Y</t>
        </is>
      </c>
      <c r="AA1066" s="0" t="inlineStr">
        <is>
          <t>인천시 남동구 구월동 1508</t>
        </is>
      </c>
      <c r="AB1066" s="0" t="inlineStr">
        <is>
          <t>인천시</t>
        </is>
      </c>
      <c r="AC1066" s="0" t="inlineStr">
        <is>
          <t>남동구</t>
        </is>
      </c>
      <c r="AD1066" s="0" t="inlineStr">
        <is>
          <t>구월동</t>
        </is>
      </c>
      <c r="AG1066" s="0" t="inlineStr">
        <is>
          <t>인천시 남동구 선수촌로 75</t>
        </is>
      </c>
      <c r="AH1066" s="0" t="n">
        <v>0</v>
      </c>
      <c r="AI1066" s="0" t="n">
        <v>199</v>
      </c>
      <c r="AJ1066" s="0" t="n">
        <v>13</v>
      </c>
      <c r="AK1066" s="0" t="n">
        <v>1083</v>
      </c>
      <c r="AL1066" s="0" t="n">
        <v>1.26</v>
      </c>
    </row>
    <row r="1067">
      <c r="A1067" s="0" t="inlineStr">
        <is>
          <t>[구월동]</t>
        </is>
      </c>
      <c r="B1067" s="0" t="n">
        <v>108416</v>
      </c>
      <c r="C1067" s="0" t="n">
        <v>7</v>
      </c>
      <c r="D1067" s="0" t="inlineStr">
        <is>
          <t>구월유승한내들퍼스티지</t>
        </is>
      </c>
      <c r="E1067" s="0" t="inlineStr">
        <is>
          <t>2016.12.</t>
        </is>
      </c>
      <c r="F1067" s="0" t="n">
        <v>860</v>
      </c>
      <c r="G1067" s="0" t="n">
        <v>49.84</v>
      </c>
      <c r="H1067" s="0" t="n">
        <v>164.77</v>
      </c>
      <c r="I1067" s="0" t="n">
        <v>37.51</v>
      </c>
      <c r="J1067" s="0" t="n">
        <v>124.03</v>
      </c>
      <c r="K1067" s="0" t="n">
        <v>3</v>
      </c>
      <c r="T1067" s="0" t="n">
        <v>4</v>
      </c>
      <c r="U1067" s="0" t="n">
        <v>2</v>
      </c>
      <c r="V1067" s="0" t="inlineStr">
        <is>
          <t>계단식</t>
        </is>
      </c>
      <c r="W1067" s="0" t="inlineStr">
        <is>
          <t>164A</t>
        </is>
      </c>
      <c r="X1067" s="0" t="n">
        <v>29</v>
      </c>
      <c r="Y1067" s="0" t="n">
        <v>23</v>
      </c>
      <c r="Z1067" s="0" t="inlineStr">
        <is>
          <t>https://new.land.naver.com/complexes/108416?tab=detail&amp;rf=Y</t>
        </is>
      </c>
      <c r="AA1067" s="0" t="inlineStr">
        <is>
          <t>인천시 남동구 구월동 1508</t>
        </is>
      </c>
      <c r="AB1067" s="0" t="inlineStr">
        <is>
          <t>인천시</t>
        </is>
      </c>
      <c r="AC1067" s="0" t="inlineStr">
        <is>
          <t>남동구</t>
        </is>
      </c>
      <c r="AD1067" s="0" t="inlineStr">
        <is>
          <t>구월동</t>
        </is>
      </c>
      <c r="AG1067" s="0" t="inlineStr">
        <is>
          <t>인천시 남동구 선수촌로 75</t>
        </is>
      </c>
      <c r="AH1067" s="0" t="n">
        <v>0</v>
      </c>
      <c r="AI1067" s="0" t="n">
        <v>199</v>
      </c>
      <c r="AJ1067" s="0" t="n">
        <v>13</v>
      </c>
      <c r="AK1067" s="0" t="n">
        <v>1083</v>
      </c>
      <c r="AL1067" s="0" t="n">
        <v>1.26</v>
      </c>
    </row>
    <row r="1068">
      <c r="A1068" s="0" t="inlineStr">
        <is>
          <t>[구월동]</t>
        </is>
      </c>
      <c r="B1068" s="0" t="n">
        <v>9802</v>
      </c>
      <c r="C1068" s="0" t="n">
        <v>1</v>
      </c>
      <c r="D1068" s="0" t="inlineStr">
        <is>
          <t>삼보</t>
        </is>
      </c>
      <c r="E1068" s="0" t="inlineStr">
        <is>
          <t>1984.01.</t>
        </is>
      </c>
      <c r="F1068" s="0" t="n">
        <v>90</v>
      </c>
      <c r="G1068" s="0" t="n">
        <v>22.63</v>
      </c>
      <c r="H1068" s="0" t="n">
        <v>74.84</v>
      </c>
      <c r="I1068" s="0" t="n">
        <v>20.25</v>
      </c>
      <c r="J1068" s="0" t="n">
        <v>66.95999999999999</v>
      </c>
      <c r="K1068" s="0" t="n">
        <v>30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74B</t>
        </is>
      </c>
      <c r="X1068" s="0" t="n">
        <v>5</v>
      </c>
      <c r="Y1068" s="0" t="n">
        <v>4</v>
      </c>
      <c r="Z1068" s="0" t="inlineStr">
        <is>
          <t>https://new.land.naver.com/complexes/9802?tab=detail&amp;rf=Y</t>
        </is>
      </c>
      <c r="AA1068" s="0" t="inlineStr">
        <is>
          <t>인천시 남동구 구월동 1187</t>
        </is>
      </c>
      <c r="AB1068" s="0" t="inlineStr">
        <is>
          <t>인천시</t>
        </is>
      </c>
      <c r="AC1068" s="0" t="inlineStr">
        <is>
          <t>남동구</t>
        </is>
      </c>
      <c r="AD1068" s="0" t="inlineStr">
        <is>
          <t>구월동</t>
        </is>
      </c>
      <c r="AG1068" s="0" t="inlineStr">
        <is>
          <t>인천시 남동구 성리로35번길 20-4</t>
        </is>
      </c>
      <c r="AH1068" s="0" t="n">
        <v>0</v>
      </c>
      <c r="AI1068" s="0" t="n">
        <v>0</v>
      </c>
      <c r="AJ1068" s="0" t="n">
        <v>0</v>
      </c>
      <c r="AK1068" s="0" t="n">
        <v>0</v>
      </c>
      <c r="AL1068" s="0" t="n">
        <v>0</v>
      </c>
    </row>
    <row r="1069">
      <c r="A1069" s="0" t="inlineStr">
        <is>
          <t>[구월동]</t>
        </is>
      </c>
      <c r="B1069" s="0" t="n">
        <v>9802</v>
      </c>
      <c r="C1069" s="0" t="n">
        <v>2</v>
      </c>
      <c r="D1069" s="0" t="inlineStr">
        <is>
          <t>삼보</t>
        </is>
      </c>
      <c r="E1069" s="0" t="inlineStr">
        <is>
          <t>1984.01.</t>
        </is>
      </c>
      <c r="F1069" s="0" t="n">
        <v>90</v>
      </c>
      <c r="G1069" s="0" t="n">
        <v>22.53</v>
      </c>
      <c r="H1069" s="0" t="n">
        <v>74.5</v>
      </c>
      <c r="I1069" s="0" t="n">
        <v>19.98</v>
      </c>
      <c r="J1069" s="0" t="n">
        <v>66.06</v>
      </c>
      <c r="K1069" s="0" t="n">
        <v>20</v>
      </c>
      <c r="T1069" s="0" t="n">
        <v>3</v>
      </c>
      <c r="U1069" s="0" t="n">
        <v>1</v>
      </c>
      <c r="V1069" s="0" t="inlineStr">
        <is>
          <t>계단식</t>
        </is>
      </c>
      <c r="W1069" s="0" t="inlineStr">
        <is>
          <t>74A</t>
        </is>
      </c>
      <c r="X1069" s="0" t="n">
        <v>5</v>
      </c>
      <c r="Y1069" s="0" t="n">
        <v>4</v>
      </c>
      <c r="Z1069" s="0" t="inlineStr">
        <is>
          <t>https://new.land.naver.com/complexes/9802?tab=detail&amp;rf=Y</t>
        </is>
      </c>
      <c r="AA1069" s="0" t="inlineStr">
        <is>
          <t>인천시 남동구 구월동 1187</t>
        </is>
      </c>
      <c r="AB1069" s="0" t="inlineStr">
        <is>
          <t>인천시</t>
        </is>
      </c>
      <c r="AC1069" s="0" t="inlineStr">
        <is>
          <t>남동구</t>
        </is>
      </c>
      <c r="AD1069" s="0" t="inlineStr">
        <is>
          <t>구월동</t>
        </is>
      </c>
      <c r="AG1069" s="0" t="inlineStr">
        <is>
          <t>인천시 남동구 성리로35번길 20-4</t>
        </is>
      </c>
      <c r="AH1069" s="0" t="n">
        <v>0</v>
      </c>
      <c r="AI1069" s="0" t="n">
        <v>0</v>
      </c>
      <c r="AJ1069" s="0" t="n">
        <v>0</v>
      </c>
      <c r="AK1069" s="0" t="n">
        <v>0</v>
      </c>
      <c r="AL1069" s="0" t="n">
        <v>0</v>
      </c>
    </row>
    <row r="1070">
      <c r="A1070" s="0" t="inlineStr">
        <is>
          <t>[구월동]</t>
        </is>
      </c>
      <c r="B1070" s="0" t="n">
        <v>9802</v>
      </c>
      <c r="C1070" s="0" t="n">
        <v>3</v>
      </c>
      <c r="D1070" s="0" t="inlineStr">
        <is>
          <t>삼보</t>
        </is>
      </c>
      <c r="E1070" s="0" t="inlineStr">
        <is>
          <t>1984.01.</t>
        </is>
      </c>
      <c r="F1070" s="0" t="n">
        <v>90</v>
      </c>
      <c r="G1070" s="0" t="n">
        <v>22.38</v>
      </c>
      <c r="H1070" s="0" t="n">
        <v>74</v>
      </c>
      <c r="I1070" s="0" t="n">
        <v>19.84</v>
      </c>
      <c r="J1070" s="0" t="n">
        <v>65.61</v>
      </c>
      <c r="K1070" s="0" t="n">
        <v>16</v>
      </c>
      <c r="T1070" s="0" t="n">
        <v>3</v>
      </c>
      <c r="U1070" s="0" t="n">
        <v>1</v>
      </c>
      <c r="V1070" s="0" t="inlineStr">
        <is>
          <t>계단식</t>
        </is>
      </c>
      <c r="W1070" s="0" t="inlineStr">
        <is>
          <t>74C</t>
        </is>
      </c>
      <c r="X1070" s="0" t="n">
        <v>5</v>
      </c>
      <c r="Y1070" s="0" t="n">
        <v>4</v>
      </c>
      <c r="Z1070" s="0" t="inlineStr">
        <is>
          <t>https://new.land.naver.com/complexes/9802?tab=detail&amp;rf=Y</t>
        </is>
      </c>
      <c r="AA1070" s="0" t="inlineStr">
        <is>
          <t>인천시 남동구 구월동 1187</t>
        </is>
      </c>
      <c r="AB1070" s="0" t="inlineStr">
        <is>
          <t>인천시</t>
        </is>
      </c>
      <c r="AC1070" s="0" t="inlineStr">
        <is>
          <t>남동구</t>
        </is>
      </c>
      <c r="AD1070" s="0" t="inlineStr">
        <is>
          <t>구월동</t>
        </is>
      </c>
      <c r="AG1070" s="0" t="inlineStr">
        <is>
          <t>인천시 남동구 성리로35번길 20-4</t>
        </is>
      </c>
      <c r="AH1070" s="0" t="n">
        <v>0</v>
      </c>
      <c r="AI1070" s="0" t="n">
        <v>0</v>
      </c>
      <c r="AJ1070" s="0" t="n">
        <v>0</v>
      </c>
      <c r="AK1070" s="0" t="n">
        <v>0</v>
      </c>
      <c r="AL1070" s="0" t="n">
        <v>0</v>
      </c>
    </row>
    <row r="1071">
      <c r="A1071" s="0" t="inlineStr">
        <is>
          <t>[구월동]</t>
        </is>
      </c>
      <c r="B1071" s="0" t="n">
        <v>9802</v>
      </c>
      <c r="C1071" s="0" t="n">
        <v>4</v>
      </c>
      <c r="D1071" s="0" t="inlineStr">
        <is>
          <t>삼보</t>
        </is>
      </c>
      <c r="E1071" s="0" t="inlineStr">
        <is>
          <t>1984.01.</t>
        </is>
      </c>
      <c r="F1071" s="0" t="n">
        <v>90</v>
      </c>
      <c r="G1071" s="0" t="n">
        <v>22.94</v>
      </c>
      <c r="H1071" s="0" t="n">
        <v>75.84999999999999</v>
      </c>
      <c r="I1071" s="0" t="n">
        <v>20.41</v>
      </c>
      <c r="J1071" s="0" t="n">
        <v>67.5</v>
      </c>
      <c r="K1071" s="0" t="n">
        <v>20</v>
      </c>
      <c r="T1071" s="0" t="n">
        <v>3</v>
      </c>
      <c r="U1071" s="0" t="n">
        <v>1</v>
      </c>
      <c r="V1071" s="0" t="inlineStr">
        <is>
          <t>계단식</t>
        </is>
      </c>
      <c r="W1071" s="0" t="inlineStr">
        <is>
          <t>75D</t>
        </is>
      </c>
      <c r="X1071" s="0" t="n">
        <v>5</v>
      </c>
      <c r="Y1071" s="0" t="n">
        <v>4</v>
      </c>
      <c r="Z1071" s="0" t="inlineStr">
        <is>
          <t>https://new.land.naver.com/complexes/9802?tab=detail&amp;rf=Y</t>
        </is>
      </c>
      <c r="AA1071" s="0" t="inlineStr">
        <is>
          <t>인천시 남동구 구월동 1187</t>
        </is>
      </c>
      <c r="AB1071" s="0" t="inlineStr">
        <is>
          <t>인천시</t>
        </is>
      </c>
      <c r="AC1071" s="0" t="inlineStr">
        <is>
          <t>남동구</t>
        </is>
      </c>
      <c r="AD1071" s="0" t="inlineStr">
        <is>
          <t>구월동</t>
        </is>
      </c>
      <c r="AG1071" s="0" t="inlineStr">
        <is>
          <t>인천시 남동구 성리로35번길 20-4</t>
        </is>
      </c>
      <c r="AH1071" s="0" t="n">
        <v>0</v>
      </c>
      <c r="AI1071" s="0" t="n">
        <v>0</v>
      </c>
      <c r="AJ1071" s="0" t="n">
        <v>0</v>
      </c>
      <c r="AK1071" s="0" t="n">
        <v>0</v>
      </c>
      <c r="AL1071" s="0" t="n">
        <v>0</v>
      </c>
    </row>
    <row r="1072">
      <c r="A1072" s="0" t="inlineStr">
        <is>
          <t>[구월동]</t>
        </is>
      </c>
      <c r="B1072" s="0" t="n">
        <v>9802</v>
      </c>
      <c r="C1072" s="0" t="n">
        <v>5</v>
      </c>
      <c r="D1072" s="0" t="inlineStr">
        <is>
          <t>삼보</t>
        </is>
      </c>
      <c r="E1072" s="0" t="inlineStr">
        <is>
          <t>1984.01.</t>
        </is>
      </c>
      <c r="F1072" s="0" t="n">
        <v>90</v>
      </c>
      <c r="G1072" s="0" t="n">
        <v>25.32</v>
      </c>
      <c r="H1072" s="0" t="n">
        <v>83.72</v>
      </c>
      <c r="I1072" s="0" t="n">
        <v>22.78</v>
      </c>
      <c r="J1072" s="0" t="n">
        <v>75.33</v>
      </c>
      <c r="K1072" s="0" t="n">
        <v>4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83</v>
      </c>
      <c r="X1072" s="0" t="n">
        <v>5</v>
      </c>
      <c r="Y1072" s="0" t="n">
        <v>4</v>
      </c>
      <c r="Z1072" s="0" t="inlineStr">
        <is>
          <t>https://new.land.naver.com/complexes/9802?tab=detail&amp;rf=Y</t>
        </is>
      </c>
      <c r="AA1072" s="0" t="inlineStr">
        <is>
          <t>인천시 남동구 구월동 1187</t>
        </is>
      </c>
      <c r="AB1072" s="0" t="inlineStr">
        <is>
          <t>인천시</t>
        </is>
      </c>
      <c r="AC1072" s="0" t="inlineStr">
        <is>
          <t>남동구</t>
        </is>
      </c>
      <c r="AD1072" s="0" t="inlineStr">
        <is>
          <t>구월동</t>
        </is>
      </c>
      <c r="AG1072" s="0" t="inlineStr">
        <is>
          <t>인천시 남동구 성리로35번길 20-4</t>
        </is>
      </c>
      <c r="AH1072" s="0" t="n">
        <v>0</v>
      </c>
      <c r="AI1072" s="0" t="n">
        <v>0</v>
      </c>
      <c r="AJ1072" s="0" t="n">
        <v>0</v>
      </c>
      <c r="AK1072" s="0" t="n">
        <v>0</v>
      </c>
      <c r="AL1072" s="0" t="n">
        <v>0</v>
      </c>
    </row>
    <row r="1073">
      <c r="A1073" s="0" t="inlineStr">
        <is>
          <t>[구월동]</t>
        </is>
      </c>
      <c r="B1073" s="0" t="n">
        <v>112182</v>
      </c>
      <c r="C1073" s="0" t="n">
        <v>1</v>
      </c>
      <c r="D1073" s="0" t="inlineStr">
        <is>
          <t>현대홈타운(1133)</t>
        </is>
      </c>
      <c r="E1073" s="0" t="inlineStr">
        <is>
          <t>2015.06.</t>
        </is>
      </c>
      <c r="F1073" s="0" t="n">
        <v>50</v>
      </c>
      <c r="G1073" s="0" t="n">
        <v>16.41</v>
      </c>
      <c r="H1073" s="0" t="n">
        <v>54.28</v>
      </c>
      <c r="I1073" s="0" t="n">
        <v>10.9</v>
      </c>
      <c r="J1073" s="0" t="n">
        <v>36.06</v>
      </c>
      <c r="K1073" s="0" t="n">
        <v>10</v>
      </c>
      <c r="T1073" s="0" t="n">
        <v>2</v>
      </c>
      <c r="U1073" s="0" t="n">
        <v>1</v>
      </c>
      <c r="V1073" s="0" t="inlineStr">
        <is>
          <t>계단식</t>
        </is>
      </c>
      <c r="W1073" s="0" t="n">
        <v>54</v>
      </c>
      <c r="X1073" s="0" t="n">
        <v>14</v>
      </c>
      <c r="Y1073" s="0" t="n">
        <v>14</v>
      </c>
      <c r="Z1073" s="0" t="inlineStr">
        <is>
          <t>https://new.land.naver.com/complexes/112182?tab=detail&amp;rf=Y</t>
        </is>
      </c>
      <c r="AA1073" s="0" t="inlineStr">
        <is>
          <t>인천시 남동구 구월동 1133</t>
        </is>
      </c>
      <c r="AB1073" s="0" t="inlineStr">
        <is>
          <t>인천시</t>
        </is>
      </c>
      <c r="AC1073" s="0" t="inlineStr">
        <is>
          <t>남동구</t>
        </is>
      </c>
      <c r="AD1073" s="0" t="inlineStr">
        <is>
          <t>구월동</t>
        </is>
      </c>
      <c r="AG1073" s="0" t="inlineStr">
        <is>
          <t>인천시 남동구 예술로226번길 28</t>
        </is>
      </c>
      <c r="AH1073" s="0" t="n">
        <v>0</v>
      </c>
      <c r="AI1073" s="0" t="n">
        <v>595</v>
      </c>
      <c r="AJ1073" s="0" t="n">
        <v>54</v>
      </c>
      <c r="AK1073" s="0" t="n">
        <v>34</v>
      </c>
      <c r="AL1073" s="0" t="n">
        <v>0.68</v>
      </c>
    </row>
    <row r="1074">
      <c r="A1074" s="0" t="inlineStr">
        <is>
          <t>[구월동]</t>
        </is>
      </c>
      <c r="B1074" s="0" t="n">
        <v>112182</v>
      </c>
      <c r="C1074" s="0" t="n">
        <v>2</v>
      </c>
      <c r="D1074" s="0" t="inlineStr">
        <is>
          <t>현대홈타운(1133)</t>
        </is>
      </c>
      <c r="E1074" s="0" t="inlineStr">
        <is>
          <t>2015.06.</t>
        </is>
      </c>
      <c r="F1074" s="0" t="n">
        <v>50</v>
      </c>
      <c r="G1074" s="0" t="n">
        <v>17.84</v>
      </c>
      <c r="H1074" s="0" t="n">
        <v>58.98</v>
      </c>
      <c r="I1074" s="0" t="n">
        <v>11.99</v>
      </c>
      <c r="J1074" s="0" t="n">
        <v>39.66</v>
      </c>
      <c r="K1074" s="0" t="n">
        <v>10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58</v>
      </c>
      <c r="X1074" s="0" t="n">
        <v>14</v>
      </c>
      <c r="Y1074" s="0" t="n">
        <v>14</v>
      </c>
      <c r="Z1074" s="0" t="inlineStr">
        <is>
          <t>https://new.land.naver.com/complexes/112182?tab=detail&amp;rf=Y</t>
        </is>
      </c>
      <c r="AA1074" s="0" t="inlineStr">
        <is>
          <t>인천시 남동구 구월동 1133</t>
        </is>
      </c>
      <c r="AB1074" s="0" t="inlineStr">
        <is>
          <t>인천시</t>
        </is>
      </c>
      <c r="AC1074" s="0" t="inlineStr">
        <is>
          <t>남동구</t>
        </is>
      </c>
      <c r="AD1074" s="0" t="inlineStr">
        <is>
          <t>구월동</t>
        </is>
      </c>
      <c r="AG1074" s="0" t="inlineStr">
        <is>
          <t>인천시 남동구 예술로226번길 28</t>
        </is>
      </c>
      <c r="AH1074" s="0" t="n">
        <v>0</v>
      </c>
      <c r="AI1074" s="0" t="n">
        <v>595</v>
      </c>
      <c r="AJ1074" s="0" t="n">
        <v>54</v>
      </c>
      <c r="AK1074" s="0" t="n">
        <v>34</v>
      </c>
      <c r="AL1074" s="0" t="n">
        <v>0.68</v>
      </c>
    </row>
    <row r="1075">
      <c r="A1075" s="0" t="inlineStr">
        <is>
          <t>[구월동]</t>
        </is>
      </c>
      <c r="B1075" s="0" t="n">
        <v>112182</v>
      </c>
      <c r="C1075" s="0" t="n">
        <v>3</v>
      </c>
      <c r="D1075" s="0" t="inlineStr">
        <is>
          <t>현대홈타운(1133)</t>
        </is>
      </c>
      <c r="E1075" s="0" t="inlineStr">
        <is>
          <t>2015.06.</t>
        </is>
      </c>
      <c r="F1075" s="0" t="n">
        <v>50</v>
      </c>
      <c r="G1075" s="0" t="n">
        <v>19.13</v>
      </c>
      <c r="H1075" s="0" t="n">
        <v>63.26</v>
      </c>
      <c r="I1075" s="0" t="n">
        <v>12.76</v>
      </c>
      <c r="J1075" s="0" t="n">
        <v>42.19</v>
      </c>
      <c r="K1075" s="0" t="n">
        <v>10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14</v>
      </c>
      <c r="Y1075" s="0" t="n">
        <v>14</v>
      </c>
      <c r="Z1075" s="0" t="inlineStr">
        <is>
          <t>https://new.land.naver.com/complexes/112182?tab=detail&amp;rf=Y</t>
        </is>
      </c>
      <c r="AA1075" s="0" t="inlineStr">
        <is>
          <t>인천시 남동구 구월동 1133</t>
        </is>
      </c>
      <c r="AB1075" s="0" t="inlineStr">
        <is>
          <t>인천시</t>
        </is>
      </c>
      <c r="AC1075" s="0" t="inlineStr">
        <is>
          <t>남동구</t>
        </is>
      </c>
      <c r="AD1075" s="0" t="inlineStr">
        <is>
          <t>구월동</t>
        </is>
      </c>
      <c r="AG1075" s="0" t="inlineStr">
        <is>
          <t>인천시 남동구 예술로226번길 28</t>
        </is>
      </c>
      <c r="AH1075" s="0" t="n">
        <v>0</v>
      </c>
      <c r="AI1075" s="0" t="n">
        <v>595</v>
      </c>
      <c r="AJ1075" s="0" t="n">
        <v>54</v>
      </c>
      <c r="AK1075" s="0" t="n">
        <v>34</v>
      </c>
      <c r="AL1075" s="0" t="n">
        <v>0.68</v>
      </c>
    </row>
    <row r="1076">
      <c r="A1076" s="0" t="inlineStr">
        <is>
          <t>[구월동]</t>
        </is>
      </c>
      <c r="B1076" s="0" t="n">
        <v>112182</v>
      </c>
      <c r="C1076" s="0" t="n">
        <v>4</v>
      </c>
      <c r="D1076" s="0" t="inlineStr">
        <is>
          <t>현대홈타운(1133)</t>
        </is>
      </c>
      <c r="E1076" s="0" t="inlineStr">
        <is>
          <t>2015.06.</t>
        </is>
      </c>
      <c r="F1076" s="0" t="n">
        <v>50</v>
      </c>
      <c r="G1076" s="0" t="n">
        <v>19.95</v>
      </c>
      <c r="H1076" s="0" t="n">
        <v>65.98</v>
      </c>
      <c r="I1076" s="0" t="n">
        <v>13.47</v>
      </c>
      <c r="J1076" s="0" t="n">
        <v>44.53</v>
      </c>
      <c r="K1076" s="0" t="n">
        <v>10</v>
      </c>
      <c r="T1076" s="0" t="n">
        <v>3</v>
      </c>
      <c r="U1076" s="0" t="n">
        <v>1</v>
      </c>
      <c r="V1076" s="0" t="inlineStr">
        <is>
          <t>계단식</t>
        </is>
      </c>
      <c r="W1076" s="0" t="n">
        <v>65</v>
      </c>
      <c r="X1076" s="0" t="n">
        <v>14</v>
      </c>
      <c r="Y1076" s="0" t="n">
        <v>14</v>
      </c>
      <c r="Z1076" s="0" t="inlineStr">
        <is>
          <t>https://new.land.naver.com/complexes/112182?tab=detail&amp;rf=Y</t>
        </is>
      </c>
      <c r="AA1076" s="0" t="inlineStr">
        <is>
          <t>인천시 남동구 구월동 1133</t>
        </is>
      </c>
      <c r="AB1076" s="0" t="inlineStr">
        <is>
          <t>인천시</t>
        </is>
      </c>
      <c r="AC1076" s="0" t="inlineStr">
        <is>
          <t>남동구</t>
        </is>
      </c>
      <c r="AD1076" s="0" t="inlineStr">
        <is>
          <t>구월동</t>
        </is>
      </c>
      <c r="AG1076" s="0" t="inlineStr">
        <is>
          <t>인천시 남동구 예술로226번길 28</t>
        </is>
      </c>
      <c r="AH1076" s="0" t="n">
        <v>0</v>
      </c>
      <c r="AI1076" s="0" t="n">
        <v>595</v>
      </c>
      <c r="AJ1076" s="0" t="n">
        <v>54</v>
      </c>
      <c r="AK1076" s="0" t="n">
        <v>34</v>
      </c>
      <c r="AL1076" s="0" t="n">
        <v>0.68</v>
      </c>
    </row>
    <row r="1077">
      <c r="A1077" s="0" t="inlineStr">
        <is>
          <t>[구월동]</t>
        </is>
      </c>
      <c r="B1077" s="0" t="n">
        <v>112182</v>
      </c>
      <c r="C1077" s="0" t="n">
        <v>5</v>
      </c>
      <c r="D1077" s="0" t="inlineStr">
        <is>
          <t>현대홈타운(1133)</t>
        </is>
      </c>
      <c r="E1077" s="0" t="inlineStr">
        <is>
          <t>2015.06.</t>
        </is>
      </c>
      <c r="F1077" s="0" t="n">
        <v>50</v>
      </c>
      <c r="G1077" s="0" t="n">
        <v>22.11</v>
      </c>
      <c r="H1077" s="0" t="n">
        <v>73.11</v>
      </c>
      <c r="I1077" s="0" t="n">
        <v>14.81</v>
      </c>
      <c r="J1077" s="0" t="n">
        <v>48.96</v>
      </c>
      <c r="K1077" s="0" t="n">
        <v>10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73</v>
      </c>
      <c r="X1077" s="0" t="n">
        <v>14</v>
      </c>
      <c r="Y1077" s="0" t="n">
        <v>14</v>
      </c>
      <c r="Z1077" s="0" t="inlineStr">
        <is>
          <t>https://new.land.naver.com/complexes/112182?tab=detail&amp;rf=Y</t>
        </is>
      </c>
      <c r="AA1077" s="0" t="inlineStr">
        <is>
          <t>인천시 남동구 구월동 1133</t>
        </is>
      </c>
      <c r="AB1077" s="0" t="inlineStr">
        <is>
          <t>인천시</t>
        </is>
      </c>
      <c r="AC1077" s="0" t="inlineStr">
        <is>
          <t>남동구</t>
        </is>
      </c>
      <c r="AD1077" s="0" t="inlineStr">
        <is>
          <t>구월동</t>
        </is>
      </c>
      <c r="AG1077" s="0" t="inlineStr">
        <is>
          <t>인천시 남동구 예술로226번길 28</t>
        </is>
      </c>
      <c r="AH1077" s="0" t="n">
        <v>0</v>
      </c>
      <c r="AI1077" s="0" t="n">
        <v>595</v>
      </c>
      <c r="AJ1077" s="0" t="n">
        <v>54</v>
      </c>
      <c r="AK1077" s="0" t="n">
        <v>34</v>
      </c>
      <c r="AL1077" s="0" t="n">
        <v>0.68</v>
      </c>
    </row>
    <row r="1078">
      <c r="A1078" s="0" t="inlineStr">
        <is>
          <t>[구월동]</t>
        </is>
      </c>
      <c r="B1078" s="0" t="n">
        <v>129645</v>
      </c>
      <c r="C1078" s="0" t="n">
        <v>1</v>
      </c>
      <c r="D1078" s="0" t="inlineStr">
        <is>
          <t>뷰그리안구월</t>
        </is>
      </c>
      <c r="E1078" s="0" t="inlineStr">
        <is>
          <t>2022.03.</t>
        </is>
      </c>
      <c r="F1078" s="0" t="n">
        <v>120</v>
      </c>
      <c r="G1078" s="0" t="n">
        <v>22.76</v>
      </c>
      <c r="H1078" s="0" t="n">
        <v>75.23999999999999</v>
      </c>
      <c r="I1078" s="0" t="n">
        <v>17.03</v>
      </c>
      <c r="J1078" s="0" t="n">
        <v>56.31</v>
      </c>
      <c r="K1078" s="0" t="n">
        <v>120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75</v>
      </c>
      <c r="X1078" s="0" t="n">
        <v>28</v>
      </c>
      <c r="Y1078" s="0" t="n">
        <v>28</v>
      </c>
      <c r="Z1078" s="0" t="inlineStr">
        <is>
          <t>https://new.land.naver.com/complexes/129645?tab=detail&amp;rf=Y</t>
        </is>
      </c>
      <c r="AA1078" s="0" t="inlineStr">
        <is>
          <t>인천시 남동구 구월동 341-12</t>
        </is>
      </c>
      <c r="AB1078" s="0" t="inlineStr">
        <is>
          <t>인천시</t>
        </is>
      </c>
      <c r="AC1078" s="0" t="inlineStr">
        <is>
          <t>남동구</t>
        </is>
      </c>
      <c r="AD1078" s="0" t="inlineStr">
        <is>
          <t>구월동</t>
        </is>
      </c>
      <c r="AG1078" s="0" t="inlineStr">
        <is>
          <t>인천시 남동구</t>
        </is>
      </c>
      <c r="AH1078" s="0" t="n">
        <v>0</v>
      </c>
      <c r="AI1078" s="0" t="n">
        <v>378</v>
      </c>
      <c r="AJ1078" s="0" t="n">
        <v>25</v>
      </c>
      <c r="AK1078" s="0" t="n">
        <v>120</v>
      </c>
      <c r="AL1078" s="0" t="n">
        <v>1</v>
      </c>
    </row>
    <row r="1079">
      <c r="A1079" s="0" t="inlineStr">
        <is>
          <t>[구월동]</t>
        </is>
      </c>
      <c r="B1079" s="0" t="n">
        <v>9182</v>
      </c>
      <c r="C1079" s="0" t="n">
        <v>1</v>
      </c>
      <c r="D1079" s="0" t="inlineStr">
        <is>
          <t>희망</t>
        </is>
      </c>
      <c r="E1079" s="0" t="inlineStr">
        <is>
          <t>1983.05.</t>
        </is>
      </c>
      <c r="F1079" s="0" t="n">
        <v>145</v>
      </c>
      <c r="G1079" s="0" t="n">
        <v>17.95</v>
      </c>
      <c r="H1079" s="0" t="n">
        <v>59.34</v>
      </c>
      <c r="I1079" s="0" t="n">
        <v>14.95</v>
      </c>
      <c r="J1079" s="0" t="n">
        <v>49.45</v>
      </c>
      <c r="K1079" s="0" t="n">
        <v>140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59</v>
      </c>
      <c r="X1079" s="0" t="n">
        <v>5</v>
      </c>
      <c r="Y1079" s="0" t="n">
        <v>5</v>
      </c>
      <c r="Z1079" s="0" t="inlineStr">
        <is>
          <t>https://new.land.naver.com/complexes/9182?tab=detail&amp;rf=Y</t>
        </is>
      </c>
      <c r="AA1079" s="0" t="inlineStr">
        <is>
          <t>인천시 남동구 구월동 70-17</t>
        </is>
      </c>
      <c r="AB1079" s="0" t="inlineStr">
        <is>
          <t>인천시</t>
        </is>
      </c>
      <c r="AC1079" s="0" t="inlineStr">
        <is>
          <t>남동구</t>
        </is>
      </c>
      <c r="AD1079" s="0" t="inlineStr">
        <is>
          <t>구월동</t>
        </is>
      </c>
      <c r="AG1079" s="0" t="inlineStr">
        <is>
          <t>인천시 남동구 석산로184번길 41</t>
        </is>
      </c>
      <c r="AH1079" s="0" t="n">
        <v>0</v>
      </c>
      <c r="AI1079" s="0" t="n">
        <v>114</v>
      </c>
      <c r="AJ1079" s="0" t="n">
        <v>22</v>
      </c>
      <c r="AK1079" s="0" t="n">
        <v>0</v>
      </c>
      <c r="AL1079" s="0" t="n">
        <v>0</v>
      </c>
    </row>
    <row r="1080">
      <c r="A1080" s="0" t="inlineStr">
        <is>
          <t>[구월동]</t>
        </is>
      </c>
      <c r="B1080" s="0" t="n">
        <v>9182</v>
      </c>
      <c r="C1080" s="0" t="n">
        <v>2</v>
      </c>
      <c r="D1080" s="0" t="inlineStr">
        <is>
          <t>희망</t>
        </is>
      </c>
      <c r="E1080" s="0" t="inlineStr">
        <is>
          <t>1983.05.</t>
        </is>
      </c>
      <c r="F1080" s="0" t="n">
        <v>145</v>
      </c>
      <c r="G1080" s="0" t="n">
        <v>21.72</v>
      </c>
      <c r="H1080" s="0" t="n">
        <v>71.81999999999999</v>
      </c>
      <c r="I1080" s="0" t="n">
        <v>18.1</v>
      </c>
      <c r="J1080" s="0" t="n">
        <v>59.85</v>
      </c>
      <c r="K1080" s="0" t="n">
        <v>5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71</v>
      </c>
      <c r="X1080" s="0" t="n">
        <v>5</v>
      </c>
      <c r="Y1080" s="0" t="n">
        <v>5</v>
      </c>
      <c r="Z1080" s="0" t="inlineStr">
        <is>
          <t>https://new.land.naver.com/complexes/9182?tab=detail&amp;rf=Y</t>
        </is>
      </c>
      <c r="AA1080" s="0" t="inlineStr">
        <is>
          <t>인천시 남동구 구월동 70-17</t>
        </is>
      </c>
      <c r="AB1080" s="0" t="inlineStr">
        <is>
          <t>인천시</t>
        </is>
      </c>
      <c r="AC1080" s="0" t="inlineStr">
        <is>
          <t>남동구</t>
        </is>
      </c>
      <c r="AD1080" s="0" t="inlineStr">
        <is>
          <t>구월동</t>
        </is>
      </c>
      <c r="AG1080" s="0" t="inlineStr">
        <is>
          <t>인천시 남동구 석산로184번길 41</t>
        </is>
      </c>
      <c r="AH1080" s="0" t="n">
        <v>0</v>
      </c>
      <c r="AI1080" s="0" t="n">
        <v>114</v>
      </c>
      <c r="AJ1080" s="0" t="n">
        <v>22</v>
      </c>
      <c r="AK1080" s="0" t="n">
        <v>0</v>
      </c>
      <c r="AL1080" s="0" t="n">
        <v>0</v>
      </c>
    </row>
    <row r="1081">
      <c r="A1081" s="0" t="inlineStr">
        <is>
          <t>[구월동]</t>
        </is>
      </c>
      <c r="B1081" s="0" t="n">
        <v>112334</v>
      </c>
      <c r="C1081" s="0" t="n">
        <v>1</v>
      </c>
      <c r="D1081" s="0" t="inlineStr">
        <is>
          <t>구월3룩소르(도시형)</t>
        </is>
      </c>
      <c r="E1081" s="0" t="inlineStr">
        <is>
          <t>2014.05.</t>
        </is>
      </c>
      <c r="F1081" s="0" t="n">
        <v>80</v>
      </c>
      <c r="G1081" s="0" t="n">
        <v>7.44</v>
      </c>
      <c r="H1081" s="0" t="n">
        <v>24.6</v>
      </c>
      <c r="I1081" s="0" t="n">
        <v>5.86</v>
      </c>
      <c r="J1081" s="0" t="n">
        <v>19.4</v>
      </c>
      <c r="K1081" s="0" t="n">
        <v>8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24</v>
      </c>
      <c r="X1081" s="0" t="n">
        <v>14</v>
      </c>
      <c r="Y1081" s="0" t="n">
        <v>14</v>
      </c>
      <c r="Z1081" s="0" t="inlineStr">
        <is>
          <t>https://new.land.naver.com/complexes/112334?tab=detail&amp;rf=Y</t>
        </is>
      </c>
      <c r="AA1081" s="0" t="inlineStr">
        <is>
          <t>인천시 남동구 구월동 1129-1</t>
        </is>
      </c>
      <c r="AB1081" s="0" t="inlineStr">
        <is>
          <t>인천시</t>
        </is>
      </c>
      <c r="AC1081" s="0" t="inlineStr">
        <is>
          <t>남동구</t>
        </is>
      </c>
      <c r="AD1081" s="0" t="inlineStr">
        <is>
          <t>구월동</t>
        </is>
      </c>
      <c r="AG1081" s="0" t="inlineStr">
        <is>
          <t>인천시 남동구 인주대로591번길 38</t>
        </is>
      </c>
      <c r="AH1081" s="0" t="n">
        <v>0</v>
      </c>
      <c r="AI1081" s="0" t="n">
        <v>675</v>
      </c>
      <c r="AJ1081" s="0" t="n">
        <v>64</v>
      </c>
      <c r="AK1081" s="0" t="n">
        <v>40</v>
      </c>
      <c r="AL1081" s="0" t="n">
        <v>0.5</v>
      </c>
    </row>
    <row r="1082">
      <c r="A1082" s="0" t="inlineStr">
        <is>
          <t>[구월동]</t>
        </is>
      </c>
      <c r="B1082" s="0" t="n">
        <v>112334</v>
      </c>
      <c r="C1082" s="0" t="n">
        <v>2</v>
      </c>
      <c r="D1082" s="0" t="inlineStr">
        <is>
          <t>구월3룩소르(도시형)</t>
        </is>
      </c>
      <c r="E1082" s="0" t="inlineStr">
        <is>
          <t>2014.05.</t>
        </is>
      </c>
      <c r="F1082" s="0" t="n">
        <v>80</v>
      </c>
      <c r="G1082" s="0" t="n">
        <v>8.59</v>
      </c>
      <c r="H1082" s="0" t="n">
        <v>28.42</v>
      </c>
      <c r="I1082" s="0" t="n">
        <v>6.78</v>
      </c>
      <c r="J1082" s="0" t="n">
        <v>22.42</v>
      </c>
      <c r="K1082" s="0" t="n">
        <v>12</v>
      </c>
      <c r="T1082" s="0" t="n">
        <v>1</v>
      </c>
      <c r="U1082" s="0" t="n">
        <v>1</v>
      </c>
      <c r="V1082" s="0" t="inlineStr">
        <is>
          <t>계단식</t>
        </is>
      </c>
      <c r="W1082" s="0" t="inlineStr">
        <is>
          <t>28A</t>
        </is>
      </c>
      <c r="X1082" s="0" t="n">
        <v>14</v>
      </c>
      <c r="Y1082" s="0" t="n">
        <v>14</v>
      </c>
      <c r="Z1082" s="0" t="inlineStr">
        <is>
          <t>https://new.land.naver.com/complexes/112334?tab=detail&amp;rf=Y</t>
        </is>
      </c>
      <c r="AA1082" s="0" t="inlineStr">
        <is>
          <t>인천시 남동구 구월동 1129-1</t>
        </is>
      </c>
      <c r="AB1082" s="0" t="inlineStr">
        <is>
          <t>인천시</t>
        </is>
      </c>
      <c r="AC1082" s="0" t="inlineStr">
        <is>
          <t>남동구</t>
        </is>
      </c>
      <c r="AD1082" s="0" t="inlineStr">
        <is>
          <t>구월동</t>
        </is>
      </c>
      <c r="AG1082" s="0" t="inlineStr">
        <is>
          <t>인천시 남동구 인주대로591번길 38</t>
        </is>
      </c>
      <c r="AH1082" s="0" t="n">
        <v>0</v>
      </c>
      <c r="AI1082" s="0" t="n">
        <v>675</v>
      </c>
      <c r="AJ1082" s="0" t="n">
        <v>64</v>
      </c>
      <c r="AK1082" s="0" t="n">
        <v>40</v>
      </c>
      <c r="AL1082" s="0" t="n">
        <v>0.5</v>
      </c>
    </row>
    <row r="1083">
      <c r="A1083" s="0" t="inlineStr">
        <is>
          <t>[구월동]</t>
        </is>
      </c>
      <c r="B1083" s="0" t="n">
        <v>112334</v>
      </c>
      <c r="C1083" s="0" t="n">
        <v>3</v>
      </c>
      <c r="D1083" s="0" t="inlineStr">
        <is>
          <t>구월3룩소르(도시형)</t>
        </is>
      </c>
      <c r="E1083" s="0" t="inlineStr">
        <is>
          <t>2014.05.</t>
        </is>
      </c>
      <c r="F1083" s="0" t="n">
        <v>80</v>
      </c>
      <c r="G1083" s="0" t="n">
        <v>8.93</v>
      </c>
      <c r="H1083" s="0" t="n">
        <v>29.54</v>
      </c>
      <c r="I1083" s="0" t="n">
        <v>7.04</v>
      </c>
      <c r="J1083" s="0" t="n">
        <v>23.3</v>
      </c>
      <c r="K1083" s="0" t="n">
        <v>20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29B</t>
        </is>
      </c>
      <c r="X1083" s="0" t="n">
        <v>14</v>
      </c>
      <c r="Y1083" s="0" t="n">
        <v>14</v>
      </c>
      <c r="Z1083" s="0" t="inlineStr">
        <is>
          <t>https://new.land.naver.com/complexes/112334?tab=detail&amp;rf=Y</t>
        </is>
      </c>
      <c r="AA1083" s="0" t="inlineStr">
        <is>
          <t>인천시 남동구 구월동 1129-1</t>
        </is>
      </c>
      <c r="AB1083" s="0" t="inlineStr">
        <is>
          <t>인천시</t>
        </is>
      </c>
      <c r="AC1083" s="0" t="inlineStr">
        <is>
          <t>남동구</t>
        </is>
      </c>
      <c r="AD1083" s="0" t="inlineStr">
        <is>
          <t>구월동</t>
        </is>
      </c>
      <c r="AG1083" s="0" t="inlineStr">
        <is>
          <t>인천시 남동구 인주대로591번길 38</t>
        </is>
      </c>
      <c r="AH1083" s="0" t="n">
        <v>0</v>
      </c>
      <c r="AI1083" s="0" t="n">
        <v>675</v>
      </c>
      <c r="AJ1083" s="0" t="n">
        <v>64</v>
      </c>
      <c r="AK1083" s="0" t="n">
        <v>40</v>
      </c>
      <c r="AL1083" s="0" t="n">
        <v>0.5</v>
      </c>
    </row>
    <row r="1084">
      <c r="A1084" s="0" t="inlineStr">
        <is>
          <t>[구월동]</t>
        </is>
      </c>
      <c r="B1084" s="0" t="n">
        <v>112334</v>
      </c>
      <c r="C1084" s="0" t="n">
        <v>4</v>
      </c>
      <c r="D1084" s="0" t="inlineStr">
        <is>
          <t>구월3룩소르(도시형)</t>
        </is>
      </c>
      <c r="E1084" s="0" t="inlineStr">
        <is>
          <t>2014.05.</t>
        </is>
      </c>
      <c r="F1084" s="0" t="n">
        <v>80</v>
      </c>
      <c r="G1084" s="0" t="n">
        <v>10.57</v>
      </c>
      <c r="H1084" s="0" t="n">
        <v>34.95</v>
      </c>
      <c r="I1084" s="0" t="n">
        <v>8.33</v>
      </c>
      <c r="J1084" s="0" t="n">
        <v>27.57</v>
      </c>
      <c r="K1084" s="0" t="n">
        <v>40</v>
      </c>
      <c r="T1084" s="0" t="n">
        <v>1</v>
      </c>
      <c r="U1084" s="0" t="n">
        <v>1</v>
      </c>
      <c r="V1084" s="0" t="inlineStr">
        <is>
          <t>계단식</t>
        </is>
      </c>
      <c r="W1084" s="0" t="n">
        <v>34</v>
      </c>
      <c r="X1084" s="0" t="n">
        <v>14</v>
      </c>
      <c r="Y1084" s="0" t="n">
        <v>14</v>
      </c>
      <c r="Z1084" s="0" t="inlineStr">
        <is>
          <t>https://new.land.naver.com/complexes/112334?tab=detail&amp;rf=Y</t>
        </is>
      </c>
      <c r="AA1084" s="0" t="inlineStr">
        <is>
          <t>인천시 남동구 구월동 1129-1</t>
        </is>
      </c>
      <c r="AB1084" s="0" t="inlineStr">
        <is>
          <t>인천시</t>
        </is>
      </c>
      <c r="AC1084" s="0" t="inlineStr">
        <is>
          <t>남동구</t>
        </is>
      </c>
      <c r="AD1084" s="0" t="inlineStr">
        <is>
          <t>구월동</t>
        </is>
      </c>
      <c r="AG1084" s="0" t="inlineStr">
        <is>
          <t>인천시 남동구 인주대로591번길 38</t>
        </is>
      </c>
      <c r="AH1084" s="0" t="n">
        <v>0</v>
      </c>
      <c r="AI1084" s="0" t="n">
        <v>675</v>
      </c>
      <c r="AJ1084" s="0" t="n">
        <v>64</v>
      </c>
      <c r="AK1084" s="0" t="n">
        <v>40</v>
      </c>
      <c r="AL1084" s="0" t="n">
        <v>0.5</v>
      </c>
    </row>
    <row r="1085">
      <c r="A1085" s="0" t="inlineStr">
        <is>
          <t>[구월동]</t>
        </is>
      </c>
      <c r="B1085" s="0" t="n">
        <v>11552</v>
      </c>
      <c r="C1085" s="0" t="n">
        <v>1</v>
      </c>
      <c r="D1085" s="0" t="inlineStr">
        <is>
          <t>아주정광</t>
        </is>
      </c>
      <c r="E1085" s="0" t="inlineStr">
        <is>
          <t>1986.06.</t>
        </is>
      </c>
      <c r="F1085" s="0" t="n">
        <v>45</v>
      </c>
      <c r="G1085" s="0" t="n">
        <v>17.73</v>
      </c>
      <c r="H1085" s="0" t="n">
        <v>58.63</v>
      </c>
      <c r="I1085" s="0" t="n">
        <v>14.46</v>
      </c>
      <c r="J1085" s="0" t="n">
        <v>47.82</v>
      </c>
      <c r="K1085" s="0" t="n">
        <v>20</v>
      </c>
      <c r="T1085" s="0" t="n">
        <v>2</v>
      </c>
      <c r="U1085" s="0" t="n">
        <v>1</v>
      </c>
      <c r="V1085" s="0" t="inlineStr">
        <is>
          <t>복합식</t>
        </is>
      </c>
      <c r="W1085" s="0" t="n">
        <v>58</v>
      </c>
      <c r="X1085" s="0" t="n">
        <v>5</v>
      </c>
      <c r="Y1085" s="0" t="n">
        <v>5</v>
      </c>
      <c r="Z1085" s="0" t="inlineStr">
        <is>
          <t>https://new.land.naver.com/complexes/11552?tab=detail&amp;rf=Y</t>
        </is>
      </c>
      <c r="AA1085" s="0" t="inlineStr">
        <is>
          <t>인천시 남동구 구월동 1161-10</t>
        </is>
      </c>
      <c r="AB1085" s="0" t="inlineStr">
        <is>
          <t>인천시</t>
        </is>
      </c>
      <c r="AC1085" s="0" t="inlineStr">
        <is>
          <t>남동구</t>
        </is>
      </c>
      <c r="AD1085" s="0" t="inlineStr">
        <is>
          <t>구월동</t>
        </is>
      </c>
      <c r="AG1085" s="0" t="inlineStr">
        <is>
          <t>인천시 남동구 인주대로604번길 49-74</t>
        </is>
      </c>
      <c r="AH1085" s="0" t="n">
        <v>0</v>
      </c>
      <c r="AI1085" s="0" t="n">
        <v>0</v>
      </c>
      <c r="AJ1085" s="0" t="n">
        <v>0</v>
      </c>
      <c r="AK1085" s="0" t="n">
        <v>0</v>
      </c>
      <c r="AL1085" s="0" t="n">
        <v>0</v>
      </c>
    </row>
    <row r="1086">
      <c r="A1086" s="0" t="inlineStr">
        <is>
          <t>[구월동]</t>
        </is>
      </c>
      <c r="B1086" s="0" t="n">
        <v>11552</v>
      </c>
      <c r="C1086" s="0" t="n">
        <v>2</v>
      </c>
      <c r="D1086" s="0" t="inlineStr">
        <is>
          <t>아주정광</t>
        </is>
      </c>
      <c r="E1086" s="0" t="inlineStr">
        <is>
          <t>1986.06.</t>
        </is>
      </c>
      <c r="F1086" s="0" t="n">
        <v>45</v>
      </c>
      <c r="G1086" s="0" t="n">
        <v>19.19</v>
      </c>
      <c r="H1086" s="0" t="n">
        <v>63.46</v>
      </c>
      <c r="I1086" s="0" t="n">
        <v>15.75</v>
      </c>
      <c r="J1086" s="0" t="n">
        <v>52.07</v>
      </c>
      <c r="K1086" s="0" t="n">
        <v>15</v>
      </c>
      <c r="T1086" s="0" t="n">
        <v>2</v>
      </c>
      <c r="U1086" s="0" t="n">
        <v>1</v>
      </c>
      <c r="V1086" s="0" t="inlineStr">
        <is>
          <t>계단식</t>
        </is>
      </c>
      <c r="W1086" s="0" t="inlineStr">
        <is>
          <t>63B</t>
        </is>
      </c>
      <c r="X1086" s="0" t="n">
        <v>5</v>
      </c>
      <c r="Y1086" s="0" t="n">
        <v>5</v>
      </c>
      <c r="Z1086" s="0" t="inlineStr">
        <is>
          <t>https://new.land.naver.com/complexes/11552?tab=detail&amp;rf=Y</t>
        </is>
      </c>
      <c r="AA1086" s="0" t="inlineStr">
        <is>
          <t>인천시 남동구 구월동 1161-10</t>
        </is>
      </c>
      <c r="AB1086" s="0" t="inlineStr">
        <is>
          <t>인천시</t>
        </is>
      </c>
      <c r="AC1086" s="0" t="inlineStr">
        <is>
          <t>남동구</t>
        </is>
      </c>
      <c r="AD1086" s="0" t="inlineStr">
        <is>
          <t>구월동</t>
        </is>
      </c>
      <c r="AG1086" s="0" t="inlineStr">
        <is>
          <t>인천시 남동구 인주대로604번길 49-74</t>
        </is>
      </c>
      <c r="AH1086" s="0" t="n">
        <v>0</v>
      </c>
      <c r="AI1086" s="0" t="n">
        <v>0</v>
      </c>
      <c r="AJ1086" s="0" t="n">
        <v>0</v>
      </c>
      <c r="AK1086" s="0" t="n">
        <v>0</v>
      </c>
      <c r="AL1086" s="0" t="n">
        <v>0</v>
      </c>
    </row>
    <row r="1087">
      <c r="A1087" s="0" t="inlineStr">
        <is>
          <t>[구월동]</t>
        </is>
      </c>
      <c r="B1087" s="0" t="n">
        <v>11552</v>
      </c>
      <c r="C1087" s="0" t="n">
        <v>3</v>
      </c>
      <c r="D1087" s="0" t="inlineStr">
        <is>
          <t>아주정광</t>
        </is>
      </c>
      <c r="E1087" s="0" t="inlineStr">
        <is>
          <t>1986.06.</t>
        </is>
      </c>
      <c r="F1087" s="0" t="n">
        <v>45</v>
      </c>
      <c r="G1087" s="0" t="n">
        <v>19.47</v>
      </c>
      <c r="H1087" s="0" t="n">
        <v>64.37</v>
      </c>
      <c r="I1087" s="0" t="n">
        <v>15.69</v>
      </c>
      <c r="J1087" s="0" t="n">
        <v>51.9</v>
      </c>
      <c r="K1087" s="0" t="n">
        <v>5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64A</t>
        </is>
      </c>
      <c r="X1087" s="0" t="n">
        <v>5</v>
      </c>
      <c r="Y1087" s="0" t="n">
        <v>5</v>
      </c>
      <c r="Z1087" s="0" t="inlineStr">
        <is>
          <t>https://new.land.naver.com/complexes/11552?tab=detail&amp;rf=Y</t>
        </is>
      </c>
      <c r="AA1087" s="0" t="inlineStr">
        <is>
          <t>인천시 남동구 구월동 1161-10</t>
        </is>
      </c>
      <c r="AB1087" s="0" t="inlineStr">
        <is>
          <t>인천시</t>
        </is>
      </c>
      <c r="AC1087" s="0" t="inlineStr">
        <is>
          <t>남동구</t>
        </is>
      </c>
      <c r="AD1087" s="0" t="inlineStr">
        <is>
          <t>구월동</t>
        </is>
      </c>
      <c r="AG1087" s="0" t="inlineStr">
        <is>
          <t>인천시 남동구 인주대로604번길 49-74</t>
        </is>
      </c>
      <c r="AH1087" s="0" t="n">
        <v>0</v>
      </c>
      <c r="AI1087" s="0" t="n">
        <v>0</v>
      </c>
      <c r="AJ1087" s="0" t="n">
        <v>0</v>
      </c>
      <c r="AK1087" s="0" t="n">
        <v>0</v>
      </c>
      <c r="AL1087" s="0" t="n">
        <v>0</v>
      </c>
    </row>
    <row r="1088">
      <c r="A1088" s="0" t="inlineStr">
        <is>
          <t>[구월동]</t>
        </is>
      </c>
      <c r="B1088" s="0" t="n">
        <v>11552</v>
      </c>
      <c r="C1088" s="0" t="n">
        <v>4</v>
      </c>
      <c r="D1088" s="0" t="inlineStr">
        <is>
          <t>아주정광</t>
        </is>
      </c>
      <c r="E1088" s="0" t="inlineStr">
        <is>
          <t>1986.06.</t>
        </is>
      </c>
      <c r="F1088" s="0" t="n">
        <v>45</v>
      </c>
      <c r="G1088" s="0" t="n">
        <v>22.31</v>
      </c>
      <c r="H1088" s="0" t="n">
        <v>73.76000000000001</v>
      </c>
      <c r="I1088" s="0" t="n">
        <v>18.58</v>
      </c>
      <c r="J1088" s="0" t="n">
        <v>61.44</v>
      </c>
      <c r="K1088" s="0" t="n">
        <v>5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73</v>
      </c>
      <c r="X1088" s="0" t="n">
        <v>5</v>
      </c>
      <c r="Y1088" s="0" t="n">
        <v>5</v>
      </c>
      <c r="Z1088" s="0" t="inlineStr">
        <is>
          <t>https://new.land.naver.com/complexes/11552?tab=detail&amp;rf=Y</t>
        </is>
      </c>
      <c r="AA1088" s="0" t="inlineStr">
        <is>
          <t>인천시 남동구 구월동 1161-10</t>
        </is>
      </c>
      <c r="AB1088" s="0" t="inlineStr">
        <is>
          <t>인천시</t>
        </is>
      </c>
      <c r="AC1088" s="0" t="inlineStr">
        <is>
          <t>남동구</t>
        </is>
      </c>
      <c r="AD1088" s="0" t="inlineStr">
        <is>
          <t>구월동</t>
        </is>
      </c>
      <c r="AG1088" s="0" t="inlineStr">
        <is>
          <t>인천시 남동구 인주대로604번길 49-74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[구월동]</t>
        </is>
      </c>
      <c r="B1089" s="0" t="n">
        <v>141194</v>
      </c>
      <c r="C1089" s="0" t="n">
        <v>1</v>
      </c>
      <c r="D1089" s="0" t="inlineStr">
        <is>
          <t>산토리니빌(도시형)</t>
        </is>
      </c>
      <c r="E1089" s="0" t="inlineStr">
        <is>
          <t>2020.07.</t>
        </is>
      </c>
      <c r="F1089" s="0" t="n">
        <v>20</v>
      </c>
      <c r="G1089" s="0" t="n">
        <v>17.05</v>
      </c>
      <c r="H1089" s="0" t="n">
        <v>56.38</v>
      </c>
      <c r="I1089" s="0" t="n">
        <v>13.3</v>
      </c>
      <c r="J1089" s="0" t="n">
        <v>43.98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56A</t>
        </is>
      </c>
      <c r="X1089" s="0" t="n">
        <v>14</v>
      </c>
      <c r="Y1089" s="0" t="n">
        <v>14</v>
      </c>
      <c r="Z1089" s="0" t="inlineStr">
        <is>
          <t>https://new.land.naver.com/complexes/141194?tab=detail&amp;rf=Y</t>
        </is>
      </c>
      <c r="AA1089" s="0" t="inlineStr">
        <is>
          <t>인천시 남동구 구월동 1143-29</t>
        </is>
      </c>
      <c r="AB1089" s="0" t="inlineStr">
        <is>
          <t>인천시</t>
        </is>
      </c>
      <c r="AC1089" s="0" t="inlineStr">
        <is>
          <t>남동구</t>
        </is>
      </c>
      <c r="AD1089" s="0" t="inlineStr">
        <is>
          <t>구월동</t>
        </is>
      </c>
      <c r="AG1089" s="0" t="inlineStr">
        <is>
          <t>인천시 남동구 인주대로623번길 35</t>
        </is>
      </c>
      <c r="AH1089" s="0" t="n">
        <v>0</v>
      </c>
      <c r="AI1089" s="0" t="n">
        <v>743</v>
      </c>
      <c r="AJ1089" s="0" t="n">
        <v>65</v>
      </c>
      <c r="AK1089" s="0" t="n">
        <v>14</v>
      </c>
      <c r="AL1089" s="0" t="n">
        <v>0.7</v>
      </c>
    </row>
    <row r="1090">
      <c r="A1090" s="0" t="inlineStr">
        <is>
          <t>[구월동]</t>
        </is>
      </c>
      <c r="B1090" s="0" t="n">
        <v>141194</v>
      </c>
      <c r="C1090" s="0" t="n">
        <v>2</v>
      </c>
      <c r="D1090" s="0" t="inlineStr">
        <is>
          <t>산토리니빌(도시형)</t>
        </is>
      </c>
      <c r="E1090" s="0" t="inlineStr">
        <is>
          <t>2020.07.</t>
        </is>
      </c>
      <c r="F1090" s="0" t="n">
        <v>20</v>
      </c>
      <c r="G1090" s="0" t="n">
        <v>17.08</v>
      </c>
      <c r="H1090" s="0" t="n">
        <v>56.47</v>
      </c>
      <c r="I1090" s="0" t="n">
        <v>13.63</v>
      </c>
      <c r="J1090" s="0" t="n">
        <v>45.06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56B</t>
        </is>
      </c>
      <c r="X1090" s="0" t="n">
        <v>14</v>
      </c>
      <c r="Y1090" s="0" t="n">
        <v>14</v>
      </c>
      <c r="Z1090" s="0" t="inlineStr">
        <is>
          <t>https://new.land.naver.com/complexes/141194?tab=detail&amp;rf=Y</t>
        </is>
      </c>
      <c r="AA1090" s="0" t="inlineStr">
        <is>
          <t>인천시 남동구 구월동 1143-29</t>
        </is>
      </c>
      <c r="AB1090" s="0" t="inlineStr">
        <is>
          <t>인천시</t>
        </is>
      </c>
      <c r="AC1090" s="0" t="inlineStr">
        <is>
          <t>남동구</t>
        </is>
      </c>
      <c r="AD1090" s="0" t="inlineStr">
        <is>
          <t>구월동</t>
        </is>
      </c>
      <c r="AG1090" s="0" t="inlineStr">
        <is>
          <t>인천시 남동구 인주대로623번길 35</t>
        </is>
      </c>
      <c r="AH1090" s="0" t="n">
        <v>0</v>
      </c>
      <c r="AI1090" s="0" t="n">
        <v>743</v>
      </c>
      <c r="AJ1090" s="0" t="n">
        <v>65</v>
      </c>
      <c r="AK1090" s="0" t="n">
        <v>14</v>
      </c>
      <c r="AL1090" s="0" t="n">
        <v>0.7</v>
      </c>
    </row>
    <row r="1091">
      <c r="A1091" s="0" t="inlineStr">
        <is>
          <t>[구월동]</t>
        </is>
      </c>
      <c r="B1091" s="0" t="n">
        <v>141194</v>
      </c>
      <c r="C1091" s="0" t="n">
        <v>3</v>
      </c>
      <c r="D1091" s="0" t="inlineStr">
        <is>
          <t>산토리니빌(도시형)</t>
        </is>
      </c>
      <c r="E1091" s="0" t="inlineStr">
        <is>
          <t>2020.07.</t>
        </is>
      </c>
      <c r="F1091" s="0" t="n">
        <v>20</v>
      </c>
      <c r="G1091" s="0" t="n">
        <v>17.39</v>
      </c>
      <c r="H1091" s="0" t="n">
        <v>57.49</v>
      </c>
      <c r="I1091" s="0" t="n">
        <v>13.72</v>
      </c>
      <c r="J1091" s="0" t="n">
        <v>45.36</v>
      </c>
      <c r="K1091" s="0" t="n">
        <v>4</v>
      </c>
      <c r="T1091" s="0" t="n">
        <v>2</v>
      </c>
      <c r="U1091" s="0" t="n">
        <v>1</v>
      </c>
      <c r="V1091" s="0" t="inlineStr">
        <is>
          <t>계단식</t>
        </is>
      </c>
      <c r="W1091" s="0" t="inlineStr">
        <is>
          <t>57C</t>
        </is>
      </c>
      <c r="X1091" s="0" t="n">
        <v>14</v>
      </c>
      <c r="Y1091" s="0" t="n">
        <v>14</v>
      </c>
      <c r="Z1091" s="0" t="inlineStr">
        <is>
          <t>https://new.land.naver.com/complexes/141194?tab=detail&amp;rf=Y</t>
        </is>
      </c>
      <c r="AA1091" s="0" t="inlineStr">
        <is>
          <t>인천시 남동구 구월동 1143-29</t>
        </is>
      </c>
      <c r="AB1091" s="0" t="inlineStr">
        <is>
          <t>인천시</t>
        </is>
      </c>
      <c r="AC1091" s="0" t="inlineStr">
        <is>
          <t>남동구</t>
        </is>
      </c>
      <c r="AD1091" s="0" t="inlineStr">
        <is>
          <t>구월동</t>
        </is>
      </c>
      <c r="AG1091" s="0" t="inlineStr">
        <is>
          <t>인천시 남동구 인주대로623번길 35</t>
        </is>
      </c>
      <c r="AH1091" s="0" t="n">
        <v>0</v>
      </c>
      <c r="AI1091" s="0" t="n">
        <v>743</v>
      </c>
      <c r="AJ1091" s="0" t="n">
        <v>65</v>
      </c>
      <c r="AK1091" s="0" t="n">
        <v>14</v>
      </c>
      <c r="AL1091" s="0" t="n">
        <v>0.7</v>
      </c>
    </row>
    <row r="1092">
      <c r="A1092" s="0" t="inlineStr">
        <is>
          <t>[구월동]</t>
        </is>
      </c>
      <c r="B1092" s="0" t="n">
        <v>141194</v>
      </c>
      <c r="C1092" s="0" t="n">
        <v>4</v>
      </c>
      <c r="D1092" s="0" t="inlineStr">
        <is>
          <t>산토리니빌(도시형)</t>
        </is>
      </c>
      <c r="E1092" s="0" t="inlineStr">
        <is>
          <t>2020.07.</t>
        </is>
      </c>
      <c r="F1092" s="0" t="n">
        <v>20</v>
      </c>
      <c r="G1092" s="0" t="n">
        <v>17.57</v>
      </c>
      <c r="H1092" s="0" t="n">
        <v>58.1</v>
      </c>
      <c r="I1092" s="0" t="n">
        <v>13.82</v>
      </c>
      <c r="J1092" s="0" t="n">
        <v>45.7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58A</t>
        </is>
      </c>
      <c r="X1092" s="0" t="n">
        <v>14</v>
      </c>
      <c r="Y1092" s="0" t="n">
        <v>14</v>
      </c>
      <c r="Z1092" s="0" t="inlineStr">
        <is>
          <t>https://new.land.naver.com/complexes/141194?tab=detail&amp;rf=Y</t>
        </is>
      </c>
      <c r="AA1092" s="0" t="inlineStr">
        <is>
          <t>인천시 남동구 구월동 1143-29</t>
        </is>
      </c>
      <c r="AB1092" s="0" t="inlineStr">
        <is>
          <t>인천시</t>
        </is>
      </c>
      <c r="AC1092" s="0" t="inlineStr">
        <is>
          <t>남동구</t>
        </is>
      </c>
      <c r="AD1092" s="0" t="inlineStr">
        <is>
          <t>구월동</t>
        </is>
      </c>
      <c r="AG1092" s="0" t="inlineStr">
        <is>
          <t>인천시 남동구 인주대로623번길 35</t>
        </is>
      </c>
      <c r="AH1092" s="0" t="n">
        <v>0</v>
      </c>
      <c r="AI1092" s="0" t="n">
        <v>743</v>
      </c>
      <c r="AJ1092" s="0" t="n">
        <v>65</v>
      </c>
      <c r="AK1092" s="0" t="n">
        <v>14</v>
      </c>
      <c r="AL1092" s="0" t="n">
        <v>0.7</v>
      </c>
    </row>
    <row r="1093">
      <c r="A1093" s="0" t="inlineStr">
        <is>
          <t>[구월동]</t>
        </is>
      </c>
      <c r="B1093" s="0" t="n">
        <v>141194</v>
      </c>
      <c r="C1093" s="0" t="n">
        <v>5</v>
      </c>
      <c r="D1093" s="0" t="inlineStr">
        <is>
          <t>산토리니빌(도시형)</t>
        </is>
      </c>
      <c r="E1093" s="0" t="inlineStr">
        <is>
          <t>2020.07.</t>
        </is>
      </c>
      <c r="F1093" s="0" t="n">
        <v>20</v>
      </c>
      <c r="G1093" s="0" t="n">
        <v>18.31</v>
      </c>
      <c r="H1093" s="0" t="n">
        <v>60.55</v>
      </c>
      <c r="I1093" s="0" t="n">
        <v>14.6</v>
      </c>
      <c r="J1093" s="0" t="n">
        <v>48.29</v>
      </c>
      <c r="K1093" s="0" t="n">
        <v>4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60B</t>
        </is>
      </c>
      <c r="X1093" s="0" t="n">
        <v>14</v>
      </c>
      <c r="Y1093" s="0" t="n">
        <v>14</v>
      </c>
      <c r="Z1093" s="0" t="inlineStr">
        <is>
          <t>https://new.land.naver.com/complexes/141194?tab=detail&amp;rf=Y</t>
        </is>
      </c>
      <c r="AA1093" s="0" t="inlineStr">
        <is>
          <t>인천시 남동구 구월동 1143-29</t>
        </is>
      </c>
      <c r="AB1093" s="0" t="inlineStr">
        <is>
          <t>인천시</t>
        </is>
      </c>
      <c r="AC1093" s="0" t="inlineStr">
        <is>
          <t>남동구</t>
        </is>
      </c>
      <c r="AD1093" s="0" t="inlineStr">
        <is>
          <t>구월동</t>
        </is>
      </c>
      <c r="AG1093" s="0" t="inlineStr">
        <is>
          <t>인천시 남동구 인주대로623번길 35</t>
        </is>
      </c>
      <c r="AH1093" s="0" t="n">
        <v>0</v>
      </c>
      <c r="AI1093" s="0" t="n">
        <v>743</v>
      </c>
      <c r="AJ1093" s="0" t="n">
        <v>65</v>
      </c>
      <c r="AK1093" s="0" t="n">
        <v>14</v>
      </c>
      <c r="AL1093" s="0" t="n">
        <v>0.7</v>
      </c>
    </row>
    <row r="1094">
      <c r="A1094" s="0" t="inlineStr">
        <is>
          <t>[구월동]</t>
        </is>
      </c>
      <c r="B1094" s="0" t="n">
        <v>107092</v>
      </c>
      <c r="C1094" s="0" t="n">
        <v>1</v>
      </c>
      <c r="D1094" s="0" t="inlineStr">
        <is>
          <t>아리수</t>
        </is>
      </c>
      <c r="E1094" s="0" t="inlineStr">
        <is>
          <t>2008.10.</t>
        </is>
      </c>
      <c r="F1094" s="0" t="n">
        <v>7</v>
      </c>
      <c r="G1094" s="0" t="n">
        <v>27.6</v>
      </c>
      <c r="H1094" s="0" t="n">
        <v>91.26000000000001</v>
      </c>
      <c r="I1094" s="0" t="n">
        <v>21.17</v>
      </c>
      <c r="J1094" s="0" t="n">
        <v>70.01000000000001</v>
      </c>
      <c r="K1094" s="0" t="n">
        <v>6</v>
      </c>
      <c r="T1094" s="0" t="n">
        <v>3</v>
      </c>
      <c r="U1094" s="0" t="n">
        <v>2</v>
      </c>
      <c r="V1094" s="0" t="inlineStr">
        <is>
          <t>복합식</t>
        </is>
      </c>
      <c r="W1094" s="0" t="n">
        <v>91</v>
      </c>
      <c r="X1094" s="0" t="n">
        <v>9</v>
      </c>
      <c r="Y1094" s="0" t="n">
        <v>9</v>
      </c>
      <c r="Z1094" s="0" t="inlineStr">
        <is>
          <t>https://new.land.naver.com/complexes/107092?tab=detail&amp;rf=Y</t>
        </is>
      </c>
      <c r="AA1094" s="0" t="inlineStr">
        <is>
          <t>인천시 남동구 구월동 1125-2</t>
        </is>
      </c>
      <c r="AB1094" s="0" t="inlineStr">
        <is>
          <t>인천시</t>
        </is>
      </c>
      <c r="AC1094" s="0" t="inlineStr">
        <is>
          <t>남동구</t>
        </is>
      </c>
      <c r="AD1094" s="0" t="inlineStr">
        <is>
          <t>구월동</t>
        </is>
      </c>
      <c r="AG1094" s="0" t="inlineStr">
        <is>
          <t>인천시 남동구 예술로172번길 33</t>
        </is>
      </c>
      <c r="AH1094" s="0" t="n">
        <v>0</v>
      </c>
      <c r="AI1094" s="0" t="n">
        <v>366</v>
      </c>
      <c r="AJ1094" s="0" t="n">
        <v>47</v>
      </c>
      <c r="AK1094" s="0" t="n">
        <v>5</v>
      </c>
      <c r="AL1094" s="0" t="n">
        <v>0.71</v>
      </c>
    </row>
    <row r="1095">
      <c r="A1095" s="0" t="inlineStr">
        <is>
          <t>[구월동]</t>
        </is>
      </c>
      <c r="B1095" s="0" t="n">
        <v>107092</v>
      </c>
      <c r="C1095" s="0" t="n">
        <v>2</v>
      </c>
      <c r="D1095" s="0" t="inlineStr">
        <is>
          <t>아리수</t>
        </is>
      </c>
      <c r="E1095" s="0" t="inlineStr">
        <is>
          <t>2008.10.</t>
        </is>
      </c>
      <c r="F1095" s="0" t="n">
        <v>7</v>
      </c>
      <c r="G1095" s="0" t="n">
        <v>31.07</v>
      </c>
      <c r="H1095" s="0" t="n">
        <v>102.72</v>
      </c>
      <c r="I1095" s="0" t="n">
        <v>23.83</v>
      </c>
      <c r="J1095" s="0" t="n">
        <v>78.8</v>
      </c>
      <c r="K1095" s="0" t="n">
        <v>1</v>
      </c>
      <c r="T1095" s="0" t="n">
        <v>3</v>
      </c>
      <c r="U1095" s="0" t="n">
        <v>2</v>
      </c>
      <c r="V1095" s="0" t="inlineStr">
        <is>
          <t>복합식</t>
        </is>
      </c>
      <c r="W1095" s="0" t="n">
        <v>102</v>
      </c>
      <c r="X1095" s="0" t="n">
        <v>9</v>
      </c>
      <c r="Y1095" s="0" t="n">
        <v>9</v>
      </c>
      <c r="Z1095" s="0" t="inlineStr">
        <is>
          <t>https://new.land.naver.com/complexes/107092?tab=detail&amp;rf=Y</t>
        </is>
      </c>
      <c r="AA1095" s="0" t="inlineStr">
        <is>
          <t>인천시 남동구 구월동 1125-2</t>
        </is>
      </c>
      <c r="AB1095" s="0" t="inlineStr">
        <is>
          <t>인천시</t>
        </is>
      </c>
      <c r="AC1095" s="0" t="inlineStr">
        <is>
          <t>남동구</t>
        </is>
      </c>
      <c r="AD1095" s="0" t="inlineStr">
        <is>
          <t>구월동</t>
        </is>
      </c>
      <c r="AG1095" s="0" t="inlineStr">
        <is>
          <t>인천시 남동구 예술로172번길 33</t>
        </is>
      </c>
      <c r="AH1095" s="0" t="n">
        <v>0</v>
      </c>
      <c r="AI1095" s="0" t="n">
        <v>366</v>
      </c>
      <c r="AJ1095" s="0" t="n">
        <v>47</v>
      </c>
      <c r="AK1095" s="0" t="n">
        <v>5</v>
      </c>
      <c r="AL1095" s="0" t="n">
        <v>0.71</v>
      </c>
    </row>
    <row r="1096">
      <c r="A1096" s="0" t="inlineStr">
        <is>
          <t>[구월동]</t>
        </is>
      </c>
      <c r="B1096" s="0" t="n">
        <v>142946</v>
      </c>
      <c r="C1096" s="0" t="n">
        <v>1</v>
      </c>
      <c r="D1096" s="0" t="inlineStr">
        <is>
          <t>로뎀하우스</t>
        </is>
      </c>
      <c r="E1096" s="0" t="inlineStr">
        <is>
          <t>2012.08.</t>
        </is>
      </c>
      <c r="F1096" s="0" t="n">
        <v>12</v>
      </c>
      <c r="G1096" s="0" t="n">
        <v>15.86</v>
      </c>
      <c r="H1096" s="0" t="n">
        <v>52.45</v>
      </c>
      <c r="I1096" s="0" t="n">
        <v>13.91</v>
      </c>
      <c r="J1096" s="0" t="n">
        <v>46</v>
      </c>
      <c r="K1096" s="0" t="n">
        <v>4</v>
      </c>
      <c r="T1096" s="0" t="n">
        <v>2</v>
      </c>
      <c r="U1096" s="0" t="n">
        <v>1</v>
      </c>
      <c r="V1096" s="0" t="inlineStr">
        <is>
          <t>계단식</t>
        </is>
      </c>
      <c r="W1096" s="0" t="inlineStr">
        <is>
          <t>52A</t>
        </is>
      </c>
      <c r="X1096" s="0" t="n">
        <v>5</v>
      </c>
      <c r="Y1096" s="0" t="n">
        <v>5</v>
      </c>
      <c r="Z1096" s="0" t="inlineStr">
        <is>
          <t>https://new.land.naver.com/complexes/142946?tab=detail&amp;rf=Y</t>
        </is>
      </c>
      <c r="AA1096" s="0" t="inlineStr">
        <is>
          <t>인천시 남동구 구월동 1358-1</t>
        </is>
      </c>
      <c r="AB1096" s="0" t="inlineStr">
        <is>
          <t>인천시</t>
        </is>
      </c>
      <c r="AC1096" s="0" t="inlineStr">
        <is>
          <t>남동구</t>
        </is>
      </c>
      <c r="AD1096" s="0" t="inlineStr">
        <is>
          <t>구월동</t>
        </is>
      </c>
      <c r="AG1096" s="0" t="inlineStr">
        <is>
          <t>인천시 남동구 인주대로522번길 30</t>
        </is>
      </c>
      <c r="AH1096" s="0" t="n">
        <v>0</v>
      </c>
      <c r="AI1096" s="0" t="n">
        <v>336</v>
      </c>
      <c r="AJ1096" s="0" t="n">
        <v>58</v>
      </c>
      <c r="AK1096" s="0" t="n">
        <v>12</v>
      </c>
      <c r="AL1096" s="0" t="n">
        <v>1</v>
      </c>
    </row>
    <row r="1097">
      <c r="A1097" s="0" t="inlineStr">
        <is>
          <t>[구월동]</t>
        </is>
      </c>
      <c r="B1097" s="0" t="n">
        <v>142946</v>
      </c>
      <c r="C1097" s="0" t="n">
        <v>2</v>
      </c>
      <c r="D1097" s="0" t="inlineStr">
        <is>
          <t>로뎀하우스</t>
        </is>
      </c>
      <c r="E1097" s="0" t="inlineStr">
        <is>
          <t>2012.08.</t>
        </is>
      </c>
      <c r="F1097" s="0" t="n">
        <v>12</v>
      </c>
      <c r="G1097" s="0" t="n">
        <v>16.06</v>
      </c>
      <c r="H1097" s="0" t="n">
        <v>53.11</v>
      </c>
      <c r="I1097" s="0" t="n">
        <v>14.09</v>
      </c>
      <c r="J1097" s="0" t="n">
        <v>46.58</v>
      </c>
      <c r="K1097" s="0" t="n">
        <v>4</v>
      </c>
      <c r="T1097" s="0" t="n">
        <v>2</v>
      </c>
      <c r="U1097" s="0" t="n">
        <v>1</v>
      </c>
      <c r="V1097" s="0" t="inlineStr">
        <is>
          <t>계단식</t>
        </is>
      </c>
      <c r="W1097" s="0" t="inlineStr">
        <is>
          <t>53B</t>
        </is>
      </c>
      <c r="X1097" s="0" t="n">
        <v>5</v>
      </c>
      <c r="Y1097" s="0" t="n">
        <v>5</v>
      </c>
      <c r="Z1097" s="0" t="inlineStr">
        <is>
          <t>https://new.land.naver.com/complexes/142946?tab=detail&amp;rf=Y</t>
        </is>
      </c>
      <c r="AA1097" s="0" t="inlineStr">
        <is>
          <t>인천시 남동구 구월동 1358-1</t>
        </is>
      </c>
      <c r="AB1097" s="0" t="inlineStr">
        <is>
          <t>인천시</t>
        </is>
      </c>
      <c r="AC1097" s="0" t="inlineStr">
        <is>
          <t>남동구</t>
        </is>
      </c>
      <c r="AD1097" s="0" t="inlineStr">
        <is>
          <t>구월동</t>
        </is>
      </c>
      <c r="AG1097" s="0" t="inlineStr">
        <is>
          <t>인천시 남동구 인주대로522번길 30</t>
        </is>
      </c>
      <c r="AH1097" s="0" t="n">
        <v>0</v>
      </c>
      <c r="AI1097" s="0" t="n">
        <v>336</v>
      </c>
      <c r="AJ1097" s="0" t="n">
        <v>58</v>
      </c>
      <c r="AK1097" s="0" t="n">
        <v>12</v>
      </c>
      <c r="AL1097" s="0" t="n">
        <v>1</v>
      </c>
    </row>
    <row r="1098">
      <c r="A1098" s="0" t="inlineStr">
        <is>
          <t>[구월동]</t>
        </is>
      </c>
      <c r="B1098" s="0" t="n">
        <v>142946</v>
      </c>
      <c r="C1098" s="0" t="n">
        <v>3</v>
      </c>
      <c r="D1098" s="0" t="inlineStr">
        <is>
          <t>로뎀하우스</t>
        </is>
      </c>
      <c r="E1098" s="0" t="inlineStr">
        <is>
          <t>2012.08.</t>
        </is>
      </c>
      <c r="F1098" s="0" t="n">
        <v>12</v>
      </c>
      <c r="G1098" s="0" t="n">
        <v>17.05</v>
      </c>
      <c r="H1098" s="0" t="n">
        <v>56.39</v>
      </c>
      <c r="I1098" s="0" t="n">
        <v>14.96</v>
      </c>
      <c r="J1098" s="0" t="n">
        <v>49.46</v>
      </c>
      <c r="K1098" s="0" t="n">
        <v>4</v>
      </c>
      <c r="T1098" s="0" t="n">
        <v>2</v>
      </c>
      <c r="U1098" s="0" t="n">
        <v>1</v>
      </c>
      <c r="V1098" s="0" t="inlineStr">
        <is>
          <t>계단식</t>
        </is>
      </c>
      <c r="W1098" s="0" t="n">
        <v>56</v>
      </c>
      <c r="X1098" s="0" t="n">
        <v>5</v>
      </c>
      <c r="Y1098" s="0" t="n">
        <v>5</v>
      </c>
      <c r="Z1098" s="0" t="inlineStr">
        <is>
          <t>https://new.land.naver.com/complexes/142946?tab=detail&amp;rf=Y</t>
        </is>
      </c>
      <c r="AA1098" s="0" t="inlineStr">
        <is>
          <t>인천시 남동구 구월동 1358-1</t>
        </is>
      </c>
      <c r="AB1098" s="0" t="inlineStr">
        <is>
          <t>인천시</t>
        </is>
      </c>
      <c r="AC1098" s="0" t="inlineStr">
        <is>
          <t>남동구</t>
        </is>
      </c>
      <c r="AD1098" s="0" t="inlineStr">
        <is>
          <t>구월동</t>
        </is>
      </c>
      <c r="AG1098" s="0" t="inlineStr">
        <is>
          <t>인천시 남동구 인주대로522번길 30</t>
        </is>
      </c>
      <c r="AH1098" s="0" t="n">
        <v>0</v>
      </c>
      <c r="AI1098" s="0" t="n">
        <v>336</v>
      </c>
      <c r="AJ1098" s="0" t="n">
        <v>58</v>
      </c>
      <c r="AK1098" s="0" t="n">
        <v>12</v>
      </c>
      <c r="AL1098" s="0" t="n">
        <v>1</v>
      </c>
    </row>
    <row r="1099">
      <c r="A1099" s="0" t="inlineStr">
        <is>
          <t>[구월동]</t>
        </is>
      </c>
      <c r="B1099" s="0" t="n">
        <v>2277</v>
      </c>
      <c r="C1099" s="0" t="n">
        <v>1</v>
      </c>
      <c r="D1099" s="0" t="inlineStr">
        <is>
          <t>구월팬더</t>
        </is>
      </c>
      <c r="E1099" s="0" t="inlineStr">
        <is>
          <t>1991.12.</t>
        </is>
      </c>
      <c r="F1099" s="0" t="n">
        <v>946</v>
      </c>
      <c r="G1099" s="0" t="n">
        <v>27.75</v>
      </c>
      <c r="H1099" s="0" t="n">
        <v>91.73999999999999</v>
      </c>
      <c r="I1099" s="0" t="n">
        <v>23.32</v>
      </c>
      <c r="J1099" s="0" t="n">
        <v>77.12</v>
      </c>
      <c r="K1099" s="0" t="n">
        <v>60</v>
      </c>
      <c r="T1099" s="0" t="n">
        <v>3</v>
      </c>
      <c r="U1099" s="0" t="n">
        <v>1</v>
      </c>
      <c r="V1099" s="0" t="inlineStr">
        <is>
          <t>계단식</t>
        </is>
      </c>
      <c r="W1099" s="0" t="inlineStr">
        <is>
          <t>91A</t>
        </is>
      </c>
      <c r="X1099" s="0" t="n">
        <v>15</v>
      </c>
      <c r="Y1099" s="0" t="n">
        <v>12</v>
      </c>
      <c r="Z1099" s="0" t="inlineStr">
        <is>
          <t>https://new.land.naver.com/complexes/2277?tab=detail&amp;rf=Y</t>
        </is>
      </c>
      <c r="AA1099" s="0" t="inlineStr">
        <is>
          <t>인천시 남동구 구월동 258</t>
        </is>
      </c>
      <c r="AB1099" s="0" t="inlineStr">
        <is>
          <t>인천시</t>
        </is>
      </c>
      <c r="AC1099" s="0" t="inlineStr">
        <is>
          <t>남동구</t>
        </is>
      </c>
      <c r="AD1099" s="0" t="inlineStr">
        <is>
          <t>구월동</t>
        </is>
      </c>
      <c r="AG1099" s="0" t="inlineStr">
        <is>
          <t>인천시 남동구 인주대로662번길 32</t>
        </is>
      </c>
      <c r="AH1099" s="0" t="n">
        <v>0</v>
      </c>
      <c r="AI1099" s="0" t="n">
        <v>303</v>
      </c>
      <c r="AJ1099" s="0" t="n">
        <v>22</v>
      </c>
      <c r="AK1099" s="0" t="n">
        <v>0</v>
      </c>
      <c r="AL1099" s="0" t="n">
        <v>0</v>
      </c>
    </row>
    <row r="1100">
      <c r="A1100" s="0" t="inlineStr">
        <is>
          <t>[구월동]</t>
        </is>
      </c>
      <c r="B1100" s="0" t="n">
        <v>2277</v>
      </c>
      <c r="C1100" s="0" t="n">
        <v>2</v>
      </c>
      <c r="D1100" s="0" t="inlineStr">
        <is>
          <t>구월팬더</t>
        </is>
      </c>
      <c r="E1100" s="0" t="inlineStr">
        <is>
          <t>1991.12.</t>
        </is>
      </c>
      <c r="F1100" s="0" t="n">
        <v>946</v>
      </c>
      <c r="G1100" s="0" t="n">
        <v>28.09</v>
      </c>
      <c r="H1100" s="0" t="n">
        <v>92.86</v>
      </c>
      <c r="I1100" s="0" t="n">
        <v>23.54</v>
      </c>
      <c r="J1100" s="0" t="n">
        <v>77.84</v>
      </c>
      <c r="K1100" s="0" t="n">
        <v>180</v>
      </c>
      <c r="T1100" s="0" t="n">
        <v>3</v>
      </c>
      <c r="U1100" s="0" t="n">
        <v>1</v>
      </c>
      <c r="V1100" s="0" t="inlineStr">
        <is>
          <t>계단식</t>
        </is>
      </c>
      <c r="W1100" s="0" t="inlineStr">
        <is>
          <t>92B</t>
        </is>
      </c>
      <c r="X1100" s="0" t="n">
        <v>15</v>
      </c>
      <c r="Y1100" s="0" t="n">
        <v>12</v>
      </c>
      <c r="Z1100" s="0" t="inlineStr">
        <is>
          <t>https://new.land.naver.com/complexes/2277?tab=detail&amp;rf=Y</t>
        </is>
      </c>
      <c r="AA1100" s="0" t="inlineStr">
        <is>
          <t>인천시 남동구 구월동 258</t>
        </is>
      </c>
      <c r="AB1100" s="0" t="inlineStr">
        <is>
          <t>인천시</t>
        </is>
      </c>
      <c r="AC1100" s="0" t="inlineStr">
        <is>
          <t>남동구</t>
        </is>
      </c>
      <c r="AD1100" s="0" t="inlineStr">
        <is>
          <t>구월동</t>
        </is>
      </c>
      <c r="AG1100" s="0" t="inlineStr">
        <is>
          <t>인천시 남동구 인주대로662번길 32</t>
        </is>
      </c>
      <c r="AH1100" s="0" t="n">
        <v>0</v>
      </c>
      <c r="AI1100" s="0" t="n">
        <v>303</v>
      </c>
      <c r="AJ1100" s="0" t="n">
        <v>22</v>
      </c>
      <c r="AK1100" s="0" t="n">
        <v>0</v>
      </c>
      <c r="AL1100" s="0" t="n">
        <v>0</v>
      </c>
    </row>
    <row r="1101">
      <c r="A1101" s="0" t="inlineStr">
        <is>
          <t>[구월동]</t>
        </is>
      </c>
      <c r="B1101" s="0" t="n">
        <v>2277</v>
      </c>
      <c r="C1101" s="0" t="n">
        <v>3</v>
      </c>
      <c r="D1101" s="0" t="inlineStr">
        <is>
          <t>구월팬더</t>
        </is>
      </c>
      <c r="E1101" s="0" t="inlineStr">
        <is>
          <t>1991.12.</t>
        </is>
      </c>
      <c r="F1101" s="0" t="n">
        <v>946</v>
      </c>
      <c r="G1101" s="0" t="n">
        <v>30.39</v>
      </c>
      <c r="H1101" s="0" t="n">
        <v>100.47</v>
      </c>
      <c r="I1101" s="0" t="n">
        <v>25.68</v>
      </c>
      <c r="J1101" s="0" t="n">
        <v>84.92</v>
      </c>
      <c r="K1101" s="0" t="n">
        <v>706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100</v>
      </c>
      <c r="X1101" s="0" t="n">
        <v>15</v>
      </c>
      <c r="Y1101" s="0" t="n">
        <v>12</v>
      </c>
      <c r="Z1101" s="0" t="inlineStr">
        <is>
          <t>https://new.land.naver.com/complexes/2277?tab=detail&amp;rf=Y</t>
        </is>
      </c>
      <c r="AA1101" s="0" t="inlineStr">
        <is>
          <t>인천시 남동구 구월동 258</t>
        </is>
      </c>
      <c r="AB1101" s="0" t="inlineStr">
        <is>
          <t>인천시</t>
        </is>
      </c>
      <c r="AC1101" s="0" t="inlineStr">
        <is>
          <t>남동구</t>
        </is>
      </c>
      <c r="AD1101" s="0" t="inlineStr">
        <is>
          <t>구월동</t>
        </is>
      </c>
      <c r="AG1101" s="0" t="inlineStr">
        <is>
          <t>인천시 남동구 인주대로662번길 32</t>
        </is>
      </c>
      <c r="AH1101" s="0" t="n">
        <v>0</v>
      </c>
      <c r="AI1101" s="0" t="n">
        <v>303</v>
      </c>
      <c r="AJ1101" s="0" t="n">
        <v>22</v>
      </c>
      <c r="AK1101" s="0" t="n">
        <v>0</v>
      </c>
      <c r="AL1101" s="0" t="n">
        <v>0</v>
      </c>
    </row>
    <row r="1102">
      <c r="A1102" s="0" t="inlineStr">
        <is>
          <t>[구월동]</t>
        </is>
      </c>
      <c r="B1102" s="0" t="n">
        <v>128771</v>
      </c>
      <c r="C1102" s="0" t="n">
        <v>1</v>
      </c>
      <c r="D1102" s="0" t="inlineStr">
        <is>
          <t>가온누리</t>
        </is>
      </c>
      <c r="E1102" s="0" t="inlineStr">
        <is>
          <t>2017.07.</t>
        </is>
      </c>
      <c r="F1102" s="0" t="n">
        <v>26</v>
      </c>
      <c r="G1102" s="0" t="n">
        <v>14.63</v>
      </c>
      <c r="H1102" s="0" t="n">
        <v>48.38</v>
      </c>
      <c r="I1102" s="0" t="n">
        <v>12.35</v>
      </c>
      <c r="J1102" s="0" t="n">
        <v>40.85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48</v>
      </c>
      <c r="X1102" s="0" t="n">
        <v>13</v>
      </c>
      <c r="Y1102" s="0" t="n">
        <v>13</v>
      </c>
      <c r="Z1102" s="0" t="inlineStr">
        <is>
          <t>https://new.land.naver.com/complexes/128771?tab=detail&amp;rf=Y</t>
        </is>
      </c>
      <c r="AA1102" s="0" t="inlineStr">
        <is>
          <t>인천시 남동구 구월동 1136</t>
        </is>
      </c>
      <c r="AB1102" s="0" t="inlineStr">
        <is>
          <t>인천시</t>
        </is>
      </c>
      <c r="AC1102" s="0" t="inlineStr">
        <is>
          <t>남동구</t>
        </is>
      </c>
      <c r="AD1102" s="0" t="inlineStr">
        <is>
          <t>구월동</t>
        </is>
      </c>
      <c r="AG1102" s="0" t="inlineStr">
        <is>
          <t>인천시 남동구 정각로 14</t>
        </is>
      </c>
      <c r="AH1102" s="0" t="n">
        <v>0</v>
      </c>
      <c r="AI1102" s="0" t="n">
        <v>748</v>
      </c>
      <c r="AJ1102" s="0" t="n">
        <v>61</v>
      </c>
      <c r="AK1102" s="0" t="n">
        <v>24</v>
      </c>
      <c r="AL1102" s="0" t="n">
        <v>0.92</v>
      </c>
    </row>
    <row r="1103">
      <c r="A1103" s="0" t="inlineStr">
        <is>
          <t>[구월동]</t>
        </is>
      </c>
      <c r="B1103" s="0" t="n">
        <v>128771</v>
      </c>
      <c r="C1103" s="0" t="n">
        <v>2</v>
      </c>
      <c r="D1103" s="0" t="inlineStr">
        <is>
          <t>가온누리</t>
        </is>
      </c>
      <c r="E1103" s="0" t="inlineStr">
        <is>
          <t>2017.07.</t>
        </is>
      </c>
      <c r="F1103" s="0" t="n">
        <v>26</v>
      </c>
      <c r="G1103" s="0" t="n">
        <v>20.7</v>
      </c>
      <c r="H1103" s="0" t="n">
        <v>68.43000000000001</v>
      </c>
      <c r="I1103" s="0" t="n">
        <v>17.73</v>
      </c>
      <c r="J1103" s="0" t="n">
        <v>58.64</v>
      </c>
      <c r="K1103" s="0" t="n">
        <v>3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68</v>
      </c>
      <c r="X1103" s="0" t="n">
        <v>13</v>
      </c>
      <c r="Y1103" s="0" t="n">
        <v>13</v>
      </c>
      <c r="Z1103" s="0" t="inlineStr">
        <is>
          <t>https://new.land.naver.com/complexes/128771?tab=detail&amp;rf=Y</t>
        </is>
      </c>
      <c r="AA1103" s="0" t="inlineStr">
        <is>
          <t>인천시 남동구 구월동 1136</t>
        </is>
      </c>
      <c r="AB1103" s="0" t="inlineStr">
        <is>
          <t>인천시</t>
        </is>
      </c>
      <c r="AC1103" s="0" t="inlineStr">
        <is>
          <t>남동구</t>
        </is>
      </c>
      <c r="AD1103" s="0" t="inlineStr">
        <is>
          <t>구월동</t>
        </is>
      </c>
      <c r="AG1103" s="0" t="inlineStr">
        <is>
          <t>인천시 남동구 정각로 14</t>
        </is>
      </c>
      <c r="AH1103" s="0" t="n">
        <v>0</v>
      </c>
      <c r="AI1103" s="0" t="n">
        <v>748</v>
      </c>
      <c r="AJ1103" s="0" t="n">
        <v>61</v>
      </c>
      <c r="AK1103" s="0" t="n">
        <v>24</v>
      </c>
      <c r="AL1103" s="0" t="n">
        <v>0.92</v>
      </c>
    </row>
    <row r="1104">
      <c r="A1104" s="0" t="inlineStr">
        <is>
          <t>[구월동]</t>
        </is>
      </c>
      <c r="B1104" s="0" t="n">
        <v>128771</v>
      </c>
      <c r="C1104" s="0" t="n">
        <v>3</v>
      </c>
      <c r="D1104" s="0" t="inlineStr">
        <is>
          <t>가온누리</t>
        </is>
      </c>
      <c r="E1104" s="0" t="inlineStr">
        <is>
          <t>2017.07.</t>
        </is>
      </c>
      <c r="F1104" s="0" t="n">
        <v>26</v>
      </c>
      <c r="G1104" s="0" t="n">
        <v>21.9</v>
      </c>
      <c r="H1104" s="0" t="n">
        <v>72.41</v>
      </c>
      <c r="I1104" s="0" t="n">
        <v>18.76</v>
      </c>
      <c r="J1104" s="0" t="n">
        <v>62.03</v>
      </c>
      <c r="K1104" s="0" t="n">
        <v>4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72</v>
      </c>
      <c r="X1104" s="0" t="n">
        <v>13</v>
      </c>
      <c r="Y1104" s="0" t="n">
        <v>13</v>
      </c>
      <c r="Z1104" s="0" t="inlineStr">
        <is>
          <t>https://new.land.naver.com/complexes/128771?tab=detail&amp;rf=Y</t>
        </is>
      </c>
      <c r="AA1104" s="0" t="inlineStr">
        <is>
          <t>인천시 남동구 구월동 1136</t>
        </is>
      </c>
      <c r="AB1104" s="0" t="inlineStr">
        <is>
          <t>인천시</t>
        </is>
      </c>
      <c r="AC1104" s="0" t="inlineStr">
        <is>
          <t>남동구</t>
        </is>
      </c>
      <c r="AD1104" s="0" t="inlineStr">
        <is>
          <t>구월동</t>
        </is>
      </c>
      <c r="AG1104" s="0" t="inlineStr">
        <is>
          <t>인천시 남동구 정각로 14</t>
        </is>
      </c>
      <c r="AH1104" s="0" t="n">
        <v>0</v>
      </c>
      <c r="AI1104" s="0" t="n">
        <v>748</v>
      </c>
      <c r="AJ1104" s="0" t="n">
        <v>61</v>
      </c>
      <c r="AK1104" s="0" t="n">
        <v>24</v>
      </c>
      <c r="AL1104" s="0" t="n">
        <v>0.92</v>
      </c>
    </row>
    <row r="1105">
      <c r="A1105" s="0" t="inlineStr">
        <is>
          <t>[구월동]</t>
        </is>
      </c>
      <c r="B1105" s="0" t="n">
        <v>128771</v>
      </c>
      <c r="C1105" s="0" t="n">
        <v>4</v>
      </c>
      <c r="D1105" s="0" t="inlineStr">
        <is>
          <t>가온누리</t>
        </is>
      </c>
      <c r="E1105" s="0" t="inlineStr">
        <is>
          <t>2017.07.</t>
        </is>
      </c>
      <c r="F1105" s="0" t="n">
        <v>26</v>
      </c>
      <c r="G1105" s="0" t="n">
        <v>23.05</v>
      </c>
      <c r="H1105" s="0" t="n">
        <v>76.2</v>
      </c>
      <c r="I1105" s="0" t="n">
        <v>19.71</v>
      </c>
      <c r="J1105" s="0" t="n">
        <v>65.17</v>
      </c>
      <c r="K1105" s="0" t="n">
        <v>4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76</v>
      </c>
      <c r="X1105" s="0" t="n">
        <v>13</v>
      </c>
      <c r="Y1105" s="0" t="n">
        <v>13</v>
      </c>
      <c r="Z1105" s="0" t="inlineStr">
        <is>
          <t>https://new.land.naver.com/complexes/128771?tab=detail&amp;rf=Y</t>
        </is>
      </c>
      <c r="AA1105" s="0" t="inlineStr">
        <is>
          <t>인천시 남동구 구월동 1136</t>
        </is>
      </c>
      <c r="AB1105" s="0" t="inlineStr">
        <is>
          <t>인천시</t>
        </is>
      </c>
      <c r="AC1105" s="0" t="inlineStr">
        <is>
          <t>남동구</t>
        </is>
      </c>
      <c r="AD1105" s="0" t="inlineStr">
        <is>
          <t>구월동</t>
        </is>
      </c>
      <c r="AG1105" s="0" t="inlineStr">
        <is>
          <t>인천시 남동구 정각로 14</t>
        </is>
      </c>
      <c r="AH1105" s="0" t="n">
        <v>0</v>
      </c>
      <c r="AI1105" s="0" t="n">
        <v>748</v>
      </c>
      <c r="AJ1105" s="0" t="n">
        <v>61</v>
      </c>
      <c r="AK1105" s="0" t="n">
        <v>24</v>
      </c>
      <c r="AL1105" s="0" t="n">
        <v>0.92</v>
      </c>
    </row>
    <row r="1106">
      <c r="A1106" s="0" t="inlineStr">
        <is>
          <t>[구월동]</t>
        </is>
      </c>
      <c r="B1106" s="0" t="n">
        <v>128771</v>
      </c>
      <c r="C1106" s="0" t="n">
        <v>5</v>
      </c>
      <c r="D1106" s="0" t="inlineStr">
        <is>
          <t>가온누리</t>
        </is>
      </c>
      <c r="E1106" s="0" t="inlineStr">
        <is>
          <t>2017.07.</t>
        </is>
      </c>
      <c r="F1106" s="0" t="n">
        <v>26</v>
      </c>
      <c r="G1106" s="0" t="n">
        <v>23.87</v>
      </c>
      <c r="H1106" s="0" t="n">
        <v>78.92</v>
      </c>
      <c r="I1106" s="0" t="n">
        <v>20.47</v>
      </c>
      <c r="J1106" s="0" t="n">
        <v>67.67</v>
      </c>
      <c r="K1106" s="0" t="n">
        <v>4</v>
      </c>
      <c r="T1106" s="0" t="n">
        <v>3</v>
      </c>
      <c r="U1106" s="0" t="n">
        <v>2</v>
      </c>
      <c r="V1106" s="0" t="inlineStr">
        <is>
          <t>계단식</t>
        </is>
      </c>
      <c r="W1106" s="0" t="n">
        <v>78</v>
      </c>
      <c r="X1106" s="0" t="n">
        <v>13</v>
      </c>
      <c r="Y1106" s="0" t="n">
        <v>13</v>
      </c>
      <c r="Z1106" s="0" t="inlineStr">
        <is>
          <t>https://new.land.naver.com/complexes/128771?tab=detail&amp;rf=Y</t>
        </is>
      </c>
      <c r="AA1106" s="0" t="inlineStr">
        <is>
          <t>인천시 남동구 구월동 1136</t>
        </is>
      </c>
      <c r="AB1106" s="0" t="inlineStr">
        <is>
          <t>인천시</t>
        </is>
      </c>
      <c r="AC1106" s="0" t="inlineStr">
        <is>
          <t>남동구</t>
        </is>
      </c>
      <c r="AD1106" s="0" t="inlineStr">
        <is>
          <t>구월동</t>
        </is>
      </c>
      <c r="AG1106" s="0" t="inlineStr">
        <is>
          <t>인천시 남동구 정각로 14</t>
        </is>
      </c>
      <c r="AH1106" s="0" t="n">
        <v>0</v>
      </c>
      <c r="AI1106" s="0" t="n">
        <v>748</v>
      </c>
      <c r="AJ1106" s="0" t="n">
        <v>61</v>
      </c>
      <c r="AK1106" s="0" t="n">
        <v>24</v>
      </c>
      <c r="AL1106" s="0" t="n">
        <v>0.92</v>
      </c>
    </row>
    <row r="1107">
      <c r="A1107" s="0" t="inlineStr">
        <is>
          <t>[구월동]</t>
        </is>
      </c>
      <c r="B1107" s="0" t="n">
        <v>128771</v>
      </c>
      <c r="C1107" s="0" t="n">
        <v>6</v>
      </c>
      <c r="D1107" s="0" t="inlineStr">
        <is>
          <t>가온누리</t>
        </is>
      </c>
      <c r="E1107" s="0" t="inlineStr">
        <is>
          <t>2017.07.</t>
        </is>
      </c>
      <c r="F1107" s="0" t="n">
        <v>26</v>
      </c>
      <c r="G1107" s="0" t="n">
        <v>24.72</v>
      </c>
      <c r="H1107" s="0" t="n">
        <v>81.75</v>
      </c>
      <c r="I1107" s="0" t="n">
        <v>21.17</v>
      </c>
      <c r="J1107" s="0" t="n">
        <v>70.01000000000001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81A</t>
        </is>
      </c>
      <c r="X1107" s="0" t="n">
        <v>13</v>
      </c>
      <c r="Y1107" s="0" t="n">
        <v>13</v>
      </c>
      <c r="Z1107" s="0" t="inlineStr">
        <is>
          <t>https://new.land.naver.com/complexes/128771?tab=detail&amp;rf=Y</t>
        </is>
      </c>
      <c r="AA1107" s="0" t="inlineStr">
        <is>
          <t>인천시 남동구 구월동 1136</t>
        </is>
      </c>
      <c r="AB1107" s="0" t="inlineStr">
        <is>
          <t>인천시</t>
        </is>
      </c>
      <c r="AC1107" s="0" t="inlineStr">
        <is>
          <t>남동구</t>
        </is>
      </c>
      <c r="AD1107" s="0" t="inlineStr">
        <is>
          <t>구월동</t>
        </is>
      </c>
      <c r="AG1107" s="0" t="inlineStr">
        <is>
          <t>인천시 남동구 정각로 14</t>
        </is>
      </c>
      <c r="AH1107" s="0" t="n">
        <v>0</v>
      </c>
      <c r="AI1107" s="0" t="n">
        <v>748</v>
      </c>
      <c r="AJ1107" s="0" t="n">
        <v>61</v>
      </c>
      <c r="AK1107" s="0" t="n">
        <v>24</v>
      </c>
      <c r="AL1107" s="0" t="n">
        <v>0.92</v>
      </c>
    </row>
    <row r="1108">
      <c r="A1108" s="0" t="inlineStr">
        <is>
          <t>[구월동]</t>
        </is>
      </c>
      <c r="B1108" s="0" t="n">
        <v>128771</v>
      </c>
      <c r="C1108" s="0" t="n">
        <v>7</v>
      </c>
      <c r="D1108" s="0" t="inlineStr">
        <is>
          <t>가온누리</t>
        </is>
      </c>
      <c r="E1108" s="0" t="inlineStr">
        <is>
          <t>2017.07.</t>
        </is>
      </c>
      <c r="F1108" s="0" t="n">
        <v>26</v>
      </c>
      <c r="G1108" s="0" t="n">
        <v>24.98</v>
      </c>
      <c r="H1108" s="0" t="n">
        <v>82.59</v>
      </c>
      <c r="I1108" s="0" t="n">
        <v>21.55</v>
      </c>
      <c r="J1108" s="0" t="n">
        <v>71.25</v>
      </c>
      <c r="K1108" s="0" t="n">
        <v>4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82B</t>
        </is>
      </c>
      <c r="X1108" s="0" t="n">
        <v>13</v>
      </c>
      <c r="Y1108" s="0" t="n">
        <v>13</v>
      </c>
      <c r="Z1108" s="0" t="inlineStr">
        <is>
          <t>https://new.land.naver.com/complexes/128771?tab=detail&amp;rf=Y</t>
        </is>
      </c>
      <c r="AA1108" s="0" t="inlineStr">
        <is>
          <t>인천시 남동구 구월동 1136</t>
        </is>
      </c>
      <c r="AB1108" s="0" t="inlineStr">
        <is>
          <t>인천시</t>
        </is>
      </c>
      <c r="AC1108" s="0" t="inlineStr">
        <is>
          <t>남동구</t>
        </is>
      </c>
      <c r="AD1108" s="0" t="inlineStr">
        <is>
          <t>구월동</t>
        </is>
      </c>
      <c r="AG1108" s="0" t="inlineStr">
        <is>
          <t>인천시 남동구 정각로 14</t>
        </is>
      </c>
      <c r="AH1108" s="0" t="n">
        <v>0</v>
      </c>
      <c r="AI1108" s="0" t="n">
        <v>748</v>
      </c>
      <c r="AJ1108" s="0" t="n">
        <v>61</v>
      </c>
      <c r="AK1108" s="0" t="n">
        <v>24</v>
      </c>
      <c r="AL1108" s="0" t="n">
        <v>0.92</v>
      </c>
    </row>
    <row r="1109">
      <c r="A1109" s="0" t="inlineStr">
        <is>
          <t>[구월동]</t>
        </is>
      </c>
      <c r="B1109" s="0" t="n">
        <v>124566</v>
      </c>
      <c r="C1109" s="0" t="n">
        <v>1</v>
      </c>
      <c r="D1109" s="0" t="inlineStr">
        <is>
          <t>유니센트럴파크</t>
        </is>
      </c>
      <c r="E1109" s="0" t="inlineStr">
        <is>
          <t>2019.01.</t>
        </is>
      </c>
      <c r="F1109" s="0" t="n">
        <v>24</v>
      </c>
      <c r="G1109" s="0" t="n">
        <v>20.7</v>
      </c>
      <c r="H1109" s="0" t="n">
        <v>68.43000000000001</v>
      </c>
      <c r="I1109" s="0" t="n">
        <v>18.25</v>
      </c>
      <c r="J1109" s="0" t="n">
        <v>60.35</v>
      </c>
      <c r="K1109" s="0" t="n">
        <v>7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68</v>
      </c>
      <c r="X1109" s="0" t="n">
        <v>9</v>
      </c>
      <c r="Y1109" s="0" t="n">
        <v>9</v>
      </c>
      <c r="Z1109" s="0" t="inlineStr">
        <is>
          <t>https://new.land.naver.com/complexes/124566?tab=detail&amp;rf=Y</t>
        </is>
      </c>
      <c r="AA1109" s="0" t="inlineStr">
        <is>
          <t>인천시 남동구 구월동 1168</t>
        </is>
      </c>
      <c r="AB1109" s="0" t="inlineStr">
        <is>
          <t>인천시</t>
        </is>
      </c>
      <c r="AC1109" s="0" t="inlineStr">
        <is>
          <t>남동구</t>
        </is>
      </c>
      <c r="AD1109" s="0" t="inlineStr">
        <is>
          <t>구월동</t>
        </is>
      </c>
      <c r="AG1109" s="0" t="inlineStr">
        <is>
          <t>인천시 남동구 성말로44번길 3</t>
        </is>
      </c>
      <c r="AH1109" s="0" t="n">
        <v>0</v>
      </c>
      <c r="AI1109" s="0" t="n">
        <v>234</v>
      </c>
      <c r="AJ1109" s="0" t="n">
        <v>42</v>
      </c>
      <c r="AK1109" s="0" t="n">
        <v>24</v>
      </c>
      <c r="AL1109" s="0" t="n">
        <v>1</v>
      </c>
    </row>
    <row r="1110">
      <c r="A1110" s="0" t="inlineStr">
        <is>
          <t>[구월동]</t>
        </is>
      </c>
      <c r="B1110" s="0" t="n">
        <v>124566</v>
      </c>
      <c r="C1110" s="0" t="n">
        <v>2</v>
      </c>
      <c r="D1110" s="0" t="inlineStr">
        <is>
          <t>유니센트럴파크</t>
        </is>
      </c>
      <c r="E1110" s="0" t="inlineStr">
        <is>
          <t>2019.01.</t>
        </is>
      </c>
      <c r="F1110" s="0" t="n">
        <v>24</v>
      </c>
      <c r="G1110" s="0" t="n">
        <v>21.52</v>
      </c>
      <c r="H1110" s="0" t="n">
        <v>71.17</v>
      </c>
      <c r="I1110" s="0" t="n">
        <v>18.98</v>
      </c>
      <c r="J1110" s="0" t="n">
        <v>62.76</v>
      </c>
      <c r="K1110" s="0" t="n">
        <v>7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9</v>
      </c>
      <c r="Y1110" s="0" t="n">
        <v>9</v>
      </c>
      <c r="Z1110" s="0" t="inlineStr">
        <is>
          <t>https://new.land.naver.com/complexes/124566?tab=detail&amp;rf=Y</t>
        </is>
      </c>
      <c r="AA1110" s="0" t="inlineStr">
        <is>
          <t>인천시 남동구 구월동 1168</t>
        </is>
      </c>
      <c r="AB1110" s="0" t="inlineStr">
        <is>
          <t>인천시</t>
        </is>
      </c>
      <c r="AC1110" s="0" t="inlineStr">
        <is>
          <t>남동구</t>
        </is>
      </c>
      <c r="AD1110" s="0" t="inlineStr">
        <is>
          <t>구월동</t>
        </is>
      </c>
      <c r="AG1110" s="0" t="inlineStr">
        <is>
          <t>인천시 남동구 성말로44번길 3</t>
        </is>
      </c>
      <c r="AH1110" s="0" t="n">
        <v>0</v>
      </c>
      <c r="AI1110" s="0" t="n">
        <v>234</v>
      </c>
      <c r="AJ1110" s="0" t="n">
        <v>42</v>
      </c>
      <c r="AK1110" s="0" t="n">
        <v>24</v>
      </c>
      <c r="AL1110" s="0" t="n">
        <v>1</v>
      </c>
    </row>
    <row r="1111">
      <c r="A1111" s="0" t="inlineStr">
        <is>
          <t>[구월동]</t>
        </is>
      </c>
      <c r="B1111" s="0" t="n">
        <v>124566</v>
      </c>
      <c r="C1111" s="0" t="n">
        <v>3</v>
      </c>
      <c r="D1111" s="0" t="inlineStr">
        <is>
          <t>유니센트럴파크</t>
        </is>
      </c>
      <c r="E1111" s="0" t="inlineStr">
        <is>
          <t>2019.01.</t>
        </is>
      </c>
      <c r="F1111" s="0" t="n">
        <v>24</v>
      </c>
      <c r="G1111" s="0" t="n">
        <v>21.68</v>
      </c>
      <c r="H1111" s="0" t="n">
        <v>71.7</v>
      </c>
      <c r="I1111" s="0" t="n">
        <v>19.12</v>
      </c>
      <c r="J1111" s="0" t="n">
        <v>63.23</v>
      </c>
      <c r="K1111" s="0" t="n">
        <v>7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71B</t>
        </is>
      </c>
      <c r="X1111" s="0" t="n">
        <v>9</v>
      </c>
      <c r="Y1111" s="0" t="n">
        <v>9</v>
      </c>
      <c r="Z1111" s="0" t="inlineStr">
        <is>
          <t>https://new.land.naver.com/complexes/124566?tab=detail&amp;rf=Y</t>
        </is>
      </c>
      <c r="AA1111" s="0" t="inlineStr">
        <is>
          <t>인천시 남동구 구월동 1168</t>
        </is>
      </c>
      <c r="AB1111" s="0" t="inlineStr">
        <is>
          <t>인천시</t>
        </is>
      </c>
      <c r="AC1111" s="0" t="inlineStr">
        <is>
          <t>남동구</t>
        </is>
      </c>
      <c r="AD1111" s="0" t="inlineStr">
        <is>
          <t>구월동</t>
        </is>
      </c>
      <c r="AG1111" s="0" t="inlineStr">
        <is>
          <t>인천시 남동구 성말로44번길 3</t>
        </is>
      </c>
      <c r="AH1111" s="0" t="n">
        <v>0</v>
      </c>
      <c r="AI1111" s="0" t="n">
        <v>234</v>
      </c>
      <c r="AJ1111" s="0" t="n">
        <v>42</v>
      </c>
      <c r="AK1111" s="0" t="n">
        <v>24</v>
      </c>
      <c r="AL1111" s="0" t="n">
        <v>1</v>
      </c>
    </row>
    <row r="1112">
      <c r="A1112" s="0" t="inlineStr">
        <is>
          <t>[구월동]</t>
        </is>
      </c>
      <c r="B1112" s="0" t="n">
        <v>124566</v>
      </c>
      <c r="C1112" s="0" t="n">
        <v>4</v>
      </c>
      <c r="D1112" s="0" t="inlineStr">
        <is>
          <t>유니센트럴파크</t>
        </is>
      </c>
      <c r="E1112" s="0" t="inlineStr">
        <is>
          <t>2019.01.</t>
        </is>
      </c>
      <c r="F1112" s="0" t="n">
        <v>24</v>
      </c>
      <c r="G1112" s="0" t="n">
        <v>37.91</v>
      </c>
      <c r="H1112" s="0" t="n">
        <v>125.33</v>
      </c>
      <c r="I1112" s="0" t="n">
        <v>33.43</v>
      </c>
      <c r="J1112" s="0" t="n">
        <v>110.52</v>
      </c>
      <c r="K1112" s="0" t="n">
        <v>1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125</v>
      </c>
      <c r="X1112" s="0" t="n">
        <v>9</v>
      </c>
      <c r="Y1112" s="0" t="n">
        <v>9</v>
      </c>
      <c r="Z1112" s="0" t="inlineStr">
        <is>
          <t>https://new.land.naver.com/complexes/124566?tab=detail&amp;rf=Y</t>
        </is>
      </c>
      <c r="AA1112" s="0" t="inlineStr">
        <is>
          <t>인천시 남동구 구월동 1168</t>
        </is>
      </c>
      <c r="AB1112" s="0" t="inlineStr">
        <is>
          <t>인천시</t>
        </is>
      </c>
      <c r="AC1112" s="0" t="inlineStr">
        <is>
          <t>남동구</t>
        </is>
      </c>
      <c r="AD1112" s="0" t="inlineStr">
        <is>
          <t>구월동</t>
        </is>
      </c>
      <c r="AG1112" s="0" t="inlineStr">
        <is>
          <t>인천시 남동구 성말로44번길 3</t>
        </is>
      </c>
      <c r="AH1112" s="0" t="n">
        <v>0</v>
      </c>
      <c r="AI1112" s="0" t="n">
        <v>234</v>
      </c>
      <c r="AJ1112" s="0" t="n">
        <v>42</v>
      </c>
      <c r="AK1112" s="0" t="n">
        <v>24</v>
      </c>
      <c r="AL1112" s="0" t="n">
        <v>1</v>
      </c>
    </row>
    <row r="1113">
      <c r="A1113" s="0" t="inlineStr">
        <is>
          <t>[구월동]</t>
        </is>
      </c>
      <c r="B1113" s="0" t="n">
        <v>124566</v>
      </c>
      <c r="C1113" s="0" t="n">
        <v>5</v>
      </c>
      <c r="D1113" s="0" t="inlineStr">
        <is>
          <t>유니센트럴파크</t>
        </is>
      </c>
      <c r="E1113" s="0" t="inlineStr">
        <is>
          <t>2019.01.</t>
        </is>
      </c>
      <c r="F1113" s="0" t="n">
        <v>24</v>
      </c>
      <c r="G1113" s="0" t="n">
        <v>38.64</v>
      </c>
      <c r="H1113" s="0" t="n">
        <v>127.76</v>
      </c>
      <c r="I1113" s="0" t="n">
        <v>34.08</v>
      </c>
      <c r="J1113" s="0" t="n">
        <v>112.67</v>
      </c>
      <c r="K1113" s="0" t="n">
        <v>1</v>
      </c>
      <c r="T1113" s="0" t="n">
        <v>3</v>
      </c>
      <c r="U1113" s="0" t="n">
        <v>2</v>
      </c>
      <c r="V1113" s="0" t="inlineStr">
        <is>
          <t>계단식</t>
        </is>
      </c>
      <c r="W1113" s="0" t="n">
        <v>127</v>
      </c>
      <c r="X1113" s="0" t="n">
        <v>9</v>
      </c>
      <c r="Y1113" s="0" t="n">
        <v>9</v>
      </c>
      <c r="Z1113" s="0" t="inlineStr">
        <is>
          <t>https://new.land.naver.com/complexes/124566?tab=detail&amp;rf=Y</t>
        </is>
      </c>
      <c r="AA1113" s="0" t="inlineStr">
        <is>
          <t>인천시 남동구 구월동 1168</t>
        </is>
      </c>
      <c r="AB1113" s="0" t="inlineStr">
        <is>
          <t>인천시</t>
        </is>
      </c>
      <c r="AC1113" s="0" t="inlineStr">
        <is>
          <t>남동구</t>
        </is>
      </c>
      <c r="AD1113" s="0" t="inlineStr">
        <is>
          <t>구월동</t>
        </is>
      </c>
      <c r="AG1113" s="0" t="inlineStr">
        <is>
          <t>인천시 남동구 성말로44번길 3</t>
        </is>
      </c>
      <c r="AH1113" s="0" t="n">
        <v>0</v>
      </c>
      <c r="AI1113" s="0" t="n">
        <v>234</v>
      </c>
      <c r="AJ1113" s="0" t="n">
        <v>42</v>
      </c>
      <c r="AK1113" s="0" t="n">
        <v>24</v>
      </c>
      <c r="AL1113" s="0" t="n">
        <v>1</v>
      </c>
    </row>
    <row r="1114">
      <c r="A1114" s="0" t="inlineStr">
        <is>
          <t>[구월동]</t>
        </is>
      </c>
      <c r="B1114" s="0" t="n">
        <v>124566</v>
      </c>
      <c r="C1114" s="0" t="n">
        <v>6</v>
      </c>
      <c r="D1114" s="0" t="inlineStr">
        <is>
          <t>유니센트럴파크</t>
        </is>
      </c>
      <c r="E1114" s="0" t="inlineStr">
        <is>
          <t>2019.01.</t>
        </is>
      </c>
      <c r="F1114" s="0" t="n">
        <v>24</v>
      </c>
      <c r="G1114" s="0" t="n">
        <v>40.77</v>
      </c>
      <c r="H1114" s="0" t="n">
        <v>134.8</v>
      </c>
      <c r="I1114" s="0" t="n">
        <v>35.95</v>
      </c>
      <c r="J1114" s="0" t="n">
        <v>118.87</v>
      </c>
      <c r="K1114" s="0" t="n">
        <v>1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134</v>
      </c>
      <c r="X1114" s="0" t="n">
        <v>9</v>
      </c>
      <c r="Y1114" s="0" t="n">
        <v>9</v>
      </c>
      <c r="Z1114" s="0" t="inlineStr">
        <is>
          <t>https://new.land.naver.com/complexes/124566?tab=detail&amp;rf=Y</t>
        </is>
      </c>
      <c r="AA1114" s="0" t="inlineStr">
        <is>
          <t>인천시 남동구 구월동 1168</t>
        </is>
      </c>
      <c r="AB1114" s="0" t="inlineStr">
        <is>
          <t>인천시</t>
        </is>
      </c>
      <c r="AC1114" s="0" t="inlineStr">
        <is>
          <t>남동구</t>
        </is>
      </c>
      <c r="AD1114" s="0" t="inlineStr">
        <is>
          <t>구월동</t>
        </is>
      </c>
      <c r="AG1114" s="0" t="inlineStr">
        <is>
          <t>인천시 남동구 성말로44번길 3</t>
        </is>
      </c>
      <c r="AH1114" s="0" t="n">
        <v>0</v>
      </c>
      <c r="AI1114" s="0" t="n">
        <v>234</v>
      </c>
      <c r="AJ1114" s="0" t="n">
        <v>42</v>
      </c>
      <c r="AK1114" s="0" t="n">
        <v>24</v>
      </c>
      <c r="AL1114" s="0" t="n">
        <v>1</v>
      </c>
    </row>
    <row r="1115">
      <c r="A1115" s="0" t="inlineStr">
        <is>
          <t>[구월동]</t>
        </is>
      </c>
      <c r="B1115" s="0" t="n">
        <v>105387</v>
      </c>
      <c r="C1115" s="0" t="n">
        <v>1</v>
      </c>
      <c r="D1115" s="0" t="inlineStr">
        <is>
          <t>중앙헤리티지(도시형)</t>
        </is>
      </c>
      <c r="E1115" s="0" t="inlineStr">
        <is>
          <t>2012.07.</t>
        </is>
      </c>
      <c r="F1115" s="0" t="n">
        <v>143</v>
      </c>
      <c r="G1115" s="0" t="n">
        <v>6.8</v>
      </c>
      <c r="H1115" s="0" t="n">
        <v>22.48</v>
      </c>
      <c r="I1115" s="0" t="n">
        <v>3.7</v>
      </c>
      <c r="J1115" s="0" t="n">
        <v>12.26</v>
      </c>
      <c r="K1115" s="0" t="n">
        <v>33</v>
      </c>
      <c r="T1115" s="0" t="n">
        <v>1</v>
      </c>
      <c r="U1115" s="0" t="n">
        <v>1</v>
      </c>
      <c r="V1115" s="0" t="inlineStr">
        <is>
          <t>복합식</t>
        </is>
      </c>
      <c r="W1115" s="0" t="inlineStr">
        <is>
          <t>22B</t>
        </is>
      </c>
      <c r="X1115" s="0" t="n">
        <v>15</v>
      </c>
      <c r="Y1115" s="0" t="n">
        <v>15</v>
      </c>
      <c r="Z1115" s="0" t="inlineStr">
        <is>
          <t>https://new.land.naver.com/complexes/105387?tab=detail&amp;rf=Y</t>
        </is>
      </c>
      <c r="AA1115" s="0" t="inlineStr">
        <is>
          <t>인천시 남동구 구월동 1132-11</t>
        </is>
      </c>
      <c r="AB1115" s="0" t="inlineStr">
        <is>
          <t>인천시</t>
        </is>
      </c>
      <c r="AC1115" s="0" t="inlineStr">
        <is>
          <t>남동구</t>
        </is>
      </c>
      <c r="AD1115" s="0" t="inlineStr">
        <is>
          <t>구월동</t>
        </is>
      </c>
      <c r="AG1115" s="0" t="inlineStr">
        <is>
          <t>인천시 남동구 예술로204번길 39</t>
        </is>
      </c>
      <c r="AH1115" s="0" t="n">
        <v>0</v>
      </c>
      <c r="AI1115" s="0" t="n">
        <v>662</v>
      </c>
      <c r="AJ1115" s="0" t="n">
        <v>59</v>
      </c>
      <c r="AK1115" s="0" t="n">
        <v>36</v>
      </c>
      <c r="AL1115" s="0" t="n">
        <v>0.25</v>
      </c>
    </row>
    <row r="1116">
      <c r="A1116" s="0" t="inlineStr">
        <is>
          <t>[구월동]</t>
        </is>
      </c>
      <c r="B1116" s="0" t="n">
        <v>105387</v>
      </c>
      <c r="C1116" s="0" t="n">
        <v>2</v>
      </c>
      <c r="D1116" s="0" t="inlineStr">
        <is>
          <t>중앙헤리티지(도시형)</t>
        </is>
      </c>
      <c r="E1116" s="0" t="inlineStr">
        <is>
          <t>2012.07.</t>
        </is>
      </c>
      <c r="F1116" s="0" t="n">
        <v>143</v>
      </c>
      <c r="G1116" s="0" t="n">
        <v>6.74</v>
      </c>
      <c r="H1116" s="0" t="n">
        <v>22.3</v>
      </c>
      <c r="I1116" s="0" t="n">
        <v>3.63</v>
      </c>
      <c r="J1116" s="0" t="n">
        <v>12.03</v>
      </c>
      <c r="K1116" s="0" t="n">
        <v>22</v>
      </c>
      <c r="T1116" s="0" t="n">
        <v>1</v>
      </c>
      <c r="U1116" s="0" t="n">
        <v>1</v>
      </c>
      <c r="V1116" s="0" t="inlineStr">
        <is>
          <t>복합식</t>
        </is>
      </c>
      <c r="W1116" s="0" t="inlineStr">
        <is>
          <t>22C</t>
        </is>
      </c>
      <c r="X1116" s="0" t="n">
        <v>15</v>
      </c>
      <c r="Y1116" s="0" t="n">
        <v>15</v>
      </c>
      <c r="Z1116" s="0" t="inlineStr">
        <is>
          <t>https://new.land.naver.com/complexes/105387?tab=detail&amp;rf=Y</t>
        </is>
      </c>
      <c r="AA1116" s="0" t="inlineStr">
        <is>
          <t>인천시 남동구 구월동 1132-11</t>
        </is>
      </c>
      <c r="AB1116" s="0" t="inlineStr">
        <is>
          <t>인천시</t>
        </is>
      </c>
      <c r="AC1116" s="0" t="inlineStr">
        <is>
          <t>남동구</t>
        </is>
      </c>
      <c r="AD1116" s="0" t="inlineStr">
        <is>
          <t>구월동</t>
        </is>
      </c>
      <c r="AG1116" s="0" t="inlineStr">
        <is>
          <t>인천시 남동구 예술로204번길 39</t>
        </is>
      </c>
      <c r="AH1116" s="0" t="n">
        <v>0</v>
      </c>
      <c r="AI1116" s="0" t="n">
        <v>662</v>
      </c>
      <c r="AJ1116" s="0" t="n">
        <v>59</v>
      </c>
      <c r="AK1116" s="0" t="n">
        <v>36</v>
      </c>
      <c r="AL1116" s="0" t="n">
        <v>0.25</v>
      </c>
    </row>
    <row r="1117">
      <c r="A1117" s="0" t="inlineStr">
        <is>
          <t>[구월동]</t>
        </is>
      </c>
      <c r="B1117" s="0" t="n">
        <v>105387</v>
      </c>
      <c r="C1117" s="0" t="n">
        <v>3</v>
      </c>
      <c r="D1117" s="0" t="inlineStr">
        <is>
          <t>중앙헤리티지(도시형)</t>
        </is>
      </c>
      <c r="E1117" s="0" t="inlineStr">
        <is>
          <t>2012.07.</t>
        </is>
      </c>
      <c r="F1117" s="0" t="n">
        <v>143</v>
      </c>
      <c r="G1117" s="0" t="n">
        <v>7.45</v>
      </c>
      <c r="H1117" s="0" t="n">
        <v>24.65</v>
      </c>
      <c r="I1117" s="0" t="n">
        <v>4.07</v>
      </c>
      <c r="J1117" s="0" t="n">
        <v>13.48</v>
      </c>
      <c r="K1117" s="0" t="n">
        <v>33</v>
      </c>
      <c r="T1117" s="0" t="n">
        <v>1</v>
      </c>
      <c r="U1117" s="0" t="n">
        <v>1</v>
      </c>
      <c r="V1117" s="0" t="inlineStr">
        <is>
          <t>복합식</t>
        </is>
      </c>
      <c r="W1117" s="0" t="inlineStr">
        <is>
          <t>24D</t>
        </is>
      </c>
      <c r="X1117" s="0" t="n">
        <v>15</v>
      </c>
      <c r="Y1117" s="0" t="n">
        <v>15</v>
      </c>
      <c r="Z1117" s="0" t="inlineStr">
        <is>
          <t>https://new.land.naver.com/complexes/105387?tab=detail&amp;rf=Y</t>
        </is>
      </c>
      <c r="AA1117" s="0" t="inlineStr">
        <is>
          <t>인천시 남동구 구월동 1132-11</t>
        </is>
      </c>
      <c r="AB1117" s="0" t="inlineStr">
        <is>
          <t>인천시</t>
        </is>
      </c>
      <c r="AC1117" s="0" t="inlineStr">
        <is>
          <t>남동구</t>
        </is>
      </c>
      <c r="AD1117" s="0" t="inlineStr">
        <is>
          <t>구월동</t>
        </is>
      </c>
      <c r="AG1117" s="0" t="inlineStr">
        <is>
          <t>인천시 남동구 예술로204번길 39</t>
        </is>
      </c>
      <c r="AH1117" s="0" t="n">
        <v>0</v>
      </c>
      <c r="AI1117" s="0" t="n">
        <v>662</v>
      </c>
      <c r="AJ1117" s="0" t="n">
        <v>59</v>
      </c>
      <c r="AK1117" s="0" t="n">
        <v>36</v>
      </c>
      <c r="AL1117" s="0" t="n">
        <v>0.25</v>
      </c>
    </row>
    <row r="1118">
      <c r="A1118" s="0" t="inlineStr">
        <is>
          <t>[구월동]</t>
        </is>
      </c>
      <c r="B1118" s="0" t="n">
        <v>105387</v>
      </c>
      <c r="C1118" s="0" t="n">
        <v>4</v>
      </c>
      <c r="D1118" s="0" t="inlineStr">
        <is>
          <t>중앙헤리티지(도시형)</t>
        </is>
      </c>
      <c r="E1118" s="0" t="inlineStr">
        <is>
          <t>2012.07.</t>
        </is>
      </c>
      <c r="F1118" s="0" t="n">
        <v>143</v>
      </c>
      <c r="G1118" s="0" t="n">
        <v>7.39</v>
      </c>
      <c r="H1118" s="0" t="n">
        <v>24.45</v>
      </c>
      <c r="I1118" s="0" t="n">
        <v>4</v>
      </c>
      <c r="J1118" s="0" t="n">
        <v>13.23</v>
      </c>
      <c r="K1118" s="0" t="n">
        <v>22</v>
      </c>
      <c r="T1118" s="0" t="n">
        <v>1</v>
      </c>
      <c r="U1118" s="0" t="n">
        <v>1</v>
      </c>
      <c r="V1118" s="0" t="inlineStr">
        <is>
          <t>복합식</t>
        </is>
      </c>
      <c r="W1118" s="0" t="inlineStr">
        <is>
          <t>24A</t>
        </is>
      </c>
      <c r="X1118" s="0" t="n">
        <v>15</v>
      </c>
      <c r="Y1118" s="0" t="n">
        <v>15</v>
      </c>
      <c r="Z1118" s="0" t="inlineStr">
        <is>
          <t>https://new.land.naver.com/complexes/105387?tab=detail&amp;rf=Y</t>
        </is>
      </c>
      <c r="AA1118" s="0" t="inlineStr">
        <is>
          <t>인천시 남동구 구월동 1132-11</t>
        </is>
      </c>
      <c r="AB1118" s="0" t="inlineStr">
        <is>
          <t>인천시</t>
        </is>
      </c>
      <c r="AC1118" s="0" t="inlineStr">
        <is>
          <t>남동구</t>
        </is>
      </c>
      <c r="AD1118" s="0" t="inlineStr">
        <is>
          <t>구월동</t>
        </is>
      </c>
      <c r="AG1118" s="0" t="inlineStr">
        <is>
          <t>인천시 남동구 예술로204번길 39</t>
        </is>
      </c>
      <c r="AH1118" s="0" t="n">
        <v>0</v>
      </c>
      <c r="AI1118" s="0" t="n">
        <v>662</v>
      </c>
      <c r="AJ1118" s="0" t="n">
        <v>59</v>
      </c>
      <c r="AK1118" s="0" t="n">
        <v>36</v>
      </c>
      <c r="AL1118" s="0" t="n">
        <v>0.25</v>
      </c>
    </row>
    <row r="1119">
      <c r="A1119" s="0" t="inlineStr">
        <is>
          <t>[구월동]</t>
        </is>
      </c>
      <c r="B1119" s="0" t="n">
        <v>105387</v>
      </c>
      <c r="C1119" s="0" t="n">
        <v>5</v>
      </c>
      <c r="D1119" s="0" t="inlineStr">
        <is>
          <t>중앙헤리티지(도시형)</t>
        </is>
      </c>
      <c r="E1119" s="0" t="inlineStr">
        <is>
          <t>2012.07.</t>
        </is>
      </c>
      <c r="F1119" s="0" t="n">
        <v>143</v>
      </c>
      <c r="G1119" s="0" t="n">
        <v>7.84</v>
      </c>
      <c r="H1119" s="0" t="n">
        <v>25.95</v>
      </c>
      <c r="I1119" s="0" t="n">
        <v>4.27</v>
      </c>
      <c r="J1119" s="0" t="n">
        <v>14.12</v>
      </c>
      <c r="K1119" s="0" t="n">
        <v>22</v>
      </c>
      <c r="T1119" s="0" t="n">
        <v>1</v>
      </c>
      <c r="U1119" s="0" t="n">
        <v>1</v>
      </c>
      <c r="V1119" s="0" t="inlineStr">
        <is>
          <t>복합식</t>
        </is>
      </c>
      <c r="W1119" s="0" t="inlineStr">
        <is>
          <t>25A</t>
        </is>
      </c>
      <c r="X1119" s="0" t="n">
        <v>15</v>
      </c>
      <c r="Y1119" s="0" t="n">
        <v>15</v>
      </c>
      <c r="Z1119" s="0" t="inlineStr">
        <is>
          <t>https://new.land.naver.com/complexes/105387?tab=detail&amp;rf=Y</t>
        </is>
      </c>
      <c r="AA1119" s="0" t="inlineStr">
        <is>
          <t>인천시 남동구 구월동 1132-11</t>
        </is>
      </c>
      <c r="AB1119" s="0" t="inlineStr">
        <is>
          <t>인천시</t>
        </is>
      </c>
      <c r="AC1119" s="0" t="inlineStr">
        <is>
          <t>남동구</t>
        </is>
      </c>
      <c r="AD1119" s="0" t="inlineStr">
        <is>
          <t>구월동</t>
        </is>
      </c>
      <c r="AG1119" s="0" t="inlineStr">
        <is>
          <t>인천시 남동구 예술로204번길 39</t>
        </is>
      </c>
      <c r="AH1119" s="0" t="n">
        <v>0</v>
      </c>
      <c r="AI1119" s="0" t="n">
        <v>662</v>
      </c>
      <c r="AJ1119" s="0" t="n">
        <v>59</v>
      </c>
      <c r="AK1119" s="0" t="n">
        <v>36</v>
      </c>
      <c r="AL1119" s="0" t="n">
        <v>0.25</v>
      </c>
    </row>
    <row r="1120">
      <c r="A1120" s="0" t="inlineStr">
        <is>
          <t>[구월동]</t>
        </is>
      </c>
      <c r="B1120" s="0" t="n">
        <v>105387</v>
      </c>
      <c r="C1120" s="0" t="n">
        <v>6</v>
      </c>
      <c r="D1120" s="0" t="inlineStr">
        <is>
          <t>중앙헤리티지(도시형)</t>
        </is>
      </c>
      <c r="E1120" s="0" t="inlineStr">
        <is>
          <t>2012.07.</t>
        </is>
      </c>
      <c r="F1120" s="0" t="n">
        <v>143</v>
      </c>
      <c r="G1120" s="0" t="n">
        <v>7.89</v>
      </c>
      <c r="H1120" s="0" t="n">
        <v>26.1</v>
      </c>
      <c r="I1120" s="0" t="n">
        <v>4.33</v>
      </c>
      <c r="J1120" s="0" t="n">
        <v>14.32</v>
      </c>
      <c r="K1120" s="0" t="n">
        <v>11</v>
      </c>
      <c r="T1120" s="0" t="n">
        <v>1</v>
      </c>
      <c r="U1120" s="0" t="n">
        <v>1</v>
      </c>
      <c r="V1120" s="0" t="inlineStr">
        <is>
          <t>복합식</t>
        </is>
      </c>
      <c r="W1120" s="0" t="inlineStr">
        <is>
          <t>26B</t>
        </is>
      </c>
      <c r="X1120" s="0" t="n">
        <v>15</v>
      </c>
      <c r="Y1120" s="0" t="n">
        <v>15</v>
      </c>
      <c r="Z1120" s="0" t="inlineStr">
        <is>
          <t>https://new.land.naver.com/complexes/105387?tab=detail&amp;rf=Y</t>
        </is>
      </c>
      <c r="AA1120" s="0" t="inlineStr">
        <is>
          <t>인천시 남동구 구월동 1132-11</t>
        </is>
      </c>
      <c r="AB1120" s="0" t="inlineStr">
        <is>
          <t>인천시</t>
        </is>
      </c>
      <c r="AC1120" s="0" t="inlineStr">
        <is>
          <t>남동구</t>
        </is>
      </c>
      <c r="AD1120" s="0" t="inlineStr">
        <is>
          <t>구월동</t>
        </is>
      </c>
      <c r="AG1120" s="0" t="inlineStr">
        <is>
          <t>인천시 남동구 예술로204번길 39</t>
        </is>
      </c>
      <c r="AH1120" s="0" t="n">
        <v>0</v>
      </c>
      <c r="AI1120" s="0" t="n">
        <v>662</v>
      </c>
      <c r="AJ1120" s="0" t="n">
        <v>59</v>
      </c>
      <c r="AK1120" s="0" t="n">
        <v>36</v>
      </c>
      <c r="AL1120" s="0" t="n">
        <v>0.25</v>
      </c>
    </row>
    <row r="1121">
      <c r="A1121" s="0" t="inlineStr">
        <is>
          <t>[구월동]</t>
        </is>
      </c>
      <c r="B1121" s="0" t="n">
        <v>2309</v>
      </c>
      <c r="C1121" s="0" t="n">
        <v>1</v>
      </c>
      <c r="D1121" s="0" t="inlineStr">
        <is>
          <t>신세계</t>
        </is>
      </c>
      <c r="E1121" s="0" t="inlineStr">
        <is>
          <t>1980.05.</t>
        </is>
      </c>
      <c r="F1121" s="0" t="n">
        <v>700</v>
      </c>
      <c r="G1121" s="0" t="n">
        <v>23.91</v>
      </c>
      <c r="H1121" s="0" t="n">
        <v>79.06999999999999</v>
      </c>
      <c r="I1121" s="0" t="n">
        <v>22.26</v>
      </c>
      <c r="J1121" s="0" t="n">
        <v>73.61</v>
      </c>
      <c r="K1121" s="0" t="n">
        <v>210</v>
      </c>
      <c r="T1121" s="0" t="n">
        <v>3</v>
      </c>
      <c r="U1121" s="0" t="n">
        <v>1</v>
      </c>
      <c r="V1121" s="0" t="inlineStr">
        <is>
          <t>복도식</t>
        </is>
      </c>
      <c r="W1121" s="0" t="n">
        <v>79</v>
      </c>
      <c r="X1121" s="0" t="n">
        <v>14</v>
      </c>
      <c r="Y1121" s="0" t="n">
        <v>14</v>
      </c>
      <c r="Z1121" s="0" t="inlineStr">
        <is>
          <t>https://new.land.naver.com/complexes/2309?tab=detail&amp;rf=Y</t>
        </is>
      </c>
      <c r="AA1121" s="0" t="inlineStr">
        <is>
          <t>인천시 남동구 구월동 342-1</t>
        </is>
      </c>
      <c r="AB1121" s="0" t="inlineStr">
        <is>
          <t>인천시</t>
        </is>
      </c>
      <c r="AC1121" s="0" t="inlineStr">
        <is>
          <t>남동구</t>
        </is>
      </c>
      <c r="AD1121" s="0" t="inlineStr">
        <is>
          <t>구월동</t>
        </is>
      </c>
      <c r="AG1121" s="0" t="inlineStr">
        <is>
          <t>인천시 남동구 호구포로 858</t>
        </is>
      </c>
      <c r="AH1121" s="0" t="n">
        <v>0</v>
      </c>
      <c r="AI1121" s="0" t="n">
        <v>0</v>
      </c>
      <c r="AJ1121" s="0" t="n">
        <v>0</v>
      </c>
      <c r="AK1121" s="0" t="n">
        <v>700</v>
      </c>
      <c r="AL1121" s="0" t="n">
        <v>1</v>
      </c>
    </row>
    <row r="1122">
      <c r="A1122" s="0" t="inlineStr">
        <is>
          <t>[구월동]</t>
        </is>
      </c>
      <c r="B1122" s="0" t="n">
        <v>2309</v>
      </c>
      <c r="C1122" s="0" t="n">
        <v>2</v>
      </c>
      <c r="D1122" s="0" t="inlineStr">
        <is>
          <t>신세계</t>
        </is>
      </c>
      <c r="E1122" s="0" t="inlineStr">
        <is>
          <t>1980.05.</t>
        </is>
      </c>
      <c r="F1122" s="0" t="n">
        <v>700</v>
      </c>
      <c r="G1122" s="0" t="n">
        <v>27.49</v>
      </c>
      <c r="H1122" s="0" t="n">
        <v>90.90000000000001</v>
      </c>
      <c r="I1122" s="0" t="n">
        <v>25.84</v>
      </c>
      <c r="J1122" s="0" t="n">
        <v>85.44</v>
      </c>
      <c r="K1122" s="0" t="n">
        <v>245</v>
      </c>
      <c r="T1122" s="0" t="n">
        <v>3</v>
      </c>
      <c r="U1122" s="0" t="n">
        <v>1</v>
      </c>
      <c r="V1122" s="0" t="inlineStr">
        <is>
          <t>복도식</t>
        </is>
      </c>
      <c r="W1122" s="0" t="inlineStr">
        <is>
          <t>90A</t>
        </is>
      </c>
      <c r="X1122" s="0" t="n">
        <v>14</v>
      </c>
      <c r="Y1122" s="0" t="n">
        <v>14</v>
      </c>
      <c r="Z1122" s="0" t="inlineStr">
        <is>
          <t>https://new.land.naver.com/complexes/2309?tab=detail&amp;rf=Y</t>
        </is>
      </c>
      <c r="AA1122" s="0" t="inlineStr">
        <is>
          <t>인천시 남동구 구월동 342-1</t>
        </is>
      </c>
      <c r="AB1122" s="0" t="inlineStr">
        <is>
          <t>인천시</t>
        </is>
      </c>
      <c r="AC1122" s="0" t="inlineStr">
        <is>
          <t>남동구</t>
        </is>
      </c>
      <c r="AD1122" s="0" t="inlineStr">
        <is>
          <t>구월동</t>
        </is>
      </c>
      <c r="AG1122" s="0" t="inlineStr">
        <is>
          <t>인천시 남동구 호구포로 858</t>
        </is>
      </c>
      <c r="AH1122" s="0" t="n">
        <v>0</v>
      </c>
      <c r="AI1122" s="0" t="n">
        <v>0</v>
      </c>
      <c r="AJ1122" s="0" t="n">
        <v>0</v>
      </c>
      <c r="AK1122" s="0" t="n">
        <v>700</v>
      </c>
      <c r="AL1122" s="0" t="n">
        <v>1</v>
      </c>
    </row>
    <row r="1123">
      <c r="A1123" s="0" t="inlineStr">
        <is>
          <t>[구월동]</t>
        </is>
      </c>
      <c r="B1123" s="0" t="n">
        <v>2309</v>
      </c>
      <c r="C1123" s="0" t="n">
        <v>3</v>
      </c>
      <c r="D1123" s="0" t="inlineStr">
        <is>
          <t>신세계</t>
        </is>
      </c>
      <c r="E1123" s="0" t="inlineStr">
        <is>
          <t>1980.05.</t>
        </is>
      </c>
      <c r="F1123" s="0" t="n">
        <v>700</v>
      </c>
      <c r="G1123" s="0" t="n">
        <v>27.96</v>
      </c>
      <c r="H1123" s="0" t="n">
        <v>92.44</v>
      </c>
      <c r="I1123" s="0" t="n">
        <v>26.82</v>
      </c>
      <c r="J1123" s="0" t="n">
        <v>88.68000000000001</v>
      </c>
      <c r="K1123" s="0" t="n">
        <v>194</v>
      </c>
      <c r="T1123" s="0" t="n">
        <v>3</v>
      </c>
      <c r="U1123" s="0" t="n">
        <v>1</v>
      </c>
      <c r="V1123" s="0" t="inlineStr">
        <is>
          <t>복도식</t>
        </is>
      </c>
      <c r="W1123" s="0" t="inlineStr">
        <is>
          <t>92B</t>
        </is>
      </c>
      <c r="X1123" s="0" t="n">
        <v>14</v>
      </c>
      <c r="Y1123" s="0" t="n">
        <v>14</v>
      </c>
      <c r="Z1123" s="0" t="inlineStr">
        <is>
          <t>https://new.land.naver.com/complexes/2309?tab=detail&amp;rf=Y</t>
        </is>
      </c>
      <c r="AA1123" s="0" t="inlineStr">
        <is>
          <t>인천시 남동구 구월동 342-1</t>
        </is>
      </c>
      <c r="AB1123" s="0" t="inlineStr">
        <is>
          <t>인천시</t>
        </is>
      </c>
      <c r="AC1123" s="0" t="inlineStr">
        <is>
          <t>남동구</t>
        </is>
      </c>
      <c r="AD1123" s="0" t="inlineStr">
        <is>
          <t>구월동</t>
        </is>
      </c>
      <c r="AG1123" s="0" t="inlineStr">
        <is>
          <t>인천시 남동구 호구포로 858</t>
        </is>
      </c>
      <c r="AH1123" s="0" t="n">
        <v>0</v>
      </c>
      <c r="AI1123" s="0" t="n">
        <v>0</v>
      </c>
      <c r="AJ1123" s="0" t="n">
        <v>0</v>
      </c>
      <c r="AK1123" s="0" t="n">
        <v>700</v>
      </c>
      <c r="AL1123" s="0" t="n">
        <v>1</v>
      </c>
    </row>
    <row r="1124">
      <c r="A1124" s="0" t="inlineStr">
        <is>
          <t>[구월동]</t>
        </is>
      </c>
      <c r="B1124" s="0" t="n">
        <v>2309</v>
      </c>
      <c r="C1124" s="0" t="n">
        <v>4</v>
      </c>
      <c r="D1124" s="0" t="inlineStr">
        <is>
          <t>신세계</t>
        </is>
      </c>
      <c r="E1124" s="0" t="inlineStr">
        <is>
          <t>1980.05.</t>
        </is>
      </c>
      <c r="F1124" s="0" t="n">
        <v>700</v>
      </c>
      <c r="G1124" s="0" t="n">
        <v>27.96</v>
      </c>
      <c r="H1124" s="0" t="n">
        <v>92.44</v>
      </c>
      <c r="I1124" s="0" t="n">
        <v>19.95</v>
      </c>
      <c r="J1124" s="0" t="n">
        <v>65.97</v>
      </c>
      <c r="K1124" s="0" t="n">
        <v>10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92</v>
      </c>
      <c r="X1124" s="0" t="n">
        <v>14</v>
      </c>
      <c r="Y1124" s="0" t="n">
        <v>14</v>
      </c>
      <c r="Z1124" s="0" t="inlineStr">
        <is>
          <t>https://new.land.naver.com/complexes/2309?tab=detail&amp;rf=Y</t>
        </is>
      </c>
      <c r="AA1124" s="0" t="inlineStr">
        <is>
          <t>인천시 남동구 구월동 342-1</t>
        </is>
      </c>
      <c r="AB1124" s="0" t="inlineStr">
        <is>
          <t>인천시</t>
        </is>
      </c>
      <c r="AC1124" s="0" t="inlineStr">
        <is>
          <t>남동구</t>
        </is>
      </c>
      <c r="AD1124" s="0" t="inlineStr">
        <is>
          <t>구월동</t>
        </is>
      </c>
      <c r="AG1124" s="0" t="inlineStr">
        <is>
          <t>인천시 남동구 호구포로 858</t>
        </is>
      </c>
      <c r="AH1124" s="0" t="n">
        <v>0</v>
      </c>
      <c r="AI1124" s="0" t="n">
        <v>0</v>
      </c>
      <c r="AJ1124" s="0" t="n">
        <v>0</v>
      </c>
      <c r="AK1124" s="0" t="n">
        <v>700</v>
      </c>
      <c r="AL1124" s="0" t="n">
        <v>1</v>
      </c>
    </row>
    <row r="1125">
      <c r="A1125" s="0" t="inlineStr">
        <is>
          <t>[구월동]</t>
        </is>
      </c>
      <c r="B1125" s="0" t="n">
        <v>2309</v>
      </c>
      <c r="C1125" s="0" t="n">
        <v>5</v>
      </c>
      <c r="D1125" s="0" t="inlineStr">
        <is>
          <t>신세계</t>
        </is>
      </c>
      <c r="E1125" s="0" t="inlineStr">
        <is>
          <t>1980.05.</t>
        </is>
      </c>
      <c r="F1125" s="0" t="n">
        <v>700</v>
      </c>
      <c r="G1125" s="0" t="n">
        <v>33.97</v>
      </c>
      <c r="H1125" s="0" t="n">
        <v>112.32</v>
      </c>
      <c r="I1125" s="0" t="n">
        <v>31.33</v>
      </c>
      <c r="J1125" s="0" t="n">
        <v>103.6</v>
      </c>
      <c r="K1125" s="0" t="n">
        <v>41</v>
      </c>
      <c r="T1125" s="0" t="n">
        <v>4</v>
      </c>
      <c r="U1125" s="0" t="n">
        <v>1</v>
      </c>
      <c r="V1125" s="0" t="inlineStr">
        <is>
          <t>복도식</t>
        </is>
      </c>
      <c r="W1125" s="0" t="n">
        <v>112</v>
      </c>
      <c r="X1125" s="0" t="n">
        <v>14</v>
      </c>
      <c r="Y1125" s="0" t="n">
        <v>14</v>
      </c>
      <c r="Z1125" s="0" t="inlineStr">
        <is>
          <t>https://new.land.naver.com/complexes/2309?tab=detail&amp;rf=Y</t>
        </is>
      </c>
      <c r="AA1125" s="0" t="inlineStr">
        <is>
          <t>인천시 남동구 구월동 342-1</t>
        </is>
      </c>
      <c r="AB1125" s="0" t="inlineStr">
        <is>
          <t>인천시</t>
        </is>
      </c>
      <c r="AC1125" s="0" t="inlineStr">
        <is>
          <t>남동구</t>
        </is>
      </c>
      <c r="AD1125" s="0" t="inlineStr">
        <is>
          <t>구월동</t>
        </is>
      </c>
      <c r="AG1125" s="0" t="inlineStr">
        <is>
          <t>인천시 남동구 호구포로 858</t>
        </is>
      </c>
      <c r="AH1125" s="0" t="n">
        <v>0</v>
      </c>
      <c r="AI1125" s="0" t="n">
        <v>0</v>
      </c>
      <c r="AJ1125" s="0" t="n">
        <v>0</v>
      </c>
      <c r="AK1125" s="0" t="n">
        <v>700</v>
      </c>
      <c r="AL1125" s="0" t="n">
        <v>1</v>
      </c>
    </row>
    <row r="1126">
      <c r="A1126" s="0" t="inlineStr">
        <is>
          <t>[구월동]</t>
        </is>
      </c>
      <c r="B1126" s="0" t="n">
        <v>9968</v>
      </c>
      <c r="C1126" s="0" t="n">
        <v>1</v>
      </c>
      <c r="D1126" s="0" t="inlineStr">
        <is>
          <t>동남</t>
        </is>
      </c>
      <c r="E1126" s="0" t="inlineStr">
        <is>
          <t>1991.05.</t>
        </is>
      </c>
      <c r="F1126" s="0" t="n">
        <v>168</v>
      </c>
      <c r="G1126" s="0" t="n">
        <v>22.89</v>
      </c>
      <c r="H1126" s="0" t="n">
        <v>75.68000000000001</v>
      </c>
      <c r="I1126" s="0" t="n">
        <v>18.13</v>
      </c>
      <c r="J1126" s="0" t="n">
        <v>59.94</v>
      </c>
      <c r="K1126" s="0" t="n">
        <v>48</v>
      </c>
      <c r="T1126" s="0" t="n">
        <v>3</v>
      </c>
      <c r="U1126" s="0" t="n">
        <v>1</v>
      </c>
      <c r="V1126" s="0" t="inlineStr">
        <is>
          <t>계단식</t>
        </is>
      </c>
      <c r="W1126" s="0" t="n">
        <v>75</v>
      </c>
      <c r="X1126" s="0" t="n">
        <v>6</v>
      </c>
      <c r="Y1126" s="0" t="n">
        <v>6</v>
      </c>
      <c r="Z1126" s="0" t="inlineStr">
        <is>
          <t>https://new.land.naver.com/complexes/9968?tab=detail&amp;rf=Y</t>
        </is>
      </c>
      <c r="AA1126" s="0" t="inlineStr">
        <is>
          <t>인천시 남동구 구월동 287</t>
        </is>
      </c>
      <c r="AB1126" s="0" t="inlineStr">
        <is>
          <t>인천시</t>
        </is>
      </c>
      <c r="AC1126" s="0" t="inlineStr">
        <is>
          <t>남동구</t>
        </is>
      </c>
      <c r="AD1126" s="0" t="inlineStr">
        <is>
          <t>구월동</t>
        </is>
      </c>
      <c r="AG1126" s="0" t="inlineStr">
        <is>
          <t>인천시 남동구 인주대로676번길 19</t>
        </is>
      </c>
      <c r="AH1126" s="0" t="n">
        <v>0</v>
      </c>
      <c r="AI1126" s="0" t="n">
        <v>173</v>
      </c>
      <c r="AJ1126" s="0" t="n">
        <v>28</v>
      </c>
      <c r="AK1126" s="0" t="n">
        <v>0</v>
      </c>
      <c r="AL1126" s="0" t="n">
        <v>0</v>
      </c>
    </row>
    <row r="1127">
      <c r="A1127" s="0" t="inlineStr">
        <is>
          <t>[구월동]</t>
        </is>
      </c>
      <c r="B1127" s="0" t="n">
        <v>9968</v>
      </c>
      <c r="C1127" s="0" t="n">
        <v>2</v>
      </c>
      <c r="D1127" s="0" t="inlineStr">
        <is>
          <t>동남</t>
        </is>
      </c>
      <c r="E1127" s="0" t="inlineStr">
        <is>
          <t>1991.05.</t>
        </is>
      </c>
      <c r="F1127" s="0" t="n">
        <v>168</v>
      </c>
      <c r="G1127" s="0" t="n">
        <v>23.85</v>
      </c>
      <c r="H1127" s="0" t="n">
        <v>78.87</v>
      </c>
      <c r="I1127" s="0" t="n">
        <v>18.97</v>
      </c>
      <c r="J1127" s="0" t="n">
        <v>62.73</v>
      </c>
      <c r="K1127" s="0" t="n">
        <v>60</v>
      </c>
      <c r="T1127" s="0" t="n">
        <v>3</v>
      </c>
      <c r="U1127" s="0" t="n">
        <v>1</v>
      </c>
      <c r="V1127" s="0" t="inlineStr">
        <is>
          <t>계단식</t>
        </is>
      </c>
      <c r="W1127" s="0" t="n">
        <v>78</v>
      </c>
      <c r="X1127" s="0" t="n">
        <v>6</v>
      </c>
      <c r="Y1127" s="0" t="n">
        <v>6</v>
      </c>
      <c r="Z1127" s="0" t="inlineStr">
        <is>
          <t>https://new.land.naver.com/complexes/9968?tab=detail&amp;rf=Y</t>
        </is>
      </c>
      <c r="AA1127" s="0" t="inlineStr">
        <is>
          <t>인천시 남동구 구월동 287</t>
        </is>
      </c>
      <c r="AB1127" s="0" t="inlineStr">
        <is>
          <t>인천시</t>
        </is>
      </c>
      <c r="AC1127" s="0" t="inlineStr">
        <is>
          <t>남동구</t>
        </is>
      </c>
      <c r="AD1127" s="0" t="inlineStr">
        <is>
          <t>구월동</t>
        </is>
      </c>
      <c r="AG1127" s="0" t="inlineStr">
        <is>
          <t>인천시 남동구 인주대로676번길 19</t>
        </is>
      </c>
      <c r="AH1127" s="0" t="n">
        <v>0</v>
      </c>
      <c r="AI1127" s="0" t="n">
        <v>173</v>
      </c>
      <c r="AJ1127" s="0" t="n">
        <v>28</v>
      </c>
      <c r="AK1127" s="0" t="n">
        <v>0</v>
      </c>
      <c r="AL1127" s="0" t="n">
        <v>0</v>
      </c>
    </row>
    <row r="1128">
      <c r="A1128" s="0" t="inlineStr">
        <is>
          <t>[구월동]</t>
        </is>
      </c>
      <c r="B1128" s="0" t="n">
        <v>9968</v>
      </c>
      <c r="C1128" s="0" t="n">
        <v>3</v>
      </c>
      <c r="D1128" s="0" t="inlineStr">
        <is>
          <t>동남</t>
        </is>
      </c>
      <c r="E1128" s="0" t="inlineStr">
        <is>
          <t>1991.05.</t>
        </is>
      </c>
      <c r="F1128" s="0" t="n">
        <v>168</v>
      </c>
      <c r="G1128" s="0" t="n">
        <v>27.61</v>
      </c>
      <c r="H1128" s="0" t="n">
        <v>91.3</v>
      </c>
      <c r="I1128" s="0" t="n">
        <v>22.08</v>
      </c>
      <c r="J1128" s="0" t="n">
        <v>73.02</v>
      </c>
      <c r="K1128" s="0" t="n">
        <v>60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91</v>
      </c>
      <c r="X1128" s="0" t="n">
        <v>6</v>
      </c>
      <c r="Y1128" s="0" t="n">
        <v>6</v>
      </c>
      <c r="Z1128" s="0" t="inlineStr">
        <is>
          <t>https://new.land.naver.com/complexes/9968?tab=detail&amp;rf=Y</t>
        </is>
      </c>
      <c r="AA1128" s="0" t="inlineStr">
        <is>
          <t>인천시 남동구 구월동 287</t>
        </is>
      </c>
      <c r="AB1128" s="0" t="inlineStr">
        <is>
          <t>인천시</t>
        </is>
      </c>
      <c r="AC1128" s="0" t="inlineStr">
        <is>
          <t>남동구</t>
        </is>
      </c>
      <c r="AD1128" s="0" t="inlineStr">
        <is>
          <t>구월동</t>
        </is>
      </c>
      <c r="AG1128" s="0" t="inlineStr">
        <is>
          <t>인천시 남동구 인주대로676번길 19</t>
        </is>
      </c>
      <c r="AH1128" s="0" t="n">
        <v>0</v>
      </c>
      <c r="AI1128" s="0" t="n">
        <v>173</v>
      </c>
      <c r="AJ1128" s="0" t="n">
        <v>28</v>
      </c>
      <c r="AK1128" s="0" t="n">
        <v>0</v>
      </c>
      <c r="AL1128" s="0" t="n">
        <v>0</v>
      </c>
    </row>
    <row r="1129">
      <c r="A1129" s="0" t="inlineStr">
        <is>
          <t>[구월동]</t>
        </is>
      </c>
      <c r="B1129" s="0" t="n">
        <v>13955</v>
      </c>
      <c r="C1129" s="0" t="n">
        <v>1</v>
      </c>
      <c r="D1129" s="0" t="inlineStr">
        <is>
          <t>듀크빌</t>
        </is>
      </c>
      <c r="E1129" s="0" t="inlineStr">
        <is>
          <t>2003.08.</t>
        </is>
      </c>
      <c r="F1129" s="0" t="n">
        <v>38</v>
      </c>
      <c r="G1129" s="0" t="n">
        <v>36.15</v>
      </c>
      <c r="H1129" s="0" t="n">
        <v>119.52</v>
      </c>
      <c r="I1129" s="0" t="n">
        <v>31.32</v>
      </c>
      <c r="J1129" s="0" t="n">
        <v>103.54</v>
      </c>
      <c r="K1129" s="0" t="n">
        <v>36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119</v>
      </c>
      <c r="X1129" s="0" t="n">
        <v>11</v>
      </c>
      <c r="Y1129" s="0" t="n">
        <v>11</v>
      </c>
      <c r="Z1129" s="0" t="inlineStr">
        <is>
          <t>https://new.land.naver.com/complexes/13955?tab=detail&amp;rf=Y</t>
        </is>
      </c>
      <c r="AA1129" s="0" t="inlineStr">
        <is>
          <t>인천시 남동구 구월동 620-17</t>
        </is>
      </c>
      <c r="AB1129" s="0" t="inlineStr">
        <is>
          <t>인천시</t>
        </is>
      </c>
      <c r="AC1129" s="0" t="inlineStr">
        <is>
          <t>남동구</t>
        </is>
      </c>
      <c r="AD1129" s="0" t="inlineStr">
        <is>
          <t>구월동</t>
        </is>
      </c>
      <c r="AG1129" s="0" t="inlineStr">
        <is>
          <t>인천시 남동구 인주대로 802-1</t>
        </is>
      </c>
      <c r="AH1129" s="0" t="n">
        <v>0</v>
      </c>
      <c r="AI1129" s="0" t="n">
        <v>0</v>
      </c>
      <c r="AJ1129" s="0" t="n">
        <v>0</v>
      </c>
      <c r="AK1129" s="0" t="n">
        <v>56</v>
      </c>
      <c r="AL1129" s="0" t="n">
        <v>1.47</v>
      </c>
    </row>
    <row r="1130">
      <c r="A1130" s="0" t="inlineStr">
        <is>
          <t>[구월동]</t>
        </is>
      </c>
      <c r="B1130" s="0" t="n">
        <v>13955</v>
      </c>
      <c r="C1130" s="0" t="n">
        <v>2</v>
      </c>
      <c r="D1130" s="0" t="inlineStr">
        <is>
          <t>듀크빌</t>
        </is>
      </c>
      <c r="E1130" s="0" t="inlineStr">
        <is>
          <t>2003.08.</t>
        </is>
      </c>
      <c r="F1130" s="0" t="n">
        <v>38</v>
      </c>
      <c r="G1130" s="0" t="n">
        <v>47.06</v>
      </c>
      <c r="H1130" s="0" t="n">
        <v>155.58</v>
      </c>
      <c r="I1130" s="0" t="n">
        <v>40.75</v>
      </c>
      <c r="J1130" s="0" t="n">
        <v>134.74</v>
      </c>
      <c r="K1130" s="0" t="n">
        <v>2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155</v>
      </c>
      <c r="X1130" s="0" t="n">
        <v>11</v>
      </c>
      <c r="Y1130" s="0" t="n">
        <v>11</v>
      </c>
      <c r="Z1130" s="0" t="inlineStr">
        <is>
          <t>https://new.land.naver.com/complexes/13955?tab=detail&amp;rf=Y</t>
        </is>
      </c>
      <c r="AA1130" s="0" t="inlineStr">
        <is>
          <t>인천시 남동구 구월동 620-17</t>
        </is>
      </c>
      <c r="AB1130" s="0" t="inlineStr">
        <is>
          <t>인천시</t>
        </is>
      </c>
      <c r="AC1130" s="0" t="inlineStr">
        <is>
          <t>남동구</t>
        </is>
      </c>
      <c r="AD1130" s="0" t="inlineStr">
        <is>
          <t>구월동</t>
        </is>
      </c>
      <c r="AG1130" s="0" t="inlineStr">
        <is>
          <t>인천시 남동구 인주대로 802-1</t>
        </is>
      </c>
      <c r="AH1130" s="0" t="n">
        <v>0</v>
      </c>
      <c r="AI1130" s="0" t="n">
        <v>0</v>
      </c>
      <c r="AJ1130" s="0" t="n">
        <v>0</v>
      </c>
      <c r="AK1130" s="0" t="n">
        <v>56</v>
      </c>
      <c r="AL1130" s="0" t="n">
        <v>1.47</v>
      </c>
    </row>
    <row r="1131">
      <c r="A1131" s="0" t="inlineStr">
        <is>
          <t>[남촌동]</t>
        </is>
      </c>
      <c r="B1131" s="0" t="n">
        <v>8857</v>
      </c>
      <c r="C1131" s="0" t="n">
        <v>1</v>
      </c>
      <c r="D1131" s="0" t="inlineStr">
        <is>
          <t>남촌풍림2차</t>
        </is>
      </c>
      <c r="E1131" s="0" t="inlineStr">
        <is>
          <t>2000.07.</t>
        </is>
      </c>
      <c r="F1131" s="0" t="n">
        <v>319</v>
      </c>
      <c r="G1131" s="0" t="n">
        <v>23.4</v>
      </c>
      <c r="H1131" s="0" t="n">
        <v>77.38</v>
      </c>
      <c r="I1131" s="0" t="n">
        <v>18.05</v>
      </c>
      <c r="J1131" s="0" t="n">
        <v>59.68</v>
      </c>
      <c r="K1131" s="0" t="n">
        <v>134</v>
      </c>
      <c r="T1131" s="0" t="n">
        <v>3</v>
      </c>
      <c r="U1131" s="0" t="n">
        <v>1</v>
      </c>
      <c r="V1131" s="0" t="inlineStr">
        <is>
          <t>계단식</t>
        </is>
      </c>
      <c r="W1131" s="0" t="n">
        <v>77</v>
      </c>
      <c r="X1131" s="0" t="n">
        <v>23</v>
      </c>
      <c r="Y1131" s="0" t="n">
        <v>17</v>
      </c>
      <c r="Z1131" s="0" t="inlineStr">
        <is>
          <t>https://new.land.naver.com/complexes/8857?tab=detail&amp;rf=Y</t>
        </is>
      </c>
      <c r="AA1131" s="0" t="inlineStr">
        <is>
          <t>인천시 남동구 남촌동 391-3</t>
        </is>
      </c>
      <c r="AB1131" s="0" t="inlineStr">
        <is>
          <t>인천시</t>
        </is>
      </c>
      <c r="AC1131" s="0" t="inlineStr">
        <is>
          <t>남동구</t>
        </is>
      </c>
      <c r="AD1131" s="0" t="inlineStr">
        <is>
          <t>남촌동</t>
        </is>
      </c>
      <c r="AG1131" s="0" t="inlineStr">
        <is>
          <t>인천시 남동구 남촌동로 8</t>
        </is>
      </c>
      <c r="AH1131" s="0" t="n">
        <v>0</v>
      </c>
      <c r="AI1131" s="0" t="n">
        <v>285</v>
      </c>
      <c r="AJ1131" s="0" t="n">
        <v>22</v>
      </c>
      <c r="AK1131" s="0" t="n">
        <v>327</v>
      </c>
      <c r="AL1131" s="0" t="n">
        <v>1.03</v>
      </c>
    </row>
    <row r="1132">
      <c r="A1132" s="0" t="inlineStr">
        <is>
          <t>[남촌동]</t>
        </is>
      </c>
      <c r="B1132" s="0" t="n">
        <v>8857</v>
      </c>
      <c r="C1132" s="0" t="n">
        <v>2</v>
      </c>
      <c r="D1132" s="0" t="inlineStr">
        <is>
          <t>남촌풍림2차</t>
        </is>
      </c>
      <c r="E1132" s="0" t="inlineStr">
        <is>
          <t>2000.07.</t>
        </is>
      </c>
      <c r="F1132" s="0" t="n">
        <v>319</v>
      </c>
      <c r="G1132" s="0" t="n">
        <v>33.27</v>
      </c>
      <c r="H1132" s="0" t="n">
        <v>109.99</v>
      </c>
      <c r="I1132" s="0" t="n">
        <v>25.66</v>
      </c>
      <c r="J1132" s="0" t="n">
        <v>84.83</v>
      </c>
      <c r="K1132" s="0" t="n">
        <v>103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109B</t>
        </is>
      </c>
      <c r="X1132" s="0" t="n">
        <v>23</v>
      </c>
      <c r="Y1132" s="0" t="n">
        <v>17</v>
      </c>
      <c r="Z1132" s="0" t="inlineStr">
        <is>
          <t>https://new.land.naver.com/complexes/8857?tab=detail&amp;rf=Y</t>
        </is>
      </c>
      <c r="AA1132" s="0" t="inlineStr">
        <is>
          <t>인천시 남동구 남촌동 391-3</t>
        </is>
      </c>
      <c r="AB1132" s="0" t="inlineStr">
        <is>
          <t>인천시</t>
        </is>
      </c>
      <c r="AC1132" s="0" t="inlineStr">
        <is>
          <t>남동구</t>
        </is>
      </c>
      <c r="AD1132" s="0" t="inlineStr">
        <is>
          <t>남촌동</t>
        </is>
      </c>
      <c r="AG1132" s="0" t="inlineStr">
        <is>
          <t>인천시 남동구 남촌동로 8</t>
        </is>
      </c>
      <c r="AH1132" s="0" t="n">
        <v>0</v>
      </c>
      <c r="AI1132" s="0" t="n">
        <v>285</v>
      </c>
      <c r="AJ1132" s="0" t="n">
        <v>22</v>
      </c>
      <c r="AK1132" s="0" t="n">
        <v>327</v>
      </c>
      <c r="AL1132" s="0" t="n">
        <v>1.03</v>
      </c>
    </row>
    <row r="1133">
      <c r="A1133" s="0" t="inlineStr">
        <is>
          <t>[남촌동]</t>
        </is>
      </c>
      <c r="B1133" s="0" t="n">
        <v>8857</v>
      </c>
      <c r="C1133" s="0" t="n">
        <v>3</v>
      </c>
      <c r="D1133" s="0" t="inlineStr">
        <is>
          <t>남촌풍림2차</t>
        </is>
      </c>
      <c r="E1133" s="0" t="inlineStr">
        <is>
          <t>2000.07.</t>
        </is>
      </c>
      <c r="F1133" s="0" t="n">
        <v>319</v>
      </c>
      <c r="G1133" s="0" t="n">
        <v>33.09</v>
      </c>
      <c r="H1133" s="0" t="n">
        <v>109.41</v>
      </c>
      <c r="I1133" s="0" t="n">
        <v>25.52</v>
      </c>
      <c r="J1133" s="0" t="n">
        <v>84.38</v>
      </c>
      <c r="K1133" s="0" t="n">
        <v>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109A</t>
        </is>
      </c>
      <c r="X1133" s="0" t="n">
        <v>23</v>
      </c>
      <c r="Y1133" s="0" t="n">
        <v>17</v>
      </c>
      <c r="Z1133" s="0" t="inlineStr">
        <is>
          <t>https://new.land.naver.com/complexes/8857?tab=detail&amp;rf=Y</t>
        </is>
      </c>
      <c r="AA1133" s="0" t="inlineStr">
        <is>
          <t>인천시 남동구 남촌동 391-3</t>
        </is>
      </c>
      <c r="AB1133" s="0" t="inlineStr">
        <is>
          <t>인천시</t>
        </is>
      </c>
      <c r="AC1133" s="0" t="inlineStr">
        <is>
          <t>남동구</t>
        </is>
      </c>
      <c r="AD1133" s="0" t="inlineStr">
        <is>
          <t>남촌동</t>
        </is>
      </c>
      <c r="AG1133" s="0" t="inlineStr">
        <is>
          <t>인천시 남동구 남촌동로 8</t>
        </is>
      </c>
      <c r="AH1133" s="0" t="n">
        <v>0</v>
      </c>
      <c r="AI1133" s="0" t="n">
        <v>285</v>
      </c>
      <c r="AJ1133" s="0" t="n">
        <v>22</v>
      </c>
      <c r="AK1133" s="0" t="n">
        <v>327</v>
      </c>
      <c r="AL1133" s="0" t="n">
        <v>1.03</v>
      </c>
    </row>
    <row r="1134">
      <c r="A1134" s="0" t="inlineStr">
        <is>
          <t>[남촌동]</t>
        </is>
      </c>
      <c r="B1134" s="0" t="n">
        <v>8857</v>
      </c>
      <c r="C1134" s="0" t="n">
        <v>4</v>
      </c>
      <c r="D1134" s="0" t="inlineStr">
        <is>
          <t>남촌풍림2차</t>
        </is>
      </c>
      <c r="E1134" s="0" t="inlineStr">
        <is>
          <t>2000.07.</t>
        </is>
      </c>
      <c r="F1134" s="0" t="n">
        <v>319</v>
      </c>
      <c r="G1134" s="0" t="n">
        <v>43.06</v>
      </c>
      <c r="H1134" s="0" t="n">
        <v>142.35</v>
      </c>
      <c r="I1134" s="0" t="n">
        <v>33.21</v>
      </c>
      <c r="J1134" s="0" t="n">
        <v>109.79</v>
      </c>
      <c r="K1134" s="0" t="n">
        <v>76</v>
      </c>
      <c r="T1134" s="0" t="n">
        <v>4</v>
      </c>
      <c r="U1134" s="0" t="n">
        <v>2</v>
      </c>
      <c r="V1134" s="0" t="inlineStr">
        <is>
          <t>계단식</t>
        </is>
      </c>
      <c r="W1134" s="0" t="inlineStr">
        <is>
          <t>142B</t>
        </is>
      </c>
      <c r="X1134" s="0" t="n">
        <v>23</v>
      </c>
      <c r="Y1134" s="0" t="n">
        <v>17</v>
      </c>
      <c r="Z1134" s="0" t="inlineStr">
        <is>
          <t>https://new.land.naver.com/complexes/8857?tab=detail&amp;rf=Y</t>
        </is>
      </c>
      <c r="AA1134" s="0" t="inlineStr">
        <is>
          <t>인천시 남동구 남촌동 391-3</t>
        </is>
      </c>
      <c r="AB1134" s="0" t="inlineStr">
        <is>
          <t>인천시</t>
        </is>
      </c>
      <c r="AC1134" s="0" t="inlineStr">
        <is>
          <t>남동구</t>
        </is>
      </c>
      <c r="AD1134" s="0" t="inlineStr">
        <is>
          <t>남촌동</t>
        </is>
      </c>
      <c r="AG1134" s="0" t="inlineStr">
        <is>
          <t>인천시 남동구 남촌동로 8</t>
        </is>
      </c>
      <c r="AH1134" s="0" t="n">
        <v>0</v>
      </c>
      <c r="AI1134" s="0" t="n">
        <v>285</v>
      </c>
      <c r="AJ1134" s="0" t="n">
        <v>22</v>
      </c>
      <c r="AK1134" s="0" t="n">
        <v>327</v>
      </c>
      <c r="AL1134" s="0" t="n">
        <v>1.03</v>
      </c>
    </row>
    <row r="1135">
      <c r="A1135" s="0" t="inlineStr">
        <is>
          <t>[남촌동]</t>
        </is>
      </c>
      <c r="B1135" s="0" t="n">
        <v>8857</v>
      </c>
      <c r="C1135" s="0" t="n">
        <v>5</v>
      </c>
      <c r="D1135" s="0" t="inlineStr">
        <is>
          <t>남촌풍림2차</t>
        </is>
      </c>
      <c r="E1135" s="0" t="inlineStr">
        <is>
          <t>2000.07.</t>
        </is>
      </c>
      <c r="F1135" s="0" t="n">
        <v>319</v>
      </c>
      <c r="G1135" s="0" t="n">
        <v>43.04</v>
      </c>
      <c r="H1135" s="0" t="n">
        <v>142.31</v>
      </c>
      <c r="I1135" s="0" t="n">
        <v>33.19</v>
      </c>
      <c r="J1135" s="0" t="n">
        <v>109.74</v>
      </c>
      <c r="K1135" s="0" t="n">
        <v>2</v>
      </c>
      <c r="T1135" s="0" t="n">
        <v>4</v>
      </c>
      <c r="U1135" s="0" t="n">
        <v>2</v>
      </c>
      <c r="V1135" s="0" t="inlineStr">
        <is>
          <t>계단식</t>
        </is>
      </c>
      <c r="W1135" s="0" t="inlineStr">
        <is>
          <t>142A</t>
        </is>
      </c>
      <c r="X1135" s="0" t="n">
        <v>23</v>
      </c>
      <c r="Y1135" s="0" t="n">
        <v>17</v>
      </c>
      <c r="Z1135" s="0" t="inlineStr">
        <is>
          <t>https://new.land.naver.com/complexes/8857?tab=detail&amp;rf=Y</t>
        </is>
      </c>
      <c r="AA1135" s="0" t="inlineStr">
        <is>
          <t>인천시 남동구 남촌동 391-3</t>
        </is>
      </c>
      <c r="AB1135" s="0" t="inlineStr">
        <is>
          <t>인천시</t>
        </is>
      </c>
      <c r="AC1135" s="0" t="inlineStr">
        <is>
          <t>남동구</t>
        </is>
      </c>
      <c r="AD1135" s="0" t="inlineStr">
        <is>
          <t>남촌동</t>
        </is>
      </c>
      <c r="AG1135" s="0" t="inlineStr">
        <is>
          <t>인천시 남동구 남촌동로 8</t>
        </is>
      </c>
      <c r="AH1135" s="0" t="n">
        <v>0</v>
      </c>
      <c r="AI1135" s="0" t="n">
        <v>285</v>
      </c>
      <c r="AJ1135" s="0" t="n">
        <v>22</v>
      </c>
      <c r="AK1135" s="0" t="n">
        <v>327</v>
      </c>
      <c r="AL1135" s="0" t="n">
        <v>1.03</v>
      </c>
    </row>
    <row r="1136">
      <c r="A1136" s="0" t="inlineStr">
        <is>
          <t>[남촌동]</t>
        </is>
      </c>
      <c r="B1136" s="0" t="n">
        <v>11735</v>
      </c>
      <c r="C1136" s="0" t="n">
        <v>1</v>
      </c>
      <c r="D1136" s="0" t="inlineStr">
        <is>
          <t>삼호</t>
        </is>
      </c>
      <c r="E1136" s="0" t="inlineStr">
        <is>
          <t>2001.11.</t>
        </is>
      </c>
      <c r="F1136" s="0" t="n">
        <v>98</v>
      </c>
      <c r="G1136" s="0" t="n">
        <v>23.33</v>
      </c>
      <c r="H1136" s="0" t="n">
        <v>77.13</v>
      </c>
      <c r="I1136" s="0" t="n">
        <v>15.62</v>
      </c>
      <c r="J1136" s="0" t="n">
        <v>51.65</v>
      </c>
      <c r="K1136" s="0" t="n">
        <v>98</v>
      </c>
      <c r="T1136" s="0" t="n">
        <v>3</v>
      </c>
      <c r="U1136" s="0" t="n">
        <v>1</v>
      </c>
      <c r="V1136" s="0" t="inlineStr">
        <is>
          <t>계단식</t>
        </is>
      </c>
      <c r="W1136" s="0" t="n">
        <v>77</v>
      </c>
      <c r="X1136" s="0" t="n">
        <v>14</v>
      </c>
      <c r="Y1136" s="0" t="n">
        <v>14</v>
      </c>
      <c r="Z1136" s="0" t="inlineStr">
        <is>
          <t>https://new.land.naver.com/complexes/11735?tab=detail&amp;rf=Y</t>
        </is>
      </c>
      <c r="AA1136" s="0" t="inlineStr">
        <is>
          <t>인천시 남동구 남촌동 651</t>
        </is>
      </c>
      <c r="AB1136" s="0" t="inlineStr">
        <is>
          <t>인천시</t>
        </is>
      </c>
      <c r="AC1136" s="0" t="inlineStr">
        <is>
          <t>남동구</t>
        </is>
      </c>
      <c r="AD1136" s="0" t="inlineStr">
        <is>
          <t>남촌동</t>
        </is>
      </c>
      <c r="AG1136" s="0" t="inlineStr">
        <is>
          <t>인천시 남동구 남촌로100번길 54</t>
        </is>
      </c>
      <c r="AH1136" s="0" t="n">
        <v>0</v>
      </c>
      <c r="AI1136" s="0" t="n">
        <v>207</v>
      </c>
      <c r="AJ1136" s="0" t="n">
        <v>17</v>
      </c>
      <c r="AK1136" s="0" t="n">
        <v>72</v>
      </c>
      <c r="AL1136" s="0" t="n">
        <v>0.73</v>
      </c>
    </row>
    <row r="1137">
      <c r="A1137" s="0" t="inlineStr">
        <is>
          <t>[남촌동]</t>
        </is>
      </c>
      <c r="B1137" s="0" t="n">
        <v>8858</v>
      </c>
      <c r="C1137" s="0" t="n">
        <v>1</v>
      </c>
      <c r="D1137" s="0" t="inlineStr">
        <is>
          <t>남촌풍림3차</t>
        </is>
      </c>
      <c r="E1137" s="0" t="inlineStr">
        <is>
          <t>1999.12.</t>
        </is>
      </c>
      <c r="F1137" s="0" t="n">
        <v>735</v>
      </c>
      <c r="G1137" s="0" t="n">
        <v>24.39</v>
      </c>
      <c r="H1137" s="0" t="n">
        <v>80.63</v>
      </c>
      <c r="I1137" s="0" t="n">
        <v>17.86</v>
      </c>
      <c r="J1137" s="0" t="n">
        <v>59.05</v>
      </c>
      <c r="K1137" s="0" t="n">
        <v>170</v>
      </c>
      <c r="T1137" s="0" t="n">
        <v>3</v>
      </c>
      <c r="U1137" s="0" t="n">
        <v>1</v>
      </c>
      <c r="V1137" s="0" t="inlineStr">
        <is>
          <t>계단식</t>
        </is>
      </c>
      <c r="W1137" s="0" t="n">
        <v>80</v>
      </c>
      <c r="X1137" s="0" t="n">
        <v>23</v>
      </c>
      <c r="Y1137" s="0" t="n">
        <v>18</v>
      </c>
      <c r="Z1137" s="0" t="inlineStr">
        <is>
          <t>https://new.land.naver.com/complexes/8858?tab=detail&amp;rf=Y</t>
        </is>
      </c>
      <c r="AA1137" s="0" t="inlineStr">
        <is>
          <t>인천시 남동구 남촌동 649</t>
        </is>
      </c>
      <c r="AB1137" s="0" t="inlineStr">
        <is>
          <t>인천시</t>
        </is>
      </c>
      <c r="AC1137" s="0" t="inlineStr">
        <is>
          <t>남동구</t>
        </is>
      </c>
      <c r="AD1137" s="0" t="inlineStr">
        <is>
          <t>남촌동</t>
        </is>
      </c>
      <c r="AG1137" s="0" t="inlineStr">
        <is>
          <t>인천시 남동구 남촌로84번길 38</t>
        </is>
      </c>
      <c r="AH1137" s="0" t="n">
        <v>0</v>
      </c>
      <c r="AI1137" s="0" t="n">
        <v>283</v>
      </c>
      <c r="AJ1137" s="0" t="n">
        <v>19</v>
      </c>
      <c r="AK1137" s="0" t="n">
        <v>796</v>
      </c>
      <c r="AL1137" s="0" t="n">
        <v>1.08</v>
      </c>
    </row>
    <row r="1138">
      <c r="A1138" s="0" t="inlineStr">
        <is>
          <t>[남촌동]</t>
        </is>
      </c>
      <c r="B1138" s="0" t="n">
        <v>8858</v>
      </c>
      <c r="C1138" s="0" t="n">
        <v>2</v>
      </c>
      <c r="D1138" s="0" t="inlineStr">
        <is>
          <t>남촌풍림3차</t>
        </is>
      </c>
      <c r="E1138" s="0" t="inlineStr">
        <is>
          <t>1999.12.</t>
        </is>
      </c>
      <c r="F1138" s="0" t="n">
        <v>735</v>
      </c>
      <c r="G1138" s="0" t="n">
        <v>24.6</v>
      </c>
      <c r="H1138" s="0" t="n">
        <v>81.33</v>
      </c>
      <c r="I1138" s="0" t="n">
        <v>17.99</v>
      </c>
      <c r="J1138" s="0" t="n">
        <v>59.48</v>
      </c>
      <c r="K1138" s="0" t="n">
        <v>85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81</v>
      </c>
      <c r="X1138" s="0" t="n">
        <v>23</v>
      </c>
      <c r="Y1138" s="0" t="n">
        <v>18</v>
      </c>
      <c r="Z1138" s="0" t="inlineStr">
        <is>
          <t>https://new.land.naver.com/complexes/8858?tab=detail&amp;rf=Y</t>
        </is>
      </c>
      <c r="AA1138" s="0" t="inlineStr">
        <is>
          <t>인천시 남동구 남촌동 649</t>
        </is>
      </c>
      <c r="AB1138" s="0" t="inlineStr">
        <is>
          <t>인천시</t>
        </is>
      </c>
      <c r="AC1138" s="0" t="inlineStr">
        <is>
          <t>남동구</t>
        </is>
      </c>
      <c r="AD1138" s="0" t="inlineStr">
        <is>
          <t>남촌동</t>
        </is>
      </c>
      <c r="AG1138" s="0" t="inlineStr">
        <is>
          <t>인천시 남동구 남촌로84번길 38</t>
        </is>
      </c>
      <c r="AH1138" s="0" t="n">
        <v>0</v>
      </c>
      <c r="AI1138" s="0" t="n">
        <v>283</v>
      </c>
      <c r="AJ1138" s="0" t="n">
        <v>19</v>
      </c>
      <c r="AK1138" s="0" t="n">
        <v>796</v>
      </c>
      <c r="AL1138" s="0" t="n">
        <v>1.08</v>
      </c>
    </row>
    <row r="1139">
      <c r="A1139" s="0" t="inlineStr">
        <is>
          <t>[남촌동]</t>
        </is>
      </c>
      <c r="B1139" s="0" t="n">
        <v>8858</v>
      </c>
      <c r="C1139" s="0" t="n">
        <v>3</v>
      </c>
      <c r="D1139" s="0" t="inlineStr">
        <is>
          <t>남촌풍림3차</t>
        </is>
      </c>
      <c r="E1139" s="0" t="inlineStr">
        <is>
          <t>1999.12.</t>
        </is>
      </c>
      <c r="F1139" s="0" t="n">
        <v>735</v>
      </c>
      <c r="G1139" s="0" t="n">
        <v>32.9</v>
      </c>
      <c r="H1139" s="0" t="n">
        <v>108.79</v>
      </c>
      <c r="I1139" s="0" t="n">
        <v>25.25</v>
      </c>
      <c r="J1139" s="0" t="n">
        <v>83.5</v>
      </c>
      <c r="K1139" s="0" t="n">
        <v>346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108</v>
      </c>
      <c r="X1139" s="0" t="n">
        <v>23</v>
      </c>
      <c r="Y1139" s="0" t="n">
        <v>18</v>
      </c>
      <c r="Z1139" s="0" t="inlineStr">
        <is>
          <t>https://new.land.naver.com/complexes/8858?tab=detail&amp;rf=Y</t>
        </is>
      </c>
      <c r="AA1139" s="0" t="inlineStr">
        <is>
          <t>인천시 남동구 남촌동 649</t>
        </is>
      </c>
      <c r="AB1139" s="0" t="inlineStr">
        <is>
          <t>인천시</t>
        </is>
      </c>
      <c r="AC1139" s="0" t="inlineStr">
        <is>
          <t>남동구</t>
        </is>
      </c>
      <c r="AD1139" s="0" t="inlineStr">
        <is>
          <t>남촌동</t>
        </is>
      </c>
      <c r="AG1139" s="0" t="inlineStr">
        <is>
          <t>인천시 남동구 남촌로84번길 38</t>
        </is>
      </c>
      <c r="AH1139" s="0" t="n">
        <v>0</v>
      </c>
      <c r="AI1139" s="0" t="n">
        <v>283</v>
      </c>
      <c r="AJ1139" s="0" t="n">
        <v>19</v>
      </c>
      <c r="AK1139" s="0" t="n">
        <v>796</v>
      </c>
      <c r="AL1139" s="0" t="n">
        <v>1.08</v>
      </c>
    </row>
    <row r="1140">
      <c r="A1140" s="0" t="inlineStr">
        <is>
          <t>[남촌동]</t>
        </is>
      </c>
      <c r="B1140" s="0" t="n">
        <v>8858</v>
      </c>
      <c r="C1140" s="0" t="n">
        <v>4</v>
      </c>
      <c r="D1140" s="0" t="inlineStr">
        <is>
          <t>남촌풍림3차</t>
        </is>
      </c>
      <c r="E1140" s="0" t="inlineStr">
        <is>
          <t>1999.12.</t>
        </is>
      </c>
      <c r="F1140" s="0" t="n">
        <v>735</v>
      </c>
      <c r="G1140" s="0" t="n">
        <v>46.35</v>
      </c>
      <c r="H1140" s="0" t="n">
        <v>153.24</v>
      </c>
      <c r="I1140" s="0" t="n">
        <v>37.32</v>
      </c>
      <c r="J1140" s="0" t="n">
        <v>123.4</v>
      </c>
      <c r="K1140" s="0" t="n">
        <v>134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153</v>
      </c>
      <c r="X1140" s="0" t="n">
        <v>23</v>
      </c>
      <c r="Y1140" s="0" t="n">
        <v>18</v>
      </c>
      <c r="Z1140" s="0" t="inlineStr">
        <is>
          <t>https://new.land.naver.com/complexes/8858?tab=detail&amp;rf=Y</t>
        </is>
      </c>
      <c r="AA1140" s="0" t="inlineStr">
        <is>
          <t>인천시 남동구 남촌동 649</t>
        </is>
      </c>
      <c r="AB1140" s="0" t="inlineStr">
        <is>
          <t>인천시</t>
        </is>
      </c>
      <c r="AC1140" s="0" t="inlineStr">
        <is>
          <t>남동구</t>
        </is>
      </c>
      <c r="AD1140" s="0" t="inlineStr">
        <is>
          <t>남촌동</t>
        </is>
      </c>
      <c r="AG1140" s="0" t="inlineStr">
        <is>
          <t>인천시 남동구 남촌로84번길 38</t>
        </is>
      </c>
      <c r="AH1140" s="0" t="n">
        <v>0</v>
      </c>
      <c r="AI1140" s="0" t="n">
        <v>283</v>
      </c>
      <c r="AJ1140" s="0" t="n">
        <v>19</v>
      </c>
      <c r="AK1140" s="0" t="n">
        <v>796</v>
      </c>
      <c r="AL1140" s="0" t="n">
        <v>1.08</v>
      </c>
    </row>
    <row r="1141">
      <c r="A1141" s="0" t="inlineStr">
        <is>
          <t>[남촌동]</t>
        </is>
      </c>
      <c r="B1141" s="0" t="n">
        <v>13502</v>
      </c>
      <c r="C1141" s="0" t="n">
        <v>1</v>
      </c>
      <c r="D1141" s="0" t="inlineStr">
        <is>
          <t>청호</t>
        </is>
      </c>
      <c r="E1141" s="0" t="inlineStr">
        <is>
          <t>1991.06.</t>
        </is>
      </c>
      <c r="F1141" s="0" t="n">
        <v>132</v>
      </c>
      <c r="G1141" s="0" t="n">
        <v>19.49</v>
      </c>
      <c r="H1141" s="0" t="n">
        <v>64.45</v>
      </c>
      <c r="I1141" s="0" t="n">
        <v>15.54</v>
      </c>
      <c r="J1141" s="0" t="n">
        <v>51.39</v>
      </c>
      <c r="K1141" s="0" t="n">
        <v>12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64</v>
      </c>
      <c r="X1141" s="0" t="n">
        <v>6</v>
      </c>
      <c r="Y1141" s="0" t="n">
        <v>6</v>
      </c>
      <c r="Z1141" s="0" t="inlineStr">
        <is>
          <t>https://new.land.naver.com/complexes/13502?tab=detail&amp;rf=Y</t>
        </is>
      </c>
      <c r="AA1141" s="0" t="inlineStr">
        <is>
          <t>인천시 남동구 남촌동 571-1</t>
        </is>
      </c>
      <c r="AB1141" s="0" t="inlineStr">
        <is>
          <t>인천시</t>
        </is>
      </c>
      <c r="AC1141" s="0" t="inlineStr">
        <is>
          <t>남동구</t>
        </is>
      </c>
      <c r="AD1141" s="0" t="inlineStr">
        <is>
          <t>남촌동</t>
        </is>
      </c>
      <c r="AG1141" s="0" t="inlineStr">
        <is>
          <t>인천시 남동구 남촌로93번길 44</t>
        </is>
      </c>
      <c r="AH1141" s="0" t="n">
        <v>0</v>
      </c>
      <c r="AI1141" s="0" t="n">
        <v>166</v>
      </c>
      <c r="AJ1141" s="0" t="n">
        <v>28</v>
      </c>
      <c r="AK1141" s="0" t="n">
        <v>0</v>
      </c>
      <c r="AL1141" s="0" t="n">
        <v>0</v>
      </c>
    </row>
    <row r="1142">
      <c r="A1142" s="0" t="inlineStr">
        <is>
          <t>[남촌동]</t>
        </is>
      </c>
      <c r="B1142" s="0" t="n">
        <v>13502</v>
      </c>
      <c r="C1142" s="0" t="n">
        <v>2</v>
      </c>
      <c r="D1142" s="0" t="inlineStr">
        <is>
          <t>청호</t>
        </is>
      </c>
      <c r="E1142" s="0" t="inlineStr">
        <is>
          <t>1991.06.</t>
        </is>
      </c>
      <c r="F1142" s="0" t="n">
        <v>132</v>
      </c>
      <c r="G1142" s="0" t="n">
        <v>20.36</v>
      </c>
      <c r="H1142" s="0" t="n">
        <v>67.31</v>
      </c>
      <c r="I1142" s="0" t="n">
        <v>16.3</v>
      </c>
      <c r="J1142" s="0" t="n">
        <v>53.91</v>
      </c>
      <c r="K1142" s="0" t="n">
        <v>66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67</v>
      </c>
      <c r="X1142" s="0" t="n">
        <v>6</v>
      </c>
      <c r="Y1142" s="0" t="n">
        <v>6</v>
      </c>
      <c r="Z1142" s="0" t="inlineStr">
        <is>
          <t>https://new.land.naver.com/complexes/13502?tab=detail&amp;rf=Y</t>
        </is>
      </c>
      <c r="AA1142" s="0" t="inlineStr">
        <is>
          <t>인천시 남동구 남촌동 571-1</t>
        </is>
      </c>
      <c r="AB1142" s="0" t="inlineStr">
        <is>
          <t>인천시</t>
        </is>
      </c>
      <c r="AC1142" s="0" t="inlineStr">
        <is>
          <t>남동구</t>
        </is>
      </c>
      <c r="AD1142" s="0" t="inlineStr">
        <is>
          <t>남촌동</t>
        </is>
      </c>
      <c r="AG1142" s="0" t="inlineStr">
        <is>
          <t>인천시 남동구 남촌로93번길 44</t>
        </is>
      </c>
      <c r="AH1142" s="0" t="n">
        <v>0</v>
      </c>
      <c r="AI1142" s="0" t="n">
        <v>166</v>
      </c>
      <c r="AJ1142" s="0" t="n">
        <v>28</v>
      </c>
      <c r="AK1142" s="0" t="n">
        <v>0</v>
      </c>
      <c r="AL1142" s="0" t="n">
        <v>0</v>
      </c>
    </row>
    <row r="1143">
      <c r="A1143" s="0" t="inlineStr">
        <is>
          <t>[남촌동]</t>
        </is>
      </c>
      <c r="B1143" s="0" t="n">
        <v>13502</v>
      </c>
      <c r="C1143" s="0" t="n">
        <v>3</v>
      </c>
      <c r="D1143" s="0" t="inlineStr">
        <is>
          <t>청호</t>
        </is>
      </c>
      <c r="E1143" s="0" t="inlineStr">
        <is>
          <t>1991.06.</t>
        </is>
      </c>
      <c r="F1143" s="0" t="n">
        <v>132</v>
      </c>
      <c r="G1143" s="0" t="n">
        <v>20.99</v>
      </c>
      <c r="H1143" s="0" t="n">
        <v>69.40000000000001</v>
      </c>
      <c r="I1143" s="0" t="n">
        <v>15.3</v>
      </c>
      <c r="J1143" s="0" t="n">
        <v>50.6</v>
      </c>
      <c r="K1143" s="0" t="n">
        <v>6</v>
      </c>
      <c r="T1143" s="0" t="n">
        <v>3</v>
      </c>
      <c r="U1143" s="0" t="n">
        <v>1</v>
      </c>
      <c r="V1143" s="0" t="inlineStr">
        <is>
          <t>계단식</t>
        </is>
      </c>
      <c r="W1143" s="0" t="n">
        <v>69</v>
      </c>
      <c r="X1143" s="0" t="n">
        <v>6</v>
      </c>
      <c r="Y1143" s="0" t="n">
        <v>6</v>
      </c>
      <c r="Z1143" s="0" t="inlineStr">
        <is>
          <t>https://new.land.naver.com/complexes/13502?tab=detail&amp;rf=Y</t>
        </is>
      </c>
      <c r="AA1143" s="0" t="inlineStr">
        <is>
          <t>인천시 남동구 남촌동 571-1</t>
        </is>
      </c>
      <c r="AB1143" s="0" t="inlineStr">
        <is>
          <t>인천시</t>
        </is>
      </c>
      <c r="AC1143" s="0" t="inlineStr">
        <is>
          <t>남동구</t>
        </is>
      </c>
      <c r="AD1143" s="0" t="inlineStr">
        <is>
          <t>남촌동</t>
        </is>
      </c>
      <c r="AG1143" s="0" t="inlineStr">
        <is>
          <t>인천시 남동구 남촌로93번길 44</t>
        </is>
      </c>
      <c r="AH1143" s="0" t="n">
        <v>0</v>
      </c>
      <c r="AI1143" s="0" t="n">
        <v>166</v>
      </c>
      <c r="AJ1143" s="0" t="n">
        <v>28</v>
      </c>
      <c r="AK1143" s="0" t="n">
        <v>0</v>
      </c>
      <c r="AL1143" s="0" t="n">
        <v>0</v>
      </c>
    </row>
    <row r="1144">
      <c r="A1144" s="0" t="inlineStr">
        <is>
          <t>[남촌동]</t>
        </is>
      </c>
      <c r="B1144" s="0" t="n">
        <v>13502</v>
      </c>
      <c r="C1144" s="0" t="n">
        <v>4</v>
      </c>
      <c r="D1144" s="0" t="inlineStr">
        <is>
          <t>청호</t>
        </is>
      </c>
      <c r="E1144" s="0" t="inlineStr">
        <is>
          <t>1991.06.</t>
        </is>
      </c>
      <c r="F1144" s="0" t="n">
        <v>132</v>
      </c>
      <c r="G1144" s="0" t="n">
        <v>22.3</v>
      </c>
      <c r="H1144" s="0" t="n">
        <v>73.75</v>
      </c>
      <c r="I1144" s="0" t="n">
        <v>18.01</v>
      </c>
      <c r="J1144" s="0" t="n">
        <v>59.55</v>
      </c>
      <c r="K1144" s="0" t="n">
        <v>24</v>
      </c>
      <c r="T1144" s="0" t="n">
        <v>3</v>
      </c>
      <c r="U1144" s="0" t="n">
        <v>1</v>
      </c>
      <c r="V1144" s="0" t="inlineStr">
        <is>
          <t>계단식</t>
        </is>
      </c>
      <c r="W1144" s="0" t="n">
        <v>73</v>
      </c>
      <c r="X1144" s="0" t="n">
        <v>6</v>
      </c>
      <c r="Y1144" s="0" t="n">
        <v>6</v>
      </c>
      <c r="Z1144" s="0" t="inlineStr">
        <is>
          <t>https://new.land.naver.com/complexes/13502?tab=detail&amp;rf=Y</t>
        </is>
      </c>
      <c r="AA1144" s="0" t="inlineStr">
        <is>
          <t>인천시 남동구 남촌동 571-1</t>
        </is>
      </c>
      <c r="AB1144" s="0" t="inlineStr">
        <is>
          <t>인천시</t>
        </is>
      </c>
      <c r="AC1144" s="0" t="inlineStr">
        <is>
          <t>남동구</t>
        </is>
      </c>
      <c r="AD1144" s="0" t="inlineStr">
        <is>
          <t>남촌동</t>
        </is>
      </c>
      <c r="AG1144" s="0" t="inlineStr">
        <is>
          <t>인천시 남동구 남촌로93번길 44</t>
        </is>
      </c>
      <c r="AH1144" s="0" t="n">
        <v>0</v>
      </c>
      <c r="AI1144" s="0" t="n">
        <v>166</v>
      </c>
      <c r="AJ1144" s="0" t="n">
        <v>28</v>
      </c>
      <c r="AK1144" s="0" t="n">
        <v>0</v>
      </c>
      <c r="AL1144" s="0" t="n">
        <v>0</v>
      </c>
    </row>
    <row r="1145">
      <c r="A1145" s="0" t="inlineStr">
        <is>
          <t>[남촌동]</t>
        </is>
      </c>
      <c r="B1145" s="0" t="n">
        <v>13502</v>
      </c>
      <c r="C1145" s="0" t="n">
        <v>5</v>
      </c>
      <c r="D1145" s="0" t="inlineStr">
        <is>
          <t>청호</t>
        </is>
      </c>
      <c r="E1145" s="0" t="inlineStr">
        <is>
          <t>1991.06.</t>
        </is>
      </c>
      <c r="F1145" s="0" t="n">
        <v>132</v>
      </c>
      <c r="G1145" s="0" t="n">
        <v>23.5</v>
      </c>
      <c r="H1145" s="0" t="n">
        <v>77.69</v>
      </c>
      <c r="I1145" s="0" t="n">
        <v>19.05</v>
      </c>
      <c r="J1145" s="0" t="n">
        <v>63</v>
      </c>
      <c r="K1145" s="0" t="n">
        <v>18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77B</t>
        </is>
      </c>
      <c r="X1145" s="0" t="n">
        <v>6</v>
      </c>
      <c r="Y1145" s="0" t="n">
        <v>6</v>
      </c>
      <c r="Z1145" s="0" t="inlineStr">
        <is>
          <t>https://new.land.naver.com/complexes/13502?tab=detail&amp;rf=Y</t>
        </is>
      </c>
      <c r="AA1145" s="0" t="inlineStr">
        <is>
          <t>인천시 남동구 남촌동 571-1</t>
        </is>
      </c>
      <c r="AB1145" s="0" t="inlineStr">
        <is>
          <t>인천시</t>
        </is>
      </c>
      <c r="AC1145" s="0" t="inlineStr">
        <is>
          <t>남동구</t>
        </is>
      </c>
      <c r="AD1145" s="0" t="inlineStr">
        <is>
          <t>남촌동</t>
        </is>
      </c>
      <c r="AG1145" s="0" t="inlineStr">
        <is>
          <t>인천시 남동구 남촌로93번길 44</t>
        </is>
      </c>
      <c r="AH1145" s="0" t="n">
        <v>0</v>
      </c>
      <c r="AI1145" s="0" t="n">
        <v>166</v>
      </c>
      <c r="AJ1145" s="0" t="n">
        <v>28</v>
      </c>
      <c r="AK1145" s="0" t="n">
        <v>0</v>
      </c>
      <c r="AL1145" s="0" t="n">
        <v>0</v>
      </c>
    </row>
    <row r="1146">
      <c r="A1146" s="0" t="inlineStr">
        <is>
          <t>[남촌동]</t>
        </is>
      </c>
      <c r="B1146" s="0" t="n">
        <v>13502</v>
      </c>
      <c r="C1146" s="0" t="n">
        <v>6</v>
      </c>
      <c r="D1146" s="0" t="inlineStr">
        <is>
          <t>청호</t>
        </is>
      </c>
      <c r="E1146" s="0" t="inlineStr">
        <is>
          <t>1991.06.</t>
        </is>
      </c>
      <c r="F1146" s="0" t="n">
        <v>132</v>
      </c>
      <c r="G1146" s="0" t="n">
        <v>23.88</v>
      </c>
      <c r="H1146" s="0" t="n">
        <v>78.95</v>
      </c>
      <c r="I1146" s="0" t="n">
        <v>17.84</v>
      </c>
      <c r="J1146" s="0" t="n">
        <v>58.98</v>
      </c>
      <c r="K1146" s="0" t="n">
        <v>6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78A</t>
        </is>
      </c>
      <c r="X1146" s="0" t="n">
        <v>6</v>
      </c>
      <c r="Y1146" s="0" t="n">
        <v>6</v>
      </c>
      <c r="Z1146" s="0" t="inlineStr">
        <is>
          <t>https://new.land.naver.com/complexes/13502?tab=detail&amp;rf=Y</t>
        </is>
      </c>
      <c r="AA1146" s="0" t="inlineStr">
        <is>
          <t>인천시 남동구 남촌동 571-1</t>
        </is>
      </c>
      <c r="AB1146" s="0" t="inlineStr">
        <is>
          <t>인천시</t>
        </is>
      </c>
      <c r="AC1146" s="0" t="inlineStr">
        <is>
          <t>남동구</t>
        </is>
      </c>
      <c r="AD1146" s="0" t="inlineStr">
        <is>
          <t>남촌동</t>
        </is>
      </c>
      <c r="AG1146" s="0" t="inlineStr">
        <is>
          <t>인천시 남동구 남촌로93번길 44</t>
        </is>
      </c>
      <c r="AH1146" s="0" t="n">
        <v>0</v>
      </c>
      <c r="AI1146" s="0" t="n">
        <v>166</v>
      </c>
      <c r="AJ1146" s="0" t="n">
        <v>28</v>
      </c>
      <c r="AK1146" s="0" t="n">
        <v>0</v>
      </c>
      <c r="AL1146" s="0" t="n">
        <v>0</v>
      </c>
    </row>
    <row r="1147">
      <c r="A1147" s="0" t="inlineStr">
        <is>
          <t>[남촌동]</t>
        </is>
      </c>
      <c r="B1147" s="0" t="n">
        <v>8856</v>
      </c>
      <c r="C1147" s="0" t="n">
        <v>1</v>
      </c>
      <c r="D1147" s="0" t="inlineStr">
        <is>
          <t>남촌풍림1차</t>
        </is>
      </c>
      <c r="E1147" s="0" t="inlineStr">
        <is>
          <t>1998.03.</t>
        </is>
      </c>
      <c r="F1147" s="0" t="n">
        <v>421</v>
      </c>
      <c r="G1147" s="0" t="n">
        <v>23.79</v>
      </c>
      <c r="H1147" s="0" t="n">
        <v>78.66</v>
      </c>
      <c r="I1147" s="0" t="n">
        <v>18.05</v>
      </c>
      <c r="J1147" s="0" t="n">
        <v>59.68</v>
      </c>
      <c r="K1147" s="0" t="n">
        <v>219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78</v>
      </c>
      <c r="X1147" s="0" t="n">
        <v>23</v>
      </c>
      <c r="Y1147" s="0" t="n">
        <v>18</v>
      </c>
      <c r="Z1147" s="0" t="inlineStr">
        <is>
          <t>https://new.land.naver.com/complexes/8856?tab=detail&amp;rf=Y</t>
        </is>
      </c>
      <c r="AA1147" s="0" t="inlineStr">
        <is>
          <t>인천시 남동구 남촌동 320-2</t>
        </is>
      </c>
      <c r="AB1147" s="0" t="inlineStr">
        <is>
          <t>인천시</t>
        </is>
      </c>
      <c r="AC1147" s="0" t="inlineStr">
        <is>
          <t>남동구</t>
        </is>
      </c>
      <c r="AD1147" s="0" t="inlineStr">
        <is>
          <t>남촌동</t>
        </is>
      </c>
      <c r="AG1147" s="0" t="inlineStr">
        <is>
          <t>인천시 남동구 남촌동로15번길 21</t>
        </is>
      </c>
      <c r="AH1147" s="0" t="n">
        <v>0</v>
      </c>
      <c r="AI1147" s="0" t="n">
        <v>296</v>
      </c>
      <c r="AJ1147" s="0" t="n">
        <v>24</v>
      </c>
      <c r="AK1147" s="0" t="n">
        <v>427</v>
      </c>
      <c r="AL1147" s="0" t="n">
        <v>1.01</v>
      </c>
    </row>
    <row r="1148">
      <c r="A1148" s="0" t="inlineStr">
        <is>
          <t>[남촌동]</t>
        </is>
      </c>
      <c r="B1148" s="0" t="n">
        <v>8856</v>
      </c>
      <c r="C1148" s="0" t="n">
        <v>2</v>
      </c>
      <c r="D1148" s="0" t="inlineStr">
        <is>
          <t>남촌풍림1차</t>
        </is>
      </c>
      <c r="E1148" s="0" t="inlineStr">
        <is>
          <t>1998.03.</t>
        </is>
      </c>
      <c r="F1148" s="0" t="n">
        <v>421</v>
      </c>
      <c r="G1148" s="0" t="n">
        <v>31.84</v>
      </c>
      <c r="H1148" s="0" t="n">
        <v>105.27</v>
      </c>
      <c r="I1148" s="0" t="n">
        <v>25.66</v>
      </c>
      <c r="J1148" s="0" t="n">
        <v>84.83</v>
      </c>
      <c r="K1148" s="0" t="n">
        <v>202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105</v>
      </c>
      <c r="X1148" s="0" t="n">
        <v>23</v>
      </c>
      <c r="Y1148" s="0" t="n">
        <v>18</v>
      </c>
      <c r="Z1148" s="0" t="inlineStr">
        <is>
          <t>https://new.land.naver.com/complexes/8856?tab=detail&amp;rf=Y</t>
        </is>
      </c>
      <c r="AA1148" s="0" t="inlineStr">
        <is>
          <t>인천시 남동구 남촌동 320-2</t>
        </is>
      </c>
      <c r="AB1148" s="0" t="inlineStr">
        <is>
          <t>인천시</t>
        </is>
      </c>
      <c r="AC1148" s="0" t="inlineStr">
        <is>
          <t>남동구</t>
        </is>
      </c>
      <c r="AD1148" s="0" t="inlineStr">
        <is>
          <t>남촌동</t>
        </is>
      </c>
      <c r="AG1148" s="0" t="inlineStr">
        <is>
          <t>인천시 남동구 남촌동로15번길 21</t>
        </is>
      </c>
      <c r="AH1148" s="0" t="n">
        <v>0</v>
      </c>
      <c r="AI1148" s="0" t="n">
        <v>296</v>
      </c>
      <c r="AJ1148" s="0" t="n">
        <v>24</v>
      </c>
      <c r="AK1148" s="0" t="n">
        <v>427</v>
      </c>
      <c r="AL1148" s="0" t="n">
        <v>1.01</v>
      </c>
    </row>
    <row r="1149">
      <c r="A1149" s="0" t="inlineStr">
        <is>
          <t>[논현동]</t>
        </is>
      </c>
      <c r="B1149" s="0" t="n">
        <v>111610</v>
      </c>
      <c r="C1149" s="0" t="n">
        <v>1</v>
      </c>
      <c r="D1149" s="0" t="inlineStr">
        <is>
          <t>이안더테라스</t>
        </is>
      </c>
      <c r="E1149" s="0" t="inlineStr">
        <is>
          <t>2017.11.</t>
        </is>
      </c>
      <c r="F1149" s="0" t="n">
        <v>298</v>
      </c>
      <c r="G1149" s="0" t="n">
        <v>36.24</v>
      </c>
      <c r="H1149" s="0" t="n">
        <v>119.82</v>
      </c>
      <c r="I1149" s="0" t="n">
        <v>30.76</v>
      </c>
      <c r="J1149" s="0" t="n">
        <v>101.69</v>
      </c>
      <c r="K1149" s="0" t="n">
        <v>37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119A</t>
        </is>
      </c>
      <c r="X1149" s="0" t="n">
        <v>4</v>
      </c>
      <c r="Y1149" s="0" t="n">
        <v>3</v>
      </c>
      <c r="Z1149" s="0" t="inlineStr">
        <is>
          <t>https://new.land.naver.com/complexes/111610?tab=detail&amp;rf=Y</t>
        </is>
      </c>
      <c r="AA1149" s="0" t="inlineStr">
        <is>
          <t>인천시 남동구 논현동 765-1</t>
        </is>
      </c>
      <c r="AB1149" s="0" t="inlineStr">
        <is>
          <t>인천시</t>
        </is>
      </c>
      <c r="AC1149" s="0" t="inlineStr">
        <is>
          <t>남동구</t>
        </is>
      </c>
      <c r="AD1149" s="0" t="inlineStr">
        <is>
          <t>논현동</t>
        </is>
      </c>
      <c r="AG1149" s="0" t="inlineStr">
        <is>
          <t>인천시 남동구 에코중앙로84번길 42</t>
        </is>
      </c>
      <c r="AH1149" s="0" t="n">
        <v>0</v>
      </c>
      <c r="AI1149" s="0" t="n">
        <v>99</v>
      </c>
      <c r="AJ1149" s="0" t="n">
        <v>35</v>
      </c>
      <c r="AK1149" s="0" t="n">
        <v>486</v>
      </c>
      <c r="AL1149" s="0" t="n">
        <v>1.63</v>
      </c>
    </row>
    <row r="1150">
      <c r="A1150" s="0" t="inlineStr">
        <is>
          <t>[논현동]</t>
        </is>
      </c>
      <c r="B1150" s="0" t="n">
        <v>111610</v>
      </c>
      <c r="C1150" s="0" t="n">
        <v>2</v>
      </c>
      <c r="D1150" s="0" t="inlineStr">
        <is>
          <t>이안더테라스</t>
        </is>
      </c>
      <c r="E1150" s="0" t="inlineStr">
        <is>
          <t>2017.11.</t>
        </is>
      </c>
      <c r="F1150" s="0" t="n">
        <v>298</v>
      </c>
      <c r="G1150" s="0" t="n">
        <v>36.24</v>
      </c>
      <c r="H1150" s="0" t="n">
        <v>119.82</v>
      </c>
      <c r="I1150" s="0" t="n">
        <v>30.76</v>
      </c>
      <c r="J1150" s="0" t="n">
        <v>101.69</v>
      </c>
      <c r="K1150" s="0" t="n">
        <v>37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119B</t>
        </is>
      </c>
      <c r="X1150" s="0" t="n">
        <v>4</v>
      </c>
      <c r="Y1150" s="0" t="n">
        <v>3</v>
      </c>
      <c r="Z1150" s="0" t="inlineStr">
        <is>
          <t>https://new.land.naver.com/complexes/111610?tab=detail&amp;rf=Y</t>
        </is>
      </c>
      <c r="AA1150" s="0" t="inlineStr">
        <is>
          <t>인천시 남동구 논현동 765-1</t>
        </is>
      </c>
      <c r="AB1150" s="0" t="inlineStr">
        <is>
          <t>인천시</t>
        </is>
      </c>
      <c r="AC1150" s="0" t="inlineStr">
        <is>
          <t>남동구</t>
        </is>
      </c>
      <c r="AD1150" s="0" t="inlineStr">
        <is>
          <t>논현동</t>
        </is>
      </c>
      <c r="AG1150" s="0" t="inlineStr">
        <is>
          <t>인천시 남동구 에코중앙로84번길 42</t>
        </is>
      </c>
      <c r="AH1150" s="0" t="n">
        <v>0</v>
      </c>
      <c r="AI1150" s="0" t="n">
        <v>99</v>
      </c>
      <c r="AJ1150" s="0" t="n">
        <v>35</v>
      </c>
      <c r="AK1150" s="0" t="n">
        <v>486</v>
      </c>
      <c r="AL1150" s="0" t="n">
        <v>1.63</v>
      </c>
    </row>
    <row r="1151">
      <c r="A1151" s="0" t="inlineStr">
        <is>
          <t>[논현동]</t>
        </is>
      </c>
      <c r="B1151" s="0" t="n">
        <v>111610</v>
      </c>
      <c r="C1151" s="0" t="n">
        <v>3</v>
      </c>
      <c r="D1151" s="0" t="inlineStr">
        <is>
          <t>이안더테라스</t>
        </is>
      </c>
      <c r="E1151" s="0" t="inlineStr">
        <is>
          <t>2017.11.</t>
        </is>
      </c>
      <c r="F1151" s="0" t="n">
        <v>298</v>
      </c>
      <c r="G1151" s="0" t="n">
        <v>40.8</v>
      </c>
      <c r="H1151" s="0" t="n">
        <v>134.89</v>
      </c>
      <c r="I1151" s="0" t="n">
        <v>34.84</v>
      </c>
      <c r="J1151" s="0" t="n">
        <v>115.2</v>
      </c>
      <c r="K1151" s="0" t="n">
        <v>111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134B</t>
        </is>
      </c>
      <c r="X1151" s="0" t="n">
        <v>4</v>
      </c>
      <c r="Y1151" s="0" t="n">
        <v>3</v>
      </c>
      <c r="Z1151" s="0" t="inlineStr">
        <is>
          <t>https://new.land.naver.com/complexes/111610?tab=detail&amp;rf=Y</t>
        </is>
      </c>
      <c r="AA1151" s="0" t="inlineStr">
        <is>
          <t>인천시 남동구 논현동 765-1</t>
        </is>
      </c>
      <c r="AB1151" s="0" t="inlineStr">
        <is>
          <t>인천시</t>
        </is>
      </c>
      <c r="AC1151" s="0" t="inlineStr">
        <is>
          <t>남동구</t>
        </is>
      </c>
      <c r="AD1151" s="0" t="inlineStr">
        <is>
          <t>논현동</t>
        </is>
      </c>
      <c r="AG1151" s="0" t="inlineStr">
        <is>
          <t>인천시 남동구 에코중앙로84번길 42</t>
        </is>
      </c>
      <c r="AH1151" s="0" t="n">
        <v>0</v>
      </c>
      <c r="AI1151" s="0" t="n">
        <v>99</v>
      </c>
      <c r="AJ1151" s="0" t="n">
        <v>35</v>
      </c>
      <c r="AK1151" s="0" t="n">
        <v>486</v>
      </c>
      <c r="AL1151" s="0" t="n">
        <v>1.63</v>
      </c>
    </row>
    <row r="1152">
      <c r="A1152" s="0" t="inlineStr">
        <is>
          <t>[논현동]</t>
        </is>
      </c>
      <c r="B1152" s="0" t="n">
        <v>111610</v>
      </c>
      <c r="C1152" s="0" t="n">
        <v>4</v>
      </c>
      <c r="D1152" s="0" t="inlineStr">
        <is>
          <t>이안더테라스</t>
        </is>
      </c>
      <c r="E1152" s="0" t="inlineStr">
        <is>
          <t>2017.11.</t>
        </is>
      </c>
      <c r="F1152" s="0" t="n">
        <v>298</v>
      </c>
      <c r="G1152" s="0" t="n">
        <v>40.8</v>
      </c>
      <c r="H1152" s="0" t="n">
        <v>134.89</v>
      </c>
      <c r="I1152" s="0" t="n">
        <v>34.84</v>
      </c>
      <c r="J1152" s="0" t="n">
        <v>115.2</v>
      </c>
      <c r="K1152" s="0" t="n">
        <v>110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134A</t>
        </is>
      </c>
      <c r="X1152" s="0" t="n">
        <v>4</v>
      </c>
      <c r="Y1152" s="0" t="n">
        <v>3</v>
      </c>
      <c r="Z1152" s="0" t="inlineStr">
        <is>
          <t>https://new.land.naver.com/complexes/111610?tab=detail&amp;rf=Y</t>
        </is>
      </c>
      <c r="AA1152" s="0" t="inlineStr">
        <is>
          <t>인천시 남동구 논현동 765-1</t>
        </is>
      </c>
      <c r="AB1152" s="0" t="inlineStr">
        <is>
          <t>인천시</t>
        </is>
      </c>
      <c r="AC1152" s="0" t="inlineStr">
        <is>
          <t>남동구</t>
        </is>
      </c>
      <c r="AD1152" s="0" t="inlineStr">
        <is>
          <t>논현동</t>
        </is>
      </c>
      <c r="AG1152" s="0" t="inlineStr">
        <is>
          <t>인천시 남동구 에코중앙로84번길 42</t>
        </is>
      </c>
      <c r="AH1152" s="0" t="n">
        <v>0</v>
      </c>
      <c r="AI1152" s="0" t="n">
        <v>99</v>
      </c>
      <c r="AJ1152" s="0" t="n">
        <v>35</v>
      </c>
      <c r="AK1152" s="0" t="n">
        <v>486</v>
      </c>
      <c r="AL1152" s="0" t="n">
        <v>1.63</v>
      </c>
    </row>
    <row r="1153">
      <c r="A1153" s="0" t="inlineStr">
        <is>
          <t>[논현동]</t>
        </is>
      </c>
      <c r="B1153" s="0" t="n">
        <v>111610</v>
      </c>
      <c r="C1153" s="0" t="n">
        <v>5</v>
      </c>
      <c r="D1153" s="0" t="inlineStr">
        <is>
          <t>이안더테라스</t>
        </is>
      </c>
      <c r="E1153" s="0" t="inlineStr">
        <is>
          <t>2017.11.</t>
        </is>
      </c>
      <c r="F1153" s="0" t="n">
        <v>298</v>
      </c>
      <c r="G1153" s="0" t="n">
        <v>41.17</v>
      </c>
      <c r="H1153" s="0" t="n">
        <v>136.11</v>
      </c>
      <c r="I1153" s="0" t="n">
        <v>34.97</v>
      </c>
      <c r="J1153" s="0" t="n">
        <v>115.61</v>
      </c>
      <c r="K1153" s="0" t="n">
        <v>2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136C</t>
        </is>
      </c>
      <c r="X1153" s="0" t="n">
        <v>4</v>
      </c>
      <c r="Y1153" s="0" t="n">
        <v>3</v>
      </c>
      <c r="Z1153" s="0" t="inlineStr">
        <is>
          <t>https://new.land.naver.com/complexes/111610?tab=detail&amp;rf=Y</t>
        </is>
      </c>
      <c r="AA1153" s="0" t="inlineStr">
        <is>
          <t>인천시 남동구 논현동 765-1</t>
        </is>
      </c>
      <c r="AB1153" s="0" t="inlineStr">
        <is>
          <t>인천시</t>
        </is>
      </c>
      <c r="AC1153" s="0" t="inlineStr">
        <is>
          <t>남동구</t>
        </is>
      </c>
      <c r="AD1153" s="0" t="inlineStr">
        <is>
          <t>논현동</t>
        </is>
      </c>
      <c r="AG1153" s="0" t="inlineStr">
        <is>
          <t>인천시 남동구 에코중앙로84번길 42</t>
        </is>
      </c>
      <c r="AH1153" s="0" t="n">
        <v>0</v>
      </c>
      <c r="AI1153" s="0" t="n">
        <v>99</v>
      </c>
      <c r="AJ1153" s="0" t="n">
        <v>35</v>
      </c>
      <c r="AK1153" s="0" t="n">
        <v>486</v>
      </c>
      <c r="AL1153" s="0" t="n">
        <v>1.63</v>
      </c>
    </row>
    <row r="1154">
      <c r="A1154" s="0" t="inlineStr">
        <is>
          <t>[논현동]</t>
        </is>
      </c>
      <c r="B1154" s="0" t="n">
        <v>111610</v>
      </c>
      <c r="C1154" s="0" t="n">
        <v>6</v>
      </c>
      <c r="D1154" s="0" t="inlineStr">
        <is>
          <t>이안더테라스</t>
        </is>
      </c>
      <c r="E1154" s="0" t="inlineStr">
        <is>
          <t>2017.11.</t>
        </is>
      </c>
      <c r="F1154" s="0" t="n">
        <v>298</v>
      </c>
      <c r="G1154" s="0" t="n">
        <v>41.17</v>
      </c>
      <c r="H1154" s="0" t="n">
        <v>136.11</v>
      </c>
      <c r="I1154" s="0" t="n">
        <v>34.97</v>
      </c>
      <c r="J1154" s="0" t="n">
        <v>115.61</v>
      </c>
      <c r="K1154" s="0" t="n">
        <v>1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136D</t>
        </is>
      </c>
      <c r="X1154" s="0" t="n">
        <v>4</v>
      </c>
      <c r="Y1154" s="0" t="n">
        <v>3</v>
      </c>
      <c r="Z1154" s="0" t="inlineStr">
        <is>
          <t>https://new.land.naver.com/complexes/111610?tab=detail&amp;rf=Y</t>
        </is>
      </c>
      <c r="AA1154" s="0" t="inlineStr">
        <is>
          <t>인천시 남동구 논현동 765-1</t>
        </is>
      </c>
      <c r="AB1154" s="0" t="inlineStr">
        <is>
          <t>인천시</t>
        </is>
      </c>
      <c r="AC1154" s="0" t="inlineStr">
        <is>
          <t>남동구</t>
        </is>
      </c>
      <c r="AD1154" s="0" t="inlineStr">
        <is>
          <t>논현동</t>
        </is>
      </c>
      <c r="AG1154" s="0" t="inlineStr">
        <is>
          <t>인천시 남동구 에코중앙로84번길 42</t>
        </is>
      </c>
      <c r="AH1154" s="0" t="n">
        <v>0</v>
      </c>
      <c r="AI1154" s="0" t="n">
        <v>99</v>
      </c>
      <c r="AJ1154" s="0" t="n">
        <v>35</v>
      </c>
      <c r="AK1154" s="0" t="n">
        <v>486</v>
      </c>
      <c r="AL1154" s="0" t="n">
        <v>1.63</v>
      </c>
    </row>
    <row r="1155">
      <c r="A1155" s="0" t="inlineStr">
        <is>
          <t>[논현동]</t>
        </is>
      </c>
      <c r="B1155" s="0" t="n">
        <v>8761</v>
      </c>
      <c r="C1155" s="0" t="n">
        <v>1</v>
      </c>
      <c r="D1155" s="0" t="inlineStr">
        <is>
          <t>논현주공2단지</t>
        </is>
      </c>
      <c r="E1155" s="0" t="inlineStr">
        <is>
          <t>1998.08.</t>
        </is>
      </c>
      <c r="F1155" s="0" t="n">
        <v>1252</v>
      </c>
      <c r="G1155" s="0" t="n">
        <v>16.75</v>
      </c>
      <c r="H1155" s="0" t="n">
        <v>55.39</v>
      </c>
      <c r="I1155" s="0" t="n">
        <v>11.78</v>
      </c>
      <c r="J1155" s="0" t="n">
        <v>38.95</v>
      </c>
      <c r="K1155" s="0" t="n">
        <v>134</v>
      </c>
      <c r="T1155" s="0" t="n">
        <v>2</v>
      </c>
      <c r="U1155" s="0" t="n">
        <v>1</v>
      </c>
      <c r="V1155" s="0" t="inlineStr">
        <is>
          <t>복도식</t>
        </is>
      </c>
      <c r="W1155" s="0" t="n">
        <v>55</v>
      </c>
      <c r="X1155" s="0" t="n">
        <v>20</v>
      </c>
      <c r="Y1155" s="0" t="n">
        <v>15</v>
      </c>
      <c r="Z1155" s="0" t="inlineStr">
        <is>
          <t>https://new.land.naver.com/complexes/8761?tab=detail&amp;rf=Y</t>
        </is>
      </c>
      <c r="AA1155" s="0" t="inlineStr">
        <is>
          <t>인천시 남동구 논현동 563-3</t>
        </is>
      </c>
      <c r="AB1155" s="0" t="inlineStr">
        <is>
          <t>인천시</t>
        </is>
      </c>
      <c r="AC1155" s="0" t="inlineStr">
        <is>
          <t>남동구</t>
        </is>
      </c>
      <c r="AD1155" s="0" t="inlineStr">
        <is>
          <t>논현동</t>
        </is>
      </c>
      <c r="AG1155" s="0" t="inlineStr">
        <is>
          <t>인천시 남동구 함박뫼로 439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[논현동]</t>
        </is>
      </c>
      <c r="B1156" s="0" t="n">
        <v>8761</v>
      </c>
      <c r="C1156" s="0" t="n">
        <v>2</v>
      </c>
      <c r="D1156" s="0" t="inlineStr">
        <is>
          <t>논현주공2단지</t>
        </is>
      </c>
      <c r="E1156" s="0" t="inlineStr">
        <is>
          <t>1998.08.</t>
        </is>
      </c>
      <c r="F1156" s="0" t="n">
        <v>1252</v>
      </c>
      <c r="G1156" s="0" t="n">
        <v>21.89</v>
      </c>
      <c r="H1156" s="0" t="n">
        <v>72.38</v>
      </c>
      <c r="I1156" s="0" t="n">
        <v>14.65</v>
      </c>
      <c r="J1156" s="0" t="n">
        <v>48.45</v>
      </c>
      <c r="K1156" s="0" t="n">
        <v>238</v>
      </c>
      <c r="T1156" s="0" t="n">
        <v>2</v>
      </c>
      <c r="U1156" s="0" t="n">
        <v>1</v>
      </c>
      <c r="V1156" s="0" t="inlineStr">
        <is>
          <t>복도식</t>
        </is>
      </c>
      <c r="W1156" s="0" t="n">
        <v>72</v>
      </c>
      <c r="X1156" s="0" t="n">
        <v>20</v>
      </c>
      <c r="Y1156" s="0" t="n">
        <v>15</v>
      </c>
      <c r="Z1156" s="0" t="inlineStr">
        <is>
          <t>https://new.land.naver.com/complexes/8761?tab=detail&amp;rf=Y</t>
        </is>
      </c>
      <c r="AA1156" s="0" t="inlineStr">
        <is>
          <t>인천시 남동구 논현동 563-3</t>
        </is>
      </c>
      <c r="AB1156" s="0" t="inlineStr">
        <is>
          <t>인천시</t>
        </is>
      </c>
      <c r="AC1156" s="0" t="inlineStr">
        <is>
          <t>남동구</t>
        </is>
      </c>
      <c r="AD1156" s="0" t="inlineStr">
        <is>
          <t>논현동</t>
        </is>
      </c>
      <c r="AG1156" s="0" t="inlineStr">
        <is>
          <t>인천시 남동구 함박뫼로 439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[논현동]</t>
        </is>
      </c>
      <c r="B1157" s="0" t="n">
        <v>8761</v>
      </c>
      <c r="C1157" s="0" t="n">
        <v>3</v>
      </c>
      <c r="D1157" s="0" t="inlineStr">
        <is>
          <t>논현주공2단지</t>
        </is>
      </c>
      <c r="E1157" s="0" t="inlineStr">
        <is>
          <t>1998.08.</t>
        </is>
      </c>
      <c r="F1157" s="0" t="n">
        <v>1252</v>
      </c>
      <c r="G1157" s="0" t="n">
        <v>23.39</v>
      </c>
      <c r="H1157" s="0" t="n">
        <v>77.34999999999999</v>
      </c>
      <c r="I1157" s="0" t="n">
        <v>17.91</v>
      </c>
      <c r="J1157" s="0" t="n">
        <v>59.23</v>
      </c>
      <c r="K1157" s="0" t="n">
        <v>120</v>
      </c>
      <c r="T1157" s="0" t="n">
        <v>3</v>
      </c>
      <c r="U1157" s="0" t="n">
        <v>1</v>
      </c>
      <c r="V1157" s="0" t="inlineStr">
        <is>
          <t>계단식</t>
        </is>
      </c>
      <c r="W1157" s="0" t="n">
        <v>77</v>
      </c>
      <c r="X1157" s="0" t="n">
        <v>20</v>
      </c>
      <c r="Y1157" s="0" t="n">
        <v>15</v>
      </c>
      <c r="Z1157" s="0" t="inlineStr">
        <is>
          <t>https://new.land.naver.com/complexes/8761?tab=detail&amp;rf=Y</t>
        </is>
      </c>
      <c r="AA1157" s="0" t="inlineStr">
        <is>
          <t>인천시 남동구 논현동 563-3</t>
        </is>
      </c>
      <c r="AB1157" s="0" t="inlineStr">
        <is>
          <t>인천시</t>
        </is>
      </c>
      <c r="AC1157" s="0" t="inlineStr">
        <is>
          <t>남동구</t>
        </is>
      </c>
      <c r="AD1157" s="0" t="inlineStr">
        <is>
          <t>논현동</t>
        </is>
      </c>
      <c r="AG1157" s="0" t="inlineStr">
        <is>
          <t>인천시 남동구 함박뫼로 439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[논현동]</t>
        </is>
      </c>
      <c r="B1158" s="0" t="n">
        <v>8761</v>
      </c>
      <c r="C1158" s="0" t="n">
        <v>4</v>
      </c>
      <c r="D1158" s="0" t="inlineStr">
        <is>
          <t>논현주공2단지</t>
        </is>
      </c>
      <c r="E1158" s="0" t="inlineStr">
        <is>
          <t>1998.08.</t>
        </is>
      </c>
      <c r="F1158" s="0" t="n">
        <v>1252</v>
      </c>
      <c r="G1158" s="0" t="n">
        <v>24.25</v>
      </c>
      <c r="H1158" s="0" t="n">
        <v>80.18000000000001</v>
      </c>
      <c r="I1158" s="0" t="n">
        <v>17.88</v>
      </c>
      <c r="J1158" s="0" t="n">
        <v>59.13</v>
      </c>
      <c r="K1158" s="0" t="n">
        <v>80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80</v>
      </c>
      <c r="X1158" s="0" t="n">
        <v>20</v>
      </c>
      <c r="Y1158" s="0" t="n">
        <v>15</v>
      </c>
      <c r="Z1158" s="0" t="inlineStr">
        <is>
          <t>https://new.land.naver.com/complexes/8761?tab=detail&amp;rf=Y</t>
        </is>
      </c>
      <c r="AA1158" s="0" t="inlineStr">
        <is>
          <t>인천시 남동구 논현동 563-3</t>
        </is>
      </c>
      <c r="AB1158" s="0" t="inlineStr">
        <is>
          <t>인천시</t>
        </is>
      </c>
      <c r="AC1158" s="0" t="inlineStr">
        <is>
          <t>남동구</t>
        </is>
      </c>
      <c r="AD1158" s="0" t="inlineStr">
        <is>
          <t>논현동</t>
        </is>
      </c>
      <c r="AG1158" s="0" t="inlineStr">
        <is>
          <t>인천시 남동구 함박뫼로 439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[논현동]</t>
        </is>
      </c>
      <c r="B1159" s="0" t="n">
        <v>8761</v>
      </c>
      <c r="C1159" s="0" t="n">
        <v>5</v>
      </c>
      <c r="D1159" s="0" t="inlineStr">
        <is>
          <t>논현주공2단지</t>
        </is>
      </c>
      <c r="E1159" s="0" t="inlineStr">
        <is>
          <t>1998.08.</t>
        </is>
      </c>
      <c r="F1159" s="0" t="n">
        <v>1252</v>
      </c>
      <c r="G1159" s="0" t="n">
        <v>32.31</v>
      </c>
      <c r="H1159" s="0" t="n">
        <v>106.81</v>
      </c>
      <c r="I1159" s="0" t="n">
        <v>25.36</v>
      </c>
      <c r="J1159" s="0" t="n">
        <v>83.84</v>
      </c>
      <c r="K1159" s="0" t="n">
        <v>680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106</v>
      </c>
      <c r="X1159" s="0" t="n">
        <v>20</v>
      </c>
      <c r="Y1159" s="0" t="n">
        <v>15</v>
      </c>
      <c r="Z1159" s="0" t="inlineStr">
        <is>
          <t>https://new.land.naver.com/complexes/8761?tab=detail&amp;rf=Y</t>
        </is>
      </c>
      <c r="AA1159" s="0" t="inlineStr">
        <is>
          <t>인천시 남동구 논현동 563-3</t>
        </is>
      </c>
      <c r="AB1159" s="0" t="inlineStr">
        <is>
          <t>인천시</t>
        </is>
      </c>
      <c r="AC1159" s="0" t="inlineStr">
        <is>
          <t>남동구</t>
        </is>
      </c>
      <c r="AD1159" s="0" t="inlineStr">
        <is>
          <t>논현동</t>
        </is>
      </c>
      <c r="AG1159" s="0" t="inlineStr">
        <is>
          <t>인천시 남동구 함박뫼로 439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[논현동]</t>
        </is>
      </c>
      <c r="B1160" s="0" t="n">
        <v>9565</v>
      </c>
      <c r="C1160" s="0" t="n">
        <v>1</v>
      </c>
      <c r="D1160" s="0" t="inlineStr">
        <is>
          <t>논현주공1단지</t>
        </is>
      </c>
      <c r="E1160" s="0" t="inlineStr">
        <is>
          <t>1998.08.</t>
        </is>
      </c>
      <c r="F1160" s="0" t="n">
        <v>1190</v>
      </c>
      <c r="G1160" s="0" t="n">
        <v>20.97</v>
      </c>
      <c r="H1160" s="0" t="n">
        <v>69.33</v>
      </c>
      <c r="I1160" s="0" t="n">
        <v>14.78</v>
      </c>
      <c r="J1160" s="0" t="n">
        <v>48.87</v>
      </c>
      <c r="K1160" s="0" t="n">
        <v>158</v>
      </c>
      <c r="T1160" s="0" t="n">
        <v>2</v>
      </c>
      <c r="U1160" s="0" t="n">
        <v>1</v>
      </c>
      <c r="V1160" s="0" t="inlineStr">
        <is>
          <t>복도식</t>
        </is>
      </c>
      <c r="W1160" s="0" t="n">
        <v>69</v>
      </c>
      <c r="X1160" s="0" t="n">
        <v>20</v>
      </c>
      <c r="Y1160" s="0" t="n">
        <v>18</v>
      </c>
      <c r="Z1160" s="0" t="inlineStr">
        <is>
          <t>https://new.land.naver.com/complexes/9565?tab=detail&amp;rf=Y</t>
        </is>
      </c>
      <c r="AA1160" s="0" t="inlineStr">
        <is>
          <t>인천시 남동구 논현동 564-1</t>
        </is>
      </c>
      <c r="AB1160" s="0" t="inlineStr">
        <is>
          <t>인천시</t>
        </is>
      </c>
      <c r="AC1160" s="0" t="inlineStr">
        <is>
          <t>남동구</t>
        </is>
      </c>
      <c r="AD1160" s="0" t="inlineStr">
        <is>
          <t>논현동</t>
        </is>
      </c>
      <c r="AG1160" s="0" t="inlineStr">
        <is>
          <t>인천시 남동구 호구포로 294</t>
        </is>
      </c>
      <c r="AH1160" s="0" t="n">
        <v>0</v>
      </c>
      <c r="AI1160" s="0" t="n">
        <v>198</v>
      </c>
      <c r="AJ1160" s="0" t="n">
        <v>14</v>
      </c>
      <c r="AK1160" s="0" t="n">
        <v>1190</v>
      </c>
      <c r="AL1160" s="0" t="n">
        <v>1</v>
      </c>
    </row>
    <row r="1161">
      <c r="A1161" s="0" t="inlineStr">
        <is>
          <t>[논현동]</t>
        </is>
      </c>
      <c r="B1161" s="0" t="n">
        <v>9565</v>
      </c>
      <c r="C1161" s="0" t="n">
        <v>2</v>
      </c>
      <c r="D1161" s="0" t="inlineStr">
        <is>
          <t>논현주공1단지</t>
        </is>
      </c>
      <c r="E1161" s="0" t="inlineStr">
        <is>
          <t>1998.08.</t>
        </is>
      </c>
      <c r="F1161" s="0" t="n">
        <v>1190</v>
      </c>
      <c r="G1161" s="0" t="n">
        <v>24.25</v>
      </c>
      <c r="H1161" s="0" t="n">
        <v>80.18000000000001</v>
      </c>
      <c r="I1161" s="0" t="n">
        <v>17.88</v>
      </c>
      <c r="J1161" s="0" t="n">
        <v>59.13</v>
      </c>
      <c r="K1161" s="0" t="n">
        <v>952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80</v>
      </c>
      <c r="X1161" s="0" t="n">
        <v>20</v>
      </c>
      <c r="Y1161" s="0" t="n">
        <v>18</v>
      </c>
      <c r="Z1161" s="0" t="inlineStr">
        <is>
          <t>https://new.land.naver.com/complexes/9565?tab=detail&amp;rf=Y</t>
        </is>
      </c>
      <c r="AA1161" s="0" t="inlineStr">
        <is>
          <t>인천시 남동구 논현동 564-1</t>
        </is>
      </c>
      <c r="AB1161" s="0" t="inlineStr">
        <is>
          <t>인천시</t>
        </is>
      </c>
      <c r="AC1161" s="0" t="inlineStr">
        <is>
          <t>남동구</t>
        </is>
      </c>
      <c r="AD1161" s="0" t="inlineStr">
        <is>
          <t>논현동</t>
        </is>
      </c>
      <c r="AG1161" s="0" t="inlineStr">
        <is>
          <t>인천시 남동구 호구포로 294</t>
        </is>
      </c>
      <c r="AH1161" s="0" t="n">
        <v>0</v>
      </c>
      <c r="AI1161" s="0" t="n">
        <v>198</v>
      </c>
      <c r="AJ1161" s="0" t="n">
        <v>14</v>
      </c>
      <c r="AK1161" s="0" t="n">
        <v>1190</v>
      </c>
      <c r="AL1161" s="0" t="n">
        <v>1</v>
      </c>
    </row>
    <row r="1162">
      <c r="A1162" s="0" t="inlineStr">
        <is>
          <t>[논현동]</t>
        </is>
      </c>
      <c r="B1162" s="0" t="n">
        <v>9565</v>
      </c>
      <c r="C1162" s="0" t="n">
        <v>3</v>
      </c>
      <c r="D1162" s="0" t="inlineStr">
        <is>
          <t>논현주공1단지</t>
        </is>
      </c>
      <c r="E1162" s="0" t="inlineStr">
        <is>
          <t>1998.08.</t>
        </is>
      </c>
      <c r="F1162" s="0" t="n">
        <v>1190</v>
      </c>
      <c r="G1162" s="0" t="n">
        <v>25.37</v>
      </c>
      <c r="H1162" s="0" t="n">
        <v>83.88</v>
      </c>
      <c r="I1162" s="0" t="n">
        <v>17.88</v>
      </c>
      <c r="J1162" s="0" t="n">
        <v>59.13</v>
      </c>
      <c r="K1162" s="0" t="n">
        <v>80</v>
      </c>
      <c r="T1162" s="0" t="n">
        <v>3</v>
      </c>
      <c r="U1162" s="0" t="n">
        <v>1</v>
      </c>
      <c r="V1162" s="0" t="inlineStr">
        <is>
          <t>복도식</t>
        </is>
      </c>
      <c r="W1162" s="0" t="n">
        <v>83</v>
      </c>
      <c r="X1162" s="0" t="n">
        <v>20</v>
      </c>
      <c r="Y1162" s="0" t="n">
        <v>18</v>
      </c>
      <c r="Z1162" s="0" t="inlineStr">
        <is>
          <t>https://new.land.naver.com/complexes/9565?tab=detail&amp;rf=Y</t>
        </is>
      </c>
      <c r="AA1162" s="0" t="inlineStr">
        <is>
          <t>인천시 남동구 논현동 564-1</t>
        </is>
      </c>
      <c r="AB1162" s="0" t="inlineStr">
        <is>
          <t>인천시</t>
        </is>
      </c>
      <c r="AC1162" s="0" t="inlineStr">
        <is>
          <t>남동구</t>
        </is>
      </c>
      <c r="AD1162" s="0" t="inlineStr">
        <is>
          <t>논현동</t>
        </is>
      </c>
      <c r="AG1162" s="0" t="inlineStr">
        <is>
          <t>인천시 남동구 호구포로 294</t>
        </is>
      </c>
      <c r="AH1162" s="0" t="n">
        <v>0</v>
      </c>
      <c r="AI1162" s="0" t="n">
        <v>198</v>
      </c>
      <c r="AJ1162" s="0" t="n">
        <v>14</v>
      </c>
      <c r="AK1162" s="0" t="n">
        <v>1190</v>
      </c>
      <c r="AL1162" s="0" t="n">
        <v>1</v>
      </c>
    </row>
    <row r="1163">
      <c r="A1163" s="0" t="inlineStr">
        <is>
          <t>[논현동]</t>
        </is>
      </c>
      <c r="B1163" s="0" t="n">
        <v>117200</v>
      </c>
      <c r="C1163" s="0" t="n">
        <v>1</v>
      </c>
      <c r="D1163" s="0" t="inlineStr">
        <is>
          <t>인천논현푸르지오</t>
        </is>
      </c>
      <c r="E1163" s="0" t="inlineStr">
        <is>
          <t>2019.10.</t>
        </is>
      </c>
      <c r="F1163" s="0" t="n">
        <v>754</v>
      </c>
      <c r="G1163" s="0" t="n">
        <v>24.87</v>
      </c>
      <c r="H1163" s="0" t="n">
        <v>82.22</v>
      </c>
      <c r="I1163" s="0" t="n">
        <v>18.71</v>
      </c>
      <c r="J1163" s="0" t="n">
        <v>61.86</v>
      </c>
      <c r="K1163" s="0" t="n">
        <v>375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82A</t>
        </is>
      </c>
      <c r="X1163" s="0" t="n">
        <v>29</v>
      </c>
      <c r="Y1163" s="0" t="n">
        <v>23</v>
      </c>
      <c r="Z1163" s="0" t="inlineStr">
        <is>
          <t>https://new.land.naver.com/complexes/117200?tab=detail&amp;rf=Y</t>
        </is>
      </c>
      <c r="AA1163" s="0" t="inlineStr">
        <is>
          <t>인천시 남동구 논현동 810</t>
        </is>
      </c>
      <c r="AB1163" s="0" t="inlineStr">
        <is>
          <t>인천시</t>
        </is>
      </c>
      <c r="AC1163" s="0" t="inlineStr">
        <is>
          <t>남동구</t>
        </is>
      </c>
      <c r="AD1163" s="0" t="inlineStr">
        <is>
          <t>논현동</t>
        </is>
      </c>
      <c r="AG1163" s="0" t="inlineStr">
        <is>
          <t>인천시 남동구 포구로 40</t>
        </is>
      </c>
      <c r="AH1163" s="0" t="n">
        <v>0</v>
      </c>
      <c r="AI1163" s="0" t="n">
        <v>249</v>
      </c>
      <c r="AJ1163" s="0" t="n">
        <v>19</v>
      </c>
      <c r="AK1163" s="0" t="n">
        <v>879</v>
      </c>
      <c r="AL1163" s="0" t="n">
        <v>1.17</v>
      </c>
    </row>
    <row r="1164">
      <c r="A1164" s="0" t="inlineStr">
        <is>
          <t>[논현동]</t>
        </is>
      </c>
      <c r="B1164" s="0" t="n">
        <v>117200</v>
      </c>
      <c r="C1164" s="0" t="n">
        <v>2</v>
      </c>
      <c r="D1164" s="0" t="inlineStr">
        <is>
          <t>인천논현푸르지오</t>
        </is>
      </c>
      <c r="E1164" s="0" t="inlineStr">
        <is>
          <t>2019.10.</t>
        </is>
      </c>
      <c r="F1164" s="0" t="n">
        <v>754</v>
      </c>
      <c r="G1164" s="0" t="n">
        <v>24.84</v>
      </c>
      <c r="H1164" s="0" t="n">
        <v>82.14</v>
      </c>
      <c r="I1164" s="0" t="n">
        <v>18.71</v>
      </c>
      <c r="J1164" s="0" t="n">
        <v>61.87</v>
      </c>
      <c r="K1164" s="0" t="n">
        <v>81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82C</t>
        </is>
      </c>
      <c r="X1164" s="0" t="n">
        <v>29</v>
      </c>
      <c r="Y1164" s="0" t="n">
        <v>23</v>
      </c>
      <c r="Z1164" s="0" t="inlineStr">
        <is>
          <t>https://new.land.naver.com/complexes/117200?tab=detail&amp;rf=Y</t>
        </is>
      </c>
      <c r="AA1164" s="0" t="inlineStr">
        <is>
          <t>인천시 남동구 논현동 810</t>
        </is>
      </c>
      <c r="AB1164" s="0" t="inlineStr">
        <is>
          <t>인천시</t>
        </is>
      </c>
      <c r="AC1164" s="0" t="inlineStr">
        <is>
          <t>남동구</t>
        </is>
      </c>
      <c r="AD1164" s="0" t="inlineStr">
        <is>
          <t>논현동</t>
        </is>
      </c>
      <c r="AG1164" s="0" t="inlineStr">
        <is>
          <t>인천시 남동구 포구로 40</t>
        </is>
      </c>
      <c r="AH1164" s="0" t="n">
        <v>0</v>
      </c>
      <c r="AI1164" s="0" t="n">
        <v>249</v>
      </c>
      <c r="AJ1164" s="0" t="n">
        <v>19</v>
      </c>
      <c r="AK1164" s="0" t="n">
        <v>879</v>
      </c>
      <c r="AL1164" s="0" t="n">
        <v>1.17</v>
      </c>
    </row>
    <row r="1165">
      <c r="A1165" s="0" t="inlineStr">
        <is>
          <t>[논현동]</t>
        </is>
      </c>
      <c r="B1165" s="0" t="n">
        <v>117200</v>
      </c>
      <c r="C1165" s="0" t="n">
        <v>3</v>
      </c>
      <c r="D1165" s="0" t="inlineStr">
        <is>
          <t>인천논현푸르지오</t>
        </is>
      </c>
      <c r="E1165" s="0" t="inlineStr">
        <is>
          <t>2019.10.</t>
        </is>
      </c>
      <c r="F1165" s="0" t="n">
        <v>754</v>
      </c>
      <c r="G1165" s="0" t="n">
        <v>24.97</v>
      </c>
      <c r="H1165" s="0" t="n">
        <v>82.56</v>
      </c>
      <c r="I1165" s="0" t="n">
        <v>18.74</v>
      </c>
      <c r="J1165" s="0" t="n">
        <v>61.98</v>
      </c>
      <c r="K1165" s="0" t="n">
        <v>78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82B</t>
        </is>
      </c>
      <c r="X1165" s="0" t="n">
        <v>29</v>
      </c>
      <c r="Y1165" s="0" t="n">
        <v>23</v>
      </c>
      <c r="Z1165" s="0" t="inlineStr">
        <is>
          <t>https://new.land.naver.com/complexes/117200?tab=detail&amp;rf=Y</t>
        </is>
      </c>
      <c r="AA1165" s="0" t="inlineStr">
        <is>
          <t>인천시 남동구 논현동 810</t>
        </is>
      </c>
      <c r="AB1165" s="0" t="inlineStr">
        <is>
          <t>인천시</t>
        </is>
      </c>
      <c r="AC1165" s="0" t="inlineStr">
        <is>
          <t>남동구</t>
        </is>
      </c>
      <c r="AD1165" s="0" t="inlineStr">
        <is>
          <t>논현동</t>
        </is>
      </c>
      <c r="AG1165" s="0" t="inlineStr">
        <is>
          <t>인천시 남동구 포구로 40</t>
        </is>
      </c>
      <c r="AH1165" s="0" t="n">
        <v>0</v>
      </c>
      <c r="AI1165" s="0" t="n">
        <v>249</v>
      </c>
      <c r="AJ1165" s="0" t="n">
        <v>19</v>
      </c>
      <c r="AK1165" s="0" t="n">
        <v>879</v>
      </c>
      <c r="AL1165" s="0" t="n">
        <v>1.17</v>
      </c>
    </row>
    <row r="1166">
      <c r="A1166" s="0" t="inlineStr">
        <is>
          <t>[논현동]</t>
        </is>
      </c>
      <c r="B1166" s="0" t="n">
        <v>117200</v>
      </c>
      <c r="C1166" s="0" t="n">
        <v>4</v>
      </c>
      <c r="D1166" s="0" t="inlineStr">
        <is>
          <t>인천논현푸르지오</t>
        </is>
      </c>
      <c r="E1166" s="0" t="inlineStr">
        <is>
          <t>2019.10.</t>
        </is>
      </c>
      <c r="F1166" s="0" t="n">
        <v>754</v>
      </c>
      <c r="G1166" s="0" t="n">
        <v>27.89</v>
      </c>
      <c r="H1166" s="0" t="n">
        <v>92.22</v>
      </c>
      <c r="I1166" s="0" t="n">
        <v>21.19</v>
      </c>
      <c r="J1166" s="0" t="n">
        <v>70.06999999999999</v>
      </c>
      <c r="K1166" s="0" t="n">
        <v>112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92A</t>
        </is>
      </c>
      <c r="X1166" s="0" t="n">
        <v>29</v>
      </c>
      <c r="Y1166" s="0" t="n">
        <v>23</v>
      </c>
      <c r="Z1166" s="0" t="inlineStr">
        <is>
          <t>https://new.land.naver.com/complexes/117200?tab=detail&amp;rf=Y</t>
        </is>
      </c>
      <c r="AA1166" s="0" t="inlineStr">
        <is>
          <t>인천시 남동구 논현동 810</t>
        </is>
      </c>
      <c r="AB1166" s="0" t="inlineStr">
        <is>
          <t>인천시</t>
        </is>
      </c>
      <c r="AC1166" s="0" t="inlineStr">
        <is>
          <t>남동구</t>
        </is>
      </c>
      <c r="AD1166" s="0" t="inlineStr">
        <is>
          <t>논현동</t>
        </is>
      </c>
      <c r="AG1166" s="0" t="inlineStr">
        <is>
          <t>인천시 남동구 포구로 40</t>
        </is>
      </c>
      <c r="AH1166" s="0" t="n">
        <v>0</v>
      </c>
      <c r="AI1166" s="0" t="n">
        <v>249</v>
      </c>
      <c r="AJ1166" s="0" t="n">
        <v>19</v>
      </c>
      <c r="AK1166" s="0" t="n">
        <v>879</v>
      </c>
      <c r="AL1166" s="0" t="n">
        <v>1.17</v>
      </c>
    </row>
    <row r="1167">
      <c r="A1167" s="0" t="inlineStr">
        <is>
          <t>[논현동]</t>
        </is>
      </c>
      <c r="B1167" s="0" t="n">
        <v>117200</v>
      </c>
      <c r="C1167" s="0" t="n">
        <v>5</v>
      </c>
      <c r="D1167" s="0" t="inlineStr">
        <is>
          <t>인천논현푸르지오</t>
        </is>
      </c>
      <c r="E1167" s="0" t="inlineStr">
        <is>
          <t>2019.10.</t>
        </is>
      </c>
      <c r="F1167" s="0" t="n">
        <v>754</v>
      </c>
      <c r="G1167" s="0" t="n">
        <v>27.94</v>
      </c>
      <c r="H1167" s="0" t="n">
        <v>92.38</v>
      </c>
      <c r="I1167" s="0" t="n">
        <v>21.23</v>
      </c>
      <c r="J1167" s="0" t="n">
        <v>70.19</v>
      </c>
      <c r="K1167" s="0" t="n">
        <v>108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92B</t>
        </is>
      </c>
      <c r="X1167" s="0" t="n">
        <v>29</v>
      </c>
      <c r="Y1167" s="0" t="n">
        <v>23</v>
      </c>
      <c r="Z1167" s="0" t="inlineStr">
        <is>
          <t>https://new.land.naver.com/complexes/117200?tab=detail&amp;rf=Y</t>
        </is>
      </c>
      <c r="AA1167" s="0" t="inlineStr">
        <is>
          <t>인천시 남동구 논현동 810</t>
        </is>
      </c>
      <c r="AB1167" s="0" t="inlineStr">
        <is>
          <t>인천시</t>
        </is>
      </c>
      <c r="AC1167" s="0" t="inlineStr">
        <is>
          <t>남동구</t>
        </is>
      </c>
      <c r="AD1167" s="0" t="inlineStr">
        <is>
          <t>논현동</t>
        </is>
      </c>
      <c r="AG1167" s="0" t="inlineStr">
        <is>
          <t>인천시 남동구 포구로 40</t>
        </is>
      </c>
      <c r="AH1167" s="0" t="n">
        <v>0</v>
      </c>
      <c r="AI1167" s="0" t="n">
        <v>249</v>
      </c>
      <c r="AJ1167" s="0" t="n">
        <v>19</v>
      </c>
      <c r="AK1167" s="0" t="n">
        <v>879</v>
      </c>
      <c r="AL1167" s="0" t="n">
        <v>1.17</v>
      </c>
    </row>
    <row r="1168">
      <c r="A1168" s="0" t="inlineStr">
        <is>
          <t>[논현동]</t>
        </is>
      </c>
      <c r="B1168" s="0" t="n">
        <v>26670</v>
      </c>
      <c r="C1168" s="0" t="n">
        <v>1</v>
      </c>
      <c r="D1168" s="0" t="inlineStr">
        <is>
          <t>논현숲속마을휴먼시아</t>
        </is>
      </c>
      <c r="E1168" s="0" t="inlineStr">
        <is>
          <t>2009.06.</t>
        </is>
      </c>
      <c r="F1168" s="0" t="n">
        <v>872</v>
      </c>
      <c r="G1168" s="0" t="n">
        <v>33.49</v>
      </c>
      <c r="H1168" s="0" t="n">
        <v>110.74</v>
      </c>
      <c r="I1168" s="0" t="n">
        <v>25.67</v>
      </c>
      <c r="J1168" s="0" t="n">
        <v>84.88</v>
      </c>
      <c r="K1168" s="0" t="n">
        <v>371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110E</t>
        </is>
      </c>
      <c r="X1168" s="0" t="n">
        <v>25</v>
      </c>
      <c r="Y1168" s="0" t="n">
        <v>16</v>
      </c>
      <c r="Z1168" s="0" t="inlineStr">
        <is>
          <t>https://new.land.naver.com/complexes/26670?tab=detail&amp;rf=Y</t>
        </is>
      </c>
      <c r="AA1168" s="0" t="inlineStr">
        <is>
          <t>인천시 남동구 논현동 580-1</t>
        </is>
      </c>
      <c r="AB1168" s="0" t="inlineStr">
        <is>
          <t>인천시</t>
        </is>
      </c>
      <c r="AC1168" s="0" t="inlineStr">
        <is>
          <t>남동구</t>
        </is>
      </c>
      <c r="AD1168" s="0" t="inlineStr">
        <is>
          <t>논현동</t>
        </is>
      </c>
      <c r="AG1168" s="0" t="inlineStr">
        <is>
          <t>인천시 남동구 은봉로165번길 24</t>
        </is>
      </c>
      <c r="AH1168" s="0" t="n">
        <v>0</v>
      </c>
      <c r="AI1168" s="0" t="n">
        <v>185</v>
      </c>
      <c r="AJ1168" s="0" t="n">
        <v>13</v>
      </c>
      <c r="AK1168" s="0" t="n">
        <v>905</v>
      </c>
      <c r="AL1168" s="0" t="n">
        <v>1.04</v>
      </c>
    </row>
    <row r="1169">
      <c r="A1169" s="0" t="inlineStr">
        <is>
          <t>[논현동]</t>
        </is>
      </c>
      <c r="B1169" s="0" t="n">
        <v>26670</v>
      </c>
      <c r="C1169" s="0" t="n">
        <v>2</v>
      </c>
      <c r="D1169" s="0" t="inlineStr">
        <is>
          <t>논현숲속마을휴먼시아</t>
        </is>
      </c>
      <c r="E1169" s="0" t="inlineStr">
        <is>
          <t>2009.06.</t>
        </is>
      </c>
      <c r="F1169" s="0" t="n">
        <v>872</v>
      </c>
      <c r="G1169" s="0" t="n">
        <v>33.49</v>
      </c>
      <c r="H1169" s="0" t="n">
        <v>110.73</v>
      </c>
      <c r="I1169" s="0" t="n">
        <v>25.69</v>
      </c>
      <c r="J1169" s="0" t="n">
        <v>84.94</v>
      </c>
      <c r="K1169" s="0" t="n">
        <v>224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110D</t>
        </is>
      </c>
      <c r="X1169" s="0" t="n">
        <v>25</v>
      </c>
      <c r="Y1169" s="0" t="n">
        <v>16</v>
      </c>
      <c r="Z1169" s="0" t="inlineStr">
        <is>
          <t>https://new.land.naver.com/complexes/26670?tab=detail&amp;rf=Y</t>
        </is>
      </c>
      <c r="AA1169" s="0" t="inlineStr">
        <is>
          <t>인천시 남동구 논현동 580-1</t>
        </is>
      </c>
      <c r="AB1169" s="0" t="inlineStr">
        <is>
          <t>인천시</t>
        </is>
      </c>
      <c r="AC1169" s="0" t="inlineStr">
        <is>
          <t>남동구</t>
        </is>
      </c>
      <c r="AD1169" s="0" t="inlineStr">
        <is>
          <t>논현동</t>
        </is>
      </c>
      <c r="AG1169" s="0" t="inlineStr">
        <is>
          <t>인천시 남동구 은봉로165번길 24</t>
        </is>
      </c>
      <c r="AH1169" s="0" t="n">
        <v>0</v>
      </c>
      <c r="AI1169" s="0" t="n">
        <v>185</v>
      </c>
      <c r="AJ1169" s="0" t="n">
        <v>13</v>
      </c>
      <c r="AK1169" s="0" t="n">
        <v>905</v>
      </c>
      <c r="AL1169" s="0" t="n">
        <v>1.04</v>
      </c>
    </row>
    <row r="1170">
      <c r="A1170" s="0" t="inlineStr">
        <is>
          <t>[논현동]</t>
        </is>
      </c>
      <c r="B1170" s="0" t="n">
        <v>26670</v>
      </c>
      <c r="C1170" s="0" t="n">
        <v>3</v>
      </c>
      <c r="D1170" s="0" t="inlineStr">
        <is>
          <t>논현숲속마을휴먼시아</t>
        </is>
      </c>
      <c r="E1170" s="0" t="inlineStr">
        <is>
          <t>2009.06.</t>
        </is>
      </c>
      <c r="F1170" s="0" t="n">
        <v>872</v>
      </c>
      <c r="G1170" s="0" t="n">
        <v>33.48</v>
      </c>
      <c r="H1170" s="0" t="n">
        <v>110.71</v>
      </c>
      <c r="I1170" s="0" t="n">
        <v>25.67</v>
      </c>
      <c r="J1170" s="0" t="n">
        <v>84.88</v>
      </c>
      <c r="K1170" s="0" t="n">
        <v>49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110F</t>
        </is>
      </c>
      <c r="X1170" s="0" t="n">
        <v>25</v>
      </c>
      <c r="Y1170" s="0" t="n">
        <v>16</v>
      </c>
      <c r="Z1170" s="0" t="inlineStr">
        <is>
          <t>https://new.land.naver.com/complexes/26670?tab=detail&amp;rf=Y</t>
        </is>
      </c>
      <c r="AA1170" s="0" t="inlineStr">
        <is>
          <t>인천시 남동구 논현동 580-1</t>
        </is>
      </c>
      <c r="AB1170" s="0" t="inlineStr">
        <is>
          <t>인천시</t>
        </is>
      </c>
      <c r="AC1170" s="0" t="inlineStr">
        <is>
          <t>남동구</t>
        </is>
      </c>
      <c r="AD1170" s="0" t="inlineStr">
        <is>
          <t>논현동</t>
        </is>
      </c>
      <c r="AG1170" s="0" t="inlineStr">
        <is>
          <t>인천시 남동구 은봉로165번길 24</t>
        </is>
      </c>
      <c r="AH1170" s="0" t="n">
        <v>0</v>
      </c>
      <c r="AI1170" s="0" t="n">
        <v>185</v>
      </c>
      <c r="AJ1170" s="0" t="n">
        <v>13</v>
      </c>
      <c r="AK1170" s="0" t="n">
        <v>905</v>
      </c>
      <c r="AL1170" s="0" t="n">
        <v>1.04</v>
      </c>
    </row>
    <row r="1171">
      <c r="A1171" s="0" t="inlineStr">
        <is>
          <t>[논현동]</t>
        </is>
      </c>
      <c r="B1171" s="0" t="n">
        <v>26670</v>
      </c>
      <c r="C1171" s="0" t="n">
        <v>4</v>
      </c>
      <c r="D1171" s="0" t="inlineStr">
        <is>
          <t>논현숲속마을휴먼시아</t>
        </is>
      </c>
      <c r="E1171" s="0" t="inlineStr">
        <is>
          <t>2009.06.</t>
        </is>
      </c>
      <c r="F1171" s="0" t="n">
        <v>872</v>
      </c>
      <c r="G1171" s="0" t="n">
        <v>33.78</v>
      </c>
      <c r="H1171" s="0" t="n">
        <v>111.68</v>
      </c>
      <c r="I1171" s="0" t="n">
        <v>25.69</v>
      </c>
      <c r="J1171" s="0" t="n">
        <v>84.93000000000001</v>
      </c>
      <c r="K1171" s="0" t="n">
        <v>128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111B</t>
        </is>
      </c>
      <c r="X1171" s="0" t="n">
        <v>25</v>
      </c>
      <c r="Y1171" s="0" t="n">
        <v>16</v>
      </c>
      <c r="Z1171" s="0" t="inlineStr">
        <is>
          <t>https://new.land.naver.com/complexes/26670?tab=detail&amp;rf=Y</t>
        </is>
      </c>
      <c r="AA1171" s="0" t="inlineStr">
        <is>
          <t>인천시 남동구 논현동 580-1</t>
        </is>
      </c>
      <c r="AB1171" s="0" t="inlineStr">
        <is>
          <t>인천시</t>
        </is>
      </c>
      <c r="AC1171" s="0" t="inlineStr">
        <is>
          <t>남동구</t>
        </is>
      </c>
      <c r="AD1171" s="0" t="inlineStr">
        <is>
          <t>논현동</t>
        </is>
      </c>
      <c r="AG1171" s="0" t="inlineStr">
        <is>
          <t>인천시 남동구 은봉로165번길 24</t>
        </is>
      </c>
      <c r="AH1171" s="0" t="n">
        <v>0</v>
      </c>
      <c r="AI1171" s="0" t="n">
        <v>185</v>
      </c>
      <c r="AJ1171" s="0" t="n">
        <v>13</v>
      </c>
      <c r="AK1171" s="0" t="n">
        <v>905</v>
      </c>
      <c r="AL1171" s="0" t="n">
        <v>1.04</v>
      </c>
    </row>
    <row r="1172">
      <c r="A1172" s="0" t="inlineStr">
        <is>
          <t>[논현동]</t>
        </is>
      </c>
      <c r="B1172" s="0" t="n">
        <v>26670</v>
      </c>
      <c r="C1172" s="0" t="n">
        <v>5</v>
      </c>
      <c r="D1172" s="0" t="inlineStr">
        <is>
          <t>논현숲속마을휴먼시아</t>
        </is>
      </c>
      <c r="E1172" s="0" t="inlineStr">
        <is>
          <t>2009.06.</t>
        </is>
      </c>
      <c r="F1172" s="0" t="n">
        <v>872</v>
      </c>
      <c r="G1172" s="0" t="n">
        <v>34.17</v>
      </c>
      <c r="H1172" s="0" t="n">
        <v>112.97</v>
      </c>
      <c r="I1172" s="0" t="n">
        <v>25.69</v>
      </c>
      <c r="J1172" s="0" t="n">
        <v>84.94</v>
      </c>
      <c r="K1172" s="0" t="n">
        <v>96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112A</t>
        </is>
      </c>
      <c r="X1172" s="0" t="n">
        <v>25</v>
      </c>
      <c r="Y1172" s="0" t="n">
        <v>16</v>
      </c>
      <c r="Z1172" s="0" t="inlineStr">
        <is>
          <t>https://new.land.naver.com/complexes/26670?tab=detail&amp;rf=Y</t>
        </is>
      </c>
      <c r="AA1172" s="0" t="inlineStr">
        <is>
          <t>인천시 남동구 논현동 580-1</t>
        </is>
      </c>
      <c r="AB1172" s="0" t="inlineStr">
        <is>
          <t>인천시</t>
        </is>
      </c>
      <c r="AC1172" s="0" t="inlineStr">
        <is>
          <t>남동구</t>
        </is>
      </c>
      <c r="AD1172" s="0" t="inlineStr">
        <is>
          <t>논현동</t>
        </is>
      </c>
      <c r="AG1172" s="0" t="inlineStr">
        <is>
          <t>인천시 남동구 은봉로165번길 24</t>
        </is>
      </c>
      <c r="AH1172" s="0" t="n">
        <v>0</v>
      </c>
      <c r="AI1172" s="0" t="n">
        <v>185</v>
      </c>
      <c r="AJ1172" s="0" t="n">
        <v>13</v>
      </c>
      <c r="AK1172" s="0" t="n">
        <v>905</v>
      </c>
      <c r="AL1172" s="0" t="n">
        <v>1.04</v>
      </c>
    </row>
    <row r="1173">
      <c r="A1173" s="0" t="inlineStr">
        <is>
          <t>[논현동]</t>
        </is>
      </c>
      <c r="B1173" s="0" t="n">
        <v>26670</v>
      </c>
      <c r="C1173" s="0" t="n">
        <v>6</v>
      </c>
      <c r="D1173" s="0" t="inlineStr">
        <is>
          <t>논현숲속마을휴먼시아</t>
        </is>
      </c>
      <c r="E1173" s="0" t="inlineStr">
        <is>
          <t>2009.06.</t>
        </is>
      </c>
      <c r="F1173" s="0" t="n">
        <v>872</v>
      </c>
      <c r="G1173" s="0" t="n">
        <v>34.4</v>
      </c>
      <c r="H1173" s="0" t="n">
        <v>113.72</v>
      </c>
      <c r="I1173" s="0" t="n">
        <v>25.7</v>
      </c>
      <c r="J1173" s="0" t="n">
        <v>84.98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113C</t>
        </is>
      </c>
      <c r="X1173" s="0" t="n">
        <v>25</v>
      </c>
      <c r="Y1173" s="0" t="n">
        <v>16</v>
      </c>
      <c r="Z1173" s="0" t="inlineStr">
        <is>
          <t>https://new.land.naver.com/complexes/26670?tab=detail&amp;rf=Y</t>
        </is>
      </c>
      <c r="AA1173" s="0" t="inlineStr">
        <is>
          <t>인천시 남동구 논현동 580-1</t>
        </is>
      </c>
      <c r="AB1173" s="0" t="inlineStr">
        <is>
          <t>인천시</t>
        </is>
      </c>
      <c r="AC1173" s="0" t="inlineStr">
        <is>
          <t>남동구</t>
        </is>
      </c>
      <c r="AD1173" s="0" t="inlineStr">
        <is>
          <t>논현동</t>
        </is>
      </c>
      <c r="AG1173" s="0" t="inlineStr">
        <is>
          <t>인천시 남동구 은봉로165번길 24</t>
        </is>
      </c>
      <c r="AH1173" s="0" t="n">
        <v>0</v>
      </c>
      <c r="AI1173" s="0" t="n">
        <v>185</v>
      </c>
      <c r="AJ1173" s="0" t="n">
        <v>13</v>
      </c>
      <c r="AK1173" s="0" t="n">
        <v>905</v>
      </c>
      <c r="AL1173" s="0" t="n">
        <v>1.04</v>
      </c>
    </row>
    <row r="1174">
      <c r="A1174" s="0" t="inlineStr">
        <is>
          <t>[논현동]</t>
        </is>
      </c>
      <c r="B1174" s="0" t="n">
        <v>110917</v>
      </c>
      <c r="C1174" s="0" t="n">
        <v>1</v>
      </c>
      <c r="D1174" s="0" t="inlineStr">
        <is>
          <t>한양수자인아르디에(도시형)</t>
        </is>
      </c>
      <c r="E1174" s="0" t="inlineStr">
        <is>
          <t>2017.04.</t>
        </is>
      </c>
      <c r="F1174" s="0" t="n">
        <v>236</v>
      </c>
      <c r="G1174" s="0" t="n">
        <v>26.15</v>
      </c>
      <c r="H1174" s="0" t="n">
        <v>86.47</v>
      </c>
      <c r="I1174" s="0" t="n">
        <v>19.66</v>
      </c>
      <c r="J1174" s="0" t="n">
        <v>65</v>
      </c>
      <c r="K1174" s="0" t="n">
        <v>124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86A</t>
        </is>
      </c>
      <c r="X1174" s="0" t="n">
        <v>4</v>
      </c>
      <c r="Y1174" s="0" t="n">
        <v>4</v>
      </c>
      <c r="Z1174" s="0" t="inlineStr">
        <is>
          <t>https://new.land.naver.com/complexes/110917?tab=detail&amp;rf=Y</t>
        </is>
      </c>
      <c r="AA1174" s="0" t="inlineStr">
        <is>
          <t>인천시 남동구 논현동 739-1</t>
        </is>
      </c>
      <c r="AB1174" s="0" t="inlineStr">
        <is>
          <t>인천시</t>
        </is>
      </c>
      <c r="AC1174" s="0" t="inlineStr">
        <is>
          <t>남동구</t>
        </is>
      </c>
      <c r="AD1174" s="0" t="inlineStr">
        <is>
          <t>논현동</t>
        </is>
      </c>
      <c r="AG1174" s="0" t="inlineStr">
        <is>
          <t>인천시 남동구 앵고개로815번길 19</t>
        </is>
      </c>
      <c r="AH1174" s="0" t="n">
        <v>0</v>
      </c>
      <c r="AI1174" s="0" t="n">
        <v>99</v>
      </c>
      <c r="AJ1174" s="0" t="n">
        <v>36</v>
      </c>
      <c r="AK1174" s="0" t="n">
        <v>258</v>
      </c>
      <c r="AL1174" s="0" t="n">
        <v>1.09</v>
      </c>
    </row>
    <row r="1175">
      <c r="A1175" s="0" t="inlineStr">
        <is>
          <t>[논현동]</t>
        </is>
      </c>
      <c r="B1175" s="0" t="n">
        <v>110917</v>
      </c>
      <c r="C1175" s="0" t="n">
        <v>2</v>
      </c>
      <c r="D1175" s="0" t="inlineStr">
        <is>
          <t>한양수자인아르디에(도시형)</t>
        </is>
      </c>
      <c r="E1175" s="0" t="inlineStr">
        <is>
          <t>2017.04.</t>
        </is>
      </c>
      <c r="F1175" s="0" t="n">
        <v>236</v>
      </c>
      <c r="G1175" s="0" t="n">
        <v>26.15</v>
      </c>
      <c r="H1175" s="0" t="n">
        <v>86.47</v>
      </c>
      <c r="I1175" s="0" t="n">
        <v>19.66</v>
      </c>
      <c r="J1175" s="0" t="n">
        <v>65</v>
      </c>
      <c r="K1175" s="0" t="n">
        <v>64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86B</t>
        </is>
      </c>
      <c r="X1175" s="0" t="n">
        <v>4</v>
      </c>
      <c r="Y1175" s="0" t="n">
        <v>4</v>
      </c>
      <c r="Z1175" s="0" t="inlineStr">
        <is>
          <t>https://new.land.naver.com/complexes/110917?tab=detail&amp;rf=Y</t>
        </is>
      </c>
      <c r="AA1175" s="0" t="inlineStr">
        <is>
          <t>인천시 남동구 논현동 739-1</t>
        </is>
      </c>
      <c r="AB1175" s="0" t="inlineStr">
        <is>
          <t>인천시</t>
        </is>
      </c>
      <c r="AC1175" s="0" t="inlineStr">
        <is>
          <t>남동구</t>
        </is>
      </c>
      <c r="AD1175" s="0" t="inlineStr">
        <is>
          <t>논현동</t>
        </is>
      </c>
      <c r="AG1175" s="0" t="inlineStr">
        <is>
          <t>인천시 남동구 앵고개로815번길 19</t>
        </is>
      </c>
      <c r="AH1175" s="0" t="n">
        <v>0</v>
      </c>
      <c r="AI1175" s="0" t="n">
        <v>99</v>
      </c>
      <c r="AJ1175" s="0" t="n">
        <v>36</v>
      </c>
      <c r="AK1175" s="0" t="n">
        <v>258</v>
      </c>
      <c r="AL1175" s="0" t="n">
        <v>1.09</v>
      </c>
    </row>
    <row r="1176">
      <c r="A1176" s="0" t="inlineStr">
        <is>
          <t>[논현동]</t>
        </is>
      </c>
      <c r="B1176" s="0" t="n">
        <v>110917</v>
      </c>
      <c r="C1176" s="0" t="n">
        <v>3</v>
      </c>
      <c r="D1176" s="0" t="inlineStr">
        <is>
          <t>한양수자인아르디에(도시형)</t>
        </is>
      </c>
      <c r="E1176" s="0" t="inlineStr">
        <is>
          <t>2017.04.</t>
        </is>
      </c>
      <c r="F1176" s="0" t="n">
        <v>236</v>
      </c>
      <c r="G1176" s="0" t="n">
        <v>26.15</v>
      </c>
      <c r="H1176" s="0" t="n">
        <v>86.45</v>
      </c>
      <c r="I1176" s="0" t="n">
        <v>19.76</v>
      </c>
      <c r="J1176" s="0" t="n">
        <v>65.34999999999999</v>
      </c>
      <c r="K1176" s="0" t="n">
        <v>16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86C</t>
        </is>
      </c>
      <c r="X1176" s="0" t="n">
        <v>4</v>
      </c>
      <c r="Y1176" s="0" t="n">
        <v>4</v>
      </c>
      <c r="Z1176" s="0" t="inlineStr">
        <is>
          <t>https://new.land.naver.com/complexes/110917?tab=detail&amp;rf=Y</t>
        </is>
      </c>
      <c r="AA1176" s="0" t="inlineStr">
        <is>
          <t>인천시 남동구 논현동 739-1</t>
        </is>
      </c>
      <c r="AB1176" s="0" t="inlineStr">
        <is>
          <t>인천시</t>
        </is>
      </c>
      <c r="AC1176" s="0" t="inlineStr">
        <is>
          <t>남동구</t>
        </is>
      </c>
      <c r="AD1176" s="0" t="inlineStr">
        <is>
          <t>논현동</t>
        </is>
      </c>
      <c r="AG1176" s="0" t="inlineStr">
        <is>
          <t>인천시 남동구 앵고개로815번길 19</t>
        </is>
      </c>
      <c r="AH1176" s="0" t="n">
        <v>0</v>
      </c>
      <c r="AI1176" s="0" t="n">
        <v>99</v>
      </c>
      <c r="AJ1176" s="0" t="n">
        <v>36</v>
      </c>
      <c r="AK1176" s="0" t="n">
        <v>258</v>
      </c>
      <c r="AL1176" s="0" t="n">
        <v>1.09</v>
      </c>
    </row>
    <row r="1177">
      <c r="A1177" s="0" t="inlineStr">
        <is>
          <t>[논현동]</t>
        </is>
      </c>
      <c r="B1177" s="0" t="n">
        <v>110917</v>
      </c>
      <c r="C1177" s="0" t="n">
        <v>4</v>
      </c>
      <c r="D1177" s="0" t="inlineStr">
        <is>
          <t>한양수자인아르디에(도시형)</t>
        </is>
      </c>
      <c r="E1177" s="0" t="inlineStr">
        <is>
          <t>2017.04.</t>
        </is>
      </c>
      <c r="F1177" s="0" t="n">
        <v>236</v>
      </c>
      <c r="G1177" s="0" t="n">
        <v>30.61</v>
      </c>
      <c r="H1177" s="0" t="n">
        <v>101.21</v>
      </c>
      <c r="I1177" s="0" t="n">
        <v>24.12</v>
      </c>
      <c r="J1177" s="0" t="n">
        <v>79.73999999999999</v>
      </c>
      <c r="K1177" s="0" t="n">
        <v>16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101A</t>
        </is>
      </c>
      <c r="X1177" s="0" t="n">
        <v>4</v>
      </c>
      <c r="Y1177" s="0" t="n">
        <v>4</v>
      </c>
      <c r="Z1177" s="0" t="inlineStr">
        <is>
          <t>https://new.land.naver.com/complexes/110917?tab=detail&amp;rf=Y</t>
        </is>
      </c>
      <c r="AA1177" s="0" t="inlineStr">
        <is>
          <t>인천시 남동구 논현동 739-1</t>
        </is>
      </c>
      <c r="AB1177" s="0" t="inlineStr">
        <is>
          <t>인천시</t>
        </is>
      </c>
      <c r="AC1177" s="0" t="inlineStr">
        <is>
          <t>남동구</t>
        </is>
      </c>
      <c r="AD1177" s="0" t="inlineStr">
        <is>
          <t>논현동</t>
        </is>
      </c>
      <c r="AG1177" s="0" t="inlineStr">
        <is>
          <t>인천시 남동구 앵고개로815번길 19</t>
        </is>
      </c>
      <c r="AH1177" s="0" t="n">
        <v>0</v>
      </c>
      <c r="AI1177" s="0" t="n">
        <v>99</v>
      </c>
      <c r="AJ1177" s="0" t="n">
        <v>36</v>
      </c>
      <c r="AK1177" s="0" t="n">
        <v>258</v>
      </c>
      <c r="AL1177" s="0" t="n">
        <v>1.09</v>
      </c>
    </row>
    <row r="1178">
      <c r="A1178" s="0" t="inlineStr">
        <is>
          <t>[논현동]</t>
        </is>
      </c>
      <c r="B1178" s="0" t="n">
        <v>110917</v>
      </c>
      <c r="C1178" s="0" t="n">
        <v>5</v>
      </c>
      <c r="D1178" s="0" t="inlineStr">
        <is>
          <t>한양수자인아르디에(도시형)</t>
        </is>
      </c>
      <c r="E1178" s="0" t="inlineStr">
        <is>
          <t>2017.04.</t>
        </is>
      </c>
      <c r="F1178" s="0" t="n">
        <v>236</v>
      </c>
      <c r="G1178" s="0" t="n">
        <v>30.61</v>
      </c>
      <c r="H1178" s="0" t="n">
        <v>101.21</v>
      </c>
      <c r="I1178" s="0" t="n">
        <v>24.12</v>
      </c>
      <c r="J1178" s="0" t="n">
        <v>79.73999999999999</v>
      </c>
      <c r="K1178" s="0" t="n">
        <v>16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101B</t>
        </is>
      </c>
      <c r="X1178" s="0" t="n">
        <v>4</v>
      </c>
      <c r="Y1178" s="0" t="n">
        <v>4</v>
      </c>
      <c r="Z1178" s="0" t="inlineStr">
        <is>
          <t>https://new.land.naver.com/complexes/110917?tab=detail&amp;rf=Y</t>
        </is>
      </c>
      <c r="AA1178" s="0" t="inlineStr">
        <is>
          <t>인천시 남동구 논현동 739-1</t>
        </is>
      </c>
      <c r="AB1178" s="0" t="inlineStr">
        <is>
          <t>인천시</t>
        </is>
      </c>
      <c r="AC1178" s="0" t="inlineStr">
        <is>
          <t>남동구</t>
        </is>
      </c>
      <c r="AD1178" s="0" t="inlineStr">
        <is>
          <t>논현동</t>
        </is>
      </c>
      <c r="AG1178" s="0" t="inlineStr">
        <is>
          <t>인천시 남동구 앵고개로815번길 19</t>
        </is>
      </c>
      <c r="AH1178" s="0" t="n">
        <v>0</v>
      </c>
      <c r="AI1178" s="0" t="n">
        <v>99</v>
      </c>
      <c r="AJ1178" s="0" t="n">
        <v>36</v>
      </c>
      <c r="AK1178" s="0" t="n">
        <v>258</v>
      </c>
      <c r="AL1178" s="0" t="n">
        <v>1.09</v>
      </c>
    </row>
    <row r="1179">
      <c r="A1179" s="0" t="inlineStr">
        <is>
          <t>[논현동]</t>
        </is>
      </c>
      <c r="B1179" s="0" t="n">
        <v>102754</v>
      </c>
      <c r="C1179" s="0" t="n">
        <v>1</v>
      </c>
      <c r="D1179" s="0" t="inlineStr">
        <is>
          <t>주공13단지(푸르내마을휴먼시아)</t>
        </is>
      </c>
      <c r="E1179" s="0" t="inlineStr">
        <is>
          <t>2006.04.</t>
        </is>
      </c>
      <c r="F1179" s="0" t="n">
        <v>785</v>
      </c>
      <c r="G1179" s="0" t="n">
        <v>21.26</v>
      </c>
      <c r="H1179" s="0" t="n">
        <v>70.29000000000001</v>
      </c>
      <c r="I1179" s="0" t="n">
        <v>15.68</v>
      </c>
      <c r="J1179" s="0" t="n">
        <v>51.86</v>
      </c>
      <c r="K1179" s="0" t="n">
        <v>270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20</v>
      </c>
      <c r="Y1179" s="0" t="n">
        <v>17</v>
      </c>
      <c r="Z1179" s="0" t="inlineStr">
        <is>
          <t>https://new.land.naver.com/complexes/102754?tab=detail&amp;rf=Y</t>
        </is>
      </c>
      <c r="AA1179" s="0" t="inlineStr">
        <is>
          <t>인천시 남동구 논현동 600-9</t>
        </is>
      </c>
      <c r="AB1179" s="0" t="inlineStr">
        <is>
          <t>인천시</t>
        </is>
      </c>
      <c r="AC1179" s="0" t="inlineStr">
        <is>
          <t>남동구</t>
        </is>
      </c>
      <c r="AD1179" s="0" t="inlineStr">
        <is>
          <t>논현동</t>
        </is>
      </c>
      <c r="AG1179" s="0" t="inlineStr">
        <is>
          <t>인천시 남동구 포구로 98</t>
        </is>
      </c>
      <c r="AH1179" s="0" t="n">
        <v>0</v>
      </c>
      <c r="AI1179" s="0" t="n">
        <v>186</v>
      </c>
      <c r="AJ1179" s="0" t="n">
        <v>14</v>
      </c>
      <c r="AK1179" s="0" t="n">
        <v>792</v>
      </c>
      <c r="AL1179" s="0" t="n">
        <v>1.01</v>
      </c>
    </row>
    <row r="1180">
      <c r="A1180" s="0" t="inlineStr">
        <is>
          <t>[논현동]</t>
        </is>
      </c>
      <c r="B1180" s="0" t="n">
        <v>102754</v>
      </c>
      <c r="C1180" s="0" t="n">
        <v>2</v>
      </c>
      <c r="D1180" s="0" t="inlineStr">
        <is>
          <t>주공13단지(푸르내마을휴먼시아)</t>
        </is>
      </c>
      <c r="E1180" s="0" t="inlineStr">
        <is>
          <t>2006.04.</t>
        </is>
      </c>
      <c r="F1180" s="0" t="n">
        <v>785</v>
      </c>
      <c r="G1180" s="0" t="n">
        <v>21.25</v>
      </c>
      <c r="H1180" s="0" t="n">
        <v>70.25</v>
      </c>
      <c r="I1180" s="0" t="n">
        <v>15.67</v>
      </c>
      <c r="J1180" s="0" t="n">
        <v>51.83</v>
      </c>
      <c r="K1180" s="0" t="n">
        <v>20</v>
      </c>
      <c r="T1180" s="0" t="n">
        <v>2</v>
      </c>
      <c r="U1180" s="0" t="n">
        <v>1</v>
      </c>
      <c r="V1180" s="0" t="inlineStr">
        <is>
          <t>계단식</t>
        </is>
      </c>
      <c r="W1180" s="0" t="inlineStr">
        <is>
          <t>70B</t>
        </is>
      </c>
      <c r="X1180" s="0" t="n">
        <v>20</v>
      </c>
      <c r="Y1180" s="0" t="n">
        <v>17</v>
      </c>
      <c r="Z1180" s="0" t="inlineStr">
        <is>
          <t>https://new.land.naver.com/complexes/102754?tab=detail&amp;rf=Y</t>
        </is>
      </c>
      <c r="AA1180" s="0" t="inlineStr">
        <is>
          <t>인천시 남동구 논현동 600-9</t>
        </is>
      </c>
      <c r="AB1180" s="0" t="inlineStr">
        <is>
          <t>인천시</t>
        </is>
      </c>
      <c r="AC1180" s="0" t="inlineStr">
        <is>
          <t>남동구</t>
        </is>
      </c>
      <c r="AD1180" s="0" t="inlineStr">
        <is>
          <t>논현동</t>
        </is>
      </c>
      <c r="AG1180" s="0" t="inlineStr">
        <is>
          <t>인천시 남동구 포구로 98</t>
        </is>
      </c>
      <c r="AH1180" s="0" t="n">
        <v>0</v>
      </c>
      <c r="AI1180" s="0" t="n">
        <v>186</v>
      </c>
      <c r="AJ1180" s="0" t="n">
        <v>14</v>
      </c>
      <c r="AK1180" s="0" t="n">
        <v>792</v>
      </c>
      <c r="AL1180" s="0" t="n">
        <v>1.01</v>
      </c>
    </row>
    <row r="1181">
      <c r="A1181" s="0" t="inlineStr">
        <is>
          <t>[논현동]</t>
        </is>
      </c>
      <c r="B1181" s="0" t="n">
        <v>102754</v>
      </c>
      <c r="C1181" s="0" t="n">
        <v>3</v>
      </c>
      <c r="D1181" s="0" t="inlineStr">
        <is>
          <t>주공13단지(푸르내마을휴먼시아)</t>
        </is>
      </c>
      <c r="E1181" s="0" t="inlineStr">
        <is>
          <t>2006.04.</t>
        </is>
      </c>
      <c r="F1181" s="0" t="n">
        <v>785</v>
      </c>
      <c r="G1181" s="0" t="n">
        <v>23.72</v>
      </c>
      <c r="H1181" s="0" t="n">
        <v>78.42</v>
      </c>
      <c r="I1181" s="0" t="n">
        <v>18.01</v>
      </c>
      <c r="J1181" s="0" t="n">
        <v>59.57</v>
      </c>
      <c r="K1181" s="0" t="n">
        <v>416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78A</t>
        </is>
      </c>
      <c r="X1181" s="0" t="n">
        <v>20</v>
      </c>
      <c r="Y1181" s="0" t="n">
        <v>17</v>
      </c>
      <c r="Z1181" s="0" t="inlineStr">
        <is>
          <t>https://new.land.naver.com/complexes/102754?tab=detail&amp;rf=Y</t>
        </is>
      </c>
      <c r="AA1181" s="0" t="inlineStr">
        <is>
          <t>인천시 남동구 논현동 600-9</t>
        </is>
      </c>
      <c r="AB1181" s="0" t="inlineStr">
        <is>
          <t>인천시</t>
        </is>
      </c>
      <c r="AC1181" s="0" t="inlineStr">
        <is>
          <t>남동구</t>
        </is>
      </c>
      <c r="AD1181" s="0" t="inlineStr">
        <is>
          <t>논현동</t>
        </is>
      </c>
      <c r="AG1181" s="0" t="inlineStr">
        <is>
          <t>인천시 남동구 포구로 98</t>
        </is>
      </c>
      <c r="AH1181" s="0" t="n">
        <v>0</v>
      </c>
      <c r="AI1181" s="0" t="n">
        <v>186</v>
      </c>
      <c r="AJ1181" s="0" t="n">
        <v>14</v>
      </c>
      <c r="AK1181" s="0" t="n">
        <v>792</v>
      </c>
      <c r="AL1181" s="0" t="n">
        <v>1.01</v>
      </c>
    </row>
    <row r="1182">
      <c r="A1182" s="0" t="inlineStr">
        <is>
          <t>[논현동]</t>
        </is>
      </c>
      <c r="B1182" s="0" t="n">
        <v>102754</v>
      </c>
      <c r="C1182" s="0" t="n">
        <v>4</v>
      </c>
      <c r="D1182" s="0" t="inlineStr">
        <is>
          <t>주공13단지(푸르내마을휴먼시아)</t>
        </is>
      </c>
      <c r="E1182" s="0" t="inlineStr">
        <is>
          <t>2006.04.</t>
        </is>
      </c>
      <c r="F1182" s="0" t="n">
        <v>785</v>
      </c>
      <c r="G1182" s="0" t="n">
        <v>23.61</v>
      </c>
      <c r="H1182" s="0" t="n">
        <v>78.05</v>
      </c>
      <c r="I1182" s="0" t="n">
        <v>17.93</v>
      </c>
      <c r="J1182" s="0" t="n">
        <v>59.29</v>
      </c>
      <c r="K1182" s="0" t="n">
        <v>40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78C</t>
        </is>
      </c>
      <c r="X1182" s="0" t="n">
        <v>20</v>
      </c>
      <c r="Y1182" s="0" t="n">
        <v>17</v>
      </c>
      <c r="Z1182" s="0" t="inlineStr">
        <is>
          <t>https://new.land.naver.com/complexes/102754?tab=detail&amp;rf=Y</t>
        </is>
      </c>
      <c r="AA1182" s="0" t="inlineStr">
        <is>
          <t>인천시 남동구 논현동 600-9</t>
        </is>
      </c>
      <c r="AB1182" s="0" t="inlineStr">
        <is>
          <t>인천시</t>
        </is>
      </c>
      <c r="AC1182" s="0" t="inlineStr">
        <is>
          <t>남동구</t>
        </is>
      </c>
      <c r="AD1182" s="0" t="inlineStr">
        <is>
          <t>논현동</t>
        </is>
      </c>
      <c r="AG1182" s="0" t="inlineStr">
        <is>
          <t>인천시 남동구 포구로 98</t>
        </is>
      </c>
      <c r="AH1182" s="0" t="n">
        <v>0</v>
      </c>
      <c r="AI1182" s="0" t="n">
        <v>186</v>
      </c>
      <c r="AJ1182" s="0" t="n">
        <v>14</v>
      </c>
      <c r="AK1182" s="0" t="n">
        <v>792</v>
      </c>
      <c r="AL1182" s="0" t="n">
        <v>1.01</v>
      </c>
    </row>
    <row r="1183">
      <c r="A1183" s="0" t="inlineStr">
        <is>
          <t>[논현동]</t>
        </is>
      </c>
      <c r="B1183" s="0" t="n">
        <v>102754</v>
      </c>
      <c r="C1183" s="0" t="n">
        <v>5</v>
      </c>
      <c r="D1183" s="0" t="inlineStr">
        <is>
          <t>주공13단지(푸르내마을휴먼시아)</t>
        </is>
      </c>
      <c r="E1183" s="0" t="inlineStr">
        <is>
          <t>2006.04.</t>
        </is>
      </c>
      <c r="F1183" s="0" t="n">
        <v>785</v>
      </c>
      <c r="G1183" s="0" t="n">
        <v>23.77</v>
      </c>
      <c r="H1183" s="0" t="n">
        <v>78.59999999999999</v>
      </c>
      <c r="I1183" s="0" t="n">
        <v>18.06</v>
      </c>
      <c r="J1183" s="0" t="n">
        <v>59.71</v>
      </c>
      <c r="K1183" s="0" t="n">
        <v>39</v>
      </c>
      <c r="T1183" s="0" t="n">
        <v>3</v>
      </c>
      <c r="U1183" s="0" t="n">
        <v>1</v>
      </c>
      <c r="V1183" s="0" t="inlineStr">
        <is>
          <t>계단식</t>
        </is>
      </c>
      <c r="W1183" s="0" t="inlineStr">
        <is>
          <t>78B</t>
        </is>
      </c>
      <c r="X1183" s="0" t="n">
        <v>20</v>
      </c>
      <c r="Y1183" s="0" t="n">
        <v>17</v>
      </c>
      <c r="Z1183" s="0" t="inlineStr">
        <is>
          <t>https://new.land.naver.com/complexes/102754?tab=detail&amp;rf=Y</t>
        </is>
      </c>
      <c r="AA1183" s="0" t="inlineStr">
        <is>
          <t>인천시 남동구 논현동 600-9</t>
        </is>
      </c>
      <c r="AB1183" s="0" t="inlineStr">
        <is>
          <t>인천시</t>
        </is>
      </c>
      <c r="AC1183" s="0" t="inlineStr">
        <is>
          <t>남동구</t>
        </is>
      </c>
      <c r="AD1183" s="0" t="inlineStr">
        <is>
          <t>논현동</t>
        </is>
      </c>
      <c r="AG1183" s="0" t="inlineStr">
        <is>
          <t>인천시 남동구 포구로 98</t>
        </is>
      </c>
      <c r="AH1183" s="0" t="n">
        <v>0</v>
      </c>
      <c r="AI1183" s="0" t="n">
        <v>186</v>
      </c>
      <c r="AJ1183" s="0" t="n">
        <v>14</v>
      </c>
      <c r="AK1183" s="0" t="n">
        <v>792</v>
      </c>
      <c r="AL1183" s="0" t="n">
        <v>1.01</v>
      </c>
    </row>
    <row r="1184">
      <c r="A1184" s="0" t="inlineStr">
        <is>
          <t>[논현동]</t>
        </is>
      </c>
      <c r="B1184" s="0" t="n">
        <v>8145</v>
      </c>
      <c r="C1184" s="0" t="n">
        <v>1</v>
      </c>
      <c r="D1184" s="0" t="inlineStr">
        <is>
          <t>한라</t>
        </is>
      </c>
      <c r="E1184" s="0" t="inlineStr">
        <is>
          <t>1996.02.</t>
        </is>
      </c>
      <c r="F1184" s="0" t="n">
        <v>288</v>
      </c>
      <c r="G1184" s="0" t="n">
        <v>24.95</v>
      </c>
      <c r="H1184" s="0" t="n">
        <v>82.5</v>
      </c>
      <c r="I1184" s="0" t="n">
        <v>18.05</v>
      </c>
      <c r="J1184" s="0" t="n">
        <v>59.7</v>
      </c>
      <c r="K1184" s="0" t="n">
        <v>288</v>
      </c>
      <c r="T1184" s="0" t="n">
        <v>2</v>
      </c>
      <c r="U1184" s="0" t="n">
        <v>1</v>
      </c>
      <c r="V1184" s="0" t="inlineStr">
        <is>
          <t>복도식</t>
        </is>
      </c>
      <c r="W1184" s="0" t="n">
        <v>82</v>
      </c>
      <c r="X1184" s="0" t="n">
        <v>18</v>
      </c>
      <c r="Y1184" s="0" t="n">
        <v>18</v>
      </c>
      <c r="Z1184" s="0" t="inlineStr">
        <is>
          <t>https://new.land.naver.com/complexes/8145?tab=detail&amp;rf=Y</t>
        </is>
      </c>
      <c r="AA1184" s="0" t="inlineStr">
        <is>
          <t>인천시 남동구 논현동 549</t>
        </is>
      </c>
      <c r="AB1184" s="0" t="inlineStr">
        <is>
          <t>인천시</t>
        </is>
      </c>
      <c r="AC1184" s="0" t="inlineStr">
        <is>
          <t>남동구</t>
        </is>
      </c>
      <c r="AD1184" s="0" t="inlineStr">
        <is>
          <t>논현동</t>
        </is>
      </c>
      <c r="AG1184" s="0" t="inlineStr">
        <is>
          <t>인천시 남동구 포구로 64-6</t>
        </is>
      </c>
      <c r="AH1184" s="0" t="n">
        <v>0</v>
      </c>
      <c r="AI1184" s="0" t="n">
        <v>354</v>
      </c>
      <c r="AJ1184" s="0" t="n">
        <v>23</v>
      </c>
      <c r="AK1184" s="0" t="n">
        <v>172</v>
      </c>
      <c r="AL1184" s="0" t="n">
        <v>0.6</v>
      </c>
    </row>
    <row r="1185">
      <c r="A1185" s="0" t="inlineStr">
        <is>
          <t>[논현동]</t>
        </is>
      </c>
      <c r="B1185" s="0" t="n">
        <v>101899</v>
      </c>
      <c r="C1185" s="0" t="n">
        <v>1</v>
      </c>
      <c r="D1185" s="0" t="inlineStr">
        <is>
          <t>인천소래논현구역에코메트로3차더타워</t>
        </is>
      </c>
      <c r="E1185" s="0" t="inlineStr">
        <is>
          <t>2013.11.</t>
        </is>
      </c>
      <c r="F1185" s="0" t="n">
        <v>644</v>
      </c>
      <c r="G1185" s="0" t="n">
        <v>39.87</v>
      </c>
      <c r="H1185" s="0" t="n">
        <v>131.83</v>
      </c>
      <c r="I1185" s="0" t="n">
        <v>28.94</v>
      </c>
      <c r="J1185" s="0" t="n">
        <v>95.69</v>
      </c>
      <c r="K1185" s="0" t="n">
        <v>152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131A</t>
        </is>
      </c>
      <c r="X1185" s="0" t="n">
        <v>51</v>
      </c>
      <c r="Y1185" s="0" t="n">
        <v>33</v>
      </c>
      <c r="Z1185" s="0" t="inlineStr">
        <is>
          <t>https://new.land.naver.com/complexes/101899?tab=detail&amp;rf=Y</t>
        </is>
      </c>
      <c r="AA1185" s="0" t="inlineStr">
        <is>
          <t>인천시 남동구 논현동 751-1</t>
        </is>
      </c>
      <c r="AB1185" s="0" t="inlineStr">
        <is>
          <t>인천시</t>
        </is>
      </c>
      <c r="AC1185" s="0" t="inlineStr">
        <is>
          <t>남동구</t>
        </is>
      </c>
      <c r="AD1185" s="0" t="inlineStr">
        <is>
          <t>논현동</t>
        </is>
      </c>
      <c r="AG1185" s="0" t="inlineStr">
        <is>
          <t>인천시 남동구 소래역남로 40</t>
        </is>
      </c>
      <c r="AH1185" s="0" t="n">
        <v>0</v>
      </c>
      <c r="AI1185" s="0" t="n">
        <v>699</v>
      </c>
      <c r="AJ1185" s="0" t="n">
        <v>54</v>
      </c>
      <c r="AK1185" s="0" t="n">
        <v>1582</v>
      </c>
      <c r="AL1185" s="0" t="n">
        <v>2.46</v>
      </c>
    </row>
    <row r="1186">
      <c r="A1186" s="0" t="inlineStr">
        <is>
          <t>[논현동]</t>
        </is>
      </c>
      <c r="B1186" s="0" t="n">
        <v>101899</v>
      </c>
      <c r="C1186" s="0" t="n">
        <v>2</v>
      </c>
      <c r="D1186" s="0" t="inlineStr">
        <is>
          <t>인천소래논현구역에코메트로3차더타워</t>
        </is>
      </c>
      <c r="E1186" s="0" t="inlineStr">
        <is>
          <t>2013.11.</t>
        </is>
      </c>
      <c r="F1186" s="0" t="n">
        <v>644</v>
      </c>
      <c r="G1186" s="0" t="n">
        <v>44.28</v>
      </c>
      <c r="H1186" s="0" t="n">
        <v>146.39</v>
      </c>
      <c r="I1186" s="0" t="n">
        <v>31.77</v>
      </c>
      <c r="J1186" s="0" t="n">
        <v>105.04</v>
      </c>
      <c r="K1186" s="0" t="n">
        <v>244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146B</t>
        </is>
      </c>
      <c r="X1186" s="0" t="n">
        <v>51</v>
      </c>
      <c r="Y1186" s="0" t="n">
        <v>33</v>
      </c>
      <c r="Z1186" s="0" t="inlineStr">
        <is>
          <t>https://new.land.naver.com/complexes/101899?tab=detail&amp;rf=Y</t>
        </is>
      </c>
      <c r="AA1186" s="0" t="inlineStr">
        <is>
          <t>인천시 남동구 논현동 751-1</t>
        </is>
      </c>
      <c r="AB1186" s="0" t="inlineStr">
        <is>
          <t>인천시</t>
        </is>
      </c>
      <c r="AC1186" s="0" t="inlineStr">
        <is>
          <t>남동구</t>
        </is>
      </c>
      <c r="AD1186" s="0" t="inlineStr">
        <is>
          <t>논현동</t>
        </is>
      </c>
      <c r="AG1186" s="0" t="inlineStr">
        <is>
          <t>인천시 남동구 소래역남로 40</t>
        </is>
      </c>
      <c r="AH1186" s="0" t="n">
        <v>0</v>
      </c>
      <c r="AI1186" s="0" t="n">
        <v>699</v>
      </c>
      <c r="AJ1186" s="0" t="n">
        <v>54</v>
      </c>
      <c r="AK1186" s="0" t="n">
        <v>1582</v>
      </c>
      <c r="AL1186" s="0" t="n">
        <v>2.46</v>
      </c>
    </row>
    <row r="1187">
      <c r="A1187" s="0" t="inlineStr">
        <is>
          <t>[논현동]</t>
        </is>
      </c>
      <c r="B1187" s="0" t="n">
        <v>101899</v>
      </c>
      <c r="C1187" s="0" t="n">
        <v>3</v>
      </c>
      <c r="D1187" s="0" t="inlineStr">
        <is>
          <t>인천소래논현구역에코메트로3차더타워</t>
        </is>
      </c>
      <c r="E1187" s="0" t="inlineStr">
        <is>
          <t>2013.11.</t>
        </is>
      </c>
      <c r="F1187" s="0" t="n">
        <v>644</v>
      </c>
      <c r="G1187" s="0" t="n">
        <v>49.64</v>
      </c>
      <c r="H1187" s="0" t="n">
        <v>164.11</v>
      </c>
      <c r="I1187" s="0" t="n">
        <v>35.48</v>
      </c>
      <c r="J1187" s="0" t="n">
        <v>117.31</v>
      </c>
      <c r="K1187" s="0" t="n">
        <v>190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164C</t>
        </is>
      </c>
      <c r="X1187" s="0" t="n">
        <v>51</v>
      </c>
      <c r="Y1187" s="0" t="n">
        <v>33</v>
      </c>
      <c r="Z1187" s="0" t="inlineStr">
        <is>
          <t>https://new.land.naver.com/complexes/101899?tab=detail&amp;rf=Y</t>
        </is>
      </c>
      <c r="AA1187" s="0" t="inlineStr">
        <is>
          <t>인천시 남동구 논현동 751-1</t>
        </is>
      </c>
      <c r="AB1187" s="0" t="inlineStr">
        <is>
          <t>인천시</t>
        </is>
      </c>
      <c r="AC1187" s="0" t="inlineStr">
        <is>
          <t>남동구</t>
        </is>
      </c>
      <c r="AD1187" s="0" t="inlineStr">
        <is>
          <t>논현동</t>
        </is>
      </c>
      <c r="AG1187" s="0" t="inlineStr">
        <is>
          <t>인천시 남동구 소래역남로 40</t>
        </is>
      </c>
      <c r="AH1187" s="0" t="n">
        <v>0</v>
      </c>
      <c r="AI1187" s="0" t="n">
        <v>699</v>
      </c>
      <c r="AJ1187" s="0" t="n">
        <v>54</v>
      </c>
      <c r="AK1187" s="0" t="n">
        <v>1582</v>
      </c>
      <c r="AL1187" s="0" t="n">
        <v>2.46</v>
      </c>
    </row>
    <row r="1188">
      <c r="A1188" s="0" t="inlineStr">
        <is>
          <t>[논현동]</t>
        </is>
      </c>
      <c r="B1188" s="0" t="n">
        <v>101899</v>
      </c>
      <c r="C1188" s="0" t="n">
        <v>4</v>
      </c>
      <c r="D1188" s="0" t="inlineStr">
        <is>
          <t>인천소래논현구역에코메트로3차더타워</t>
        </is>
      </c>
      <c r="E1188" s="0" t="inlineStr">
        <is>
          <t>2013.11.</t>
        </is>
      </c>
      <c r="F1188" s="0" t="n">
        <v>644</v>
      </c>
      <c r="G1188" s="0" t="n">
        <v>53.69</v>
      </c>
      <c r="H1188" s="0" t="n">
        <v>177.5</v>
      </c>
      <c r="I1188" s="0" t="n">
        <v>38.99</v>
      </c>
      <c r="J1188" s="0" t="n">
        <v>128.91</v>
      </c>
      <c r="K1188" s="0" t="n">
        <v>20</v>
      </c>
      <c r="T1188" s="0" t="n">
        <v>4</v>
      </c>
      <c r="U1188" s="0" t="n">
        <v>2</v>
      </c>
      <c r="V1188" s="0" t="inlineStr">
        <is>
          <t>계단식</t>
        </is>
      </c>
      <c r="W1188" s="0" t="inlineStr">
        <is>
          <t>177D</t>
        </is>
      </c>
      <c r="X1188" s="0" t="n">
        <v>51</v>
      </c>
      <c r="Y1188" s="0" t="n">
        <v>33</v>
      </c>
      <c r="Z1188" s="0" t="inlineStr">
        <is>
          <t>https://new.land.naver.com/complexes/101899?tab=detail&amp;rf=Y</t>
        </is>
      </c>
      <c r="AA1188" s="0" t="inlineStr">
        <is>
          <t>인천시 남동구 논현동 751-1</t>
        </is>
      </c>
      <c r="AB1188" s="0" t="inlineStr">
        <is>
          <t>인천시</t>
        </is>
      </c>
      <c r="AC1188" s="0" t="inlineStr">
        <is>
          <t>남동구</t>
        </is>
      </c>
      <c r="AD1188" s="0" t="inlineStr">
        <is>
          <t>논현동</t>
        </is>
      </c>
      <c r="AG1188" s="0" t="inlineStr">
        <is>
          <t>인천시 남동구 소래역남로 40</t>
        </is>
      </c>
      <c r="AH1188" s="0" t="n">
        <v>0</v>
      </c>
      <c r="AI1188" s="0" t="n">
        <v>699</v>
      </c>
      <c r="AJ1188" s="0" t="n">
        <v>54</v>
      </c>
      <c r="AK1188" s="0" t="n">
        <v>1582</v>
      </c>
      <c r="AL1188" s="0" t="n">
        <v>2.46</v>
      </c>
    </row>
    <row r="1189">
      <c r="A1189" s="0" t="inlineStr">
        <is>
          <t>[논현동]</t>
        </is>
      </c>
      <c r="B1189" s="0" t="n">
        <v>101899</v>
      </c>
      <c r="C1189" s="0" t="n">
        <v>5</v>
      </c>
      <c r="D1189" s="0" t="inlineStr">
        <is>
          <t>인천소래논현구역에코메트로3차더타워</t>
        </is>
      </c>
      <c r="E1189" s="0" t="inlineStr">
        <is>
          <t>2013.11.</t>
        </is>
      </c>
      <c r="F1189" s="0" t="n">
        <v>644</v>
      </c>
      <c r="G1189" s="0" t="n">
        <v>59.47</v>
      </c>
      <c r="H1189" s="0" t="n">
        <v>196.62</v>
      </c>
      <c r="I1189" s="0" t="n">
        <v>42.63</v>
      </c>
      <c r="J1189" s="0" t="n">
        <v>140.93</v>
      </c>
      <c r="K1189" s="0" t="n">
        <v>38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196E</t>
        </is>
      </c>
      <c r="X1189" s="0" t="n">
        <v>51</v>
      </c>
      <c r="Y1189" s="0" t="n">
        <v>33</v>
      </c>
      <c r="Z1189" s="0" t="inlineStr">
        <is>
          <t>https://new.land.naver.com/complexes/101899?tab=detail&amp;rf=Y</t>
        </is>
      </c>
      <c r="AA1189" s="0" t="inlineStr">
        <is>
          <t>인천시 남동구 논현동 751-1</t>
        </is>
      </c>
      <c r="AB1189" s="0" t="inlineStr">
        <is>
          <t>인천시</t>
        </is>
      </c>
      <c r="AC1189" s="0" t="inlineStr">
        <is>
          <t>남동구</t>
        </is>
      </c>
      <c r="AD1189" s="0" t="inlineStr">
        <is>
          <t>논현동</t>
        </is>
      </c>
      <c r="AG1189" s="0" t="inlineStr">
        <is>
          <t>인천시 남동구 소래역남로 40</t>
        </is>
      </c>
      <c r="AH1189" s="0" t="n">
        <v>0</v>
      </c>
      <c r="AI1189" s="0" t="n">
        <v>699</v>
      </c>
      <c r="AJ1189" s="0" t="n">
        <v>54</v>
      </c>
      <c r="AK1189" s="0" t="n">
        <v>1582</v>
      </c>
      <c r="AL1189" s="0" t="n">
        <v>2.46</v>
      </c>
    </row>
    <row r="1190">
      <c r="A1190" s="0" t="inlineStr">
        <is>
          <t>[논현동]</t>
        </is>
      </c>
      <c r="B1190" s="0" t="n">
        <v>101434</v>
      </c>
      <c r="C1190" s="0" t="n">
        <v>1</v>
      </c>
      <c r="D1190" s="0" t="inlineStr">
        <is>
          <t>논현유호엔시티1단지</t>
        </is>
      </c>
      <c r="E1190" s="0" t="inlineStr">
        <is>
          <t>2013.05.</t>
        </is>
      </c>
      <c r="F1190" s="0" t="n">
        <v>383</v>
      </c>
      <c r="G1190" s="0" t="n">
        <v>34.09</v>
      </c>
      <c r="H1190" s="0" t="n">
        <v>112.7</v>
      </c>
      <c r="I1190" s="0" t="n">
        <v>25.57</v>
      </c>
      <c r="J1190" s="0" t="n">
        <v>84.55</v>
      </c>
      <c r="K1190" s="0" t="n">
        <v>113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112B</t>
        </is>
      </c>
      <c r="X1190" s="0" t="n">
        <v>39</v>
      </c>
      <c r="Y1190" s="0" t="n">
        <v>26</v>
      </c>
      <c r="Z1190" s="0" t="inlineStr">
        <is>
          <t>https://new.land.naver.com/complexes/101434?tab=detail&amp;rf=Y</t>
        </is>
      </c>
      <c r="AA1190" s="0" t="inlineStr">
        <is>
          <t>인천시 남동구 논현동 66-24</t>
        </is>
      </c>
      <c r="AB1190" s="0" t="inlineStr">
        <is>
          <t>인천시</t>
        </is>
      </c>
      <c r="AC1190" s="0" t="inlineStr">
        <is>
          <t>남동구</t>
        </is>
      </c>
      <c r="AD1190" s="0" t="inlineStr">
        <is>
          <t>논현동</t>
        </is>
      </c>
      <c r="AG1190" s="0" t="inlineStr">
        <is>
          <t>인천시 남동구 포구로 35</t>
        </is>
      </c>
      <c r="AH1190" s="0" t="n">
        <v>0</v>
      </c>
      <c r="AI1190" s="0" t="n">
        <v>0</v>
      </c>
      <c r="AJ1190" s="0" t="n">
        <v>0</v>
      </c>
      <c r="AK1190" s="0" t="n">
        <v>428</v>
      </c>
      <c r="AL1190" s="0" t="n">
        <v>1.12</v>
      </c>
    </row>
    <row r="1191">
      <c r="A1191" s="0" t="inlineStr">
        <is>
          <t>[논현동]</t>
        </is>
      </c>
      <c r="B1191" s="0" t="n">
        <v>101434</v>
      </c>
      <c r="C1191" s="0" t="n">
        <v>2</v>
      </c>
      <c r="D1191" s="0" t="inlineStr">
        <is>
          <t>논현유호엔시티1단지</t>
        </is>
      </c>
      <c r="E1191" s="0" t="inlineStr">
        <is>
          <t>2013.05.</t>
        </is>
      </c>
      <c r="F1191" s="0" t="n">
        <v>383</v>
      </c>
      <c r="G1191" s="0" t="n">
        <v>34.23</v>
      </c>
      <c r="H1191" s="0" t="n">
        <v>113.17</v>
      </c>
      <c r="I1191" s="0" t="n">
        <v>25.66</v>
      </c>
      <c r="J1191" s="0" t="n">
        <v>84.83</v>
      </c>
      <c r="K1191" s="0" t="n">
        <v>127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113A</t>
        </is>
      </c>
      <c r="X1191" s="0" t="n">
        <v>39</v>
      </c>
      <c r="Y1191" s="0" t="n">
        <v>26</v>
      </c>
      <c r="Z1191" s="0" t="inlineStr">
        <is>
          <t>https://new.land.naver.com/complexes/101434?tab=detail&amp;rf=Y</t>
        </is>
      </c>
      <c r="AA1191" s="0" t="inlineStr">
        <is>
          <t>인천시 남동구 논현동 66-24</t>
        </is>
      </c>
      <c r="AB1191" s="0" t="inlineStr">
        <is>
          <t>인천시</t>
        </is>
      </c>
      <c r="AC1191" s="0" t="inlineStr">
        <is>
          <t>남동구</t>
        </is>
      </c>
      <c r="AD1191" s="0" t="inlineStr">
        <is>
          <t>논현동</t>
        </is>
      </c>
      <c r="AG1191" s="0" t="inlineStr">
        <is>
          <t>인천시 남동구 포구로 35</t>
        </is>
      </c>
      <c r="AH1191" s="0" t="n">
        <v>0</v>
      </c>
      <c r="AI1191" s="0" t="n">
        <v>0</v>
      </c>
      <c r="AJ1191" s="0" t="n">
        <v>0</v>
      </c>
      <c r="AK1191" s="0" t="n">
        <v>428</v>
      </c>
      <c r="AL1191" s="0" t="n">
        <v>1.12</v>
      </c>
    </row>
    <row r="1192">
      <c r="A1192" s="0" t="inlineStr">
        <is>
          <t>[논현동]</t>
        </is>
      </c>
      <c r="B1192" s="0" t="n">
        <v>101434</v>
      </c>
      <c r="C1192" s="0" t="n">
        <v>3</v>
      </c>
      <c r="D1192" s="0" t="inlineStr">
        <is>
          <t>논현유호엔시티1단지</t>
        </is>
      </c>
      <c r="E1192" s="0" t="inlineStr">
        <is>
          <t>2013.05.</t>
        </is>
      </c>
      <c r="F1192" s="0" t="n">
        <v>383</v>
      </c>
      <c r="G1192" s="0" t="n">
        <v>37.79</v>
      </c>
      <c r="H1192" s="0" t="n">
        <v>124.94</v>
      </c>
      <c r="I1192" s="0" t="n">
        <v>29.15</v>
      </c>
      <c r="J1192" s="0" t="n">
        <v>96.37</v>
      </c>
      <c r="K1192" s="0" t="n">
        <v>67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124</v>
      </c>
      <c r="X1192" s="0" t="n">
        <v>39</v>
      </c>
      <c r="Y1192" s="0" t="n">
        <v>26</v>
      </c>
      <c r="Z1192" s="0" t="inlineStr">
        <is>
          <t>https://new.land.naver.com/complexes/101434?tab=detail&amp;rf=Y</t>
        </is>
      </c>
      <c r="AA1192" s="0" t="inlineStr">
        <is>
          <t>인천시 남동구 논현동 66-24</t>
        </is>
      </c>
      <c r="AB1192" s="0" t="inlineStr">
        <is>
          <t>인천시</t>
        </is>
      </c>
      <c r="AC1192" s="0" t="inlineStr">
        <is>
          <t>남동구</t>
        </is>
      </c>
      <c r="AD1192" s="0" t="inlineStr">
        <is>
          <t>논현동</t>
        </is>
      </c>
      <c r="AG1192" s="0" t="inlineStr">
        <is>
          <t>인천시 남동구 포구로 35</t>
        </is>
      </c>
      <c r="AH1192" s="0" t="n">
        <v>0</v>
      </c>
      <c r="AI1192" s="0" t="n">
        <v>0</v>
      </c>
      <c r="AJ1192" s="0" t="n">
        <v>0</v>
      </c>
      <c r="AK1192" s="0" t="n">
        <v>428</v>
      </c>
      <c r="AL1192" s="0" t="n">
        <v>1.12</v>
      </c>
    </row>
    <row r="1193">
      <c r="A1193" s="0" t="inlineStr">
        <is>
          <t>[논현동]</t>
        </is>
      </c>
      <c r="B1193" s="0" t="n">
        <v>101434</v>
      </c>
      <c r="C1193" s="0" t="n">
        <v>4</v>
      </c>
      <c r="D1193" s="0" t="inlineStr">
        <is>
          <t>논현유호엔시티1단지</t>
        </is>
      </c>
      <c r="E1193" s="0" t="inlineStr">
        <is>
          <t>2013.05.</t>
        </is>
      </c>
      <c r="F1193" s="0" t="n">
        <v>383</v>
      </c>
      <c r="G1193" s="0" t="n">
        <v>40.18</v>
      </c>
      <c r="H1193" s="0" t="n">
        <v>132.83</v>
      </c>
      <c r="I1193" s="0" t="n">
        <v>30.58</v>
      </c>
      <c r="J1193" s="0" t="n">
        <v>101.12</v>
      </c>
      <c r="K1193" s="0" t="n">
        <v>76</v>
      </c>
      <c r="T1193" s="0" t="n">
        <v>4</v>
      </c>
      <c r="U1193" s="0" t="n">
        <v>2</v>
      </c>
      <c r="V1193" s="0" t="inlineStr">
        <is>
          <t>계단식</t>
        </is>
      </c>
      <c r="W1193" s="0" t="n">
        <v>132</v>
      </c>
      <c r="X1193" s="0" t="n">
        <v>39</v>
      </c>
      <c r="Y1193" s="0" t="n">
        <v>26</v>
      </c>
      <c r="Z1193" s="0" t="inlineStr">
        <is>
          <t>https://new.land.naver.com/complexes/101434?tab=detail&amp;rf=Y</t>
        </is>
      </c>
      <c r="AA1193" s="0" t="inlineStr">
        <is>
          <t>인천시 남동구 논현동 66-24</t>
        </is>
      </c>
      <c r="AB1193" s="0" t="inlineStr">
        <is>
          <t>인천시</t>
        </is>
      </c>
      <c r="AC1193" s="0" t="inlineStr">
        <is>
          <t>남동구</t>
        </is>
      </c>
      <c r="AD1193" s="0" t="inlineStr">
        <is>
          <t>논현동</t>
        </is>
      </c>
      <c r="AG1193" s="0" t="inlineStr">
        <is>
          <t>인천시 남동구 포구로 35</t>
        </is>
      </c>
      <c r="AH1193" s="0" t="n">
        <v>0</v>
      </c>
      <c r="AI1193" s="0" t="n">
        <v>0</v>
      </c>
      <c r="AJ1193" s="0" t="n">
        <v>0</v>
      </c>
      <c r="AK1193" s="0" t="n">
        <v>428</v>
      </c>
      <c r="AL1193" s="0" t="n">
        <v>1.12</v>
      </c>
    </row>
    <row r="1194">
      <c r="A1194" s="0" t="inlineStr">
        <is>
          <t>[논현동]</t>
        </is>
      </c>
      <c r="B1194" s="0" t="n">
        <v>23767</v>
      </c>
      <c r="C1194" s="0" t="n">
        <v>1</v>
      </c>
      <c r="D1194" s="0" t="inlineStr">
        <is>
          <t>별빛마을웰카운티</t>
        </is>
      </c>
      <c r="E1194" s="0" t="inlineStr">
        <is>
          <t>2008.07.</t>
        </is>
      </c>
      <c r="F1194" s="0" t="n">
        <v>888</v>
      </c>
      <c r="G1194" s="0" t="n">
        <v>38.07</v>
      </c>
      <c r="H1194" s="0" t="n">
        <v>125.88</v>
      </c>
      <c r="I1194" s="0" t="n">
        <v>30.71</v>
      </c>
      <c r="J1194" s="0" t="n">
        <v>101.53</v>
      </c>
      <c r="K1194" s="0" t="n">
        <v>366</v>
      </c>
      <c r="T1194" s="0" t="n">
        <v>3</v>
      </c>
      <c r="U1194" s="0" t="n">
        <v>2</v>
      </c>
      <c r="V1194" s="0" t="inlineStr">
        <is>
          <t>복합식</t>
        </is>
      </c>
      <c r="W1194" s="0" t="inlineStr">
        <is>
          <t>125A</t>
        </is>
      </c>
      <c r="X1194" s="0" t="n">
        <v>29</v>
      </c>
      <c r="Y1194" s="0" t="n">
        <v>22</v>
      </c>
      <c r="Z1194" s="0" t="inlineStr">
        <is>
          <t>https://new.land.naver.com/complexes/23767?tab=detail&amp;rf=Y</t>
        </is>
      </c>
      <c r="AA1194" s="0" t="inlineStr">
        <is>
          <t>인천시 남동구 논현동 601-1</t>
        </is>
      </c>
      <c r="AB1194" s="0" t="inlineStr">
        <is>
          <t>인천시</t>
        </is>
      </c>
      <c r="AC1194" s="0" t="inlineStr">
        <is>
          <t>남동구</t>
        </is>
      </c>
      <c r="AD1194" s="0" t="inlineStr">
        <is>
          <t>논현동</t>
        </is>
      </c>
      <c r="AG1194" s="0" t="inlineStr">
        <is>
          <t>인천시 남동구 논현로 235</t>
        </is>
      </c>
      <c r="AH1194" s="0" t="n">
        <v>0</v>
      </c>
      <c r="AI1194" s="0" t="n">
        <v>217</v>
      </c>
      <c r="AJ1194" s="0" t="n">
        <v>11</v>
      </c>
      <c r="AK1194" s="0" t="n">
        <v>1558</v>
      </c>
      <c r="AL1194" s="0" t="n">
        <v>1.75</v>
      </c>
    </row>
    <row r="1195">
      <c r="A1195" s="0" t="inlineStr">
        <is>
          <t>[논현동]</t>
        </is>
      </c>
      <c r="B1195" s="0" t="n">
        <v>23767</v>
      </c>
      <c r="C1195" s="0" t="n">
        <v>2</v>
      </c>
      <c r="D1195" s="0" t="inlineStr">
        <is>
          <t>별빛마을웰카운티</t>
        </is>
      </c>
      <c r="E1195" s="0" t="inlineStr">
        <is>
          <t>2008.07.</t>
        </is>
      </c>
      <c r="F1195" s="0" t="n">
        <v>888</v>
      </c>
      <c r="G1195" s="0" t="n">
        <v>38.15</v>
      </c>
      <c r="H1195" s="0" t="n">
        <v>126.13</v>
      </c>
      <c r="I1195" s="0" t="n">
        <v>30.67</v>
      </c>
      <c r="J1195" s="0" t="n">
        <v>101.42</v>
      </c>
      <c r="K1195" s="0" t="n">
        <v>138</v>
      </c>
      <c r="T1195" s="0" t="n">
        <v>3</v>
      </c>
      <c r="U1195" s="0" t="n">
        <v>2</v>
      </c>
      <c r="V1195" s="0" t="inlineStr">
        <is>
          <t>복합식</t>
        </is>
      </c>
      <c r="W1195" s="0" t="inlineStr">
        <is>
          <t>126B</t>
        </is>
      </c>
      <c r="X1195" s="0" t="n">
        <v>29</v>
      </c>
      <c r="Y1195" s="0" t="n">
        <v>22</v>
      </c>
      <c r="Z1195" s="0" t="inlineStr">
        <is>
          <t>https://new.land.naver.com/complexes/23767?tab=detail&amp;rf=Y</t>
        </is>
      </c>
      <c r="AA1195" s="0" t="inlineStr">
        <is>
          <t>인천시 남동구 논현동 601-1</t>
        </is>
      </c>
      <c r="AB1195" s="0" t="inlineStr">
        <is>
          <t>인천시</t>
        </is>
      </c>
      <c r="AC1195" s="0" t="inlineStr">
        <is>
          <t>남동구</t>
        </is>
      </c>
      <c r="AD1195" s="0" t="inlineStr">
        <is>
          <t>논현동</t>
        </is>
      </c>
      <c r="AG1195" s="0" t="inlineStr">
        <is>
          <t>인천시 남동구 논현로 235</t>
        </is>
      </c>
      <c r="AH1195" s="0" t="n">
        <v>0</v>
      </c>
      <c r="AI1195" s="0" t="n">
        <v>217</v>
      </c>
      <c r="AJ1195" s="0" t="n">
        <v>11</v>
      </c>
      <c r="AK1195" s="0" t="n">
        <v>1558</v>
      </c>
      <c r="AL1195" s="0" t="n">
        <v>1.75</v>
      </c>
    </row>
    <row r="1196">
      <c r="A1196" s="0" t="inlineStr">
        <is>
          <t>[논현동]</t>
        </is>
      </c>
      <c r="B1196" s="0" t="n">
        <v>23767</v>
      </c>
      <c r="C1196" s="0" t="n">
        <v>3</v>
      </c>
      <c r="D1196" s="0" t="inlineStr">
        <is>
          <t>별빛마을웰카운티</t>
        </is>
      </c>
      <c r="E1196" s="0" t="inlineStr">
        <is>
          <t>2008.07.</t>
        </is>
      </c>
      <c r="F1196" s="0" t="n">
        <v>888</v>
      </c>
      <c r="G1196" s="0" t="n">
        <v>47.3</v>
      </c>
      <c r="H1196" s="0" t="n">
        <v>156.37</v>
      </c>
      <c r="I1196" s="0" t="n">
        <v>38.81</v>
      </c>
      <c r="J1196" s="0" t="n">
        <v>128.33</v>
      </c>
      <c r="K1196" s="0" t="n">
        <v>224</v>
      </c>
      <c r="T1196" s="0" t="n">
        <v>4</v>
      </c>
      <c r="U1196" s="0" t="n">
        <v>2</v>
      </c>
      <c r="V1196" s="0" t="inlineStr">
        <is>
          <t>복합식</t>
        </is>
      </c>
      <c r="W1196" s="0" t="n">
        <v>156</v>
      </c>
      <c r="X1196" s="0" t="n">
        <v>29</v>
      </c>
      <c r="Y1196" s="0" t="n">
        <v>22</v>
      </c>
      <c r="Z1196" s="0" t="inlineStr">
        <is>
          <t>https://new.land.naver.com/complexes/23767?tab=detail&amp;rf=Y</t>
        </is>
      </c>
      <c r="AA1196" s="0" t="inlineStr">
        <is>
          <t>인천시 남동구 논현동 601-1</t>
        </is>
      </c>
      <c r="AB1196" s="0" t="inlineStr">
        <is>
          <t>인천시</t>
        </is>
      </c>
      <c r="AC1196" s="0" t="inlineStr">
        <is>
          <t>남동구</t>
        </is>
      </c>
      <c r="AD1196" s="0" t="inlineStr">
        <is>
          <t>논현동</t>
        </is>
      </c>
      <c r="AG1196" s="0" t="inlineStr">
        <is>
          <t>인천시 남동구 논현로 235</t>
        </is>
      </c>
      <c r="AH1196" s="0" t="n">
        <v>0</v>
      </c>
      <c r="AI1196" s="0" t="n">
        <v>217</v>
      </c>
      <c r="AJ1196" s="0" t="n">
        <v>11</v>
      </c>
      <c r="AK1196" s="0" t="n">
        <v>1558</v>
      </c>
      <c r="AL1196" s="0" t="n">
        <v>1.75</v>
      </c>
    </row>
    <row r="1197">
      <c r="A1197" s="0" t="inlineStr">
        <is>
          <t>[논현동]</t>
        </is>
      </c>
      <c r="B1197" s="0" t="n">
        <v>23767</v>
      </c>
      <c r="C1197" s="0" t="n">
        <v>4</v>
      </c>
      <c r="D1197" s="0" t="inlineStr">
        <is>
          <t>별빛마을웰카운티</t>
        </is>
      </c>
      <c r="E1197" s="0" t="inlineStr">
        <is>
          <t>2008.07.</t>
        </is>
      </c>
      <c r="F1197" s="0" t="n">
        <v>888</v>
      </c>
      <c r="G1197" s="0" t="n">
        <v>56.77</v>
      </c>
      <c r="H1197" s="0" t="n">
        <v>187.69</v>
      </c>
      <c r="I1197" s="0" t="n">
        <v>46.3</v>
      </c>
      <c r="J1197" s="0" t="n">
        <v>153.08</v>
      </c>
      <c r="K1197" s="0" t="n">
        <v>96</v>
      </c>
      <c r="T1197" s="0" t="n">
        <v>4</v>
      </c>
      <c r="U1197" s="0" t="n">
        <v>2</v>
      </c>
      <c r="V1197" s="0" t="inlineStr">
        <is>
          <t>복합식</t>
        </is>
      </c>
      <c r="W1197" s="0" t="inlineStr">
        <is>
          <t>187B</t>
        </is>
      </c>
      <c r="X1197" s="0" t="n">
        <v>29</v>
      </c>
      <c r="Y1197" s="0" t="n">
        <v>22</v>
      </c>
      <c r="Z1197" s="0" t="inlineStr">
        <is>
          <t>https://new.land.naver.com/complexes/23767?tab=detail&amp;rf=Y</t>
        </is>
      </c>
      <c r="AA1197" s="0" t="inlineStr">
        <is>
          <t>인천시 남동구 논현동 601-1</t>
        </is>
      </c>
      <c r="AB1197" s="0" t="inlineStr">
        <is>
          <t>인천시</t>
        </is>
      </c>
      <c r="AC1197" s="0" t="inlineStr">
        <is>
          <t>남동구</t>
        </is>
      </c>
      <c r="AD1197" s="0" t="inlineStr">
        <is>
          <t>논현동</t>
        </is>
      </c>
      <c r="AG1197" s="0" t="inlineStr">
        <is>
          <t>인천시 남동구 논현로 235</t>
        </is>
      </c>
      <c r="AH1197" s="0" t="n">
        <v>0</v>
      </c>
      <c r="AI1197" s="0" t="n">
        <v>217</v>
      </c>
      <c r="AJ1197" s="0" t="n">
        <v>11</v>
      </c>
      <c r="AK1197" s="0" t="n">
        <v>1558</v>
      </c>
      <c r="AL1197" s="0" t="n">
        <v>1.75</v>
      </c>
    </row>
    <row r="1198">
      <c r="A1198" s="0" t="inlineStr">
        <is>
          <t>[논현동]</t>
        </is>
      </c>
      <c r="B1198" s="0" t="n">
        <v>23767</v>
      </c>
      <c r="C1198" s="0" t="n">
        <v>5</v>
      </c>
      <c r="D1198" s="0" t="inlineStr">
        <is>
          <t>별빛마을웰카운티</t>
        </is>
      </c>
      <c r="E1198" s="0" t="inlineStr">
        <is>
          <t>2008.07.</t>
        </is>
      </c>
      <c r="F1198" s="0" t="n">
        <v>888</v>
      </c>
      <c r="G1198" s="0" t="n">
        <v>56.6</v>
      </c>
      <c r="H1198" s="0" t="n">
        <v>187.11</v>
      </c>
      <c r="I1198" s="0" t="n">
        <v>46.52</v>
      </c>
      <c r="J1198" s="0" t="n">
        <v>153.8</v>
      </c>
      <c r="K1198" s="0" t="n">
        <v>48</v>
      </c>
      <c r="T1198" s="0" t="n">
        <v>4</v>
      </c>
      <c r="U1198" s="0" t="n">
        <v>2</v>
      </c>
      <c r="V1198" s="0" t="inlineStr">
        <is>
          <t>복합식</t>
        </is>
      </c>
      <c r="W1198" s="0" t="inlineStr">
        <is>
          <t>187A</t>
        </is>
      </c>
      <c r="X1198" s="0" t="n">
        <v>29</v>
      </c>
      <c r="Y1198" s="0" t="n">
        <v>22</v>
      </c>
      <c r="Z1198" s="0" t="inlineStr">
        <is>
          <t>https://new.land.naver.com/complexes/23767?tab=detail&amp;rf=Y</t>
        </is>
      </c>
      <c r="AA1198" s="0" t="inlineStr">
        <is>
          <t>인천시 남동구 논현동 601-1</t>
        </is>
      </c>
      <c r="AB1198" s="0" t="inlineStr">
        <is>
          <t>인천시</t>
        </is>
      </c>
      <c r="AC1198" s="0" t="inlineStr">
        <is>
          <t>남동구</t>
        </is>
      </c>
      <c r="AD1198" s="0" t="inlineStr">
        <is>
          <t>논현동</t>
        </is>
      </c>
      <c r="AG1198" s="0" t="inlineStr">
        <is>
          <t>인천시 남동구 논현로 235</t>
        </is>
      </c>
      <c r="AH1198" s="0" t="n">
        <v>0</v>
      </c>
      <c r="AI1198" s="0" t="n">
        <v>217</v>
      </c>
      <c r="AJ1198" s="0" t="n">
        <v>11</v>
      </c>
      <c r="AK1198" s="0" t="n">
        <v>1558</v>
      </c>
      <c r="AL1198" s="0" t="n">
        <v>1.75</v>
      </c>
    </row>
    <row r="1199">
      <c r="A1199" s="0" t="inlineStr">
        <is>
          <t>[논현동]</t>
        </is>
      </c>
      <c r="B1199" s="0" t="n">
        <v>23767</v>
      </c>
      <c r="C1199" s="0" t="n">
        <v>6</v>
      </c>
      <c r="D1199" s="0" t="inlineStr">
        <is>
          <t>별빛마을웰카운티</t>
        </is>
      </c>
      <c r="E1199" s="0" t="inlineStr">
        <is>
          <t>2008.07.</t>
        </is>
      </c>
      <c r="F1199" s="0" t="n">
        <v>888</v>
      </c>
      <c r="G1199" s="0" t="n">
        <v>72.38</v>
      </c>
      <c r="H1199" s="0" t="n">
        <v>239.29</v>
      </c>
      <c r="I1199" s="0" t="n">
        <v>57.89</v>
      </c>
      <c r="J1199" s="0" t="n">
        <v>191.4</v>
      </c>
      <c r="K1199" s="0" t="n">
        <v>8</v>
      </c>
      <c r="T1199" s="0" t="n">
        <v>4</v>
      </c>
      <c r="U1199" s="0" t="n">
        <v>3</v>
      </c>
      <c r="V1199" s="0" t="inlineStr">
        <is>
          <t>복합식</t>
        </is>
      </c>
      <c r="W1199" s="0" t="inlineStr">
        <is>
          <t>239A</t>
        </is>
      </c>
      <c r="X1199" s="0" t="n">
        <v>29</v>
      </c>
      <c r="Y1199" s="0" t="n">
        <v>22</v>
      </c>
      <c r="Z1199" s="0" t="inlineStr">
        <is>
          <t>https://new.land.naver.com/complexes/23767?tab=detail&amp;rf=Y</t>
        </is>
      </c>
      <c r="AA1199" s="0" t="inlineStr">
        <is>
          <t>인천시 남동구 논현동 601-1</t>
        </is>
      </c>
      <c r="AB1199" s="0" t="inlineStr">
        <is>
          <t>인천시</t>
        </is>
      </c>
      <c r="AC1199" s="0" t="inlineStr">
        <is>
          <t>남동구</t>
        </is>
      </c>
      <c r="AD1199" s="0" t="inlineStr">
        <is>
          <t>논현동</t>
        </is>
      </c>
      <c r="AG1199" s="0" t="inlineStr">
        <is>
          <t>인천시 남동구 논현로 235</t>
        </is>
      </c>
      <c r="AH1199" s="0" t="n">
        <v>0</v>
      </c>
      <c r="AI1199" s="0" t="n">
        <v>217</v>
      </c>
      <c r="AJ1199" s="0" t="n">
        <v>11</v>
      </c>
      <c r="AK1199" s="0" t="n">
        <v>1558</v>
      </c>
      <c r="AL1199" s="0" t="n">
        <v>1.75</v>
      </c>
    </row>
    <row r="1200">
      <c r="A1200" s="0" t="inlineStr">
        <is>
          <t>[논현동]</t>
        </is>
      </c>
      <c r="B1200" s="0" t="n">
        <v>23767</v>
      </c>
      <c r="C1200" s="0" t="n">
        <v>7</v>
      </c>
      <c r="D1200" s="0" t="inlineStr">
        <is>
          <t>별빛마을웰카운티</t>
        </is>
      </c>
      <c r="E1200" s="0" t="inlineStr">
        <is>
          <t>2008.07.</t>
        </is>
      </c>
      <c r="F1200" s="0" t="n">
        <v>888</v>
      </c>
      <c r="G1200" s="0" t="n">
        <v>72.33</v>
      </c>
      <c r="H1200" s="0" t="n">
        <v>239.14</v>
      </c>
      <c r="I1200" s="0" t="n">
        <v>57.9</v>
      </c>
      <c r="J1200" s="0" t="n">
        <v>191.41</v>
      </c>
      <c r="K1200" s="0" t="n">
        <v>6</v>
      </c>
      <c r="T1200" s="0" t="n">
        <v>4</v>
      </c>
      <c r="U1200" s="0" t="n">
        <v>3</v>
      </c>
      <c r="V1200" s="0" t="inlineStr">
        <is>
          <t>복합식</t>
        </is>
      </c>
      <c r="W1200" s="0" t="inlineStr">
        <is>
          <t>239B</t>
        </is>
      </c>
      <c r="X1200" s="0" t="n">
        <v>29</v>
      </c>
      <c r="Y1200" s="0" t="n">
        <v>22</v>
      </c>
      <c r="Z1200" s="0" t="inlineStr">
        <is>
          <t>https://new.land.naver.com/complexes/23767?tab=detail&amp;rf=Y</t>
        </is>
      </c>
      <c r="AA1200" s="0" t="inlineStr">
        <is>
          <t>인천시 남동구 논현동 601-1</t>
        </is>
      </c>
      <c r="AB1200" s="0" t="inlineStr">
        <is>
          <t>인천시</t>
        </is>
      </c>
      <c r="AC1200" s="0" t="inlineStr">
        <is>
          <t>남동구</t>
        </is>
      </c>
      <c r="AD1200" s="0" t="inlineStr">
        <is>
          <t>논현동</t>
        </is>
      </c>
      <c r="AG1200" s="0" t="inlineStr">
        <is>
          <t>인천시 남동구 논현로 235</t>
        </is>
      </c>
      <c r="AH1200" s="0" t="n">
        <v>0</v>
      </c>
      <c r="AI1200" s="0" t="n">
        <v>217</v>
      </c>
      <c r="AJ1200" s="0" t="n">
        <v>11</v>
      </c>
      <c r="AK1200" s="0" t="n">
        <v>1558</v>
      </c>
      <c r="AL1200" s="0" t="n">
        <v>1.75</v>
      </c>
    </row>
    <row r="1201">
      <c r="A1201" s="0" t="inlineStr">
        <is>
          <t>[논현동]</t>
        </is>
      </c>
      <c r="B1201" s="0" t="n">
        <v>23767</v>
      </c>
      <c r="C1201" s="0" t="n">
        <v>8</v>
      </c>
      <c r="D1201" s="0" t="inlineStr">
        <is>
          <t>별빛마을웰카운티</t>
        </is>
      </c>
      <c r="E1201" s="0" t="inlineStr">
        <is>
          <t>2008.07.</t>
        </is>
      </c>
      <c r="F1201" s="0" t="n">
        <v>888</v>
      </c>
      <c r="G1201" s="0" t="n">
        <v>72.41</v>
      </c>
      <c r="H1201" s="0" t="n">
        <v>239.38</v>
      </c>
      <c r="I1201" s="0" t="n">
        <v>57.99</v>
      </c>
      <c r="J1201" s="0" t="n">
        <v>191.71</v>
      </c>
      <c r="K1201" s="0" t="n">
        <v>2</v>
      </c>
      <c r="T1201" s="0" t="n">
        <v>4</v>
      </c>
      <c r="U1201" s="0" t="n">
        <v>3</v>
      </c>
      <c r="V1201" s="0" t="inlineStr">
        <is>
          <t>복합식</t>
        </is>
      </c>
      <c r="W1201" s="0" t="inlineStr">
        <is>
          <t>239C</t>
        </is>
      </c>
      <c r="X1201" s="0" t="n">
        <v>29</v>
      </c>
      <c r="Y1201" s="0" t="n">
        <v>22</v>
      </c>
      <c r="Z1201" s="0" t="inlineStr">
        <is>
          <t>https://new.land.naver.com/complexes/23767?tab=detail&amp;rf=Y</t>
        </is>
      </c>
      <c r="AA1201" s="0" t="inlineStr">
        <is>
          <t>인천시 남동구 논현동 601-1</t>
        </is>
      </c>
      <c r="AB1201" s="0" t="inlineStr">
        <is>
          <t>인천시</t>
        </is>
      </c>
      <c r="AC1201" s="0" t="inlineStr">
        <is>
          <t>남동구</t>
        </is>
      </c>
      <c r="AD1201" s="0" t="inlineStr">
        <is>
          <t>논현동</t>
        </is>
      </c>
      <c r="AG1201" s="0" t="inlineStr">
        <is>
          <t>인천시 남동구 논현로 235</t>
        </is>
      </c>
      <c r="AH1201" s="0" t="n">
        <v>0</v>
      </c>
      <c r="AI1201" s="0" t="n">
        <v>217</v>
      </c>
      <c r="AJ1201" s="0" t="n">
        <v>11</v>
      </c>
      <c r="AK1201" s="0" t="n">
        <v>1558</v>
      </c>
      <c r="AL1201" s="0" t="n">
        <v>1.75</v>
      </c>
    </row>
    <row r="1202">
      <c r="A1202" s="0" t="inlineStr">
        <is>
          <t>[논현동]</t>
        </is>
      </c>
      <c r="B1202" s="0" t="n">
        <v>22439</v>
      </c>
      <c r="C1202" s="0" t="n">
        <v>1</v>
      </c>
      <c r="D1202" s="0" t="inlineStr">
        <is>
          <t>논현신일해피트리</t>
        </is>
      </c>
      <c r="E1202" s="0" t="inlineStr">
        <is>
          <t>2007.05.</t>
        </is>
      </c>
      <c r="F1202" s="0" t="n">
        <v>828</v>
      </c>
      <c r="G1202" s="0" t="n">
        <v>38.44</v>
      </c>
      <c r="H1202" s="0" t="n">
        <v>127.08</v>
      </c>
      <c r="I1202" s="0" t="n">
        <v>30.81</v>
      </c>
      <c r="J1202" s="0" t="n">
        <v>101.87</v>
      </c>
      <c r="K1202" s="0" t="n">
        <v>164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127</v>
      </c>
      <c r="X1202" s="0" t="n">
        <v>24</v>
      </c>
      <c r="Y1202" s="0" t="n">
        <v>14</v>
      </c>
      <c r="Z1202" s="0" t="inlineStr">
        <is>
          <t>https://new.land.naver.com/complexes/22439?tab=detail&amp;rf=Y</t>
        </is>
      </c>
      <c r="AA1202" s="0" t="inlineStr">
        <is>
          <t>인천시 남동구 논현동 618-1</t>
        </is>
      </c>
      <c r="AB1202" s="0" t="inlineStr">
        <is>
          <t>인천시</t>
        </is>
      </c>
      <c r="AC1202" s="0" t="inlineStr">
        <is>
          <t>남동구</t>
        </is>
      </c>
      <c r="AD1202" s="0" t="inlineStr">
        <is>
          <t>논현동</t>
        </is>
      </c>
      <c r="AG1202" s="0" t="inlineStr">
        <is>
          <t>인천시 남동구 은봉로 288</t>
        </is>
      </c>
      <c r="AH1202" s="0" t="n">
        <v>0</v>
      </c>
      <c r="AI1202" s="0" t="n">
        <v>240</v>
      </c>
      <c r="AJ1202" s="0" t="n">
        <v>14</v>
      </c>
      <c r="AK1202" s="0" t="n">
        <v>1527</v>
      </c>
      <c r="AL1202" s="0" t="n">
        <v>1.84</v>
      </c>
    </row>
    <row r="1203">
      <c r="A1203" s="0" t="inlineStr">
        <is>
          <t>[논현동]</t>
        </is>
      </c>
      <c r="B1203" s="0" t="n">
        <v>22439</v>
      </c>
      <c r="C1203" s="0" t="n">
        <v>2</v>
      </c>
      <c r="D1203" s="0" t="inlineStr">
        <is>
          <t>논현신일해피트리</t>
        </is>
      </c>
      <c r="E1203" s="0" t="inlineStr">
        <is>
          <t>2007.05.</t>
        </is>
      </c>
      <c r="F1203" s="0" t="n">
        <v>828</v>
      </c>
      <c r="G1203" s="0" t="n">
        <v>44.34</v>
      </c>
      <c r="H1203" s="0" t="n">
        <v>146.59</v>
      </c>
      <c r="I1203" s="0" t="n">
        <v>35.33</v>
      </c>
      <c r="J1203" s="0" t="n">
        <v>116.8</v>
      </c>
      <c r="K1203" s="0" t="n">
        <v>172</v>
      </c>
      <c r="T1203" s="0" t="n">
        <v>4</v>
      </c>
      <c r="U1203" s="0" t="n">
        <v>2</v>
      </c>
      <c r="V1203" s="0" t="inlineStr">
        <is>
          <t>계단식</t>
        </is>
      </c>
      <c r="W1203" s="0" t="n">
        <v>146</v>
      </c>
      <c r="X1203" s="0" t="n">
        <v>24</v>
      </c>
      <c r="Y1203" s="0" t="n">
        <v>14</v>
      </c>
      <c r="Z1203" s="0" t="inlineStr">
        <is>
          <t>https://new.land.naver.com/complexes/22439?tab=detail&amp;rf=Y</t>
        </is>
      </c>
      <c r="AA1203" s="0" t="inlineStr">
        <is>
          <t>인천시 남동구 논현동 618-1</t>
        </is>
      </c>
      <c r="AB1203" s="0" t="inlineStr">
        <is>
          <t>인천시</t>
        </is>
      </c>
      <c r="AC1203" s="0" t="inlineStr">
        <is>
          <t>남동구</t>
        </is>
      </c>
      <c r="AD1203" s="0" t="inlineStr">
        <is>
          <t>논현동</t>
        </is>
      </c>
      <c r="AG1203" s="0" t="inlineStr">
        <is>
          <t>인천시 남동구 은봉로 288</t>
        </is>
      </c>
      <c r="AH1203" s="0" t="n">
        <v>0</v>
      </c>
      <c r="AI1203" s="0" t="n">
        <v>240</v>
      </c>
      <c r="AJ1203" s="0" t="n">
        <v>14</v>
      </c>
      <c r="AK1203" s="0" t="n">
        <v>1527</v>
      </c>
      <c r="AL1203" s="0" t="n">
        <v>1.84</v>
      </c>
    </row>
    <row r="1204">
      <c r="A1204" s="0" t="inlineStr">
        <is>
          <t>[논현동]</t>
        </is>
      </c>
      <c r="B1204" s="0" t="n">
        <v>22439</v>
      </c>
      <c r="C1204" s="0" t="n">
        <v>3</v>
      </c>
      <c r="D1204" s="0" t="inlineStr">
        <is>
          <t>논현신일해피트리</t>
        </is>
      </c>
      <c r="E1204" s="0" t="inlineStr">
        <is>
          <t>2007.05.</t>
        </is>
      </c>
      <c r="F1204" s="0" t="n">
        <v>828</v>
      </c>
      <c r="G1204" s="0" t="n">
        <v>48.79</v>
      </c>
      <c r="H1204" s="0" t="n">
        <v>161.32</v>
      </c>
      <c r="I1204" s="0" t="n">
        <v>40.8</v>
      </c>
      <c r="J1204" s="0" t="n">
        <v>134.89</v>
      </c>
      <c r="K1204" s="0" t="n">
        <v>400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161</v>
      </c>
      <c r="X1204" s="0" t="n">
        <v>24</v>
      </c>
      <c r="Y1204" s="0" t="n">
        <v>14</v>
      </c>
      <c r="Z1204" s="0" t="inlineStr">
        <is>
          <t>https://new.land.naver.com/complexes/22439?tab=detail&amp;rf=Y</t>
        </is>
      </c>
      <c r="AA1204" s="0" t="inlineStr">
        <is>
          <t>인천시 남동구 논현동 618-1</t>
        </is>
      </c>
      <c r="AB1204" s="0" t="inlineStr">
        <is>
          <t>인천시</t>
        </is>
      </c>
      <c r="AC1204" s="0" t="inlineStr">
        <is>
          <t>남동구</t>
        </is>
      </c>
      <c r="AD1204" s="0" t="inlineStr">
        <is>
          <t>논현동</t>
        </is>
      </c>
      <c r="AG1204" s="0" t="inlineStr">
        <is>
          <t>인천시 남동구 은봉로 288</t>
        </is>
      </c>
      <c r="AH1204" s="0" t="n">
        <v>0</v>
      </c>
      <c r="AI1204" s="0" t="n">
        <v>240</v>
      </c>
      <c r="AJ1204" s="0" t="n">
        <v>14</v>
      </c>
      <c r="AK1204" s="0" t="n">
        <v>1527</v>
      </c>
      <c r="AL1204" s="0" t="n">
        <v>1.84</v>
      </c>
    </row>
    <row r="1205">
      <c r="A1205" s="0" t="inlineStr">
        <is>
          <t>[논현동]</t>
        </is>
      </c>
      <c r="B1205" s="0" t="n">
        <v>22439</v>
      </c>
      <c r="C1205" s="0" t="n">
        <v>4</v>
      </c>
      <c r="D1205" s="0" t="inlineStr">
        <is>
          <t>논현신일해피트리</t>
        </is>
      </c>
      <c r="E1205" s="0" t="inlineStr">
        <is>
          <t>2007.05.</t>
        </is>
      </c>
      <c r="F1205" s="0" t="n">
        <v>828</v>
      </c>
      <c r="G1205" s="0" t="n">
        <v>55.52</v>
      </c>
      <c r="H1205" s="0" t="n">
        <v>183.57</v>
      </c>
      <c r="I1205" s="0" t="n">
        <v>47.23</v>
      </c>
      <c r="J1205" s="0" t="n">
        <v>156.16</v>
      </c>
      <c r="K1205" s="0" t="n">
        <v>88</v>
      </c>
      <c r="T1205" s="0" t="n">
        <v>4</v>
      </c>
      <c r="U1205" s="0" t="n">
        <v>3</v>
      </c>
      <c r="V1205" s="0" t="inlineStr">
        <is>
          <t>계단식</t>
        </is>
      </c>
      <c r="W1205" s="0" t="n">
        <v>183</v>
      </c>
      <c r="X1205" s="0" t="n">
        <v>24</v>
      </c>
      <c r="Y1205" s="0" t="n">
        <v>14</v>
      </c>
      <c r="Z1205" s="0" t="inlineStr">
        <is>
          <t>https://new.land.naver.com/complexes/22439?tab=detail&amp;rf=Y</t>
        </is>
      </c>
      <c r="AA1205" s="0" t="inlineStr">
        <is>
          <t>인천시 남동구 논현동 618-1</t>
        </is>
      </c>
      <c r="AB1205" s="0" t="inlineStr">
        <is>
          <t>인천시</t>
        </is>
      </c>
      <c r="AC1205" s="0" t="inlineStr">
        <is>
          <t>남동구</t>
        </is>
      </c>
      <c r="AD1205" s="0" t="inlineStr">
        <is>
          <t>논현동</t>
        </is>
      </c>
      <c r="AG1205" s="0" t="inlineStr">
        <is>
          <t>인천시 남동구 은봉로 288</t>
        </is>
      </c>
      <c r="AH1205" s="0" t="n">
        <v>0</v>
      </c>
      <c r="AI1205" s="0" t="n">
        <v>240</v>
      </c>
      <c r="AJ1205" s="0" t="n">
        <v>14</v>
      </c>
      <c r="AK1205" s="0" t="n">
        <v>1527</v>
      </c>
      <c r="AL1205" s="0" t="n">
        <v>1.84</v>
      </c>
    </row>
    <row r="1206">
      <c r="A1206" s="0" t="inlineStr">
        <is>
          <t>[논현동]</t>
        </is>
      </c>
      <c r="B1206" s="0" t="n">
        <v>22439</v>
      </c>
      <c r="C1206" s="0" t="n">
        <v>5</v>
      </c>
      <c r="D1206" s="0" t="inlineStr">
        <is>
          <t>논현신일해피트리</t>
        </is>
      </c>
      <c r="E1206" s="0" t="inlineStr">
        <is>
          <t>2007.05.</t>
        </is>
      </c>
      <c r="F1206" s="0" t="n">
        <v>828</v>
      </c>
      <c r="G1206" s="0" t="n">
        <v>69.59999999999999</v>
      </c>
      <c r="H1206" s="0" t="n">
        <v>230.09</v>
      </c>
      <c r="I1206" s="0" t="n">
        <v>56.42</v>
      </c>
      <c r="J1206" s="0" t="n">
        <v>186.54</v>
      </c>
      <c r="K1206" s="0" t="n">
        <v>4</v>
      </c>
      <c r="T1206" s="0" t="n">
        <v>4</v>
      </c>
      <c r="U1206" s="0" t="n">
        <v>3</v>
      </c>
      <c r="V1206" s="0" t="inlineStr">
        <is>
          <t>계단식</t>
        </is>
      </c>
      <c r="W1206" s="0" t="n">
        <v>230</v>
      </c>
      <c r="X1206" s="0" t="n">
        <v>24</v>
      </c>
      <c r="Y1206" s="0" t="n">
        <v>14</v>
      </c>
      <c r="Z1206" s="0" t="inlineStr">
        <is>
          <t>https://new.land.naver.com/complexes/22439?tab=detail&amp;rf=Y</t>
        </is>
      </c>
      <c r="AA1206" s="0" t="inlineStr">
        <is>
          <t>인천시 남동구 논현동 618-1</t>
        </is>
      </c>
      <c r="AB1206" s="0" t="inlineStr">
        <is>
          <t>인천시</t>
        </is>
      </c>
      <c r="AC1206" s="0" t="inlineStr">
        <is>
          <t>남동구</t>
        </is>
      </c>
      <c r="AD1206" s="0" t="inlineStr">
        <is>
          <t>논현동</t>
        </is>
      </c>
      <c r="AG1206" s="0" t="inlineStr">
        <is>
          <t>인천시 남동구 은봉로 288</t>
        </is>
      </c>
      <c r="AH1206" s="0" t="n">
        <v>0</v>
      </c>
      <c r="AI1206" s="0" t="n">
        <v>240</v>
      </c>
      <c r="AJ1206" s="0" t="n">
        <v>14</v>
      </c>
      <c r="AK1206" s="0" t="n">
        <v>1527</v>
      </c>
      <c r="AL1206" s="0" t="n">
        <v>1.84</v>
      </c>
    </row>
    <row r="1207">
      <c r="A1207" s="0" t="inlineStr">
        <is>
          <t>[논현동]</t>
        </is>
      </c>
      <c r="B1207" s="0" t="n">
        <v>19490</v>
      </c>
      <c r="C1207" s="0" t="n">
        <v>1</v>
      </c>
      <c r="D1207" s="0" t="inlineStr">
        <is>
          <t>동산마을휴먼시아</t>
        </is>
      </c>
      <c r="E1207" s="0" t="inlineStr">
        <is>
          <t>2006.07.</t>
        </is>
      </c>
      <c r="F1207" s="0" t="n">
        <v>833</v>
      </c>
      <c r="G1207" s="0" t="n">
        <v>32.53</v>
      </c>
      <c r="H1207" s="0" t="n">
        <v>107.55</v>
      </c>
      <c r="I1207" s="0" t="n">
        <v>25.59</v>
      </c>
      <c r="J1207" s="0" t="n">
        <v>84.59999999999999</v>
      </c>
      <c r="K1207" s="0" t="n">
        <v>749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107A</t>
        </is>
      </c>
      <c r="X1207" s="0" t="n">
        <v>22</v>
      </c>
      <c r="Y1207" s="0" t="n">
        <v>16</v>
      </c>
      <c r="Z1207" s="0" t="inlineStr">
        <is>
          <t>https://new.land.naver.com/complexes/19490?tab=detail&amp;rf=Y</t>
        </is>
      </c>
      <c r="AA1207" s="0" t="inlineStr">
        <is>
          <t>인천시 남동구 논현동 603-1</t>
        </is>
      </c>
      <c r="AB1207" s="0" t="inlineStr">
        <is>
          <t>인천시</t>
        </is>
      </c>
      <c r="AC1207" s="0" t="inlineStr">
        <is>
          <t>남동구</t>
        </is>
      </c>
      <c r="AD1207" s="0" t="inlineStr">
        <is>
          <t>논현동</t>
        </is>
      </c>
      <c r="AG1207" s="0" t="inlineStr">
        <is>
          <t>인천시 남동구 소래역로 119</t>
        </is>
      </c>
      <c r="AH1207" s="0" t="n">
        <v>0</v>
      </c>
      <c r="AI1207" s="0" t="n">
        <v>200</v>
      </c>
      <c r="AJ1207" s="0" t="n">
        <v>15</v>
      </c>
      <c r="AK1207" s="0" t="n">
        <v>865</v>
      </c>
      <c r="AL1207" s="0" t="n">
        <v>1.04</v>
      </c>
    </row>
    <row r="1208">
      <c r="A1208" s="0" t="inlineStr">
        <is>
          <t>[논현동]</t>
        </is>
      </c>
      <c r="B1208" s="0" t="n">
        <v>19490</v>
      </c>
      <c r="C1208" s="0" t="n">
        <v>2</v>
      </c>
      <c r="D1208" s="0" t="inlineStr">
        <is>
          <t>동산마을휴먼시아</t>
        </is>
      </c>
      <c r="E1208" s="0" t="inlineStr">
        <is>
          <t>2006.07.</t>
        </is>
      </c>
      <c r="F1208" s="0" t="n">
        <v>833</v>
      </c>
      <c r="G1208" s="0" t="n">
        <v>32.56</v>
      </c>
      <c r="H1208" s="0" t="n">
        <v>107.66</v>
      </c>
      <c r="I1208" s="0" t="n">
        <v>25.61</v>
      </c>
      <c r="J1208" s="0" t="n">
        <v>84.69</v>
      </c>
      <c r="K1208" s="0" t="n">
        <v>84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107B</t>
        </is>
      </c>
      <c r="X1208" s="0" t="n">
        <v>22</v>
      </c>
      <c r="Y1208" s="0" t="n">
        <v>16</v>
      </c>
      <c r="Z1208" s="0" t="inlineStr">
        <is>
          <t>https://new.land.naver.com/complexes/19490?tab=detail&amp;rf=Y</t>
        </is>
      </c>
      <c r="AA1208" s="0" t="inlineStr">
        <is>
          <t>인천시 남동구 논현동 603-1</t>
        </is>
      </c>
      <c r="AB1208" s="0" t="inlineStr">
        <is>
          <t>인천시</t>
        </is>
      </c>
      <c r="AC1208" s="0" t="inlineStr">
        <is>
          <t>남동구</t>
        </is>
      </c>
      <c r="AD1208" s="0" t="inlineStr">
        <is>
          <t>논현동</t>
        </is>
      </c>
      <c r="AG1208" s="0" t="inlineStr">
        <is>
          <t>인천시 남동구 소래역로 119</t>
        </is>
      </c>
      <c r="AH1208" s="0" t="n">
        <v>0</v>
      </c>
      <c r="AI1208" s="0" t="n">
        <v>200</v>
      </c>
      <c r="AJ1208" s="0" t="n">
        <v>15</v>
      </c>
      <c r="AK1208" s="0" t="n">
        <v>865</v>
      </c>
      <c r="AL1208" s="0" t="n">
        <v>1.04</v>
      </c>
    </row>
    <row r="1209">
      <c r="A1209" s="0" t="inlineStr">
        <is>
          <t>[논현동]</t>
        </is>
      </c>
      <c r="B1209" s="0" t="n">
        <v>132412</v>
      </c>
      <c r="C1209" s="0" t="n">
        <v>1</v>
      </c>
      <c r="D1209" s="0" t="inlineStr">
        <is>
          <t>인천소래LH4단지</t>
        </is>
      </c>
      <c r="E1209" s="0" t="inlineStr">
        <is>
          <t>2014.11.</t>
        </is>
      </c>
      <c r="F1209" s="0" t="n">
        <v>820</v>
      </c>
      <c r="G1209" s="0" t="n">
        <v>25.6</v>
      </c>
      <c r="H1209" s="0" t="n">
        <v>84.64</v>
      </c>
      <c r="I1209" s="0" t="n">
        <v>18.1</v>
      </c>
      <c r="J1209" s="0" t="n">
        <v>59.84</v>
      </c>
      <c r="K1209" s="0" t="n">
        <v>332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84B</t>
        </is>
      </c>
      <c r="X1209" s="0" t="n">
        <v>29</v>
      </c>
      <c r="Y1209" s="0" t="n">
        <v>25</v>
      </c>
      <c r="Z1209" s="0" t="inlineStr">
        <is>
          <t>https://new.land.naver.com/complexes/132412?tab=detail&amp;rf=Y</t>
        </is>
      </c>
      <c r="AA1209" s="0" t="inlineStr">
        <is>
          <t>인천시 남동구 논현동 749-1</t>
        </is>
      </c>
      <c r="AB1209" s="0" t="inlineStr">
        <is>
          <t>인천시</t>
        </is>
      </c>
      <c r="AC1209" s="0" t="inlineStr">
        <is>
          <t>남동구</t>
        </is>
      </c>
      <c r="AD1209" s="0" t="inlineStr">
        <is>
          <t>논현동</t>
        </is>
      </c>
      <c r="AG1209" s="0" t="inlineStr">
        <is>
          <t>인천시 남동구 논고개로68번길 34</t>
        </is>
      </c>
      <c r="AH1209" s="0" t="n">
        <v>0</v>
      </c>
      <c r="AI1209" s="0" t="n">
        <v>179</v>
      </c>
      <c r="AJ1209" s="0" t="n">
        <v>13</v>
      </c>
      <c r="AK1209" s="0" t="n">
        <v>932</v>
      </c>
      <c r="AL1209" s="0" t="n">
        <v>1.14</v>
      </c>
    </row>
    <row r="1210">
      <c r="A1210" s="0" t="inlineStr">
        <is>
          <t>[논현동]</t>
        </is>
      </c>
      <c r="B1210" s="0" t="n">
        <v>132412</v>
      </c>
      <c r="C1210" s="0" t="n">
        <v>2</v>
      </c>
      <c r="D1210" s="0" t="inlineStr">
        <is>
          <t>인천소래LH4단지</t>
        </is>
      </c>
      <c r="E1210" s="0" t="inlineStr">
        <is>
          <t>2014.11.</t>
        </is>
      </c>
      <c r="F1210" s="0" t="n">
        <v>820</v>
      </c>
      <c r="G1210" s="0" t="n">
        <v>25.49</v>
      </c>
      <c r="H1210" s="0" t="n">
        <v>84.27</v>
      </c>
      <c r="I1210" s="0" t="n">
        <v>18.02</v>
      </c>
      <c r="J1210" s="0" t="n">
        <v>59.58</v>
      </c>
      <c r="K1210" s="0" t="n">
        <v>174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84A2</t>
        </is>
      </c>
      <c r="X1210" s="0" t="n">
        <v>29</v>
      </c>
      <c r="Y1210" s="0" t="n">
        <v>25</v>
      </c>
      <c r="Z1210" s="0" t="inlineStr">
        <is>
          <t>https://new.land.naver.com/complexes/132412?tab=detail&amp;rf=Y</t>
        </is>
      </c>
      <c r="AA1210" s="0" t="inlineStr">
        <is>
          <t>인천시 남동구 논현동 749-1</t>
        </is>
      </c>
      <c r="AB1210" s="0" t="inlineStr">
        <is>
          <t>인천시</t>
        </is>
      </c>
      <c r="AC1210" s="0" t="inlineStr">
        <is>
          <t>남동구</t>
        </is>
      </c>
      <c r="AD1210" s="0" t="inlineStr">
        <is>
          <t>논현동</t>
        </is>
      </c>
      <c r="AG1210" s="0" t="inlineStr">
        <is>
          <t>인천시 남동구 논고개로68번길 34</t>
        </is>
      </c>
      <c r="AH1210" s="0" t="n">
        <v>0</v>
      </c>
      <c r="AI1210" s="0" t="n">
        <v>179</v>
      </c>
      <c r="AJ1210" s="0" t="n">
        <v>13</v>
      </c>
      <c r="AK1210" s="0" t="n">
        <v>932</v>
      </c>
      <c r="AL1210" s="0" t="n">
        <v>1.14</v>
      </c>
    </row>
    <row r="1211">
      <c r="A1211" s="0" t="inlineStr">
        <is>
          <t>[논현동]</t>
        </is>
      </c>
      <c r="B1211" s="0" t="n">
        <v>132412</v>
      </c>
      <c r="C1211" s="0" t="n">
        <v>3</v>
      </c>
      <c r="D1211" s="0" t="inlineStr">
        <is>
          <t>인천소래LH4단지</t>
        </is>
      </c>
      <c r="E1211" s="0" t="inlineStr">
        <is>
          <t>2014.11.</t>
        </is>
      </c>
      <c r="F1211" s="0" t="n">
        <v>820</v>
      </c>
      <c r="G1211" s="0" t="n">
        <v>25.49</v>
      </c>
      <c r="H1211" s="0" t="n">
        <v>84.27</v>
      </c>
      <c r="I1211" s="0" t="n">
        <v>18.02</v>
      </c>
      <c r="J1211" s="0" t="n">
        <v>59.58</v>
      </c>
      <c r="K1211" s="0" t="n">
        <v>158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84A1</t>
        </is>
      </c>
      <c r="X1211" s="0" t="n">
        <v>29</v>
      </c>
      <c r="Y1211" s="0" t="n">
        <v>25</v>
      </c>
      <c r="Z1211" s="0" t="inlineStr">
        <is>
          <t>https://new.land.naver.com/complexes/132412?tab=detail&amp;rf=Y</t>
        </is>
      </c>
      <c r="AA1211" s="0" t="inlineStr">
        <is>
          <t>인천시 남동구 논현동 749-1</t>
        </is>
      </c>
      <c r="AB1211" s="0" t="inlineStr">
        <is>
          <t>인천시</t>
        </is>
      </c>
      <c r="AC1211" s="0" t="inlineStr">
        <is>
          <t>남동구</t>
        </is>
      </c>
      <c r="AD1211" s="0" t="inlineStr">
        <is>
          <t>논현동</t>
        </is>
      </c>
      <c r="AG1211" s="0" t="inlineStr">
        <is>
          <t>인천시 남동구 논고개로68번길 34</t>
        </is>
      </c>
      <c r="AH1211" s="0" t="n">
        <v>0</v>
      </c>
      <c r="AI1211" s="0" t="n">
        <v>179</v>
      </c>
      <c r="AJ1211" s="0" t="n">
        <v>13</v>
      </c>
      <c r="AK1211" s="0" t="n">
        <v>932</v>
      </c>
      <c r="AL1211" s="0" t="n">
        <v>1.14</v>
      </c>
    </row>
    <row r="1212">
      <c r="A1212" s="0" t="inlineStr">
        <is>
          <t>[논현동]</t>
        </is>
      </c>
      <c r="B1212" s="0" t="n">
        <v>132412</v>
      </c>
      <c r="C1212" s="0" t="n">
        <v>4</v>
      </c>
      <c r="D1212" s="0" t="inlineStr">
        <is>
          <t>인천소래LH4단지</t>
        </is>
      </c>
      <c r="E1212" s="0" t="inlineStr">
        <is>
          <t>2014.11.</t>
        </is>
      </c>
      <c r="F1212" s="0" t="n">
        <v>820</v>
      </c>
      <c r="G1212" s="0" t="n">
        <v>25.6</v>
      </c>
      <c r="H1212" s="0" t="n">
        <v>84.64</v>
      </c>
      <c r="I1212" s="0" t="n">
        <v>18.1</v>
      </c>
      <c r="J1212" s="0" t="n">
        <v>59.84</v>
      </c>
      <c r="K1212" s="0" t="n">
        <v>156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84C</t>
        </is>
      </c>
      <c r="X1212" s="0" t="n">
        <v>29</v>
      </c>
      <c r="Y1212" s="0" t="n">
        <v>25</v>
      </c>
      <c r="Z1212" s="0" t="inlineStr">
        <is>
          <t>https://new.land.naver.com/complexes/132412?tab=detail&amp;rf=Y</t>
        </is>
      </c>
      <c r="AA1212" s="0" t="inlineStr">
        <is>
          <t>인천시 남동구 논현동 749-1</t>
        </is>
      </c>
      <c r="AB1212" s="0" t="inlineStr">
        <is>
          <t>인천시</t>
        </is>
      </c>
      <c r="AC1212" s="0" t="inlineStr">
        <is>
          <t>남동구</t>
        </is>
      </c>
      <c r="AD1212" s="0" t="inlineStr">
        <is>
          <t>논현동</t>
        </is>
      </c>
      <c r="AG1212" s="0" t="inlineStr">
        <is>
          <t>인천시 남동구 논고개로68번길 34</t>
        </is>
      </c>
      <c r="AH1212" s="0" t="n">
        <v>0</v>
      </c>
      <c r="AI1212" s="0" t="n">
        <v>179</v>
      </c>
      <c r="AJ1212" s="0" t="n">
        <v>13</v>
      </c>
      <c r="AK1212" s="0" t="n">
        <v>932</v>
      </c>
      <c r="AL1212" s="0" t="n">
        <v>1.14</v>
      </c>
    </row>
    <row r="1213">
      <c r="A1213" s="0" t="inlineStr">
        <is>
          <t>[논현동]</t>
        </is>
      </c>
      <c r="B1213" s="0" t="n">
        <v>22103</v>
      </c>
      <c r="C1213" s="0" t="n">
        <v>1</v>
      </c>
      <c r="D1213" s="0" t="inlineStr">
        <is>
          <t>냇마을신영지웰</t>
        </is>
      </c>
      <c r="E1213" s="0" t="inlineStr">
        <is>
          <t>2007.10.</t>
        </is>
      </c>
      <c r="F1213" s="0" t="n">
        <v>985</v>
      </c>
      <c r="G1213" s="0" t="n">
        <v>36.89</v>
      </c>
      <c r="H1213" s="0" t="n">
        <v>121.96</v>
      </c>
      <c r="I1213" s="0" t="n">
        <v>29.19</v>
      </c>
      <c r="J1213" s="0" t="n">
        <v>96.52</v>
      </c>
      <c r="K1213" s="0" t="n">
        <v>460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121</v>
      </c>
      <c r="X1213" s="0" t="n">
        <v>27</v>
      </c>
      <c r="Y1213" s="0" t="n">
        <v>19</v>
      </c>
      <c r="Z1213" s="0" t="inlineStr">
        <is>
          <t>https://new.land.naver.com/complexes/22103?tab=detail&amp;rf=Y</t>
        </is>
      </c>
      <c r="AA1213" s="0" t="inlineStr">
        <is>
          <t>인천시 남동구 논현동 604-1</t>
        </is>
      </c>
      <c r="AB1213" s="0" t="inlineStr">
        <is>
          <t>인천시</t>
        </is>
      </c>
      <c r="AC1213" s="0" t="inlineStr">
        <is>
          <t>남동구</t>
        </is>
      </c>
      <c r="AD1213" s="0" t="inlineStr">
        <is>
          <t>논현동</t>
        </is>
      </c>
      <c r="AG1213" s="0" t="inlineStr">
        <is>
          <t>인천시 남동구 소래역로 93</t>
        </is>
      </c>
      <c r="AH1213" s="0" t="n">
        <v>0</v>
      </c>
      <c r="AI1213" s="0" t="n">
        <v>224</v>
      </c>
      <c r="AJ1213" s="0" t="n">
        <v>13</v>
      </c>
      <c r="AK1213" s="0" t="n">
        <v>1709</v>
      </c>
      <c r="AL1213" s="0" t="n">
        <v>1.74</v>
      </c>
    </row>
    <row r="1214">
      <c r="A1214" s="0" t="inlineStr">
        <is>
          <t>[논현동]</t>
        </is>
      </c>
      <c r="B1214" s="0" t="n">
        <v>22103</v>
      </c>
      <c r="C1214" s="0" t="n">
        <v>2</v>
      </c>
      <c r="D1214" s="0" t="inlineStr">
        <is>
          <t>냇마을신영지웰</t>
        </is>
      </c>
      <c r="E1214" s="0" t="inlineStr">
        <is>
          <t>2007.10.</t>
        </is>
      </c>
      <c r="F1214" s="0" t="n">
        <v>985</v>
      </c>
      <c r="G1214" s="0" t="n">
        <v>48.97</v>
      </c>
      <c r="H1214" s="0" t="n">
        <v>161.9</v>
      </c>
      <c r="I1214" s="0" t="n">
        <v>39.89</v>
      </c>
      <c r="J1214" s="0" t="n">
        <v>131.89</v>
      </c>
      <c r="K1214" s="0" t="n">
        <v>378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161</v>
      </c>
      <c r="X1214" s="0" t="n">
        <v>27</v>
      </c>
      <c r="Y1214" s="0" t="n">
        <v>19</v>
      </c>
      <c r="Z1214" s="0" t="inlineStr">
        <is>
          <t>https://new.land.naver.com/complexes/22103?tab=detail&amp;rf=Y</t>
        </is>
      </c>
      <c r="AA1214" s="0" t="inlineStr">
        <is>
          <t>인천시 남동구 논현동 604-1</t>
        </is>
      </c>
      <c r="AB1214" s="0" t="inlineStr">
        <is>
          <t>인천시</t>
        </is>
      </c>
      <c r="AC1214" s="0" t="inlineStr">
        <is>
          <t>남동구</t>
        </is>
      </c>
      <c r="AD1214" s="0" t="inlineStr">
        <is>
          <t>논현동</t>
        </is>
      </c>
      <c r="AG1214" s="0" t="inlineStr">
        <is>
          <t>인천시 남동구 소래역로 93</t>
        </is>
      </c>
      <c r="AH1214" s="0" t="n">
        <v>0</v>
      </c>
      <c r="AI1214" s="0" t="n">
        <v>224</v>
      </c>
      <c r="AJ1214" s="0" t="n">
        <v>13</v>
      </c>
      <c r="AK1214" s="0" t="n">
        <v>1709</v>
      </c>
      <c r="AL1214" s="0" t="n">
        <v>1.74</v>
      </c>
    </row>
    <row r="1215">
      <c r="A1215" s="0" t="inlineStr">
        <is>
          <t>[논현동]</t>
        </is>
      </c>
      <c r="B1215" s="0" t="n">
        <v>22103</v>
      </c>
      <c r="C1215" s="0" t="n">
        <v>3</v>
      </c>
      <c r="D1215" s="0" t="inlineStr">
        <is>
          <t>냇마을신영지웰</t>
        </is>
      </c>
      <c r="E1215" s="0" t="inlineStr">
        <is>
          <t>2007.10.</t>
        </is>
      </c>
      <c r="F1215" s="0" t="n">
        <v>985</v>
      </c>
      <c r="G1215" s="0" t="n">
        <v>56.2</v>
      </c>
      <c r="H1215" s="0" t="n">
        <v>185.8</v>
      </c>
      <c r="I1215" s="0" t="n">
        <v>46.15</v>
      </c>
      <c r="J1215" s="0" t="n">
        <v>152.57</v>
      </c>
      <c r="K1215" s="0" t="n">
        <v>120</v>
      </c>
      <c r="T1215" s="0" t="n">
        <v>5</v>
      </c>
      <c r="U1215" s="0" t="n">
        <v>2</v>
      </c>
      <c r="V1215" s="0" t="inlineStr">
        <is>
          <t>계단식</t>
        </is>
      </c>
      <c r="W1215" s="0" t="n">
        <v>185</v>
      </c>
      <c r="X1215" s="0" t="n">
        <v>27</v>
      </c>
      <c r="Y1215" s="0" t="n">
        <v>19</v>
      </c>
      <c r="Z1215" s="0" t="inlineStr">
        <is>
          <t>https://new.land.naver.com/complexes/22103?tab=detail&amp;rf=Y</t>
        </is>
      </c>
      <c r="AA1215" s="0" t="inlineStr">
        <is>
          <t>인천시 남동구 논현동 604-1</t>
        </is>
      </c>
      <c r="AB1215" s="0" t="inlineStr">
        <is>
          <t>인천시</t>
        </is>
      </c>
      <c r="AC1215" s="0" t="inlineStr">
        <is>
          <t>남동구</t>
        </is>
      </c>
      <c r="AD1215" s="0" t="inlineStr">
        <is>
          <t>논현동</t>
        </is>
      </c>
      <c r="AG1215" s="0" t="inlineStr">
        <is>
          <t>인천시 남동구 소래역로 93</t>
        </is>
      </c>
      <c r="AH1215" s="0" t="n">
        <v>0</v>
      </c>
      <c r="AI1215" s="0" t="n">
        <v>224</v>
      </c>
      <c r="AJ1215" s="0" t="n">
        <v>13</v>
      </c>
      <c r="AK1215" s="0" t="n">
        <v>1709</v>
      </c>
      <c r="AL1215" s="0" t="n">
        <v>1.74</v>
      </c>
    </row>
    <row r="1216">
      <c r="A1216" s="0" t="inlineStr">
        <is>
          <t>[논현동]</t>
        </is>
      </c>
      <c r="B1216" s="0" t="n">
        <v>22103</v>
      </c>
      <c r="C1216" s="0" t="n">
        <v>4</v>
      </c>
      <c r="D1216" s="0" t="inlineStr">
        <is>
          <t>냇마을신영지웰</t>
        </is>
      </c>
      <c r="E1216" s="0" t="inlineStr">
        <is>
          <t>2007.10.</t>
        </is>
      </c>
      <c r="F1216" s="0" t="n">
        <v>985</v>
      </c>
      <c r="G1216" s="0" t="n">
        <v>72.42</v>
      </c>
      <c r="H1216" s="0" t="n">
        <v>239.43</v>
      </c>
      <c r="I1216" s="0" t="n">
        <v>58.19</v>
      </c>
      <c r="J1216" s="0" t="n">
        <v>192.39</v>
      </c>
      <c r="K1216" s="0" t="n">
        <v>10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239</v>
      </c>
      <c r="X1216" s="0" t="n">
        <v>27</v>
      </c>
      <c r="Y1216" s="0" t="n">
        <v>19</v>
      </c>
      <c r="Z1216" s="0" t="inlineStr">
        <is>
          <t>https://new.land.naver.com/complexes/22103?tab=detail&amp;rf=Y</t>
        </is>
      </c>
      <c r="AA1216" s="0" t="inlineStr">
        <is>
          <t>인천시 남동구 논현동 604-1</t>
        </is>
      </c>
      <c r="AB1216" s="0" t="inlineStr">
        <is>
          <t>인천시</t>
        </is>
      </c>
      <c r="AC1216" s="0" t="inlineStr">
        <is>
          <t>남동구</t>
        </is>
      </c>
      <c r="AD1216" s="0" t="inlineStr">
        <is>
          <t>논현동</t>
        </is>
      </c>
      <c r="AG1216" s="0" t="inlineStr">
        <is>
          <t>인천시 남동구 소래역로 93</t>
        </is>
      </c>
      <c r="AH1216" s="0" t="n">
        <v>0</v>
      </c>
      <c r="AI1216" s="0" t="n">
        <v>224</v>
      </c>
      <c r="AJ1216" s="0" t="n">
        <v>13</v>
      </c>
      <c r="AK1216" s="0" t="n">
        <v>1709</v>
      </c>
      <c r="AL1216" s="0" t="n">
        <v>1.74</v>
      </c>
    </row>
    <row r="1217">
      <c r="A1217" s="0" t="inlineStr">
        <is>
          <t>[논현동]</t>
        </is>
      </c>
      <c r="B1217" s="0" t="n">
        <v>22103</v>
      </c>
      <c r="C1217" s="0" t="n">
        <v>5</v>
      </c>
      <c r="D1217" s="0" t="inlineStr">
        <is>
          <t>냇마을신영지웰</t>
        </is>
      </c>
      <c r="E1217" s="0" t="inlineStr">
        <is>
          <t>2007.10.</t>
        </is>
      </c>
      <c r="F1217" s="0" t="n">
        <v>985</v>
      </c>
      <c r="G1217" s="0" t="n">
        <v>78.65000000000001</v>
      </c>
      <c r="H1217" s="0" t="n">
        <v>260.03</v>
      </c>
      <c r="I1217" s="0" t="n">
        <v>62.85</v>
      </c>
      <c r="J1217" s="0" t="n">
        <v>207.78</v>
      </c>
      <c r="K1217" s="0" t="n">
        <v>17</v>
      </c>
      <c r="T1217" s="0" t="n">
        <v>4</v>
      </c>
      <c r="U1217" s="0" t="n">
        <v>4</v>
      </c>
      <c r="V1217" s="0" t="inlineStr">
        <is>
          <t>계단식</t>
        </is>
      </c>
      <c r="W1217" s="0" t="n">
        <v>260</v>
      </c>
      <c r="X1217" s="0" t="n">
        <v>27</v>
      </c>
      <c r="Y1217" s="0" t="n">
        <v>19</v>
      </c>
      <c r="Z1217" s="0" t="inlineStr">
        <is>
          <t>https://new.land.naver.com/complexes/22103?tab=detail&amp;rf=Y</t>
        </is>
      </c>
      <c r="AA1217" s="0" t="inlineStr">
        <is>
          <t>인천시 남동구 논현동 604-1</t>
        </is>
      </c>
      <c r="AB1217" s="0" t="inlineStr">
        <is>
          <t>인천시</t>
        </is>
      </c>
      <c r="AC1217" s="0" t="inlineStr">
        <is>
          <t>남동구</t>
        </is>
      </c>
      <c r="AD1217" s="0" t="inlineStr">
        <is>
          <t>논현동</t>
        </is>
      </c>
      <c r="AG1217" s="0" t="inlineStr">
        <is>
          <t>인천시 남동구 소래역로 93</t>
        </is>
      </c>
      <c r="AH1217" s="0" t="n">
        <v>0</v>
      </c>
      <c r="AI1217" s="0" t="n">
        <v>224</v>
      </c>
      <c r="AJ1217" s="0" t="n">
        <v>13</v>
      </c>
      <c r="AK1217" s="0" t="n">
        <v>1709</v>
      </c>
      <c r="AL1217" s="0" t="n">
        <v>1.74</v>
      </c>
    </row>
    <row r="1218">
      <c r="A1218" s="0" t="inlineStr">
        <is>
          <t>[논현동]</t>
        </is>
      </c>
      <c r="B1218" s="0" t="n">
        <v>101655</v>
      </c>
      <c r="C1218" s="0" t="n">
        <v>1</v>
      </c>
      <c r="D1218" s="0" t="inlineStr">
        <is>
          <t>논현유호엔시티2단지</t>
        </is>
      </c>
      <c r="E1218" s="0" t="inlineStr">
        <is>
          <t>2013.05.</t>
        </is>
      </c>
      <c r="F1218" s="0" t="n">
        <v>95</v>
      </c>
      <c r="G1218" s="0" t="n">
        <v>33.59</v>
      </c>
      <c r="H1218" s="0" t="n">
        <v>111.05</v>
      </c>
      <c r="I1218" s="0" t="n">
        <v>25.7</v>
      </c>
      <c r="J1218" s="0" t="n">
        <v>84.98</v>
      </c>
      <c r="K1218" s="0" t="n">
        <v>57</v>
      </c>
      <c r="T1218" s="0" t="n">
        <v>3</v>
      </c>
      <c r="U1218" s="0" t="n">
        <v>2</v>
      </c>
      <c r="V1218" s="0" t="inlineStr">
        <is>
          <t>계단식</t>
        </is>
      </c>
      <c r="W1218" s="0" t="inlineStr">
        <is>
          <t>111B</t>
        </is>
      </c>
      <c r="X1218" s="0" t="n">
        <v>20</v>
      </c>
      <c r="Y1218" s="0" t="n">
        <v>20</v>
      </c>
      <c r="Z1218" s="0" t="inlineStr">
        <is>
          <t>https://new.land.naver.com/complexes/101655?tab=detail&amp;rf=Y</t>
        </is>
      </c>
      <c r="AA1218" s="0" t="inlineStr">
        <is>
          <t>인천시 남동구 논현동 66-5</t>
        </is>
      </c>
      <c r="AB1218" s="0" t="inlineStr">
        <is>
          <t>인천시</t>
        </is>
      </c>
      <c r="AC1218" s="0" t="inlineStr">
        <is>
          <t>남동구</t>
        </is>
      </c>
      <c r="AD1218" s="0" t="inlineStr">
        <is>
          <t>논현동</t>
        </is>
      </c>
      <c r="AG1218" s="0" t="inlineStr">
        <is>
          <t>인천시 남동구 포구로 45</t>
        </is>
      </c>
      <c r="AH1218" s="0" t="n">
        <v>0</v>
      </c>
      <c r="AI1218" s="0" t="n">
        <v>567</v>
      </c>
      <c r="AJ1218" s="0" t="n">
        <v>57</v>
      </c>
      <c r="AK1218" s="0" t="n">
        <v>100</v>
      </c>
      <c r="AL1218" s="0" t="n">
        <v>1.05</v>
      </c>
    </row>
    <row r="1219">
      <c r="A1219" s="0" t="inlineStr">
        <is>
          <t>[논현동]</t>
        </is>
      </c>
      <c r="B1219" s="0" t="n">
        <v>101655</v>
      </c>
      <c r="C1219" s="0" t="n">
        <v>2</v>
      </c>
      <c r="D1219" s="0" t="inlineStr">
        <is>
          <t>논현유호엔시티2단지</t>
        </is>
      </c>
      <c r="E1219" s="0" t="inlineStr">
        <is>
          <t>2013.05.</t>
        </is>
      </c>
      <c r="F1219" s="0" t="n">
        <v>95</v>
      </c>
      <c r="G1219" s="0" t="n">
        <v>33.6</v>
      </c>
      <c r="H1219" s="0" t="n">
        <v>111.09</v>
      </c>
      <c r="I1219" s="0" t="n">
        <v>25.7</v>
      </c>
      <c r="J1219" s="0" t="n">
        <v>84.98</v>
      </c>
      <c r="K1219" s="0" t="n">
        <v>38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111A</t>
        </is>
      </c>
      <c r="X1219" s="0" t="n">
        <v>20</v>
      </c>
      <c r="Y1219" s="0" t="n">
        <v>20</v>
      </c>
      <c r="Z1219" s="0" t="inlineStr">
        <is>
          <t>https://new.land.naver.com/complexes/101655?tab=detail&amp;rf=Y</t>
        </is>
      </c>
      <c r="AA1219" s="0" t="inlineStr">
        <is>
          <t>인천시 남동구 논현동 66-5</t>
        </is>
      </c>
      <c r="AB1219" s="0" t="inlineStr">
        <is>
          <t>인천시</t>
        </is>
      </c>
      <c r="AC1219" s="0" t="inlineStr">
        <is>
          <t>남동구</t>
        </is>
      </c>
      <c r="AD1219" s="0" t="inlineStr">
        <is>
          <t>논현동</t>
        </is>
      </c>
      <c r="AG1219" s="0" t="inlineStr">
        <is>
          <t>인천시 남동구 포구로 45</t>
        </is>
      </c>
      <c r="AH1219" s="0" t="n">
        <v>0</v>
      </c>
      <c r="AI1219" s="0" t="n">
        <v>567</v>
      </c>
      <c r="AJ1219" s="0" t="n">
        <v>57</v>
      </c>
      <c r="AK1219" s="0" t="n">
        <v>100</v>
      </c>
      <c r="AL1219" s="0" t="n">
        <v>1.05</v>
      </c>
    </row>
    <row r="1220">
      <c r="A1220" s="0" t="inlineStr">
        <is>
          <t>[논현동]</t>
        </is>
      </c>
      <c r="B1220" s="0" t="n">
        <v>8144</v>
      </c>
      <c r="C1220" s="0" t="n">
        <v>1</v>
      </c>
      <c r="D1220" s="0" t="inlineStr">
        <is>
          <t>소래마을풍림</t>
        </is>
      </c>
      <c r="E1220" s="0" t="inlineStr">
        <is>
          <t>2000.03.</t>
        </is>
      </c>
      <c r="F1220" s="0" t="n">
        <v>1517</v>
      </c>
      <c r="G1220" s="0" t="n">
        <v>24.55</v>
      </c>
      <c r="H1220" s="0" t="n">
        <v>81.16</v>
      </c>
      <c r="I1220" s="0" t="n">
        <v>18.05</v>
      </c>
      <c r="J1220" s="0" t="n">
        <v>59.7</v>
      </c>
      <c r="K1220" s="0" t="n">
        <v>616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81</v>
      </c>
      <c r="X1220" s="0" t="n">
        <v>20</v>
      </c>
      <c r="Y1220" s="0" t="n">
        <v>13</v>
      </c>
      <c r="Z1220" s="0" t="inlineStr">
        <is>
          <t>https://new.land.naver.com/complexes/8144?tab=detail&amp;rf=Y</t>
        </is>
      </c>
      <c r="AA1220" s="0" t="inlineStr">
        <is>
          <t>인천시 남동구 논현동 577</t>
        </is>
      </c>
      <c r="AB1220" s="0" t="inlineStr">
        <is>
          <t>인천시</t>
        </is>
      </c>
      <c r="AC1220" s="0" t="inlineStr">
        <is>
          <t>남동구</t>
        </is>
      </c>
      <c r="AD1220" s="0" t="inlineStr">
        <is>
          <t>논현동</t>
        </is>
      </c>
      <c r="AG1220" s="0" t="inlineStr">
        <is>
          <t>인천시 남동구 청능대로718번길 7</t>
        </is>
      </c>
      <c r="AH1220" s="0" t="n">
        <v>0</v>
      </c>
      <c r="AI1220" s="0" t="n">
        <v>302</v>
      </c>
      <c r="AJ1220" s="0" t="n">
        <v>23</v>
      </c>
      <c r="AK1220" s="0" t="n">
        <v>1574</v>
      </c>
      <c r="AL1220" s="0" t="n">
        <v>1.04</v>
      </c>
    </row>
    <row r="1221">
      <c r="A1221" s="0" t="inlineStr">
        <is>
          <t>[논현동]</t>
        </is>
      </c>
      <c r="B1221" s="0" t="n">
        <v>8144</v>
      </c>
      <c r="C1221" s="0" t="n">
        <v>2</v>
      </c>
      <c r="D1221" s="0" t="inlineStr">
        <is>
          <t>소래마을풍림</t>
        </is>
      </c>
      <c r="E1221" s="0" t="inlineStr">
        <is>
          <t>2000.03.</t>
        </is>
      </c>
      <c r="F1221" s="0" t="n">
        <v>1517</v>
      </c>
      <c r="G1221" s="0" t="n">
        <v>32.95</v>
      </c>
      <c r="H1221" s="0" t="n">
        <v>108.94</v>
      </c>
      <c r="I1221" s="0" t="n">
        <v>25.71</v>
      </c>
      <c r="J1221" s="0" t="n">
        <v>85</v>
      </c>
      <c r="K1221" s="0" t="n">
        <v>752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108</v>
      </c>
      <c r="X1221" s="0" t="n">
        <v>20</v>
      </c>
      <c r="Y1221" s="0" t="n">
        <v>13</v>
      </c>
      <c r="Z1221" s="0" t="inlineStr">
        <is>
          <t>https://new.land.naver.com/complexes/8144?tab=detail&amp;rf=Y</t>
        </is>
      </c>
      <c r="AA1221" s="0" t="inlineStr">
        <is>
          <t>인천시 남동구 논현동 577</t>
        </is>
      </c>
      <c r="AB1221" s="0" t="inlineStr">
        <is>
          <t>인천시</t>
        </is>
      </c>
      <c r="AC1221" s="0" t="inlineStr">
        <is>
          <t>남동구</t>
        </is>
      </c>
      <c r="AD1221" s="0" t="inlineStr">
        <is>
          <t>논현동</t>
        </is>
      </c>
      <c r="AG1221" s="0" t="inlineStr">
        <is>
          <t>인천시 남동구 청능대로718번길 7</t>
        </is>
      </c>
      <c r="AH1221" s="0" t="n">
        <v>0</v>
      </c>
      <c r="AI1221" s="0" t="n">
        <v>302</v>
      </c>
      <c r="AJ1221" s="0" t="n">
        <v>23</v>
      </c>
      <c r="AK1221" s="0" t="n">
        <v>1574</v>
      </c>
      <c r="AL1221" s="0" t="n">
        <v>1.04</v>
      </c>
    </row>
    <row r="1222">
      <c r="A1222" s="0" t="inlineStr">
        <is>
          <t>[논현동]</t>
        </is>
      </c>
      <c r="B1222" s="0" t="n">
        <v>8144</v>
      </c>
      <c r="C1222" s="0" t="n">
        <v>3</v>
      </c>
      <c r="D1222" s="0" t="inlineStr">
        <is>
          <t>소래마을풍림</t>
        </is>
      </c>
      <c r="E1222" s="0" t="inlineStr">
        <is>
          <t>2000.03.</t>
        </is>
      </c>
      <c r="F1222" s="0" t="n">
        <v>1517</v>
      </c>
      <c r="G1222" s="0" t="n">
        <v>39.01</v>
      </c>
      <c r="H1222" s="0" t="n">
        <v>128.99</v>
      </c>
      <c r="I1222" s="0" t="n">
        <v>30.55</v>
      </c>
      <c r="J1222" s="0" t="n">
        <v>101.02</v>
      </c>
      <c r="K1222" s="0" t="n">
        <v>70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128</v>
      </c>
      <c r="X1222" s="0" t="n">
        <v>20</v>
      </c>
      <c r="Y1222" s="0" t="n">
        <v>13</v>
      </c>
      <c r="Z1222" s="0" t="inlineStr">
        <is>
          <t>https://new.land.naver.com/complexes/8144?tab=detail&amp;rf=Y</t>
        </is>
      </c>
      <c r="AA1222" s="0" t="inlineStr">
        <is>
          <t>인천시 남동구 논현동 577</t>
        </is>
      </c>
      <c r="AB1222" s="0" t="inlineStr">
        <is>
          <t>인천시</t>
        </is>
      </c>
      <c r="AC1222" s="0" t="inlineStr">
        <is>
          <t>남동구</t>
        </is>
      </c>
      <c r="AD1222" s="0" t="inlineStr">
        <is>
          <t>논현동</t>
        </is>
      </c>
      <c r="AG1222" s="0" t="inlineStr">
        <is>
          <t>인천시 남동구 청능대로718번길 7</t>
        </is>
      </c>
      <c r="AH1222" s="0" t="n">
        <v>0</v>
      </c>
      <c r="AI1222" s="0" t="n">
        <v>302</v>
      </c>
      <c r="AJ1222" s="0" t="n">
        <v>23</v>
      </c>
      <c r="AK1222" s="0" t="n">
        <v>1574</v>
      </c>
      <c r="AL1222" s="0" t="n">
        <v>1.04</v>
      </c>
    </row>
    <row r="1223">
      <c r="A1223" s="0" t="inlineStr">
        <is>
          <t>[논현동]</t>
        </is>
      </c>
      <c r="B1223" s="0" t="n">
        <v>8144</v>
      </c>
      <c r="C1223" s="0" t="n">
        <v>4</v>
      </c>
      <c r="D1223" s="0" t="inlineStr">
        <is>
          <t>소래마을풍림</t>
        </is>
      </c>
      <c r="E1223" s="0" t="inlineStr">
        <is>
          <t>2000.03.</t>
        </is>
      </c>
      <c r="F1223" s="0" t="n">
        <v>1517</v>
      </c>
      <c r="G1223" s="0" t="n">
        <v>46.47</v>
      </c>
      <c r="H1223" s="0" t="n">
        <v>153.63</v>
      </c>
      <c r="I1223" s="0" t="n">
        <v>37.72</v>
      </c>
      <c r="J1223" s="0" t="n">
        <v>124.72</v>
      </c>
      <c r="K1223" s="0" t="n">
        <v>79</v>
      </c>
      <c r="T1223" s="0" t="n">
        <v>4</v>
      </c>
      <c r="U1223" s="0" t="n">
        <v>2</v>
      </c>
      <c r="V1223" s="0" t="inlineStr">
        <is>
          <t>계단식</t>
        </is>
      </c>
      <c r="W1223" s="0" t="n">
        <v>153</v>
      </c>
      <c r="X1223" s="0" t="n">
        <v>20</v>
      </c>
      <c r="Y1223" s="0" t="n">
        <v>13</v>
      </c>
      <c r="Z1223" s="0" t="inlineStr">
        <is>
          <t>https://new.land.naver.com/complexes/8144?tab=detail&amp;rf=Y</t>
        </is>
      </c>
      <c r="AA1223" s="0" t="inlineStr">
        <is>
          <t>인천시 남동구 논현동 577</t>
        </is>
      </c>
      <c r="AB1223" s="0" t="inlineStr">
        <is>
          <t>인천시</t>
        </is>
      </c>
      <c r="AC1223" s="0" t="inlineStr">
        <is>
          <t>남동구</t>
        </is>
      </c>
      <c r="AD1223" s="0" t="inlineStr">
        <is>
          <t>논현동</t>
        </is>
      </c>
      <c r="AG1223" s="0" t="inlineStr">
        <is>
          <t>인천시 남동구 청능대로718번길 7</t>
        </is>
      </c>
      <c r="AH1223" s="0" t="n">
        <v>0</v>
      </c>
      <c r="AI1223" s="0" t="n">
        <v>302</v>
      </c>
      <c r="AJ1223" s="0" t="n">
        <v>23</v>
      </c>
      <c r="AK1223" s="0" t="n">
        <v>1574</v>
      </c>
      <c r="AL1223" s="0" t="n">
        <v>1.04</v>
      </c>
    </row>
    <row r="1224">
      <c r="A1224" s="0" t="inlineStr">
        <is>
          <t>[논현동]</t>
        </is>
      </c>
      <c r="B1224" s="0" t="n">
        <v>26169</v>
      </c>
      <c r="C1224" s="0" t="n">
        <v>1</v>
      </c>
      <c r="D1224" s="0" t="inlineStr">
        <is>
          <t>에코메트로10단지한화꿈에그린</t>
        </is>
      </c>
      <c r="E1224" s="0" t="inlineStr">
        <is>
          <t>2010.12.</t>
        </is>
      </c>
      <c r="F1224" s="0" t="n">
        <v>556</v>
      </c>
      <c r="G1224" s="0" t="n">
        <v>46.87</v>
      </c>
      <c r="H1224" s="0" t="n">
        <v>154.96</v>
      </c>
      <c r="I1224" s="0" t="n">
        <v>35.69</v>
      </c>
      <c r="J1224" s="0" t="n">
        <v>117.99</v>
      </c>
      <c r="K1224" s="0" t="n">
        <v>208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154</v>
      </c>
      <c r="X1224" s="0" t="n">
        <v>40</v>
      </c>
      <c r="Y1224" s="0" t="n">
        <v>31</v>
      </c>
      <c r="Z1224" s="0" t="inlineStr">
        <is>
          <t>https://new.land.naver.com/complexes/26169?tab=detail&amp;rf=Y</t>
        </is>
      </c>
      <c r="AA1224" s="0" t="inlineStr">
        <is>
          <t>인천시 남동구 논현동 773-1</t>
        </is>
      </c>
      <c r="AB1224" s="0" t="inlineStr">
        <is>
          <t>인천시</t>
        </is>
      </c>
      <c r="AC1224" s="0" t="inlineStr">
        <is>
          <t>남동구</t>
        </is>
      </c>
      <c r="AD1224" s="0" t="inlineStr">
        <is>
          <t>논현동</t>
        </is>
      </c>
      <c r="AG1224" s="0" t="inlineStr">
        <is>
          <t>인천시 남동구 아암대로1503번길 21</t>
        </is>
      </c>
      <c r="AH1224" s="0" t="n">
        <v>0</v>
      </c>
      <c r="AI1224" s="0" t="n">
        <v>198</v>
      </c>
      <c r="AJ1224" s="0" t="n">
        <v>10</v>
      </c>
      <c r="AK1224" s="0" t="n">
        <v>1264</v>
      </c>
      <c r="AL1224" s="0" t="n">
        <v>2.27</v>
      </c>
    </row>
    <row r="1225">
      <c r="A1225" s="0" t="inlineStr">
        <is>
          <t>[논현동]</t>
        </is>
      </c>
      <c r="B1225" s="0" t="n">
        <v>26169</v>
      </c>
      <c r="C1225" s="0" t="n">
        <v>2</v>
      </c>
      <c r="D1225" s="0" t="inlineStr">
        <is>
          <t>에코메트로10단지한화꿈에그린</t>
        </is>
      </c>
      <c r="E1225" s="0" t="inlineStr">
        <is>
          <t>2010.12.</t>
        </is>
      </c>
      <c r="F1225" s="0" t="n">
        <v>556</v>
      </c>
      <c r="G1225" s="0" t="n">
        <v>56.59</v>
      </c>
      <c r="H1225" s="0" t="n">
        <v>187.09</v>
      </c>
      <c r="I1225" s="0" t="n">
        <v>43.33</v>
      </c>
      <c r="J1225" s="0" t="n">
        <v>143.26</v>
      </c>
      <c r="K1225" s="0" t="n">
        <v>226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187</v>
      </c>
      <c r="X1225" s="0" t="n">
        <v>40</v>
      </c>
      <c r="Y1225" s="0" t="n">
        <v>31</v>
      </c>
      <c r="Z1225" s="0" t="inlineStr">
        <is>
          <t>https://new.land.naver.com/complexes/26169?tab=detail&amp;rf=Y</t>
        </is>
      </c>
      <c r="AA1225" s="0" t="inlineStr">
        <is>
          <t>인천시 남동구 논현동 773-1</t>
        </is>
      </c>
      <c r="AB1225" s="0" t="inlineStr">
        <is>
          <t>인천시</t>
        </is>
      </c>
      <c r="AC1225" s="0" t="inlineStr">
        <is>
          <t>남동구</t>
        </is>
      </c>
      <c r="AD1225" s="0" t="inlineStr">
        <is>
          <t>논현동</t>
        </is>
      </c>
      <c r="AG1225" s="0" t="inlineStr">
        <is>
          <t>인천시 남동구 아암대로1503번길 21</t>
        </is>
      </c>
      <c r="AH1225" s="0" t="n">
        <v>0</v>
      </c>
      <c r="AI1225" s="0" t="n">
        <v>198</v>
      </c>
      <c r="AJ1225" s="0" t="n">
        <v>10</v>
      </c>
      <c r="AK1225" s="0" t="n">
        <v>1264</v>
      </c>
      <c r="AL1225" s="0" t="n">
        <v>2.27</v>
      </c>
    </row>
    <row r="1226">
      <c r="A1226" s="0" t="inlineStr">
        <is>
          <t>[논현동]</t>
        </is>
      </c>
      <c r="B1226" s="0" t="n">
        <v>26169</v>
      </c>
      <c r="C1226" s="0" t="n">
        <v>3</v>
      </c>
      <c r="D1226" s="0" t="inlineStr">
        <is>
          <t>에코메트로10단지한화꿈에그린</t>
        </is>
      </c>
      <c r="E1226" s="0" t="inlineStr">
        <is>
          <t>2010.12.</t>
        </is>
      </c>
      <c r="F1226" s="0" t="n">
        <v>556</v>
      </c>
      <c r="G1226" s="0" t="n">
        <v>67.04000000000001</v>
      </c>
      <c r="H1226" s="0" t="n">
        <v>221.63</v>
      </c>
      <c r="I1226" s="0" t="n">
        <v>51.32</v>
      </c>
      <c r="J1226" s="0" t="n">
        <v>169.66</v>
      </c>
      <c r="K1226" s="0" t="n">
        <v>62</v>
      </c>
      <c r="T1226" s="0" t="n">
        <v>4</v>
      </c>
      <c r="U1226" s="0" t="n">
        <v>2</v>
      </c>
      <c r="V1226" s="0" t="inlineStr">
        <is>
          <t>계단식</t>
        </is>
      </c>
      <c r="W1226" s="0" t="n">
        <v>221</v>
      </c>
      <c r="X1226" s="0" t="n">
        <v>40</v>
      </c>
      <c r="Y1226" s="0" t="n">
        <v>31</v>
      </c>
      <c r="Z1226" s="0" t="inlineStr">
        <is>
          <t>https://new.land.naver.com/complexes/26169?tab=detail&amp;rf=Y</t>
        </is>
      </c>
      <c r="AA1226" s="0" t="inlineStr">
        <is>
          <t>인천시 남동구 논현동 773-1</t>
        </is>
      </c>
      <c r="AB1226" s="0" t="inlineStr">
        <is>
          <t>인천시</t>
        </is>
      </c>
      <c r="AC1226" s="0" t="inlineStr">
        <is>
          <t>남동구</t>
        </is>
      </c>
      <c r="AD1226" s="0" t="inlineStr">
        <is>
          <t>논현동</t>
        </is>
      </c>
      <c r="AG1226" s="0" t="inlineStr">
        <is>
          <t>인천시 남동구 아암대로1503번길 21</t>
        </is>
      </c>
      <c r="AH1226" s="0" t="n">
        <v>0</v>
      </c>
      <c r="AI1226" s="0" t="n">
        <v>198</v>
      </c>
      <c r="AJ1226" s="0" t="n">
        <v>10</v>
      </c>
      <c r="AK1226" s="0" t="n">
        <v>1264</v>
      </c>
      <c r="AL1226" s="0" t="n">
        <v>2.27</v>
      </c>
    </row>
    <row r="1227">
      <c r="A1227" s="0" t="inlineStr">
        <is>
          <t>[논현동]</t>
        </is>
      </c>
      <c r="B1227" s="0" t="n">
        <v>26169</v>
      </c>
      <c r="C1227" s="0" t="n">
        <v>4</v>
      </c>
      <c r="D1227" s="0" t="inlineStr">
        <is>
          <t>에코메트로10단지한화꿈에그린</t>
        </is>
      </c>
      <c r="E1227" s="0" t="inlineStr">
        <is>
          <t>2010.12.</t>
        </is>
      </c>
      <c r="F1227" s="0" t="n">
        <v>556</v>
      </c>
      <c r="G1227" s="0" t="n">
        <v>75.92</v>
      </c>
      <c r="H1227" s="0" t="n">
        <v>250.98</v>
      </c>
      <c r="I1227" s="0" t="n">
        <v>60.21</v>
      </c>
      <c r="J1227" s="0" t="n">
        <v>199.06</v>
      </c>
      <c r="K1227" s="0" t="n">
        <v>60</v>
      </c>
      <c r="T1227" s="0" t="n">
        <v>4</v>
      </c>
      <c r="U1227" s="0" t="n">
        <v>3</v>
      </c>
      <c r="V1227" s="0" t="inlineStr">
        <is>
          <t>계단식</t>
        </is>
      </c>
      <c r="W1227" s="0" t="n">
        <v>250</v>
      </c>
      <c r="X1227" s="0" t="n">
        <v>40</v>
      </c>
      <c r="Y1227" s="0" t="n">
        <v>31</v>
      </c>
      <c r="Z1227" s="0" t="inlineStr">
        <is>
          <t>https://new.land.naver.com/complexes/26169?tab=detail&amp;rf=Y</t>
        </is>
      </c>
      <c r="AA1227" s="0" t="inlineStr">
        <is>
          <t>인천시 남동구 논현동 773-1</t>
        </is>
      </c>
      <c r="AB1227" s="0" t="inlineStr">
        <is>
          <t>인천시</t>
        </is>
      </c>
      <c r="AC1227" s="0" t="inlineStr">
        <is>
          <t>남동구</t>
        </is>
      </c>
      <c r="AD1227" s="0" t="inlineStr">
        <is>
          <t>논현동</t>
        </is>
      </c>
      <c r="AG1227" s="0" t="inlineStr">
        <is>
          <t>인천시 남동구 아암대로1503번길 21</t>
        </is>
      </c>
      <c r="AH1227" s="0" t="n">
        <v>0</v>
      </c>
      <c r="AI1227" s="0" t="n">
        <v>198</v>
      </c>
      <c r="AJ1227" s="0" t="n">
        <v>10</v>
      </c>
      <c r="AK1227" s="0" t="n">
        <v>1264</v>
      </c>
      <c r="AL1227" s="0" t="n">
        <v>2.27</v>
      </c>
    </row>
    <row r="1228">
      <c r="A1228" s="0" t="inlineStr">
        <is>
          <t>[논현동]</t>
        </is>
      </c>
      <c r="B1228" s="0" t="n">
        <v>26166</v>
      </c>
      <c r="C1228" s="0" t="n">
        <v>1</v>
      </c>
      <c r="D1228" s="0" t="inlineStr">
        <is>
          <t>에코메트로6단지한화꿈에그린</t>
        </is>
      </c>
      <c r="E1228" s="0" t="inlineStr">
        <is>
          <t>2010.12.</t>
        </is>
      </c>
      <c r="F1228" s="0" t="n">
        <v>960</v>
      </c>
      <c r="G1228" s="0" t="n">
        <v>34.68</v>
      </c>
      <c r="H1228" s="0" t="n">
        <v>114.66</v>
      </c>
      <c r="I1228" s="0" t="n">
        <v>25.7</v>
      </c>
      <c r="J1228" s="0" t="n">
        <v>84.98</v>
      </c>
      <c r="K1228" s="0" t="n">
        <v>288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114A</t>
        </is>
      </c>
      <c r="X1228" s="0" t="n">
        <v>37</v>
      </c>
      <c r="Y1228" s="0" t="n">
        <v>29</v>
      </c>
      <c r="Z1228" s="0" t="inlineStr">
        <is>
          <t>https://new.land.naver.com/complexes/26166?tab=detail&amp;rf=Y</t>
        </is>
      </c>
      <c r="AA1228" s="0" t="inlineStr">
        <is>
          <t>인천시 남동구 논현동 756-1</t>
        </is>
      </c>
      <c r="AB1228" s="0" t="inlineStr">
        <is>
          <t>인천시</t>
        </is>
      </c>
      <c r="AC1228" s="0" t="inlineStr">
        <is>
          <t>남동구</t>
        </is>
      </c>
      <c r="AD1228" s="0" t="inlineStr">
        <is>
          <t>논현동</t>
        </is>
      </c>
      <c r="AG1228" s="0" t="inlineStr">
        <is>
          <t>인천시 남동구 아암대로1503번길 98</t>
        </is>
      </c>
      <c r="AH1228" s="0" t="n">
        <v>0</v>
      </c>
      <c r="AI1228" s="0" t="n">
        <v>198</v>
      </c>
      <c r="AJ1228" s="0" t="n">
        <v>10</v>
      </c>
      <c r="AK1228" s="0" t="n">
        <v>1471</v>
      </c>
      <c r="AL1228" s="0" t="n">
        <v>1.53</v>
      </c>
    </row>
    <row r="1229">
      <c r="A1229" s="0" t="inlineStr">
        <is>
          <t>[논현동]</t>
        </is>
      </c>
      <c r="B1229" s="0" t="n">
        <v>26166</v>
      </c>
      <c r="C1229" s="0" t="n">
        <v>2</v>
      </c>
      <c r="D1229" s="0" t="inlineStr">
        <is>
          <t>에코메트로6단지한화꿈에그린</t>
        </is>
      </c>
      <c r="E1229" s="0" t="inlineStr">
        <is>
          <t>2010.12.</t>
        </is>
      </c>
      <c r="F1229" s="0" t="n">
        <v>960</v>
      </c>
      <c r="G1229" s="0" t="n">
        <v>34.69</v>
      </c>
      <c r="H1229" s="0" t="n">
        <v>114.69</v>
      </c>
      <c r="I1229" s="0" t="n">
        <v>25.7</v>
      </c>
      <c r="J1229" s="0" t="n">
        <v>84.98999999999999</v>
      </c>
      <c r="K1229" s="0" t="n">
        <v>288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114B</t>
        </is>
      </c>
      <c r="X1229" s="0" t="n">
        <v>37</v>
      </c>
      <c r="Y1229" s="0" t="n">
        <v>29</v>
      </c>
      <c r="Z1229" s="0" t="inlineStr">
        <is>
          <t>https://new.land.naver.com/complexes/26166?tab=detail&amp;rf=Y</t>
        </is>
      </c>
      <c r="AA1229" s="0" t="inlineStr">
        <is>
          <t>인천시 남동구 논현동 756-1</t>
        </is>
      </c>
      <c r="AB1229" s="0" t="inlineStr">
        <is>
          <t>인천시</t>
        </is>
      </c>
      <c r="AC1229" s="0" t="inlineStr">
        <is>
          <t>남동구</t>
        </is>
      </c>
      <c r="AD1229" s="0" t="inlineStr">
        <is>
          <t>논현동</t>
        </is>
      </c>
      <c r="AG1229" s="0" t="inlineStr">
        <is>
          <t>인천시 남동구 아암대로1503번길 98</t>
        </is>
      </c>
      <c r="AH1229" s="0" t="n">
        <v>0</v>
      </c>
      <c r="AI1229" s="0" t="n">
        <v>198</v>
      </c>
      <c r="AJ1229" s="0" t="n">
        <v>10</v>
      </c>
      <c r="AK1229" s="0" t="n">
        <v>1471</v>
      </c>
      <c r="AL1229" s="0" t="n">
        <v>1.53</v>
      </c>
    </row>
    <row r="1230">
      <c r="A1230" s="0" t="inlineStr">
        <is>
          <t>[논현동]</t>
        </is>
      </c>
      <c r="B1230" s="0" t="n">
        <v>26166</v>
      </c>
      <c r="C1230" s="0" t="n">
        <v>3</v>
      </c>
      <c r="D1230" s="0" t="inlineStr">
        <is>
          <t>에코메트로6단지한화꿈에그린</t>
        </is>
      </c>
      <c r="E1230" s="0" t="inlineStr">
        <is>
          <t>2010.12.</t>
        </is>
      </c>
      <c r="F1230" s="0" t="n">
        <v>960</v>
      </c>
      <c r="G1230" s="0" t="n">
        <v>34.49</v>
      </c>
      <c r="H1230" s="0" t="n">
        <v>114.02</v>
      </c>
      <c r="I1230" s="0" t="n">
        <v>25.69</v>
      </c>
      <c r="J1230" s="0" t="n">
        <v>84.94</v>
      </c>
      <c r="K1230" s="0" t="n">
        <v>192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114C</t>
        </is>
      </c>
      <c r="X1230" s="0" t="n">
        <v>37</v>
      </c>
      <c r="Y1230" s="0" t="n">
        <v>29</v>
      </c>
      <c r="Z1230" s="0" t="inlineStr">
        <is>
          <t>https://new.land.naver.com/complexes/26166?tab=detail&amp;rf=Y</t>
        </is>
      </c>
      <c r="AA1230" s="0" t="inlineStr">
        <is>
          <t>인천시 남동구 논현동 756-1</t>
        </is>
      </c>
      <c r="AB1230" s="0" t="inlineStr">
        <is>
          <t>인천시</t>
        </is>
      </c>
      <c r="AC1230" s="0" t="inlineStr">
        <is>
          <t>남동구</t>
        </is>
      </c>
      <c r="AD1230" s="0" t="inlineStr">
        <is>
          <t>논현동</t>
        </is>
      </c>
      <c r="AG1230" s="0" t="inlineStr">
        <is>
          <t>인천시 남동구 아암대로1503번길 98</t>
        </is>
      </c>
      <c r="AH1230" s="0" t="n">
        <v>0</v>
      </c>
      <c r="AI1230" s="0" t="n">
        <v>198</v>
      </c>
      <c r="AJ1230" s="0" t="n">
        <v>10</v>
      </c>
      <c r="AK1230" s="0" t="n">
        <v>1471</v>
      </c>
      <c r="AL1230" s="0" t="n">
        <v>1.53</v>
      </c>
    </row>
    <row r="1231">
      <c r="A1231" s="0" t="inlineStr">
        <is>
          <t>[논현동]</t>
        </is>
      </c>
      <c r="B1231" s="0" t="n">
        <v>26166</v>
      </c>
      <c r="C1231" s="0" t="n">
        <v>4</v>
      </c>
      <c r="D1231" s="0" t="inlineStr">
        <is>
          <t>에코메트로6단지한화꿈에그린</t>
        </is>
      </c>
      <c r="E1231" s="0" t="inlineStr">
        <is>
          <t>2010.12.</t>
        </is>
      </c>
      <c r="F1231" s="0" t="n">
        <v>960</v>
      </c>
      <c r="G1231" s="0" t="n">
        <v>34.66</v>
      </c>
      <c r="H1231" s="0" t="n">
        <v>114.59</v>
      </c>
      <c r="I1231" s="0" t="n">
        <v>25.69</v>
      </c>
      <c r="J1231" s="0" t="n">
        <v>84.94</v>
      </c>
      <c r="K1231" s="0" t="n">
        <v>192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114D</t>
        </is>
      </c>
      <c r="X1231" s="0" t="n">
        <v>37</v>
      </c>
      <c r="Y1231" s="0" t="n">
        <v>29</v>
      </c>
      <c r="Z1231" s="0" t="inlineStr">
        <is>
          <t>https://new.land.naver.com/complexes/26166?tab=detail&amp;rf=Y</t>
        </is>
      </c>
      <c r="AA1231" s="0" t="inlineStr">
        <is>
          <t>인천시 남동구 논현동 756-1</t>
        </is>
      </c>
      <c r="AB1231" s="0" t="inlineStr">
        <is>
          <t>인천시</t>
        </is>
      </c>
      <c r="AC1231" s="0" t="inlineStr">
        <is>
          <t>남동구</t>
        </is>
      </c>
      <c r="AD1231" s="0" t="inlineStr">
        <is>
          <t>논현동</t>
        </is>
      </c>
      <c r="AG1231" s="0" t="inlineStr">
        <is>
          <t>인천시 남동구 아암대로1503번길 98</t>
        </is>
      </c>
      <c r="AH1231" s="0" t="n">
        <v>0</v>
      </c>
      <c r="AI1231" s="0" t="n">
        <v>198</v>
      </c>
      <c r="AJ1231" s="0" t="n">
        <v>10</v>
      </c>
      <c r="AK1231" s="0" t="n">
        <v>1471</v>
      </c>
      <c r="AL1231" s="0" t="n">
        <v>1.53</v>
      </c>
    </row>
    <row r="1232">
      <c r="A1232" s="0" t="inlineStr">
        <is>
          <t>[논현동]</t>
        </is>
      </c>
      <c r="B1232" s="0" t="n">
        <v>132568</v>
      </c>
      <c r="C1232" s="0" t="n">
        <v>1</v>
      </c>
      <c r="D1232" s="0" t="inlineStr">
        <is>
          <t>이안논현오션파크</t>
        </is>
      </c>
      <c r="E1232" s="0" t="inlineStr">
        <is>
          <t>2023.11.</t>
        </is>
      </c>
      <c r="F1232" s="0" t="n">
        <v>294</v>
      </c>
      <c r="G1232" s="0" t="n">
        <v>26.63</v>
      </c>
      <c r="H1232" s="0" t="n">
        <v>88.06</v>
      </c>
      <c r="I1232" s="0" t="n">
        <v>19.65</v>
      </c>
      <c r="J1232" s="0" t="n">
        <v>64.97</v>
      </c>
      <c r="K1232" s="0" t="n">
        <v>148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88A</t>
        </is>
      </c>
      <c r="X1232" s="0" t="n">
        <v>39</v>
      </c>
      <c r="Y1232" s="0" t="n">
        <v>39</v>
      </c>
      <c r="Z1232" s="0" t="inlineStr">
        <is>
          <t>https://new.land.naver.com/complexes/132568?tab=detail&amp;rf=Y</t>
        </is>
      </c>
      <c r="AA1232" s="0" t="inlineStr">
        <is>
          <t>인천시 남동구 논현동 111-7 외 39필지</t>
        </is>
      </c>
      <c r="AB1232" s="0" t="inlineStr">
        <is>
          <t>인천시</t>
        </is>
      </c>
      <c r="AC1232" s="0" t="inlineStr">
        <is>
          <t>남동구</t>
        </is>
      </c>
      <c r="AD1232" s="0" t="inlineStr">
        <is>
          <t>논현동</t>
        </is>
      </c>
      <c r="AG1232" s="0" t="inlineStr">
        <is>
          <t>인천시 남동구</t>
        </is>
      </c>
      <c r="AH1232" s="0" t="n">
        <v>0</v>
      </c>
      <c r="AI1232" s="0" t="n">
        <v>749</v>
      </c>
      <c r="AJ1232" s="0" t="n">
        <v>60</v>
      </c>
      <c r="AK1232" s="0" t="n">
        <v>332</v>
      </c>
      <c r="AL1232" s="0" t="n">
        <v>1.13</v>
      </c>
    </row>
    <row r="1233">
      <c r="A1233" s="0" t="inlineStr">
        <is>
          <t>[논현동]</t>
        </is>
      </c>
      <c r="B1233" s="0" t="n">
        <v>132568</v>
      </c>
      <c r="C1233" s="0" t="n">
        <v>2</v>
      </c>
      <c r="D1233" s="0" t="inlineStr">
        <is>
          <t>이안논현오션파크</t>
        </is>
      </c>
      <c r="E1233" s="0" t="inlineStr">
        <is>
          <t>2023.11.</t>
        </is>
      </c>
      <c r="F1233" s="0" t="n">
        <v>294</v>
      </c>
      <c r="G1233" s="0" t="n">
        <v>26.88</v>
      </c>
      <c r="H1233" s="0" t="n">
        <v>88.88</v>
      </c>
      <c r="I1233" s="0" t="n">
        <v>19.83</v>
      </c>
      <c r="J1233" s="0" t="n">
        <v>65.58</v>
      </c>
      <c r="K1233" s="0" t="n">
        <v>146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88B</t>
        </is>
      </c>
      <c r="X1233" s="0" t="n">
        <v>39</v>
      </c>
      <c r="Y1233" s="0" t="n">
        <v>39</v>
      </c>
      <c r="Z1233" s="0" t="inlineStr">
        <is>
          <t>https://new.land.naver.com/complexes/132568?tab=detail&amp;rf=Y</t>
        </is>
      </c>
      <c r="AA1233" s="0" t="inlineStr">
        <is>
          <t>인천시 남동구 논현동 111-7 외 39필지</t>
        </is>
      </c>
      <c r="AB1233" s="0" t="inlineStr">
        <is>
          <t>인천시</t>
        </is>
      </c>
      <c r="AC1233" s="0" t="inlineStr">
        <is>
          <t>남동구</t>
        </is>
      </c>
      <c r="AD1233" s="0" t="inlineStr">
        <is>
          <t>논현동</t>
        </is>
      </c>
      <c r="AG1233" s="0" t="inlineStr">
        <is>
          <t>인천시 남동구</t>
        </is>
      </c>
      <c r="AH1233" s="0" t="n">
        <v>0</v>
      </c>
      <c r="AI1233" s="0" t="n">
        <v>749</v>
      </c>
      <c r="AJ1233" s="0" t="n">
        <v>60</v>
      </c>
      <c r="AK1233" s="0" t="n">
        <v>332</v>
      </c>
      <c r="AL1233" s="0" t="n">
        <v>1.13</v>
      </c>
    </row>
    <row r="1234">
      <c r="A1234" s="0" t="inlineStr">
        <is>
          <t>[논현동]</t>
        </is>
      </c>
      <c r="B1234" s="0" t="n">
        <v>19491</v>
      </c>
      <c r="C1234" s="0" t="n">
        <v>1</v>
      </c>
      <c r="D1234" s="0" t="inlineStr">
        <is>
          <t>단풍마을휴먼시아</t>
        </is>
      </c>
      <c r="E1234" s="0" t="inlineStr">
        <is>
          <t>2006.07.</t>
        </is>
      </c>
      <c r="F1234" s="0" t="n">
        <v>898</v>
      </c>
      <c r="G1234" s="0" t="n">
        <v>32.23</v>
      </c>
      <c r="H1234" s="0" t="n">
        <v>106.57</v>
      </c>
      <c r="I1234" s="0" t="n">
        <v>25.64</v>
      </c>
      <c r="J1234" s="0" t="n">
        <v>84.79000000000001</v>
      </c>
      <c r="K1234" s="0" t="n">
        <v>236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106AN</t>
        </is>
      </c>
      <c r="X1234" s="0" t="n">
        <v>23</v>
      </c>
      <c r="Y1234" s="0" t="n">
        <v>18</v>
      </c>
      <c r="Z1234" s="0" t="inlineStr">
        <is>
          <t>https://new.land.naver.com/complexes/19491?tab=detail&amp;rf=Y</t>
        </is>
      </c>
      <c r="AA1234" s="0" t="inlineStr">
        <is>
          <t>인천시 남동구 논현동 602-1</t>
        </is>
      </c>
      <c r="AB1234" s="0" t="inlineStr">
        <is>
          <t>인천시</t>
        </is>
      </c>
      <c r="AC1234" s="0" t="inlineStr">
        <is>
          <t>남동구</t>
        </is>
      </c>
      <c r="AD1234" s="0" t="inlineStr">
        <is>
          <t>논현동</t>
        </is>
      </c>
      <c r="AG1234" s="0" t="inlineStr">
        <is>
          <t>인천시 남동구 소래역로 94</t>
        </is>
      </c>
      <c r="AH1234" s="0" t="n">
        <v>0</v>
      </c>
      <c r="AI1234" s="0" t="n">
        <v>195</v>
      </c>
      <c r="AJ1234" s="0" t="n">
        <v>13</v>
      </c>
      <c r="AK1234" s="0" t="n">
        <v>942</v>
      </c>
      <c r="AL1234" s="0" t="n">
        <v>1.05</v>
      </c>
    </row>
    <row r="1235">
      <c r="A1235" s="0" t="inlineStr">
        <is>
          <t>[논현동]</t>
        </is>
      </c>
      <c r="B1235" s="0" t="n">
        <v>19491</v>
      </c>
      <c r="C1235" s="0" t="n">
        <v>2</v>
      </c>
      <c r="D1235" s="0" t="inlineStr">
        <is>
          <t>단풍마을휴먼시아</t>
        </is>
      </c>
      <c r="E1235" s="0" t="inlineStr">
        <is>
          <t>2006.07.</t>
        </is>
      </c>
      <c r="F1235" s="0" t="n">
        <v>898</v>
      </c>
      <c r="G1235" s="0" t="n">
        <v>32.23</v>
      </c>
      <c r="H1235" s="0" t="n">
        <v>106.55</v>
      </c>
      <c r="I1235" s="0" t="n">
        <v>25.64</v>
      </c>
      <c r="J1235" s="0" t="n">
        <v>84.77</v>
      </c>
      <c r="K1235" s="0" t="n">
        <v>200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106AN-1</t>
        </is>
      </c>
      <c r="X1235" s="0" t="n">
        <v>23</v>
      </c>
      <c r="Y1235" s="0" t="n">
        <v>18</v>
      </c>
      <c r="Z1235" s="0" t="inlineStr">
        <is>
          <t>https://new.land.naver.com/complexes/19491?tab=detail&amp;rf=Y</t>
        </is>
      </c>
      <c r="AA1235" s="0" t="inlineStr">
        <is>
          <t>인천시 남동구 논현동 602-1</t>
        </is>
      </c>
      <c r="AB1235" s="0" t="inlineStr">
        <is>
          <t>인천시</t>
        </is>
      </c>
      <c r="AC1235" s="0" t="inlineStr">
        <is>
          <t>남동구</t>
        </is>
      </c>
      <c r="AD1235" s="0" t="inlineStr">
        <is>
          <t>논현동</t>
        </is>
      </c>
      <c r="AG1235" s="0" t="inlineStr">
        <is>
          <t>인천시 남동구 소래역로 94</t>
        </is>
      </c>
      <c r="AH1235" s="0" t="n">
        <v>0</v>
      </c>
      <c r="AI1235" s="0" t="n">
        <v>195</v>
      </c>
      <c r="AJ1235" s="0" t="n">
        <v>13</v>
      </c>
      <c r="AK1235" s="0" t="n">
        <v>942</v>
      </c>
      <c r="AL1235" s="0" t="n">
        <v>1.05</v>
      </c>
    </row>
    <row r="1236">
      <c r="A1236" s="0" t="inlineStr">
        <is>
          <t>[논현동]</t>
        </is>
      </c>
      <c r="B1236" s="0" t="n">
        <v>19491</v>
      </c>
      <c r="C1236" s="0" t="n">
        <v>3</v>
      </c>
      <c r="D1236" s="0" t="inlineStr">
        <is>
          <t>단풍마을휴먼시아</t>
        </is>
      </c>
      <c r="E1236" s="0" t="inlineStr">
        <is>
          <t>2006.07.</t>
        </is>
      </c>
      <c r="F1236" s="0" t="n">
        <v>898</v>
      </c>
      <c r="G1236" s="0" t="n">
        <v>32.31</v>
      </c>
      <c r="H1236" s="0" t="n">
        <v>106.82</v>
      </c>
      <c r="I1236" s="0" t="n">
        <v>25.7</v>
      </c>
      <c r="J1236" s="0" t="n">
        <v>84.98999999999999</v>
      </c>
      <c r="K1236" s="0" t="n">
        <v>160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106EN</t>
        </is>
      </c>
      <c r="X1236" s="0" t="n">
        <v>23</v>
      </c>
      <c r="Y1236" s="0" t="n">
        <v>18</v>
      </c>
      <c r="Z1236" s="0" t="inlineStr">
        <is>
          <t>https://new.land.naver.com/complexes/19491?tab=detail&amp;rf=Y</t>
        </is>
      </c>
      <c r="AA1236" s="0" t="inlineStr">
        <is>
          <t>인천시 남동구 논현동 602-1</t>
        </is>
      </c>
      <c r="AB1236" s="0" t="inlineStr">
        <is>
          <t>인천시</t>
        </is>
      </c>
      <c r="AC1236" s="0" t="inlineStr">
        <is>
          <t>남동구</t>
        </is>
      </c>
      <c r="AD1236" s="0" t="inlineStr">
        <is>
          <t>논현동</t>
        </is>
      </c>
      <c r="AG1236" s="0" t="inlineStr">
        <is>
          <t>인천시 남동구 소래역로 94</t>
        </is>
      </c>
      <c r="AH1236" s="0" t="n">
        <v>0</v>
      </c>
      <c r="AI1236" s="0" t="n">
        <v>195</v>
      </c>
      <c r="AJ1236" s="0" t="n">
        <v>13</v>
      </c>
      <c r="AK1236" s="0" t="n">
        <v>942</v>
      </c>
      <c r="AL1236" s="0" t="n">
        <v>1.05</v>
      </c>
    </row>
    <row r="1237">
      <c r="A1237" s="0" t="inlineStr">
        <is>
          <t>[논현동]</t>
        </is>
      </c>
      <c r="B1237" s="0" t="n">
        <v>19491</v>
      </c>
      <c r="C1237" s="0" t="n">
        <v>4</v>
      </c>
      <c r="D1237" s="0" t="inlineStr">
        <is>
          <t>단풍마을휴먼시아</t>
        </is>
      </c>
      <c r="E1237" s="0" t="inlineStr">
        <is>
          <t>2006.07.</t>
        </is>
      </c>
      <c r="F1237" s="0" t="n">
        <v>898</v>
      </c>
      <c r="G1237" s="0" t="n">
        <v>32.08</v>
      </c>
      <c r="H1237" s="0" t="n">
        <v>106.06</v>
      </c>
      <c r="I1237" s="0" t="n">
        <v>25.52</v>
      </c>
      <c r="J1237" s="0" t="n">
        <v>84.38</v>
      </c>
      <c r="K1237" s="0" t="n">
        <v>92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106C</t>
        </is>
      </c>
      <c r="X1237" s="0" t="n">
        <v>23</v>
      </c>
      <c r="Y1237" s="0" t="n">
        <v>18</v>
      </c>
      <c r="Z1237" s="0" t="inlineStr">
        <is>
          <t>https://new.land.naver.com/complexes/19491?tab=detail&amp;rf=Y</t>
        </is>
      </c>
      <c r="AA1237" s="0" t="inlineStr">
        <is>
          <t>인천시 남동구 논현동 602-1</t>
        </is>
      </c>
      <c r="AB1237" s="0" t="inlineStr">
        <is>
          <t>인천시</t>
        </is>
      </c>
      <c r="AC1237" s="0" t="inlineStr">
        <is>
          <t>남동구</t>
        </is>
      </c>
      <c r="AD1237" s="0" t="inlineStr">
        <is>
          <t>논현동</t>
        </is>
      </c>
      <c r="AG1237" s="0" t="inlineStr">
        <is>
          <t>인천시 남동구 소래역로 94</t>
        </is>
      </c>
      <c r="AH1237" s="0" t="n">
        <v>0</v>
      </c>
      <c r="AI1237" s="0" t="n">
        <v>195</v>
      </c>
      <c r="AJ1237" s="0" t="n">
        <v>13</v>
      </c>
      <c r="AK1237" s="0" t="n">
        <v>942</v>
      </c>
      <c r="AL1237" s="0" t="n">
        <v>1.05</v>
      </c>
    </row>
    <row r="1238">
      <c r="A1238" s="0" t="inlineStr">
        <is>
          <t>[논현동]</t>
        </is>
      </c>
      <c r="B1238" s="0" t="n">
        <v>19491</v>
      </c>
      <c r="C1238" s="0" t="n">
        <v>5</v>
      </c>
      <c r="D1238" s="0" t="inlineStr">
        <is>
          <t>단풍마을휴먼시아</t>
        </is>
      </c>
      <c r="E1238" s="0" t="inlineStr">
        <is>
          <t>2006.07.</t>
        </is>
      </c>
      <c r="F1238" s="0" t="n">
        <v>898</v>
      </c>
      <c r="G1238" s="0" t="n">
        <v>32.14</v>
      </c>
      <c r="H1238" s="0" t="n">
        <v>106.27</v>
      </c>
      <c r="I1238" s="0" t="n">
        <v>25.57</v>
      </c>
      <c r="J1238" s="0" t="n">
        <v>84.55</v>
      </c>
      <c r="K1238" s="0" t="n">
        <v>90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106D</t>
        </is>
      </c>
      <c r="X1238" s="0" t="n">
        <v>23</v>
      </c>
      <c r="Y1238" s="0" t="n">
        <v>18</v>
      </c>
      <c r="Z1238" s="0" t="inlineStr">
        <is>
          <t>https://new.land.naver.com/complexes/19491?tab=detail&amp;rf=Y</t>
        </is>
      </c>
      <c r="AA1238" s="0" t="inlineStr">
        <is>
          <t>인천시 남동구 논현동 602-1</t>
        </is>
      </c>
      <c r="AB1238" s="0" t="inlineStr">
        <is>
          <t>인천시</t>
        </is>
      </c>
      <c r="AC1238" s="0" t="inlineStr">
        <is>
          <t>남동구</t>
        </is>
      </c>
      <c r="AD1238" s="0" t="inlineStr">
        <is>
          <t>논현동</t>
        </is>
      </c>
      <c r="AG1238" s="0" t="inlineStr">
        <is>
          <t>인천시 남동구 소래역로 94</t>
        </is>
      </c>
      <c r="AH1238" s="0" t="n">
        <v>0</v>
      </c>
      <c r="AI1238" s="0" t="n">
        <v>195</v>
      </c>
      <c r="AJ1238" s="0" t="n">
        <v>13</v>
      </c>
      <c r="AK1238" s="0" t="n">
        <v>942</v>
      </c>
      <c r="AL1238" s="0" t="n">
        <v>1.05</v>
      </c>
    </row>
    <row r="1239">
      <c r="A1239" s="0" t="inlineStr">
        <is>
          <t>[논현동]</t>
        </is>
      </c>
      <c r="B1239" s="0" t="n">
        <v>19491</v>
      </c>
      <c r="C1239" s="0" t="n">
        <v>6</v>
      </c>
      <c r="D1239" s="0" t="inlineStr">
        <is>
          <t>단풍마을휴먼시아</t>
        </is>
      </c>
      <c r="E1239" s="0" t="inlineStr">
        <is>
          <t>2006.07.</t>
        </is>
      </c>
      <c r="F1239" s="0" t="n">
        <v>898</v>
      </c>
      <c r="G1239" s="0" t="n">
        <v>32.31</v>
      </c>
      <c r="H1239" s="0" t="n">
        <v>106.82</v>
      </c>
      <c r="I1239" s="0" t="n">
        <v>25.7</v>
      </c>
      <c r="J1239" s="0" t="n">
        <v>84.98999999999999</v>
      </c>
      <c r="K1239" s="0" t="n">
        <v>80</v>
      </c>
      <c r="T1239" s="0" t="n">
        <v>4</v>
      </c>
      <c r="U1239" s="0" t="n">
        <v>2</v>
      </c>
      <c r="V1239" s="0" t="inlineStr">
        <is>
          <t>계단식</t>
        </is>
      </c>
      <c r="W1239" s="0" t="inlineStr">
        <is>
          <t>106ES</t>
        </is>
      </c>
      <c r="X1239" s="0" t="n">
        <v>23</v>
      </c>
      <c r="Y1239" s="0" t="n">
        <v>18</v>
      </c>
      <c r="Z1239" s="0" t="inlineStr">
        <is>
          <t>https://new.land.naver.com/complexes/19491?tab=detail&amp;rf=Y</t>
        </is>
      </c>
      <c r="AA1239" s="0" t="inlineStr">
        <is>
          <t>인천시 남동구 논현동 602-1</t>
        </is>
      </c>
      <c r="AB1239" s="0" t="inlineStr">
        <is>
          <t>인천시</t>
        </is>
      </c>
      <c r="AC1239" s="0" t="inlineStr">
        <is>
          <t>남동구</t>
        </is>
      </c>
      <c r="AD1239" s="0" t="inlineStr">
        <is>
          <t>논현동</t>
        </is>
      </c>
      <c r="AG1239" s="0" t="inlineStr">
        <is>
          <t>인천시 남동구 소래역로 94</t>
        </is>
      </c>
      <c r="AH1239" s="0" t="n">
        <v>0</v>
      </c>
      <c r="AI1239" s="0" t="n">
        <v>195</v>
      </c>
      <c r="AJ1239" s="0" t="n">
        <v>13</v>
      </c>
      <c r="AK1239" s="0" t="n">
        <v>942</v>
      </c>
      <c r="AL1239" s="0" t="n">
        <v>1.05</v>
      </c>
    </row>
    <row r="1240">
      <c r="A1240" s="0" t="inlineStr">
        <is>
          <t>[논현동]</t>
        </is>
      </c>
      <c r="B1240" s="0" t="n">
        <v>19491</v>
      </c>
      <c r="C1240" s="0" t="n">
        <v>7</v>
      </c>
      <c r="D1240" s="0" t="inlineStr">
        <is>
          <t>단풍마을휴먼시아</t>
        </is>
      </c>
      <c r="E1240" s="0" t="inlineStr">
        <is>
          <t>2006.07.</t>
        </is>
      </c>
      <c r="F1240" s="0" t="n">
        <v>898</v>
      </c>
      <c r="G1240" s="0" t="n">
        <v>32.31</v>
      </c>
      <c r="H1240" s="0" t="n">
        <v>106.82</v>
      </c>
      <c r="I1240" s="0" t="n">
        <v>25.7</v>
      </c>
      <c r="J1240" s="0" t="n">
        <v>84.98999999999999</v>
      </c>
      <c r="K1240" s="0" t="n">
        <v>40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106AN-2</t>
        </is>
      </c>
      <c r="X1240" s="0" t="n">
        <v>23</v>
      </c>
      <c r="Y1240" s="0" t="n">
        <v>18</v>
      </c>
      <c r="Z1240" s="0" t="inlineStr">
        <is>
          <t>https://new.land.naver.com/complexes/19491?tab=detail&amp;rf=Y</t>
        </is>
      </c>
      <c r="AA1240" s="0" t="inlineStr">
        <is>
          <t>인천시 남동구 논현동 602-1</t>
        </is>
      </c>
      <c r="AB1240" s="0" t="inlineStr">
        <is>
          <t>인천시</t>
        </is>
      </c>
      <c r="AC1240" s="0" t="inlineStr">
        <is>
          <t>남동구</t>
        </is>
      </c>
      <c r="AD1240" s="0" t="inlineStr">
        <is>
          <t>논현동</t>
        </is>
      </c>
      <c r="AG1240" s="0" t="inlineStr">
        <is>
          <t>인천시 남동구 소래역로 94</t>
        </is>
      </c>
      <c r="AH1240" s="0" t="n">
        <v>0</v>
      </c>
      <c r="AI1240" s="0" t="n">
        <v>195</v>
      </c>
      <c r="AJ1240" s="0" t="n">
        <v>13</v>
      </c>
      <c r="AK1240" s="0" t="n">
        <v>942</v>
      </c>
      <c r="AL1240" s="0" t="n">
        <v>1.05</v>
      </c>
    </row>
    <row r="1241">
      <c r="A1241" s="0" t="inlineStr">
        <is>
          <t>[논현동]</t>
        </is>
      </c>
      <c r="B1241" s="0" t="n">
        <v>26167</v>
      </c>
      <c r="C1241" s="0" t="n">
        <v>1</v>
      </c>
      <c r="D1241" s="0" t="inlineStr">
        <is>
          <t>에코메트로7단지한화꿈에그린</t>
        </is>
      </c>
      <c r="E1241" s="0" t="inlineStr">
        <is>
          <t>2011.01.</t>
        </is>
      </c>
      <c r="F1241" s="0" t="n">
        <v>848</v>
      </c>
      <c r="G1241" s="0" t="n">
        <v>34.36</v>
      </c>
      <c r="H1241" s="0" t="n">
        <v>113.61</v>
      </c>
      <c r="I1241" s="0" t="n">
        <v>25.69</v>
      </c>
      <c r="J1241" s="0" t="n">
        <v>84.94</v>
      </c>
      <c r="K1241" s="0" t="n">
        <v>102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37</v>
      </c>
      <c r="Y1241" s="0" t="n">
        <v>26</v>
      </c>
      <c r="Z1241" s="0" t="inlineStr">
        <is>
          <t>https://new.land.naver.com/complexes/26167?tab=detail&amp;rf=Y</t>
        </is>
      </c>
      <c r="AA1241" s="0" t="inlineStr">
        <is>
          <t>인천시 남동구 논현동 757-1</t>
        </is>
      </c>
      <c r="AB1241" s="0" t="inlineStr">
        <is>
          <t>인천시</t>
        </is>
      </c>
      <c r="AC1241" s="0" t="inlineStr">
        <is>
          <t>남동구</t>
        </is>
      </c>
      <c r="AD1241" s="0" t="inlineStr">
        <is>
          <t>논현동</t>
        </is>
      </c>
      <c r="AG1241" s="0" t="inlineStr">
        <is>
          <t>인천시 남동구 에코중앙로 163</t>
        </is>
      </c>
      <c r="AH1241" s="0" t="n">
        <v>0</v>
      </c>
      <c r="AI1241" s="0" t="n">
        <v>198</v>
      </c>
      <c r="AJ1241" s="0" t="n">
        <v>12</v>
      </c>
      <c r="AK1241" s="0" t="n">
        <v>1122</v>
      </c>
      <c r="AL1241" s="0" t="n">
        <v>1.32</v>
      </c>
    </row>
    <row r="1242">
      <c r="A1242" s="0" t="inlineStr">
        <is>
          <t>[논현동]</t>
        </is>
      </c>
      <c r="B1242" s="0" t="n">
        <v>26167</v>
      </c>
      <c r="C1242" s="0" t="n">
        <v>2</v>
      </c>
      <c r="D1242" s="0" t="inlineStr">
        <is>
          <t>에코메트로7단지한화꿈에그린</t>
        </is>
      </c>
      <c r="E1242" s="0" t="inlineStr">
        <is>
          <t>2011.01.</t>
        </is>
      </c>
      <c r="F1242" s="0" t="n">
        <v>848</v>
      </c>
      <c r="G1242" s="0" t="n">
        <v>34.56</v>
      </c>
      <c r="H1242" s="0" t="n">
        <v>114.25</v>
      </c>
      <c r="I1242" s="0" t="n">
        <v>25.7</v>
      </c>
      <c r="J1242" s="0" t="n">
        <v>84.98</v>
      </c>
      <c r="K1242" s="0" t="n">
        <v>322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114A</t>
        </is>
      </c>
      <c r="X1242" s="0" t="n">
        <v>37</v>
      </c>
      <c r="Y1242" s="0" t="n">
        <v>26</v>
      </c>
      <c r="Z1242" s="0" t="inlineStr">
        <is>
          <t>https://new.land.naver.com/complexes/26167?tab=detail&amp;rf=Y</t>
        </is>
      </c>
      <c r="AA1242" s="0" t="inlineStr">
        <is>
          <t>인천시 남동구 논현동 757-1</t>
        </is>
      </c>
      <c r="AB1242" s="0" t="inlineStr">
        <is>
          <t>인천시</t>
        </is>
      </c>
      <c r="AC1242" s="0" t="inlineStr">
        <is>
          <t>남동구</t>
        </is>
      </c>
      <c r="AD1242" s="0" t="inlineStr">
        <is>
          <t>논현동</t>
        </is>
      </c>
      <c r="AG1242" s="0" t="inlineStr">
        <is>
          <t>인천시 남동구 에코중앙로 163</t>
        </is>
      </c>
      <c r="AH1242" s="0" t="n">
        <v>0</v>
      </c>
      <c r="AI1242" s="0" t="n">
        <v>198</v>
      </c>
      <c r="AJ1242" s="0" t="n">
        <v>12</v>
      </c>
      <c r="AK1242" s="0" t="n">
        <v>1122</v>
      </c>
      <c r="AL1242" s="0" t="n">
        <v>1.32</v>
      </c>
    </row>
    <row r="1243">
      <c r="A1243" s="0" t="inlineStr">
        <is>
          <t>[논현동]</t>
        </is>
      </c>
      <c r="B1243" s="0" t="n">
        <v>26167</v>
      </c>
      <c r="C1243" s="0" t="n">
        <v>3</v>
      </c>
      <c r="D1243" s="0" t="inlineStr">
        <is>
          <t>에코메트로7단지한화꿈에그린</t>
        </is>
      </c>
      <c r="E1243" s="0" t="inlineStr">
        <is>
          <t>2011.01.</t>
        </is>
      </c>
      <c r="F1243" s="0" t="n">
        <v>848</v>
      </c>
      <c r="G1243" s="0" t="n">
        <v>34.56</v>
      </c>
      <c r="H1243" s="0" t="n">
        <v>114.28</v>
      </c>
      <c r="I1243" s="0" t="n">
        <v>25.7</v>
      </c>
      <c r="J1243" s="0" t="n">
        <v>84.98999999999999</v>
      </c>
      <c r="K1243" s="0" t="n">
        <v>322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114B</t>
        </is>
      </c>
      <c r="X1243" s="0" t="n">
        <v>37</v>
      </c>
      <c r="Y1243" s="0" t="n">
        <v>26</v>
      </c>
      <c r="Z1243" s="0" t="inlineStr">
        <is>
          <t>https://new.land.naver.com/complexes/26167?tab=detail&amp;rf=Y</t>
        </is>
      </c>
      <c r="AA1243" s="0" t="inlineStr">
        <is>
          <t>인천시 남동구 논현동 757-1</t>
        </is>
      </c>
      <c r="AB1243" s="0" t="inlineStr">
        <is>
          <t>인천시</t>
        </is>
      </c>
      <c r="AC1243" s="0" t="inlineStr">
        <is>
          <t>남동구</t>
        </is>
      </c>
      <c r="AD1243" s="0" t="inlineStr">
        <is>
          <t>논현동</t>
        </is>
      </c>
      <c r="AG1243" s="0" t="inlineStr">
        <is>
          <t>인천시 남동구 에코중앙로 163</t>
        </is>
      </c>
      <c r="AH1243" s="0" t="n">
        <v>0</v>
      </c>
      <c r="AI1243" s="0" t="n">
        <v>198</v>
      </c>
      <c r="AJ1243" s="0" t="n">
        <v>12</v>
      </c>
      <c r="AK1243" s="0" t="n">
        <v>1122</v>
      </c>
      <c r="AL1243" s="0" t="n">
        <v>1.32</v>
      </c>
    </row>
    <row r="1244">
      <c r="A1244" s="0" t="inlineStr">
        <is>
          <t>[논현동]</t>
        </is>
      </c>
      <c r="B1244" s="0" t="n">
        <v>26167</v>
      </c>
      <c r="C1244" s="0" t="n">
        <v>4</v>
      </c>
      <c r="D1244" s="0" t="inlineStr">
        <is>
          <t>에코메트로7단지한화꿈에그린</t>
        </is>
      </c>
      <c r="E1244" s="0" t="inlineStr">
        <is>
          <t>2011.01.</t>
        </is>
      </c>
      <c r="F1244" s="0" t="n">
        <v>848</v>
      </c>
      <c r="G1244" s="0" t="n">
        <v>34.53</v>
      </c>
      <c r="H1244" s="0" t="n">
        <v>114.18</v>
      </c>
      <c r="I1244" s="0" t="n">
        <v>25.69</v>
      </c>
      <c r="J1244" s="0" t="n">
        <v>84.94</v>
      </c>
      <c r="K1244" s="0" t="n">
        <v>102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114D</t>
        </is>
      </c>
      <c r="X1244" s="0" t="n">
        <v>37</v>
      </c>
      <c r="Y1244" s="0" t="n">
        <v>26</v>
      </c>
      <c r="Z1244" s="0" t="inlineStr">
        <is>
          <t>https://new.land.naver.com/complexes/26167?tab=detail&amp;rf=Y</t>
        </is>
      </c>
      <c r="AA1244" s="0" t="inlineStr">
        <is>
          <t>인천시 남동구 논현동 757-1</t>
        </is>
      </c>
      <c r="AB1244" s="0" t="inlineStr">
        <is>
          <t>인천시</t>
        </is>
      </c>
      <c r="AC1244" s="0" t="inlineStr">
        <is>
          <t>남동구</t>
        </is>
      </c>
      <c r="AD1244" s="0" t="inlineStr">
        <is>
          <t>논현동</t>
        </is>
      </c>
      <c r="AG1244" s="0" t="inlineStr">
        <is>
          <t>인천시 남동구 에코중앙로 163</t>
        </is>
      </c>
      <c r="AH1244" s="0" t="n">
        <v>0</v>
      </c>
      <c r="AI1244" s="0" t="n">
        <v>198</v>
      </c>
      <c r="AJ1244" s="0" t="n">
        <v>12</v>
      </c>
      <c r="AK1244" s="0" t="n">
        <v>1122</v>
      </c>
      <c r="AL1244" s="0" t="n">
        <v>1.32</v>
      </c>
    </row>
    <row r="1245">
      <c r="A1245" s="0" t="inlineStr">
        <is>
          <t>[논현동]</t>
        </is>
      </c>
      <c r="B1245" s="0" t="n">
        <v>26403</v>
      </c>
      <c r="C1245" s="0" t="n">
        <v>1</v>
      </c>
      <c r="D1245" s="0" t="inlineStr">
        <is>
          <t>인천논현힐스테이트</t>
        </is>
      </c>
      <c r="E1245" s="0" t="inlineStr">
        <is>
          <t>2010.11.</t>
        </is>
      </c>
      <c r="F1245" s="0" t="n">
        <v>594</v>
      </c>
      <c r="G1245" s="0" t="n">
        <v>34.31</v>
      </c>
      <c r="H1245" s="0" t="n">
        <v>113.44</v>
      </c>
      <c r="I1245" s="0" t="n">
        <v>25.7</v>
      </c>
      <c r="J1245" s="0" t="n">
        <v>84.98999999999999</v>
      </c>
      <c r="K1245" s="0" t="n">
        <v>60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113A</t>
        </is>
      </c>
      <c r="X1245" s="0" t="n">
        <v>32</v>
      </c>
      <c r="Y1245" s="0" t="n">
        <v>30</v>
      </c>
      <c r="Z1245" s="0" t="inlineStr">
        <is>
          <t>https://new.land.naver.com/complexes/26403?tab=detail&amp;rf=Y</t>
        </is>
      </c>
      <c r="AA1245" s="0" t="inlineStr">
        <is>
          <t>인천시 남동구 논현동 732-1</t>
        </is>
      </c>
      <c r="AB1245" s="0" t="inlineStr">
        <is>
          <t>인천시</t>
        </is>
      </c>
      <c r="AC1245" s="0" t="inlineStr">
        <is>
          <t>남동구</t>
        </is>
      </c>
      <c r="AD1245" s="0" t="inlineStr">
        <is>
          <t>논현동</t>
        </is>
      </c>
      <c r="AG1245" s="0" t="inlineStr">
        <is>
          <t>인천시 남동구 논고개로68번길 49</t>
        </is>
      </c>
      <c r="AH1245" s="0" t="n">
        <v>0</v>
      </c>
      <c r="AI1245" s="0" t="n">
        <v>226</v>
      </c>
      <c r="AJ1245" s="0" t="n">
        <v>12</v>
      </c>
      <c r="AK1245" s="0" t="n">
        <v>1103</v>
      </c>
      <c r="AL1245" s="0" t="n">
        <v>1.86</v>
      </c>
    </row>
    <row r="1246">
      <c r="A1246" s="0" t="inlineStr">
        <is>
          <t>[논현동]</t>
        </is>
      </c>
      <c r="B1246" s="0" t="n">
        <v>26403</v>
      </c>
      <c r="C1246" s="0" t="n">
        <v>2</v>
      </c>
      <c r="D1246" s="0" t="inlineStr">
        <is>
          <t>인천논현힐스테이트</t>
        </is>
      </c>
      <c r="E1246" s="0" t="inlineStr">
        <is>
          <t>2010.11.</t>
        </is>
      </c>
      <c r="F1246" s="0" t="n">
        <v>594</v>
      </c>
      <c r="G1246" s="0" t="n">
        <v>34.2</v>
      </c>
      <c r="H1246" s="0" t="n">
        <v>113.06</v>
      </c>
      <c r="I1246" s="0" t="n">
        <v>25.68</v>
      </c>
      <c r="J1246" s="0" t="n">
        <v>84.91</v>
      </c>
      <c r="K1246" s="0" t="n">
        <v>60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113B</t>
        </is>
      </c>
      <c r="X1246" s="0" t="n">
        <v>32</v>
      </c>
      <c r="Y1246" s="0" t="n">
        <v>30</v>
      </c>
      <c r="Z1246" s="0" t="inlineStr">
        <is>
          <t>https://new.land.naver.com/complexes/26403?tab=detail&amp;rf=Y</t>
        </is>
      </c>
      <c r="AA1246" s="0" t="inlineStr">
        <is>
          <t>인천시 남동구 논현동 732-1</t>
        </is>
      </c>
      <c r="AB1246" s="0" t="inlineStr">
        <is>
          <t>인천시</t>
        </is>
      </c>
      <c r="AC1246" s="0" t="inlineStr">
        <is>
          <t>남동구</t>
        </is>
      </c>
      <c r="AD1246" s="0" t="inlineStr">
        <is>
          <t>논현동</t>
        </is>
      </c>
      <c r="AG1246" s="0" t="inlineStr">
        <is>
          <t>인천시 남동구 논고개로68번길 49</t>
        </is>
      </c>
      <c r="AH1246" s="0" t="n">
        <v>0</v>
      </c>
      <c r="AI1246" s="0" t="n">
        <v>226</v>
      </c>
      <c r="AJ1246" s="0" t="n">
        <v>12</v>
      </c>
      <c r="AK1246" s="0" t="n">
        <v>1103</v>
      </c>
      <c r="AL1246" s="0" t="n">
        <v>1.86</v>
      </c>
    </row>
    <row r="1247">
      <c r="A1247" s="0" t="inlineStr">
        <is>
          <t>[논현동]</t>
        </is>
      </c>
      <c r="B1247" s="0" t="n">
        <v>26403</v>
      </c>
      <c r="C1247" s="0" t="n">
        <v>3</v>
      </c>
      <c r="D1247" s="0" t="inlineStr">
        <is>
          <t>인천논현힐스테이트</t>
        </is>
      </c>
      <c r="E1247" s="0" t="inlineStr">
        <is>
          <t>2010.11.</t>
        </is>
      </c>
      <c r="F1247" s="0" t="n">
        <v>594</v>
      </c>
      <c r="G1247" s="0" t="n">
        <v>44.54</v>
      </c>
      <c r="H1247" s="0" t="n">
        <v>147.26</v>
      </c>
      <c r="I1247" s="0" t="n">
        <v>34.9</v>
      </c>
      <c r="J1247" s="0" t="n">
        <v>115.39</v>
      </c>
      <c r="K1247" s="0" t="n">
        <v>118</v>
      </c>
      <c r="T1247" s="0" t="n">
        <v>4</v>
      </c>
      <c r="U1247" s="0" t="n">
        <v>3</v>
      </c>
      <c r="V1247" s="0" t="inlineStr">
        <is>
          <t>계단식</t>
        </is>
      </c>
      <c r="W1247" s="0" t="n">
        <v>147</v>
      </c>
      <c r="X1247" s="0" t="n">
        <v>32</v>
      </c>
      <c r="Y1247" s="0" t="n">
        <v>30</v>
      </c>
      <c r="Z1247" s="0" t="inlineStr">
        <is>
          <t>https://new.land.naver.com/complexes/26403?tab=detail&amp;rf=Y</t>
        </is>
      </c>
      <c r="AA1247" s="0" t="inlineStr">
        <is>
          <t>인천시 남동구 논현동 732-1</t>
        </is>
      </c>
      <c r="AB1247" s="0" t="inlineStr">
        <is>
          <t>인천시</t>
        </is>
      </c>
      <c r="AC1247" s="0" t="inlineStr">
        <is>
          <t>남동구</t>
        </is>
      </c>
      <c r="AD1247" s="0" t="inlineStr">
        <is>
          <t>논현동</t>
        </is>
      </c>
      <c r="AG1247" s="0" t="inlineStr">
        <is>
          <t>인천시 남동구 논고개로68번길 49</t>
        </is>
      </c>
      <c r="AH1247" s="0" t="n">
        <v>0</v>
      </c>
      <c r="AI1247" s="0" t="n">
        <v>226</v>
      </c>
      <c r="AJ1247" s="0" t="n">
        <v>12</v>
      </c>
      <c r="AK1247" s="0" t="n">
        <v>1103</v>
      </c>
      <c r="AL1247" s="0" t="n">
        <v>1.86</v>
      </c>
    </row>
    <row r="1248">
      <c r="A1248" s="0" t="inlineStr">
        <is>
          <t>[논현동]</t>
        </is>
      </c>
      <c r="B1248" s="0" t="n">
        <v>26403</v>
      </c>
      <c r="C1248" s="0" t="n">
        <v>4</v>
      </c>
      <c r="D1248" s="0" t="inlineStr">
        <is>
          <t>인천논현힐스테이트</t>
        </is>
      </c>
      <c r="E1248" s="0" t="inlineStr">
        <is>
          <t>2010.11.</t>
        </is>
      </c>
      <c r="F1248" s="0" t="n">
        <v>594</v>
      </c>
      <c r="G1248" s="0" t="n">
        <v>45.55</v>
      </c>
      <c r="H1248" s="0" t="n">
        <v>150.59</v>
      </c>
      <c r="I1248" s="0" t="n">
        <v>35.47</v>
      </c>
      <c r="J1248" s="0" t="n">
        <v>117.26</v>
      </c>
      <c r="K1248" s="0" t="n">
        <v>120</v>
      </c>
      <c r="T1248" s="0" t="n">
        <v>4</v>
      </c>
      <c r="U1248" s="0" t="n">
        <v>3</v>
      </c>
      <c r="V1248" s="0" t="inlineStr">
        <is>
          <t>계단식</t>
        </is>
      </c>
      <c r="W1248" s="0" t="n">
        <v>150</v>
      </c>
      <c r="X1248" s="0" t="n">
        <v>32</v>
      </c>
      <c r="Y1248" s="0" t="n">
        <v>30</v>
      </c>
      <c r="Z1248" s="0" t="inlineStr">
        <is>
          <t>https://new.land.naver.com/complexes/26403?tab=detail&amp;rf=Y</t>
        </is>
      </c>
      <c r="AA1248" s="0" t="inlineStr">
        <is>
          <t>인천시 남동구 논현동 732-1</t>
        </is>
      </c>
      <c r="AB1248" s="0" t="inlineStr">
        <is>
          <t>인천시</t>
        </is>
      </c>
      <c r="AC1248" s="0" t="inlineStr">
        <is>
          <t>남동구</t>
        </is>
      </c>
      <c r="AD1248" s="0" t="inlineStr">
        <is>
          <t>논현동</t>
        </is>
      </c>
      <c r="AG1248" s="0" t="inlineStr">
        <is>
          <t>인천시 남동구 논고개로68번길 49</t>
        </is>
      </c>
      <c r="AH1248" s="0" t="n">
        <v>0</v>
      </c>
      <c r="AI1248" s="0" t="n">
        <v>226</v>
      </c>
      <c r="AJ1248" s="0" t="n">
        <v>12</v>
      </c>
      <c r="AK1248" s="0" t="n">
        <v>1103</v>
      </c>
      <c r="AL1248" s="0" t="n">
        <v>1.86</v>
      </c>
    </row>
    <row r="1249">
      <c r="A1249" s="0" t="inlineStr">
        <is>
          <t>[논현동]</t>
        </is>
      </c>
      <c r="B1249" s="0" t="n">
        <v>26403</v>
      </c>
      <c r="C1249" s="0" t="n">
        <v>5</v>
      </c>
      <c r="D1249" s="0" t="inlineStr">
        <is>
          <t>인천논현힐스테이트</t>
        </is>
      </c>
      <c r="E1249" s="0" t="inlineStr">
        <is>
          <t>2010.11.</t>
        </is>
      </c>
      <c r="F1249" s="0" t="n">
        <v>594</v>
      </c>
      <c r="G1249" s="0" t="n">
        <v>49.74</v>
      </c>
      <c r="H1249" s="0" t="n">
        <v>164.45</v>
      </c>
      <c r="I1249" s="0" t="n">
        <v>40.11</v>
      </c>
      <c r="J1249" s="0" t="n">
        <v>132.61</v>
      </c>
      <c r="K1249" s="0" t="n">
        <v>114</v>
      </c>
      <c r="T1249" s="0" t="n">
        <v>4</v>
      </c>
      <c r="U1249" s="0" t="n">
        <v>3</v>
      </c>
      <c r="V1249" s="0" t="inlineStr">
        <is>
          <t>계단식</t>
        </is>
      </c>
      <c r="W1249" s="0" t="n">
        <v>164</v>
      </c>
      <c r="X1249" s="0" t="n">
        <v>32</v>
      </c>
      <c r="Y1249" s="0" t="n">
        <v>30</v>
      </c>
      <c r="Z1249" s="0" t="inlineStr">
        <is>
          <t>https://new.land.naver.com/complexes/26403?tab=detail&amp;rf=Y</t>
        </is>
      </c>
      <c r="AA1249" s="0" t="inlineStr">
        <is>
          <t>인천시 남동구 논현동 732-1</t>
        </is>
      </c>
      <c r="AB1249" s="0" t="inlineStr">
        <is>
          <t>인천시</t>
        </is>
      </c>
      <c r="AC1249" s="0" t="inlineStr">
        <is>
          <t>남동구</t>
        </is>
      </c>
      <c r="AD1249" s="0" t="inlineStr">
        <is>
          <t>논현동</t>
        </is>
      </c>
      <c r="AG1249" s="0" t="inlineStr">
        <is>
          <t>인천시 남동구 논고개로68번길 49</t>
        </is>
      </c>
      <c r="AH1249" s="0" t="n">
        <v>0</v>
      </c>
      <c r="AI1249" s="0" t="n">
        <v>226</v>
      </c>
      <c r="AJ1249" s="0" t="n">
        <v>12</v>
      </c>
      <c r="AK1249" s="0" t="n">
        <v>1103</v>
      </c>
      <c r="AL1249" s="0" t="n">
        <v>1.86</v>
      </c>
    </row>
    <row r="1250">
      <c r="A1250" s="0" t="inlineStr">
        <is>
          <t>[논현동]</t>
        </is>
      </c>
      <c r="B1250" s="0" t="n">
        <v>26403</v>
      </c>
      <c r="C1250" s="0" t="n">
        <v>6</v>
      </c>
      <c r="D1250" s="0" t="inlineStr">
        <is>
          <t>인천논현힐스테이트</t>
        </is>
      </c>
      <c r="E1250" s="0" t="inlineStr">
        <is>
          <t>2010.11.</t>
        </is>
      </c>
      <c r="F1250" s="0" t="n">
        <v>594</v>
      </c>
      <c r="G1250" s="0" t="n">
        <v>55.15</v>
      </c>
      <c r="H1250" s="0" t="n">
        <v>182.33</v>
      </c>
      <c r="I1250" s="0" t="n">
        <v>44.08</v>
      </c>
      <c r="J1250" s="0" t="n">
        <v>145.75</v>
      </c>
      <c r="K1250" s="0" t="n">
        <v>118</v>
      </c>
      <c r="T1250" s="0" t="n">
        <v>4</v>
      </c>
      <c r="U1250" s="0" t="n">
        <v>3</v>
      </c>
      <c r="V1250" s="0" t="inlineStr">
        <is>
          <t>계단식</t>
        </is>
      </c>
      <c r="W1250" s="0" t="n">
        <v>182</v>
      </c>
      <c r="X1250" s="0" t="n">
        <v>32</v>
      </c>
      <c r="Y1250" s="0" t="n">
        <v>30</v>
      </c>
      <c r="Z1250" s="0" t="inlineStr">
        <is>
          <t>https://new.land.naver.com/complexes/26403?tab=detail&amp;rf=Y</t>
        </is>
      </c>
      <c r="AA1250" s="0" t="inlineStr">
        <is>
          <t>인천시 남동구 논현동 732-1</t>
        </is>
      </c>
      <c r="AB1250" s="0" t="inlineStr">
        <is>
          <t>인천시</t>
        </is>
      </c>
      <c r="AC1250" s="0" t="inlineStr">
        <is>
          <t>남동구</t>
        </is>
      </c>
      <c r="AD1250" s="0" t="inlineStr">
        <is>
          <t>논현동</t>
        </is>
      </c>
      <c r="AG1250" s="0" t="inlineStr">
        <is>
          <t>인천시 남동구 논고개로68번길 49</t>
        </is>
      </c>
      <c r="AH1250" s="0" t="n">
        <v>0</v>
      </c>
      <c r="AI1250" s="0" t="n">
        <v>226</v>
      </c>
      <c r="AJ1250" s="0" t="n">
        <v>12</v>
      </c>
      <c r="AK1250" s="0" t="n">
        <v>1103</v>
      </c>
      <c r="AL1250" s="0" t="n">
        <v>1.86</v>
      </c>
    </row>
    <row r="1251">
      <c r="A1251" s="0" t="inlineStr">
        <is>
          <t>[논현동]</t>
        </is>
      </c>
      <c r="B1251" s="0" t="n">
        <v>26403</v>
      </c>
      <c r="C1251" s="0" t="n">
        <v>7</v>
      </c>
      <c r="D1251" s="0" t="inlineStr">
        <is>
          <t>인천논현힐스테이트</t>
        </is>
      </c>
      <c r="E1251" s="0" t="inlineStr">
        <is>
          <t>2010.11.</t>
        </is>
      </c>
      <c r="F1251" s="0" t="n">
        <v>594</v>
      </c>
      <c r="G1251" s="0" t="n">
        <v>66.19</v>
      </c>
      <c r="H1251" s="0" t="n">
        <v>218.81</v>
      </c>
      <c r="I1251" s="0" t="n">
        <v>51.61</v>
      </c>
      <c r="J1251" s="0" t="n">
        <v>170.64</v>
      </c>
      <c r="K1251" s="0" t="n">
        <v>2</v>
      </c>
      <c r="T1251" s="0" t="n">
        <v>5</v>
      </c>
      <c r="U1251" s="0" t="n">
        <v>3</v>
      </c>
      <c r="V1251" s="0" t="inlineStr">
        <is>
          <t>계단식</t>
        </is>
      </c>
      <c r="W1251" s="0" t="n">
        <v>218</v>
      </c>
      <c r="X1251" s="0" t="n">
        <v>32</v>
      </c>
      <c r="Y1251" s="0" t="n">
        <v>30</v>
      </c>
      <c r="Z1251" s="0" t="inlineStr">
        <is>
          <t>https://new.land.naver.com/complexes/26403?tab=detail&amp;rf=Y</t>
        </is>
      </c>
      <c r="AA1251" s="0" t="inlineStr">
        <is>
          <t>인천시 남동구 논현동 732-1</t>
        </is>
      </c>
      <c r="AB1251" s="0" t="inlineStr">
        <is>
          <t>인천시</t>
        </is>
      </c>
      <c r="AC1251" s="0" t="inlineStr">
        <is>
          <t>남동구</t>
        </is>
      </c>
      <c r="AD1251" s="0" t="inlineStr">
        <is>
          <t>논현동</t>
        </is>
      </c>
      <c r="AG1251" s="0" t="inlineStr">
        <is>
          <t>인천시 남동구 논고개로68번길 49</t>
        </is>
      </c>
      <c r="AH1251" s="0" t="n">
        <v>0</v>
      </c>
      <c r="AI1251" s="0" t="n">
        <v>226</v>
      </c>
      <c r="AJ1251" s="0" t="n">
        <v>12</v>
      </c>
      <c r="AK1251" s="0" t="n">
        <v>1103</v>
      </c>
      <c r="AL1251" s="0" t="n">
        <v>1.86</v>
      </c>
    </row>
    <row r="1252">
      <c r="A1252" s="0" t="inlineStr">
        <is>
          <t>[논현동]</t>
        </is>
      </c>
      <c r="B1252" s="0" t="n">
        <v>26403</v>
      </c>
      <c r="C1252" s="0" t="n">
        <v>8</v>
      </c>
      <c r="D1252" s="0" t="inlineStr">
        <is>
          <t>인천논현힐스테이트</t>
        </is>
      </c>
      <c r="E1252" s="0" t="inlineStr">
        <is>
          <t>2010.11.</t>
        </is>
      </c>
      <c r="F1252" s="0" t="n">
        <v>594</v>
      </c>
      <c r="G1252" s="0" t="n">
        <v>78.81</v>
      </c>
      <c r="H1252" s="0" t="n">
        <v>260.53</v>
      </c>
      <c r="I1252" s="0" t="n">
        <v>62.9</v>
      </c>
      <c r="J1252" s="0" t="n">
        <v>207.96</v>
      </c>
      <c r="K1252" s="0" t="n">
        <v>2</v>
      </c>
      <c r="T1252" s="0" t="n">
        <v>5</v>
      </c>
      <c r="U1252" s="0" t="n">
        <v>3</v>
      </c>
      <c r="V1252" s="0" t="inlineStr">
        <is>
          <t>계단식</t>
        </is>
      </c>
      <c r="W1252" s="0" t="n">
        <v>260</v>
      </c>
      <c r="X1252" s="0" t="n">
        <v>32</v>
      </c>
      <c r="Y1252" s="0" t="n">
        <v>30</v>
      </c>
      <c r="Z1252" s="0" t="inlineStr">
        <is>
          <t>https://new.land.naver.com/complexes/26403?tab=detail&amp;rf=Y</t>
        </is>
      </c>
      <c r="AA1252" s="0" t="inlineStr">
        <is>
          <t>인천시 남동구 논현동 732-1</t>
        </is>
      </c>
      <c r="AB1252" s="0" t="inlineStr">
        <is>
          <t>인천시</t>
        </is>
      </c>
      <c r="AC1252" s="0" t="inlineStr">
        <is>
          <t>남동구</t>
        </is>
      </c>
      <c r="AD1252" s="0" t="inlineStr">
        <is>
          <t>논현동</t>
        </is>
      </c>
      <c r="AG1252" s="0" t="inlineStr">
        <is>
          <t>인천시 남동구 논고개로68번길 49</t>
        </is>
      </c>
      <c r="AH1252" s="0" t="n">
        <v>0</v>
      </c>
      <c r="AI1252" s="0" t="n">
        <v>226</v>
      </c>
      <c r="AJ1252" s="0" t="n">
        <v>12</v>
      </c>
      <c r="AK1252" s="0" t="n">
        <v>1103</v>
      </c>
      <c r="AL1252" s="0" t="n">
        <v>1.86</v>
      </c>
    </row>
    <row r="1253">
      <c r="A1253" s="0" t="inlineStr">
        <is>
          <t>[논현동]</t>
        </is>
      </c>
      <c r="B1253" s="0" t="n">
        <v>112110</v>
      </c>
      <c r="C1253" s="0" t="n">
        <v>1</v>
      </c>
      <c r="D1253" s="0" t="inlineStr">
        <is>
          <t>논현유승한내들</t>
        </is>
      </c>
      <c r="E1253" s="0" t="inlineStr">
        <is>
          <t>2018.10.</t>
        </is>
      </c>
      <c r="F1253" s="0" t="n">
        <v>376</v>
      </c>
      <c r="G1253" s="0" t="n">
        <v>25.55</v>
      </c>
      <c r="H1253" s="0" t="n">
        <v>84.48</v>
      </c>
      <c r="I1253" s="0" t="n">
        <v>16.98</v>
      </c>
      <c r="J1253" s="0" t="n">
        <v>56.15</v>
      </c>
      <c r="K1253" s="0" t="n">
        <v>261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84A</t>
        </is>
      </c>
      <c r="X1253" s="0" t="n">
        <v>40</v>
      </c>
      <c r="Y1253" s="0" t="n">
        <v>40</v>
      </c>
      <c r="Z1253" s="0" t="inlineStr">
        <is>
          <t>https://new.land.naver.com/complexes/112110?tab=detail&amp;rf=Y</t>
        </is>
      </c>
      <c r="AA1253" s="0" t="inlineStr">
        <is>
          <t>인천시 남동구 논현동 764-4</t>
        </is>
      </c>
      <c r="AB1253" s="0" t="inlineStr">
        <is>
          <t>인천시</t>
        </is>
      </c>
      <c r="AC1253" s="0" t="inlineStr">
        <is>
          <t>남동구</t>
        </is>
      </c>
      <c r="AD1253" s="0" t="inlineStr">
        <is>
          <t>논현동</t>
        </is>
      </c>
      <c r="AG1253" s="0" t="inlineStr">
        <is>
          <t>인천시 남동구 에코중앙로66번길 6</t>
        </is>
      </c>
      <c r="AH1253" s="0" t="n">
        <v>0</v>
      </c>
      <c r="AI1253" s="0" t="n">
        <v>299</v>
      </c>
      <c r="AJ1253" s="0" t="n">
        <v>14</v>
      </c>
      <c r="AK1253" s="0" t="n">
        <v>380</v>
      </c>
      <c r="AL1253" s="0" t="n">
        <v>1.01</v>
      </c>
    </row>
    <row r="1254">
      <c r="A1254" s="0" t="inlineStr">
        <is>
          <t>[논현동]</t>
        </is>
      </c>
      <c r="B1254" s="0" t="n">
        <v>112110</v>
      </c>
      <c r="C1254" s="0" t="n">
        <v>2</v>
      </c>
      <c r="D1254" s="0" t="inlineStr">
        <is>
          <t>논현유승한내들</t>
        </is>
      </c>
      <c r="E1254" s="0" t="inlineStr">
        <is>
          <t>2018.10.</t>
        </is>
      </c>
      <c r="F1254" s="0" t="n">
        <v>376</v>
      </c>
      <c r="G1254" s="0" t="n">
        <v>26.04</v>
      </c>
      <c r="H1254" s="0" t="n">
        <v>86.11</v>
      </c>
      <c r="I1254" s="0" t="n">
        <v>17.2</v>
      </c>
      <c r="J1254" s="0" t="n">
        <v>56.87</v>
      </c>
      <c r="K1254" s="0" t="n">
        <v>115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86B</t>
        </is>
      </c>
      <c r="X1254" s="0" t="n">
        <v>40</v>
      </c>
      <c r="Y1254" s="0" t="n">
        <v>40</v>
      </c>
      <c r="Z1254" s="0" t="inlineStr">
        <is>
          <t>https://new.land.naver.com/complexes/112110?tab=detail&amp;rf=Y</t>
        </is>
      </c>
      <c r="AA1254" s="0" t="inlineStr">
        <is>
          <t>인천시 남동구 논현동 764-4</t>
        </is>
      </c>
      <c r="AB1254" s="0" t="inlineStr">
        <is>
          <t>인천시</t>
        </is>
      </c>
      <c r="AC1254" s="0" t="inlineStr">
        <is>
          <t>남동구</t>
        </is>
      </c>
      <c r="AD1254" s="0" t="inlineStr">
        <is>
          <t>논현동</t>
        </is>
      </c>
      <c r="AG1254" s="0" t="inlineStr">
        <is>
          <t>인천시 남동구 에코중앙로66번길 6</t>
        </is>
      </c>
      <c r="AH1254" s="0" t="n">
        <v>0</v>
      </c>
      <c r="AI1254" s="0" t="n">
        <v>299</v>
      </c>
      <c r="AJ1254" s="0" t="n">
        <v>14</v>
      </c>
      <c r="AK1254" s="0" t="n">
        <v>380</v>
      </c>
      <c r="AL1254" s="0" t="n">
        <v>1.01</v>
      </c>
    </row>
    <row r="1255">
      <c r="A1255" s="0" t="inlineStr">
        <is>
          <t>[논현동]</t>
        </is>
      </c>
      <c r="B1255" s="0" t="n">
        <v>26168</v>
      </c>
      <c r="C1255" s="0" t="n">
        <v>1</v>
      </c>
      <c r="D1255" s="0" t="inlineStr">
        <is>
          <t>에코메트로9단지한화꿈에그린</t>
        </is>
      </c>
      <c r="E1255" s="0" t="inlineStr">
        <is>
          <t>2011.02.</t>
        </is>
      </c>
      <c r="F1255" s="0" t="n">
        <v>810</v>
      </c>
      <c r="G1255" s="0" t="n">
        <v>48.88</v>
      </c>
      <c r="H1255" s="0" t="n">
        <v>161.61</v>
      </c>
      <c r="I1255" s="0" t="n">
        <v>37.45</v>
      </c>
      <c r="J1255" s="0" t="n">
        <v>123.81</v>
      </c>
      <c r="K1255" s="0" t="n">
        <v>338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161</v>
      </c>
      <c r="X1255" s="0" t="n">
        <v>50</v>
      </c>
      <c r="Y1255" s="0" t="n">
        <v>34</v>
      </c>
      <c r="Z1255" s="0" t="inlineStr">
        <is>
          <t>https://new.land.naver.com/complexes/26168?tab=detail&amp;rf=Y</t>
        </is>
      </c>
      <c r="AA1255" s="0" t="inlineStr">
        <is>
          <t>인천시 남동구 논현동 766-1</t>
        </is>
      </c>
      <c r="AB1255" s="0" t="inlineStr">
        <is>
          <t>인천시</t>
        </is>
      </c>
      <c r="AC1255" s="0" t="inlineStr">
        <is>
          <t>남동구</t>
        </is>
      </c>
      <c r="AD1255" s="0" t="inlineStr">
        <is>
          <t>논현동</t>
        </is>
      </c>
      <c r="AG1255" s="0" t="inlineStr">
        <is>
          <t>인천시 남동구 에코중앙로 96</t>
        </is>
      </c>
      <c r="AH1255" s="0" t="n">
        <v>0</v>
      </c>
      <c r="AI1255" s="0" t="n">
        <v>199</v>
      </c>
      <c r="AJ1255" s="0" t="n">
        <v>9</v>
      </c>
      <c r="AK1255" s="0" t="n">
        <v>1876</v>
      </c>
      <c r="AL1255" s="0" t="n">
        <v>2.32</v>
      </c>
    </row>
    <row r="1256">
      <c r="A1256" s="0" t="inlineStr">
        <is>
          <t>[논현동]</t>
        </is>
      </c>
      <c r="B1256" s="0" t="n">
        <v>26168</v>
      </c>
      <c r="C1256" s="0" t="n">
        <v>2</v>
      </c>
      <c r="D1256" s="0" t="inlineStr">
        <is>
          <t>에코메트로9단지한화꿈에그린</t>
        </is>
      </c>
      <c r="E1256" s="0" t="inlineStr">
        <is>
          <t>2011.02.</t>
        </is>
      </c>
      <c r="F1256" s="0" t="n">
        <v>810</v>
      </c>
      <c r="G1256" s="0" t="n">
        <v>59.31</v>
      </c>
      <c r="H1256" s="0" t="n">
        <v>196.07</v>
      </c>
      <c r="I1256" s="0" t="n">
        <v>45.6</v>
      </c>
      <c r="J1256" s="0" t="n">
        <v>150.77</v>
      </c>
      <c r="K1256" s="0" t="n">
        <v>338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196</v>
      </c>
      <c r="X1256" s="0" t="n">
        <v>50</v>
      </c>
      <c r="Y1256" s="0" t="n">
        <v>34</v>
      </c>
      <c r="Z1256" s="0" t="inlineStr">
        <is>
          <t>https://new.land.naver.com/complexes/26168?tab=detail&amp;rf=Y</t>
        </is>
      </c>
      <c r="AA1256" s="0" t="inlineStr">
        <is>
          <t>인천시 남동구 논현동 766-1</t>
        </is>
      </c>
      <c r="AB1256" s="0" t="inlineStr">
        <is>
          <t>인천시</t>
        </is>
      </c>
      <c r="AC1256" s="0" t="inlineStr">
        <is>
          <t>남동구</t>
        </is>
      </c>
      <c r="AD1256" s="0" t="inlineStr">
        <is>
          <t>논현동</t>
        </is>
      </c>
      <c r="AG1256" s="0" t="inlineStr">
        <is>
          <t>인천시 남동구 에코중앙로 96</t>
        </is>
      </c>
      <c r="AH1256" s="0" t="n">
        <v>0</v>
      </c>
      <c r="AI1256" s="0" t="n">
        <v>199</v>
      </c>
      <c r="AJ1256" s="0" t="n">
        <v>9</v>
      </c>
      <c r="AK1256" s="0" t="n">
        <v>1876</v>
      </c>
      <c r="AL1256" s="0" t="n">
        <v>2.32</v>
      </c>
    </row>
    <row r="1257">
      <c r="A1257" s="0" t="inlineStr">
        <is>
          <t>[논현동]</t>
        </is>
      </c>
      <c r="B1257" s="0" t="n">
        <v>26168</v>
      </c>
      <c r="C1257" s="0" t="n">
        <v>3</v>
      </c>
      <c r="D1257" s="0" t="inlineStr">
        <is>
          <t>에코메트로9단지한화꿈에그린</t>
        </is>
      </c>
      <c r="E1257" s="0" t="inlineStr">
        <is>
          <t>2011.02.</t>
        </is>
      </c>
      <c r="F1257" s="0" t="n">
        <v>810</v>
      </c>
      <c r="G1257" s="0" t="n">
        <v>66.93000000000001</v>
      </c>
      <c r="H1257" s="0" t="n">
        <v>221.27</v>
      </c>
      <c r="I1257" s="0" t="n">
        <v>51.32</v>
      </c>
      <c r="J1257" s="0" t="n">
        <v>169.66</v>
      </c>
      <c r="K1257" s="0" t="n">
        <v>66</v>
      </c>
      <c r="T1257" s="0" t="n">
        <v>5</v>
      </c>
      <c r="U1257" s="0" t="n">
        <v>2</v>
      </c>
      <c r="V1257" s="0" t="inlineStr">
        <is>
          <t>계단식</t>
        </is>
      </c>
      <c r="W1257" s="0" t="n">
        <v>221</v>
      </c>
      <c r="X1257" s="0" t="n">
        <v>50</v>
      </c>
      <c r="Y1257" s="0" t="n">
        <v>34</v>
      </c>
      <c r="Z1257" s="0" t="inlineStr">
        <is>
          <t>https://new.land.naver.com/complexes/26168?tab=detail&amp;rf=Y</t>
        </is>
      </c>
      <c r="AA1257" s="0" t="inlineStr">
        <is>
          <t>인천시 남동구 논현동 766-1</t>
        </is>
      </c>
      <c r="AB1257" s="0" t="inlineStr">
        <is>
          <t>인천시</t>
        </is>
      </c>
      <c r="AC1257" s="0" t="inlineStr">
        <is>
          <t>남동구</t>
        </is>
      </c>
      <c r="AD1257" s="0" t="inlineStr">
        <is>
          <t>논현동</t>
        </is>
      </c>
      <c r="AG1257" s="0" t="inlineStr">
        <is>
          <t>인천시 남동구 에코중앙로 96</t>
        </is>
      </c>
      <c r="AH1257" s="0" t="n">
        <v>0</v>
      </c>
      <c r="AI1257" s="0" t="n">
        <v>199</v>
      </c>
      <c r="AJ1257" s="0" t="n">
        <v>9</v>
      </c>
      <c r="AK1257" s="0" t="n">
        <v>1876</v>
      </c>
      <c r="AL1257" s="0" t="n">
        <v>2.32</v>
      </c>
    </row>
    <row r="1258">
      <c r="A1258" s="0" t="inlineStr">
        <is>
          <t>[논현동]</t>
        </is>
      </c>
      <c r="B1258" s="0" t="n">
        <v>26168</v>
      </c>
      <c r="C1258" s="0" t="n">
        <v>4</v>
      </c>
      <c r="D1258" s="0" t="inlineStr">
        <is>
          <t>에코메트로9단지한화꿈에그린</t>
        </is>
      </c>
      <c r="E1258" s="0" t="inlineStr">
        <is>
          <t>2011.02.</t>
        </is>
      </c>
      <c r="F1258" s="0" t="n">
        <v>810</v>
      </c>
      <c r="G1258" s="0" t="n">
        <v>75.76000000000001</v>
      </c>
      <c r="H1258" s="0" t="n">
        <v>250.45</v>
      </c>
      <c r="I1258" s="0" t="n">
        <v>60.21</v>
      </c>
      <c r="J1258" s="0" t="n">
        <v>199.06</v>
      </c>
      <c r="K1258" s="0" t="n">
        <v>68</v>
      </c>
      <c r="T1258" s="0" t="n">
        <v>4</v>
      </c>
      <c r="U1258" s="0" t="n">
        <v>3</v>
      </c>
      <c r="V1258" s="0" t="inlineStr">
        <is>
          <t>계단식</t>
        </is>
      </c>
      <c r="W1258" s="0" t="n">
        <v>250</v>
      </c>
      <c r="X1258" s="0" t="n">
        <v>50</v>
      </c>
      <c r="Y1258" s="0" t="n">
        <v>34</v>
      </c>
      <c r="Z1258" s="0" t="inlineStr">
        <is>
          <t>https://new.land.naver.com/complexes/26168?tab=detail&amp;rf=Y</t>
        </is>
      </c>
      <c r="AA1258" s="0" t="inlineStr">
        <is>
          <t>인천시 남동구 논현동 766-1</t>
        </is>
      </c>
      <c r="AB1258" s="0" t="inlineStr">
        <is>
          <t>인천시</t>
        </is>
      </c>
      <c r="AC1258" s="0" t="inlineStr">
        <is>
          <t>남동구</t>
        </is>
      </c>
      <c r="AD1258" s="0" t="inlineStr">
        <is>
          <t>논현동</t>
        </is>
      </c>
      <c r="AG1258" s="0" t="inlineStr">
        <is>
          <t>인천시 남동구 에코중앙로 96</t>
        </is>
      </c>
      <c r="AH1258" s="0" t="n">
        <v>0</v>
      </c>
      <c r="AI1258" s="0" t="n">
        <v>199</v>
      </c>
      <c r="AJ1258" s="0" t="n">
        <v>9</v>
      </c>
      <c r="AK1258" s="0" t="n">
        <v>1876</v>
      </c>
      <c r="AL1258" s="0" t="n">
        <v>2.32</v>
      </c>
    </row>
    <row r="1259">
      <c r="A1259" s="0" t="inlineStr">
        <is>
          <t>[논현동]</t>
        </is>
      </c>
      <c r="B1259" s="0" t="n">
        <v>13172</v>
      </c>
      <c r="C1259" s="0" t="n">
        <v>1</v>
      </c>
      <c r="D1259" s="0" t="inlineStr">
        <is>
          <t>동보</t>
        </is>
      </c>
      <c r="E1259" s="0" t="inlineStr">
        <is>
          <t>1999.06.</t>
        </is>
      </c>
      <c r="F1259" s="0" t="n">
        <v>278</v>
      </c>
      <c r="G1259" s="0" t="n">
        <v>40.89</v>
      </c>
      <c r="H1259" s="0" t="n">
        <v>135.2</v>
      </c>
      <c r="I1259" s="0" t="n">
        <v>33.23</v>
      </c>
      <c r="J1259" s="0" t="n">
        <v>109.86</v>
      </c>
      <c r="K1259" s="0" t="n">
        <v>206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135</v>
      </c>
      <c r="X1259" s="0" t="n">
        <v>18</v>
      </c>
      <c r="Y1259" s="0" t="n">
        <v>17</v>
      </c>
      <c r="Z1259" s="0" t="inlineStr">
        <is>
          <t>https://new.land.naver.com/complexes/13172?tab=detail&amp;rf=Y</t>
        </is>
      </c>
      <c r="AA1259" s="0" t="inlineStr">
        <is>
          <t>인천시 남동구 논현동 563-2</t>
        </is>
      </c>
      <c r="AB1259" s="0" t="inlineStr">
        <is>
          <t>인천시</t>
        </is>
      </c>
      <c r="AC1259" s="0" t="inlineStr">
        <is>
          <t>남동구</t>
        </is>
      </c>
      <c r="AD1259" s="0" t="inlineStr">
        <is>
          <t>논현동</t>
        </is>
      </c>
      <c r="AG1259" s="0" t="inlineStr">
        <is>
          <t>인천시 남동구 남동대로370번길 122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[논현동]</t>
        </is>
      </c>
      <c r="B1260" s="0" t="n">
        <v>13172</v>
      </c>
      <c r="C1260" s="0" t="n">
        <v>2</v>
      </c>
      <c r="D1260" s="0" t="inlineStr">
        <is>
          <t>동보</t>
        </is>
      </c>
      <c r="E1260" s="0" t="inlineStr">
        <is>
          <t>1999.06.</t>
        </is>
      </c>
      <c r="F1260" s="0" t="n">
        <v>278</v>
      </c>
      <c r="G1260" s="0" t="n">
        <v>47.19</v>
      </c>
      <c r="H1260" s="0" t="n">
        <v>156</v>
      </c>
      <c r="I1260" s="0" t="n">
        <v>38.97</v>
      </c>
      <c r="J1260" s="0" t="n">
        <v>128.85</v>
      </c>
      <c r="K1260" s="0" t="n">
        <v>72</v>
      </c>
      <c r="T1260" s="0" t="n">
        <v>4</v>
      </c>
      <c r="U1260" s="0" t="n">
        <v>2</v>
      </c>
      <c r="V1260" s="0" t="inlineStr">
        <is>
          <t>계단식</t>
        </is>
      </c>
      <c r="W1260" s="0" t="n">
        <v>156</v>
      </c>
      <c r="X1260" s="0" t="n">
        <v>18</v>
      </c>
      <c r="Y1260" s="0" t="n">
        <v>17</v>
      </c>
      <c r="Z1260" s="0" t="inlineStr">
        <is>
          <t>https://new.land.naver.com/complexes/13172?tab=detail&amp;rf=Y</t>
        </is>
      </c>
      <c r="AA1260" s="0" t="inlineStr">
        <is>
          <t>인천시 남동구 논현동 563-2</t>
        </is>
      </c>
      <c r="AB1260" s="0" t="inlineStr">
        <is>
          <t>인천시</t>
        </is>
      </c>
      <c r="AC1260" s="0" t="inlineStr">
        <is>
          <t>남동구</t>
        </is>
      </c>
      <c r="AD1260" s="0" t="inlineStr">
        <is>
          <t>논현동</t>
        </is>
      </c>
      <c r="AG1260" s="0" t="inlineStr">
        <is>
          <t>인천시 남동구 남동대로370번길 122</t>
        </is>
      </c>
      <c r="AH1260" s="0" t="n">
        <v>0</v>
      </c>
      <c r="AI1260" s="0" t="n">
        <v>0</v>
      </c>
      <c r="AJ1260" s="0" t="n">
        <v>0</v>
      </c>
      <c r="AK1260" s="0" t="n">
        <v>0</v>
      </c>
      <c r="AL1260" s="0" t="n">
        <v>0</v>
      </c>
    </row>
    <row r="1261">
      <c r="A1261" s="0" t="inlineStr">
        <is>
          <t>[논현동]</t>
        </is>
      </c>
      <c r="B1261" s="0" t="n">
        <v>22937</v>
      </c>
      <c r="C1261" s="0" t="n">
        <v>1</v>
      </c>
      <c r="D1261" s="0" t="inlineStr">
        <is>
          <t>어진마을한화꿈에그린</t>
        </is>
      </c>
      <c r="E1261" s="0" t="inlineStr">
        <is>
          <t>2007.12.</t>
        </is>
      </c>
      <c r="F1261" s="0" t="n">
        <v>982</v>
      </c>
      <c r="G1261" s="0" t="n">
        <v>39.86</v>
      </c>
      <c r="H1261" s="0" t="n">
        <v>131.78</v>
      </c>
      <c r="I1261" s="0" t="n">
        <v>30.64</v>
      </c>
      <c r="J1261" s="0" t="n">
        <v>101.31</v>
      </c>
      <c r="K1261" s="0" t="n">
        <v>208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131</v>
      </c>
      <c r="X1261" s="0" t="n">
        <v>29</v>
      </c>
      <c r="Y1261" s="0" t="n">
        <v>20</v>
      </c>
      <c r="Z1261" s="0" t="inlineStr">
        <is>
          <t>https://new.land.naver.com/complexes/22937?tab=detail&amp;rf=Y</t>
        </is>
      </c>
      <c r="AA1261" s="0" t="inlineStr">
        <is>
          <t>인천시 남동구 논현동 634-1</t>
        </is>
      </c>
      <c r="AB1261" s="0" t="inlineStr">
        <is>
          <t>인천시</t>
        </is>
      </c>
      <c r="AC1261" s="0" t="inlineStr">
        <is>
          <t>남동구</t>
        </is>
      </c>
      <c r="AD1261" s="0" t="inlineStr">
        <is>
          <t>논현동</t>
        </is>
      </c>
      <c r="AG1261" s="0" t="inlineStr">
        <is>
          <t>인천시 남동구 논현로 106</t>
        </is>
      </c>
      <c r="AH1261" s="0" t="n">
        <v>0</v>
      </c>
      <c r="AI1261" s="0" t="n">
        <v>224</v>
      </c>
      <c r="AJ1261" s="0" t="n">
        <v>12</v>
      </c>
      <c r="AK1261" s="0" t="n">
        <v>1733</v>
      </c>
      <c r="AL1261" s="0" t="n">
        <v>1.76</v>
      </c>
    </row>
    <row r="1262">
      <c r="A1262" s="0" t="inlineStr">
        <is>
          <t>[논현동]</t>
        </is>
      </c>
      <c r="B1262" s="0" t="n">
        <v>22937</v>
      </c>
      <c r="C1262" s="0" t="n">
        <v>2</v>
      </c>
      <c r="D1262" s="0" t="inlineStr">
        <is>
          <t>어진마을한화꿈에그린</t>
        </is>
      </c>
      <c r="E1262" s="0" t="inlineStr">
        <is>
          <t>2007.12.</t>
        </is>
      </c>
      <c r="F1262" s="0" t="n">
        <v>982</v>
      </c>
      <c r="G1262" s="0" t="n">
        <v>46.66</v>
      </c>
      <c r="H1262" s="0" t="n">
        <v>154.28</v>
      </c>
      <c r="I1262" s="0" t="n">
        <v>36.28</v>
      </c>
      <c r="J1262" s="0" t="n">
        <v>119.95</v>
      </c>
      <c r="K1262" s="0" t="n">
        <v>376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154A</t>
        </is>
      </c>
      <c r="X1262" s="0" t="n">
        <v>29</v>
      </c>
      <c r="Y1262" s="0" t="n">
        <v>20</v>
      </c>
      <c r="Z1262" s="0" t="inlineStr">
        <is>
          <t>https://new.land.naver.com/complexes/22937?tab=detail&amp;rf=Y</t>
        </is>
      </c>
      <c r="AA1262" s="0" t="inlineStr">
        <is>
          <t>인천시 남동구 논현동 634-1</t>
        </is>
      </c>
      <c r="AB1262" s="0" t="inlineStr">
        <is>
          <t>인천시</t>
        </is>
      </c>
      <c r="AC1262" s="0" t="inlineStr">
        <is>
          <t>남동구</t>
        </is>
      </c>
      <c r="AD1262" s="0" t="inlineStr">
        <is>
          <t>논현동</t>
        </is>
      </c>
      <c r="AG1262" s="0" t="inlineStr">
        <is>
          <t>인천시 남동구 논현로 106</t>
        </is>
      </c>
      <c r="AH1262" s="0" t="n">
        <v>0</v>
      </c>
      <c r="AI1262" s="0" t="n">
        <v>224</v>
      </c>
      <c r="AJ1262" s="0" t="n">
        <v>12</v>
      </c>
      <c r="AK1262" s="0" t="n">
        <v>1733</v>
      </c>
      <c r="AL1262" s="0" t="n">
        <v>1.76</v>
      </c>
    </row>
    <row r="1263">
      <c r="A1263" s="0" t="inlineStr">
        <is>
          <t>[논현동]</t>
        </is>
      </c>
      <c r="B1263" s="0" t="n">
        <v>22937</v>
      </c>
      <c r="C1263" s="0" t="n">
        <v>3</v>
      </c>
      <c r="D1263" s="0" t="inlineStr">
        <is>
          <t>어진마을한화꿈에그린</t>
        </is>
      </c>
      <c r="E1263" s="0" t="inlineStr">
        <is>
          <t>2007.12.</t>
        </is>
      </c>
      <c r="F1263" s="0" t="n">
        <v>982</v>
      </c>
      <c r="G1263" s="0" t="n">
        <v>46.64</v>
      </c>
      <c r="H1263" s="0" t="n">
        <v>154.19</v>
      </c>
      <c r="I1263" s="0" t="n">
        <v>36.26</v>
      </c>
      <c r="J1263" s="0" t="n">
        <v>119.87</v>
      </c>
      <c r="K1263" s="0" t="n">
        <v>198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154B</t>
        </is>
      </c>
      <c r="X1263" s="0" t="n">
        <v>29</v>
      </c>
      <c r="Y1263" s="0" t="n">
        <v>20</v>
      </c>
      <c r="Z1263" s="0" t="inlineStr">
        <is>
          <t>https://new.land.naver.com/complexes/22937?tab=detail&amp;rf=Y</t>
        </is>
      </c>
      <c r="AA1263" s="0" t="inlineStr">
        <is>
          <t>인천시 남동구 논현동 634-1</t>
        </is>
      </c>
      <c r="AB1263" s="0" t="inlineStr">
        <is>
          <t>인천시</t>
        </is>
      </c>
      <c r="AC1263" s="0" t="inlineStr">
        <is>
          <t>남동구</t>
        </is>
      </c>
      <c r="AD1263" s="0" t="inlineStr">
        <is>
          <t>논현동</t>
        </is>
      </c>
      <c r="AG1263" s="0" t="inlineStr">
        <is>
          <t>인천시 남동구 논현로 106</t>
        </is>
      </c>
      <c r="AH1263" s="0" t="n">
        <v>0</v>
      </c>
      <c r="AI1263" s="0" t="n">
        <v>224</v>
      </c>
      <c r="AJ1263" s="0" t="n">
        <v>12</v>
      </c>
      <c r="AK1263" s="0" t="n">
        <v>1733</v>
      </c>
      <c r="AL1263" s="0" t="n">
        <v>1.76</v>
      </c>
    </row>
    <row r="1264">
      <c r="A1264" s="0" t="inlineStr">
        <is>
          <t>[논현동]</t>
        </is>
      </c>
      <c r="B1264" s="0" t="n">
        <v>22937</v>
      </c>
      <c r="C1264" s="0" t="n">
        <v>4</v>
      </c>
      <c r="D1264" s="0" t="inlineStr">
        <is>
          <t>어진마을한화꿈에그린</t>
        </is>
      </c>
      <c r="E1264" s="0" t="inlineStr">
        <is>
          <t>2007.12.</t>
        </is>
      </c>
      <c r="F1264" s="0" t="n">
        <v>982</v>
      </c>
      <c r="G1264" s="0" t="n">
        <v>48.93</v>
      </c>
      <c r="H1264" s="0" t="n">
        <v>161.78</v>
      </c>
      <c r="I1264" s="0" t="n">
        <v>38.39</v>
      </c>
      <c r="J1264" s="0" t="n">
        <v>126.92</v>
      </c>
      <c r="K1264" s="0" t="n">
        <v>100</v>
      </c>
      <c r="T1264" s="0" t="n">
        <v>4</v>
      </c>
      <c r="U1264" s="0" t="n">
        <v>2</v>
      </c>
      <c r="V1264" s="0" t="inlineStr">
        <is>
          <t>계단식</t>
        </is>
      </c>
      <c r="W1264" s="0" t="n">
        <v>161</v>
      </c>
      <c r="X1264" s="0" t="n">
        <v>29</v>
      </c>
      <c r="Y1264" s="0" t="n">
        <v>20</v>
      </c>
      <c r="Z1264" s="0" t="inlineStr">
        <is>
          <t>https://new.land.naver.com/complexes/22937?tab=detail&amp;rf=Y</t>
        </is>
      </c>
      <c r="AA1264" s="0" t="inlineStr">
        <is>
          <t>인천시 남동구 논현동 634-1</t>
        </is>
      </c>
      <c r="AB1264" s="0" t="inlineStr">
        <is>
          <t>인천시</t>
        </is>
      </c>
      <c r="AC1264" s="0" t="inlineStr">
        <is>
          <t>남동구</t>
        </is>
      </c>
      <c r="AD1264" s="0" t="inlineStr">
        <is>
          <t>논현동</t>
        </is>
      </c>
      <c r="AG1264" s="0" t="inlineStr">
        <is>
          <t>인천시 남동구 논현로 106</t>
        </is>
      </c>
      <c r="AH1264" s="0" t="n">
        <v>0</v>
      </c>
      <c r="AI1264" s="0" t="n">
        <v>224</v>
      </c>
      <c r="AJ1264" s="0" t="n">
        <v>12</v>
      </c>
      <c r="AK1264" s="0" t="n">
        <v>1733</v>
      </c>
      <c r="AL1264" s="0" t="n">
        <v>1.76</v>
      </c>
    </row>
    <row r="1265">
      <c r="A1265" s="0" t="inlineStr">
        <is>
          <t>[논현동]</t>
        </is>
      </c>
      <c r="B1265" s="0" t="n">
        <v>22937</v>
      </c>
      <c r="C1265" s="0" t="n">
        <v>5</v>
      </c>
      <c r="D1265" s="0" t="inlineStr">
        <is>
          <t>어진마을한화꿈에그린</t>
        </is>
      </c>
      <c r="E1265" s="0" t="inlineStr">
        <is>
          <t>2007.12.</t>
        </is>
      </c>
      <c r="F1265" s="0" t="n">
        <v>982</v>
      </c>
      <c r="G1265" s="0" t="n">
        <v>56.73</v>
      </c>
      <c r="H1265" s="0" t="n">
        <v>187.56</v>
      </c>
      <c r="I1265" s="0" t="n">
        <v>45.25</v>
      </c>
      <c r="J1265" s="0" t="n">
        <v>149.61</v>
      </c>
      <c r="K1265" s="0" t="n">
        <v>100</v>
      </c>
      <c r="T1265" s="0" t="n">
        <v>5</v>
      </c>
      <c r="U1265" s="0" t="n">
        <v>2</v>
      </c>
      <c r="V1265" s="0" t="inlineStr">
        <is>
          <t>계단식</t>
        </is>
      </c>
      <c r="W1265" s="0" t="n">
        <v>187</v>
      </c>
      <c r="X1265" s="0" t="n">
        <v>29</v>
      </c>
      <c r="Y1265" s="0" t="n">
        <v>20</v>
      </c>
      <c r="Z1265" s="0" t="inlineStr">
        <is>
          <t>https://new.land.naver.com/complexes/22937?tab=detail&amp;rf=Y</t>
        </is>
      </c>
      <c r="AA1265" s="0" t="inlineStr">
        <is>
          <t>인천시 남동구 논현동 634-1</t>
        </is>
      </c>
      <c r="AB1265" s="0" t="inlineStr">
        <is>
          <t>인천시</t>
        </is>
      </c>
      <c r="AC1265" s="0" t="inlineStr">
        <is>
          <t>남동구</t>
        </is>
      </c>
      <c r="AD1265" s="0" t="inlineStr">
        <is>
          <t>논현동</t>
        </is>
      </c>
      <c r="AG1265" s="0" t="inlineStr">
        <is>
          <t>인천시 남동구 논현로 106</t>
        </is>
      </c>
      <c r="AH1265" s="0" t="n">
        <v>0</v>
      </c>
      <c r="AI1265" s="0" t="n">
        <v>224</v>
      </c>
      <c r="AJ1265" s="0" t="n">
        <v>12</v>
      </c>
      <c r="AK1265" s="0" t="n">
        <v>1733</v>
      </c>
      <c r="AL1265" s="0" t="n">
        <v>1.76</v>
      </c>
    </row>
    <row r="1266">
      <c r="A1266" s="0" t="inlineStr">
        <is>
          <t>[논현동]</t>
        </is>
      </c>
      <c r="B1266" s="0" t="n">
        <v>26125</v>
      </c>
      <c r="C1266" s="0" t="n">
        <v>1</v>
      </c>
      <c r="D1266" s="0" t="inlineStr">
        <is>
          <t>에코메트로11단지한화꿈에그린</t>
        </is>
      </c>
      <c r="E1266" s="0" t="inlineStr">
        <is>
          <t>2009.07.</t>
        </is>
      </c>
      <c r="F1266" s="0" t="n">
        <v>1622</v>
      </c>
      <c r="G1266" s="0" t="n">
        <v>33.64</v>
      </c>
      <c r="H1266" s="0" t="n">
        <v>111.23</v>
      </c>
      <c r="I1266" s="0" t="n">
        <v>25.7</v>
      </c>
      <c r="J1266" s="0" t="n">
        <v>84.98999999999999</v>
      </c>
      <c r="K1266" s="0" t="n">
        <v>360</v>
      </c>
      <c r="T1266" s="0" t="n">
        <v>3</v>
      </c>
      <c r="U1266" s="0" t="n">
        <v>2</v>
      </c>
      <c r="V1266" s="0" t="inlineStr">
        <is>
          <t>복합식</t>
        </is>
      </c>
      <c r="W1266" s="0" t="inlineStr">
        <is>
          <t>111B</t>
        </is>
      </c>
      <c r="X1266" s="0" t="n">
        <v>31</v>
      </c>
      <c r="Y1266" s="0" t="n">
        <v>16</v>
      </c>
      <c r="Z1266" s="0" t="inlineStr">
        <is>
          <t>https://new.land.naver.com/complexes/26125?tab=detail&amp;rf=Y</t>
        </is>
      </c>
      <c r="AA1266" s="0" t="inlineStr">
        <is>
          <t>인천시 남동구 논현동 774-1</t>
        </is>
      </c>
      <c r="AB1266" s="0" t="inlineStr">
        <is>
          <t>인천시</t>
        </is>
      </c>
      <c r="AC1266" s="0" t="inlineStr">
        <is>
          <t>남동구</t>
        </is>
      </c>
      <c r="AD1266" s="0" t="inlineStr">
        <is>
          <t>논현동</t>
        </is>
      </c>
      <c r="AG1266" s="0" t="inlineStr">
        <is>
          <t>인천시 남동구 논고개로 17</t>
        </is>
      </c>
      <c r="AH1266" s="0" t="n">
        <v>0</v>
      </c>
      <c r="AI1266" s="0" t="n">
        <v>199</v>
      </c>
      <c r="AJ1266" s="0" t="n">
        <v>15</v>
      </c>
      <c r="AK1266" s="0" t="n">
        <v>2405</v>
      </c>
      <c r="AL1266" s="0" t="n">
        <v>1.48</v>
      </c>
    </row>
    <row r="1267">
      <c r="A1267" s="0" t="inlineStr">
        <is>
          <t>[논현동]</t>
        </is>
      </c>
      <c r="B1267" s="0" t="n">
        <v>26125</v>
      </c>
      <c r="C1267" s="0" t="n">
        <v>2</v>
      </c>
      <c r="D1267" s="0" t="inlineStr">
        <is>
          <t>에코메트로11단지한화꿈에그린</t>
        </is>
      </c>
      <c r="E1267" s="0" t="inlineStr">
        <is>
          <t>2009.07.</t>
        </is>
      </c>
      <c r="F1267" s="0" t="n">
        <v>1622</v>
      </c>
      <c r="G1267" s="0" t="n">
        <v>33.93</v>
      </c>
      <c r="H1267" s="0" t="n">
        <v>112.19</v>
      </c>
      <c r="I1267" s="0" t="n">
        <v>25.7</v>
      </c>
      <c r="J1267" s="0" t="n">
        <v>84.98999999999999</v>
      </c>
      <c r="K1267" s="0" t="n">
        <v>518</v>
      </c>
      <c r="T1267" s="0" t="n">
        <v>3</v>
      </c>
      <c r="U1267" s="0" t="n">
        <v>2</v>
      </c>
      <c r="V1267" s="0" t="inlineStr">
        <is>
          <t>복합식</t>
        </is>
      </c>
      <c r="W1267" s="0" t="inlineStr">
        <is>
          <t>112A</t>
        </is>
      </c>
      <c r="X1267" s="0" t="n">
        <v>31</v>
      </c>
      <c r="Y1267" s="0" t="n">
        <v>16</v>
      </c>
      <c r="Z1267" s="0" t="inlineStr">
        <is>
          <t>https://new.land.naver.com/complexes/26125?tab=detail&amp;rf=Y</t>
        </is>
      </c>
      <c r="AA1267" s="0" t="inlineStr">
        <is>
          <t>인천시 남동구 논현동 774-1</t>
        </is>
      </c>
      <c r="AB1267" s="0" t="inlineStr">
        <is>
          <t>인천시</t>
        </is>
      </c>
      <c r="AC1267" s="0" t="inlineStr">
        <is>
          <t>남동구</t>
        </is>
      </c>
      <c r="AD1267" s="0" t="inlineStr">
        <is>
          <t>논현동</t>
        </is>
      </c>
      <c r="AG1267" s="0" t="inlineStr">
        <is>
          <t>인천시 남동구 논고개로 17</t>
        </is>
      </c>
      <c r="AH1267" s="0" t="n">
        <v>0</v>
      </c>
      <c r="AI1267" s="0" t="n">
        <v>199</v>
      </c>
      <c r="AJ1267" s="0" t="n">
        <v>15</v>
      </c>
      <c r="AK1267" s="0" t="n">
        <v>2405</v>
      </c>
      <c r="AL1267" s="0" t="n">
        <v>1.48</v>
      </c>
    </row>
    <row r="1268">
      <c r="A1268" s="0" t="inlineStr">
        <is>
          <t>[논현동]</t>
        </is>
      </c>
      <c r="B1268" s="0" t="n">
        <v>26125</v>
      </c>
      <c r="C1268" s="0" t="n">
        <v>3</v>
      </c>
      <c r="D1268" s="0" t="inlineStr">
        <is>
          <t>에코메트로11단지한화꿈에그린</t>
        </is>
      </c>
      <c r="E1268" s="0" t="inlineStr">
        <is>
          <t>2009.07.</t>
        </is>
      </c>
      <c r="F1268" s="0" t="n">
        <v>1622</v>
      </c>
      <c r="G1268" s="0" t="n">
        <v>33.93</v>
      </c>
      <c r="H1268" s="0" t="n">
        <v>112.19</v>
      </c>
      <c r="I1268" s="0" t="n">
        <v>25.7</v>
      </c>
      <c r="J1268" s="0" t="n">
        <v>84.98999999999999</v>
      </c>
      <c r="K1268" s="0" t="n">
        <v>206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112C</t>
        </is>
      </c>
      <c r="X1268" s="0" t="n">
        <v>31</v>
      </c>
      <c r="Y1268" s="0" t="n">
        <v>16</v>
      </c>
      <c r="Z1268" s="0" t="inlineStr">
        <is>
          <t>https://new.land.naver.com/complexes/26125?tab=detail&amp;rf=Y</t>
        </is>
      </c>
      <c r="AA1268" s="0" t="inlineStr">
        <is>
          <t>인천시 남동구 논현동 774-1</t>
        </is>
      </c>
      <c r="AB1268" s="0" t="inlineStr">
        <is>
          <t>인천시</t>
        </is>
      </c>
      <c r="AC1268" s="0" t="inlineStr">
        <is>
          <t>남동구</t>
        </is>
      </c>
      <c r="AD1268" s="0" t="inlineStr">
        <is>
          <t>논현동</t>
        </is>
      </c>
      <c r="AG1268" s="0" t="inlineStr">
        <is>
          <t>인천시 남동구 논고개로 17</t>
        </is>
      </c>
      <c r="AH1268" s="0" t="n">
        <v>0</v>
      </c>
      <c r="AI1268" s="0" t="n">
        <v>199</v>
      </c>
      <c r="AJ1268" s="0" t="n">
        <v>15</v>
      </c>
      <c r="AK1268" s="0" t="n">
        <v>2405</v>
      </c>
      <c r="AL1268" s="0" t="n">
        <v>1.48</v>
      </c>
    </row>
    <row r="1269">
      <c r="A1269" s="0" t="inlineStr">
        <is>
          <t>[논현동]</t>
        </is>
      </c>
      <c r="B1269" s="0" t="n">
        <v>26125</v>
      </c>
      <c r="C1269" s="0" t="n">
        <v>4</v>
      </c>
      <c r="D1269" s="0" t="inlineStr">
        <is>
          <t>에코메트로11단지한화꿈에그린</t>
        </is>
      </c>
      <c r="E1269" s="0" t="inlineStr">
        <is>
          <t>2009.07.</t>
        </is>
      </c>
      <c r="F1269" s="0" t="n">
        <v>1622</v>
      </c>
      <c r="G1269" s="0" t="n">
        <v>39.86</v>
      </c>
      <c r="H1269" s="0" t="n">
        <v>131.77</v>
      </c>
      <c r="I1269" s="0" t="n">
        <v>30.85</v>
      </c>
      <c r="J1269" s="0" t="n">
        <v>101.99</v>
      </c>
      <c r="K1269" s="0" t="n">
        <v>174</v>
      </c>
      <c r="T1269" s="0" t="n">
        <v>3</v>
      </c>
      <c r="U1269" s="0" t="n">
        <v>2</v>
      </c>
      <c r="V1269" s="0" t="inlineStr">
        <is>
          <t>복합식</t>
        </is>
      </c>
      <c r="W1269" s="0" t="n">
        <v>131</v>
      </c>
      <c r="X1269" s="0" t="n">
        <v>31</v>
      </c>
      <c r="Y1269" s="0" t="n">
        <v>16</v>
      </c>
      <c r="Z1269" s="0" t="inlineStr">
        <is>
          <t>https://new.land.naver.com/complexes/26125?tab=detail&amp;rf=Y</t>
        </is>
      </c>
      <c r="AA1269" s="0" t="inlineStr">
        <is>
          <t>인천시 남동구 논현동 774-1</t>
        </is>
      </c>
      <c r="AB1269" s="0" t="inlineStr">
        <is>
          <t>인천시</t>
        </is>
      </c>
      <c r="AC1269" s="0" t="inlineStr">
        <is>
          <t>남동구</t>
        </is>
      </c>
      <c r="AD1269" s="0" t="inlineStr">
        <is>
          <t>논현동</t>
        </is>
      </c>
      <c r="AG1269" s="0" t="inlineStr">
        <is>
          <t>인천시 남동구 논고개로 17</t>
        </is>
      </c>
      <c r="AH1269" s="0" t="n">
        <v>0</v>
      </c>
      <c r="AI1269" s="0" t="n">
        <v>199</v>
      </c>
      <c r="AJ1269" s="0" t="n">
        <v>15</v>
      </c>
      <c r="AK1269" s="0" t="n">
        <v>2405</v>
      </c>
      <c r="AL1269" s="0" t="n">
        <v>1.48</v>
      </c>
    </row>
    <row r="1270">
      <c r="A1270" s="0" t="inlineStr">
        <is>
          <t>[논현동]</t>
        </is>
      </c>
      <c r="B1270" s="0" t="n">
        <v>26125</v>
      </c>
      <c r="C1270" s="0" t="n">
        <v>5</v>
      </c>
      <c r="D1270" s="0" t="inlineStr">
        <is>
          <t>에코메트로11단지한화꿈에그린</t>
        </is>
      </c>
      <c r="E1270" s="0" t="inlineStr">
        <is>
          <t>2009.07.</t>
        </is>
      </c>
      <c r="F1270" s="0" t="n">
        <v>1622</v>
      </c>
      <c r="G1270" s="0" t="n">
        <v>43.22</v>
      </c>
      <c r="H1270" s="0" t="n">
        <v>142.89</v>
      </c>
      <c r="I1270" s="0" t="n">
        <v>34.8</v>
      </c>
      <c r="J1270" s="0" t="n">
        <v>115.06</v>
      </c>
      <c r="K1270" s="0" t="n">
        <v>154</v>
      </c>
      <c r="T1270" s="0" t="n">
        <v>4</v>
      </c>
      <c r="U1270" s="0" t="n">
        <v>2</v>
      </c>
      <c r="V1270" s="0" t="inlineStr">
        <is>
          <t>계단식</t>
        </is>
      </c>
      <c r="W1270" s="0" t="n">
        <v>142</v>
      </c>
      <c r="X1270" s="0" t="n">
        <v>31</v>
      </c>
      <c r="Y1270" s="0" t="n">
        <v>16</v>
      </c>
      <c r="Z1270" s="0" t="inlineStr">
        <is>
          <t>https://new.land.naver.com/complexes/26125?tab=detail&amp;rf=Y</t>
        </is>
      </c>
      <c r="AA1270" s="0" t="inlineStr">
        <is>
          <t>인천시 남동구 논현동 774-1</t>
        </is>
      </c>
      <c r="AB1270" s="0" t="inlineStr">
        <is>
          <t>인천시</t>
        </is>
      </c>
      <c r="AC1270" s="0" t="inlineStr">
        <is>
          <t>남동구</t>
        </is>
      </c>
      <c r="AD1270" s="0" t="inlineStr">
        <is>
          <t>논현동</t>
        </is>
      </c>
      <c r="AG1270" s="0" t="inlineStr">
        <is>
          <t>인천시 남동구 논고개로 17</t>
        </is>
      </c>
      <c r="AH1270" s="0" t="n">
        <v>0</v>
      </c>
      <c r="AI1270" s="0" t="n">
        <v>199</v>
      </c>
      <c r="AJ1270" s="0" t="n">
        <v>15</v>
      </c>
      <c r="AK1270" s="0" t="n">
        <v>2405</v>
      </c>
      <c r="AL1270" s="0" t="n">
        <v>1.48</v>
      </c>
    </row>
    <row r="1271">
      <c r="A1271" s="0" t="inlineStr">
        <is>
          <t>[논현동]</t>
        </is>
      </c>
      <c r="B1271" s="0" t="n">
        <v>26125</v>
      </c>
      <c r="C1271" s="0" t="n">
        <v>6</v>
      </c>
      <c r="D1271" s="0" t="inlineStr">
        <is>
          <t>에코메트로11단지한화꿈에그린</t>
        </is>
      </c>
      <c r="E1271" s="0" t="inlineStr">
        <is>
          <t>2009.07.</t>
        </is>
      </c>
      <c r="F1271" s="0" t="n">
        <v>1622</v>
      </c>
      <c r="G1271" s="0" t="n">
        <v>46.3</v>
      </c>
      <c r="H1271" s="0" t="n">
        <v>153.09</v>
      </c>
      <c r="I1271" s="0" t="n">
        <v>37.07</v>
      </c>
      <c r="J1271" s="0" t="n">
        <v>122.57</v>
      </c>
      <c r="K1271" s="0" t="n">
        <v>116</v>
      </c>
      <c r="T1271" s="0" t="n">
        <v>4</v>
      </c>
      <c r="U1271" s="0" t="n">
        <v>2</v>
      </c>
      <c r="V1271" s="0" t="inlineStr">
        <is>
          <t>복합식</t>
        </is>
      </c>
      <c r="W1271" s="0" t="n">
        <v>153</v>
      </c>
      <c r="X1271" s="0" t="n">
        <v>31</v>
      </c>
      <c r="Y1271" s="0" t="n">
        <v>16</v>
      </c>
      <c r="Z1271" s="0" t="inlineStr">
        <is>
          <t>https://new.land.naver.com/complexes/26125?tab=detail&amp;rf=Y</t>
        </is>
      </c>
      <c r="AA1271" s="0" t="inlineStr">
        <is>
          <t>인천시 남동구 논현동 774-1</t>
        </is>
      </c>
      <c r="AB1271" s="0" t="inlineStr">
        <is>
          <t>인천시</t>
        </is>
      </c>
      <c r="AC1271" s="0" t="inlineStr">
        <is>
          <t>남동구</t>
        </is>
      </c>
      <c r="AD1271" s="0" t="inlineStr">
        <is>
          <t>논현동</t>
        </is>
      </c>
      <c r="AG1271" s="0" t="inlineStr">
        <is>
          <t>인천시 남동구 논고개로 17</t>
        </is>
      </c>
      <c r="AH1271" s="0" t="n">
        <v>0</v>
      </c>
      <c r="AI1271" s="0" t="n">
        <v>199</v>
      </c>
      <c r="AJ1271" s="0" t="n">
        <v>15</v>
      </c>
      <c r="AK1271" s="0" t="n">
        <v>2405</v>
      </c>
      <c r="AL1271" s="0" t="n">
        <v>1.48</v>
      </c>
    </row>
    <row r="1272">
      <c r="A1272" s="0" t="inlineStr">
        <is>
          <t>[논현동]</t>
        </is>
      </c>
      <c r="B1272" s="0" t="n">
        <v>26125</v>
      </c>
      <c r="C1272" s="0" t="n">
        <v>7</v>
      </c>
      <c r="D1272" s="0" t="inlineStr">
        <is>
          <t>에코메트로11단지한화꿈에그린</t>
        </is>
      </c>
      <c r="E1272" s="0" t="inlineStr">
        <is>
          <t>2009.07.</t>
        </is>
      </c>
      <c r="F1272" s="0" t="n">
        <v>1622</v>
      </c>
      <c r="G1272" s="0" t="n">
        <v>49.75</v>
      </c>
      <c r="H1272" s="0" t="n">
        <v>164.49</v>
      </c>
      <c r="I1272" s="0" t="n">
        <v>39.7</v>
      </c>
      <c r="J1272" s="0" t="n">
        <v>131.26</v>
      </c>
      <c r="K1272" s="0" t="n">
        <v>42</v>
      </c>
      <c r="T1272" s="0" t="n">
        <v>4</v>
      </c>
      <c r="U1272" s="0" t="n">
        <v>2</v>
      </c>
      <c r="V1272" s="0" t="inlineStr">
        <is>
          <t>복합식</t>
        </is>
      </c>
      <c r="W1272" s="0" t="n">
        <v>164</v>
      </c>
      <c r="X1272" s="0" t="n">
        <v>31</v>
      </c>
      <c r="Y1272" s="0" t="n">
        <v>16</v>
      </c>
      <c r="Z1272" s="0" t="inlineStr">
        <is>
          <t>https://new.land.naver.com/complexes/26125?tab=detail&amp;rf=Y</t>
        </is>
      </c>
      <c r="AA1272" s="0" t="inlineStr">
        <is>
          <t>인천시 남동구 논현동 774-1</t>
        </is>
      </c>
      <c r="AB1272" s="0" t="inlineStr">
        <is>
          <t>인천시</t>
        </is>
      </c>
      <c r="AC1272" s="0" t="inlineStr">
        <is>
          <t>남동구</t>
        </is>
      </c>
      <c r="AD1272" s="0" t="inlineStr">
        <is>
          <t>논현동</t>
        </is>
      </c>
      <c r="AG1272" s="0" t="inlineStr">
        <is>
          <t>인천시 남동구 논고개로 17</t>
        </is>
      </c>
      <c r="AH1272" s="0" t="n">
        <v>0</v>
      </c>
      <c r="AI1272" s="0" t="n">
        <v>199</v>
      </c>
      <c r="AJ1272" s="0" t="n">
        <v>15</v>
      </c>
      <c r="AK1272" s="0" t="n">
        <v>2405</v>
      </c>
      <c r="AL1272" s="0" t="n">
        <v>1.48</v>
      </c>
    </row>
    <row r="1273">
      <c r="A1273" s="0" t="inlineStr">
        <is>
          <t>[논현동]</t>
        </is>
      </c>
      <c r="B1273" s="0" t="n">
        <v>26125</v>
      </c>
      <c r="C1273" s="0" t="n">
        <v>8</v>
      </c>
      <c r="D1273" s="0" t="inlineStr">
        <is>
          <t>에코메트로11단지한화꿈에그린</t>
        </is>
      </c>
      <c r="E1273" s="0" t="inlineStr">
        <is>
          <t>2009.07.</t>
        </is>
      </c>
      <c r="F1273" s="0" t="n">
        <v>1622</v>
      </c>
      <c r="G1273" s="0" t="n">
        <v>58.7</v>
      </c>
      <c r="H1273" s="0" t="n">
        <v>194.07</v>
      </c>
      <c r="I1273" s="0" t="n">
        <v>46.61</v>
      </c>
      <c r="J1273" s="0" t="n">
        <v>154.1</v>
      </c>
      <c r="K1273" s="0" t="n">
        <v>52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194</v>
      </c>
      <c r="X1273" s="0" t="n">
        <v>31</v>
      </c>
      <c r="Y1273" s="0" t="n">
        <v>16</v>
      </c>
      <c r="Z1273" s="0" t="inlineStr">
        <is>
          <t>https://new.land.naver.com/complexes/26125?tab=detail&amp;rf=Y</t>
        </is>
      </c>
      <c r="AA1273" s="0" t="inlineStr">
        <is>
          <t>인천시 남동구 논현동 774-1</t>
        </is>
      </c>
      <c r="AB1273" s="0" t="inlineStr">
        <is>
          <t>인천시</t>
        </is>
      </c>
      <c r="AC1273" s="0" t="inlineStr">
        <is>
          <t>남동구</t>
        </is>
      </c>
      <c r="AD1273" s="0" t="inlineStr">
        <is>
          <t>논현동</t>
        </is>
      </c>
      <c r="AG1273" s="0" t="inlineStr">
        <is>
          <t>인천시 남동구 논고개로 17</t>
        </is>
      </c>
      <c r="AH1273" s="0" t="n">
        <v>0</v>
      </c>
      <c r="AI1273" s="0" t="n">
        <v>199</v>
      </c>
      <c r="AJ1273" s="0" t="n">
        <v>15</v>
      </c>
      <c r="AK1273" s="0" t="n">
        <v>2405</v>
      </c>
      <c r="AL1273" s="0" t="n">
        <v>1.48</v>
      </c>
    </row>
    <row r="1274">
      <c r="A1274" s="0" t="inlineStr">
        <is>
          <t>[논현동]</t>
        </is>
      </c>
      <c r="B1274" s="0" t="n">
        <v>26165</v>
      </c>
      <c r="C1274" s="0" t="n">
        <v>1</v>
      </c>
      <c r="D1274" s="0" t="inlineStr">
        <is>
          <t>에코메트로5단지한화꿈에그린</t>
        </is>
      </c>
      <c r="E1274" s="0" t="inlineStr">
        <is>
          <t>2010.12.</t>
        </is>
      </c>
      <c r="F1274" s="0" t="n">
        <v>1052</v>
      </c>
      <c r="G1274" s="0" t="n">
        <v>34.39</v>
      </c>
      <c r="H1274" s="0" t="n">
        <v>113.7</v>
      </c>
      <c r="I1274" s="0" t="n">
        <v>25.69</v>
      </c>
      <c r="J1274" s="0" t="n">
        <v>84.94</v>
      </c>
      <c r="K1274" s="0" t="n">
        <v>190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113C</t>
        </is>
      </c>
      <c r="X1274" s="0" t="n">
        <v>40</v>
      </c>
      <c r="Y1274" s="0" t="n">
        <v>29</v>
      </c>
      <c r="Z1274" s="0" t="inlineStr">
        <is>
          <t>https://new.land.naver.com/complexes/26165?tab=detail&amp;rf=Y</t>
        </is>
      </c>
      <c r="AA1274" s="0" t="inlineStr">
        <is>
          <t>인천시 남동구 논현동 755-1</t>
        </is>
      </c>
      <c r="AB1274" s="0" t="inlineStr">
        <is>
          <t>인천시</t>
        </is>
      </c>
      <c r="AC1274" s="0" t="inlineStr">
        <is>
          <t>남동구</t>
        </is>
      </c>
      <c r="AD1274" s="0" t="inlineStr">
        <is>
          <t>논현동</t>
        </is>
      </c>
      <c r="AG1274" s="0" t="inlineStr">
        <is>
          <t>인천시 남동구 소래역남로 39</t>
        </is>
      </c>
      <c r="AH1274" s="0" t="n">
        <v>0</v>
      </c>
      <c r="AI1274" s="0" t="n">
        <v>198</v>
      </c>
      <c r="AJ1274" s="0" t="n">
        <v>10</v>
      </c>
      <c r="AK1274" s="0" t="n">
        <v>1523</v>
      </c>
      <c r="AL1274" s="0" t="n">
        <v>1.45</v>
      </c>
    </row>
    <row r="1275">
      <c r="A1275" s="0" t="inlineStr">
        <is>
          <t>[논현동]</t>
        </is>
      </c>
      <c r="B1275" s="0" t="n">
        <v>26165</v>
      </c>
      <c r="C1275" s="0" t="n">
        <v>2</v>
      </c>
      <c r="D1275" s="0" t="inlineStr">
        <is>
          <t>에코메트로5단지한화꿈에그린</t>
        </is>
      </c>
      <c r="E1275" s="0" t="inlineStr">
        <is>
          <t>2010.12.</t>
        </is>
      </c>
      <c r="F1275" s="0" t="n">
        <v>1052</v>
      </c>
      <c r="G1275" s="0" t="n">
        <v>34.58</v>
      </c>
      <c r="H1275" s="0" t="n">
        <v>114.34</v>
      </c>
      <c r="I1275" s="0" t="n">
        <v>25.7</v>
      </c>
      <c r="J1275" s="0" t="n">
        <v>84.98</v>
      </c>
      <c r="K1275" s="0" t="n">
        <v>260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114A</t>
        </is>
      </c>
      <c r="X1275" s="0" t="n">
        <v>40</v>
      </c>
      <c r="Y1275" s="0" t="n">
        <v>29</v>
      </c>
      <c r="Z1275" s="0" t="inlineStr">
        <is>
          <t>https://new.land.naver.com/complexes/26165?tab=detail&amp;rf=Y</t>
        </is>
      </c>
      <c r="AA1275" s="0" t="inlineStr">
        <is>
          <t>인천시 남동구 논현동 755-1</t>
        </is>
      </c>
      <c r="AB1275" s="0" t="inlineStr">
        <is>
          <t>인천시</t>
        </is>
      </c>
      <c r="AC1275" s="0" t="inlineStr">
        <is>
          <t>남동구</t>
        </is>
      </c>
      <c r="AD1275" s="0" t="inlineStr">
        <is>
          <t>논현동</t>
        </is>
      </c>
      <c r="AG1275" s="0" t="inlineStr">
        <is>
          <t>인천시 남동구 소래역남로 39</t>
        </is>
      </c>
      <c r="AH1275" s="0" t="n">
        <v>0</v>
      </c>
      <c r="AI1275" s="0" t="n">
        <v>198</v>
      </c>
      <c r="AJ1275" s="0" t="n">
        <v>10</v>
      </c>
      <c r="AK1275" s="0" t="n">
        <v>1523</v>
      </c>
      <c r="AL1275" s="0" t="n">
        <v>1.45</v>
      </c>
    </row>
    <row r="1276">
      <c r="A1276" s="0" t="inlineStr">
        <is>
          <t>[논현동]</t>
        </is>
      </c>
      <c r="B1276" s="0" t="n">
        <v>26165</v>
      </c>
      <c r="C1276" s="0" t="n">
        <v>3</v>
      </c>
      <c r="D1276" s="0" t="inlineStr">
        <is>
          <t>에코메트로5단지한화꿈에그린</t>
        </is>
      </c>
      <c r="E1276" s="0" t="inlineStr">
        <is>
          <t>2010.12.</t>
        </is>
      </c>
      <c r="F1276" s="0" t="n">
        <v>1052</v>
      </c>
      <c r="G1276" s="0" t="n">
        <v>34.56</v>
      </c>
      <c r="H1276" s="0" t="n">
        <v>114.27</v>
      </c>
      <c r="I1276" s="0" t="n">
        <v>25.69</v>
      </c>
      <c r="J1276" s="0" t="n">
        <v>84.94</v>
      </c>
      <c r="K1276" s="0" t="n">
        <v>190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114D</t>
        </is>
      </c>
      <c r="X1276" s="0" t="n">
        <v>40</v>
      </c>
      <c r="Y1276" s="0" t="n">
        <v>29</v>
      </c>
      <c r="Z1276" s="0" t="inlineStr">
        <is>
          <t>https://new.land.naver.com/complexes/26165?tab=detail&amp;rf=Y</t>
        </is>
      </c>
      <c r="AA1276" s="0" t="inlineStr">
        <is>
          <t>인천시 남동구 논현동 755-1</t>
        </is>
      </c>
      <c r="AB1276" s="0" t="inlineStr">
        <is>
          <t>인천시</t>
        </is>
      </c>
      <c r="AC1276" s="0" t="inlineStr">
        <is>
          <t>남동구</t>
        </is>
      </c>
      <c r="AD1276" s="0" t="inlineStr">
        <is>
          <t>논현동</t>
        </is>
      </c>
      <c r="AG1276" s="0" t="inlineStr">
        <is>
          <t>인천시 남동구 소래역남로 39</t>
        </is>
      </c>
      <c r="AH1276" s="0" t="n">
        <v>0</v>
      </c>
      <c r="AI1276" s="0" t="n">
        <v>198</v>
      </c>
      <c r="AJ1276" s="0" t="n">
        <v>10</v>
      </c>
      <c r="AK1276" s="0" t="n">
        <v>1523</v>
      </c>
      <c r="AL1276" s="0" t="n">
        <v>1.45</v>
      </c>
    </row>
    <row r="1277">
      <c r="A1277" s="0" t="inlineStr">
        <is>
          <t>[논현동]</t>
        </is>
      </c>
      <c r="B1277" s="0" t="n">
        <v>26165</v>
      </c>
      <c r="C1277" s="0" t="n">
        <v>4</v>
      </c>
      <c r="D1277" s="0" t="inlineStr">
        <is>
          <t>에코메트로5단지한화꿈에그린</t>
        </is>
      </c>
      <c r="E1277" s="0" t="inlineStr">
        <is>
          <t>2010.12.</t>
        </is>
      </c>
      <c r="F1277" s="0" t="n">
        <v>1052</v>
      </c>
      <c r="G1277" s="0" t="n">
        <v>34.59</v>
      </c>
      <c r="H1277" s="0" t="n">
        <v>114.37</v>
      </c>
      <c r="I1277" s="0" t="n">
        <v>25.7</v>
      </c>
      <c r="J1277" s="0" t="n">
        <v>84.98999999999999</v>
      </c>
      <c r="K1277" s="0" t="n">
        <v>56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114B</t>
        </is>
      </c>
      <c r="X1277" s="0" t="n">
        <v>40</v>
      </c>
      <c r="Y1277" s="0" t="n">
        <v>29</v>
      </c>
      <c r="Z1277" s="0" t="inlineStr">
        <is>
          <t>https://new.land.naver.com/complexes/26165?tab=detail&amp;rf=Y</t>
        </is>
      </c>
      <c r="AA1277" s="0" t="inlineStr">
        <is>
          <t>인천시 남동구 논현동 755-1</t>
        </is>
      </c>
      <c r="AB1277" s="0" t="inlineStr">
        <is>
          <t>인천시</t>
        </is>
      </c>
      <c r="AC1277" s="0" t="inlineStr">
        <is>
          <t>남동구</t>
        </is>
      </c>
      <c r="AD1277" s="0" t="inlineStr">
        <is>
          <t>논현동</t>
        </is>
      </c>
      <c r="AG1277" s="0" t="inlineStr">
        <is>
          <t>인천시 남동구 소래역남로 39</t>
        </is>
      </c>
      <c r="AH1277" s="0" t="n">
        <v>0</v>
      </c>
      <c r="AI1277" s="0" t="n">
        <v>198</v>
      </c>
      <c r="AJ1277" s="0" t="n">
        <v>10</v>
      </c>
      <c r="AK1277" s="0" t="n">
        <v>1523</v>
      </c>
      <c r="AL1277" s="0" t="n">
        <v>1.45</v>
      </c>
    </row>
    <row r="1278">
      <c r="A1278" s="0" t="inlineStr">
        <is>
          <t>[논현동]</t>
        </is>
      </c>
      <c r="B1278" s="0" t="n">
        <v>26165</v>
      </c>
      <c r="C1278" s="0" t="n">
        <v>5</v>
      </c>
      <c r="D1278" s="0" t="inlineStr">
        <is>
          <t>에코메트로5단지한화꿈에그린</t>
        </is>
      </c>
      <c r="E1278" s="0" t="inlineStr">
        <is>
          <t>2010.12.</t>
        </is>
      </c>
      <c r="F1278" s="0" t="n">
        <v>1052</v>
      </c>
      <c r="G1278" s="0" t="n">
        <v>40.65</v>
      </c>
      <c r="H1278" s="0" t="n">
        <v>134.39</v>
      </c>
      <c r="I1278" s="0" t="n">
        <v>30.83</v>
      </c>
      <c r="J1278" s="0" t="n">
        <v>101.95</v>
      </c>
      <c r="K1278" s="0" t="n">
        <v>204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134</v>
      </c>
      <c r="X1278" s="0" t="n">
        <v>40</v>
      </c>
      <c r="Y1278" s="0" t="n">
        <v>29</v>
      </c>
      <c r="Z1278" s="0" t="inlineStr">
        <is>
          <t>https://new.land.naver.com/complexes/26165?tab=detail&amp;rf=Y</t>
        </is>
      </c>
      <c r="AA1278" s="0" t="inlineStr">
        <is>
          <t>인천시 남동구 논현동 755-1</t>
        </is>
      </c>
      <c r="AB1278" s="0" t="inlineStr">
        <is>
          <t>인천시</t>
        </is>
      </c>
      <c r="AC1278" s="0" t="inlineStr">
        <is>
          <t>남동구</t>
        </is>
      </c>
      <c r="AD1278" s="0" t="inlineStr">
        <is>
          <t>논현동</t>
        </is>
      </c>
      <c r="AG1278" s="0" t="inlineStr">
        <is>
          <t>인천시 남동구 소래역남로 39</t>
        </is>
      </c>
      <c r="AH1278" s="0" t="n">
        <v>0</v>
      </c>
      <c r="AI1278" s="0" t="n">
        <v>198</v>
      </c>
      <c r="AJ1278" s="0" t="n">
        <v>10</v>
      </c>
      <c r="AK1278" s="0" t="n">
        <v>1523</v>
      </c>
      <c r="AL1278" s="0" t="n">
        <v>1.45</v>
      </c>
    </row>
    <row r="1279">
      <c r="A1279" s="0" t="inlineStr">
        <is>
          <t>[논현동]</t>
        </is>
      </c>
      <c r="B1279" s="0" t="n">
        <v>26165</v>
      </c>
      <c r="C1279" s="0" t="n">
        <v>6</v>
      </c>
      <c r="D1279" s="0" t="inlineStr">
        <is>
          <t>에코메트로5단지한화꿈에그린</t>
        </is>
      </c>
      <c r="E1279" s="0" t="inlineStr">
        <is>
          <t>2010.12.</t>
        </is>
      </c>
      <c r="F1279" s="0" t="n">
        <v>1052</v>
      </c>
      <c r="G1279" s="0" t="n">
        <v>46.56</v>
      </c>
      <c r="H1279" s="0" t="n">
        <v>153.92</v>
      </c>
      <c r="I1279" s="0" t="n">
        <v>35.69</v>
      </c>
      <c r="J1279" s="0" t="n">
        <v>117.99</v>
      </c>
      <c r="K1279" s="0" t="n">
        <v>76</v>
      </c>
      <c r="T1279" s="0" t="n">
        <v>4</v>
      </c>
      <c r="U1279" s="0" t="n">
        <v>2</v>
      </c>
      <c r="V1279" s="0" t="inlineStr">
        <is>
          <t>계단식</t>
        </is>
      </c>
      <c r="W1279" s="0" t="n">
        <v>153</v>
      </c>
      <c r="X1279" s="0" t="n">
        <v>40</v>
      </c>
      <c r="Y1279" s="0" t="n">
        <v>29</v>
      </c>
      <c r="Z1279" s="0" t="inlineStr">
        <is>
          <t>https://new.land.naver.com/complexes/26165?tab=detail&amp;rf=Y</t>
        </is>
      </c>
      <c r="AA1279" s="0" t="inlineStr">
        <is>
          <t>인천시 남동구 논현동 755-1</t>
        </is>
      </c>
      <c r="AB1279" s="0" t="inlineStr">
        <is>
          <t>인천시</t>
        </is>
      </c>
      <c r="AC1279" s="0" t="inlineStr">
        <is>
          <t>남동구</t>
        </is>
      </c>
      <c r="AD1279" s="0" t="inlineStr">
        <is>
          <t>논현동</t>
        </is>
      </c>
      <c r="AG1279" s="0" t="inlineStr">
        <is>
          <t>인천시 남동구 소래역남로 39</t>
        </is>
      </c>
      <c r="AH1279" s="0" t="n">
        <v>0</v>
      </c>
      <c r="AI1279" s="0" t="n">
        <v>198</v>
      </c>
      <c r="AJ1279" s="0" t="n">
        <v>10</v>
      </c>
      <c r="AK1279" s="0" t="n">
        <v>1523</v>
      </c>
      <c r="AL1279" s="0" t="n">
        <v>1.45</v>
      </c>
    </row>
    <row r="1280">
      <c r="A1280" s="0" t="inlineStr">
        <is>
          <t>[논현동]</t>
        </is>
      </c>
      <c r="B1280" s="0" t="n">
        <v>26165</v>
      </c>
      <c r="C1280" s="0" t="n">
        <v>7</v>
      </c>
      <c r="D1280" s="0" t="inlineStr">
        <is>
          <t>에코메트로5단지한화꿈에그린</t>
        </is>
      </c>
      <c r="E1280" s="0" t="inlineStr">
        <is>
          <t>2010.12.</t>
        </is>
      </c>
      <c r="F1280" s="0" t="n">
        <v>1052</v>
      </c>
      <c r="G1280" s="0" t="n">
        <v>56.2</v>
      </c>
      <c r="H1280" s="0" t="n">
        <v>185.81</v>
      </c>
      <c r="I1280" s="0" t="n">
        <v>43.33</v>
      </c>
      <c r="J1280" s="0" t="n">
        <v>143.26</v>
      </c>
      <c r="K1280" s="0" t="n">
        <v>76</v>
      </c>
      <c r="T1280" s="0" t="n">
        <v>4</v>
      </c>
      <c r="U1280" s="0" t="n">
        <v>2</v>
      </c>
      <c r="V1280" s="0" t="inlineStr">
        <is>
          <t>계단식</t>
        </is>
      </c>
      <c r="W1280" s="0" t="n">
        <v>185</v>
      </c>
      <c r="X1280" s="0" t="n">
        <v>40</v>
      </c>
      <c r="Y1280" s="0" t="n">
        <v>29</v>
      </c>
      <c r="Z1280" s="0" t="inlineStr">
        <is>
          <t>https://new.land.naver.com/complexes/26165?tab=detail&amp;rf=Y</t>
        </is>
      </c>
      <c r="AA1280" s="0" t="inlineStr">
        <is>
          <t>인천시 남동구 논현동 755-1</t>
        </is>
      </c>
      <c r="AB1280" s="0" t="inlineStr">
        <is>
          <t>인천시</t>
        </is>
      </c>
      <c r="AC1280" s="0" t="inlineStr">
        <is>
          <t>남동구</t>
        </is>
      </c>
      <c r="AD1280" s="0" t="inlineStr">
        <is>
          <t>논현동</t>
        </is>
      </c>
      <c r="AG1280" s="0" t="inlineStr">
        <is>
          <t>인천시 남동구 소래역남로 39</t>
        </is>
      </c>
      <c r="AH1280" s="0" t="n">
        <v>0</v>
      </c>
      <c r="AI1280" s="0" t="n">
        <v>198</v>
      </c>
      <c r="AJ1280" s="0" t="n">
        <v>10</v>
      </c>
      <c r="AK1280" s="0" t="n">
        <v>1523</v>
      </c>
      <c r="AL1280" s="0" t="n">
        <v>1.45</v>
      </c>
    </row>
    <row r="1281">
      <c r="A1281" s="0" t="inlineStr">
        <is>
          <t>[논현동]</t>
        </is>
      </c>
      <c r="B1281" s="0" t="n">
        <v>26126</v>
      </c>
      <c r="C1281" s="0" t="n">
        <v>1</v>
      </c>
      <c r="D1281" s="0" t="inlineStr">
        <is>
          <t>에코메트로12단지한화꿈에그린</t>
        </is>
      </c>
      <c r="E1281" s="0" t="inlineStr">
        <is>
          <t>2009.07.</t>
        </is>
      </c>
      <c r="F1281" s="0" t="n">
        <v>1298</v>
      </c>
      <c r="G1281" s="0" t="n">
        <v>33.64</v>
      </c>
      <c r="H1281" s="0" t="n">
        <v>111.22</v>
      </c>
      <c r="I1281" s="0" t="n">
        <v>25.7</v>
      </c>
      <c r="J1281" s="0" t="n">
        <v>84.98999999999999</v>
      </c>
      <c r="K1281" s="0" t="n">
        <v>240</v>
      </c>
      <c r="T1281" s="0" t="n">
        <v>3</v>
      </c>
      <c r="U1281" s="0" t="n">
        <v>2</v>
      </c>
      <c r="V1281" s="0" t="inlineStr">
        <is>
          <t>복합식</t>
        </is>
      </c>
      <c r="W1281" s="0" t="inlineStr">
        <is>
          <t>111B</t>
        </is>
      </c>
      <c r="X1281" s="0" t="n">
        <v>31</v>
      </c>
      <c r="Y1281" s="0" t="n">
        <v>17</v>
      </c>
      <c r="Z1281" s="0" t="inlineStr">
        <is>
          <t>https://new.land.naver.com/complexes/26126?tab=detail&amp;rf=Y</t>
        </is>
      </c>
      <c r="AA1281" s="0" t="inlineStr">
        <is>
          <t>인천시 남동구 논현동 755-4</t>
        </is>
      </c>
      <c r="AB1281" s="0" t="inlineStr">
        <is>
          <t>인천시</t>
        </is>
      </c>
      <c r="AC1281" s="0" t="inlineStr">
        <is>
          <t>남동구</t>
        </is>
      </c>
      <c r="AD1281" s="0" t="inlineStr">
        <is>
          <t>논현동</t>
        </is>
      </c>
      <c r="AG1281" s="0" t="inlineStr">
        <is>
          <t>인천시 남동구 논고개로 10</t>
        </is>
      </c>
      <c r="AH1281" s="0" t="n">
        <v>0</v>
      </c>
      <c r="AI1281" s="0" t="n">
        <v>198</v>
      </c>
      <c r="AJ1281" s="0" t="n">
        <v>14</v>
      </c>
      <c r="AK1281" s="0" t="n">
        <v>1987</v>
      </c>
      <c r="AL1281" s="0" t="n">
        <v>1.53</v>
      </c>
    </row>
    <row r="1282">
      <c r="A1282" s="0" t="inlineStr">
        <is>
          <t>[논현동]</t>
        </is>
      </c>
      <c r="B1282" s="0" t="n">
        <v>26126</v>
      </c>
      <c r="C1282" s="0" t="n">
        <v>2</v>
      </c>
      <c r="D1282" s="0" t="inlineStr">
        <is>
          <t>에코메트로12단지한화꿈에그린</t>
        </is>
      </c>
      <c r="E1282" s="0" t="inlineStr">
        <is>
          <t>2009.07.</t>
        </is>
      </c>
      <c r="F1282" s="0" t="n">
        <v>1298</v>
      </c>
      <c r="G1282" s="0" t="n">
        <v>33.93</v>
      </c>
      <c r="H1282" s="0" t="n">
        <v>112.17</v>
      </c>
      <c r="I1282" s="0" t="n">
        <v>25.7</v>
      </c>
      <c r="J1282" s="0" t="n">
        <v>84.98999999999999</v>
      </c>
      <c r="K1282" s="0" t="n">
        <v>370</v>
      </c>
      <c r="T1282" s="0" t="n">
        <v>3</v>
      </c>
      <c r="U1282" s="0" t="n">
        <v>2</v>
      </c>
      <c r="V1282" s="0" t="inlineStr">
        <is>
          <t>복합식</t>
        </is>
      </c>
      <c r="W1282" s="0" t="inlineStr">
        <is>
          <t>112A</t>
        </is>
      </c>
      <c r="X1282" s="0" t="n">
        <v>31</v>
      </c>
      <c r="Y1282" s="0" t="n">
        <v>17</v>
      </c>
      <c r="Z1282" s="0" t="inlineStr">
        <is>
          <t>https://new.land.naver.com/complexes/26126?tab=detail&amp;rf=Y</t>
        </is>
      </c>
      <c r="AA1282" s="0" t="inlineStr">
        <is>
          <t>인천시 남동구 논현동 755-4</t>
        </is>
      </c>
      <c r="AB1282" s="0" t="inlineStr">
        <is>
          <t>인천시</t>
        </is>
      </c>
      <c r="AC1282" s="0" t="inlineStr">
        <is>
          <t>남동구</t>
        </is>
      </c>
      <c r="AD1282" s="0" t="inlineStr">
        <is>
          <t>논현동</t>
        </is>
      </c>
      <c r="AG1282" s="0" t="inlineStr">
        <is>
          <t>인천시 남동구 논고개로 10</t>
        </is>
      </c>
      <c r="AH1282" s="0" t="n">
        <v>0</v>
      </c>
      <c r="AI1282" s="0" t="n">
        <v>198</v>
      </c>
      <c r="AJ1282" s="0" t="n">
        <v>14</v>
      </c>
      <c r="AK1282" s="0" t="n">
        <v>1987</v>
      </c>
      <c r="AL1282" s="0" t="n">
        <v>1.53</v>
      </c>
    </row>
    <row r="1283">
      <c r="A1283" s="0" t="inlineStr">
        <is>
          <t>[논현동]</t>
        </is>
      </c>
      <c r="B1283" s="0" t="n">
        <v>26126</v>
      </c>
      <c r="C1283" s="0" t="n">
        <v>3</v>
      </c>
      <c r="D1283" s="0" t="inlineStr">
        <is>
          <t>에코메트로12단지한화꿈에그린</t>
        </is>
      </c>
      <c r="E1283" s="0" t="inlineStr">
        <is>
          <t>2009.07.</t>
        </is>
      </c>
      <c r="F1283" s="0" t="n">
        <v>1298</v>
      </c>
      <c r="G1283" s="0" t="n">
        <v>33.93</v>
      </c>
      <c r="H1283" s="0" t="n">
        <v>112.17</v>
      </c>
      <c r="I1283" s="0" t="n">
        <v>25.7</v>
      </c>
      <c r="J1283" s="0" t="n">
        <v>84.98999999999999</v>
      </c>
      <c r="K1283" s="0" t="n">
        <v>194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112C</t>
        </is>
      </c>
      <c r="X1283" s="0" t="n">
        <v>31</v>
      </c>
      <c r="Y1283" s="0" t="n">
        <v>17</v>
      </c>
      <c r="Z1283" s="0" t="inlineStr">
        <is>
          <t>https://new.land.naver.com/complexes/26126?tab=detail&amp;rf=Y</t>
        </is>
      </c>
      <c r="AA1283" s="0" t="inlineStr">
        <is>
          <t>인천시 남동구 논현동 755-4</t>
        </is>
      </c>
      <c r="AB1283" s="0" t="inlineStr">
        <is>
          <t>인천시</t>
        </is>
      </c>
      <c r="AC1283" s="0" t="inlineStr">
        <is>
          <t>남동구</t>
        </is>
      </c>
      <c r="AD1283" s="0" t="inlineStr">
        <is>
          <t>논현동</t>
        </is>
      </c>
      <c r="AG1283" s="0" t="inlineStr">
        <is>
          <t>인천시 남동구 논고개로 10</t>
        </is>
      </c>
      <c r="AH1283" s="0" t="n">
        <v>0</v>
      </c>
      <c r="AI1283" s="0" t="n">
        <v>198</v>
      </c>
      <c r="AJ1283" s="0" t="n">
        <v>14</v>
      </c>
      <c r="AK1283" s="0" t="n">
        <v>1987</v>
      </c>
      <c r="AL1283" s="0" t="n">
        <v>1.53</v>
      </c>
    </row>
    <row r="1284">
      <c r="A1284" s="0" t="inlineStr">
        <is>
          <t>[논현동]</t>
        </is>
      </c>
      <c r="B1284" s="0" t="n">
        <v>26126</v>
      </c>
      <c r="C1284" s="0" t="n">
        <v>4</v>
      </c>
      <c r="D1284" s="0" t="inlineStr">
        <is>
          <t>에코메트로12단지한화꿈에그린</t>
        </is>
      </c>
      <c r="E1284" s="0" t="inlineStr">
        <is>
          <t>2009.07.</t>
        </is>
      </c>
      <c r="F1284" s="0" t="n">
        <v>1298</v>
      </c>
      <c r="G1284" s="0" t="n">
        <v>39.62</v>
      </c>
      <c r="H1284" s="0" t="n">
        <v>131</v>
      </c>
      <c r="I1284" s="0" t="n">
        <v>30.85</v>
      </c>
      <c r="J1284" s="0" t="n">
        <v>101.99</v>
      </c>
      <c r="K1284" s="0" t="n">
        <v>152</v>
      </c>
      <c r="T1284" s="0" t="n">
        <v>3</v>
      </c>
      <c r="U1284" s="0" t="n">
        <v>2</v>
      </c>
      <c r="V1284" s="0" t="inlineStr">
        <is>
          <t>복합식</t>
        </is>
      </c>
      <c r="W1284" s="0" t="n">
        <v>131</v>
      </c>
      <c r="X1284" s="0" t="n">
        <v>31</v>
      </c>
      <c r="Y1284" s="0" t="n">
        <v>17</v>
      </c>
      <c r="Z1284" s="0" t="inlineStr">
        <is>
          <t>https://new.land.naver.com/complexes/26126?tab=detail&amp;rf=Y</t>
        </is>
      </c>
      <c r="AA1284" s="0" t="inlineStr">
        <is>
          <t>인천시 남동구 논현동 755-4</t>
        </is>
      </c>
      <c r="AB1284" s="0" t="inlineStr">
        <is>
          <t>인천시</t>
        </is>
      </c>
      <c r="AC1284" s="0" t="inlineStr">
        <is>
          <t>남동구</t>
        </is>
      </c>
      <c r="AD1284" s="0" t="inlineStr">
        <is>
          <t>논현동</t>
        </is>
      </c>
      <c r="AG1284" s="0" t="inlineStr">
        <is>
          <t>인천시 남동구 논고개로 10</t>
        </is>
      </c>
      <c r="AH1284" s="0" t="n">
        <v>0</v>
      </c>
      <c r="AI1284" s="0" t="n">
        <v>198</v>
      </c>
      <c r="AJ1284" s="0" t="n">
        <v>14</v>
      </c>
      <c r="AK1284" s="0" t="n">
        <v>1987</v>
      </c>
      <c r="AL1284" s="0" t="n">
        <v>1.53</v>
      </c>
    </row>
    <row r="1285">
      <c r="A1285" s="0" t="inlineStr">
        <is>
          <t>[논현동]</t>
        </is>
      </c>
      <c r="B1285" s="0" t="n">
        <v>26126</v>
      </c>
      <c r="C1285" s="0" t="n">
        <v>5</v>
      </c>
      <c r="D1285" s="0" t="inlineStr">
        <is>
          <t>에코메트로12단지한화꿈에그린</t>
        </is>
      </c>
      <c r="E1285" s="0" t="inlineStr">
        <is>
          <t>2009.07.</t>
        </is>
      </c>
      <c r="F1285" s="0" t="n">
        <v>1298</v>
      </c>
      <c r="G1285" s="0" t="n">
        <v>43.25</v>
      </c>
      <c r="H1285" s="0" t="n">
        <v>142.98</v>
      </c>
      <c r="I1285" s="0" t="n">
        <v>34.8</v>
      </c>
      <c r="J1285" s="0" t="n">
        <v>115.06</v>
      </c>
      <c r="K1285" s="0" t="n">
        <v>146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142</v>
      </c>
      <c r="X1285" s="0" t="n">
        <v>31</v>
      </c>
      <c r="Y1285" s="0" t="n">
        <v>17</v>
      </c>
      <c r="Z1285" s="0" t="inlineStr">
        <is>
          <t>https://new.land.naver.com/complexes/26126?tab=detail&amp;rf=Y</t>
        </is>
      </c>
      <c r="AA1285" s="0" t="inlineStr">
        <is>
          <t>인천시 남동구 논현동 755-4</t>
        </is>
      </c>
      <c r="AB1285" s="0" t="inlineStr">
        <is>
          <t>인천시</t>
        </is>
      </c>
      <c r="AC1285" s="0" t="inlineStr">
        <is>
          <t>남동구</t>
        </is>
      </c>
      <c r="AD1285" s="0" t="inlineStr">
        <is>
          <t>논현동</t>
        </is>
      </c>
      <c r="AG1285" s="0" t="inlineStr">
        <is>
          <t>인천시 남동구 논고개로 10</t>
        </is>
      </c>
      <c r="AH1285" s="0" t="n">
        <v>0</v>
      </c>
      <c r="AI1285" s="0" t="n">
        <v>198</v>
      </c>
      <c r="AJ1285" s="0" t="n">
        <v>14</v>
      </c>
      <c r="AK1285" s="0" t="n">
        <v>1987</v>
      </c>
      <c r="AL1285" s="0" t="n">
        <v>1.53</v>
      </c>
    </row>
    <row r="1286">
      <c r="A1286" s="0" t="inlineStr">
        <is>
          <t>[논현동]</t>
        </is>
      </c>
      <c r="B1286" s="0" t="n">
        <v>26126</v>
      </c>
      <c r="C1286" s="0" t="n">
        <v>6</v>
      </c>
      <c r="D1286" s="0" t="inlineStr">
        <is>
          <t>에코메트로12단지한화꿈에그린</t>
        </is>
      </c>
      <c r="E1286" s="0" t="inlineStr">
        <is>
          <t>2009.07.</t>
        </is>
      </c>
      <c r="F1286" s="0" t="n">
        <v>1298</v>
      </c>
      <c r="G1286" s="0" t="n">
        <v>46.34</v>
      </c>
      <c r="H1286" s="0" t="n">
        <v>153.2</v>
      </c>
      <c r="I1286" s="0" t="n">
        <v>37.07</v>
      </c>
      <c r="J1286" s="0" t="n">
        <v>122.57</v>
      </c>
      <c r="K1286" s="0" t="n">
        <v>110</v>
      </c>
      <c r="T1286" s="0" t="n">
        <v>4</v>
      </c>
      <c r="U1286" s="0" t="n">
        <v>2</v>
      </c>
      <c r="V1286" s="0" t="inlineStr">
        <is>
          <t>복합식</t>
        </is>
      </c>
      <c r="W1286" s="0" t="n">
        <v>153</v>
      </c>
      <c r="X1286" s="0" t="n">
        <v>31</v>
      </c>
      <c r="Y1286" s="0" t="n">
        <v>17</v>
      </c>
      <c r="Z1286" s="0" t="inlineStr">
        <is>
          <t>https://new.land.naver.com/complexes/26126?tab=detail&amp;rf=Y</t>
        </is>
      </c>
      <c r="AA1286" s="0" t="inlineStr">
        <is>
          <t>인천시 남동구 논현동 755-4</t>
        </is>
      </c>
      <c r="AB1286" s="0" t="inlineStr">
        <is>
          <t>인천시</t>
        </is>
      </c>
      <c r="AC1286" s="0" t="inlineStr">
        <is>
          <t>남동구</t>
        </is>
      </c>
      <c r="AD1286" s="0" t="inlineStr">
        <is>
          <t>논현동</t>
        </is>
      </c>
      <c r="AG1286" s="0" t="inlineStr">
        <is>
          <t>인천시 남동구 논고개로 10</t>
        </is>
      </c>
      <c r="AH1286" s="0" t="n">
        <v>0</v>
      </c>
      <c r="AI1286" s="0" t="n">
        <v>198</v>
      </c>
      <c r="AJ1286" s="0" t="n">
        <v>14</v>
      </c>
      <c r="AK1286" s="0" t="n">
        <v>1987</v>
      </c>
      <c r="AL1286" s="0" t="n">
        <v>1.53</v>
      </c>
    </row>
    <row r="1287">
      <c r="A1287" s="0" t="inlineStr">
        <is>
          <t>[논현동]</t>
        </is>
      </c>
      <c r="B1287" s="0" t="n">
        <v>26126</v>
      </c>
      <c r="C1287" s="0" t="n">
        <v>7</v>
      </c>
      <c r="D1287" s="0" t="inlineStr">
        <is>
          <t>에코메트로12단지한화꿈에그린</t>
        </is>
      </c>
      <c r="E1287" s="0" t="inlineStr">
        <is>
          <t>2009.07.</t>
        </is>
      </c>
      <c r="F1287" s="0" t="n">
        <v>1298</v>
      </c>
      <c r="G1287" s="0" t="n">
        <v>49.79</v>
      </c>
      <c r="H1287" s="0" t="n">
        <v>164.6</v>
      </c>
      <c r="I1287" s="0" t="n">
        <v>39.7</v>
      </c>
      <c r="J1287" s="0" t="n">
        <v>131.26</v>
      </c>
      <c r="K1287" s="0" t="n">
        <v>40</v>
      </c>
      <c r="T1287" s="0" t="n">
        <v>4</v>
      </c>
      <c r="U1287" s="0" t="n">
        <v>2</v>
      </c>
      <c r="V1287" s="0" t="inlineStr">
        <is>
          <t>복합식</t>
        </is>
      </c>
      <c r="W1287" s="0" t="n">
        <v>164</v>
      </c>
      <c r="X1287" s="0" t="n">
        <v>31</v>
      </c>
      <c r="Y1287" s="0" t="n">
        <v>17</v>
      </c>
      <c r="Z1287" s="0" t="inlineStr">
        <is>
          <t>https://new.land.naver.com/complexes/26126?tab=detail&amp;rf=Y</t>
        </is>
      </c>
      <c r="AA1287" s="0" t="inlineStr">
        <is>
          <t>인천시 남동구 논현동 755-4</t>
        </is>
      </c>
      <c r="AB1287" s="0" t="inlineStr">
        <is>
          <t>인천시</t>
        </is>
      </c>
      <c r="AC1287" s="0" t="inlineStr">
        <is>
          <t>남동구</t>
        </is>
      </c>
      <c r="AD1287" s="0" t="inlineStr">
        <is>
          <t>논현동</t>
        </is>
      </c>
      <c r="AG1287" s="0" t="inlineStr">
        <is>
          <t>인천시 남동구 논고개로 10</t>
        </is>
      </c>
      <c r="AH1287" s="0" t="n">
        <v>0</v>
      </c>
      <c r="AI1287" s="0" t="n">
        <v>198</v>
      </c>
      <c r="AJ1287" s="0" t="n">
        <v>14</v>
      </c>
      <c r="AK1287" s="0" t="n">
        <v>1987</v>
      </c>
      <c r="AL1287" s="0" t="n">
        <v>1.53</v>
      </c>
    </row>
    <row r="1288">
      <c r="A1288" s="0" t="inlineStr">
        <is>
          <t>[논현동]</t>
        </is>
      </c>
      <c r="B1288" s="0" t="n">
        <v>26126</v>
      </c>
      <c r="C1288" s="0" t="n">
        <v>8</v>
      </c>
      <c r="D1288" s="0" t="inlineStr">
        <is>
          <t>에코메트로12단지한화꿈에그린</t>
        </is>
      </c>
      <c r="E1288" s="0" t="inlineStr">
        <is>
          <t>2009.07.</t>
        </is>
      </c>
      <c r="F1288" s="0" t="n">
        <v>1298</v>
      </c>
      <c r="G1288" s="0" t="n">
        <v>58.8</v>
      </c>
      <c r="H1288" s="0" t="n">
        <v>194.41</v>
      </c>
      <c r="I1288" s="0" t="n">
        <v>46.61</v>
      </c>
      <c r="J1288" s="0" t="n">
        <v>154.1</v>
      </c>
      <c r="K1288" s="0" t="n">
        <v>46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194</v>
      </c>
      <c r="X1288" s="0" t="n">
        <v>31</v>
      </c>
      <c r="Y1288" s="0" t="n">
        <v>17</v>
      </c>
      <c r="Z1288" s="0" t="inlineStr">
        <is>
          <t>https://new.land.naver.com/complexes/26126?tab=detail&amp;rf=Y</t>
        </is>
      </c>
      <c r="AA1288" s="0" t="inlineStr">
        <is>
          <t>인천시 남동구 논현동 755-4</t>
        </is>
      </c>
      <c r="AB1288" s="0" t="inlineStr">
        <is>
          <t>인천시</t>
        </is>
      </c>
      <c r="AC1288" s="0" t="inlineStr">
        <is>
          <t>남동구</t>
        </is>
      </c>
      <c r="AD1288" s="0" t="inlineStr">
        <is>
          <t>논현동</t>
        </is>
      </c>
      <c r="AG1288" s="0" t="inlineStr">
        <is>
          <t>인천시 남동구 논고개로 10</t>
        </is>
      </c>
      <c r="AH1288" s="0" t="n">
        <v>0</v>
      </c>
      <c r="AI1288" s="0" t="n">
        <v>198</v>
      </c>
      <c r="AJ1288" s="0" t="n">
        <v>14</v>
      </c>
      <c r="AK1288" s="0" t="n">
        <v>1987</v>
      </c>
      <c r="AL1288" s="0" t="n">
        <v>1.53</v>
      </c>
    </row>
    <row r="1289">
      <c r="A1289" s="0" t="inlineStr">
        <is>
          <t>[도림동]</t>
        </is>
      </c>
      <c r="B1289" s="0" t="n">
        <v>25014</v>
      </c>
      <c r="C1289" s="0" t="n">
        <v>1</v>
      </c>
      <c r="D1289" s="0" t="inlineStr">
        <is>
          <t>도림아이파크</t>
        </is>
      </c>
      <c r="E1289" s="0" t="inlineStr">
        <is>
          <t>2008.06.</t>
        </is>
      </c>
      <c r="F1289" s="0" t="n">
        <v>349</v>
      </c>
      <c r="G1289" s="0" t="n">
        <v>34.56</v>
      </c>
      <c r="H1289" s="0" t="n">
        <v>114.27</v>
      </c>
      <c r="I1289" s="0" t="n">
        <v>25.6</v>
      </c>
      <c r="J1289" s="0" t="n">
        <v>84.63</v>
      </c>
      <c r="K1289" s="0" t="n">
        <v>73</v>
      </c>
      <c r="T1289" s="0" t="n">
        <v>3</v>
      </c>
      <c r="U1289" s="0" t="n">
        <v>2</v>
      </c>
      <c r="V1289" s="0" t="inlineStr">
        <is>
          <t>복합식</t>
        </is>
      </c>
      <c r="W1289" s="0" t="inlineStr">
        <is>
          <t>114A</t>
        </is>
      </c>
      <c r="X1289" s="0" t="n">
        <v>19</v>
      </c>
      <c r="Y1289" s="0" t="n">
        <v>13</v>
      </c>
      <c r="Z1289" s="0" t="inlineStr">
        <is>
          <t>https://new.land.naver.com/complexes/25014?tab=detail&amp;rf=Y</t>
        </is>
      </c>
      <c r="AA1289" s="0" t="inlineStr">
        <is>
          <t>인천시 남동구 도림동 651-1</t>
        </is>
      </c>
      <c r="AB1289" s="0" t="inlineStr">
        <is>
          <t>인천시</t>
        </is>
      </c>
      <c r="AC1289" s="0" t="inlineStr">
        <is>
          <t>남동구</t>
        </is>
      </c>
      <c r="AD1289" s="0" t="inlineStr">
        <is>
          <t>도림동</t>
        </is>
      </c>
      <c r="AG1289" s="0" t="inlineStr">
        <is>
          <t>인천시 남동구 도리미로 8</t>
        </is>
      </c>
      <c r="AH1289" s="0" t="n">
        <v>0</v>
      </c>
      <c r="AI1289" s="0" t="n">
        <v>247</v>
      </c>
      <c r="AJ1289" s="0" t="n">
        <v>20</v>
      </c>
      <c r="AK1289" s="0" t="n">
        <v>472</v>
      </c>
      <c r="AL1289" s="0" t="n">
        <v>1.35</v>
      </c>
    </row>
    <row r="1290">
      <c r="A1290" s="0" t="inlineStr">
        <is>
          <t>[도림동]</t>
        </is>
      </c>
      <c r="B1290" s="0" t="n">
        <v>25014</v>
      </c>
      <c r="C1290" s="0" t="n">
        <v>2</v>
      </c>
      <c r="D1290" s="0" t="inlineStr">
        <is>
          <t>도림아이파크</t>
        </is>
      </c>
      <c r="E1290" s="0" t="inlineStr">
        <is>
          <t>2008.06.</t>
        </is>
      </c>
      <c r="F1290" s="0" t="n">
        <v>349</v>
      </c>
      <c r="G1290" s="0" t="n">
        <v>34.65</v>
      </c>
      <c r="H1290" s="0" t="n">
        <v>114.55</v>
      </c>
      <c r="I1290" s="0" t="n">
        <v>25.63</v>
      </c>
      <c r="J1290" s="0" t="n">
        <v>84.73</v>
      </c>
      <c r="K1290" s="0" t="n">
        <v>72</v>
      </c>
      <c r="T1290" s="0" t="n">
        <v>3</v>
      </c>
      <c r="U1290" s="0" t="n">
        <v>2</v>
      </c>
      <c r="V1290" s="0" t="inlineStr">
        <is>
          <t>복합식</t>
        </is>
      </c>
      <c r="W1290" s="0" t="inlineStr">
        <is>
          <t>114B</t>
        </is>
      </c>
      <c r="X1290" s="0" t="n">
        <v>19</v>
      </c>
      <c r="Y1290" s="0" t="n">
        <v>13</v>
      </c>
      <c r="Z1290" s="0" t="inlineStr">
        <is>
          <t>https://new.land.naver.com/complexes/25014?tab=detail&amp;rf=Y</t>
        </is>
      </c>
      <c r="AA1290" s="0" t="inlineStr">
        <is>
          <t>인천시 남동구 도림동 651-1</t>
        </is>
      </c>
      <c r="AB1290" s="0" t="inlineStr">
        <is>
          <t>인천시</t>
        </is>
      </c>
      <c r="AC1290" s="0" t="inlineStr">
        <is>
          <t>남동구</t>
        </is>
      </c>
      <c r="AD1290" s="0" t="inlineStr">
        <is>
          <t>도림동</t>
        </is>
      </c>
      <c r="AG1290" s="0" t="inlineStr">
        <is>
          <t>인천시 남동구 도리미로 8</t>
        </is>
      </c>
      <c r="AH1290" s="0" t="n">
        <v>0</v>
      </c>
      <c r="AI1290" s="0" t="n">
        <v>247</v>
      </c>
      <c r="AJ1290" s="0" t="n">
        <v>20</v>
      </c>
      <c r="AK1290" s="0" t="n">
        <v>472</v>
      </c>
      <c r="AL1290" s="0" t="n">
        <v>1.35</v>
      </c>
    </row>
    <row r="1291">
      <c r="A1291" s="0" t="inlineStr">
        <is>
          <t>[도림동]</t>
        </is>
      </c>
      <c r="B1291" s="0" t="n">
        <v>25014</v>
      </c>
      <c r="C1291" s="0" t="n">
        <v>3</v>
      </c>
      <c r="D1291" s="0" t="inlineStr">
        <is>
          <t>도림아이파크</t>
        </is>
      </c>
      <c r="E1291" s="0" t="inlineStr">
        <is>
          <t>2008.06.</t>
        </is>
      </c>
      <c r="F1291" s="0" t="n">
        <v>349</v>
      </c>
      <c r="G1291" s="0" t="n">
        <v>41.66</v>
      </c>
      <c r="H1291" s="0" t="n">
        <v>137.74</v>
      </c>
      <c r="I1291" s="0" t="n">
        <v>30.77</v>
      </c>
      <c r="J1291" s="0" t="n">
        <v>101.72</v>
      </c>
      <c r="K1291" s="0" t="n">
        <v>109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137</v>
      </c>
      <c r="X1291" s="0" t="n">
        <v>19</v>
      </c>
      <c r="Y1291" s="0" t="n">
        <v>13</v>
      </c>
      <c r="Z1291" s="0" t="inlineStr">
        <is>
          <t>https://new.land.naver.com/complexes/25014?tab=detail&amp;rf=Y</t>
        </is>
      </c>
      <c r="AA1291" s="0" t="inlineStr">
        <is>
          <t>인천시 남동구 도림동 651-1</t>
        </is>
      </c>
      <c r="AB1291" s="0" t="inlineStr">
        <is>
          <t>인천시</t>
        </is>
      </c>
      <c r="AC1291" s="0" t="inlineStr">
        <is>
          <t>남동구</t>
        </is>
      </c>
      <c r="AD1291" s="0" t="inlineStr">
        <is>
          <t>도림동</t>
        </is>
      </c>
      <c r="AG1291" s="0" t="inlineStr">
        <is>
          <t>인천시 남동구 도리미로 8</t>
        </is>
      </c>
      <c r="AH1291" s="0" t="n">
        <v>0</v>
      </c>
      <c r="AI1291" s="0" t="n">
        <v>247</v>
      </c>
      <c r="AJ1291" s="0" t="n">
        <v>20</v>
      </c>
      <c r="AK1291" s="0" t="n">
        <v>472</v>
      </c>
      <c r="AL1291" s="0" t="n">
        <v>1.35</v>
      </c>
    </row>
    <row r="1292">
      <c r="A1292" s="0" t="inlineStr">
        <is>
          <t>[도림동]</t>
        </is>
      </c>
      <c r="B1292" s="0" t="n">
        <v>25014</v>
      </c>
      <c r="C1292" s="0" t="n">
        <v>4</v>
      </c>
      <c r="D1292" s="0" t="inlineStr">
        <is>
          <t>도림아이파크</t>
        </is>
      </c>
      <c r="E1292" s="0" t="inlineStr">
        <is>
          <t>2008.06.</t>
        </is>
      </c>
      <c r="F1292" s="0" t="n">
        <v>349</v>
      </c>
      <c r="G1292" s="0" t="n">
        <v>43.16</v>
      </c>
      <c r="H1292" s="0" t="n">
        <v>142.69</v>
      </c>
      <c r="I1292" s="0" t="n">
        <v>32.46</v>
      </c>
      <c r="J1292" s="0" t="n">
        <v>107.31</v>
      </c>
      <c r="K1292" s="0" t="n">
        <v>19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142</v>
      </c>
      <c r="X1292" s="0" t="n">
        <v>19</v>
      </c>
      <c r="Y1292" s="0" t="n">
        <v>13</v>
      </c>
      <c r="Z1292" s="0" t="inlineStr">
        <is>
          <t>https://new.land.naver.com/complexes/25014?tab=detail&amp;rf=Y</t>
        </is>
      </c>
      <c r="AA1292" s="0" t="inlineStr">
        <is>
          <t>인천시 남동구 도림동 651-1</t>
        </is>
      </c>
      <c r="AB1292" s="0" t="inlineStr">
        <is>
          <t>인천시</t>
        </is>
      </c>
      <c r="AC1292" s="0" t="inlineStr">
        <is>
          <t>남동구</t>
        </is>
      </c>
      <c r="AD1292" s="0" t="inlineStr">
        <is>
          <t>도림동</t>
        </is>
      </c>
      <c r="AG1292" s="0" t="inlineStr">
        <is>
          <t>인천시 남동구 도리미로 8</t>
        </is>
      </c>
      <c r="AH1292" s="0" t="n">
        <v>0</v>
      </c>
      <c r="AI1292" s="0" t="n">
        <v>247</v>
      </c>
      <c r="AJ1292" s="0" t="n">
        <v>20</v>
      </c>
      <c r="AK1292" s="0" t="n">
        <v>472</v>
      </c>
      <c r="AL1292" s="0" t="n">
        <v>1.35</v>
      </c>
    </row>
    <row r="1293">
      <c r="A1293" s="0" t="inlineStr">
        <is>
          <t>[도림동]</t>
        </is>
      </c>
      <c r="B1293" s="0" t="n">
        <v>25014</v>
      </c>
      <c r="C1293" s="0" t="n">
        <v>5</v>
      </c>
      <c r="D1293" s="0" t="inlineStr">
        <is>
          <t>도림아이파크</t>
        </is>
      </c>
      <c r="E1293" s="0" t="inlineStr">
        <is>
          <t>2008.06.</t>
        </is>
      </c>
      <c r="F1293" s="0" t="n">
        <v>349</v>
      </c>
      <c r="G1293" s="0" t="n">
        <v>48.62</v>
      </c>
      <c r="H1293" s="0" t="n">
        <v>160.73</v>
      </c>
      <c r="I1293" s="0" t="n">
        <v>38.3</v>
      </c>
      <c r="J1293" s="0" t="n">
        <v>126.62</v>
      </c>
      <c r="K1293" s="0" t="n">
        <v>38</v>
      </c>
      <c r="T1293" s="0" t="n">
        <v>4</v>
      </c>
      <c r="U1293" s="0" t="n">
        <v>2</v>
      </c>
      <c r="V1293" s="0" t="inlineStr">
        <is>
          <t>복합식</t>
        </is>
      </c>
      <c r="W1293" s="0" t="inlineStr">
        <is>
          <t>160B</t>
        </is>
      </c>
      <c r="X1293" s="0" t="n">
        <v>19</v>
      </c>
      <c r="Y1293" s="0" t="n">
        <v>13</v>
      </c>
      <c r="Z1293" s="0" t="inlineStr">
        <is>
          <t>https://new.land.naver.com/complexes/25014?tab=detail&amp;rf=Y</t>
        </is>
      </c>
      <c r="AA1293" s="0" t="inlineStr">
        <is>
          <t>인천시 남동구 도림동 651-1</t>
        </is>
      </c>
      <c r="AB1293" s="0" t="inlineStr">
        <is>
          <t>인천시</t>
        </is>
      </c>
      <c r="AC1293" s="0" t="inlineStr">
        <is>
          <t>남동구</t>
        </is>
      </c>
      <c r="AD1293" s="0" t="inlineStr">
        <is>
          <t>도림동</t>
        </is>
      </c>
      <c r="AG1293" s="0" t="inlineStr">
        <is>
          <t>인천시 남동구 도리미로 8</t>
        </is>
      </c>
      <c r="AH1293" s="0" t="n">
        <v>0</v>
      </c>
      <c r="AI1293" s="0" t="n">
        <v>247</v>
      </c>
      <c r="AJ1293" s="0" t="n">
        <v>20</v>
      </c>
      <c r="AK1293" s="0" t="n">
        <v>472</v>
      </c>
      <c r="AL1293" s="0" t="n">
        <v>1.35</v>
      </c>
    </row>
    <row r="1294">
      <c r="A1294" s="0" t="inlineStr">
        <is>
          <t>[도림동]</t>
        </is>
      </c>
      <c r="B1294" s="0" t="n">
        <v>25014</v>
      </c>
      <c r="C1294" s="0" t="n">
        <v>6</v>
      </c>
      <c r="D1294" s="0" t="inlineStr">
        <is>
          <t>도림아이파크</t>
        </is>
      </c>
      <c r="E1294" s="0" t="inlineStr">
        <is>
          <t>2008.06.</t>
        </is>
      </c>
      <c r="F1294" s="0" t="n">
        <v>349</v>
      </c>
      <c r="G1294" s="0" t="n">
        <v>48.97</v>
      </c>
      <c r="H1294" s="0" t="n">
        <v>161.89</v>
      </c>
      <c r="I1294" s="0" t="n">
        <v>37.48</v>
      </c>
      <c r="J1294" s="0" t="n">
        <v>123.92</v>
      </c>
      <c r="K1294" s="0" t="n">
        <v>38</v>
      </c>
      <c r="T1294" s="0" t="n">
        <v>4</v>
      </c>
      <c r="U1294" s="0" t="n">
        <v>2</v>
      </c>
      <c r="V1294" s="0" t="inlineStr">
        <is>
          <t>복합식</t>
        </is>
      </c>
      <c r="W1294" s="0" t="inlineStr">
        <is>
          <t>161A</t>
        </is>
      </c>
      <c r="X1294" s="0" t="n">
        <v>19</v>
      </c>
      <c r="Y1294" s="0" t="n">
        <v>13</v>
      </c>
      <c r="Z1294" s="0" t="inlineStr">
        <is>
          <t>https://new.land.naver.com/complexes/25014?tab=detail&amp;rf=Y</t>
        </is>
      </c>
      <c r="AA1294" s="0" t="inlineStr">
        <is>
          <t>인천시 남동구 도림동 651-1</t>
        </is>
      </c>
      <c r="AB1294" s="0" t="inlineStr">
        <is>
          <t>인천시</t>
        </is>
      </c>
      <c r="AC1294" s="0" t="inlineStr">
        <is>
          <t>남동구</t>
        </is>
      </c>
      <c r="AD1294" s="0" t="inlineStr">
        <is>
          <t>도림동</t>
        </is>
      </c>
      <c r="AG1294" s="0" t="inlineStr">
        <is>
          <t>인천시 남동구 도리미로 8</t>
        </is>
      </c>
      <c r="AH1294" s="0" t="n">
        <v>0</v>
      </c>
      <c r="AI1294" s="0" t="n">
        <v>247</v>
      </c>
      <c r="AJ1294" s="0" t="n">
        <v>20</v>
      </c>
      <c r="AK1294" s="0" t="n">
        <v>472</v>
      </c>
      <c r="AL1294" s="0" t="n">
        <v>1.35</v>
      </c>
    </row>
    <row r="1295">
      <c r="A1295" s="0" t="inlineStr">
        <is>
          <t>[도림동]</t>
        </is>
      </c>
      <c r="B1295" s="0" t="n">
        <v>25581</v>
      </c>
      <c r="C1295" s="0" t="n">
        <v>1</v>
      </c>
      <c r="D1295" s="0" t="inlineStr">
        <is>
          <t>벽산블루밍</t>
        </is>
      </c>
      <c r="E1295" s="0" t="inlineStr">
        <is>
          <t>2008.01.</t>
        </is>
      </c>
      <c r="F1295" s="0" t="n">
        <v>342</v>
      </c>
      <c r="G1295" s="0" t="n">
        <v>32.49</v>
      </c>
      <c r="H1295" s="0" t="n">
        <v>107.41</v>
      </c>
      <c r="I1295" s="0" t="n">
        <v>25.66</v>
      </c>
      <c r="J1295" s="0" t="n">
        <v>84.84999999999999</v>
      </c>
      <c r="K1295" s="0" t="n">
        <v>338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107</v>
      </c>
      <c r="X1295" s="0" t="n">
        <v>19</v>
      </c>
      <c r="Y1295" s="0" t="n">
        <v>15</v>
      </c>
      <c r="Z1295" s="0" t="inlineStr">
        <is>
          <t>https://new.land.naver.com/complexes/25581?tab=detail&amp;rf=Y</t>
        </is>
      </c>
      <c r="AA1295" s="0" t="inlineStr">
        <is>
          <t>인천시 남동구 도림동 654-2</t>
        </is>
      </c>
      <c r="AB1295" s="0" t="inlineStr">
        <is>
          <t>인천시</t>
        </is>
      </c>
      <c r="AC1295" s="0" t="inlineStr">
        <is>
          <t>남동구</t>
        </is>
      </c>
      <c r="AD1295" s="0" t="inlineStr">
        <is>
          <t>도림동</t>
        </is>
      </c>
      <c r="AG1295" s="0" t="inlineStr">
        <is>
          <t>인천시 남동구 도림로 8</t>
        </is>
      </c>
      <c r="AH1295" s="0" t="n">
        <v>0</v>
      </c>
      <c r="AI1295" s="0" t="n">
        <v>229</v>
      </c>
      <c r="AJ1295" s="0" t="n">
        <v>16</v>
      </c>
      <c r="AK1295" s="0" t="n">
        <v>380</v>
      </c>
      <c r="AL1295" s="0" t="n">
        <v>1.11</v>
      </c>
    </row>
    <row r="1296">
      <c r="A1296" s="0" t="inlineStr">
        <is>
          <t>[도림동]</t>
        </is>
      </c>
      <c r="B1296" s="0" t="n">
        <v>25581</v>
      </c>
      <c r="C1296" s="0" t="n">
        <v>2</v>
      </c>
      <c r="D1296" s="0" t="inlineStr">
        <is>
          <t>벽산블루밍</t>
        </is>
      </c>
      <c r="E1296" s="0" t="inlineStr">
        <is>
          <t>2008.01.</t>
        </is>
      </c>
      <c r="F1296" s="0" t="n">
        <v>342</v>
      </c>
      <c r="G1296" s="0" t="n">
        <v>61.74</v>
      </c>
      <c r="H1296" s="0" t="n">
        <v>204.11</v>
      </c>
      <c r="I1296" s="0" t="n">
        <v>48.64</v>
      </c>
      <c r="J1296" s="0" t="n">
        <v>160.8</v>
      </c>
      <c r="K1296" s="0" t="n">
        <v>4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204</v>
      </c>
      <c r="X1296" s="0" t="n">
        <v>19</v>
      </c>
      <c r="Y1296" s="0" t="n">
        <v>15</v>
      </c>
      <c r="Z1296" s="0" t="inlineStr">
        <is>
          <t>https://new.land.naver.com/complexes/25581?tab=detail&amp;rf=Y</t>
        </is>
      </c>
      <c r="AA1296" s="0" t="inlineStr">
        <is>
          <t>인천시 남동구 도림동 654-2</t>
        </is>
      </c>
      <c r="AB1296" s="0" t="inlineStr">
        <is>
          <t>인천시</t>
        </is>
      </c>
      <c r="AC1296" s="0" t="inlineStr">
        <is>
          <t>남동구</t>
        </is>
      </c>
      <c r="AD1296" s="0" t="inlineStr">
        <is>
          <t>도림동</t>
        </is>
      </c>
      <c r="AG1296" s="0" t="inlineStr">
        <is>
          <t>인천시 남동구 도림로 8</t>
        </is>
      </c>
      <c r="AH1296" s="0" t="n">
        <v>0</v>
      </c>
      <c r="AI1296" s="0" t="n">
        <v>229</v>
      </c>
      <c r="AJ1296" s="0" t="n">
        <v>16</v>
      </c>
      <c r="AK1296" s="0" t="n">
        <v>380</v>
      </c>
      <c r="AL1296" s="0" t="n">
        <v>1.11</v>
      </c>
    </row>
    <row r="1297">
      <c r="A1297" s="0" t="inlineStr">
        <is>
          <t>[도림동]</t>
        </is>
      </c>
      <c r="B1297" s="0" t="n">
        <v>8471</v>
      </c>
      <c r="C1297" s="0" t="n">
        <v>1</v>
      </c>
      <c r="D1297" s="0" t="inlineStr">
        <is>
          <t>도림주공그린빌2단지</t>
        </is>
      </c>
      <c r="E1297" s="0" t="inlineStr">
        <is>
          <t>2003.10.</t>
        </is>
      </c>
      <c r="F1297" s="0" t="n">
        <v>642</v>
      </c>
      <c r="G1297" s="0" t="n">
        <v>30.15</v>
      </c>
      <c r="H1297" s="0" t="n">
        <v>99.67</v>
      </c>
      <c r="I1297" s="0" t="n">
        <v>23.07</v>
      </c>
      <c r="J1297" s="0" t="n">
        <v>76.28</v>
      </c>
      <c r="K1297" s="0" t="n">
        <v>190</v>
      </c>
      <c r="T1297" s="0" t="n">
        <v>3</v>
      </c>
      <c r="U1297" s="0" t="n">
        <v>2</v>
      </c>
      <c r="V1297" s="0" t="inlineStr">
        <is>
          <t>계단식</t>
        </is>
      </c>
      <c r="W1297" s="0" t="n">
        <v>99</v>
      </c>
      <c r="X1297" s="0" t="n">
        <v>19</v>
      </c>
      <c r="Y1297" s="0" t="n">
        <v>18</v>
      </c>
      <c r="Z1297" s="0" t="inlineStr">
        <is>
          <t>https://new.land.naver.com/complexes/8471?tab=detail&amp;rf=Y</t>
        </is>
      </c>
      <c r="AA1297" s="0" t="inlineStr">
        <is>
          <t>인천시 남동구 도림동 630-1</t>
        </is>
      </c>
      <c r="AB1297" s="0" t="inlineStr">
        <is>
          <t>인천시</t>
        </is>
      </c>
      <c r="AC1297" s="0" t="inlineStr">
        <is>
          <t>남동구</t>
        </is>
      </c>
      <c r="AD1297" s="0" t="inlineStr">
        <is>
          <t>도림동</t>
        </is>
      </c>
      <c r="AG1297" s="0" t="inlineStr">
        <is>
          <t>인천시 남동구 오봉로 33</t>
        </is>
      </c>
      <c r="AH1297" s="0" t="n">
        <v>0</v>
      </c>
      <c r="AI1297" s="0" t="n">
        <v>201</v>
      </c>
      <c r="AJ1297" s="0" t="n">
        <v>15</v>
      </c>
      <c r="AK1297" s="0" t="n">
        <v>671</v>
      </c>
      <c r="AL1297" s="0" t="n">
        <v>1.05</v>
      </c>
    </row>
    <row r="1298">
      <c r="A1298" s="0" t="inlineStr">
        <is>
          <t>[도림동]</t>
        </is>
      </c>
      <c r="B1298" s="0" t="n">
        <v>8471</v>
      </c>
      <c r="C1298" s="0" t="n">
        <v>2</v>
      </c>
      <c r="D1298" s="0" t="inlineStr">
        <is>
          <t>도림주공그린빌2단지</t>
        </is>
      </c>
      <c r="E1298" s="0" t="inlineStr">
        <is>
          <t>2003.10.</t>
        </is>
      </c>
      <c r="F1298" s="0" t="n">
        <v>642</v>
      </c>
      <c r="G1298" s="0" t="n">
        <v>33.37</v>
      </c>
      <c r="H1298" s="0" t="n">
        <v>110.34</v>
      </c>
      <c r="I1298" s="0" t="n">
        <v>25.65</v>
      </c>
      <c r="J1298" s="0" t="n">
        <v>84.8</v>
      </c>
      <c r="K1298" s="0" t="n">
        <v>452</v>
      </c>
      <c r="T1298" s="0" t="n">
        <v>3</v>
      </c>
      <c r="U1298" s="0" t="n">
        <v>2</v>
      </c>
      <c r="V1298" s="0" t="inlineStr">
        <is>
          <t>계단식</t>
        </is>
      </c>
      <c r="W1298" s="0" t="n">
        <v>110</v>
      </c>
      <c r="X1298" s="0" t="n">
        <v>19</v>
      </c>
      <c r="Y1298" s="0" t="n">
        <v>18</v>
      </c>
      <c r="Z1298" s="0" t="inlineStr">
        <is>
          <t>https://new.land.naver.com/complexes/8471?tab=detail&amp;rf=Y</t>
        </is>
      </c>
      <c r="AA1298" s="0" t="inlineStr">
        <is>
          <t>인천시 남동구 도림동 630-1</t>
        </is>
      </c>
      <c r="AB1298" s="0" t="inlineStr">
        <is>
          <t>인천시</t>
        </is>
      </c>
      <c r="AC1298" s="0" t="inlineStr">
        <is>
          <t>남동구</t>
        </is>
      </c>
      <c r="AD1298" s="0" t="inlineStr">
        <is>
          <t>도림동</t>
        </is>
      </c>
      <c r="AG1298" s="0" t="inlineStr">
        <is>
          <t>인천시 남동구 오봉로 33</t>
        </is>
      </c>
      <c r="AH1298" s="0" t="n">
        <v>0</v>
      </c>
      <c r="AI1298" s="0" t="n">
        <v>201</v>
      </c>
      <c r="AJ1298" s="0" t="n">
        <v>15</v>
      </c>
      <c r="AK1298" s="0" t="n">
        <v>671</v>
      </c>
      <c r="AL1298" s="0" t="n">
        <v>1.05</v>
      </c>
    </row>
    <row r="1299">
      <c r="A1299" s="0" t="inlineStr">
        <is>
          <t>[만수동]</t>
        </is>
      </c>
      <c r="B1299" s="0" t="n">
        <v>8870</v>
      </c>
      <c r="C1299" s="0" t="n">
        <v>1</v>
      </c>
      <c r="D1299" s="0" t="inlineStr">
        <is>
          <t>정광</t>
        </is>
      </c>
      <c r="E1299" s="0" t="inlineStr">
        <is>
          <t>1988.09.</t>
        </is>
      </c>
      <c r="F1299" s="0" t="n">
        <v>108</v>
      </c>
      <c r="G1299" s="0" t="n">
        <v>15.17</v>
      </c>
      <c r="H1299" s="0" t="n">
        <v>50.18</v>
      </c>
      <c r="I1299" s="0" t="n">
        <v>12</v>
      </c>
      <c r="J1299" s="0" t="n">
        <v>39.69</v>
      </c>
      <c r="K1299" s="0" t="n">
        <v>36</v>
      </c>
      <c r="T1299" s="0" t="n">
        <v>2</v>
      </c>
      <c r="U1299" s="0" t="n">
        <v>1</v>
      </c>
      <c r="V1299" s="0" t="inlineStr">
        <is>
          <t>계단식</t>
        </is>
      </c>
      <c r="W1299" s="0" t="n">
        <v>50</v>
      </c>
      <c r="X1299" s="0" t="n">
        <v>6</v>
      </c>
      <c r="Y1299" s="0" t="n">
        <v>6</v>
      </c>
      <c r="Z1299" s="0" t="inlineStr">
        <is>
          <t>https://new.land.naver.com/complexes/8870?tab=detail&amp;rf=Y</t>
        </is>
      </c>
      <c r="AA1299" s="0" t="inlineStr">
        <is>
          <t>인천시 남동구 만수동 3-9</t>
        </is>
      </c>
      <c r="AB1299" s="0" t="inlineStr">
        <is>
          <t>인천시</t>
        </is>
      </c>
      <c r="AC1299" s="0" t="inlineStr">
        <is>
          <t>남동구</t>
        </is>
      </c>
      <c r="AD1299" s="0" t="inlineStr">
        <is>
          <t>만수동</t>
        </is>
      </c>
      <c r="AG1299" s="0" t="inlineStr">
        <is>
          <t>인천시 남동구 만수서로105번길 48</t>
        </is>
      </c>
      <c r="AH1299" s="0" t="n">
        <v>0</v>
      </c>
      <c r="AI1299" s="0" t="n">
        <v>187</v>
      </c>
      <c r="AJ1299" s="0" t="n">
        <v>32</v>
      </c>
      <c r="AK1299" s="0" t="n">
        <v>0</v>
      </c>
      <c r="AL1299" s="0" t="n">
        <v>0</v>
      </c>
    </row>
    <row r="1300">
      <c r="A1300" s="0" t="inlineStr">
        <is>
          <t>[만수동]</t>
        </is>
      </c>
      <c r="B1300" s="0" t="n">
        <v>8870</v>
      </c>
      <c r="C1300" s="0" t="n">
        <v>2</v>
      </c>
      <c r="D1300" s="0" t="inlineStr">
        <is>
          <t>정광</t>
        </is>
      </c>
      <c r="E1300" s="0" t="inlineStr">
        <is>
          <t>1988.09.</t>
        </is>
      </c>
      <c r="F1300" s="0" t="n">
        <v>108</v>
      </c>
      <c r="G1300" s="0" t="n">
        <v>19.13</v>
      </c>
      <c r="H1300" s="0" t="n">
        <v>63.25</v>
      </c>
      <c r="I1300" s="0" t="n">
        <v>15.49</v>
      </c>
      <c r="J1300" s="0" t="n">
        <v>51.21</v>
      </c>
      <c r="K1300" s="0" t="n">
        <v>24</v>
      </c>
      <c r="T1300" s="0" t="n">
        <v>3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6</v>
      </c>
      <c r="Y1300" s="0" t="n">
        <v>6</v>
      </c>
      <c r="Z1300" s="0" t="inlineStr">
        <is>
          <t>https://new.land.naver.com/complexes/8870?tab=detail&amp;rf=Y</t>
        </is>
      </c>
      <c r="AA1300" s="0" t="inlineStr">
        <is>
          <t>인천시 남동구 만수동 3-9</t>
        </is>
      </c>
      <c r="AB1300" s="0" t="inlineStr">
        <is>
          <t>인천시</t>
        </is>
      </c>
      <c r="AC1300" s="0" t="inlineStr">
        <is>
          <t>남동구</t>
        </is>
      </c>
      <c r="AD1300" s="0" t="inlineStr">
        <is>
          <t>만수동</t>
        </is>
      </c>
      <c r="AG1300" s="0" t="inlineStr">
        <is>
          <t>인천시 남동구 만수서로105번길 48</t>
        </is>
      </c>
      <c r="AH1300" s="0" t="n">
        <v>0</v>
      </c>
      <c r="AI1300" s="0" t="n">
        <v>187</v>
      </c>
      <c r="AJ1300" s="0" t="n">
        <v>32</v>
      </c>
      <c r="AK1300" s="0" t="n">
        <v>0</v>
      </c>
      <c r="AL1300" s="0" t="n">
        <v>0</v>
      </c>
    </row>
    <row r="1301">
      <c r="A1301" s="0" t="inlineStr">
        <is>
          <t>[만수동]</t>
        </is>
      </c>
      <c r="B1301" s="0" t="n">
        <v>8870</v>
      </c>
      <c r="C1301" s="0" t="n">
        <v>3</v>
      </c>
      <c r="D1301" s="0" t="inlineStr">
        <is>
          <t>정광</t>
        </is>
      </c>
      <c r="E1301" s="0" t="inlineStr">
        <is>
          <t>1988.09.</t>
        </is>
      </c>
      <c r="F1301" s="0" t="n">
        <v>108</v>
      </c>
      <c r="G1301" s="0" t="n">
        <v>19.4</v>
      </c>
      <c r="H1301" s="0" t="n">
        <v>64.16</v>
      </c>
      <c r="I1301" s="0" t="n">
        <v>15.8</v>
      </c>
      <c r="J1301" s="0" t="n">
        <v>52.26</v>
      </c>
      <c r="K1301" s="0" t="n">
        <v>48</v>
      </c>
      <c r="T1301" s="0" t="n">
        <v>3</v>
      </c>
      <c r="U1301" s="0" t="n">
        <v>1</v>
      </c>
      <c r="V1301" s="0" t="inlineStr">
        <is>
          <t>계단식</t>
        </is>
      </c>
      <c r="W1301" s="0" t="inlineStr">
        <is>
          <t>64B</t>
        </is>
      </c>
      <c r="X1301" s="0" t="n">
        <v>6</v>
      </c>
      <c r="Y1301" s="0" t="n">
        <v>6</v>
      </c>
      <c r="Z1301" s="0" t="inlineStr">
        <is>
          <t>https://new.land.naver.com/complexes/8870?tab=detail&amp;rf=Y</t>
        </is>
      </c>
      <c r="AA1301" s="0" t="inlineStr">
        <is>
          <t>인천시 남동구 만수동 3-9</t>
        </is>
      </c>
      <c r="AB1301" s="0" t="inlineStr">
        <is>
          <t>인천시</t>
        </is>
      </c>
      <c r="AC1301" s="0" t="inlineStr">
        <is>
          <t>남동구</t>
        </is>
      </c>
      <c r="AD1301" s="0" t="inlineStr">
        <is>
          <t>만수동</t>
        </is>
      </c>
      <c r="AG1301" s="0" t="inlineStr">
        <is>
          <t>인천시 남동구 만수서로105번길 48</t>
        </is>
      </c>
      <c r="AH1301" s="0" t="n">
        <v>0</v>
      </c>
      <c r="AI1301" s="0" t="n">
        <v>187</v>
      </c>
      <c r="AJ1301" s="0" t="n">
        <v>32</v>
      </c>
      <c r="AK1301" s="0" t="n">
        <v>0</v>
      </c>
      <c r="AL1301" s="0" t="n">
        <v>0</v>
      </c>
    </row>
    <row r="1302">
      <c r="A1302" s="0" t="inlineStr">
        <is>
          <t>[만수동]</t>
        </is>
      </c>
      <c r="B1302" s="0" t="n">
        <v>11211</v>
      </c>
      <c r="C1302" s="0" t="n">
        <v>1</v>
      </c>
      <c r="D1302" s="0" t="inlineStr">
        <is>
          <t>미림</t>
        </is>
      </c>
      <c r="E1302" s="0" t="inlineStr">
        <is>
          <t>1988.03.</t>
        </is>
      </c>
      <c r="F1302" s="0" t="n">
        <v>30</v>
      </c>
      <c r="G1302" s="0" t="n">
        <v>18.94</v>
      </c>
      <c r="H1302" s="0" t="n">
        <v>62.64</v>
      </c>
      <c r="I1302" s="0" t="n">
        <v>14.32</v>
      </c>
      <c r="J1302" s="0" t="n">
        <v>47.34</v>
      </c>
      <c r="K1302" s="0" t="n">
        <v>30</v>
      </c>
      <c r="T1302" s="0" t="n">
        <v>3</v>
      </c>
      <c r="U1302" s="0" t="n">
        <v>1</v>
      </c>
      <c r="V1302" s="0" t="inlineStr">
        <is>
          <t>계단식</t>
        </is>
      </c>
      <c r="W1302" s="0" t="n">
        <v>62</v>
      </c>
      <c r="X1302" s="0" t="n">
        <v>5</v>
      </c>
      <c r="Y1302" s="0" t="n">
        <v>5</v>
      </c>
      <c r="Z1302" s="0" t="inlineStr">
        <is>
          <t>https://new.land.naver.com/complexes/11211?tab=detail&amp;rf=Y</t>
        </is>
      </c>
      <c r="AA1302" s="0" t="inlineStr">
        <is>
          <t>인천시 남동구 만수동 901-26</t>
        </is>
      </c>
      <c r="AB1302" s="0" t="inlineStr">
        <is>
          <t>인천시</t>
        </is>
      </c>
      <c r="AC1302" s="0" t="inlineStr">
        <is>
          <t>남동구</t>
        </is>
      </c>
      <c r="AD1302" s="0" t="inlineStr">
        <is>
          <t>만수동</t>
        </is>
      </c>
      <c r="AG1302" s="0" t="inlineStr">
        <is>
          <t>인천시 남동구 구월말로 95</t>
        </is>
      </c>
      <c r="AH1302" s="0" t="n">
        <v>0</v>
      </c>
      <c r="AI1302" s="0" t="n">
        <v>0</v>
      </c>
      <c r="AJ1302" s="0" t="n">
        <v>0</v>
      </c>
      <c r="AK1302" s="0" t="n">
        <v>0</v>
      </c>
      <c r="AL1302" s="0" t="n">
        <v>0</v>
      </c>
    </row>
    <row r="1303">
      <c r="A1303" s="0" t="inlineStr">
        <is>
          <t>[만수동]</t>
        </is>
      </c>
      <c r="B1303" s="0" t="n">
        <v>143083</v>
      </c>
      <c r="C1303" s="0" t="n">
        <v>1</v>
      </c>
      <c r="D1303" s="0" t="inlineStr">
        <is>
          <t>파크원52</t>
        </is>
      </c>
      <c r="E1303" s="0" t="inlineStr">
        <is>
          <t>2018.05.</t>
        </is>
      </c>
      <c r="F1303" s="0" t="n">
        <v>4</v>
      </c>
      <c r="G1303" s="0" t="n">
        <v>22.03</v>
      </c>
      <c r="H1303" s="0" t="n">
        <v>72.84999999999999</v>
      </c>
      <c r="I1303" s="0" t="n">
        <v>18.4</v>
      </c>
      <c r="J1303" s="0" t="n">
        <v>60.83</v>
      </c>
      <c r="K1303" s="0" t="n">
        <v>1</v>
      </c>
      <c r="T1303" s="0" t="n">
        <v>3</v>
      </c>
      <c r="U1303" s="0" t="n">
        <v>1</v>
      </c>
      <c r="V1303" s="0" t="inlineStr">
        <is>
          <t>계단식</t>
        </is>
      </c>
      <c r="W1303" s="0" t="n">
        <v>72</v>
      </c>
      <c r="X1303" s="0" t="n">
        <v>14</v>
      </c>
      <c r="Y1303" s="0" t="n">
        <v>14</v>
      </c>
      <c r="Z1303" s="0" t="inlineStr">
        <is>
          <t>https://new.land.naver.com/complexes/143083?tab=detail&amp;rf=Y</t>
        </is>
      </c>
      <c r="AA1303" s="0" t="inlineStr">
        <is>
          <t>인천시 남동구 만수동 5-231</t>
        </is>
      </c>
      <c r="AB1303" s="0" t="inlineStr">
        <is>
          <t>인천시</t>
        </is>
      </c>
      <c r="AC1303" s="0" t="inlineStr">
        <is>
          <t>남동구</t>
        </is>
      </c>
      <c r="AD1303" s="0" t="inlineStr">
        <is>
          <t>만수동</t>
        </is>
      </c>
      <c r="AG1303" s="0" t="inlineStr">
        <is>
          <t>인천시 남동구 만수로100번길 23</t>
        </is>
      </c>
      <c r="AH1303" s="0" t="n">
        <v>0</v>
      </c>
      <c r="AI1303" s="0" t="n">
        <v>599</v>
      </c>
      <c r="AJ1303" s="0" t="n">
        <v>56</v>
      </c>
      <c r="AK1303" s="0" t="n">
        <v>4</v>
      </c>
      <c r="AL1303" s="0" t="n">
        <v>1</v>
      </c>
    </row>
    <row r="1304">
      <c r="A1304" s="0" t="inlineStr">
        <is>
          <t>[만수동]</t>
        </is>
      </c>
      <c r="B1304" s="0" t="n">
        <v>143083</v>
      </c>
      <c r="C1304" s="0" t="n">
        <v>2</v>
      </c>
      <c r="D1304" s="0" t="inlineStr">
        <is>
          <t>파크원52</t>
        </is>
      </c>
      <c r="E1304" s="0" t="inlineStr">
        <is>
          <t>2018.05.</t>
        </is>
      </c>
      <c r="F1304" s="0" t="n">
        <v>4</v>
      </c>
      <c r="G1304" s="0" t="n">
        <v>23.11</v>
      </c>
      <c r="H1304" s="0" t="n">
        <v>76.41</v>
      </c>
      <c r="I1304" s="0" t="n">
        <v>19.34</v>
      </c>
      <c r="J1304" s="0" t="n">
        <v>63.95</v>
      </c>
      <c r="K1304" s="0" t="n">
        <v>1</v>
      </c>
      <c r="T1304" s="0" t="n">
        <v>3</v>
      </c>
      <c r="U1304" s="0" t="n">
        <v>1</v>
      </c>
      <c r="V1304" s="0" t="inlineStr">
        <is>
          <t>계단식</t>
        </is>
      </c>
      <c r="W1304" s="0" t="inlineStr">
        <is>
          <t>76A</t>
        </is>
      </c>
      <c r="X1304" s="0" t="n">
        <v>14</v>
      </c>
      <c r="Y1304" s="0" t="n">
        <v>14</v>
      </c>
      <c r="Z1304" s="0" t="inlineStr">
        <is>
          <t>https://new.land.naver.com/complexes/143083?tab=detail&amp;rf=Y</t>
        </is>
      </c>
      <c r="AA1304" s="0" t="inlineStr">
        <is>
          <t>인천시 남동구 만수동 5-231</t>
        </is>
      </c>
      <c r="AB1304" s="0" t="inlineStr">
        <is>
          <t>인천시</t>
        </is>
      </c>
      <c r="AC1304" s="0" t="inlineStr">
        <is>
          <t>남동구</t>
        </is>
      </c>
      <c r="AD1304" s="0" t="inlineStr">
        <is>
          <t>만수동</t>
        </is>
      </c>
      <c r="AG1304" s="0" t="inlineStr">
        <is>
          <t>인천시 남동구 만수로100번길 23</t>
        </is>
      </c>
      <c r="AH1304" s="0" t="n">
        <v>0</v>
      </c>
      <c r="AI1304" s="0" t="n">
        <v>599</v>
      </c>
      <c r="AJ1304" s="0" t="n">
        <v>56</v>
      </c>
      <c r="AK1304" s="0" t="n">
        <v>4</v>
      </c>
      <c r="AL1304" s="0" t="n">
        <v>1</v>
      </c>
    </row>
    <row r="1305">
      <c r="A1305" s="0" t="inlineStr">
        <is>
          <t>[만수동]</t>
        </is>
      </c>
      <c r="B1305" s="0" t="n">
        <v>143083</v>
      </c>
      <c r="C1305" s="0" t="n">
        <v>3</v>
      </c>
      <c r="D1305" s="0" t="inlineStr">
        <is>
          <t>파크원52</t>
        </is>
      </c>
      <c r="E1305" s="0" t="inlineStr">
        <is>
          <t>2018.05.</t>
        </is>
      </c>
      <c r="F1305" s="0" t="n">
        <v>4</v>
      </c>
      <c r="G1305" s="0" t="n">
        <v>23.22</v>
      </c>
      <c r="H1305" s="0" t="n">
        <v>76.78</v>
      </c>
      <c r="I1305" s="0" t="n">
        <v>19.51</v>
      </c>
      <c r="J1305" s="0" t="n">
        <v>64.52</v>
      </c>
      <c r="K1305" s="0" t="n">
        <v>1</v>
      </c>
      <c r="T1305" s="0" t="n">
        <v>3</v>
      </c>
      <c r="U1305" s="0" t="n">
        <v>1</v>
      </c>
      <c r="V1305" s="0" t="inlineStr">
        <is>
          <t>계단식</t>
        </is>
      </c>
      <c r="W1305" s="0" t="inlineStr">
        <is>
          <t>76B</t>
        </is>
      </c>
      <c r="X1305" s="0" t="n">
        <v>14</v>
      </c>
      <c r="Y1305" s="0" t="n">
        <v>14</v>
      </c>
      <c r="Z1305" s="0" t="inlineStr">
        <is>
          <t>https://new.land.naver.com/complexes/143083?tab=detail&amp;rf=Y</t>
        </is>
      </c>
      <c r="AA1305" s="0" t="inlineStr">
        <is>
          <t>인천시 남동구 만수동 5-231</t>
        </is>
      </c>
      <c r="AB1305" s="0" t="inlineStr">
        <is>
          <t>인천시</t>
        </is>
      </c>
      <c r="AC1305" s="0" t="inlineStr">
        <is>
          <t>남동구</t>
        </is>
      </c>
      <c r="AD1305" s="0" t="inlineStr">
        <is>
          <t>만수동</t>
        </is>
      </c>
      <c r="AG1305" s="0" t="inlineStr">
        <is>
          <t>인천시 남동구 만수로100번길 23</t>
        </is>
      </c>
      <c r="AH1305" s="0" t="n">
        <v>0</v>
      </c>
      <c r="AI1305" s="0" t="n">
        <v>599</v>
      </c>
      <c r="AJ1305" s="0" t="n">
        <v>56</v>
      </c>
      <c r="AK1305" s="0" t="n">
        <v>4</v>
      </c>
      <c r="AL1305" s="0" t="n">
        <v>1</v>
      </c>
    </row>
    <row r="1306">
      <c r="A1306" s="0" t="inlineStr">
        <is>
          <t>[만수동]</t>
        </is>
      </c>
      <c r="B1306" s="0" t="n">
        <v>143083</v>
      </c>
      <c r="C1306" s="0" t="n">
        <v>4</v>
      </c>
      <c r="D1306" s="0" t="inlineStr">
        <is>
          <t>파크원52</t>
        </is>
      </c>
      <c r="E1306" s="0" t="inlineStr">
        <is>
          <t>2018.05.</t>
        </is>
      </c>
      <c r="F1306" s="0" t="n">
        <v>4</v>
      </c>
      <c r="G1306" s="0" t="n">
        <v>23.84</v>
      </c>
      <c r="H1306" s="0" t="n">
        <v>78.84</v>
      </c>
      <c r="I1306" s="0" t="n">
        <v>19.84</v>
      </c>
      <c r="J1306" s="0" t="n">
        <v>65.61</v>
      </c>
      <c r="K1306" s="0" t="n">
        <v>1</v>
      </c>
      <c r="T1306" s="0" t="n">
        <v>3</v>
      </c>
      <c r="U1306" s="0" t="n">
        <v>1</v>
      </c>
      <c r="V1306" s="0" t="inlineStr">
        <is>
          <t>계단식</t>
        </is>
      </c>
      <c r="W1306" s="0" t="n">
        <v>78</v>
      </c>
      <c r="X1306" s="0" t="n">
        <v>14</v>
      </c>
      <c r="Y1306" s="0" t="n">
        <v>14</v>
      </c>
      <c r="Z1306" s="0" t="inlineStr">
        <is>
          <t>https://new.land.naver.com/complexes/143083?tab=detail&amp;rf=Y</t>
        </is>
      </c>
      <c r="AA1306" s="0" t="inlineStr">
        <is>
          <t>인천시 남동구 만수동 5-231</t>
        </is>
      </c>
      <c r="AB1306" s="0" t="inlineStr">
        <is>
          <t>인천시</t>
        </is>
      </c>
      <c r="AC1306" s="0" t="inlineStr">
        <is>
          <t>남동구</t>
        </is>
      </c>
      <c r="AD1306" s="0" t="inlineStr">
        <is>
          <t>만수동</t>
        </is>
      </c>
      <c r="AG1306" s="0" t="inlineStr">
        <is>
          <t>인천시 남동구 만수로100번길 23</t>
        </is>
      </c>
      <c r="AH1306" s="0" t="n">
        <v>0</v>
      </c>
      <c r="AI1306" s="0" t="n">
        <v>599</v>
      </c>
      <c r="AJ1306" s="0" t="n">
        <v>56</v>
      </c>
      <c r="AK1306" s="0" t="n">
        <v>4</v>
      </c>
      <c r="AL1306" s="0" t="n">
        <v>1</v>
      </c>
    </row>
    <row r="1307">
      <c r="A1307" s="0" t="inlineStr">
        <is>
          <t>[만수동]</t>
        </is>
      </c>
      <c r="B1307" s="0" t="n">
        <v>2323</v>
      </c>
      <c r="C1307" s="0" t="n">
        <v>1</v>
      </c>
      <c r="D1307" s="0" t="inlineStr">
        <is>
          <t>현대</t>
        </is>
      </c>
      <c r="E1307" s="0" t="inlineStr">
        <is>
          <t>1993.10.</t>
        </is>
      </c>
      <c r="F1307" s="0" t="n">
        <v>560</v>
      </c>
      <c r="G1307" s="0" t="n">
        <v>38.35</v>
      </c>
      <c r="H1307" s="0" t="n">
        <v>126.79</v>
      </c>
      <c r="I1307" s="0" t="n">
        <v>30.83</v>
      </c>
      <c r="J1307" s="0" t="n">
        <v>101.94</v>
      </c>
      <c r="K1307" s="0" t="n">
        <v>160</v>
      </c>
      <c r="T1307" s="0" t="n">
        <v>4</v>
      </c>
      <c r="U1307" s="0" t="n">
        <v>2</v>
      </c>
      <c r="V1307" s="0" t="inlineStr">
        <is>
          <t>계단식</t>
        </is>
      </c>
      <c r="W1307" s="0" t="n">
        <v>126</v>
      </c>
      <c r="X1307" s="0" t="n">
        <v>20</v>
      </c>
      <c r="Y1307" s="0" t="n">
        <v>20</v>
      </c>
      <c r="Z1307" s="0" t="inlineStr">
        <is>
          <t>https://new.land.naver.com/complexes/2323?tab=detail&amp;rf=Y</t>
        </is>
      </c>
      <c r="AA1307" s="0" t="inlineStr">
        <is>
          <t>인천시 남동구 만수동 1037</t>
        </is>
      </c>
      <c r="AB1307" s="0" t="inlineStr">
        <is>
          <t>인천시</t>
        </is>
      </c>
      <c r="AC1307" s="0" t="inlineStr">
        <is>
          <t>남동구</t>
        </is>
      </c>
      <c r="AD1307" s="0" t="inlineStr">
        <is>
          <t>만수동</t>
        </is>
      </c>
      <c r="AG1307" s="0" t="inlineStr">
        <is>
          <t>인천시 남동구 장승남로 82</t>
        </is>
      </c>
      <c r="AH1307" s="0" t="n">
        <v>0</v>
      </c>
      <c r="AI1307" s="0" t="n">
        <v>248</v>
      </c>
      <c r="AJ1307" s="0" t="n">
        <v>15</v>
      </c>
      <c r="AK1307" s="0" t="n">
        <v>750</v>
      </c>
      <c r="AL1307" s="0" t="n">
        <v>1.34</v>
      </c>
    </row>
    <row r="1308">
      <c r="A1308" s="0" t="inlineStr">
        <is>
          <t>[만수동]</t>
        </is>
      </c>
      <c r="B1308" s="0" t="n">
        <v>2323</v>
      </c>
      <c r="C1308" s="0" t="n">
        <v>2</v>
      </c>
      <c r="D1308" s="0" t="inlineStr">
        <is>
          <t>현대</t>
        </is>
      </c>
      <c r="E1308" s="0" t="inlineStr">
        <is>
          <t>1993.10.</t>
        </is>
      </c>
      <c r="F1308" s="0" t="n">
        <v>560</v>
      </c>
      <c r="G1308" s="0" t="n">
        <v>46.54</v>
      </c>
      <c r="H1308" s="0" t="n">
        <v>153.87</v>
      </c>
      <c r="I1308" s="0" t="n">
        <v>38.07</v>
      </c>
      <c r="J1308" s="0" t="n">
        <v>125.88</v>
      </c>
      <c r="K1308" s="0" t="n">
        <v>320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153</v>
      </c>
      <c r="X1308" s="0" t="n">
        <v>20</v>
      </c>
      <c r="Y1308" s="0" t="n">
        <v>20</v>
      </c>
      <c r="Z1308" s="0" t="inlineStr">
        <is>
          <t>https://new.land.naver.com/complexes/2323?tab=detail&amp;rf=Y</t>
        </is>
      </c>
      <c r="AA1308" s="0" t="inlineStr">
        <is>
          <t>인천시 남동구 만수동 1037</t>
        </is>
      </c>
      <c r="AB1308" s="0" t="inlineStr">
        <is>
          <t>인천시</t>
        </is>
      </c>
      <c r="AC1308" s="0" t="inlineStr">
        <is>
          <t>남동구</t>
        </is>
      </c>
      <c r="AD1308" s="0" t="inlineStr">
        <is>
          <t>만수동</t>
        </is>
      </c>
      <c r="AG1308" s="0" t="inlineStr">
        <is>
          <t>인천시 남동구 장승남로 82</t>
        </is>
      </c>
      <c r="AH1308" s="0" t="n">
        <v>0</v>
      </c>
      <c r="AI1308" s="0" t="n">
        <v>248</v>
      </c>
      <c r="AJ1308" s="0" t="n">
        <v>15</v>
      </c>
      <c r="AK1308" s="0" t="n">
        <v>750</v>
      </c>
      <c r="AL1308" s="0" t="n">
        <v>1.34</v>
      </c>
    </row>
    <row r="1309">
      <c r="A1309" s="0" t="inlineStr">
        <is>
          <t>[만수동]</t>
        </is>
      </c>
      <c r="B1309" s="0" t="n">
        <v>2323</v>
      </c>
      <c r="C1309" s="0" t="n">
        <v>3</v>
      </c>
      <c r="D1309" s="0" t="inlineStr">
        <is>
          <t>현대</t>
        </is>
      </c>
      <c r="E1309" s="0" t="inlineStr">
        <is>
          <t>1993.10.</t>
        </is>
      </c>
      <c r="F1309" s="0" t="n">
        <v>560</v>
      </c>
      <c r="G1309" s="0" t="n">
        <v>59.5</v>
      </c>
      <c r="H1309" s="0" t="n">
        <v>196.71</v>
      </c>
      <c r="I1309" s="0" t="n">
        <v>49.52</v>
      </c>
      <c r="J1309" s="0" t="n">
        <v>163.71</v>
      </c>
      <c r="K1309" s="0" t="n">
        <v>80</v>
      </c>
      <c r="T1309" s="0" t="n">
        <v>5</v>
      </c>
      <c r="U1309" s="0" t="n">
        <v>2</v>
      </c>
      <c r="V1309" s="0" t="inlineStr">
        <is>
          <t>계단식</t>
        </is>
      </c>
      <c r="W1309" s="0" t="n">
        <v>196</v>
      </c>
      <c r="X1309" s="0" t="n">
        <v>20</v>
      </c>
      <c r="Y1309" s="0" t="n">
        <v>20</v>
      </c>
      <c r="Z1309" s="0" t="inlineStr">
        <is>
          <t>https://new.land.naver.com/complexes/2323?tab=detail&amp;rf=Y</t>
        </is>
      </c>
      <c r="AA1309" s="0" t="inlineStr">
        <is>
          <t>인천시 남동구 만수동 1037</t>
        </is>
      </c>
      <c r="AB1309" s="0" t="inlineStr">
        <is>
          <t>인천시</t>
        </is>
      </c>
      <c r="AC1309" s="0" t="inlineStr">
        <is>
          <t>남동구</t>
        </is>
      </c>
      <c r="AD1309" s="0" t="inlineStr">
        <is>
          <t>만수동</t>
        </is>
      </c>
      <c r="AG1309" s="0" t="inlineStr">
        <is>
          <t>인천시 남동구 장승남로 82</t>
        </is>
      </c>
      <c r="AH1309" s="0" t="n">
        <v>0</v>
      </c>
      <c r="AI1309" s="0" t="n">
        <v>248</v>
      </c>
      <c r="AJ1309" s="0" t="n">
        <v>15</v>
      </c>
      <c r="AK1309" s="0" t="n">
        <v>750</v>
      </c>
      <c r="AL1309" s="0" t="n">
        <v>1.34</v>
      </c>
    </row>
    <row r="1310">
      <c r="A1310" s="0" t="inlineStr">
        <is>
          <t>[만수동]</t>
        </is>
      </c>
      <c r="B1310" s="0" t="n">
        <v>13252</v>
      </c>
      <c r="C1310" s="0" t="n">
        <v>1</v>
      </c>
      <c r="D1310" s="0" t="inlineStr">
        <is>
          <t>이화골드</t>
        </is>
      </c>
      <c r="E1310" s="0" t="inlineStr">
        <is>
          <t>2003.05.</t>
        </is>
      </c>
      <c r="F1310" s="0" t="n">
        <v>32</v>
      </c>
      <c r="G1310" s="0" t="n">
        <v>17.86</v>
      </c>
      <c r="H1310" s="0" t="n">
        <v>59.07</v>
      </c>
      <c r="I1310" s="0" t="n">
        <v>15.3</v>
      </c>
      <c r="J1310" s="0" t="n">
        <v>50.58</v>
      </c>
      <c r="K1310" s="0" t="n">
        <v>1</v>
      </c>
      <c r="T1310" s="0" t="n">
        <v>2</v>
      </c>
      <c r="U1310" s="0" t="n">
        <v>1</v>
      </c>
      <c r="V1310" s="0" t="inlineStr">
        <is>
          <t>복합식</t>
        </is>
      </c>
      <c r="W1310" s="0" t="n">
        <v>59</v>
      </c>
      <c r="X1310" s="0" t="n">
        <v>9</v>
      </c>
      <c r="Y1310" s="0" t="n">
        <v>9</v>
      </c>
      <c r="Z1310" s="0" t="inlineStr">
        <is>
          <t>https://new.land.naver.com/complexes/13252?tab=detail&amp;rf=Y</t>
        </is>
      </c>
      <c r="AA1310" s="0" t="inlineStr">
        <is>
          <t>인천시 남동구 만수동 925-18</t>
        </is>
      </c>
      <c r="AB1310" s="0" t="inlineStr">
        <is>
          <t>인천시</t>
        </is>
      </c>
      <c r="AC1310" s="0" t="inlineStr">
        <is>
          <t>남동구</t>
        </is>
      </c>
      <c r="AD1310" s="0" t="inlineStr">
        <is>
          <t>만수동</t>
        </is>
      </c>
      <c r="AG1310" s="0" t="inlineStr">
        <is>
          <t>인천시 남동구 구월남로 339</t>
        </is>
      </c>
      <c r="AH1310" s="0" t="n">
        <v>0</v>
      </c>
      <c r="AI1310" s="0" t="n">
        <v>0</v>
      </c>
      <c r="AJ1310" s="0" t="n">
        <v>0</v>
      </c>
      <c r="AK1310" s="0" t="n">
        <v>31</v>
      </c>
      <c r="AL1310" s="0" t="n">
        <v>0.97</v>
      </c>
    </row>
    <row r="1311">
      <c r="A1311" s="0" t="inlineStr">
        <is>
          <t>[만수동]</t>
        </is>
      </c>
      <c r="B1311" s="0" t="n">
        <v>13252</v>
      </c>
      <c r="C1311" s="0" t="n">
        <v>2</v>
      </c>
      <c r="D1311" s="0" t="inlineStr">
        <is>
          <t>이화골드</t>
        </is>
      </c>
      <c r="E1311" s="0" t="inlineStr">
        <is>
          <t>2003.05.</t>
        </is>
      </c>
      <c r="F1311" s="0" t="n">
        <v>32</v>
      </c>
      <c r="G1311" s="0" t="n">
        <v>29.58</v>
      </c>
      <c r="H1311" s="0" t="n">
        <v>97.79000000000001</v>
      </c>
      <c r="I1311" s="0" t="n">
        <v>25.16</v>
      </c>
      <c r="J1311" s="0" t="n">
        <v>83.19</v>
      </c>
      <c r="K1311" s="0" t="n">
        <v>16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97A</t>
        </is>
      </c>
      <c r="X1311" s="0" t="n">
        <v>9</v>
      </c>
      <c r="Y1311" s="0" t="n">
        <v>9</v>
      </c>
      <c r="Z1311" s="0" t="inlineStr">
        <is>
          <t>https://new.land.naver.com/complexes/13252?tab=detail&amp;rf=Y</t>
        </is>
      </c>
      <c r="AA1311" s="0" t="inlineStr">
        <is>
          <t>인천시 남동구 만수동 925-18</t>
        </is>
      </c>
      <c r="AB1311" s="0" t="inlineStr">
        <is>
          <t>인천시</t>
        </is>
      </c>
      <c r="AC1311" s="0" t="inlineStr">
        <is>
          <t>남동구</t>
        </is>
      </c>
      <c r="AD1311" s="0" t="inlineStr">
        <is>
          <t>만수동</t>
        </is>
      </c>
      <c r="AG1311" s="0" t="inlineStr">
        <is>
          <t>인천시 남동구 구월남로 339</t>
        </is>
      </c>
      <c r="AH1311" s="0" t="n">
        <v>0</v>
      </c>
      <c r="AI1311" s="0" t="n">
        <v>0</v>
      </c>
      <c r="AJ1311" s="0" t="n">
        <v>0</v>
      </c>
      <c r="AK1311" s="0" t="n">
        <v>31</v>
      </c>
      <c r="AL1311" s="0" t="n">
        <v>0.97</v>
      </c>
    </row>
    <row r="1312">
      <c r="A1312" s="0" t="inlineStr">
        <is>
          <t>[만수동]</t>
        </is>
      </c>
      <c r="B1312" s="0" t="n">
        <v>13252</v>
      </c>
      <c r="C1312" s="0" t="n">
        <v>3</v>
      </c>
      <c r="D1312" s="0" t="inlineStr">
        <is>
          <t>이화골드</t>
        </is>
      </c>
      <c r="E1312" s="0" t="inlineStr">
        <is>
          <t>2003.05.</t>
        </is>
      </c>
      <c r="F1312" s="0" t="n">
        <v>32</v>
      </c>
      <c r="G1312" s="0" t="n">
        <v>29.76</v>
      </c>
      <c r="H1312" s="0" t="n">
        <v>98.39</v>
      </c>
      <c r="I1312" s="0" t="n">
        <v>25.48</v>
      </c>
      <c r="J1312" s="0" t="n">
        <v>84.23999999999999</v>
      </c>
      <c r="K1312" s="0" t="n">
        <v>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98B</t>
        </is>
      </c>
      <c r="X1312" s="0" t="n">
        <v>9</v>
      </c>
      <c r="Y1312" s="0" t="n">
        <v>9</v>
      </c>
      <c r="Z1312" s="0" t="inlineStr">
        <is>
          <t>https://new.land.naver.com/complexes/13252?tab=detail&amp;rf=Y</t>
        </is>
      </c>
      <c r="AA1312" s="0" t="inlineStr">
        <is>
          <t>인천시 남동구 만수동 925-18</t>
        </is>
      </c>
      <c r="AB1312" s="0" t="inlineStr">
        <is>
          <t>인천시</t>
        </is>
      </c>
      <c r="AC1312" s="0" t="inlineStr">
        <is>
          <t>남동구</t>
        </is>
      </c>
      <c r="AD1312" s="0" t="inlineStr">
        <is>
          <t>만수동</t>
        </is>
      </c>
      <c r="AG1312" s="0" t="inlineStr">
        <is>
          <t>인천시 남동구 구월남로 339</t>
        </is>
      </c>
      <c r="AH1312" s="0" t="n">
        <v>0</v>
      </c>
      <c r="AI1312" s="0" t="n">
        <v>0</v>
      </c>
      <c r="AJ1312" s="0" t="n">
        <v>0</v>
      </c>
      <c r="AK1312" s="0" t="n">
        <v>31</v>
      </c>
      <c r="AL1312" s="0" t="n">
        <v>0.97</v>
      </c>
    </row>
    <row r="1313">
      <c r="A1313" s="0" t="inlineStr">
        <is>
          <t>[만수동]</t>
        </is>
      </c>
      <c r="B1313" s="0" t="n">
        <v>13252</v>
      </c>
      <c r="C1313" s="0" t="n">
        <v>4</v>
      </c>
      <c r="D1313" s="0" t="inlineStr">
        <is>
          <t>이화골드</t>
        </is>
      </c>
      <c r="E1313" s="0" t="inlineStr">
        <is>
          <t>2003.05.</t>
        </is>
      </c>
      <c r="F1313" s="0" t="n">
        <v>32</v>
      </c>
      <c r="G1313" s="0" t="n">
        <v>29.91</v>
      </c>
      <c r="H1313" s="0" t="n">
        <v>98.89</v>
      </c>
      <c r="I1313" s="0" t="n">
        <v>25.6</v>
      </c>
      <c r="J1313" s="0" t="n">
        <v>84.66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98C</t>
        </is>
      </c>
      <c r="X1313" s="0" t="n">
        <v>9</v>
      </c>
      <c r="Y1313" s="0" t="n">
        <v>9</v>
      </c>
      <c r="Z1313" s="0" t="inlineStr">
        <is>
          <t>https://new.land.naver.com/complexes/13252?tab=detail&amp;rf=Y</t>
        </is>
      </c>
      <c r="AA1313" s="0" t="inlineStr">
        <is>
          <t>인천시 남동구 만수동 925-18</t>
        </is>
      </c>
      <c r="AB1313" s="0" t="inlineStr">
        <is>
          <t>인천시</t>
        </is>
      </c>
      <c r="AC1313" s="0" t="inlineStr">
        <is>
          <t>남동구</t>
        </is>
      </c>
      <c r="AD1313" s="0" t="inlineStr">
        <is>
          <t>만수동</t>
        </is>
      </c>
      <c r="AG1313" s="0" t="inlineStr">
        <is>
          <t>인천시 남동구 구월남로 339</t>
        </is>
      </c>
      <c r="AH1313" s="0" t="n">
        <v>0</v>
      </c>
      <c r="AI1313" s="0" t="n">
        <v>0</v>
      </c>
      <c r="AJ1313" s="0" t="n">
        <v>0</v>
      </c>
      <c r="AK1313" s="0" t="n">
        <v>31</v>
      </c>
      <c r="AL1313" s="0" t="n">
        <v>0.97</v>
      </c>
    </row>
    <row r="1314">
      <c r="A1314" s="0" t="inlineStr">
        <is>
          <t>[만수동]</t>
        </is>
      </c>
      <c r="B1314" s="0" t="n">
        <v>114859</v>
      </c>
      <c r="C1314" s="0" t="n">
        <v>1</v>
      </c>
      <c r="D1314" s="0" t="inlineStr">
        <is>
          <t>DH씨밀레</t>
        </is>
      </c>
      <c r="E1314" s="0" t="inlineStr">
        <is>
          <t>2016.12.</t>
        </is>
      </c>
      <c r="F1314" s="0" t="n">
        <v>28</v>
      </c>
      <c r="G1314" s="0" t="n">
        <v>17.07</v>
      </c>
      <c r="H1314" s="0" t="n">
        <v>56.45</v>
      </c>
      <c r="I1314" s="0" t="n">
        <v>13.94</v>
      </c>
      <c r="J1314" s="0" t="n">
        <v>46.11</v>
      </c>
      <c r="K1314" s="0" t="n">
        <v>28</v>
      </c>
      <c r="T1314" s="0" t="n">
        <v>2</v>
      </c>
      <c r="U1314" s="0" t="n">
        <v>1</v>
      </c>
      <c r="V1314" s="0" t="inlineStr">
        <is>
          <t>계단식</t>
        </is>
      </c>
      <c r="W1314" s="0" t="n">
        <v>56</v>
      </c>
      <c r="X1314" s="0" t="n">
        <v>14</v>
      </c>
      <c r="Y1314" s="0" t="n">
        <v>10</v>
      </c>
      <c r="Z1314" s="0" t="inlineStr">
        <is>
          <t>https://new.land.naver.com/complexes/114859?tab=detail&amp;rf=Y</t>
        </is>
      </c>
      <c r="AA1314" s="0" t="inlineStr">
        <is>
          <t>인천시 남동구 만수동 1-52</t>
        </is>
      </c>
      <c r="AB1314" s="0" t="inlineStr">
        <is>
          <t>인천시</t>
        </is>
      </c>
      <c r="AC1314" s="0" t="inlineStr">
        <is>
          <t>남동구</t>
        </is>
      </c>
      <c r="AD1314" s="0" t="inlineStr">
        <is>
          <t>만수동</t>
        </is>
      </c>
      <c r="AG1314" s="0" t="inlineStr">
        <is>
          <t>인천시 남동구 수현로136번길 47</t>
        </is>
      </c>
      <c r="AH1314" s="0" t="n">
        <v>0</v>
      </c>
      <c r="AI1314" s="0" t="n">
        <v>458</v>
      </c>
      <c r="AJ1314" s="0" t="n">
        <v>59</v>
      </c>
      <c r="AK1314" s="0" t="n">
        <v>62</v>
      </c>
      <c r="AL1314" s="0" t="n">
        <v>2.21</v>
      </c>
    </row>
    <row r="1315">
      <c r="A1315" s="0" t="inlineStr">
        <is>
          <t>[만수동]</t>
        </is>
      </c>
      <c r="B1315" s="0" t="n">
        <v>9150</v>
      </c>
      <c r="C1315" s="0" t="n">
        <v>1</v>
      </c>
      <c r="D1315" s="0" t="inlineStr">
        <is>
          <t>대동(5-326)</t>
        </is>
      </c>
      <c r="E1315" s="0" t="inlineStr">
        <is>
          <t>1987.11.</t>
        </is>
      </c>
      <c r="F1315" s="0" t="n">
        <v>276</v>
      </c>
      <c r="G1315" s="0" t="n">
        <v>14.86</v>
      </c>
      <c r="H1315" s="0" t="n">
        <v>49.15</v>
      </c>
      <c r="I1315" s="0" t="n">
        <v>11.89</v>
      </c>
      <c r="J1315" s="0" t="n">
        <v>39.33</v>
      </c>
      <c r="K1315" s="0" t="n">
        <v>240</v>
      </c>
      <c r="T1315" s="0" t="n">
        <v>2</v>
      </c>
      <c r="U1315" s="0" t="n">
        <v>1</v>
      </c>
      <c r="V1315" s="0" t="inlineStr">
        <is>
          <t>계단식</t>
        </is>
      </c>
      <c r="W1315" s="0" t="inlineStr">
        <is>
          <t>49A</t>
        </is>
      </c>
      <c r="X1315" s="0" t="n">
        <v>6</v>
      </c>
      <c r="Y1315" s="0" t="n">
        <v>6</v>
      </c>
      <c r="Z1315" s="0" t="inlineStr">
        <is>
          <t>https://new.land.naver.com/complexes/9150?tab=detail&amp;rf=Y</t>
        </is>
      </c>
      <c r="AA1315" s="0" t="inlineStr">
        <is>
          <t>인천시 남동구 만수동 5-326</t>
        </is>
      </c>
      <c r="AB1315" s="0" t="inlineStr">
        <is>
          <t>인천시</t>
        </is>
      </c>
      <c r="AC1315" s="0" t="inlineStr">
        <is>
          <t>남동구</t>
        </is>
      </c>
      <c r="AD1315" s="0" t="inlineStr">
        <is>
          <t>만수동</t>
        </is>
      </c>
      <c r="AG1315" s="0" t="inlineStr">
        <is>
          <t>인천시 남동구 만수로 92</t>
        </is>
      </c>
      <c r="AH1315" s="0" t="n">
        <v>0</v>
      </c>
      <c r="AI1315" s="0" t="n">
        <v>163</v>
      </c>
      <c r="AJ1315" s="0" t="n">
        <v>27</v>
      </c>
      <c r="AK1315" s="0" t="n">
        <v>400</v>
      </c>
      <c r="AL1315" s="0" t="n">
        <v>1.45</v>
      </c>
    </row>
    <row r="1316">
      <c r="A1316" s="0" t="inlineStr">
        <is>
          <t>[만수동]</t>
        </is>
      </c>
      <c r="B1316" s="0" t="n">
        <v>9150</v>
      </c>
      <c r="C1316" s="0" t="n">
        <v>2</v>
      </c>
      <c r="D1316" s="0" t="inlineStr">
        <is>
          <t>대동(5-326)</t>
        </is>
      </c>
      <c r="E1316" s="0" t="inlineStr">
        <is>
          <t>1987.11.</t>
        </is>
      </c>
      <c r="F1316" s="0" t="n">
        <v>276</v>
      </c>
      <c r="G1316" s="0" t="n">
        <v>15.08</v>
      </c>
      <c r="H1316" s="0" t="n">
        <v>49.86</v>
      </c>
      <c r="I1316" s="0" t="n">
        <v>12.08</v>
      </c>
      <c r="J1316" s="0" t="n">
        <v>39.96</v>
      </c>
      <c r="K1316" s="0" t="n">
        <v>36</v>
      </c>
      <c r="T1316" s="0" t="n">
        <v>3</v>
      </c>
      <c r="U1316" s="0" t="n">
        <v>1</v>
      </c>
      <c r="V1316" s="0" t="inlineStr">
        <is>
          <t>계단식</t>
        </is>
      </c>
      <c r="W1316" s="0" t="inlineStr">
        <is>
          <t>49B</t>
        </is>
      </c>
      <c r="X1316" s="0" t="n">
        <v>6</v>
      </c>
      <c r="Y1316" s="0" t="n">
        <v>6</v>
      </c>
      <c r="Z1316" s="0" t="inlineStr">
        <is>
          <t>https://new.land.naver.com/complexes/9150?tab=detail&amp;rf=Y</t>
        </is>
      </c>
      <c r="AA1316" s="0" t="inlineStr">
        <is>
          <t>인천시 남동구 만수동 5-326</t>
        </is>
      </c>
      <c r="AB1316" s="0" t="inlineStr">
        <is>
          <t>인천시</t>
        </is>
      </c>
      <c r="AC1316" s="0" t="inlineStr">
        <is>
          <t>남동구</t>
        </is>
      </c>
      <c r="AD1316" s="0" t="inlineStr">
        <is>
          <t>만수동</t>
        </is>
      </c>
      <c r="AG1316" s="0" t="inlineStr">
        <is>
          <t>인천시 남동구 만수로 92</t>
        </is>
      </c>
      <c r="AH1316" s="0" t="n">
        <v>0</v>
      </c>
      <c r="AI1316" s="0" t="n">
        <v>163</v>
      </c>
      <c r="AJ1316" s="0" t="n">
        <v>27</v>
      </c>
      <c r="AK1316" s="0" t="n">
        <v>400</v>
      </c>
      <c r="AL1316" s="0" t="n">
        <v>1.45</v>
      </c>
    </row>
    <row r="1317">
      <c r="A1317" s="0" t="inlineStr">
        <is>
          <t>[만수동]</t>
        </is>
      </c>
      <c r="B1317" s="0" t="n">
        <v>131783</v>
      </c>
      <c r="C1317" s="0" t="n">
        <v>1</v>
      </c>
      <c r="D1317" s="0" t="inlineStr">
        <is>
          <t>해나루팰리스</t>
        </is>
      </c>
      <c r="E1317" s="0" t="inlineStr">
        <is>
          <t>2016.10.</t>
        </is>
      </c>
      <c r="F1317" s="0" t="n">
        <v>8</v>
      </c>
      <c r="G1317" s="0" t="n">
        <v>18.64</v>
      </c>
      <c r="H1317" s="0" t="n">
        <v>61.65</v>
      </c>
      <c r="I1317" s="0" t="n">
        <v>15.41</v>
      </c>
      <c r="J1317" s="0" t="n">
        <v>50.95</v>
      </c>
      <c r="K1317" s="0" t="n">
        <v>2</v>
      </c>
      <c r="T1317" s="0" t="n">
        <v>2</v>
      </c>
      <c r="U1317" s="0" t="n">
        <v>1</v>
      </c>
      <c r="V1317" s="0" t="inlineStr">
        <is>
          <t>계단식</t>
        </is>
      </c>
      <c r="W1317" s="0" t="n">
        <v>61</v>
      </c>
      <c r="X1317" s="0" t="n">
        <v>9</v>
      </c>
      <c r="Y1317" s="0" t="n">
        <v>9</v>
      </c>
      <c r="Z1317" s="0" t="inlineStr">
        <is>
          <t>https://new.land.naver.com/complexes/131783?tab=detail&amp;rf=Y</t>
        </is>
      </c>
      <c r="AA1317" s="0" t="inlineStr">
        <is>
          <t>인천시 남동구 만수동 867-1</t>
        </is>
      </c>
      <c r="AB1317" s="0" t="inlineStr">
        <is>
          <t>인천시</t>
        </is>
      </c>
      <c r="AC1317" s="0" t="inlineStr">
        <is>
          <t>남동구</t>
        </is>
      </c>
      <c r="AD1317" s="0" t="inlineStr">
        <is>
          <t>만수동</t>
        </is>
      </c>
      <c r="AG1317" s="0" t="inlineStr">
        <is>
          <t>인천시 남동구 만수서로 22-8</t>
        </is>
      </c>
      <c r="AH1317" s="0" t="n">
        <v>0</v>
      </c>
      <c r="AI1317" s="0" t="n">
        <v>398</v>
      </c>
      <c r="AJ1317" s="0" t="n">
        <v>59</v>
      </c>
      <c r="AK1317" s="0" t="n">
        <v>8</v>
      </c>
      <c r="AL1317" s="0" t="n">
        <v>1</v>
      </c>
    </row>
    <row r="1318">
      <c r="A1318" s="0" t="inlineStr">
        <is>
          <t>[만수동]</t>
        </is>
      </c>
      <c r="B1318" s="0" t="n">
        <v>131783</v>
      </c>
      <c r="C1318" s="0" t="n">
        <v>2</v>
      </c>
      <c r="D1318" s="0" t="inlineStr">
        <is>
          <t>해나루팰리스</t>
        </is>
      </c>
      <c r="E1318" s="0" t="inlineStr">
        <is>
          <t>2016.10.</t>
        </is>
      </c>
      <c r="F1318" s="0" t="n">
        <v>8</v>
      </c>
      <c r="G1318" s="0" t="n">
        <v>19.84</v>
      </c>
      <c r="H1318" s="0" t="n">
        <v>65.59999999999999</v>
      </c>
      <c r="I1318" s="0" t="n">
        <v>16.45</v>
      </c>
      <c r="J1318" s="0" t="n">
        <v>54.39</v>
      </c>
      <c r="K1318" s="0" t="n">
        <v>2</v>
      </c>
      <c r="T1318" s="0" t="n">
        <v>3</v>
      </c>
      <c r="U1318" s="0" t="n">
        <v>1</v>
      </c>
      <c r="V1318" s="0" t="inlineStr">
        <is>
          <t>계단식</t>
        </is>
      </c>
      <c r="W1318" s="0" t="inlineStr">
        <is>
          <t>65A</t>
        </is>
      </c>
      <c r="X1318" s="0" t="n">
        <v>9</v>
      </c>
      <c r="Y1318" s="0" t="n">
        <v>9</v>
      </c>
      <c r="Z1318" s="0" t="inlineStr">
        <is>
          <t>https://new.land.naver.com/complexes/131783?tab=detail&amp;rf=Y</t>
        </is>
      </c>
      <c r="AA1318" s="0" t="inlineStr">
        <is>
          <t>인천시 남동구 만수동 867-1</t>
        </is>
      </c>
      <c r="AB1318" s="0" t="inlineStr">
        <is>
          <t>인천시</t>
        </is>
      </c>
      <c r="AC1318" s="0" t="inlineStr">
        <is>
          <t>남동구</t>
        </is>
      </c>
      <c r="AD1318" s="0" t="inlineStr">
        <is>
          <t>만수동</t>
        </is>
      </c>
      <c r="AG1318" s="0" t="inlineStr">
        <is>
          <t>인천시 남동구 만수서로 22-8</t>
        </is>
      </c>
      <c r="AH1318" s="0" t="n">
        <v>0</v>
      </c>
      <c r="AI1318" s="0" t="n">
        <v>398</v>
      </c>
      <c r="AJ1318" s="0" t="n">
        <v>59</v>
      </c>
      <c r="AK1318" s="0" t="n">
        <v>8</v>
      </c>
      <c r="AL1318" s="0" t="n">
        <v>1</v>
      </c>
    </row>
    <row r="1319">
      <c r="A1319" s="0" t="inlineStr">
        <is>
          <t>[만수동]</t>
        </is>
      </c>
      <c r="B1319" s="0" t="n">
        <v>131783</v>
      </c>
      <c r="C1319" s="0" t="n">
        <v>3</v>
      </c>
      <c r="D1319" s="0" t="inlineStr">
        <is>
          <t>해나루팰리스</t>
        </is>
      </c>
      <c r="E1319" s="0" t="inlineStr">
        <is>
          <t>2016.10.</t>
        </is>
      </c>
      <c r="F1319" s="0" t="n">
        <v>8</v>
      </c>
      <c r="G1319" s="0" t="n">
        <v>20.3</v>
      </c>
      <c r="H1319" s="0" t="n">
        <v>67.12</v>
      </c>
      <c r="I1319" s="0" t="n">
        <v>16.82</v>
      </c>
      <c r="J1319" s="0" t="n">
        <v>55.62</v>
      </c>
      <c r="K1319" s="0" t="n">
        <v>2</v>
      </c>
      <c r="T1319" s="0" t="n">
        <v>3</v>
      </c>
      <c r="U1319" s="0" t="n">
        <v>1</v>
      </c>
      <c r="V1319" s="0" t="inlineStr">
        <is>
          <t>계단식</t>
        </is>
      </c>
      <c r="W1319" s="0" t="inlineStr">
        <is>
          <t>67B</t>
        </is>
      </c>
      <c r="X1319" s="0" t="n">
        <v>9</v>
      </c>
      <c r="Y1319" s="0" t="n">
        <v>9</v>
      </c>
      <c r="Z1319" s="0" t="inlineStr">
        <is>
          <t>https://new.land.naver.com/complexes/131783?tab=detail&amp;rf=Y</t>
        </is>
      </c>
      <c r="AA1319" s="0" t="inlineStr">
        <is>
          <t>인천시 남동구 만수동 867-1</t>
        </is>
      </c>
      <c r="AB1319" s="0" t="inlineStr">
        <is>
          <t>인천시</t>
        </is>
      </c>
      <c r="AC1319" s="0" t="inlineStr">
        <is>
          <t>남동구</t>
        </is>
      </c>
      <c r="AD1319" s="0" t="inlineStr">
        <is>
          <t>만수동</t>
        </is>
      </c>
      <c r="AG1319" s="0" t="inlineStr">
        <is>
          <t>인천시 남동구 만수서로 22-8</t>
        </is>
      </c>
      <c r="AH1319" s="0" t="n">
        <v>0</v>
      </c>
      <c r="AI1319" s="0" t="n">
        <v>398</v>
      </c>
      <c r="AJ1319" s="0" t="n">
        <v>59</v>
      </c>
      <c r="AK1319" s="0" t="n">
        <v>8</v>
      </c>
      <c r="AL1319" s="0" t="n">
        <v>1</v>
      </c>
    </row>
    <row r="1320">
      <c r="A1320" s="0" t="inlineStr">
        <is>
          <t>[만수동]</t>
        </is>
      </c>
      <c r="B1320" s="0" t="n">
        <v>131783</v>
      </c>
      <c r="C1320" s="0" t="n">
        <v>4</v>
      </c>
      <c r="D1320" s="0" t="inlineStr">
        <is>
          <t>해나루팰리스</t>
        </is>
      </c>
      <c r="E1320" s="0" t="inlineStr">
        <is>
          <t>2016.10.</t>
        </is>
      </c>
      <c r="F1320" s="0" t="n">
        <v>8</v>
      </c>
      <c r="G1320" s="0" t="n">
        <v>20.86</v>
      </c>
      <c r="H1320" s="0" t="n">
        <v>68.95999999999999</v>
      </c>
      <c r="I1320" s="0" t="n">
        <v>17.29</v>
      </c>
      <c r="J1320" s="0" t="n">
        <v>57.19</v>
      </c>
      <c r="K1320" s="0" t="n">
        <v>2</v>
      </c>
      <c r="T1320" s="0" t="n">
        <v>3</v>
      </c>
      <c r="U1320" s="0" t="n">
        <v>1</v>
      </c>
      <c r="V1320" s="0" t="inlineStr">
        <is>
          <t>계단식</t>
        </is>
      </c>
      <c r="W1320" s="0" t="n">
        <v>68</v>
      </c>
      <c r="X1320" s="0" t="n">
        <v>9</v>
      </c>
      <c r="Y1320" s="0" t="n">
        <v>9</v>
      </c>
      <c r="Z1320" s="0" t="inlineStr">
        <is>
          <t>https://new.land.naver.com/complexes/131783?tab=detail&amp;rf=Y</t>
        </is>
      </c>
      <c r="AA1320" s="0" t="inlineStr">
        <is>
          <t>인천시 남동구 만수동 867-1</t>
        </is>
      </c>
      <c r="AB1320" s="0" t="inlineStr">
        <is>
          <t>인천시</t>
        </is>
      </c>
      <c r="AC1320" s="0" t="inlineStr">
        <is>
          <t>남동구</t>
        </is>
      </c>
      <c r="AD1320" s="0" t="inlineStr">
        <is>
          <t>만수동</t>
        </is>
      </c>
      <c r="AG1320" s="0" t="inlineStr">
        <is>
          <t>인천시 남동구 만수서로 22-8</t>
        </is>
      </c>
      <c r="AH1320" s="0" t="n">
        <v>0</v>
      </c>
      <c r="AI1320" s="0" t="n">
        <v>398</v>
      </c>
      <c r="AJ1320" s="0" t="n">
        <v>59</v>
      </c>
      <c r="AK1320" s="0" t="n">
        <v>8</v>
      </c>
      <c r="AL1320" s="0" t="n">
        <v>1</v>
      </c>
    </row>
    <row r="1321">
      <c r="A1321" s="0" t="inlineStr">
        <is>
          <t>[만수동]</t>
        </is>
      </c>
      <c r="B1321" s="0" t="n">
        <v>2311</v>
      </c>
      <c r="C1321" s="0" t="n">
        <v>1</v>
      </c>
      <c r="D1321" s="0" t="inlineStr">
        <is>
          <t>만수주공1단지</t>
        </is>
      </c>
      <c r="E1321" s="0" t="inlineStr">
        <is>
          <t>1985.10.</t>
        </is>
      </c>
      <c r="F1321" s="0" t="n">
        <v>516</v>
      </c>
      <c r="G1321" s="0" t="n">
        <v>13.47</v>
      </c>
      <c r="H1321" s="0" t="n">
        <v>44.54</v>
      </c>
      <c r="I1321" s="0" t="n">
        <v>12.06</v>
      </c>
      <c r="J1321" s="0" t="n">
        <v>39.9</v>
      </c>
      <c r="K1321" s="0" t="n">
        <v>1</v>
      </c>
      <c r="T1321" s="0" t="n">
        <v>2</v>
      </c>
      <c r="U1321" s="0" t="n">
        <v>1</v>
      </c>
      <c r="V1321" s="0" t="inlineStr">
        <is>
          <t>계단식</t>
        </is>
      </c>
      <c r="W1321" s="0" t="inlineStr">
        <is>
          <t>44A</t>
        </is>
      </c>
      <c r="X1321" s="0" t="n">
        <v>5</v>
      </c>
      <c r="Y1321" s="0" t="n">
        <v>3</v>
      </c>
      <c r="Z1321" s="0" t="inlineStr">
        <is>
          <t>https://new.land.naver.com/complexes/2311?tab=detail&amp;rf=Y</t>
        </is>
      </c>
      <c r="AA1321" s="0" t="inlineStr">
        <is>
          <t>인천시 남동구 만수동 29</t>
        </is>
      </c>
      <c r="AB1321" s="0" t="inlineStr">
        <is>
          <t>인천시</t>
        </is>
      </c>
      <c r="AC1321" s="0" t="inlineStr">
        <is>
          <t>남동구</t>
        </is>
      </c>
      <c r="AD1321" s="0" t="inlineStr">
        <is>
          <t>만수동</t>
        </is>
      </c>
      <c r="AG1321" s="0" t="inlineStr">
        <is>
          <t>인천시 남동구 만수로 14-26</t>
        </is>
      </c>
      <c r="AH1321" s="0" t="n">
        <v>0</v>
      </c>
      <c r="AI1321" s="0" t="n">
        <v>0</v>
      </c>
      <c r="AJ1321" s="0" t="n">
        <v>0</v>
      </c>
      <c r="AK1321" s="0" t="n">
        <v>516</v>
      </c>
      <c r="AL1321" s="0" t="n">
        <v>1</v>
      </c>
    </row>
    <row r="1322">
      <c r="A1322" s="0" t="inlineStr">
        <is>
          <t>[만수동]</t>
        </is>
      </c>
      <c r="B1322" s="0" t="n">
        <v>2311</v>
      </c>
      <c r="C1322" s="0" t="n">
        <v>2</v>
      </c>
      <c r="D1322" s="0" t="inlineStr">
        <is>
          <t>만수주공1단지</t>
        </is>
      </c>
      <c r="E1322" s="0" t="inlineStr">
        <is>
          <t>1985.10.</t>
        </is>
      </c>
      <c r="F1322" s="0" t="n">
        <v>516</v>
      </c>
      <c r="G1322" s="0" t="n">
        <v>13.64</v>
      </c>
      <c r="H1322" s="0" t="n">
        <v>45.12</v>
      </c>
      <c r="I1322" s="0" t="n">
        <v>12.01</v>
      </c>
      <c r="J1322" s="0" t="n">
        <v>39.72</v>
      </c>
      <c r="K1322" s="0" t="n">
        <v>250</v>
      </c>
      <c r="T1322" s="0" t="n">
        <v>2</v>
      </c>
      <c r="U1322" s="0" t="n">
        <v>1</v>
      </c>
      <c r="V1322" s="0" t="inlineStr">
        <is>
          <t>계단식</t>
        </is>
      </c>
      <c r="W1322" s="0" t="n">
        <v>45</v>
      </c>
      <c r="X1322" s="0" t="n">
        <v>5</v>
      </c>
      <c r="Y1322" s="0" t="n">
        <v>3</v>
      </c>
      <c r="Z1322" s="0" t="inlineStr">
        <is>
          <t>https://new.land.naver.com/complexes/2311?tab=detail&amp;rf=Y</t>
        </is>
      </c>
      <c r="AA1322" s="0" t="inlineStr">
        <is>
          <t>인천시 남동구 만수동 29</t>
        </is>
      </c>
      <c r="AB1322" s="0" t="inlineStr">
        <is>
          <t>인천시</t>
        </is>
      </c>
      <c r="AC1322" s="0" t="inlineStr">
        <is>
          <t>남동구</t>
        </is>
      </c>
      <c r="AD1322" s="0" t="inlineStr">
        <is>
          <t>만수동</t>
        </is>
      </c>
      <c r="AG1322" s="0" t="inlineStr">
        <is>
          <t>인천시 남동구 만수로 14-26</t>
        </is>
      </c>
      <c r="AH1322" s="0" t="n">
        <v>0</v>
      </c>
      <c r="AI1322" s="0" t="n">
        <v>0</v>
      </c>
      <c r="AJ1322" s="0" t="n">
        <v>0</v>
      </c>
      <c r="AK1322" s="0" t="n">
        <v>516</v>
      </c>
      <c r="AL1322" s="0" t="n">
        <v>1</v>
      </c>
    </row>
    <row r="1323">
      <c r="A1323" s="0" t="inlineStr">
        <is>
          <t>[만수동]</t>
        </is>
      </c>
      <c r="B1323" s="0" t="n">
        <v>2311</v>
      </c>
      <c r="C1323" s="0" t="n">
        <v>3</v>
      </c>
      <c r="D1323" s="0" t="inlineStr">
        <is>
          <t>만수주공1단지</t>
        </is>
      </c>
      <c r="E1323" s="0" t="inlineStr">
        <is>
          <t>1985.10.</t>
        </is>
      </c>
      <c r="F1323" s="0" t="n">
        <v>516</v>
      </c>
      <c r="G1323" s="0" t="n">
        <v>15.88</v>
      </c>
      <c r="H1323" s="0" t="n">
        <v>52.5</v>
      </c>
      <c r="I1323" s="0" t="n">
        <v>14.24</v>
      </c>
      <c r="J1323" s="0" t="n">
        <v>47.1</v>
      </c>
      <c r="K1323" s="0" t="n">
        <v>104</v>
      </c>
      <c r="T1323" s="0" t="n">
        <v>2</v>
      </c>
      <c r="U1323" s="0" t="n">
        <v>1</v>
      </c>
      <c r="V1323" s="0" t="inlineStr">
        <is>
          <t>계단식</t>
        </is>
      </c>
      <c r="W1323" s="0" t="inlineStr">
        <is>
          <t>52A</t>
        </is>
      </c>
      <c r="X1323" s="0" t="n">
        <v>5</v>
      </c>
      <c r="Y1323" s="0" t="n">
        <v>3</v>
      </c>
      <c r="Z1323" s="0" t="inlineStr">
        <is>
          <t>https://new.land.naver.com/complexes/2311?tab=detail&amp;rf=Y</t>
        </is>
      </c>
      <c r="AA1323" s="0" t="inlineStr">
        <is>
          <t>인천시 남동구 만수동 29</t>
        </is>
      </c>
      <c r="AB1323" s="0" t="inlineStr">
        <is>
          <t>인천시</t>
        </is>
      </c>
      <c r="AC1323" s="0" t="inlineStr">
        <is>
          <t>남동구</t>
        </is>
      </c>
      <c r="AD1323" s="0" t="inlineStr">
        <is>
          <t>만수동</t>
        </is>
      </c>
      <c r="AG1323" s="0" t="inlineStr">
        <is>
          <t>인천시 남동구 만수로 14-26</t>
        </is>
      </c>
      <c r="AH1323" s="0" t="n">
        <v>0</v>
      </c>
      <c r="AI1323" s="0" t="n">
        <v>0</v>
      </c>
      <c r="AJ1323" s="0" t="n">
        <v>0</v>
      </c>
      <c r="AK1323" s="0" t="n">
        <v>516</v>
      </c>
      <c r="AL1323" s="0" t="n">
        <v>1</v>
      </c>
    </row>
    <row r="1324">
      <c r="A1324" s="0" t="inlineStr">
        <is>
          <t>[만수동]</t>
        </is>
      </c>
      <c r="B1324" s="0" t="n">
        <v>2311</v>
      </c>
      <c r="C1324" s="0" t="n">
        <v>4</v>
      </c>
      <c r="D1324" s="0" t="inlineStr">
        <is>
          <t>만수주공1단지</t>
        </is>
      </c>
      <c r="E1324" s="0" t="inlineStr">
        <is>
          <t>1985.10.</t>
        </is>
      </c>
      <c r="F1324" s="0" t="n">
        <v>516</v>
      </c>
      <c r="G1324" s="0" t="n">
        <v>15.8</v>
      </c>
      <c r="H1324" s="0" t="n">
        <v>52.26</v>
      </c>
      <c r="I1324" s="0" t="n">
        <v>14.17</v>
      </c>
      <c r="J1324" s="0" t="n">
        <v>46.86</v>
      </c>
      <c r="K1324" s="0" t="n">
        <v>72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52D</t>
        </is>
      </c>
      <c r="X1324" s="0" t="n">
        <v>5</v>
      </c>
      <c r="Y1324" s="0" t="n">
        <v>3</v>
      </c>
      <c r="Z1324" s="0" t="inlineStr">
        <is>
          <t>https://new.land.naver.com/complexes/2311?tab=detail&amp;rf=Y</t>
        </is>
      </c>
      <c r="AA1324" s="0" t="inlineStr">
        <is>
          <t>인천시 남동구 만수동 29</t>
        </is>
      </c>
      <c r="AB1324" s="0" t="inlineStr">
        <is>
          <t>인천시</t>
        </is>
      </c>
      <c r="AC1324" s="0" t="inlineStr">
        <is>
          <t>남동구</t>
        </is>
      </c>
      <c r="AD1324" s="0" t="inlineStr">
        <is>
          <t>만수동</t>
        </is>
      </c>
      <c r="AG1324" s="0" t="inlineStr">
        <is>
          <t>인천시 남동구 만수로 14-26</t>
        </is>
      </c>
      <c r="AH1324" s="0" t="n">
        <v>0</v>
      </c>
      <c r="AI1324" s="0" t="n">
        <v>0</v>
      </c>
      <c r="AJ1324" s="0" t="n">
        <v>0</v>
      </c>
      <c r="AK1324" s="0" t="n">
        <v>516</v>
      </c>
      <c r="AL1324" s="0" t="n">
        <v>1</v>
      </c>
    </row>
    <row r="1325">
      <c r="A1325" s="0" t="inlineStr">
        <is>
          <t>[만수동]</t>
        </is>
      </c>
      <c r="B1325" s="0" t="n">
        <v>2311</v>
      </c>
      <c r="C1325" s="0" t="n">
        <v>5</v>
      </c>
      <c r="D1325" s="0" t="inlineStr">
        <is>
          <t>만수주공1단지</t>
        </is>
      </c>
      <c r="E1325" s="0" t="inlineStr">
        <is>
          <t>1985.10.</t>
        </is>
      </c>
      <c r="F1325" s="0" t="n">
        <v>516</v>
      </c>
      <c r="G1325" s="0" t="n">
        <v>15.8</v>
      </c>
      <c r="H1325" s="0" t="n">
        <v>52.25</v>
      </c>
      <c r="I1325" s="0" t="n">
        <v>14.15</v>
      </c>
      <c r="J1325" s="0" t="n">
        <v>46.79</v>
      </c>
      <c r="K1325" s="0" t="n">
        <v>54</v>
      </c>
      <c r="T1325" s="0" t="n">
        <v>2</v>
      </c>
      <c r="U1325" s="0" t="n">
        <v>1</v>
      </c>
      <c r="V1325" s="0" t="inlineStr">
        <is>
          <t>계단식</t>
        </is>
      </c>
      <c r="W1325" s="0" t="inlineStr">
        <is>
          <t>52C</t>
        </is>
      </c>
      <c r="X1325" s="0" t="n">
        <v>5</v>
      </c>
      <c r="Y1325" s="0" t="n">
        <v>3</v>
      </c>
      <c r="Z1325" s="0" t="inlineStr">
        <is>
          <t>https://new.land.naver.com/complexes/2311?tab=detail&amp;rf=Y</t>
        </is>
      </c>
      <c r="AA1325" s="0" t="inlineStr">
        <is>
          <t>인천시 남동구 만수동 29</t>
        </is>
      </c>
      <c r="AB1325" s="0" t="inlineStr">
        <is>
          <t>인천시</t>
        </is>
      </c>
      <c r="AC1325" s="0" t="inlineStr">
        <is>
          <t>남동구</t>
        </is>
      </c>
      <c r="AD1325" s="0" t="inlineStr">
        <is>
          <t>만수동</t>
        </is>
      </c>
      <c r="AG1325" s="0" t="inlineStr">
        <is>
          <t>인천시 남동구 만수로 14-26</t>
        </is>
      </c>
      <c r="AH1325" s="0" t="n">
        <v>0</v>
      </c>
      <c r="AI1325" s="0" t="n">
        <v>0</v>
      </c>
      <c r="AJ1325" s="0" t="n">
        <v>0</v>
      </c>
      <c r="AK1325" s="0" t="n">
        <v>516</v>
      </c>
      <c r="AL1325" s="0" t="n">
        <v>1</v>
      </c>
    </row>
    <row r="1326">
      <c r="A1326" s="0" t="inlineStr">
        <is>
          <t>[만수동]</t>
        </is>
      </c>
      <c r="B1326" s="0" t="n">
        <v>2311</v>
      </c>
      <c r="C1326" s="0" t="n">
        <v>6</v>
      </c>
      <c r="D1326" s="0" t="inlineStr">
        <is>
          <t>만수주공1단지</t>
        </is>
      </c>
      <c r="E1326" s="0" t="inlineStr">
        <is>
          <t>1985.10.</t>
        </is>
      </c>
      <c r="F1326" s="0" t="n">
        <v>516</v>
      </c>
      <c r="G1326" s="0" t="n">
        <v>15.77</v>
      </c>
      <c r="H1326" s="0" t="n">
        <v>52.14</v>
      </c>
      <c r="I1326" s="0" t="n">
        <v>14.13</v>
      </c>
      <c r="J1326" s="0" t="n">
        <v>46.74</v>
      </c>
      <c r="K1326" s="0" t="n">
        <v>30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52</v>
      </c>
      <c r="X1326" s="0" t="n">
        <v>5</v>
      </c>
      <c r="Y1326" s="0" t="n">
        <v>3</v>
      </c>
      <c r="Z1326" s="0" t="inlineStr">
        <is>
          <t>https://new.land.naver.com/complexes/2311?tab=detail&amp;rf=Y</t>
        </is>
      </c>
      <c r="AA1326" s="0" t="inlineStr">
        <is>
          <t>인천시 남동구 만수동 29</t>
        </is>
      </c>
      <c r="AB1326" s="0" t="inlineStr">
        <is>
          <t>인천시</t>
        </is>
      </c>
      <c r="AC1326" s="0" t="inlineStr">
        <is>
          <t>남동구</t>
        </is>
      </c>
      <c r="AD1326" s="0" t="inlineStr">
        <is>
          <t>만수동</t>
        </is>
      </c>
      <c r="AG1326" s="0" t="inlineStr">
        <is>
          <t>인천시 남동구 만수로 14-26</t>
        </is>
      </c>
      <c r="AH1326" s="0" t="n">
        <v>0</v>
      </c>
      <c r="AI1326" s="0" t="n">
        <v>0</v>
      </c>
      <c r="AJ1326" s="0" t="n">
        <v>0</v>
      </c>
      <c r="AK1326" s="0" t="n">
        <v>516</v>
      </c>
      <c r="AL1326" s="0" t="n">
        <v>1</v>
      </c>
    </row>
    <row r="1327">
      <c r="A1327" s="0" t="inlineStr">
        <is>
          <t>[만수동]</t>
        </is>
      </c>
      <c r="B1327" s="0" t="n">
        <v>2311</v>
      </c>
      <c r="C1327" s="0" t="n">
        <v>7</v>
      </c>
      <c r="D1327" s="0" t="inlineStr">
        <is>
          <t>만수주공1단지</t>
        </is>
      </c>
      <c r="E1327" s="0" t="inlineStr">
        <is>
          <t>1985.10.</t>
        </is>
      </c>
      <c r="F1327" s="0" t="n">
        <v>516</v>
      </c>
      <c r="G1327" s="0" t="n">
        <v>15.85</v>
      </c>
      <c r="H1327" s="0" t="n">
        <v>52.41</v>
      </c>
      <c r="I1327" s="0" t="n">
        <v>14.22</v>
      </c>
      <c r="J1327" s="0" t="n">
        <v>47.01</v>
      </c>
      <c r="K1327" s="0" t="n">
        <v>5</v>
      </c>
      <c r="T1327" s="0" t="n">
        <v>2</v>
      </c>
      <c r="U1327" s="0" t="n">
        <v>1</v>
      </c>
      <c r="V1327" s="0" t="inlineStr">
        <is>
          <t>계단식</t>
        </is>
      </c>
      <c r="W1327" s="0" t="inlineStr">
        <is>
          <t>52B</t>
        </is>
      </c>
      <c r="X1327" s="0" t="n">
        <v>5</v>
      </c>
      <c r="Y1327" s="0" t="n">
        <v>3</v>
      </c>
      <c r="Z1327" s="0" t="inlineStr">
        <is>
          <t>https://new.land.naver.com/complexes/2311?tab=detail&amp;rf=Y</t>
        </is>
      </c>
      <c r="AA1327" s="0" t="inlineStr">
        <is>
          <t>인천시 남동구 만수동 29</t>
        </is>
      </c>
      <c r="AB1327" s="0" t="inlineStr">
        <is>
          <t>인천시</t>
        </is>
      </c>
      <c r="AC1327" s="0" t="inlineStr">
        <is>
          <t>남동구</t>
        </is>
      </c>
      <c r="AD1327" s="0" t="inlineStr">
        <is>
          <t>만수동</t>
        </is>
      </c>
      <c r="AG1327" s="0" t="inlineStr">
        <is>
          <t>인천시 남동구 만수로 14-26</t>
        </is>
      </c>
      <c r="AH1327" s="0" t="n">
        <v>0</v>
      </c>
      <c r="AI1327" s="0" t="n">
        <v>0</v>
      </c>
      <c r="AJ1327" s="0" t="n">
        <v>0</v>
      </c>
      <c r="AK1327" s="0" t="n">
        <v>516</v>
      </c>
      <c r="AL1327" s="0" t="n">
        <v>1</v>
      </c>
    </row>
    <row r="1328">
      <c r="A1328" s="0" t="inlineStr">
        <is>
          <t>[만수동]</t>
        </is>
      </c>
      <c r="B1328" s="0" t="n">
        <v>126531</v>
      </c>
      <c r="C1328" s="0" t="n">
        <v>1</v>
      </c>
      <c r="D1328" s="0" t="inlineStr">
        <is>
          <t>만수S클래스</t>
        </is>
      </c>
      <c r="E1328" s="0" t="inlineStr">
        <is>
          <t>2018.12.</t>
        </is>
      </c>
      <c r="F1328" s="0" t="n">
        <v>40</v>
      </c>
      <c r="G1328" s="0" t="n">
        <v>16.07</v>
      </c>
      <c r="H1328" s="0" t="n">
        <v>53.14</v>
      </c>
      <c r="I1328" s="0" t="n">
        <v>12.48</v>
      </c>
      <c r="J1328" s="0" t="n">
        <v>41.26</v>
      </c>
      <c r="K1328" s="0" t="n">
        <v>8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53</v>
      </c>
      <c r="X1328" s="0" t="n">
        <v>10</v>
      </c>
      <c r="Y1328" s="0" t="n">
        <v>10</v>
      </c>
      <c r="Z1328" s="0" t="inlineStr">
        <is>
          <t>https://new.land.naver.com/complexes/126531?tab=detail&amp;rf=Y</t>
        </is>
      </c>
      <c r="AA1328" s="0" t="inlineStr">
        <is>
          <t>인천시 남동구 만수동 843-4</t>
        </is>
      </c>
      <c r="AB1328" s="0" t="inlineStr">
        <is>
          <t>인천시</t>
        </is>
      </c>
      <c r="AC1328" s="0" t="inlineStr">
        <is>
          <t>남동구</t>
        </is>
      </c>
      <c r="AD1328" s="0" t="inlineStr">
        <is>
          <t>만수동</t>
        </is>
      </c>
      <c r="AG1328" s="0" t="inlineStr">
        <is>
          <t>인천시 남동구 서판로54번길 15</t>
        </is>
      </c>
      <c r="AH1328" s="0" t="n">
        <v>0</v>
      </c>
      <c r="AI1328" s="0" t="n">
        <v>0</v>
      </c>
      <c r="AJ1328" s="0" t="n">
        <v>0</v>
      </c>
      <c r="AK1328" s="0" t="n">
        <v>40</v>
      </c>
      <c r="AL1328" s="0" t="n">
        <v>1</v>
      </c>
    </row>
    <row r="1329">
      <c r="A1329" s="0" t="inlineStr">
        <is>
          <t>[만수동]</t>
        </is>
      </c>
      <c r="B1329" s="0" t="n">
        <v>126531</v>
      </c>
      <c r="C1329" s="0" t="n">
        <v>2</v>
      </c>
      <c r="D1329" s="0" t="inlineStr">
        <is>
          <t>만수S클래스</t>
        </is>
      </c>
      <c r="E1329" s="0" t="inlineStr">
        <is>
          <t>2018.12.</t>
        </is>
      </c>
      <c r="F1329" s="0" t="n">
        <v>40</v>
      </c>
      <c r="G1329" s="0" t="n">
        <v>16.7</v>
      </c>
      <c r="H1329" s="0" t="n">
        <v>55.22</v>
      </c>
      <c r="I1329" s="0" t="n">
        <v>12.71</v>
      </c>
      <c r="J1329" s="0" t="n">
        <v>42.03</v>
      </c>
      <c r="K1329" s="0" t="n">
        <v>8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55A</t>
        </is>
      </c>
      <c r="X1329" s="0" t="n">
        <v>10</v>
      </c>
      <c r="Y1329" s="0" t="n">
        <v>10</v>
      </c>
      <c r="Z1329" s="0" t="inlineStr">
        <is>
          <t>https://new.land.naver.com/complexes/126531?tab=detail&amp;rf=Y</t>
        </is>
      </c>
      <c r="AA1329" s="0" t="inlineStr">
        <is>
          <t>인천시 남동구 만수동 843-4</t>
        </is>
      </c>
      <c r="AB1329" s="0" t="inlineStr">
        <is>
          <t>인천시</t>
        </is>
      </c>
      <c r="AC1329" s="0" t="inlineStr">
        <is>
          <t>남동구</t>
        </is>
      </c>
      <c r="AD1329" s="0" t="inlineStr">
        <is>
          <t>만수동</t>
        </is>
      </c>
      <c r="AG1329" s="0" t="inlineStr">
        <is>
          <t>인천시 남동구 서판로54번길 15</t>
        </is>
      </c>
      <c r="AH1329" s="0" t="n">
        <v>0</v>
      </c>
      <c r="AI1329" s="0" t="n">
        <v>0</v>
      </c>
      <c r="AJ1329" s="0" t="n">
        <v>0</v>
      </c>
      <c r="AK1329" s="0" t="n">
        <v>40</v>
      </c>
      <c r="AL1329" s="0" t="n">
        <v>1</v>
      </c>
    </row>
    <row r="1330">
      <c r="A1330" s="0" t="inlineStr">
        <is>
          <t>[만수동]</t>
        </is>
      </c>
      <c r="B1330" s="0" t="n">
        <v>126531</v>
      </c>
      <c r="C1330" s="0" t="n">
        <v>3</v>
      </c>
      <c r="D1330" s="0" t="inlineStr">
        <is>
          <t>만수S클래스</t>
        </is>
      </c>
      <c r="E1330" s="0" t="inlineStr">
        <is>
          <t>2018.12.</t>
        </is>
      </c>
      <c r="F1330" s="0" t="n">
        <v>40</v>
      </c>
      <c r="G1330" s="0" t="n">
        <v>17.52</v>
      </c>
      <c r="H1330" s="0" t="n">
        <v>57.93</v>
      </c>
      <c r="I1330" s="0" t="n">
        <v>13.11</v>
      </c>
      <c r="J1330" s="0" t="n">
        <v>43.37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57A</t>
        </is>
      </c>
      <c r="X1330" s="0" t="n">
        <v>10</v>
      </c>
      <c r="Y1330" s="0" t="n">
        <v>10</v>
      </c>
      <c r="Z1330" s="0" t="inlineStr">
        <is>
          <t>https://new.land.naver.com/complexes/126531?tab=detail&amp;rf=Y</t>
        </is>
      </c>
      <c r="AA1330" s="0" t="inlineStr">
        <is>
          <t>인천시 남동구 만수동 843-4</t>
        </is>
      </c>
      <c r="AB1330" s="0" t="inlineStr">
        <is>
          <t>인천시</t>
        </is>
      </c>
      <c r="AC1330" s="0" t="inlineStr">
        <is>
          <t>남동구</t>
        </is>
      </c>
      <c r="AD1330" s="0" t="inlineStr">
        <is>
          <t>만수동</t>
        </is>
      </c>
      <c r="AG1330" s="0" t="inlineStr">
        <is>
          <t>인천시 남동구 서판로54번길 15</t>
        </is>
      </c>
      <c r="AH1330" s="0" t="n">
        <v>0</v>
      </c>
      <c r="AI1330" s="0" t="n">
        <v>0</v>
      </c>
      <c r="AJ1330" s="0" t="n">
        <v>0</v>
      </c>
      <c r="AK1330" s="0" t="n">
        <v>40</v>
      </c>
      <c r="AL1330" s="0" t="n">
        <v>1</v>
      </c>
    </row>
    <row r="1331">
      <c r="A1331" s="0" t="inlineStr">
        <is>
          <t>[만수동]</t>
        </is>
      </c>
      <c r="B1331" s="0" t="n">
        <v>126531</v>
      </c>
      <c r="C1331" s="0" t="n">
        <v>4</v>
      </c>
      <c r="D1331" s="0" t="inlineStr">
        <is>
          <t>만수S클래스</t>
        </is>
      </c>
      <c r="E1331" s="0" t="inlineStr">
        <is>
          <t>2018.12.</t>
        </is>
      </c>
      <c r="F1331" s="0" t="n">
        <v>40</v>
      </c>
      <c r="G1331" s="0" t="n">
        <v>17.26</v>
      </c>
      <c r="H1331" s="0" t="n">
        <v>57.06</v>
      </c>
      <c r="I1331" s="0" t="n">
        <v>13.16</v>
      </c>
      <c r="J1331" s="0" t="n">
        <v>43.52</v>
      </c>
      <c r="K1331" s="0" t="n">
        <v>8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57B</t>
        </is>
      </c>
      <c r="X1331" s="0" t="n">
        <v>10</v>
      </c>
      <c r="Y1331" s="0" t="n">
        <v>10</v>
      </c>
      <c r="Z1331" s="0" t="inlineStr">
        <is>
          <t>https://new.land.naver.com/complexes/126531?tab=detail&amp;rf=Y</t>
        </is>
      </c>
      <c r="AA1331" s="0" t="inlineStr">
        <is>
          <t>인천시 남동구 만수동 843-4</t>
        </is>
      </c>
      <c r="AB1331" s="0" t="inlineStr">
        <is>
          <t>인천시</t>
        </is>
      </c>
      <c r="AC1331" s="0" t="inlineStr">
        <is>
          <t>남동구</t>
        </is>
      </c>
      <c r="AD1331" s="0" t="inlineStr">
        <is>
          <t>만수동</t>
        </is>
      </c>
      <c r="AG1331" s="0" t="inlineStr">
        <is>
          <t>인천시 남동구 서판로54번길 15</t>
        </is>
      </c>
      <c r="AH1331" s="0" t="n">
        <v>0</v>
      </c>
      <c r="AI1331" s="0" t="n">
        <v>0</v>
      </c>
      <c r="AJ1331" s="0" t="n">
        <v>0</v>
      </c>
      <c r="AK1331" s="0" t="n">
        <v>40</v>
      </c>
      <c r="AL1331" s="0" t="n">
        <v>1</v>
      </c>
    </row>
    <row r="1332">
      <c r="A1332" s="0" t="inlineStr">
        <is>
          <t>[만수동]</t>
        </is>
      </c>
      <c r="B1332" s="0" t="n">
        <v>126531</v>
      </c>
      <c r="C1332" s="0" t="n">
        <v>5</v>
      </c>
      <c r="D1332" s="0" t="inlineStr">
        <is>
          <t>만수S클래스</t>
        </is>
      </c>
      <c r="E1332" s="0" t="inlineStr">
        <is>
          <t>2018.12.</t>
        </is>
      </c>
      <c r="F1332" s="0" t="n">
        <v>40</v>
      </c>
      <c r="G1332" s="0" t="n">
        <v>17.52</v>
      </c>
      <c r="H1332" s="0" t="n">
        <v>57.92</v>
      </c>
      <c r="I1332" s="0" t="n">
        <v>13.57</v>
      </c>
      <c r="J1332" s="0" t="n">
        <v>44.88</v>
      </c>
      <c r="K1332" s="0" t="n">
        <v>4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57B</t>
        </is>
      </c>
      <c r="X1332" s="0" t="n">
        <v>10</v>
      </c>
      <c r="Y1332" s="0" t="n">
        <v>10</v>
      </c>
      <c r="Z1332" s="0" t="inlineStr">
        <is>
          <t>https://new.land.naver.com/complexes/126531?tab=detail&amp;rf=Y</t>
        </is>
      </c>
      <c r="AA1332" s="0" t="inlineStr">
        <is>
          <t>인천시 남동구 만수동 843-4</t>
        </is>
      </c>
      <c r="AB1332" s="0" t="inlineStr">
        <is>
          <t>인천시</t>
        </is>
      </c>
      <c r="AC1332" s="0" t="inlineStr">
        <is>
          <t>남동구</t>
        </is>
      </c>
      <c r="AD1332" s="0" t="inlineStr">
        <is>
          <t>만수동</t>
        </is>
      </c>
      <c r="AG1332" s="0" t="inlineStr">
        <is>
          <t>인천시 남동구 서판로54번길 15</t>
        </is>
      </c>
      <c r="AH1332" s="0" t="n">
        <v>0</v>
      </c>
      <c r="AI1332" s="0" t="n">
        <v>0</v>
      </c>
      <c r="AJ1332" s="0" t="n">
        <v>0</v>
      </c>
      <c r="AK1332" s="0" t="n">
        <v>40</v>
      </c>
      <c r="AL1332" s="0" t="n">
        <v>1</v>
      </c>
    </row>
    <row r="1333">
      <c r="A1333" s="0" t="inlineStr">
        <is>
          <t>[만수동]</t>
        </is>
      </c>
      <c r="B1333" s="0" t="n">
        <v>126531</v>
      </c>
      <c r="C1333" s="0" t="n">
        <v>6</v>
      </c>
      <c r="D1333" s="0" t="inlineStr">
        <is>
          <t>만수S클래스</t>
        </is>
      </c>
      <c r="E1333" s="0" t="inlineStr">
        <is>
          <t>2018.12.</t>
        </is>
      </c>
      <c r="F1333" s="0" t="n">
        <v>40</v>
      </c>
      <c r="G1333" s="0" t="n">
        <v>18.83</v>
      </c>
      <c r="H1333" s="0" t="n">
        <v>62.27</v>
      </c>
      <c r="I1333" s="0" t="n">
        <v>14.29</v>
      </c>
      <c r="J1333" s="0" t="n">
        <v>47.26</v>
      </c>
      <c r="K1333" s="0" t="n">
        <v>4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62</v>
      </c>
      <c r="X1333" s="0" t="n">
        <v>10</v>
      </c>
      <c r="Y1333" s="0" t="n">
        <v>10</v>
      </c>
      <c r="Z1333" s="0" t="inlineStr">
        <is>
          <t>https://new.land.naver.com/complexes/126531?tab=detail&amp;rf=Y</t>
        </is>
      </c>
      <c r="AA1333" s="0" t="inlineStr">
        <is>
          <t>인천시 남동구 만수동 843-4</t>
        </is>
      </c>
      <c r="AB1333" s="0" t="inlineStr">
        <is>
          <t>인천시</t>
        </is>
      </c>
      <c r="AC1333" s="0" t="inlineStr">
        <is>
          <t>남동구</t>
        </is>
      </c>
      <c r="AD1333" s="0" t="inlineStr">
        <is>
          <t>만수동</t>
        </is>
      </c>
      <c r="AG1333" s="0" t="inlineStr">
        <is>
          <t>인천시 남동구 서판로54번길 15</t>
        </is>
      </c>
      <c r="AH1333" s="0" t="n">
        <v>0</v>
      </c>
      <c r="AI1333" s="0" t="n">
        <v>0</v>
      </c>
      <c r="AJ1333" s="0" t="n">
        <v>0</v>
      </c>
      <c r="AK1333" s="0" t="n">
        <v>40</v>
      </c>
      <c r="AL1333" s="0" t="n">
        <v>1</v>
      </c>
    </row>
    <row r="1334">
      <c r="A1334" s="0" t="inlineStr">
        <is>
          <t>[만수동]</t>
        </is>
      </c>
      <c r="B1334" s="0" t="n">
        <v>119501</v>
      </c>
      <c r="C1334" s="0" t="n">
        <v>1</v>
      </c>
      <c r="D1334" s="0" t="inlineStr">
        <is>
          <t>그린나래</t>
        </is>
      </c>
      <c r="E1334" s="0" t="inlineStr">
        <is>
          <t>2017.11.</t>
        </is>
      </c>
      <c r="F1334" s="0" t="n">
        <v>36</v>
      </c>
      <c r="G1334" s="0" t="n">
        <v>14.33</v>
      </c>
      <c r="H1334" s="0" t="n">
        <v>47.39</v>
      </c>
      <c r="I1334" s="0" t="n">
        <v>12.58</v>
      </c>
      <c r="J1334" s="0" t="n">
        <v>41.59</v>
      </c>
      <c r="K1334" s="0" t="n">
        <v>3</v>
      </c>
      <c r="T1334" s="0" t="n">
        <v>1</v>
      </c>
      <c r="U1334" s="0" t="n">
        <v>1</v>
      </c>
      <c r="V1334" s="0" t="inlineStr">
        <is>
          <t>계단식</t>
        </is>
      </c>
      <c r="W1334" s="0" t="n">
        <v>47</v>
      </c>
      <c r="X1334" s="0" t="n">
        <v>5</v>
      </c>
      <c r="Y1334" s="0" t="n">
        <v>5</v>
      </c>
      <c r="Z1334" s="0" t="inlineStr">
        <is>
          <t>https://new.land.naver.com/complexes/119501?tab=detail&amp;rf=Y</t>
        </is>
      </c>
      <c r="AA1334" s="0" t="inlineStr">
        <is>
          <t>인천시 남동구 만수동 932-19</t>
        </is>
      </c>
      <c r="AB1334" s="0" t="inlineStr">
        <is>
          <t>인천시</t>
        </is>
      </c>
      <c r="AC1334" s="0" t="inlineStr">
        <is>
          <t>남동구</t>
        </is>
      </c>
      <c r="AD1334" s="0" t="inlineStr">
        <is>
          <t>만수동</t>
        </is>
      </c>
      <c r="AG1334" s="0" t="inlineStr">
        <is>
          <t>인천시 남동구 하촌서로 9</t>
        </is>
      </c>
      <c r="AH1334" s="0" t="n">
        <v>0</v>
      </c>
      <c r="AI1334" s="0" t="n">
        <v>164</v>
      </c>
      <c r="AJ1334" s="0" t="n">
        <v>59</v>
      </c>
      <c r="AK1334" s="0" t="n">
        <v>37</v>
      </c>
      <c r="AL1334" s="0" t="n">
        <v>1.03</v>
      </c>
    </row>
    <row r="1335">
      <c r="A1335" s="0" t="inlineStr">
        <is>
          <t>[만수동]</t>
        </is>
      </c>
      <c r="B1335" s="0" t="n">
        <v>119501</v>
      </c>
      <c r="C1335" s="0" t="n">
        <v>2</v>
      </c>
      <c r="D1335" s="0" t="inlineStr">
        <is>
          <t>그린나래</t>
        </is>
      </c>
      <c r="E1335" s="0" t="inlineStr">
        <is>
          <t>2017.11.</t>
        </is>
      </c>
      <c r="F1335" s="0" t="n">
        <v>36</v>
      </c>
      <c r="G1335" s="0" t="n">
        <v>16.33</v>
      </c>
      <c r="H1335" s="0" t="n">
        <v>54</v>
      </c>
      <c r="I1335" s="0" t="n">
        <v>14.33</v>
      </c>
      <c r="J1335" s="0" t="n">
        <v>47.4</v>
      </c>
      <c r="K1335" s="0" t="n">
        <v>6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54</v>
      </c>
      <c r="X1335" s="0" t="n">
        <v>5</v>
      </c>
      <c r="Y1335" s="0" t="n">
        <v>5</v>
      </c>
      <c r="Z1335" s="0" t="inlineStr">
        <is>
          <t>https://new.land.naver.com/complexes/119501?tab=detail&amp;rf=Y</t>
        </is>
      </c>
      <c r="AA1335" s="0" t="inlineStr">
        <is>
          <t>인천시 남동구 만수동 932-19</t>
        </is>
      </c>
      <c r="AB1335" s="0" t="inlineStr">
        <is>
          <t>인천시</t>
        </is>
      </c>
      <c r="AC1335" s="0" t="inlineStr">
        <is>
          <t>남동구</t>
        </is>
      </c>
      <c r="AD1335" s="0" t="inlineStr">
        <is>
          <t>만수동</t>
        </is>
      </c>
      <c r="AG1335" s="0" t="inlineStr">
        <is>
          <t>인천시 남동구 하촌서로 9</t>
        </is>
      </c>
      <c r="AH1335" s="0" t="n">
        <v>0</v>
      </c>
      <c r="AI1335" s="0" t="n">
        <v>164</v>
      </c>
      <c r="AJ1335" s="0" t="n">
        <v>59</v>
      </c>
      <c r="AK1335" s="0" t="n">
        <v>37</v>
      </c>
      <c r="AL1335" s="0" t="n">
        <v>1.03</v>
      </c>
    </row>
    <row r="1336">
      <c r="A1336" s="0" t="inlineStr">
        <is>
          <t>[만수동]</t>
        </is>
      </c>
      <c r="B1336" s="0" t="n">
        <v>119501</v>
      </c>
      <c r="C1336" s="0" t="n">
        <v>3</v>
      </c>
      <c r="D1336" s="0" t="inlineStr">
        <is>
          <t>그린나래</t>
        </is>
      </c>
      <c r="E1336" s="0" t="inlineStr">
        <is>
          <t>2017.11.</t>
        </is>
      </c>
      <c r="F1336" s="0" t="n">
        <v>36</v>
      </c>
      <c r="G1336" s="0" t="n">
        <v>16.79</v>
      </c>
      <c r="H1336" s="0" t="n">
        <v>55.53</v>
      </c>
      <c r="I1336" s="0" t="n">
        <v>14.74</v>
      </c>
      <c r="J1336" s="0" t="n">
        <v>48.74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55A</t>
        </is>
      </c>
      <c r="X1336" s="0" t="n">
        <v>5</v>
      </c>
      <c r="Y1336" s="0" t="n">
        <v>5</v>
      </c>
      <c r="Z1336" s="0" t="inlineStr">
        <is>
          <t>https://new.land.naver.com/complexes/119501?tab=detail&amp;rf=Y</t>
        </is>
      </c>
      <c r="AA1336" s="0" t="inlineStr">
        <is>
          <t>인천시 남동구 만수동 932-19</t>
        </is>
      </c>
      <c r="AB1336" s="0" t="inlineStr">
        <is>
          <t>인천시</t>
        </is>
      </c>
      <c r="AC1336" s="0" t="inlineStr">
        <is>
          <t>남동구</t>
        </is>
      </c>
      <c r="AD1336" s="0" t="inlineStr">
        <is>
          <t>만수동</t>
        </is>
      </c>
      <c r="AG1336" s="0" t="inlineStr">
        <is>
          <t>인천시 남동구 하촌서로 9</t>
        </is>
      </c>
      <c r="AH1336" s="0" t="n">
        <v>0</v>
      </c>
      <c r="AI1336" s="0" t="n">
        <v>164</v>
      </c>
      <c r="AJ1336" s="0" t="n">
        <v>59</v>
      </c>
      <c r="AK1336" s="0" t="n">
        <v>37</v>
      </c>
      <c r="AL1336" s="0" t="n">
        <v>1.03</v>
      </c>
    </row>
    <row r="1337">
      <c r="A1337" s="0" t="inlineStr">
        <is>
          <t>[만수동]</t>
        </is>
      </c>
      <c r="B1337" s="0" t="n">
        <v>119501</v>
      </c>
      <c r="C1337" s="0" t="n">
        <v>4</v>
      </c>
      <c r="D1337" s="0" t="inlineStr">
        <is>
          <t>그린나래</t>
        </is>
      </c>
      <c r="E1337" s="0" t="inlineStr">
        <is>
          <t>2017.11.</t>
        </is>
      </c>
      <c r="F1337" s="0" t="n">
        <v>36</v>
      </c>
      <c r="G1337" s="0" t="n">
        <v>16.99</v>
      </c>
      <c r="H1337" s="0" t="n">
        <v>56.17</v>
      </c>
      <c r="I1337" s="0" t="n">
        <v>14.91</v>
      </c>
      <c r="J1337" s="0" t="n">
        <v>49.3</v>
      </c>
      <c r="K1337" s="0" t="n">
        <v>18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56B</t>
        </is>
      </c>
      <c r="X1337" s="0" t="n">
        <v>5</v>
      </c>
      <c r="Y1337" s="0" t="n">
        <v>5</v>
      </c>
      <c r="Z1337" s="0" t="inlineStr">
        <is>
          <t>https://new.land.naver.com/complexes/119501?tab=detail&amp;rf=Y</t>
        </is>
      </c>
      <c r="AA1337" s="0" t="inlineStr">
        <is>
          <t>인천시 남동구 만수동 932-19</t>
        </is>
      </c>
      <c r="AB1337" s="0" t="inlineStr">
        <is>
          <t>인천시</t>
        </is>
      </c>
      <c r="AC1337" s="0" t="inlineStr">
        <is>
          <t>남동구</t>
        </is>
      </c>
      <c r="AD1337" s="0" t="inlineStr">
        <is>
          <t>만수동</t>
        </is>
      </c>
      <c r="AG1337" s="0" t="inlineStr">
        <is>
          <t>인천시 남동구 하촌서로 9</t>
        </is>
      </c>
      <c r="AH1337" s="0" t="n">
        <v>0</v>
      </c>
      <c r="AI1337" s="0" t="n">
        <v>164</v>
      </c>
      <c r="AJ1337" s="0" t="n">
        <v>59</v>
      </c>
      <c r="AK1337" s="0" t="n">
        <v>37</v>
      </c>
      <c r="AL1337" s="0" t="n">
        <v>1.03</v>
      </c>
    </row>
    <row r="1338">
      <c r="A1338" s="0" t="inlineStr">
        <is>
          <t>[만수동]</t>
        </is>
      </c>
      <c r="B1338" s="0" t="n">
        <v>10940</v>
      </c>
      <c r="C1338" s="0" t="n">
        <v>1</v>
      </c>
      <c r="D1338" s="0" t="inlineStr">
        <is>
          <t>동호나이스빌</t>
        </is>
      </c>
      <c r="E1338" s="0" t="inlineStr">
        <is>
          <t>2000.09.</t>
        </is>
      </c>
      <c r="F1338" s="0" t="n">
        <v>14</v>
      </c>
      <c r="G1338" s="0" t="n">
        <v>20.27</v>
      </c>
      <c r="H1338" s="0" t="n">
        <v>67.02</v>
      </c>
      <c r="I1338" s="0" t="n">
        <v>17.92</v>
      </c>
      <c r="J1338" s="0" t="n">
        <v>59.25</v>
      </c>
      <c r="K1338" s="0" t="n">
        <v>4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67A</t>
        </is>
      </c>
      <c r="X1338" s="0" t="n">
        <v>5</v>
      </c>
      <c r="Y1338" s="0" t="n">
        <v>5</v>
      </c>
      <c r="Z1338" s="0" t="inlineStr">
        <is>
          <t>https://new.land.naver.com/complexes/10940?tab=detail&amp;rf=Y</t>
        </is>
      </c>
      <c r="AA1338" s="0" t="inlineStr">
        <is>
          <t>인천시 남동구 만수동 962-5</t>
        </is>
      </c>
      <c r="AB1338" s="0" t="inlineStr">
        <is>
          <t>인천시</t>
        </is>
      </c>
      <c r="AC1338" s="0" t="inlineStr">
        <is>
          <t>남동구</t>
        </is>
      </c>
      <c r="AD1338" s="0" t="inlineStr">
        <is>
          <t>만수동</t>
        </is>
      </c>
      <c r="AG1338" s="0" t="inlineStr">
        <is>
          <t>인천시 남동구 하촌로70번길 34</t>
        </is>
      </c>
      <c r="AH1338" s="0" t="n">
        <v>0</v>
      </c>
      <c r="AI1338" s="0" t="n">
        <v>256</v>
      </c>
      <c r="AJ1338" s="0" t="n">
        <v>55</v>
      </c>
      <c r="AK1338" s="0" t="n">
        <v>8</v>
      </c>
      <c r="AL1338" s="0" t="n">
        <v>0.57</v>
      </c>
    </row>
    <row r="1339">
      <c r="A1339" s="0" t="inlineStr">
        <is>
          <t>[만수동]</t>
        </is>
      </c>
      <c r="B1339" s="0" t="n">
        <v>10940</v>
      </c>
      <c r="C1339" s="0" t="n">
        <v>2</v>
      </c>
      <c r="D1339" s="0" t="inlineStr">
        <is>
          <t>동호나이스빌</t>
        </is>
      </c>
      <c r="E1339" s="0" t="inlineStr">
        <is>
          <t>2000.09.</t>
        </is>
      </c>
      <c r="F1339" s="0" t="n">
        <v>14</v>
      </c>
      <c r="G1339" s="0" t="n">
        <v>20.29</v>
      </c>
      <c r="H1339" s="0" t="n">
        <v>67.09999999999999</v>
      </c>
      <c r="I1339" s="0" t="n">
        <v>17.94</v>
      </c>
      <c r="J1339" s="0" t="n">
        <v>59.32</v>
      </c>
      <c r="K1339" s="0" t="n">
        <v>4</v>
      </c>
      <c r="T1339" s="0" t="n">
        <v>3</v>
      </c>
      <c r="U1339" s="0" t="n">
        <v>1</v>
      </c>
      <c r="V1339" s="0" t="inlineStr">
        <is>
          <t>계단식</t>
        </is>
      </c>
      <c r="W1339" s="0" t="inlineStr">
        <is>
          <t>67C</t>
        </is>
      </c>
      <c r="X1339" s="0" t="n">
        <v>5</v>
      </c>
      <c r="Y1339" s="0" t="n">
        <v>5</v>
      </c>
      <c r="Z1339" s="0" t="inlineStr">
        <is>
          <t>https://new.land.naver.com/complexes/10940?tab=detail&amp;rf=Y</t>
        </is>
      </c>
      <c r="AA1339" s="0" t="inlineStr">
        <is>
          <t>인천시 남동구 만수동 962-5</t>
        </is>
      </c>
      <c r="AB1339" s="0" t="inlineStr">
        <is>
          <t>인천시</t>
        </is>
      </c>
      <c r="AC1339" s="0" t="inlineStr">
        <is>
          <t>남동구</t>
        </is>
      </c>
      <c r="AD1339" s="0" t="inlineStr">
        <is>
          <t>만수동</t>
        </is>
      </c>
      <c r="AG1339" s="0" t="inlineStr">
        <is>
          <t>인천시 남동구 하촌로70번길 34</t>
        </is>
      </c>
      <c r="AH1339" s="0" t="n">
        <v>0</v>
      </c>
      <c r="AI1339" s="0" t="n">
        <v>256</v>
      </c>
      <c r="AJ1339" s="0" t="n">
        <v>55</v>
      </c>
      <c r="AK1339" s="0" t="n">
        <v>8</v>
      </c>
      <c r="AL1339" s="0" t="n">
        <v>0.57</v>
      </c>
    </row>
    <row r="1340">
      <c r="A1340" s="0" t="inlineStr">
        <is>
          <t>[만수동]</t>
        </is>
      </c>
      <c r="B1340" s="0" t="n">
        <v>10940</v>
      </c>
      <c r="C1340" s="0" t="n">
        <v>3</v>
      </c>
      <c r="D1340" s="0" t="inlineStr">
        <is>
          <t>동호나이스빌</t>
        </is>
      </c>
      <c r="E1340" s="0" t="inlineStr">
        <is>
          <t>2000.09.</t>
        </is>
      </c>
      <c r="F1340" s="0" t="n">
        <v>14</v>
      </c>
      <c r="G1340" s="0" t="n">
        <v>20.4</v>
      </c>
      <c r="H1340" s="0" t="n">
        <v>67.45999999999999</v>
      </c>
      <c r="I1340" s="0" t="n">
        <v>18.03</v>
      </c>
      <c r="J1340" s="0" t="n">
        <v>59.63</v>
      </c>
      <c r="K1340" s="0" t="n">
        <v>4</v>
      </c>
      <c r="T1340" s="0" t="n">
        <v>3</v>
      </c>
      <c r="U1340" s="0" t="n">
        <v>1</v>
      </c>
      <c r="V1340" s="0" t="inlineStr">
        <is>
          <t>계단식</t>
        </is>
      </c>
      <c r="W1340" s="0" t="inlineStr">
        <is>
          <t>67E</t>
        </is>
      </c>
      <c r="X1340" s="0" t="n">
        <v>5</v>
      </c>
      <c r="Y1340" s="0" t="n">
        <v>5</v>
      </c>
      <c r="Z1340" s="0" t="inlineStr">
        <is>
          <t>https://new.land.naver.com/complexes/10940?tab=detail&amp;rf=Y</t>
        </is>
      </c>
      <c r="AA1340" s="0" t="inlineStr">
        <is>
          <t>인천시 남동구 만수동 962-5</t>
        </is>
      </c>
      <c r="AB1340" s="0" t="inlineStr">
        <is>
          <t>인천시</t>
        </is>
      </c>
      <c r="AC1340" s="0" t="inlineStr">
        <is>
          <t>남동구</t>
        </is>
      </c>
      <c r="AD1340" s="0" t="inlineStr">
        <is>
          <t>만수동</t>
        </is>
      </c>
      <c r="AG1340" s="0" t="inlineStr">
        <is>
          <t>인천시 남동구 하촌로70번길 34</t>
        </is>
      </c>
      <c r="AH1340" s="0" t="n">
        <v>0</v>
      </c>
      <c r="AI1340" s="0" t="n">
        <v>256</v>
      </c>
      <c r="AJ1340" s="0" t="n">
        <v>55</v>
      </c>
      <c r="AK1340" s="0" t="n">
        <v>8</v>
      </c>
      <c r="AL1340" s="0" t="n">
        <v>0.57</v>
      </c>
    </row>
    <row r="1341">
      <c r="A1341" s="0" t="inlineStr">
        <is>
          <t>[만수동]</t>
        </is>
      </c>
      <c r="B1341" s="0" t="n">
        <v>10940</v>
      </c>
      <c r="C1341" s="0" t="n">
        <v>4</v>
      </c>
      <c r="D1341" s="0" t="inlineStr">
        <is>
          <t>동호나이스빌</t>
        </is>
      </c>
      <c r="E1341" s="0" t="inlineStr">
        <is>
          <t>2000.09.</t>
        </is>
      </c>
      <c r="F1341" s="0" t="n">
        <v>14</v>
      </c>
      <c r="G1341" s="0" t="n">
        <v>20.29</v>
      </c>
      <c r="H1341" s="0" t="n">
        <v>67.09</v>
      </c>
      <c r="I1341" s="0" t="n">
        <v>17.94</v>
      </c>
      <c r="J1341" s="0" t="n">
        <v>59.32</v>
      </c>
      <c r="K1341" s="0" t="n">
        <v>1</v>
      </c>
      <c r="T1341" s="0" t="n">
        <v>3</v>
      </c>
      <c r="U1341" s="0" t="n">
        <v>1</v>
      </c>
      <c r="V1341" s="0" t="inlineStr">
        <is>
          <t>계단식</t>
        </is>
      </c>
      <c r="W1341" s="0" t="inlineStr">
        <is>
          <t>67B</t>
        </is>
      </c>
      <c r="X1341" s="0" t="n">
        <v>5</v>
      </c>
      <c r="Y1341" s="0" t="n">
        <v>5</v>
      </c>
      <c r="Z1341" s="0" t="inlineStr">
        <is>
          <t>https://new.land.naver.com/complexes/10940?tab=detail&amp;rf=Y</t>
        </is>
      </c>
      <c r="AA1341" s="0" t="inlineStr">
        <is>
          <t>인천시 남동구 만수동 962-5</t>
        </is>
      </c>
      <c r="AB1341" s="0" t="inlineStr">
        <is>
          <t>인천시</t>
        </is>
      </c>
      <c r="AC1341" s="0" t="inlineStr">
        <is>
          <t>남동구</t>
        </is>
      </c>
      <c r="AD1341" s="0" t="inlineStr">
        <is>
          <t>만수동</t>
        </is>
      </c>
      <c r="AG1341" s="0" t="inlineStr">
        <is>
          <t>인천시 남동구 하촌로70번길 34</t>
        </is>
      </c>
      <c r="AH1341" s="0" t="n">
        <v>0</v>
      </c>
      <c r="AI1341" s="0" t="n">
        <v>256</v>
      </c>
      <c r="AJ1341" s="0" t="n">
        <v>55</v>
      </c>
      <c r="AK1341" s="0" t="n">
        <v>8</v>
      </c>
      <c r="AL1341" s="0" t="n">
        <v>0.57</v>
      </c>
    </row>
    <row r="1342">
      <c r="A1342" s="0" t="inlineStr">
        <is>
          <t>[만수동]</t>
        </is>
      </c>
      <c r="B1342" s="0" t="n">
        <v>10940</v>
      </c>
      <c r="C1342" s="0" t="n">
        <v>5</v>
      </c>
      <c r="D1342" s="0" t="inlineStr">
        <is>
          <t>동호나이스빌</t>
        </is>
      </c>
      <c r="E1342" s="0" t="inlineStr">
        <is>
          <t>2000.09.</t>
        </is>
      </c>
      <c r="F1342" s="0" t="n">
        <v>14</v>
      </c>
      <c r="G1342" s="0" t="n">
        <v>20.39</v>
      </c>
      <c r="H1342" s="0" t="n">
        <v>67.41</v>
      </c>
      <c r="I1342" s="0" t="n">
        <v>18.03</v>
      </c>
      <c r="J1342" s="0" t="n">
        <v>59.63</v>
      </c>
      <c r="K1342" s="0" t="n">
        <v>1</v>
      </c>
      <c r="T1342" s="0" t="n">
        <v>3</v>
      </c>
      <c r="U1342" s="0" t="n">
        <v>1</v>
      </c>
      <c r="V1342" s="0" t="inlineStr">
        <is>
          <t>계단식</t>
        </is>
      </c>
      <c r="W1342" s="0" t="inlineStr">
        <is>
          <t>67D</t>
        </is>
      </c>
      <c r="X1342" s="0" t="n">
        <v>5</v>
      </c>
      <c r="Y1342" s="0" t="n">
        <v>5</v>
      </c>
      <c r="Z1342" s="0" t="inlineStr">
        <is>
          <t>https://new.land.naver.com/complexes/10940?tab=detail&amp;rf=Y</t>
        </is>
      </c>
      <c r="AA1342" s="0" t="inlineStr">
        <is>
          <t>인천시 남동구 만수동 962-5</t>
        </is>
      </c>
      <c r="AB1342" s="0" t="inlineStr">
        <is>
          <t>인천시</t>
        </is>
      </c>
      <c r="AC1342" s="0" t="inlineStr">
        <is>
          <t>남동구</t>
        </is>
      </c>
      <c r="AD1342" s="0" t="inlineStr">
        <is>
          <t>만수동</t>
        </is>
      </c>
      <c r="AG1342" s="0" t="inlineStr">
        <is>
          <t>인천시 남동구 하촌로70번길 34</t>
        </is>
      </c>
      <c r="AH1342" s="0" t="n">
        <v>0</v>
      </c>
      <c r="AI1342" s="0" t="n">
        <v>256</v>
      </c>
      <c r="AJ1342" s="0" t="n">
        <v>55</v>
      </c>
      <c r="AK1342" s="0" t="n">
        <v>8</v>
      </c>
      <c r="AL1342" s="0" t="n">
        <v>0.57</v>
      </c>
    </row>
    <row r="1343">
      <c r="A1343" s="0" t="inlineStr">
        <is>
          <t>[만수동]</t>
        </is>
      </c>
      <c r="B1343" s="0" t="n">
        <v>8141</v>
      </c>
      <c r="C1343" s="0" t="n">
        <v>1</v>
      </c>
      <c r="D1343" s="0" t="inlineStr">
        <is>
          <t>만수뉴서울</t>
        </is>
      </c>
      <c r="E1343" s="0" t="inlineStr">
        <is>
          <t>1992.07.</t>
        </is>
      </c>
      <c r="F1343" s="0" t="n">
        <v>1234</v>
      </c>
      <c r="G1343" s="0" t="n">
        <v>14.6</v>
      </c>
      <c r="H1343" s="0" t="n">
        <v>48.29</v>
      </c>
      <c r="I1343" s="0" t="n">
        <v>10.48</v>
      </c>
      <c r="J1343" s="0" t="n">
        <v>34.65</v>
      </c>
      <c r="K1343" s="0" t="n">
        <v>1234</v>
      </c>
      <c r="T1343" s="0" t="n">
        <v>2</v>
      </c>
      <c r="U1343" s="0" t="n">
        <v>1</v>
      </c>
      <c r="V1343" s="0" t="inlineStr">
        <is>
          <t>복도식</t>
        </is>
      </c>
      <c r="W1343" s="0" t="n">
        <v>48</v>
      </c>
      <c r="X1343" s="0" t="n">
        <v>15</v>
      </c>
      <c r="Y1343" s="0" t="n">
        <v>13</v>
      </c>
      <c r="Z1343" s="0" t="inlineStr">
        <is>
          <t>https://new.land.naver.com/complexes/8141?tab=detail&amp;rf=Y</t>
        </is>
      </c>
      <c r="AA1343" s="0" t="inlineStr">
        <is>
          <t>인천시 남동구 만수동 1044</t>
        </is>
      </c>
      <c r="AB1343" s="0" t="inlineStr">
        <is>
          <t>인천시</t>
        </is>
      </c>
      <c r="AC1343" s="0" t="inlineStr">
        <is>
          <t>남동구</t>
        </is>
      </c>
      <c r="AD1343" s="0" t="inlineStr">
        <is>
          <t>만수동</t>
        </is>
      </c>
      <c r="AG1343" s="0" t="inlineStr">
        <is>
          <t>인천시 남동구 담방로21번길 61</t>
        </is>
      </c>
      <c r="AH1343" s="0" t="n">
        <v>0</v>
      </c>
      <c r="AI1343" s="0" t="n">
        <v>250</v>
      </c>
      <c r="AJ1343" s="0" t="n">
        <v>23</v>
      </c>
      <c r="AK1343" s="0" t="n">
        <v>322</v>
      </c>
      <c r="AL1343" s="0" t="n">
        <v>0.26</v>
      </c>
    </row>
    <row r="1344">
      <c r="A1344" s="0" t="inlineStr">
        <is>
          <t>[만수동]</t>
        </is>
      </c>
      <c r="B1344" s="0" t="n">
        <v>11595</v>
      </c>
      <c r="C1344" s="0" t="n">
        <v>1</v>
      </c>
      <c r="D1344" s="0" t="inlineStr">
        <is>
          <t>영종</t>
        </is>
      </c>
      <c r="E1344" s="0" t="inlineStr">
        <is>
          <t>1989.08.</t>
        </is>
      </c>
      <c r="F1344" s="0" t="n">
        <v>75</v>
      </c>
      <c r="G1344" s="0" t="n">
        <v>17.81</v>
      </c>
      <c r="H1344" s="0" t="n">
        <v>58.9</v>
      </c>
      <c r="I1344" s="0" t="n">
        <v>13.1</v>
      </c>
      <c r="J1344" s="0" t="n">
        <v>43.32</v>
      </c>
      <c r="K1344" s="0" t="n">
        <v>40</v>
      </c>
      <c r="T1344" s="0" t="n">
        <v>2</v>
      </c>
      <c r="U1344" s="0" t="n">
        <v>1</v>
      </c>
      <c r="V1344" s="0" t="inlineStr">
        <is>
          <t>계단식</t>
        </is>
      </c>
      <c r="W1344" s="0" t="n">
        <v>58</v>
      </c>
      <c r="X1344" s="0" t="n">
        <v>5</v>
      </c>
      <c r="Y1344" s="0" t="n">
        <v>5</v>
      </c>
      <c r="Z1344" s="0" t="inlineStr">
        <is>
          <t>https://new.land.naver.com/complexes/11595?tab=detail&amp;rf=Y</t>
        </is>
      </c>
      <c r="AA1344" s="0" t="inlineStr">
        <is>
          <t>인천시 남동구 만수동 876-1</t>
        </is>
      </c>
      <c r="AB1344" s="0" t="inlineStr">
        <is>
          <t>인천시</t>
        </is>
      </c>
      <c r="AC1344" s="0" t="inlineStr">
        <is>
          <t>남동구</t>
        </is>
      </c>
      <c r="AD1344" s="0" t="inlineStr">
        <is>
          <t>만수동</t>
        </is>
      </c>
      <c r="AG1344" s="0" t="inlineStr">
        <is>
          <t>인천시 남동구 만경로28번길 11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[만수동]</t>
        </is>
      </c>
      <c r="B1345" s="0" t="n">
        <v>11595</v>
      </c>
      <c r="C1345" s="0" t="n">
        <v>2</v>
      </c>
      <c r="D1345" s="0" t="inlineStr">
        <is>
          <t>영종</t>
        </is>
      </c>
      <c r="E1345" s="0" t="inlineStr">
        <is>
          <t>1989.08.</t>
        </is>
      </c>
      <c r="F1345" s="0" t="n">
        <v>75</v>
      </c>
      <c r="G1345" s="0" t="n">
        <v>21.29</v>
      </c>
      <c r="H1345" s="0" t="n">
        <v>70.40000000000001</v>
      </c>
      <c r="I1345" s="0" t="n">
        <v>14.41</v>
      </c>
      <c r="J1345" s="0" t="n">
        <v>47.64</v>
      </c>
      <c r="K1345" s="0" t="n">
        <v>5</v>
      </c>
      <c r="T1345" s="0" t="n">
        <v>3</v>
      </c>
      <c r="U1345" s="0" t="n">
        <v>1</v>
      </c>
      <c r="V1345" s="0" t="inlineStr">
        <is>
          <t>계단식</t>
        </is>
      </c>
      <c r="W1345" s="0" t="n">
        <v>70</v>
      </c>
      <c r="X1345" s="0" t="n">
        <v>5</v>
      </c>
      <c r="Y1345" s="0" t="n">
        <v>5</v>
      </c>
      <c r="Z1345" s="0" t="inlineStr">
        <is>
          <t>https://new.land.naver.com/complexes/11595?tab=detail&amp;rf=Y</t>
        </is>
      </c>
      <c r="AA1345" s="0" t="inlineStr">
        <is>
          <t>인천시 남동구 만수동 876-1</t>
        </is>
      </c>
      <c r="AB1345" s="0" t="inlineStr">
        <is>
          <t>인천시</t>
        </is>
      </c>
      <c r="AC1345" s="0" t="inlineStr">
        <is>
          <t>남동구</t>
        </is>
      </c>
      <c r="AD1345" s="0" t="inlineStr">
        <is>
          <t>만수동</t>
        </is>
      </c>
      <c r="AG1345" s="0" t="inlineStr">
        <is>
          <t>인천시 남동구 만경로28번길 11</t>
        </is>
      </c>
      <c r="AH1345" s="0" t="n">
        <v>0</v>
      </c>
      <c r="AI1345" s="0" t="n">
        <v>0</v>
      </c>
      <c r="AJ1345" s="0" t="n">
        <v>0</v>
      </c>
      <c r="AK1345" s="0" t="n">
        <v>0</v>
      </c>
      <c r="AL1345" s="0" t="n">
        <v>0</v>
      </c>
    </row>
    <row r="1346">
      <c r="A1346" s="0" t="inlineStr">
        <is>
          <t>[만수동]</t>
        </is>
      </c>
      <c r="B1346" s="0" t="n">
        <v>11595</v>
      </c>
      <c r="C1346" s="0" t="n">
        <v>3</v>
      </c>
      <c r="D1346" s="0" t="inlineStr">
        <is>
          <t>영종</t>
        </is>
      </c>
      <c r="E1346" s="0" t="inlineStr">
        <is>
          <t>1989.08.</t>
        </is>
      </c>
      <c r="F1346" s="0" t="n">
        <v>75</v>
      </c>
      <c r="G1346" s="0" t="n">
        <v>21.64</v>
      </c>
      <c r="H1346" s="0" t="n">
        <v>71.56999999999999</v>
      </c>
      <c r="I1346" s="0" t="n">
        <v>16.32</v>
      </c>
      <c r="J1346" s="0" t="n">
        <v>53.96</v>
      </c>
      <c r="K1346" s="0" t="n">
        <v>20</v>
      </c>
      <c r="T1346" s="0" t="n">
        <v>3</v>
      </c>
      <c r="U1346" s="0" t="n">
        <v>1</v>
      </c>
      <c r="V1346" s="0" t="inlineStr">
        <is>
          <t>계단식</t>
        </is>
      </c>
      <c r="W1346" s="0" t="inlineStr">
        <is>
          <t>71A</t>
        </is>
      </c>
      <c r="X1346" s="0" t="n">
        <v>5</v>
      </c>
      <c r="Y1346" s="0" t="n">
        <v>5</v>
      </c>
      <c r="Z1346" s="0" t="inlineStr">
        <is>
          <t>https://new.land.naver.com/complexes/11595?tab=detail&amp;rf=Y</t>
        </is>
      </c>
      <c r="AA1346" s="0" t="inlineStr">
        <is>
          <t>인천시 남동구 만수동 876-1</t>
        </is>
      </c>
      <c r="AB1346" s="0" t="inlineStr">
        <is>
          <t>인천시</t>
        </is>
      </c>
      <c r="AC1346" s="0" t="inlineStr">
        <is>
          <t>남동구</t>
        </is>
      </c>
      <c r="AD1346" s="0" t="inlineStr">
        <is>
          <t>만수동</t>
        </is>
      </c>
      <c r="AG1346" s="0" t="inlineStr">
        <is>
          <t>인천시 남동구 만경로28번길 11</t>
        </is>
      </c>
      <c r="AH1346" s="0" t="n">
        <v>0</v>
      </c>
      <c r="AI1346" s="0" t="n">
        <v>0</v>
      </c>
      <c r="AJ1346" s="0" t="n">
        <v>0</v>
      </c>
      <c r="AK1346" s="0" t="n">
        <v>0</v>
      </c>
      <c r="AL1346" s="0" t="n">
        <v>0</v>
      </c>
    </row>
    <row r="1347">
      <c r="A1347" s="0" t="inlineStr">
        <is>
          <t>[만수동]</t>
        </is>
      </c>
      <c r="B1347" s="0" t="n">
        <v>11595</v>
      </c>
      <c r="C1347" s="0" t="n">
        <v>4</v>
      </c>
      <c r="D1347" s="0" t="inlineStr">
        <is>
          <t>영종</t>
        </is>
      </c>
      <c r="E1347" s="0" t="inlineStr">
        <is>
          <t>1989.08.</t>
        </is>
      </c>
      <c r="F1347" s="0" t="n">
        <v>75</v>
      </c>
      <c r="G1347" s="0" t="n">
        <v>21.79</v>
      </c>
      <c r="H1347" s="0" t="n">
        <v>72.04000000000001</v>
      </c>
      <c r="I1347" s="0" t="n">
        <v>16.44</v>
      </c>
      <c r="J1347" s="0" t="n">
        <v>54.35</v>
      </c>
      <c r="K1347" s="0" t="n">
        <v>10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72B</t>
        </is>
      </c>
      <c r="X1347" s="0" t="n">
        <v>5</v>
      </c>
      <c r="Y1347" s="0" t="n">
        <v>5</v>
      </c>
      <c r="Z1347" s="0" t="inlineStr">
        <is>
          <t>https://new.land.naver.com/complexes/11595?tab=detail&amp;rf=Y</t>
        </is>
      </c>
      <c r="AA1347" s="0" t="inlineStr">
        <is>
          <t>인천시 남동구 만수동 876-1</t>
        </is>
      </c>
      <c r="AB1347" s="0" t="inlineStr">
        <is>
          <t>인천시</t>
        </is>
      </c>
      <c r="AC1347" s="0" t="inlineStr">
        <is>
          <t>남동구</t>
        </is>
      </c>
      <c r="AD1347" s="0" t="inlineStr">
        <is>
          <t>만수동</t>
        </is>
      </c>
      <c r="AG1347" s="0" t="inlineStr">
        <is>
          <t>인천시 남동구 만경로28번길 11</t>
        </is>
      </c>
      <c r="AH1347" s="0" t="n">
        <v>0</v>
      </c>
      <c r="AI1347" s="0" t="n">
        <v>0</v>
      </c>
      <c r="AJ1347" s="0" t="n">
        <v>0</v>
      </c>
      <c r="AK1347" s="0" t="n">
        <v>0</v>
      </c>
      <c r="AL1347" s="0" t="n">
        <v>0</v>
      </c>
    </row>
    <row r="1348">
      <c r="A1348" s="0" t="inlineStr">
        <is>
          <t>[만수동]</t>
        </is>
      </c>
      <c r="B1348" s="0" t="n">
        <v>2306</v>
      </c>
      <c r="C1348" s="0" t="n">
        <v>1</v>
      </c>
      <c r="D1348" s="0" t="inlineStr">
        <is>
          <t>삼환2차</t>
        </is>
      </c>
      <c r="E1348" s="0" t="inlineStr">
        <is>
          <t>1990.10.</t>
        </is>
      </c>
      <c r="F1348" s="0" t="n">
        <v>660</v>
      </c>
      <c r="G1348" s="0" t="n">
        <v>16.03</v>
      </c>
      <c r="H1348" s="0" t="n">
        <v>53.01</v>
      </c>
      <c r="I1348" s="0" t="n">
        <v>13.17</v>
      </c>
      <c r="J1348" s="0" t="n">
        <v>43.55</v>
      </c>
      <c r="K1348" s="0" t="n">
        <v>150</v>
      </c>
      <c r="T1348" s="0" t="n">
        <v>2</v>
      </c>
      <c r="U1348" s="0" t="n">
        <v>1</v>
      </c>
      <c r="V1348" s="0" t="inlineStr">
        <is>
          <t>계단식</t>
        </is>
      </c>
      <c r="W1348" s="0" t="n">
        <v>53</v>
      </c>
      <c r="X1348" s="0" t="n">
        <v>15</v>
      </c>
      <c r="Y1348" s="0" t="n">
        <v>15</v>
      </c>
      <c r="Z1348" s="0" t="inlineStr">
        <is>
          <t>https://new.land.naver.com/complexes/2306?tab=detail&amp;rf=Y</t>
        </is>
      </c>
      <c r="AA1348" s="0" t="inlineStr">
        <is>
          <t>인천시 남동구 만수동 966</t>
        </is>
      </c>
      <c r="AB1348" s="0" t="inlineStr">
        <is>
          <t>인천시</t>
        </is>
      </c>
      <c r="AC1348" s="0" t="inlineStr">
        <is>
          <t>남동구</t>
        </is>
      </c>
      <c r="AD1348" s="0" t="inlineStr">
        <is>
          <t>만수동</t>
        </is>
      </c>
      <c r="AG1348" s="0" t="inlineStr">
        <is>
          <t>인천시 남동구 소래로 677</t>
        </is>
      </c>
      <c r="AH1348" s="0" t="n">
        <v>0</v>
      </c>
      <c r="AI1348" s="0" t="n">
        <v>212</v>
      </c>
      <c r="AJ1348" s="0" t="n">
        <v>17</v>
      </c>
      <c r="AK1348" s="0" t="n">
        <v>900</v>
      </c>
      <c r="AL1348" s="0" t="n">
        <v>1.36</v>
      </c>
    </row>
    <row r="1349">
      <c r="A1349" s="0" t="inlineStr">
        <is>
          <t>[만수동]</t>
        </is>
      </c>
      <c r="B1349" s="0" t="n">
        <v>2306</v>
      </c>
      <c r="C1349" s="0" t="n">
        <v>2</v>
      </c>
      <c r="D1349" s="0" t="inlineStr">
        <is>
          <t>삼환2차</t>
        </is>
      </c>
      <c r="E1349" s="0" t="inlineStr">
        <is>
          <t>1990.10.</t>
        </is>
      </c>
      <c r="F1349" s="0" t="n">
        <v>660</v>
      </c>
      <c r="G1349" s="0" t="n">
        <v>19.19</v>
      </c>
      <c r="H1349" s="0" t="n">
        <v>63.44</v>
      </c>
      <c r="I1349" s="0" t="n">
        <v>15.2</v>
      </c>
      <c r="J1349" s="0" t="n">
        <v>50.26</v>
      </c>
      <c r="K1349" s="0" t="n">
        <v>180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63</v>
      </c>
      <c r="X1349" s="0" t="n">
        <v>15</v>
      </c>
      <c r="Y1349" s="0" t="n">
        <v>15</v>
      </c>
      <c r="Z1349" s="0" t="inlineStr">
        <is>
          <t>https://new.land.naver.com/complexes/2306?tab=detail&amp;rf=Y</t>
        </is>
      </c>
      <c r="AA1349" s="0" t="inlineStr">
        <is>
          <t>인천시 남동구 만수동 966</t>
        </is>
      </c>
      <c r="AB1349" s="0" t="inlineStr">
        <is>
          <t>인천시</t>
        </is>
      </c>
      <c r="AC1349" s="0" t="inlineStr">
        <is>
          <t>남동구</t>
        </is>
      </c>
      <c r="AD1349" s="0" t="inlineStr">
        <is>
          <t>만수동</t>
        </is>
      </c>
      <c r="AG1349" s="0" t="inlineStr">
        <is>
          <t>인천시 남동구 소래로 677</t>
        </is>
      </c>
      <c r="AH1349" s="0" t="n">
        <v>0</v>
      </c>
      <c r="AI1349" s="0" t="n">
        <v>212</v>
      </c>
      <c r="AJ1349" s="0" t="n">
        <v>17</v>
      </c>
      <c r="AK1349" s="0" t="n">
        <v>900</v>
      </c>
      <c r="AL1349" s="0" t="n">
        <v>1.36</v>
      </c>
    </row>
    <row r="1350">
      <c r="A1350" s="0" t="inlineStr">
        <is>
          <t>[만수동]</t>
        </is>
      </c>
      <c r="B1350" s="0" t="n">
        <v>2306</v>
      </c>
      <c r="C1350" s="0" t="n">
        <v>3</v>
      </c>
      <c r="D1350" s="0" t="inlineStr">
        <is>
          <t>삼환2차</t>
        </is>
      </c>
      <c r="E1350" s="0" t="inlineStr">
        <is>
          <t>1990.10.</t>
        </is>
      </c>
      <c r="F1350" s="0" t="n">
        <v>660</v>
      </c>
      <c r="G1350" s="0" t="n">
        <v>22.54</v>
      </c>
      <c r="H1350" s="0" t="n">
        <v>74.53</v>
      </c>
      <c r="I1350" s="0" t="n">
        <v>17.86</v>
      </c>
      <c r="J1350" s="0" t="n">
        <v>59.05</v>
      </c>
      <c r="K1350" s="0" t="n">
        <v>180</v>
      </c>
      <c r="T1350" s="0" t="n">
        <v>3</v>
      </c>
      <c r="U1350" s="0" t="n">
        <v>1</v>
      </c>
      <c r="V1350" s="0" t="inlineStr">
        <is>
          <t>계단식</t>
        </is>
      </c>
      <c r="W1350" s="0" t="n">
        <v>74</v>
      </c>
      <c r="X1350" s="0" t="n">
        <v>15</v>
      </c>
      <c r="Y1350" s="0" t="n">
        <v>15</v>
      </c>
      <c r="Z1350" s="0" t="inlineStr">
        <is>
          <t>https://new.land.naver.com/complexes/2306?tab=detail&amp;rf=Y</t>
        </is>
      </c>
      <c r="AA1350" s="0" t="inlineStr">
        <is>
          <t>인천시 남동구 만수동 966</t>
        </is>
      </c>
      <c r="AB1350" s="0" t="inlineStr">
        <is>
          <t>인천시</t>
        </is>
      </c>
      <c r="AC1350" s="0" t="inlineStr">
        <is>
          <t>남동구</t>
        </is>
      </c>
      <c r="AD1350" s="0" t="inlineStr">
        <is>
          <t>만수동</t>
        </is>
      </c>
      <c r="AG1350" s="0" t="inlineStr">
        <is>
          <t>인천시 남동구 소래로 677</t>
        </is>
      </c>
      <c r="AH1350" s="0" t="n">
        <v>0</v>
      </c>
      <c r="AI1350" s="0" t="n">
        <v>212</v>
      </c>
      <c r="AJ1350" s="0" t="n">
        <v>17</v>
      </c>
      <c r="AK1350" s="0" t="n">
        <v>900</v>
      </c>
      <c r="AL1350" s="0" t="n">
        <v>1.36</v>
      </c>
    </row>
    <row r="1351">
      <c r="A1351" s="0" t="inlineStr">
        <is>
          <t>[만수동]</t>
        </is>
      </c>
      <c r="B1351" s="0" t="n">
        <v>2306</v>
      </c>
      <c r="C1351" s="0" t="n">
        <v>4</v>
      </c>
      <c r="D1351" s="0" t="inlineStr">
        <is>
          <t>삼환2차</t>
        </is>
      </c>
      <c r="E1351" s="0" t="inlineStr">
        <is>
          <t>1990.10.</t>
        </is>
      </c>
      <c r="F1351" s="0" t="n">
        <v>660</v>
      </c>
      <c r="G1351" s="0" t="n">
        <v>25.17</v>
      </c>
      <c r="H1351" s="0" t="n">
        <v>83.23</v>
      </c>
      <c r="I1351" s="0" t="n">
        <v>20.68</v>
      </c>
      <c r="J1351" s="0" t="n">
        <v>68.38</v>
      </c>
      <c r="K1351" s="0" t="n">
        <v>150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83</v>
      </c>
      <c r="X1351" s="0" t="n">
        <v>15</v>
      </c>
      <c r="Y1351" s="0" t="n">
        <v>15</v>
      </c>
      <c r="Z1351" s="0" t="inlineStr">
        <is>
          <t>https://new.land.naver.com/complexes/2306?tab=detail&amp;rf=Y</t>
        </is>
      </c>
      <c r="AA1351" s="0" t="inlineStr">
        <is>
          <t>인천시 남동구 만수동 966</t>
        </is>
      </c>
      <c r="AB1351" s="0" t="inlineStr">
        <is>
          <t>인천시</t>
        </is>
      </c>
      <c r="AC1351" s="0" t="inlineStr">
        <is>
          <t>남동구</t>
        </is>
      </c>
      <c r="AD1351" s="0" t="inlineStr">
        <is>
          <t>만수동</t>
        </is>
      </c>
      <c r="AG1351" s="0" t="inlineStr">
        <is>
          <t>인천시 남동구 소래로 677</t>
        </is>
      </c>
      <c r="AH1351" s="0" t="n">
        <v>0</v>
      </c>
      <c r="AI1351" s="0" t="n">
        <v>212</v>
      </c>
      <c r="AJ1351" s="0" t="n">
        <v>17</v>
      </c>
      <c r="AK1351" s="0" t="n">
        <v>900</v>
      </c>
      <c r="AL1351" s="0" t="n">
        <v>1.36</v>
      </c>
    </row>
    <row r="1352">
      <c r="A1352" s="0" t="inlineStr">
        <is>
          <t>[만수동]</t>
        </is>
      </c>
      <c r="B1352" s="0" t="n">
        <v>121247</v>
      </c>
      <c r="C1352" s="0" t="n">
        <v>1</v>
      </c>
      <c r="D1352" s="0" t="inlineStr">
        <is>
          <t>한울라온채</t>
        </is>
      </c>
      <c r="E1352" s="0" t="inlineStr">
        <is>
          <t>2015.11.</t>
        </is>
      </c>
      <c r="F1352" s="0" t="n">
        <v>12</v>
      </c>
      <c r="G1352" s="0" t="n">
        <v>15.89</v>
      </c>
      <c r="H1352" s="0" t="n">
        <v>52.54</v>
      </c>
      <c r="I1352" s="0" t="n">
        <v>13.06</v>
      </c>
      <c r="J1352" s="0" t="n">
        <v>43.2</v>
      </c>
      <c r="K1352" s="0" t="n">
        <v>4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52A</t>
        </is>
      </c>
      <c r="X1352" s="0" t="n">
        <v>10</v>
      </c>
      <c r="Y1352" s="0" t="n">
        <v>10</v>
      </c>
      <c r="Z1352" s="0" t="inlineStr">
        <is>
          <t>https://new.land.naver.com/complexes/121247?tab=detail&amp;rf=Y</t>
        </is>
      </c>
      <c r="AA1352" s="0" t="inlineStr">
        <is>
          <t>인천시 남동구 만수동 857-16</t>
        </is>
      </c>
      <c r="AB1352" s="0" t="inlineStr">
        <is>
          <t>인천시</t>
        </is>
      </c>
      <c r="AC1352" s="0" t="inlineStr">
        <is>
          <t>남동구</t>
        </is>
      </c>
      <c r="AD1352" s="0" t="inlineStr">
        <is>
          <t>만수동</t>
        </is>
      </c>
      <c r="AG1352" s="0" t="inlineStr">
        <is>
          <t>인천시 남동구 백범로214번길 26</t>
        </is>
      </c>
      <c r="AH1352" s="0" t="n">
        <v>0</v>
      </c>
      <c r="AI1352" s="0" t="n">
        <v>426</v>
      </c>
      <c r="AJ1352" s="0" t="n">
        <v>59</v>
      </c>
      <c r="AK1352" s="0" t="n">
        <v>12</v>
      </c>
      <c r="AL1352" s="0" t="n">
        <v>1</v>
      </c>
    </row>
    <row r="1353">
      <c r="A1353" s="0" t="inlineStr">
        <is>
          <t>[만수동]</t>
        </is>
      </c>
      <c r="B1353" s="0" t="n">
        <v>121247</v>
      </c>
      <c r="C1353" s="0" t="n">
        <v>2</v>
      </c>
      <c r="D1353" s="0" t="inlineStr">
        <is>
          <t>한울라온채</t>
        </is>
      </c>
      <c r="E1353" s="0" t="inlineStr">
        <is>
          <t>2015.11.</t>
        </is>
      </c>
      <c r="F1353" s="0" t="n">
        <v>12</v>
      </c>
      <c r="G1353" s="0" t="n">
        <v>16.29</v>
      </c>
      <c r="H1353" s="0" t="n">
        <v>53.88</v>
      </c>
      <c r="I1353" s="0" t="n">
        <v>13.33</v>
      </c>
      <c r="J1353" s="0" t="n">
        <v>44.09</v>
      </c>
      <c r="K1353" s="0" t="n">
        <v>4</v>
      </c>
      <c r="T1353" s="0" t="n">
        <v>2</v>
      </c>
      <c r="U1353" s="0" t="n">
        <v>1</v>
      </c>
      <c r="V1353" s="0" t="inlineStr">
        <is>
          <t>계단식</t>
        </is>
      </c>
      <c r="W1353" s="0" t="inlineStr">
        <is>
          <t>53B</t>
        </is>
      </c>
      <c r="X1353" s="0" t="n">
        <v>10</v>
      </c>
      <c r="Y1353" s="0" t="n">
        <v>10</v>
      </c>
      <c r="Z1353" s="0" t="inlineStr">
        <is>
          <t>https://new.land.naver.com/complexes/121247?tab=detail&amp;rf=Y</t>
        </is>
      </c>
      <c r="AA1353" s="0" t="inlineStr">
        <is>
          <t>인천시 남동구 만수동 857-16</t>
        </is>
      </c>
      <c r="AB1353" s="0" t="inlineStr">
        <is>
          <t>인천시</t>
        </is>
      </c>
      <c r="AC1353" s="0" t="inlineStr">
        <is>
          <t>남동구</t>
        </is>
      </c>
      <c r="AD1353" s="0" t="inlineStr">
        <is>
          <t>만수동</t>
        </is>
      </c>
      <c r="AG1353" s="0" t="inlineStr">
        <is>
          <t>인천시 남동구 백범로214번길 26</t>
        </is>
      </c>
      <c r="AH1353" s="0" t="n">
        <v>0</v>
      </c>
      <c r="AI1353" s="0" t="n">
        <v>426</v>
      </c>
      <c r="AJ1353" s="0" t="n">
        <v>59</v>
      </c>
      <c r="AK1353" s="0" t="n">
        <v>12</v>
      </c>
      <c r="AL1353" s="0" t="n">
        <v>1</v>
      </c>
    </row>
    <row r="1354">
      <c r="A1354" s="0" t="inlineStr">
        <is>
          <t>[만수동]</t>
        </is>
      </c>
      <c r="B1354" s="0" t="n">
        <v>121247</v>
      </c>
      <c r="C1354" s="0" t="n">
        <v>3</v>
      </c>
      <c r="D1354" s="0" t="inlineStr">
        <is>
          <t>한울라온채</t>
        </is>
      </c>
      <c r="E1354" s="0" t="inlineStr">
        <is>
          <t>2015.11.</t>
        </is>
      </c>
      <c r="F1354" s="0" t="n">
        <v>12</v>
      </c>
      <c r="G1354" s="0" t="n">
        <v>16.37</v>
      </c>
      <c r="H1354" s="0" t="n">
        <v>54.13</v>
      </c>
      <c r="I1354" s="0" t="n">
        <v>13.4</v>
      </c>
      <c r="J1354" s="0" t="n">
        <v>44.31</v>
      </c>
      <c r="K1354" s="0" t="n">
        <v>4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54C</t>
        </is>
      </c>
      <c r="X1354" s="0" t="n">
        <v>10</v>
      </c>
      <c r="Y1354" s="0" t="n">
        <v>10</v>
      </c>
      <c r="Z1354" s="0" t="inlineStr">
        <is>
          <t>https://new.land.naver.com/complexes/121247?tab=detail&amp;rf=Y</t>
        </is>
      </c>
      <c r="AA1354" s="0" t="inlineStr">
        <is>
          <t>인천시 남동구 만수동 857-16</t>
        </is>
      </c>
      <c r="AB1354" s="0" t="inlineStr">
        <is>
          <t>인천시</t>
        </is>
      </c>
      <c r="AC1354" s="0" t="inlineStr">
        <is>
          <t>남동구</t>
        </is>
      </c>
      <c r="AD1354" s="0" t="inlineStr">
        <is>
          <t>만수동</t>
        </is>
      </c>
      <c r="AG1354" s="0" t="inlineStr">
        <is>
          <t>인천시 남동구 백범로214번길 26</t>
        </is>
      </c>
      <c r="AH1354" s="0" t="n">
        <v>0</v>
      </c>
      <c r="AI1354" s="0" t="n">
        <v>426</v>
      </c>
      <c r="AJ1354" s="0" t="n">
        <v>59</v>
      </c>
      <c r="AK1354" s="0" t="n">
        <v>12</v>
      </c>
      <c r="AL1354" s="0" t="n">
        <v>1</v>
      </c>
    </row>
    <row r="1355">
      <c r="A1355" s="0" t="inlineStr">
        <is>
          <t>[만수동]</t>
        </is>
      </c>
      <c r="B1355" s="0" t="n">
        <v>103775</v>
      </c>
      <c r="C1355" s="0" t="n">
        <v>1</v>
      </c>
      <c r="D1355" s="0" t="inlineStr">
        <is>
          <t>동양</t>
        </is>
      </c>
      <c r="E1355" s="0" t="inlineStr">
        <is>
          <t>2000.02.</t>
        </is>
      </c>
      <c r="F1355" s="0" t="n">
        <v>15</v>
      </c>
      <c r="G1355" s="0" t="n">
        <v>23.89</v>
      </c>
      <c r="H1355" s="0" t="n">
        <v>78.98999999999999</v>
      </c>
      <c r="I1355" s="0" t="n">
        <v>19.81</v>
      </c>
      <c r="J1355" s="0" t="n">
        <v>65.48999999999999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n">
        <v>78</v>
      </c>
      <c r="X1355" s="0" t="n">
        <v>9</v>
      </c>
      <c r="Y1355" s="0" t="n">
        <v>9</v>
      </c>
      <c r="Z1355" s="0" t="inlineStr">
        <is>
          <t>https://new.land.naver.com/complexes/103775?tab=detail&amp;rf=Y</t>
        </is>
      </c>
      <c r="AA1355" s="0" t="inlineStr">
        <is>
          <t>인천시 남동구 만수동 1-162</t>
        </is>
      </c>
      <c r="AB1355" s="0" t="inlineStr">
        <is>
          <t>인천시</t>
        </is>
      </c>
      <c r="AC1355" s="0" t="inlineStr">
        <is>
          <t>남동구</t>
        </is>
      </c>
      <c r="AD1355" s="0" t="inlineStr">
        <is>
          <t>만수동</t>
        </is>
      </c>
      <c r="AG1355" s="0" t="inlineStr">
        <is>
          <t>인천시 남동구 만수로 116</t>
        </is>
      </c>
      <c r="AH1355" s="0" t="n">
        <v>0</v>
      </c>
      <c r="AI1355" s="0" t="n">
        <v>381</v>
      </c>
      <c r="AJ1355" s="0" t="n">
        <v>66</v>
      </c>
      <c r="AK1355" s="0" t="n">
        <v>18</v>
      </c>
      <c r="AL1355" s="0" t="n">
        <v>1.2</v>
      </c>
    </row>
    <row r="1356">
      <c r="A1356" s="0" t="inlineStr">
        <is>
          <t>[만수동]</t>
        </is>
      </c>
      <c r="B1356" s="0" t="n">
        <v>103775</v>
      </c>
      <c r="C1356" s="0" t="n">
        <v>2</v>
      </c>
      <c r="D1356" s="0" t="inlineStr">
        <is>
          <t>동양</t>
        </is>
      </c>
      <c r="E1356" s="0" t="inlineStr">
        <is>
          <t>2000.02.</t>
        </is>
      </c>
      <c r="F1356" s="0" t="n">
        <v>15</v>
      </c>
      <c r="G1356" s="0" t="n">
        <v>26.75</v>
      </c>
      <c r="H1356" s="0" t="n">
        <v>88.45</v>
      </c>
      <c r="I1356" s="0" t="n">
        <v>24.85</v>
      </c>
      <c r="J1356" s="0" t="n">
        <v>82.17</v>
      </c>
      <c r="K1356" s="0" t="n">
        <v>2</v>
      </c>
      <c r="T1356" s="0" t="n">
        <v>3</v>
      </c>
      <c r="U1356" s="0" t="n">
        <v>2</v>
      </c>
      <c r="V1356" s="0" t="inlineStr">
        <is>
          <t>계단식</t>
        </is>
      </c>
      <c r="W1356" s="0" t="n">
        <v>88</v>
      </c>
      <c r="X1356" s="0" t="n">
        <v>9</v>
      </c>
      <c r="Y1356" s="0" t="n">
        <v>9</v>
      </c>
      <c r="Z1356" s="0" t="inlineStr">
        <is>
          <t>https://new.land.naver.com/complexes/103775?tab=detail&amp;rf=Y</t>
        </is>
      </c>
      <c r="AA1356" s="0" t="inlineStr">
        <is>
          <t>인천시 남동구 만수동 1-162</t>
        </is>
      </c>
      <c r="AB1356" s="0" t="inlineStr">
        <is>
          <t>인천시</t>
        </is>
      </c>
      <c r="AC1356" s="0" t="inlineStr">
        <is>
          <t>남동구</t>
        </is>
      </c>
      <c r="AD1356" s="0" t="inlineStr">
        <is>
          <t>만수동</t>
        </is>
      </c>
      <c r="AG1356" s="0" t="inlineStr">
        <is>
          <t>인천시 남동구 만수로 116</t>
        </is>
      </c>
      <c r="AH1356" s="0" t="n">
        <v>0</v>
      </c>
      <c r="AI1356" s="0" t="n">
        <v>381</v>
      </c>
      <c r="AJ1356" s="0" t="n">
        <v>66</v>
      </c>
      <c r="AK1356" s="0" t="n">
        <v>18</v>
      </c>
      <c r="AL1356" s="0" t="n">
        <v>1.2</v>
      </c>
    </row>
    <row r="1357">
      <c r="A1357" s="0" t="inlineStr">
        <is>
          <t>[만수동]</t>
        </is>
      </c>
      <c r="B1357" s="0" t="n">
        <v>103775</v>
      </c>
      <c r="C1357" s="0" t="n">
        <v>3</v>
      </c>
      <c r="D1357" s="0" t="inlineStr">
        <is>
          <t>동양</t>
        </is>
      </c>
      <c r="E1357" s="0" t="inlineStr">
        <is>
          <t>2000.02.</t>
        </is>
      </c>
      <c r="F1357" s="0" t="n">
        <v>15</v>
      </c>
      <c r="G1357" s="0" t="n">
        <v>28.13</v>
      </c>
      <c r="H1357" s="0" t="n">
        <v>93.02</v>
      </c>
      <c r="I1357" s="0" t="n">
        <v>23.32</v>
      </c>
      <c r="J1357" s="0" t="n">
        <v>77.12</v>
      </c>
      <c r="K1357" s="0" t="n">
        <v>5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93A</t>
        </is>
      </c>
      <c r="X1357" s="0" t="n">
        <v>9</v>
      </c>
      <c r="Y1357" s="0" t="n">
        <v>9</v>
      </c>
      <c r="Z1357" s="0" t="inlineStr">
        <is>
          <t>https://new.land.naver.com/complexes/103775?tab=detail&amp;rf=Y</t>
        </is>
      </c>
      <c r="AA1357" s="0" t="inlineStr">
        <is>
          <t>인천시 남동구 만수동 1-162</t>
        </is>
      </c>
      <c r="AB1357" s="0" t="inlineStr">
        <is>
          <t>인천시</t>
        </is>
      </c>
      <c r="AC1357" s="0" t="inlineStr">
        <is>
          <t>남동구</t>
        </is>
      </c>
      <c r="AD1357" s="0" t="inlineStr">
        <is>
          <t>만수동</t>
        </is>
      </c>
      <c r="AG1357" s="0" t="inlineStr">
        <is>
          <t>인천시 남동구 만수로 116</t>
        </is>
      </c>
      <c r="AH1357" s="0" t="n">
        <v>0</v>
      </c>
      <c r="AI1357" s="0" t="n">
        <v>381</v>
      </c>
      <c r="AJ1357" s="0" t="n">
        <v>66</v>
      </c>
      <c r="AK1357" s="0" t="n">
        <v>18</v>
      </c>
      <c r="AL1357" s="0" t="n">
        <v>1.2</v>
      </c>
    </row>
    <row r="1358">
      <c r="A1358" s="0" t="inlineStr">
        <is>
          <t>[만수동]</t>
        </is>
      </c>
      <c r="B1358" s="0" t="n">
        <v>103775</v>
      </c>
      <c r="C1358" s="0" t="n">
        <v>4</v>
      </c>
      <c r="D1358" s="0" t="inlineStr">
        <is>
          <t>동양</t>
        </is>
      </c>
      <c r="E1358" s="0" t="inlineStr">
        <is>
          <t>2000.02.</t>
        </is>
      </c>
      <c r="F1358" s="0" t="n">
        <v>15</v>
      </c>
      <c r="G1358" s="0" t="n">
        <v>28.42</v>
      </c>
      <c r="H1358" s="0" t="n">
        <v>93.95999999999999</v>
      </c>
      <c r="I1358" s="0" t="n">
        <v>23.56</v>
      </c>
      <c r="J1358" s="0" t="n">
        <v>77.91</v>
      </c>
      <c r="K1358" s="0" t="n">
        <v>1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93B</t>
        </is>
      </c>
      <c r="X1358" s="0" t="n">
        <v>9</v>
      </c>
      <c r="Y1358" s="0" t="n">
        <v>9</v>
      </c>
      <c r="Z1358" s="0" t="inlineStr">
        <is>
          <t>https://new.land.naver.com/complexes/103775?tab=detail&amp;rf=Y</t>
        </is>
      </c>
      <c r="AA1358" s="0" t="inlineStr">
        <is>
          <t>인천시 남동구 만수동 1-162</t>
        </is>
      </c>
      <c r="AB1358" s="0" t="inlineStr">
        <is>
          <t>인천시</t>
        </is>
      </c>
      <c r="AC1358" s="0" t="inlineStr">
        <is>
          <t>남동구</t>
        </is>
      </c>
      <c r="AD1358" s="0" t="inlineStr">
        <is>
          <t>만수동</t>
        </is>
      </c>
      <c r="AG1358" s="0" t="inlineStr">
        <is>
          <t>인천시 남동구 만수로 116</t>
        </is>
      </c>
      <c r="AH1358" s="0" t="n">
        <v>0</v>
      </c>
      <c r="AI1358" s="0" t="n">
        <v>381</v>
      </c>
      <c r="AJ1358" s="0" t="n">
        <v>66</v>
      </c>
      <c r="AK1358" s="0" t="n">
        <v>18</v>
      </c>
      <c r="AL1358" s="0" t="n">
        <v>1.2</v>
      </c>
    </row>
    <row r="1359">
      <c r="A1359" s="0" t="inlineStr">
        <is>
          <t>[만수동]</t>
        </is>
      </c>
      <c r="B1359" s="0" t="n">
        <v>103775</v>
      </c>
      <c r="C1359" s="0" t="n">
        <v>5</v>
      </c>
      <c r="D1359" s="0" t="inlineStr">
        <is>
          <t>동양</t>
        </is>
      </c>
      <c r="E1359" s="0" t="inlineStr">
        <is>
          <t>2000.02.</t>
        </is>
      </c>
      <c r="F1359" s="0" t="n">
        <v>15</v>
      </c>
      <c r="G1359" s="0" t="n">
        <v>28.2</v>
      </c>
      <c r="H1359" s="0" t="n">
        <v>93.25</v>
      </c>
      <c r="I1359" s="0" t="n">
        <v>26.2</v>
      </c>
      <c r="J1359" s="0" t="n">
        <v>86.63</v>
      </c>
      <c r="K1359" s="0" t="n">
        <v>1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93C</t>
        </is>
      </c>
      <c r="X1359" s="0" t="n">
        <v>9</v>
      </c>
      <c r="Y1359" s="0" t="n">
        <v>9</v>
      </c>
      <c r="Z1359" s="0" t="inlineStr">
        <is>
          <t>https://new.land.naver.com/complexes/103775?tab=detail&amp;rf=Y</t>
        </is>
      </c>
      <c r="AA1359" s="0" t="inlineStr">
        <is>
          <t>인천시 남동구 만수동 1-162</t>
        </is>
      </c>
      <c r="AB1359" s="0" t="inlineStr">
        <is>
          <t>인천시</t>
        </is>
      </c>
      <c r="AC1359" s="0" t="inlineStr">
        <is>
          <t>남동구</t>
        </is>
      </c>
      <c r="AD1359" s="0" t="inlineStr">
        <is>
          <t>만수동</t>
        </is>
      </c>
      <c r="AG1359" s="0" t="inlineStr">
        <is>
          <t>인천시 남동구 만수로 116</t>
        </is>
      </c>
      <c r="AH1359" s="0" t="n">
        <v>0</v>
      </c>
      <c r="AI1359" s="0" t="n">
        <v>381</v>
      </c>
      <c r="AJ1359" s="0" t="n">
        <v>66</v>
      </c>
      <c r="AK1359" s="0" t="n">
        <v>18</v>
      </c>
      <c r="AL1359" s="0" t="n">
        <v>1.2</v>
      </c>
    </row>
    <row r="1360">
      <c r="A1360" s="0" t="inlineStr">
        <is>
          <t>[만수동]</t>
        </is>
      </c>
      <c r="B1360" s="0" t="n">
        <v>103775</v>
      </c>
      <c r="C1360" s="0" t="n">
        <v>6</v>
      </c>
      <c r="D1360" s="0" t="inlineStr">
        <is>
          <t>동양</t>
        </is>
      </c>
      <c r="E1360" s="0" t="inlineStr">
        <is>
          <t>2000.02.</t>
        </is>
      </c>
      <c r="F1360" s="0" t="n">
        <v>15</v>
      </c>
      <c r="G1360" s="0" t="n">
        <v>30.47</v>
      </c>
      <c r="H1360" s="0" t="n">
        <v>100.75</v>
      </c>
      <c r="I1360" s="0" t="n">
        <v>25.26</v>
      </c>
      <c r="J1360" s="0" t="n">
        <v>83.53</v>
      </c>
      <c r="K1360" s="0" t="n">
        <v>5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100</v>
      </c>
      <c r="X1360" s="0" t="n">
        <v>9</v>
      </c>
      <c r="Y1360" s="0" t="n">
        <v>9</v>
      </c>
      <c r="Z1360" s="0" t="inlineStr">
        <is>
          <t>https://new.land.naver.com/complexes/103775?tab=detail&amp;rf=Y</t>
        </is>
      </c>
      <c r="AA1360" s="0" t="inlineStr">
        <is>
          <t>인천시 남동구 만수동 1-162</t>
        </is>
      </c>
      <c r="AB1360" s="0" t="inlineStr">
        <is>
          <t>인천시</t>
        </is>
      </c>
      <c r="AC1360" s="0" t="inlineStr">
        <is>
          <t>남동구</t>
        </is>
      </c>
      <c r="AD1360" s="0" t="inlineStr">
        <is>
          <t>만수동</t>
        </is>
      </c>
      <c r="AG1360" s="0" t="inlineStr">
        <is>
          <t>인천시 남동구 만수로 116</t>
        </is>
      </c>
      <c r="AH1360" s="0" t="n">
        <v>0</v>
      </c>
      <c r="AI1360" s="0" t="n">
        <v>381</v>
      </c>
      <c r="AJ1360" s="0" t="n">
        <v>66</v>
      </c>
      <c r="AK1360" s="0" t="n">
        <v>18</v>
      </c>
      <c r="AL1360" s="0" t="n">
        <v>1.2</v>
      </c>
    </row>
    <row r="1361">
      <c r="A1361" s="0" t="inlineStr">
        <is>
          <t>[만수동]</t>
        </is>
      </c>
      <c r="B1361" s="0" t="n">
        <v>9017</v>
      </c>
      <c r="C1361" s="0" t="n">
        <v>1</v>
      </c>
      <c r="D1361" s="0" t="inlineStr">
        <is>
          <t>공작(1079-2)</t>
        </is>
      </c>
      <c r="E1361" s="0" t="inlineStr">
        <is>
          <t>1988.11.</t>
        </is>
      </c>
      <c r="F1361" s="0" t="n">
        <v>99</v>
      </c>
      <c r="G1361" s="0" t="n">
        <v>15.29</v>
      </c>
      <c r="H1361" s="0" t="n">
        <v>50.56</v>
      </c>
      <c r="I1361" s="0" t="n">
        <v>11.44</v>
      </c>
      <c r="J1361" s="0" t="n">
        <v>37.83</v>
      </c>
      <c r="K1361" s="0" t="n">
        <v>48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50</v>
      </c>
      <c r="X1361" s="0" t="n">
        <v>6</v>
      </c>
      <c r="Y1361" s="0" t="n">
        <v>5</v>
      </c>
      <c r="Z1361" s="0" t="inlineStr">
        <is>
          <t>https://new.land.naver.com/complexes/9017?tab=detail&amp;rf=Y</t>
        </is>
      </c>
      <c r="AA1361" s="0" t="inlineStr">
        <is>
          <t>인천시 남동구 만수동 1079-2</t>
        </is>
      </c>
      <c r="AB1361" s="0" t="inlineStr">
        <is>
          <t>인천시</t>
        </is>
      </c>
      <c r="AC1361" s="0" t="inlineStr">
        <is>
          <t>남동구</t>
        </is>
      </c>
      <c r="AD1361" s="0" t="inlineStr">
        <is>
          <t>만수동</t>
        </is>
      </c>
      <c r="AG1361" s="0" t="inlineStr">
        <is>
          <t>인천시 남동구 장승로 20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[만수동]</t>
        </is>
      </c>
      <c r="B1362" s="0" t="n">
        <v>9017</v>
      </c>
      <c r="C1362" s="0" t="n">
        <v>2</v>
      </c>
      <c r="D1362" s="0" t="inlineStr">
        <is>
          <t>공작(1079-2)</t>
        </is>
      </c>
      <c r="E1362" s="0" t="inlineStr">
        <is>
          <t>1988.11.</t>
        </is>
      </c>
      <c r="F1362" s="0" t="n">
        <v>99</v>
      </c>
      <c r="G1362" s="0" t="n">
        <v>18.74</v>
      </c>
      <c r="H1362" s="0" t="n">
        <v>61.98</v>
      </c>
      <c r="I1362" s="0" t="n">
        <v>13.97</v>
      </c>
      <c r="J1362" s="0" t="n">
        <v>46.2</v>
      </c>
      <c r="K1362" s="0" t="n">
        <v>10</v>
      </c>
      <c r="T1362" s="0" t="n">
        <v>2</v>
      </c>
      <c r="U1362" s="0" t="n">
        <v>1</v>
      </c>
      <c r="V1362" s="0" t="inlineStr">
        <is>
          <t>계단식</t>
        </is>
      </c>
      <c r="W1362" s="0" t="inlineStr">
        <is>
          <t>61A</t>
        </is>
      </c>
      <c r="X1362" s="0" t="n">
        <v>6</v>
      </c>
      <c r="Y1362" s="0" t="n">
        <v>5</v>
      </c>
      <c r="Z1362" s="0" t="inlineStr">
        <is>
          <t>https://new.land.naver.com/complexes/9017?tab=detail&amp;rf=Y</t>
        </is>
      </c>
      <c r="AA1362" s="0" t="inlineStr">
        <is>
          <t>인천시 남동구 만수동 1079-2</t>
        </is>
      </c>
      <c r="AB1362" s="0" t="inlineStr">
        <is>
          <t>인천시</t>
        </is>
      </c>
      <c r="AC1362" s="0" t="inlineStr">
        <is>
          <t>남동구</t>
        </is>
      </c>
      <c r="AD1362" s="0" t="inlineStr">
        <is>
          <t>만수동</t>
        </is>
      </c>
      <c r="AG1362" s="0" t="inlineStr">
        <is>
          <t>인천시 남동구 장승로 20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[만수동]</t>
        </is>
      </c>
      <c r="B1363" s="0" t="n">
        <v>9017</v>
      </c>
      <c r="C1363" s="0" t="n">
        <v>3</v>
      </c>
      <c r="D1363" s="0" t="inlineStr">
        <is>
          <t>공작(1079-2)</t>
        </is>
      </c>
      <c r="E1363" s="0" t="inlineStr">
        <is>
          <t>1988.11.</t>
        </is>
      </c>
      <c r="F1363" s="0" t="n">
        <v>99</v>
      </c>
      <c r="G1363" s="0" t="n">
        <v>19.47</v>
      </c>
      <c r="H1363" s="0" t="n">
        <v>64.38</v>
      </c>
      <c r="I1363" s="0" t="n">
        <v>15.13</v>
      </c>
      <c r="J1363" s="0" t="n">
        <v>50.02</v>
      </c>
      <c r="K1363" s="0" t="n">
        <v>24</v>
      </c>
      <c r="T1363" s="0" t="n">
        <v>3</v>
      </c>
      <c r="U1363" s="0" t="n">
        <v>1</v>
      </c>
      <c r="V1363" s="0" t="inlineStr">
        <is>
          <t>계단식</t>
        </is>
      </c>
      <c r="W1363" s="0" t="inlineStr">
        <is>
          <t>64B</t>
        </is>
      </c>
      <c r="X1363" s="0" t="n">
        <v>6</v>
      </c>
      <c r="Y1363" s="0" t="n">
        <v>5</v>
      </c>
      <c r="Z1363" s="0" t="inlineStr">
        <is>
          <t>https://new.land.naver.com/complexes/9017?tab=detail&amp;rf=Y</t>
        </is>
      </c>
      <c r="AA1363" s="0" t="inlineStr">
        <is>
          <t>인천시 남동구 만수동 1079-2</t>
        </is>
      </c>
      <c r="AB1363" s="0" t="inlineStr">
        <is>
          <t>인천시</t>
        </is>
      </c>
      <c r="AC1363" s="0" t="inlineStr">
        <is>
          <t>남동구</t>
        </is>
      </c>
      <c r="AD1363" s="0" t="inlineStr">
        <is>
          <t>만수동</t>
        </is>
      </c>
      <c r="AG1363" s="0" t="inlineStr">
        <is>
          <t>인천시 남동구 장승로 20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[만수동]</t>
        </is>
      </c>
      <c r="B1364" s="0" t="n">
        <v>9017</v>
      </c>
      <c r="C1364" s="0" t="n">
        <v>4</v>
      </c>
      <c r="D1364" s="0" t="inlineStr">
        <is>
          <t>공작(1079-2)</t>
        </is>
      </c>
      <c r="E1364" s="0" t="inlineStr">
        <is>
          <t>1988.11.</t>
        </is>
      </c>
      <c r="F1364" s="0" t="n">
        <v>99</v>
      </c>
      <c r="G1364" s="0" t="n">
        <v>19.45</v>
      </c>
      <c r="H1364" s="0" t="n">
        <v>64.31999999999999</v>
      </c>
      <c r="I1364" s="0" t="n">
        <v>15.04</v>
      </c>
      <c r="J1364" s="0" t="n">
        <v>49.72</v>
      </c>
      <c r="K1364" s="0" t="n">
        <v>12</v>
      </c>
      <c r="T1364" s="0" t="n">
        <v>2</v>
      </c>
      <c r="U1364" s="0" t="n">
        <v>1</v>
      </c>
      <c r="V1364" s="0" t="inlineStr">
        <is>
          <t>계단식</t>
        </is>
      </c>
      <c r="W1364" s="0" t="inlineStr">
        <is>
          <t>64C</t>
        </is>
      </c>
      <c r="X1364" s="0" t="n">
        <v>6</v>
      </c>
      <c r="Y1364" s="0" t="n">
        <v>5</v>
      </c>
      <c r="Z1364" s="0" t="inlineStr">
        <is>
          <t>https://new.land.naver.com/complexes/9017?tab=detail&amp;rf=Y</t>
        </is>
      </c>
      <c r="AA1364" s="0" t="inlineStr">
        <is>
          <t>인천시 남동구 만수동 1079-2</t>
        </is>
      </c>
      <c r="AB1364" s="0" t="inlineStr">
        <is>
          <t>인천시</t>
        </is>
      </c>
      <c r="AC1364" s="0" t="inlineStr">
        <is>
          <t>남동구</t>
        </is>
      </c>
      <c r="AD1364" s="0" t="inlineStr">
        <is>
          <t>만수동</t>
        </is>
      </c>
      <c r="AG1364" s="0" t="inlineStr">
        <is>
          <t>인천시 남동구 장승로 20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[만수동]</t>
        </is>
      </c>
      <c r="B1365" s="0" t="n">
        <v>9017</v>
      </c>
      <c r="C1365" s="0" t="n">
        <v>5</v>
      </c>
      <c r="D1365" s="0" t="inlineStr">
        <is>
          <t>공작(1079-2)</t>
        </is>
      </c>
      <c r="E1365" s="0" t="inlineStr">
        <is>
          <t>1988.11.</t>
        </is>
      </c>
      <c r="F1365" s="0" t="n">
        <v>99</v>
      </c>
      <c r="G1365" s="0" t="n">
        <v>22.03</v>
      </c>
      <c r="H1365" s="0" t="n">
        <v>72.84999999999999</v>
      </c>
      <c r="I1365" s="0" t="n">
        <v>15.12</v>
      </c>
      <c r="J1365" s="0" t="n">
        <v>50.01</v>
      </c>
      <c r="K1365" s="0" t="n">
        <v>5</v>
      </c>
      <c r="T1365" s="0" t="n">
        <v>3</v>
      </c>
      <c r="U1365" s="0" t="n">
        <v>1</v>
      </c>
      <c r="V1365" s="0" t="inlineStr">
        <is>
          <t>계단식</t>
        </is>
      </c>
      <c r="W1365" s="0" t="n">
        <v>72</v>
      </c>
      <c r="X1365" s="0" t="n">
        <v>6</v>
      </c>
      <c r="Y1365" s="0" t="n">
        <v>5</v>
      </c>
      <c r="Z1365" s="0" t="inlineStr">
        <is>
          <t>https://new.land.naver.com/complexes/9017?tab=detail&amp;rf=Y</t>
        </is>
      </c>
      <c r="AA1365" s="0" t="inlineStr">
        <is>
          <t>인천시 남동구 만수동 1079-2</t>
        </is>
      </c>
      <c r="AB1365" s="0" t="inlineStr">
        <is>
          <t>인천시</t>
        </is>
      </c>
      <c r="AC1365" s="0" t="inlineStr">
        <is>
          <t>남동구</t>
        </is>
      </c>
      <c r="AD1365" s="0" t="inlineStr">
        <is>
          <t>만수동</t>
        </is>
      </c>
      <c r="AG1365" s="0" t="inlineStr">
        <is>
          <t>인천시 남동구 장승로 20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[만수동]</t>
        </is>
      </c>
      <c r="B1366" s="0" t="n">
        <v>8844</v>
      </c>
      <c r="C1366" s="0" t="n">
        <v>1</v>
      </c>
      <c r="D1366" s="0" t="inlineStr">
        <is>
          <t>만수주공11단지</t>
        </is>
      </c>
      <c r="E1366" s="0" t="inlineStr">
        <is>
          <t>1997.11.</t>
        </is>
      </c>
      <c r="F1366" s="0" t="n">
        <v>902</v>
      </c>
      <c r="G1366" s="0" t="n">
        <v>17.32</v>
      </c>
      <c r="H1366" s="0" t="n">
        <v>57.28</v>
      </c>
      <c r="I1366" s="0" t="n">
        <v>11.92</v>
      </c>
      <c r="J1366" s="0" t="n">
        <v>39.41</v>
      </c>
      <c r="K1366" s="0" t="n">
        <v>119</v>
      </c>
      <c r="T1366" s="0" t="n">
        <v>2</v>
      </c>
      <c r="U1366" s="0" t="n">
        <v>1</v>
      </c>
      <c r="V1366" s="0" t="inlineStr">
        <is>
          <t>계단식</t>
        </is>
      </c>
      <c r="W1366" s="0" t="n">
        <v>57</v>
      </c>
      <c r="X1366" s="0" t="n">
        <v>20</v>
      </c>
      <c r="Y1366" s="0" t="n">
        <v>12</v>
      </c>
      <c r="Z1366" s="0" t="inlineStr">
        <is>
          <t>https://new.land.naver.com/complexes/8844?tab=detail&amp;rf=Y</t>
        </is>
      </c>
      <c r="AA1366" s="0" t="inlineStr">
        <is>
          <t>인천시 남동구 만수동 1113</t>
        </is>
      </c>
      <c r="AB1366" s="0" t="inlineStr">
        <is>
          <t>인천시</t>
        </is>
      </c>
      <c r="AC1366" s="0" t="inlineStr">
        <is>
          <t>남동구</t>
        </is>
      </c>
      <c r="AD1366" s="0" t="inlineStr">
        <is>
          <t>만수동</t>
        </is>
      </c>
      <c r="AG1366" s="0" t="inlineStr">
        <is>
          <t>인천시 남동구 만수서로105번길 40-18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[만수동]</t>
        </is>
      </c>
      <c r="B1367" s="0" t="n">
        <v>8844</v>
      </c>
      <c r="C1367" s="0" t="n">
        <v>2</v>
      </c>
      <c r="D1367" s="0" t="inlineStr">
        <is>
          <t>만수주공11단지</t>
        </is>
      </c>
      <c r="E1367" s="0" t="inlineStr">
        <is>
          <t>1997.11.</t>
        </is>
      </c>
      <c r="F1367" s="0" t="n">
        <v>902</v>
      </c>
      <c r="G1367" s="0" t="n">
        <v>20.36</v>
      </c>
      <c r="H1367" s="0" t="n">
        <v>67.31</v>
      </c>
      <c r="I1367" s="0" t="n">
        <v>15.01</v>
      </c>
      <c r="J1367" s="0" t="n">
        <v>49.65</v>
      </c>
      <c r="K1367" s="0" t="n">
        <v>243</v>
      </c>
      <c r="T1367" s="0" t="n">
        <v>2</v>
      </c>
      <c r="U1367" s="0" t="n">
        <v>1</v>
      </c>
      <c r="V1367" s="0" t="inlineStr">
        <is>
          <t>계단식</t>
        </is>
      </c>
      <c r="W1367" s="0" t="n">
        <v>67</v>
      </c>
      <c r="X1367" s="0" t="n">
        <v>20</v>
      </c>
      <c r="Y1367" s="0" t="n">
        <v>12</v>
      </c>
      <c r="Z1367" s="0" t="inlineStr">
        <is>
          <t>https://new.land.naver.com/complexes/8844?tab=detail&amp;rf=Y</t>
        </is>
      </c>
      <c r="AA1367" s="0" t="inlineStr">
        <is>
          <t>인천시 남동구 만수동 1113</t>
        </is>
      </c>
      <c r="AB1367" s="0" t="inlineStr">
        <is>
          <t>인천시</t>
        </is>
      </c>
      <c r="AC1367" s="0" t="inlineStr">
        <is>
          <t>남동구</t>
        </is>
      </c>
      <c r="AD1367" s="0" t="inlineStr">
        <is>
          <t>만수동</t>
        </is>
      </c>
      <c r="AG1367" s="0" t="inlineStr">
        <is>
          <t>인천시 남동구 만수서로105번길 40-18</t>
        </is>
      </c>
      <c r="AH1367" s="0" t="n">
        <v>0</v>
      </c>
      <c r="AI1367" s="0" t="n">
        <v>0</v>
      </c>
      <c r="AJ1367" s="0" t="n">
        <v>0</v>
      </c>
      <c r="AK1367" s="0" t="n">
        <v>0</v>
      </c>
      <c r="AL1367" s="0" t="n">
        <v>0</v>
      </c>
    </row>
    <row r="1368">
      <c r="A1368" s="0" t="inlineStr">
        <is>
          <t>[만수동]</t>
        </is>
      </c>
      <c r="B1368" s="0" t="n">
        <v>8844</v>
      </c>
      <c r="C1368" s="0" t="n">
        <v>3</v>
      </c>
      <c r="D1368" s="0" t="inlineStr">
        <is>
          <t>만수주공11단지</t>
        </is>
      </c>
      <c r="E1368" s="0" t="inlineStr">
        <is>
          <t>1997.11.</t>
        </is>
      </c>
      <c r="F1368" s="0" t="n">
        <v>902</v>
      </c>
      <c r="G1368" s="0" t="n">
        <v>22.97</v>
      </c>
      <c r="H1368" s="0" t="n">
        <v>75.95999999999999</v>
      </c>
      <c r="I1368" s="0" t="n">
        <v>18.13</v>
      </c>
      <c r="J1368" s="0" t="n">
        <v>59.96</v>
      </c>
      <c r="K1368" s="0" t="n">
        <v>180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75</v>
      </c>
      <c r="X1368" s="0" t="n">
        <v>20</v>
      </c>
      <c r="Y1368" s="0" t="n">
        <v>12</v>
      </c>
      <c r="Z1368" s="0" t="inlineStr">
        <is>
          <t>https://new.land.naver.com/complexes/8844?tab=detail&amp;rf=Y</t>
        </is>
      </c>
      <c r="AA1368" s="0" t="inlineStr">
        <is>
          <t>인천시 남동구 만수동 1113</t>
        </is>
      </c>
      <c r="AB1368" s="0" t="inlineStr">
        <is>
          <t>인천시</t>
        </is>
      </c>
      <c r="AC1368" s="0" t="inlineStr">
        <is>
          <t>남동구</t>
        </is>
      </c>
      <c r="AD1368" s="0" t="inlineStr">
        <is>
          <t>만수동</t>
        </is>
      </c>
      <c r="AG1368" s="0" t="inlineStr">
        <is>
          <t>인천시 남동구 만수서로105번길 40-18</t>
        </is>
      </c>
      <c r="AH1368" s="0" t="n">
        <v>0</v>
      </c>
      <c r="AI1368" s="0" t="n">
        <v>0</v>
      </c>
      <c r="AJ1368" s="0" t="n">
        <v>0</v>
      </c>
      <c r="AK1368" s="0" t="n">
        <v>0</v>
      </c>
      <c r="AL1368" s="0" t="n">
        <v>0</v>
      </c>
    </row>
    <row r="1369">
      <c r="A1369" s="0" t="inlineStr">
        <is>
          <t>[만수동]</t>
        </is>
      </c>
      <c r="B1369" s="0" t="n">
        <v>8844</v>
      </c>
      <c r="C1369" s="0" t="n">
        <v>4</v>
      </c>
      <c r="D1369" s="0" t="inlineStr">
        <is>
          <t>만수주공11단지</t>
        </is>
      </c>
      <c r="E1369" s="0" t="inlineStr">
        <is>
          <t>1997.11.</t>
        </is>
      </c>
      <c r="F1369" s="0" t="n">
        <v>902</v>
      </c>
      <c r="G1369" s="0" t="n">
        <v>24.02</v>
      </c>
      <c r="H1369" s="0" t="n">
        <v>79.42</v>
      </c>
      <c r="I1369" s="0" t="n">
        <v>18.14</v>
      </c>
      <c r="J1369" s="0" t="n">
        <v>59.99</v>
      </c>
      <c r="K1369" s="0" t="n">
        <v>160</v>
      </c>
      <c r="T1369" s="0" t="n">
        <v>3</v>
      </c>
      <c r="U1369" s="0" t="n">
        <v>1</v>
      </c>
      <c r="V1369" s="0" t="inlineStr">
        <is>
          <t>계단식</t>
        </is>
      </c>
      <c r="W1369" s="0" t="n">
        <v>79</v>
      </c>
      <c r="X1369" s="0" t="n">
        <v>20</v>
      </c>
      <c r="Y1369" s="0" t="n">
        <v>12</v>
      </c>
      <c r="Z1369" s="0" t="inlineStr">
        <is>
          <t>https://new.land.naver.com/complexes/8844?tab=detail&amp;rf=Y</t>
        </is>
      </c>
      <c r="AA1369" s="0" t="inlineStr">
        <is>
          <t>인천시 남동구 만수동 1113</t>
        </is>
      </c>
      <c r="AB1369" s="0" t="inlineStr">
        <is>
          <t>인천시</t>
        </is>
      </c>
      <c r="AC1369" s="0" t="inlineStr">
        <is>
          <t>남동구</t>
        </is>
      </c>
      <c r="AD1369" s="0" t="inlineStr">
        <is>
          <t>만수동</t>
        </is>
      </c>
      <c r="AG1369" s="0" t="inlineStr">
        <is>
          <t>인천시 남동구 만수서로105번길 40-18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[만수동]</t>
        </is>
      </c>
      <c r="B1370" s="0" t="n">
        <v>8844</v>
      </c>
      <c r="C1370" s="0" t="n">
        <v>5</v>
      </c>
      <c r="D1370" s="0" t="inlineStr">
        <is>
          <t>만수주공11단지</t>
        </is>
      </c>
      <c r="E1370" s="0" t="inlineStr">
        <is>
          <t>1997.11.</t>
        </is>
      </c>
      <c r="F1370" s="0" t="n">
        <v>902</v>
      </c>
      <c r="G1370" s="0" t="n">
        <v>30.94</v>
      </c>
      <c r="H1370" s="0" t="n">
        <v>102.3</v>
      </c>
      <c r="I1370" s="0" t="n">
        <v>25.68</v>
      </c>
      <c r="J1370" s="0" t="n">
        <v>84.90000000000001</v>
      </c>
      <c r="K1370" s="0" t="n">
        <v>120</v>
      </c>
      <c r="T1370" s="0" t="n">
        <v>3</v>
      </c>
      <c r="U1370" s="0" t="n">
        <v>2</v>
      </c>
      <c r="V1370" s="0" t="inlineStr">
        <is>
          <t>복합식</t>
        </is>
      </c>
      <c r="W1370" s="0" t="n">
        <v>102</v>
      </c>
      <c r="X1370" s="0" t="n">
        <v>20</v>
      </c>
      <c r="Y1370" s="0" t="n">
        <v>12</v>
      </c>
      <c r="Z1370" s="0" t="inlineStr">
        <is>
          <t>https://new.land.naver.com/complexes/8844?tab=detail&amp;rf=Y</t>
        </is>
      </c>
      <c r="AA1370" s="0" t="inlineStr">
        <is>
          <t>인천시 남동구 만수동 1113</t>
        </is>
      </c>
      <c r="AB1370" s="0" t="inlineStr">
        <is>
          <t>인천시</t>
        </is>
      </c>
      <c r="AC1370" s="0" t="inlineStr">
        <is>
          <t>남동구</t>
        </is>
      </c>
      <c r="AD1370" s="0" t="inlineStr">
        <is>
          <t>만수동</t>
        </is>
      </c>
      <c r="AG1370" s="0" t="inlineStr">
        <is>
          <t>인천시 남동구 만수서로105번길 40-18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[만수동]</t>
        </is>
      </c>
      <c r="B1371" s="0" t="n">
        <v>8844</v>
      </c>
      <c r="C1371" s="0" t="n">
        <v>6</v>
      </c>
      <c r="D1371" s="0" t="inlineStr">
        <is>
          <t>만수주공11단지</t>
        </is>
      </c>
      <c r="E1371" s="0" t="inlineStr">
        <is>
          <t>1997.11.</t>
        </is>
      </c>
      <c r="F1371" s="0" t="n">
        <v>902</v>
      </c>
      <c r="G1371" s="0" t="n">
        <v>31.99</v>
      </c>
      <c r="H1371" s="0" t="n">
        <v>105.77</v>
      </c>
      <c r="I1371" s="0" t="n">
        <v>25.65</v>
      </c>
      <c r="J1371" s="0" t="n">
        <v>84.8</v>
      </c>
      <c r="K1371" s="0" t="n">
        <v>80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105</v>
      </c>
      <c r="X1371" s="0" t="n">
        <v>20</v>
      </c>
      <c r="Y1371" s="0" t="n">
        <v>12</v>
      </c>
      <c r="Z1371" s="0" t="inlineStr">
        <is>
          <t>https://new.land.naver.com/complexes/8844?tab=detail&amp;rf=Y</t>
        </is>
      </c>
      <c r="AA1371" s="0" t="inlineStr">
        <is>
          <t>인천시 남동구 만수동 1113</t>
        </is>
      </c>
      <c r="AB1371" s="0" t="inlineStr">
        <is>
          <t>인천시</t>
        </is>
      </c>
      <c r="AC1371" s="0" t="inlineStr">
        <is>
          <t>남동구</t>
        </is>
      </c>
      <c r="AD1371" s="0" t="inlineStr">
        <is>
          <t>만수동</t>
        </is>
      </c>
      <c r="AG1371" s="0" t="inlineStr">
        <is>
          <t>인천시 남동구 만수서로105번길 40-18</t>
        </is>
      </c>
      <c r="AH1371" s="0" t="n">
        <v>0</v>
      </c>
      <c r="AI1371" s="0" t="n">
        <v>0</v>
      </c>
      <c r="AJ1371" s="0" t="n">
        <v>0</v>
      </c>
      <c r="AK1371" s="0" t="n">
        <v>0</v>
      </c>
      <c r="AL1371" s="0" t="n">
        <v>0</v>
      </c>
    </row>
    <row r="1372">
      <c r="A1372" s="0" t="inlineStr">
        <is>
          <t>[만수동]</t>
        </is>
      </c>
      <c r="B1372" s="0" t="n">
        <v>102297</v>
      </c>
      <c r="C1372" s="0" t="n">
        <v>1</v>
      </c>
      <c r="D1372" s="0" t="inlineStr">
        <is>
          <t>삼익플라주</t>
        </is>
      </c>
      <c r="E1372" s="0" t="inlineStr">
        <is>
          <t>2008.10.</t>
        </is>
      </c>
      <c r="F1372" s="0" t="n">
        <v>69</v>
      </c>
      <c r="G1372" s="0" t="n">
        <v>30.67</v>
      </c>
      <c r="H1372" s="0" t="n">
        <v>101.41</v>
      </c>
      <c r="I1372" s="0" t="n">
        <v>25.7</v>
      </c>
      <c r="J1372" s="0" t="n">
        <v>84.98999999999999</v>
      </c>
      <c r="K1372" s="0" t="n">
        <v>69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101</v>
      </c>
      <c r="X1372" s="0" t="n">
        <v>13</v>
      </c>
      <c r="Y1372" s="0" t="n">
        <v>9</v>
      </c>
      <c r="Z1372" s="0" t="inlineStr">
        <is>
          <t>https://new.land.naver.com/complexes/102297?tab=detail&amp;rf=Y</t>
        </is>
      </c>
      <c r="AA1372" s="0" t="inlineStr">
        <is>
          <t>인천시 남동구 만수동 869-21</t>
        </is>
      </c>
      <c r="AB1372" s="0" t="inlineStr">
        <is>
          <t>인천시</t>
        </is>
      </c>
      <c r="AC1372" s="0" t="inlineStr">
        <is>
          <t>남동구</t>
        </is>
      </c>
      <c r="AD1372" s="0" t="inlineStr">
        <is>
          <t>만수동</t>
        </is>
      </c>
      <c r="AG1372" s="0" t="inlineStr">
        <is>
          <t>인천시 남동구 만수로19번길 20</t>
        </is>
      </c>
      <c r="AH1372" s="0" t="n">
        <v>0</v>
      </c>
      <c r="AI1372" s="0" t="n">
        <v>281</v>
      </c>
      <c r="AJ1372" s="0" t="n">
        <v>25</v>
      </c>
      <c r="AK1372" s="0" t="n">
        <v>72</v>
      </c>
      <c r="AL1372" s="0" t="n">
        <v>1.04</v>
      </c>
    </row>
    <row r="1373">
      <c r="A1373" s="0" t="inlineStr">
        <is>
          <t>[만수동]</t>
        </is>
      </c>
      <c r="B1373" s="0" t="n">
        <v>13969</v>
      </c>
      <c r="C1373" s="0" t="n">
        <v>1</v>
      </c>
      <c r="D1373" s="0" t="inlineStr">
        <is>
          <t>석원</t>
        </is>
      </c>
      <c r="E1373" s="0" t="inlineStr">
        <is>
          <t>2001.06.</t>
        </is>
      </c>
      <c r="F1373" s="0" t="n">
        <v>65</v>
      </c>
      <c r="G1373" s="0" t="n">
        <v>13.14</v>
      </c>
      <c r="H1373" s="0" t="n">
        <v>43.47</v>
      </c>
      <c r="I1373" s="0" t="n">
        <v>11.61</v>
      </c>
      <c r="J1373" s="0" t="n">
        <v>38.4</v>
      </c>
      <c r="K1373" s="0" t="n">
        <v>15</v>
      </c>
      <c r="T1373" s="0" t="n">
        <v>2</v>
      </c>
      <c r="U1373" s="0" t="n">
        <v>1</v>
      </c>
      <c r="V1373" s="0" t="inlineStr">
        <is>
          <t>복합식</t>
        </is>
      </c>
      <c r="W1373" s="0" t="n">
        <v>43</v>
      </c>
      <c r="X1373" s="0" t="n">
        <v>6</v>
      </c>
      <c r="Y1373" s="0" t="n">
        <v>4</v>
      </c>
      <c r="Z1373" s="0" t="inlineStr">
        <is>
          <t>https://new.land.naver.com/complexes/13969?tab=detail&amp;rf=Y</t>
        </is>
      </c>
      <c r="AA1373" s="0" t="inlineStr">
        <is>
          <t>인천시 남동구 만수동 970-6</t>
        </is>
      </c>
      <c r="AB1373" s="0" t="inlineStr">
        <is>
          <t>인천시</t>
        </is>
      </c>
      <c r="AC1373" s="0" t="inlineStr">
        <is>
          <t>남동구</t>
        </is>
      </c>
      <c r="AD1373" s="0" t="inlineStr">
        <is>
          <t>만수동</t>
        </is>
      </c>
      <c r="AG1373" s="0" t="inlineStr">
        <is>
          <t>인천시 남동구 하촌로 48</t>
        </is>
      </c>
      <c r="AH1373" s="0" t="n">
        <v>0</v>
      </c>
      <c r="AI1373" s="0" t="n">
        <v>0</v>
      </c>
      <c r="AJ1373" s="0" t="n">
        <v>0</v>
      </c>
      <c r="AK1373" s="0" t="n">
        <v>25</v>
      </c>
      <c r="AL1373" s="0" t="n">
        <v>0.38</v>
      </c>
    </row>
    <row r="1374">
      <c r="A1374" s="0" t="inlineStr">
        <is>
          <t>[만수동]</t>
        </is>
      </c>
      <c r="B1374" s="0" t="n">
        <v>13969</v>
      </c>
      <c r="C1374" s="0" t="n">
        <v>2</v>
      </c>
      <c r="D1374" s="0" t="inlineStr">
        <is>
          <t>석원</t>
        </is>
      </c>
      <c r="E1374" s="0" t="inlineStr">
        <is>
          <t>2001.06.</t>
        </is>
      </c>
      <c r="F1374" s="0" t="n">
        <v>65</v>
      </c>
      <c r="G1374" s="0" t="n">
        <v>14.14</v>
      </c>
      <c r="H1374" s="0" t="n">
        <v>46.75</v>
      </c>
      <c r="I1374" s="0" t="n">
        <v>12.69</v>
      </c>
      <c r="J1374" s="0" t="n">
        <v>41.96</v>
      </c>
      <c r="K1374" s="0" t="n">
        <v>10</v>
      </c>
      <c r="T1374" s="0" t="n">
        <v>2</v>
      </c>
      <c r="U1374" s="0" t="n">
        <v>1</v>
      </c>
      <c r="V1374" s="0" t="inlineStr">
        <is>
          <t>복합식</t>
        </is>
      </c>
      <c r="W1374" s="0" t="inlineStr">
        <is>
          <t>46B</t>
        </is>
      </c>
      <c r="X1374" s="0" t="n">
        <v>6</v>
      </c>
      <c r="Y1374" s="0" t="n">
        <v>4</v>
      </c>
      <c r="Z1374" s="0" t="inlineStr">
        <is>
          <t>https://new.land.naver.com/complexes/13969?tab=detail&amp;rf=Y</t>
        </is>
      </c>
      <c r="AA1374" s="0" t="inlineStr">
        <is>
          <t>인천시 남동구 만수동 970-6</t>
        </is>
      </c>
      <c r="AB1374" s="0" t="inlineStr">
        <is>
          <t>인천시</t>
        </is>
      </c>
      <c r="AC1374" s="0" t="inlineStr">
        <is>
          <t>남동구</t>
        </is>
      </c>
      <c r="AD1374" s="0" t="inlineStr">
        <is>
          <t>만수동</t>
        </is>
      </c>
      <c r="AG1374" s="0" t="inlineStr">
        <is>
          <t>인천시 남동구 하촌로 48</t>
        </is>
      </c>
      <c r="AH1374" s="0" t="n">
        <v>0</v>
      </c>
      <c r="AI1374" s="0" t="n">
        <v>0</v>
      </c>
      <c r="AJ1374" s="0" t="n">
        <v>0</v>
      </c>
      <c r="AK1374" s="0" t="n">
        <v>25</v>
      </c>
      <c r="AL1374" s="0" t="n">
        <v>0.38</v>
      </c>
    </row>
    <row r="1375">
      <c r="A1375" s="0" t="inlineStr">
        <is>
          <t>[만수동]</t>
        </is>
      </c>
      <c r="B1375" s="0" t="n">
        <v>13969</v>
      </c>
      <c r="C1375" s="0" t="n">
        <v>3</v>
      </c>
      <c r="D1375" s="0" t="inlineStr">
        <is>
          <t>석원</t>
        </is>
      </c>
      <c r="E1375" s="0" t="inlineStr">
        <is>
          <t>2001.06.</t>
        </is>
      </c>
      <c r="F1375" s="0" t="n">
        <v>65</v>
      </c>
      <c r="G1375" s="0" t="n">
        <v>14.02</v>
      </c>
      <c r="H1375" s="0" t="n">
        <v>46.37</v>
      </c>
      <c r="I1375" s="0" t="n">
        <v>10.85</v>
      </c>
      <c r="J1375" s="0" t="n">
        <v>35.87</v>
      </c>
      <c r="K1375" s="0" t="n">
        <v>4</v>
      </c>
      <c r="T1375" s="0" t="n">
        <v>2</v>
      </c>
      <c r="U1375" s="0" t="n">
        <v>1</v>
      </c>
      <c r="V1375" s="0" t="inlineStr">
        <is>
          <t>복합식</t>
        </is>
      </c>
      <c r="W1375" s="0" t="inlineStr">
        <is>
          <t>46A</t>
        </is>
      </c>
      <c r="X1375" s="0" t="n">
        <v>6</v>
      </c>
      <c r="Y1375" s="0" t="n">
        <v>4</v>
      </c>
      <c r="Z1375" s="0" t="inlineStr">
        <is>
          <t>https://new.land.naver.com/complexes/13969?tab=detail&amp;rf=Y</t>
        </is>
      </c>
      <c r="AA1375" s="0" t="inlineStr">
        <is>
          <t>인천시 남동구 만수동 970-6</t>
        </is>
      </c>
      <c r="AB1375" s="0" t="inlineStr">
        <is>
          <t>인천시</t>
        </is>
      </c>
      <c r="AC1375" s="0" t="inlineStr">
        <is>
          <t>남동구</t>
        </is>
      </c>
      <c r="AD1375" s="0" t="inlineStr">
        <is>
          <t>만수동</t>
        </is>
      </c>
      <c r="AG1375" s="0" t="inlineStr">
        <is>
          <t>인천시 남동구 하촌로 48</t>
        </is>
      </c>
      <c r="AH1375" s="0" t="n">
        <v>0</v>
      </c>
      <c r="AI1375" s="0" t="n">
        <v>0</v>
      </c>
      <c r="AJ1375" s="0" t="n">
        <v>0</v>
      </c>
      <c r="AK1375" s="0" t="n">
        <v>25</v>
      </c>
      <c r="AL1375" s="0" t="n">
        <v>0.38</v>
      </c>
    </row>
    <row r="1376">
      <c r="A1376" s="0" t="inlineStr">
        <is>
          <t>[만수동]</t>
        </is>
      </c>
      <c r="B1376" s="0" t="n">
        <v>13969</v>
      </c>
      <c r="C1376" s="0" t="n">
        <v>4</v>
      </c>
      <c r="D1376" s="0" t="inlineStr">
        <is>
          <t>석원</t>
        </is>
      </c>
      <c r="E1376" s="0" t="inlineStr">
        <is>
          <t>2001.06.</t>
        </is>
      </c>
      <c r="F1376" s="0" t="n">
        <v>65</v>
      </c>
      <c r="G1376" s="0" t="n">
        <v>15.42</v>
      </c>
      <c r="H1376" s="0" t="n">
        <v>50.98</v>
      </c>
      <c r="I1376" s="0" t="n">
        <v>13.81</v>
      </c>
      <c r="J1376" s="0" t="n">
        <v>45.67</v>
      </c>
      <c r="K1376" s="0" t="n">
        <v>5</v>
      </c>
      <c r="T1376" s="0" t="n">
        <v>2</v>
      </c>
      <c r="U1376" s="0" t="n">
        <v>1</v>
      </c>
      <c r="V1376" s="0" t="inlineStr">
        <is>
          <t>복합식</t>
        </is>
      </c>
      <c r="W1376" s="0" t="inlineStr">
        <is>
          <t>50A</t>
        </is>
      </c>
      <c r="X1376" s="0" t="n">
        <v>6</v>
      </c>
      <c r="Y1376" s="0" t="n">
        <v>4</v>
      </c>
      <c r="Z1376" s="0" t="inlineStr">
        <is>
          <t>https://new.land.naver.com/complexes/13969?tab=detail&amp;rf=Y</t>
        </is>
      </c>
      <c r="AA1376" s="0" t="inlineStr">
        <is>
          <t>인천시 남동구 만수동 970-6</t>
        </is>
      </c>
      <c r="AB1376" s="0" t="inlineStr">
        <is>
          <t>인천시</t>
        </is>
      </c>
      <c r="AC1376" s="0" t="inlineStr">
        <is>
          <t>남동구</t>
        </is>
      </c>
      <c r="AD1376" s="0" t="inlineStr">
        <is>
          <t>만수동</t>
        </is>
      </c>
      <c r="AG1376" s="0" t="inlineStr">
        <is>
          <t>인천시 남동구 하촌로 48</t>
        </is>
      </c>
      <c r="AH1376" s="0" t="n">
        <v>0</v>
      </c>
      <c r="AI1376" s="0" t="n">
        <v>0</v>
      </c>
      <c r="AJ1376" s="0" t="n">
        <v>0</v>
      </c>
      <c r="AK1376" s="0" t="n">
        <v>25</v>
      </c>
      <c r="AL1376" s="0" t="n">
        <v>0.38</v>
      </c>
    </row>
    <row r="1377">
      <c r="A1377" s="0" t="inlineStr">
        <is>
          <t>[만수동]</t>
        </is>
      </c>
      <c r="B1377" s="0" t="n">
        <v>13969</v>
      </c>
      <c r="C1377" s="0" t="n">
        <v>5</v>
      </c>
      <c r="D1377" s="0" t="inlineStr">
        <is>
          <t>석원</t>
        </is>
      </c>
      <c r="E1377" s="0" t="inlineStr">
        <is>
          <t>2001.06.</t>
        </is>
      </c>
      <c r="F1377" s="0" t="n">
        <v>65</v>
      </c>
      <c r="G1377" s="0" t="n">
        <v>15.45</v>
      </c>
      <c r="H1377" s="0" t="n">
        <v>51.08</v>
      </c>
      <c r="I1377" s="0" t="n">
        <v>13.83</v>
      </c>
      <c r="J1377" s="0" t="n">
        <v>45.73</v>
      </c>
      <c r="K1377" s="0" t="n">
        <v>5</v>
      </c>
      <c r="T1377" s="0" t="n">
        <v>2</v>
      </c>
      <c r="U1377" s="0" t="n">
        <v>1</v>
      </c>
      <c r="V1377" s="0" t="inlineStr">
        <is>
          <t>복합식</t>
        </is>
      </c>
      <c r="W1377" s="0" t="inlineStr">
        <is>
          <t>51B</t>
        </is>
      </c>
      <c r="X1377" s="0" t="n">
        <v>6</v>
      </c>
      <c r="Y1377" s="0" t="n">
        <v>4</v>
      </c>
      <c r="Z1377" s="0" t="inlineStr">
        <is>
          <t>https://new.land.naver.com/complexes/13969?tab=detail&amp;rf=Y</t>
        </is>
      </c>
      <c r="AA1377" s="0" t="inlineStr">
        <is>
          <t>인천시 남동구 만수동 970-6</t>
        </is>
      </c>
      <c r="AB1377" s="0" t="inlineStr">
        <is>
          <t>인천시</t>
        </is>
      </c>
      <c r="AC1377" s="0" t="inlineStr">
        <is>
          <t>남동구</t>
        </is>
      </c>
      <c r="AD1377" s="0" t="inlineStr">
        <is>
          <t>만수동</t>
        </is>
      </c>
      <c r="AG1377" s="0" t="inlineStr">
        <is>
          <t>인천시 남동구 하촌로 48</t>
        </is>
      </c>
      <c r="AH1377" s="0" t="n">
        <v>0</v>
      </c>
      <c r="AI1377" s="0" t="n">
        <v>0</v>
      </c>
      <c r="AJ1377" s="0" t="n">
        <v>0</v>
      </c>
      <c r="AK1377" s="0" t="n">
        <v>25</v>
      </c>
      <c r="AL1377" s="0" t="n">
        <v>0.38</v>
      </c>
    </row>
    <row r="1378">
      <c r="A1378" s="0" t="inlineStr">
        <is>
          <t>[만수동]</t>
        </is>
      </c>
      <c r="B1378" s="0" t="n">
        <v>13969</v>
      </c>
      <c r="C1378" s="0" t="n">
        <v>6</v>
      </c>
      <c r="D1378" s="0" t="inlineStr">
        <is>
          <t>석원</t>
        </is>
      </c>
      <c r="E1378" s="0" t="inlineStr">
        <is>
          <t>2001.06.</t>
        </is>
      </c>
      <c r="F1378" s="0" t="n">
        <v>65</v>
      </c>
      <c r="G1378" s="0" t="n">
        <v>19.71</v>
      </c>
      <c r="H1378" s="0" t="n">
        <v>65.16</v>
      </c>
      <c r="I1378" s="0" t="n">
        <v>18.09</v>
      </c>
      <c r="J1378" s="0" t="n">
        <v>59.83</v>
      </c>
      <c r="K1378" s="0" t="n">
        <v>10</v>
      </c>
      <c r="T1378" s="0" t="n">
        <v>3</v>
      </c>
      <c r="U1378" s="0" t="n">
        <v>1</v>
      </c>
      <c r="V1378" s="0" t="inlineStr">
        <is>
          <t>계단식</t>
        </is>
      </c>
      <c r="W1378" s="0" t="inlineStr">
        <is>
          <t>65B</t>
        </is>
      </c>
      <c r="X1378" s="0" t="n">
        <v>6</v>
      </c>
      <c r="Y1378" s="0" t="n">
        <v>4</v>
      </c>
      <c r="Z1378" s="0" t="inlineStr">
        <is>
          <t>https://new.land.naver.com/complexes/13969?tab=detail&amp;rf=Y</t>
        </is>
      </c>
      <c r="AA1378" s="0" t="inlineStr">
        <is>
          <t>인천시 남동구 만수동 970-6</t>
        </is>
      </c>
      <c r="AB1378" s="0" t="inlineStr">
        <is>
          <t>인천시</t>
        </is>
      </c>
      <c r="AC1378" s="0" t="inlineStr">
        <is>
          <t>남동구</t>
        </is>
      </c>
      <c r="AD1378" s="0" t="inlineStr">
        <is>
          <t>만수동</t>
        </is>
      </c>
      <c r="AG1378" s="0" t="inlineStr">
        <is>
          <t>인천시 남동구 하촌로 48</t>
        </is>
      </c>
      <c r="AH1378" s="0" t="n">
        <v>0</v>
      </c>
      <c r="AI1378" s="0" t="n">
        <v>0</v>
      </c>
      <c r="AJ1378" s="0" t="n">
        <v>0</v>
      </c>
      <c r="AK1378" s="0" t="n">
        <v>25</v>
      </c>
      <c r="AL1378" s="0" t="n">
        <v>0.38</v>
      </c>
    </row>
    <row r="1379">
      <c r="A1379" s="0" t="inlineStr">
        <is>
          <t>[만수동]</t>
        </is>
      </c>
      <c r="B1379" s="0" t="n">
        <v>13969</v>
      </c>
      <c r="C1379" s="0" t="n">
        <v>7</v>
      </c>
      <c r="D1379" s="0" t="inlineStr">
        <is>
          <t>석원</t>
        </is>
      </c>
      <c r="E1379" s="0" t="inlineStr">
        <is>
          <t>2001.06.</t>
        </is>
      </c>
      <c r="F1379" s="0" t="n">
        <v>65</v>
      </c>
      <c r="G1379" s="0" t="n">
        <v>19.87</v>
      </c>
      <c r="H1379" s="0" t="n">
        <v>65.69</v>
      </c>
      <c r="I1379" s="0" t="n">
        <v>17.78</v>
      </c>
      <c r="J1379" s="0" t="n">
        <v>58.8</v>
      </c>
      <c r="K1379" s="0" t="n">
        <v>8</v>
      </c>
      <c r="T1379" s="0" t="n">
        <v>3</v>
      </c>
      <c r="U1379" s="0" t="n">
        <v>1</v>
      </c>
      <c r="V1379" s="0" t="inlineStr">
        <is>
          <t>계단식</t>
        </is>
      </c>
      <c r="W1379" s="0" t="inlineStr">
        <is>
          <t>65A</t>
        </is>
      </c>
      <c r="X1379" s="0" t="n">
        <v>6</v>
      </c>
      <c r="Y1379" s="0" t="n">
        <v>4</v>
      </c>
      <c r="Z1379" s="0" t="inlineStr">
        <is>
          <t>https://new.land.naver.com/complexes/13969?tab=detail&amp;rf=Y</t>
        </is>
      </c>
      <c r="AA1379" s="0" t="inlineStr">
        <is>
          <t>인천시 남동구 만수동 970-6</t>
        </is>
      </c>
      <c r="AB1379" s="0" t="inlineStr">
        <is>
          <t>인천시</t>
        </is>
      </c>
      <c r="AC1379" s="0" t="inlineStr">
        <is>
          <t>남동구</t>
        </is>
      </c>
      <c r="AD1379" s="0" t="inlineStr">
        <is>
          <t>만수동</t>
        </is>
      </c>
      <c r="AG1379" s="0" t="inlineStr">
        <is>
          <t>인천시 남동구 하촌로 48</t>
        </is>
      </c>
      <c r="AH1379" s="0" t="n">
        <v>0</v>
      </c>
      <c r="AI1379" s="0" t="n">
        <v>0</v>
      </c>
      <c r="AJ1379" s="0" t="n">
        <v>0</v>
      </c>
      <c r="AK1379" s="0" t="n">
        <v>25</v>
      </c>
      <c r="AL1379" s="0" t="n">
        <v>0.38</v>
      </c>
    </row>
    <row r="1380">
      <c r="A1380" s="0" t="inlineStr">
        <is>
          <t>[만수동]</t>
        </is>
      </c>
      <c r="B1380" s="0" t="n">
        <v>13969</v>
      </c>
      <c r="C1380" s="0" t="n">
        <v>8</v>
      </c>
      <c r="D1380" s="0" t="inlineStr">
        <is>
          <t>석원</t>
        </is>
      </c>
      <c r="E1380" s="0" t="inlineStr">
        <is>
          <t>2001.06.</t>
        </is>
      </c>
      <c r="F1380" s="0" t="n">
        <v>65</v>
      </c>
      <c r="G1380" s="0" t="n">
        <v>20.22</v>
      </c>
      <c r="H1380" s="0" t="n">
        <v>66.84999999999999</v>
      </c>
      <c r="I1380" s="0" t="n">
        <v>18.14</v>
      </c>
      <c r="J1380" s="0" t="n">
        <v>59.97</v>
      </c>
      <c r="K1380" s="0" t="n">
        <v>8</v>
      </c>
      <c r="T1380" s="0" t="n">
        <v>3</v>
      </c>
      <c r="U1380" s="0" t="n">
        <v>2</v>
      </c>
      <c r="V1380" s="0" t="inlineStr">
        <is>
          <t>계단식</t>
        </is>
      </c>
      <c r="W1380" s="0" t="inlineStr">
        <is>
          <t>66C</t>
        </is>
      </c>
      <c r="X1380" s="0" t="n">
        <v>6</v>
      </c>
      <c r="Y1380" s="0" t="n">
        <v>4</v>
      </c>
      <c r="Z1380" s="0" t="inlineStr">
        <is>
          <t>https://new.land.naver.com/complexes/13969?tab=detail&amp;rf=Y</t>
        </is>
      </c>
      <c r="AA1380" s="0" t="inlineStr">
        <is>
          <t>인천시 남동구 만수동 970-6</t>
        </is>
      </c>
      <c r="AB1380" s="0" t="inlineStr">
        <is>
          <t>인천시</t>
        </is>
      </c>
      <c r="AC1380" s="0" t="inlineStr">
        <is>
          <t>남동구</t>
        </is>
      </c>
      <c r="AD1380" s="0" t="inlineStr">
        <is>
          <t>만수동</t>
        </is>
      </c>
      <c r="AG1380" s="0" t="inlineStr">
        <is>
          <t>인천시 남동구 하촌로 48</t>
        </is>
      </c>
      <c r="AH1380" s="0" t="n">
        <v>0</v>
      </c>
      <c r="AI1380" s="0" t="n">
        <v>0</v>
      </c>
      <c r="AJ1380" s="0" t="n">
        <v>0</v>
      </c>
      <c r="AK1380" s="0" t="n">
        <v>25</v>
      </c>
      <c r="AL1380" s="0" t="n">
        <v>0.38</v>
      </c>
    </row>
    <row r="1381">
      <c r="A1381" s="0" t="inlineStr">
        <is>
          <t>[만수동]</t>
        </is>
      </c>
      <c r="B1381" s="0" t="n">
        <v>128187</v>
      </c>
      <c r="C1381" s="0" t="n">
        <v>1</v>
      </c>
      <c r="D1381" s="0" t="inlineStr">
        <is>
          <t>힐센트리움</t>
        </is>
      </c>
      <c r="E1381" s="0" t="inlineStr">
        <is>
          <t>2019.05.</t>
        </is>
      </c>
      <c r="F1381" s="0" t="n">
        <v>7</v>
      </c>
      <c r="G1381" s="0" t="n">
        <v>20.22</v>
      </c>
      <c r="H1381" s="0" t="n">
        <v>66.86</v>
      </c>
      <c r="I1381" s="0" t="n">
        <v>15.62</v>
      </c>
      <c r="J1381" s="0" t="n">
        <v>51.65</v>
      </c>
      <c r="K1381" s="0" t="n">
        <v>2</v>
      </c>
      <c r="T1381" s="0" t="n">
        <v>3</v>
      </c>
      <c r="U1381" s="0" t="n">
        <v>1</v>
      </c>
      <c r="V1381" s="0" t="inlineStr">
        <is>
          <t>계단식</t>
        </is>
      </c>
      <c r="W1381" s="0" t="n">
        <v>66</v>
      </c>
      <c r="X1381" s="0" t="n">
        <v>9</v>
      </c>
      <c r="Y1381" s="0" t="n">
        <v>9</v>
      </c>
      <c r="Z1381" s="0" t="inlineStr">
        <is>
          <t>https://new.land.naver.com/complexes/128187?tab=detail&amp;rf=Y</t>
        </is>
      </c>
      <c r="AA1381" s="0" t="inlineStr">
        <is>
          <t>인천시 남동구 만수동 910-3</t>
        </is>
      </c>
      <c r="AB1381" s="0" t="inlineStr">
        <is>
          <t>인천시</t>
        </is>
      </c>
      <c r="AC1381" s="0" t="inlineStr">
        <is>
          <t>남동구</t>
        </is>
      </c>
      <c r="AD1381" s="0" t="inlineStr">
        <is>
          <t>만수동</t>
        </is>
      </c>
      <c r="AG1381" s="0" t="inlineStr">
        <is>
          <t>인천시 남동구 구월로 306</t>
        </is>
      </c>
      <c r="AH1381" s="0" t="n">
        <v>0</v>
      </c>
      <c r="AI1381" s="0" t="n">
        <v>490</v>
      </c>
      <c r="AJ1381" s="0" t="n">
        <v>624</v>
      </c>
      <c r="AK1381" s="0" t="n">
        <v>6</v>
      </c>
      <c r="AL1381" s="0" t="n">
        <v>0.86</v>
      </c>
    </row>
    <row r="1382">
      <c r="A1382" s="0" t="inlineStr">
        <is>
          <t>[만수동]</t>
        </is>
      </c>
      <c r="B1382" s="0" t="n">
        <v>128187</v>
      </c>
      <c r="C1382" s="0" t="n">
        <v>2</v>
      </c>
      <c r="D1382" s="0" t="inlineStr">
        <is>
          <t>힐센트리움</t>
        </is>
      </c>
      <c r="E1382" s="0" t="inlineStr">
        <is>
          <t>2019.05.</t>
        </is>
      </c>
      <c r="F1382" s="0" t="n">
        <v>7</v>
      </c>
      <c r="G1382" s="0" t="n">
        <v>21.46</v>
      </c>
      <c r="H1382" s="0" t="n">
        <v>70.95999999999999</v>
      </c>
      <c r="I1382" s="0" t="n">
        <v>16.52</v>
      </c>
      <c r="J1382" s="0" t="n">
        <v>54.63</v>
      </c>
      <c r="K1382" s="0" t="n">
        <v>1</v>
      </c>
      <c r="T1382" s="0" t="n">
        <v>3</v>
      </c>
      <c r="U1382" s="0" t="n">
        <v>1</v>
      </c>
      <c r="V1382" s="0" t="inlineStr">
        <is>
          <t>계단식</t>
        </is>
      </c>
      <c r="W1382" s="0" t="n">
        <v>70</v>
      </c>
      <c r="X1382" s="0" t="n">
        <v>9</v>
      </c>
      <c r="Y1382" s="0" t="n">
        <v>9</v>
      </c>
      <c r="Z1382" s="0" t="inlineStr">
        <is>
          <t>https://new.land.naver.com/complexes/128187?tab=detail&amp;rf=Y</t>
        </is>
      </c>
      <c r="AA1382" s="0" t="inlineStr">
        <is>
          <t>인천시 남동구 만수동 910-3</t>
        </is>
      </c>
      <c r="AB1382" s="0" t="inlineStr">
        <is>
          <t>인천시</t>
        </is>
      </c>
      <c r="AC1382" s="0" t="inlineStr">
        <is>
          <t>남동구</t>
        </is>
      </c>
      <c r="AD1382" s="0" t="inlineStr">
        <is>
          <t>만수동</t>
        </is>
      </c>
      <c r="AG1382" s="0" t="inlineStr">
        <is>
          <t>인천시 남동구 구월로 306</t>
        </is>
      </c>
      <c r="AH1382" s="0" t="n">
        <v>0</v>
      </c>
      <c r="AI1382" s="0" t="n">
        <v>490</v>
      </c>
      <c r="AJ1382" s="0" t="n">
        <v>624</v>
      </c>
      <c r="AK1382" s="0" t="n">
        <v>6</v>
      </c>
      <c r="AL1382" s="0" t="n">
        <v>0.86</v>
      </c>
    </row>
    <row r="1383">
      <c r="A1383" s="0" t="inlineStr">
        <is>
          <t>[만수동]</t>
        </is>
      </c>
      <c r="B1383" s="0" t="n">
        <v>128187</v>
      </c>
      <c r="C1383" s="0" t="n">
        <v>3</v>
      </c>
      <c r="D1383" s="0" t="inlineStr">
        <is>
          <t>힐센트리움</t>
        </is>
      </c>
      <c r="E1383" s="0" t="inlineStr">
        <is>
          <t>2019.05.</t>
        </is>
      </c>
      <c r="F1383" s="0" t="n">
        <v>7</v>
      </c>
      <c r="G1383" s="0" t="n">
        <v>21.53</v>
      </c>
      <c r="H1383" s="0" t="n">
        <v>71.19</v>
      </c>
      <c r="I1383" s="0" t="n">
        <v>16.84</v>
      </c>
      <c r="J1383" s="0" t="n">
        <v>55.69</v>
      </c>
      <c r="K1383" s="0" t="n">
        <v>2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71A</t>
        </is>
      </c>
      <c r="X1383" s="0" t="n">
        <v>9</v>
      </c>
      <c r="Y1383" s="0" t="n">
        <v>9</v>
      </c>
      <c r="Z1383" s="0" t="inlineStr">
        <is>
          <t>https://new.land.naver.com/complexes/128187?tab=detail&amp;rf=Y</t>
        </is>
      </c>
      <c r="AA1383" s="0" t="inlineStr">
        <is>
          <t>인천시 남동구 만수동 910-3</t>
        </is>
      </c>
      <c r="AB1383" s="0" t="inlineStr">
        <is>
          <t>인천시</t>
        </is>
      </c>
      <c r="AC1383" s="0" t="inlineStr">
        <is>
          <t>남동구</t>
        </is>
      </c>
      <c r="AD1383" s="0" t="inlineStr">
        <is>
          <t>만수동</t>
        </is>
      </c>
      <c r="AG1383" s="0" t="inlineStr">
        <is>
          <t>인천시 남동구 구월로 306</t>
        </is>
      </c>
      <c r="AH1383" s="0" t="n">
        <v>0</v>
      </c>
      <c r="AI1383" s="0" t="n">
        <v>490</v>
      </c>
      <c r="AJ1383" s="0" t="n">
        <v>624</v>
      </c>
      <c r="AK1383" s="0" t="n">
        <v>6</v>
      </c>
      <c r="AL1383" s="0" t="n">
        <v>0.86</v>
      </c>
    </row>
    <row r="1384">
      <c r="A1384" s="0" t="inlineStr">
        <is>
          <t>[만수동]</t>
        </is>
      </c>
      <c r="B1384" s="0" t="n">
        <v>128187</v>
      </c>
      <c r="C1384" s="0" t="n">
        <v>4</v>
      </c>
      <c r="D1384" s="0" t="inlineStr">
        <is>
          <t>힐센트리움</t>
        </is>
      </c>
      <c r="E1384" s="0" t="inlineStr">
        <is>
          <t>2019.05.</t>
        </is>
      </c>
      <c r="F1384" s="0" t="n">
        <v>7</v>
      </c>
      <c r="G1384" s="0" t="n">
        <v>21.97</v>
      </c>
      <c r="H1384" s="0" t="n">
        <v>72.64</v>
      </c>
      <c r="I1384" s="0" t="n">
        <v>17.15</v>
      </c>
      <c r="J1384" s="0" t="n">
        <v>56.71</v>
      </c>
      <c r="K1384" s="0" t="n">
        <v>1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72B</t>
        </is>
      </c>
      <c r="X1384" s="0" t="n">
        <v>9</v>
      </c>
      <c r="Y1384" s="0" t="n">
        <v>9</v>
      </c>
      <c r="Z1384" s="0" t="inlineStr">
        <is>
          <t>https://new.land.naver.com/complexes/128187?tab=detail&amp;rf=Y</t>
        </is>
      </c>
      <c r="AA1384" s="0" t="inlineStr">
        <is>
          <t>인천시 남동구 만수동 910-3</t>
        </is>
      </c>
      <c r="AB1384" s="0" t="inlineStr">
        <is>
          <t>인천시</t>
        </is>
      </c>
      <c r="AC1384" s="0" t="inlineStr">
        <is>
          <t>남동구</t>
        </is>
      </c>
      <c r="AD1384" s="0" t="inlineStr">
        <is>
          <t>만수동</t>
        </is>
      </c>
      <c r="AG1384" s="0" t="inlineStr">
        <is>
          <t>인천시 남동구 구월로 306</t>
        </is>
      </c>
      <c r="AH1384" s="0" t="n">
        <v>0</v>
      </c>
      <c r="AI1384" s="0" t="n">
        <v>490</v>
      </c>
      <c r="AJ1384" s="0" t="n">
        <v>624</v>
      </c>
      <c r="AK1384" s="0" t="n">
        <v>6</v>
      </c>
      <c r="AL1384" s="0" t="n">
        <v>0.86</v>
      </c>
    </row>
    <row r="1385">
      <c r="A1385" s="0" t="inlineStr">
        <is>
          <t>[만수동]</t>
        </is>
      </c>
      <c r="B1385" s="0" t="n">
        <v>128187</v>
      </c>
      <c r="C1385" s="0" t="n">
        <v>5</v>
      </c>
      <c r="D1385" s="0" t="inlineStr">
        <is>
          <t>힐센트리움</t>
        </is>
      </c>
      <c r="E1385" s="0" t="inlineStr">
        <is>
          <t>2019.05.</t>
        </is>
      </c>
      <c r="F1385" s="0" t="n">
        <v>7</v>
      </c>
      <c r="G1385" s="0" t="n">
        <v>22.6</v>
      </c>
      <c r="H1385" s="0" t="n">
        <v>74.72</v>
      </c>
      <c r="I1385" s="0" t="n">
        <v>17.38</v>
      </c>
      <c r="J1385" s="0" t="n">
        <v>57.48</v>
      </c>
      <c r="K1385" s="0" t="n">
        <v>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74</v>
      </c>
      <c r="X1385" s="0" t="n">
        <v>9</v>
      </c>
      <c r="Y1385" s="0" t="n">
        <v>9</v>
      </c>
      <c r="Z1385" s="0" t="inlineStr">
        <is>
          <t>https://new.land.naver.com/complexes/128187?tab=detail&amp;rf=Y</t>
        </is>
      </c>
      <c r="AA1385" s="0" t="inlineStr">
        <is>
          <t>인천시 남동구 만수동 910-3</t>
        </is>
      </c>
      <c r="AB1385" s="0" t="inlineStr">
        <is>
          <t>인천시</t>
        </is>
      </c>
      <c r="AC1385" s="0" t="inlineStr">
        <is>
          <t>남동구</t>
        </is>
      </c>
      <c r="AD1385" s="0" t="inlineStr">
        <is>
          <t>만수동</t>
        </is>
      </c>
      <c r="AG1385" s="0" t="inlineStr">
        <is>
          <t>인천시 남동구 구월로 306</t>
        </is>
      </c>
      <c r="AH1385" s="0" t="n">
        <v>0</v>
      </c>
      <c r="AI1385" s="0" t="n">
        <v>490</v>
      </c>
      <c r="AJ1385" s="0" t="n">
        <v>624</v>
      </c>
      <c r="AK1385" s="0" t="n">
        <v>6</v>
      </c>
      <c r="AL1385" s="0" t="n">
        <v>0.86</v>
      </c>
    </row>
    <row r="1386">
      <c r="A1386" s="0" t="inlineStr">
        <is>
          <t>[만수동]</t>
        </is>
      </c>
      <c r="B1386" s="0" t="n">
        <v>8816</v>
      </c>
      <c r="C1386" s="0" t="n">
        <v>1</v>
      </c>
      <c r="D1386" s="0" t="inlineStr">
        <is>
          <t>햇빛마을벽산</t>
        </is>
      </c>
      <c r="E1386" s="0" t="inlineStr">
        <is>
          <t>2000.05.</t>
        </is>
      </c>
      <c r="F1386" s="0" t="n">
        <v>2073</v>
      </c>
      <c r="G1386" s="0" t="n">
        <v>24.55</v>
      </c>
      <c r="H1386" s="0" t="n">
        <v>81.17</v>
      </c>
      <c r="I1386" s="0" t="n">
        <v>18.08</v>
      </c>
      <c r="J1386" s="0" t="n">
        <v>59.8</v>
      </c>
      <c r="K1386" s="0" t="n">
        <v>638</v>
      </c>
      <c r="T1386" s="0" t="n">
        <v>3</v>
      </c>
      <c r="U1386" s="0" t="n">
        <v>1</v>
      </c>
      <c r="V1386" s="0" t="inlineStr">
        <is>
          <t>계단식</t>
        </is>
      </c>
      <c r="W1386" s="0" t="n">
        <v>81</v>
      </c>
      <c r="X1386" s="0" t="n">
        <v>25</v>
      </c>
      <c r="Y1386" s="0" t="n">
        <v>15</v>
      </c>
      <c r="Z1386" s="0" t="inlineStr">
        <is>
          <t>https://new.land.naver.com/complexes/8816?tab=detail&amp;rf=Y</t>
        </is>
      </c>
      <c r="AA1386" s="0" t="inlineStr">
        <is>
          <t>인천시 남동구 만수동 1114</t>
        </is>
      </c>
      <c r="AB1386" s="0" t="inlineStr">
        <is>
          <t>인천시</t>
        </is>
      </c>
      <c r="AC1386" s="0" t="inlineStr">
        <is>
          <t>남동구</t>
        </is>
      </c>
      <c r="AD1386" s="0" t="inlineStr">
        <is>
          <t>만수동</t>
        </is>
      </c>
      <c r="AG1386" s="0" t="inlineStr">
        <is>
          <t>인천시 남동구 호구포로 924</t>
        </is>
      </c>
      <c r="AH1386" s="0" t="n">
        <v>0</v>
      </c>
      <c r="AI1386" s="0" t="n">
        <v>343</v>
      </c>
      <c r="AJ1386" s="0" t="n">
        <v>24</v>
      </c>
      <c r="AK1386" s="0" t="n">
        <v>2270</v>
      </c>
      <c r="AL1386" s="0" t="n">
        <v>1.1</v>
      </c>
    </row>
    <row r="1387">
      <c r="A1387" s="0" t="inlineStr">
        <is>
          <t>[만수동]</t>
        </is>
      </c>
      <c r="B1387" s="0" t="n">
        <v>8816</v>
      </c>
      <c r="C1387" s="0" t="n">
        <v>2</v>
      </c>
      <c r="D1387" s="0" t="inlineStr">
        <is>
          <t>햇빛마을벽산</t>
        </is>
      </c>
      <c r="E1387" s="0" t="inlineStr">
        <is>
          <t>2000.05.</t>
        </is>
      </c>
      <c r="F1387" s="0" t="n">
        <v>2073</v>
      </c>
      <c r="G1387" s="0" t="n">
        <v>33.02</v>
      </c>
      <c r="H1387" s="0" t="n">
        <v>109.18</v>
      </c>
      <c r="I1387" s="0" t="n">
        <v>25.69</v>
      </c>
      <c r="J1387" s="0" t="n">
        <v>84.93000000000001</v>
      </c>
      <c r="K1387" s="0" t="n">
        <v>1435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109</v>
      </c>
      <c r="X1387" s="0" t="n">
        <v>25</v>
      </c>
      <c r="Y1387" s="0" t="n">
        <v>15</v>
      </c>
      <c r="Z1387" s="0" t="inlineStr">
        <is>
          <t>https://new.land.naver.com/complexes/8816?tab=detail&amp;rf=Y</t>
        </is>
      </c>
      <c r="AA1387" s="0" t="inlineStr">
        <is>
          <t>인천시 남동구 만수동 1114</t>
        </is>
      </c>
      <c r="AB1387" s="0" t="inlineStr">
        <is>
          <t>인천시</t>
        </is>
      </c>
      <c r="AC1387" s="0" t="inlineStr">
        <is>
          <t>남동구</t>
        </is>
      </c>
      <c r="AD1387" s="0" t="inlineStr">
        <is>
          <t>만수동</t>
        </is>
      </c>
      <c r="AG1387" s="0" t="inlineStr">
        <is>
          <t>인천시 남동구 호구포로 924</t>
        </is>
      </c>
      <c r="AH1387" s="0" t="n">
        <v>0</v>
      </c>
      <c r="AI1387" s="0" t="n">
        <v>343</v>
      </c>
      <c r="AJ1387" s="0" t="n">
        <v>24</v>
      </c>
      <c r="AK1387" s="0" t="n">
        <v>2270</v>
      </c>
      <c r="AL1387" s="0" t="n">
        <v>1.1</v>
      </c>
    </row>
    <row r="1388">
      <c r="A1388" s="0" t="inlineStr">
        <is>
          <t>[만수동]</t>
        </is>
      </c>
      <c r="B1388" s="0" t="n">
        <v>23898</v>
      </c>
      <c r="C1388" s="0" t="n">
        <v>1</v>
      </c>
      <c r="D1388" s="0" t="inlineStr">
        <is>
          <t>햇님마을인평스페스힐</t>
        </is>
      </c>
      <c r="E1388" s="0" t="inlineStr">
        <is>
          <t>2005.01.</t>
        </is>
      </c>
      <c r="F1388" s="0" t="n">
        <v>64</v>
      </c>
      <c r="G1388" s="0" t="n">
        <v>22.07</v>
      </c>
      <c r="H1388" s="0" t="n">
        <v>72.97</v>
      </c>
      <c r="I1388" s="0" t="n">
        <v>16.28</v>
      </c>
      <c r="J1388" s="0" t="n">
        <v>53.85</v>
      </c>
      <c r="K1388" s="0" t="n">
        <v>1</v>
      </c>
      <c r="T1388" s="0" t="n">
        <v>3</v>
      </c>
      <c r="U1388" s="0" t="n">
        <v>1</v>
      </c>
      <c r="V1388" s="0" t="inlineStr">
        <is>
          <t>복합식</t>
        </is>
      </c>
      <c r="W1388" s="0" t="n">
        <v>72</v>
      </c>
      <c r="X1388" s="0" t="n">
        <v>10</v>
      </c>
      <c r="Y1388" s="0" t="n">
        <v>5</v>
      </c>
      <c r="Z1388" s="0" t="inlineStr">
        <is>
          <t>https://new.land.naver.com/complexes/23898?tab=detail&amp;rf=Y</t>
        </is>
      </c>
      <c r="AA1388" s="0" t="inlineStr">
        <is>
          <t>인천시 남동구 만수동 869</t>
        </is>
      </c>
      <c r="AB1388" s="0" t="inlineStr">
        <is>
          <t>인천시</t>
        </is>
      </c>
      <c r="AC1388" s="0" t="inlineStr">
        <is>
          <t>남동구</t>
        </is>
      </c>
      <c r="AD1388" s="0" t="inlineStr">
        <is>
          <t>만수동</t>
        </is>
      </c>
      <c r="AG1388" s="0" t="inlineStr">
        <is>
          <t>인천시 남동구 만수로27번길 15</t>
        </is>
      </c>
      <c r="AH1388" s="0" t="n">
        <v>0</v>
      </c>
      <c r="AI1388" s="0" t="n">
        <v>0</v>
      </c>
      <c r="AJ1388" s="0" t="n">
        <v>0</v>
      </c>
      <c r="AK1388" s="0" t="n">
        <v>64</v>
      </c>
      <c r="AL1388" s="0" t="n">
        <v>1</v>
      </c>
    </row>
    <row r="1389">
      <c r="A1389" s="0" t="inlineStr">
        <is>
          <t>[만수동]</t>
        </is>
      </c>
      <c r="B1389" s="0" t="n">
        <v>23898</v>
      </c>
      <c r="C1389" s="0" t="n">
        <v>2</v>
      </c>
      <c r="D1389" s="0" t="inlineStr">
        <is>
          <t>햇님마을인평스페스힐</t>
        </is>
      </c>
      <c r="E1389" s="0" t="inlineStr">
        <is>
          <t>2005.01.</t>
        </is>
      </c>
      <c r="F1389" s="0" t="n">
        <v>64</v>
      </c>
      <c r="G1389" s="0" t="n">
        <v>23.96</v>
      </c>
      <c r="H1389" s="0" t="n">
        <v>79.22</v>
      </c>
      <c r="I1389" s="0" t="n">
        <v>18.38</v>
      </c>
      <c r="J1389" s="0" t="n">
        <v>60.78</v>
      </c>
      <c r="K1389" s="0" t="n">
        <v>1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79A</t>
        </is>
      </c>
      <c r="X1389" s="0" t="n">
        <v>10</v>
      </c>
      <c r="Y1389" s="0" t="n">
        <v>5</v>
      </c>
      <c r="Z1389" s="0" t="inlineStr">
        <is>
          <t>https://new.land.naver.com/complexes/23898?tab=detail&amp;rf=Y</t>
        </is>
      </c>
      <c r="AA1389" s="0" t="inlineStr">
        <is>
          <t>인천시 남동구 만수동 869</t>
        </is>
      </c>
      <c r="AB1389" s="0" t="inlineStr">
        <is>
          <t>인천시</t>
        </is>
      </c>
      <c r="AC1389" s="0" t="inlineStr">
        <is>
          <t>남동구</t>
        </is>
      </c>
      <c r="AD1389" s="0" t="inlineStr">
        <is>
          <t>만수동</t>
        </is>
      </c>
      <c r="AG1389" s="0" t="inlineStr">
        <is>
          <t>인천시 남동구 만수로27번길 15</t>
        </is>
      </c>
      <c r="AH1389" s="0" t="n">
        <v>0</v>
      </c>
      <c r="AI1389" s="0" t="n">
        <v>0</v>
      </c>
      <c r="AJ1389" s="0" t="n">
        <v>0</v>
      </c>
      <c r="AK1389" s="0" t="n">
        <v>64</v>
      </c>
      <c r="AL1389" s="0" t="n">
        <v>1</v>
      </c>
    </row>
    <row r="1390">
      <c r="A1390" s="0" t="inlineStr">
        <is>
          <t>[만수동]</t>
        </is>
      </c>
      <c r="B1390" s="0" t="n">
        <v>23898</v>
      </c>
      <c r="C1390" s="0" t="n">
        <v>3</v>
      </c>
      <c r="D1390" s="0" t="inlineStr">
        <is>
          <t>햇님마을인평스페스힐</t>
        </is>
      </c>
      <c r="E1390" s="0" t="inlineStr">
        <is>
          <t>2005.01.</t>
        </is>
      </c>
      <c r="F1390" s="0" t="n">
        <v>64</v>
      </c>
      <c r="G1390" s="0" t="n">
        <v>24.44</v>
      </c>
      <c r="H1390" s="0" t="n">
        <v>80.81</v>
      </c>
      <c r="I1390" s="0" t="n">
        <v>19.01</v>
      </c>
      <c r="J1390" s="0" t="n">
        <v>62.87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80B</t>
        </is>
      </c>
      <c r="X1390" s="0" t="n">
        <v>10</v>
      </c>
      <c r="Y1390" s="0" t="n">
        <v>5</v>
      </c>
      <c r="Z1390" s="0" t="inlineStr">
        <is>
          <t>https://new.land.naver.com/complexes/23898?tab=detail&amp;rf=Y</t>
        </is>
      </c>
      <c r="AA1390" s="0" t="inlineStr">
        <is>
          <t>인천시 남동구 만수동 869</t>
        </is>
      </c>
      <c r="AB1390" s="0" t="inlineStr">
        <is>
          <t>인천시</t>
        </is>
      </c>
      <c r="AC1390" s="0" t="inlineStr">
        <is>
          <t>남동구</t>
        </is>
      </c>
      <c r="AD1390" s="0" t="inlineStr">
        <is>
          <t>만수동</t>
        </is>
      </c>
      <c r="AG1390" s="0" t="inlineStr">
        <is>
          <t>인천시 남동구 만수로27번길 15</t>
        </is>
      </c>
      <c r="AH1390" s="0" t="n">
        <v>0</v>
      </c>
      <c r="AI1390" s="0" t="n">
        <v>0</v>
      </c>
      <c r="AJ1390" s="0" t="n">
        <v>0</v>
      </c>
      <c r="AK1390" s="0" t="n">
        <v>64</v>
      </c>
      <c r="AL1390" s="0" t="n">
        <v>1</v>
      </c>
    </row>
    <row r="1391">
      <c r="A1391" s="0" t="inlineStr">
        <is>
          <t>[만수동]</t>
        </is>
      </c>
      <c r="B1391" s="0" t="n">
        <v>23898</v>
      </c>
      <c r="C1391" s="0" t="n">
        <v>4</v>
      </c>
      <c r="D1391" s="0" t="inlineStr">
        <is>
          <t>햇님마을인평스페스힐</t>
        </is>
      </c>
      <c r="E1391" s="0" t="inlineStr">
        <is>
          <t>2005.01.</t>
        </is>
      </c>
      <c r="F1391" s="0" t="n">
        <v>64</v>
      </c>
      <c r="G1391" s="0" t="n">
        <v>25</v>
      </c>
      <c r="H1391" s="0" t="n">
        <v>82.65000000000001</v>
      </c>
      <c r="I1391" s="0" t="n">
        <v>19.32</v>
      </c>
      <c r="J1391" s="0" t="n">
        <v>63.88</v>
      </c>
      <c r="K1391" s="0" t="n">
        <v>1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82</v>
      </c>
      <c r="X1391" s="0" t="n">
        <v>10</v>
      </c>
      <c r="Y1391" s="0" t="n">
        <v>5</v>
      </c>
      <c r="Z1391" s="0" t="inlineStr">
        <is>
          <t>https://new.land.naver.com/complexes/23898?tab=detail&amp;rf=Y</t>
        </is>
      </c>
      <c r="AA1391" s="0" t="inlineStr">
        <is>
          <t>인천시 남동구 만수동 869</t>
        </is>
      </c>
      <c r="AB1391" s="0" t="inlineStr">
        <is>
          <t>인천시</t>
        </is>
      </c>
      <c r="AC1391" s="0" t="inlineStr">
        <is>
          <t>남동구</t>
        </is>
      </c>
      <c r="AD1391" s="0" t="inlineStr">
        <is>
          <t>만수동</t>
        </is>
      </c>
      <c r="AG1391" s="0" t="inlineStr">
        <is>
          <t>인천시 남동구 만수로27번길 15</t>
        </is>
      </c>
      <c r="AH1391" s="0" t="n">
        <v>0</v>
      </c>
      <c r="AI1391" s="0" t="n">
        <v>0</v>
      </c>
      <c r="AJ1391" s="0" t="n">
        <v>0</v>
      </c>
      <c r="AK1391" s="0" t="n">
        <v>64</v>
      </c>
      <c r="AL1391" s="0" t="n">
        <v>1</v>
      </c>
    </row>
    <row r="1392">
      <c r="A1392" s="0" t="inlineStr">
        <is>
          <t>[만수동]</t>
        </is>
      </c>
      <c r="B1392" s="0" t="n">
        <v>23898</v>
      </c>
      <c r="C1392" s="0" t="n">
        <v>5</v>
      </c>
      <c r="D1392" s="0" t="inlineStr">
        <is>
          <t>햇님마을인평스페스힐</t>
        </is>
      </c>
      <c r="E1392" s="0" t="inlineStr">
        <is>
          <t>2005.01.</t>
        </is>
      </c>
      <c r="F1392" s="0" t="n">
        <v>64</v>
      </c>
      <c r="G1392" s="0" t="n">
        <v>25.72</v>
      </c>
      <c r="H1392" s="0" t="n">
        <v>85.03</v>
      </c>
      <c r="I1392" s="0" t="n">
        <v>20.02</v>
      </c>
      <c r="J1392" s="0" t="n">
        <v>66.19</v>
      </c>
      <c r="K1392" s="0" t="n">
        <v>1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85</v>
      </c>
      <c r="X1392" s="0" t="n">
        <v>10</v>
      </c>
      <c r="Y1392" s="0" t="n">
        <v>5</v>
      </c>
      <c r="Z1392" s="0" t="inlineStr">
        <is>
          <t>https://new.land.naver.com/complexes/23898?tab=detail&amp;rf=Y</t>
        </is>
      </c>
      <c r="AA1392" s="0" t="inlineStr">
        <is>
          <t>인천시 남동구 만수동 869</t>
        </is>
      </c>
      <c r="AB1392" s="0" t="inlineStr">
        <is>
          <t>인천시</t>
        </is>
      </c>
      <c r="AC1392" s="0" t="inlineStr">
        <is>
          <t>남동구</t>
        </is>
      </c>
      <c r="AD1392" s="0" t="inlineStr">
        <is>
          <t>만수동</t>
        </is>
      </c>
      <c r="AG1392" s="0" t="inlineStr">
        <is>
          <t>인천시 남동구 만수로27번길 15</t>
        </is>
      </c>
      <c r="AH1392" s="0" t="n">
        <v>0</v>
      </c>
      <c r="AI1392" s="0" t="n">
        <v>0</v>
      </c>
      <c r="AJ1392" s="0" t="n">
        <v>0</v>
      </c>
      <c r="AK1392" s="0" t="n">
        <v>64</v>
      </c>
      <c r="AL1392" s="0" t="n">
        <v>1</v>
      </c>
    </row>
    <row r="1393">
      <c r="A1393" s="0" t="inlineStr">
        <is>
          <t>[만수동]</t>
        </is>
      </c>
      <c r="B1393" s="0" t="n">
        <v>23898</v>
      </c>
      <c r="C1393" s="0" t="n">
        <v>6</v>
      </c>
      <c r="D1393" s="0" t="inlineStr">
        <is>
          <t>햇님마을인평스페스힐</t>
        </is>
      </c>
      <c r="E1393" s="0" t="inlineStr">
        <is>
          <t>2005.01.</t>
        </is>
      </c>
      <c r="F1393" s="0" t="n">
        <v>64</v>
      </c>
      <c r="G1393" s="0" t="n">
        <v>26.6</v>
      </c>
      <c r="H1393" s="0" t="n">
        <v>87.95999999999999</v>
      </c>
      <c r="I1393" s="0" t="n">
        <v>21.11</v>
      </c>
      <c r="J1393" s="0" t="n">
        <v>69.8</v>
      </c>
      <c r="K1393" s="0" t="n">
        <v>5</v>
      </c>
      <c r="T1393" s="0" t="n">
        <v>3</v>
      </c>
      <c r="U1393" s="0" t="n">
        <v>1</v>
      </c>
      <c r="V1393" s="0" t="inlineStr">
        <is>
          <t>계단식</t>
        </is>
      </c>
      <c r="W1393" s="0" t="inlineStr">
        <is>
          <t>87A</t>
        </is>
      </c>
      <c r="X1393" s="0" t="n">
        <v>10</v>
      </c>
      <c r="Y1393" s="0" t="n">
        <v>5</v>
      </c>
      <c r="Z1393" s="0" t="inlineStr">
        <is>
          <t>https://new.land.naver.com/complexes/23898?tab=detail&amp;rf=Y</t>
        </is>
      </c>
      <c r="AA1393" s="0" t="inlineStr">
        <is>
          <t>인천시 남동구 만수동 869</t>
        </is>
      </c>
      <c r="AB1393" s="0" t="inlineStr">
        <is>
          <t>인천시</t>
        </is>
      </c>
      <c r="AC1393" s="0" t="inlineStr">
        <is>
          <t>남동구</t>
        </is>
      </c>
      <c r="AD1393" s="0" t="inlineStr">
        <is>
          <t>만수동</t>
        </is>
      </c>
      <c r="AG1393" s="0" t="inlineStr">
        <is>
          <t>인천시 남동구 만수로27번길 15</t>
        </is>
      </c>
      <c r="AH1393" s="0" t="n">
        <v>0</v>
      </c>
      <c r="AI1393" s="0" t="n">
        <v>0</v>
      </c>
      <c r="AJ1393" s="0" t="n">
        <v>0</v>
      </c>
      <c r="AK1393" s="0" t="n">
        <v>64</v>
      </c>
      <c r="AL1393" s="0" t="n">
        <v>1</v>
      </c>
    </row>
    <row r="1394">
      <c r="A1394" s="0" t="inlineStr">
        <is>
          <t>[만수동]</t>
        </is>
      </c>
      <c r="B1394" s="0" t="n">
        <v>23898</v>
      </c>
      <c r="C1394" s="0" t="n">
        <v>7</v>
      </c>
      <c r="D1394" s="0" t="inlineStr">
        <is>
          <t>햇님마을인평스페스힐</t>
        </is>
      </c>
      <c r="E1394" s="0" t="inlineStr">
        <is>
          <t>2005.01.</t>
        </is>
      </c>
      <c r="F1394" s="0" t="n">
        <v>64</v>
      </c>
      <c r="G1394" s="0" t="n">
        <v>27.34</v>
      </c>
      <c r="H1394" s="0" t="n">
        <v>90.39</v>
      </c>
      <c r="I1394" s="0" t="n">
        <v>21.46</v>
      </c>
      <c r="J1394" s="0" t="n">
        <v>70.97</v>
      </c>
      <c r="K1394" s="0" t="n">
        <v>8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90B</t>
        </is>
      </c>
      <c r="X1394" s="0" t="n">
        <v>10</v>
      </c>
      <c r="Y1394" s="0" t="n">
        <v>5</v>
      </c>
      <c r="Z1394" s="0" t="inlineStr">
        <is>
          <t>https://new.land.naver.com/complexes/23898?tab=detail&amp;rf=Y</t>
        </is>
      </c>
      <c r="AA1394" s="0" t="inlineStr">
        <is>
          <t>인천시 남동구 만수동 869</t>
        </is>
      </c>
      <c r="AB1394" s="0" t="inlineStr">
        <is>
          <t>인천시</t>
        </is>
      </c>
      <c r="AC1394" s="0" t="inlineStr">
        <is>
          <t>남동구</t>
        </is>
      </c>
      <c r="AD1394" s="0" t="inlineStr">
        <is>
          <t>만수동</t>
        </is>
      </c>
      <c r="AG1394" s="0" t="inlineStr">
        <is>
          <t>인천시 남동구 만수로27번길 15</t>
        </is>
      </c>
      <c r="AH1394" s="0" t="n">
        <v>0</v>
      </c>
      <c r="AI1394" s="0" t="n">
        <v>0</v>
      </c>
      <c r="AJ1394" s="0" t="n">
        <v>0</v>
      </c>
      <c r="AK1394" s="0" t="n">
        <v>64</v>
      </c>
      <c r="AL1394" s="0" t="n">
        <v>1</v>
      </c>
    </row>
    <row r="1395">
      <c r="A1395" s="0" t="inlineStr">
        <is>
          <t>[만수동]</t>
        </is>
      </c>
      <c r="B1395" s="0" t="n">
        <v>23898</v>
      </c>
      <c r="C1395" s="0" t="n">
        <v>8</v>
      </c>
      <c r="D1395" s="0" t="inlineStr">
        <is>
          <t>햇님마을인평스페스힐</t>
        </is>
      </c>
      <c r="E1395" s="0" t="inlineStr">
        <is>
          <t>2005.01.</t>
        </is>
      </c>
      <c r="F1395" s="0" t="n">
        <v>64</v>
      </c>
      <c r="G1395" s="0" t="n">
        <v>31.59</v>
      </c>
      <c r="H1395" s="0" t="n">
        <v>104.46</v>
      </c>
      <c r="I1395" s="0" t="n">
        <v>25.63</v>
      </c>
      <c r="J1395" s="0" t="n">
        <v>84.76000000000001</v>
      </c>
      <c r="K1395" s="0" t="n">
        <v>42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104</v>
      </c>
      <c r="X1395" s="0" t="n">
        <v>10</v>
      </c>
      <c r="Y1395" s="0" t="n">
        <v>5</v>
      </c>
      <c r="Z1395" s="0" t="inlineStr">
        <is>
          <t>https://new.land.naver.com/complexes/23898?tab=detail&amp;rf=Y</t>
        </is>
      </c>
      <c r="AA1395" s="0" t="inlineStr">
        <is>
          <t>인천시 남동구 만수동 869</t>
        </is>
      </c>
      <c r="AB1395" s="0" t="inlineStr">
        <is>
          <t>인천시</t>
        </is>
      </c>
      <c r="AC1395" s="0" t="inlineStr">
        <is>
          <t>남동구</t>
        </is>
      </c>
      <c r="AD1395" s="0" t="inlineStr">
        <is>
          <t>만수동</t>
        </is>
      </c>
      <c r="AG1395" s="0" t="inlineStr">
        <is>
          <t>인천시 남동구 만수로27번길 15</t>
        </is>
      </c>
      <c r="AH1395" s="0" t="n">
        <v>0</v>
      </c>
      <c r="AI1395" s="0" t="n">
        <v>0</v>
      </c>
      <c r="AJ1395" s="0" t="n">
        <v>0</v>
      </c>
      <c r="AK1395" s="0" t="n">
        <v>64</v>
      </c>
      <c r="AL1395" s="0" t="n">
        <v>1</v>
      </c>
    </row>
    <row r="1396">
      <c r="A1396" s="0" t="inlineStr">
        <is>
          <t>[만수동]</t>
        </is>
      </c>
      <c r="B1396" s="0" t="n">
        <v>137402</v>
      </c>
      <c r="C1396" s="0" t="n">
        <v>1</v>
      </c>
      <c r="D1396" s="0" t="inlineStr">
        <is>
          <t>한울라온채3</t>
        </is>
      </c>
      <c r="E1396" s="0" t="inlineStr">
        <is>
          <t>2017.01.</t>
        </is>
      </c>
      <c r="F1396" s="0" t="n">
        <v>8</v>
      </c>
      <c r="G1396" s="0" t="n">
        <v>16.44</v>
      </c>
      <c r="H1396" s="0" t="n">
        <v>54.37</v>
      </c>
      <c r="I1396" s="0" t="n">
        <v>11.89</v>
      </c>
      <c r="J1396" s="0" t="n">
        <v>39.31</v>
      </c>
      <c r="K1396" s="0" t="n">
        <v>4</v>
      </c>
      <c r="T1396" s="0" t="n">
        <v>2</v>
      </c>
      <c r="U1396" s="0" t="n">
        <v>1</v>
      </c>
      <c r="V1396" s="0" t="inlineStr">
        <is>
          <t>계단식</t>
        </is>
      </c>
      <c r="W1396" s="0" t="n">
        <v>54</v>
      </c>
      <c r="X1396" s="0" t="n">
        <v>10</v>
      </c>
      <c r="Y1396" s="0" t="n">
        <v>10</v>
      </c>
      <c r="Z1396" s="0" t="inlineStr">
        <is>
          <t>https://new.land.naver.com/complexes/137402?tab=detail&amp;rf=Y</t>
        </is>
      </c>
      <c r="AA1396" s="0" t="inlineStr">
        <is>
          <t>인천시 남동구 만수동 853-24</t>
        </is>
      </c>
      <c r="AB1396" s="0" t="inlineStr">
        <is>
          <t>인천시</t>
        </is>
      </c>
      <c r="AC1396" s="0" t="inlineStr">
        <is>
          <t>남동구</t>
        </is>
      </c>
      <c r="AD1396" s="0" t="inlineStr">
        <is>
          <t>만수동</t>
        </is>
      </c>
      <c r="AG1396" s="0" t="inlineStr">
        <is>
          <t>인천시 남동구 서판로12번길 17</t>
        </is>
      </c>
      <c r="AH1396" s="0" t="n">
        <v>0</v>
      </c>
      <c r="AI1396" s="0" t="n">
        <v>479</v>
      </c>
      <c r="AJ1396" s="0" t="n">
        <v>59</v>
      </c>
      <c r="AK1396" s="0" t="n">
        <v>6</v>
      </c>
      <c r="AL1396" s="0" t="n">
        <v>0.75</v>
      </c>
    </row>
    <row r="1397">
      <c r="A1397" s="0" t="inlineStr">
        <is>
          <t>[만수동]</t>
        </is>
      </c>
      <c r="B1397" s="0" t="n">
        <v>137402</v>
      </c>
      <c r="C1397" s="0" t="n">
        <v>2</v>
      </c>
      <c r="D1397" s="0" t="inlineStr">
        <is>
          <t>한울라온채3</t>
        </is>
      </c>
      <c r="E1397" s="0" t="inlineStr">
        <is>
          <t>2017.01.</t>
        </is>
      </c>
      <c r="F1397" s="0" t="n">
        <v>8</v>
      </c>
      <c r="G1397" s="0" t="n">
        <v>16.71</v>
      </c>
      <c r="H1397" s="0" t="n">
        <v>55.24</v>
      </c>
      <c r="I1397" s="0" t="n">
        <v>12.47</v>
      </c>
      <c r="J1397" s="0" t="n">
        <v>41.24</v>
      </c>
      <c r="K1397" s="0" t="n">
        <v>4</v>
      </c>
      <c r="T1397" s="0" t="n">
        <v>2</v>
      </c>
      <c r="U1397" s="0" t="n">
        <v>1</v>
      </c>
      <c r="V1397" s="0" t="inlineStr">
        <is>
          <t>계단식</t>
        </is>
      </c>
      <c r="W1397" s="0" t="n">
        <v>55</v>
      </c>
      <c r="X1397" s="0" t="n">
        <v>10</v>
      </c>
      <c r="Y1397" s="0" t="n">
        <v>10</v>
      </c>
      <c r="Z1397" s="0" t="inlineStr">
        <is>
          <t>https://new.land.naver.com/complexes/137402?tab=detail&amp;rf=Y</t>
        </is>
      </c>
      <c r="AA1397" s="0" t="inlineStr">
        <is>
          <t>인천시 남동구 만수동 853-24</t>
        </is>
      </c>
      <c r="AB1397" s="0" t="inlineStr">
        <is>
          <t>인천시</t>
        </is>
      </c>
      <c r="AC1397" s="0" t="inlineStr">
        <is>
          <t>남동구</t>
        </is>
      </c>
      <c r="AD1397" s="0" t="inlineStr">
        <is>
          <t>만수동</t>
        </is>
      </c>
      <c r="AG1397" s="0" t="inlineStr">
        <is>
          <t>인천시 남동구 서판로12번길 17</t>
        </is>
      </c>
      <c r="AH1397" s="0" t="n">
        <v>0</v>
      </c>
      <c r="AI1397" s="0" t="n">
        <v>479</v>
      </c>
      <c r="AJ1397" s="0" t="n">
        <v>59</v>
      </c>
      <c r="AK1397" s="0" t="n">
        <v>6</v>
      </c>
      <c r="AL1397" s="0" t="n">
        <v>0.75</v>
      </c>
    </row>
    <row r="1398">
      <c r="A1398" s="0" t="inlineStr">
        <is>
          <t>[만수동]</t>
        </is>
      </c>
      <c r="B1398" s="0" t="n">
        <v>24631</v>
      </c>
      <c r="C1398" s="0" t="n">
        <v>1</v>
      </c>
      <c r="D1398" s="0" t="inlineStr">
        <is>
          <t>고운웰리움</t>
        </is>
      </c>
      <c r="E1398" s="0" t="inlineStr">
        <is>
          <t>2006.08.</t>
        </is>
      </c>
      <c r="F1398" s="0" t="n">
        <v>101</v>
      </c>
      <c r="G1398" s="0" t="n">
        <v>23.54</v>
      </c>
      <c r="H1398" s="0" t="n">
        <v>77.81999999999999</v>
      </c>
      <c r="I1398" s="0" t="n">
        <v>18.13</v>
      </c>
      <c r="J1398" s="0" t="n">
        <v>59.94</v>
      </c>
      <c r="K1398" s="0" t="n">
        <v>60</v>
      </c>
      <c r="T1398" s="0" t="n">
        <v>3</v>
      </c>
      <c r="U1398" s="0" t="n">
        <v>2</v>
      </c>
      <c r="V1398" s="0" t="inlineStr">
        <is>
          <t>계단식</t>
        </is>
      </c>
      <c r="W1398" s="0" t="n">
        <v>77</v>
      </c>
      <c r="X1398" s="0" t="n">
        <v>15</v>
      </c>
      <c r="Y1398" s="0" t="n">
        <v>13</v>
      </c>
      <c r="Z1398" s="0" t="inlineStr">
        <is>
          <t>https://new.land.naver.com/complexes/24631?tab=detail&amp;rf=Y</t>
        </is>
      </c>
      <c r="AA1398" s="0" t="inlineStr">
        <is>
          <t>인천시 남동구 만수동 900-17</t>
        </is>
      </c>
      <c r="AB1398" s="0" t="inlineStr">
        <is>
          <t>인천시</t>
        </is>
      </c>
      <c r="AC1398" s="0" t="inlineStr">
        <is>
          <t>남동구</t>
        </is>
      </c>
      <c r="AD1398" s="0" t="inlineStr">
        <is>
          <t>만수동</t>
        </is>
      </c>
      <c r="AG1398" s="0" t="inlineStr">
        <is>
          <t>인천시 남동구 구월말로103번길 18-4</t>
        </is>
      </c>
      <c r="AH1398" s="0" t="n">
        <v>0</v>
      </c>
      <c r="AI1398" s="0" t="n">
        <v>236</v>
      </c>
      <c r="AJ1398" s="0" t="n">
        <v>18</v>
      </c>
      <c r="AK1398" s="0" t="n">
        <v>102</v>
      </c>
      <c r="AL1398" s="0" t="n">
        <v>1.01</v>
      </c>
    </row>
    <row r="1399">
      <c r="A1399" s="0" t="inlineStr">
        <is>
          <t>[만수동]</t>
        </is>
      </c>
      <c r="B1399" s="0" t="n">
        <v>24631</v>
      </c>
      <c r="C1399" s="0" t="n">
        <v>2</v>
      </c>
      <c r="D1399" s="0" t="inlineStr">
        <is>
          <t>고운웰리움</t>
        </is>
      </c>
      <c r="E1399" s="0" t="inlineStr">
        <is>
          <t>2006.08.</t>
        </is>
      </c>
      <c r="F1399" s="0" t="n">
        <v>101</v>
      </c>
      <c r="G1399" s="0" t="n">
        <v>30.13</v>
      </c>
      <c r="H1399" s="0" t="n">
        <v>99.63</v>
      </c>
      <c r="I1399" s="0" t="n">
        <v>25.69</v>
      </c>
      <c r="J1399" s="0" t="n">
        <v>84.95</v>
      </c>
      <c r="K1399" s="0" t="n">
        <v>15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99A</t>
        </is>
      </c>
      <c r="X1399" s="0" t="n">
        <v>15</v>
      </c>
      <c r="Y1399" s="0" t="n">
        <v>13</v>
      </c>
      <c r="Z1399" s="0" t="inlineStr">
        <is>
          <t>https://new.land.naver.com/complexes/24631?tab=detail&amp;rf=Y</t>
        </is>
      </c>
      <c r="AA1399" s="0" t="inlineStr">
        <is>
          <t>인천시 남동구 만수동 900-17</t>
        </is>
      </c>
      <c r="AB1399" s="0" t="inlineStr">
        <is>
          <t>인천시</t>
        </is>
      </c>
      <c r="AC1399" s="0" t="inlineStr">
        <is>
          <t>남동구</t>
        </is>
      </c>
      <c r="AD1399" s="0" t="inlineStr">
        <is>
          <t>만수동</t>
        </is>
      </c>
      <c r="AG1399" s="0" t="inlineStr">
        <is>
          <t>인천시 남동구 구월말로103번길 18-4</t>
        </is>
      </c>
      <c r="AH1399" s="0" t="n">
        <v>0</v>
      </c>
      <c r="AI1399" s="0" t="n">
        <v>236</v>
      </c>
      <c r="AJ1399" s="0" t="n">
        <v>18</v>
      </c>
      <c r="AK1399" s="0" t="n">
        <v>102</v>
      </c>
      <c r="AL1399" s="0" t="n">
        <v>1.01</v>
      </c>
    </row>
    <row r="1400">
      <c r="A1400" s="0" t="inlineStr">
        <is>
          <t>[만수동]</t>
        </is>
      </c>
      <c r="B1400" s="0" t="n">
        <v>24631</v>
      </c>
      <c r="C1400" s="0" t="n">
        <v>3</v>
      </c>
      <c r="D1400" s="0" t="inlineStr">
        <is>
          <t>고운웰리움</t>
        </is>
      </c>
      <c r="E1400" s="0" t="inlineStr">
        <is>
          <t>2006.08.</t>
        </is>
      </c>
      <c r="F1400" s="0" t="n">
        <v>101</v>
      </c>
      <c r="G1400" s="0" t="n">
        <v>31.26</v>
      </c>
      <c r="H1400" s="0" t="n">
        <v>103.34</v>
      </c>
      <c r="I1400" s="0" t="n">
        <v>25.57</v>
      </c>
      <c r="J1400" s="0" t="n">
        <v>84.56</v>
      </c>
      <c r="K1400" s="0" t="n">
        <v>26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103B</t>
        </is>
      </c>
      <c r="X1400" s="0" t="n">
        <v>15</v>
      </c>
      <c r="Y1400" s="0" t="n">
        <v>13</v>
      </c>
      <c r="Z1400" s="0" t="inlineStr">
        <is>
          <t>https://new.land.naver.com/complexes/24631?tab=detail&amp;rf=Y</t>
        </is>
      </c>
      <c r="AA1400" s="0" t="inlineStr">
        <is>
          <t>인천시 남동구 만수동 900-17</t>
        </is>
      </c>
      <c r="AB1400" s="0" t="inlineStr">
        <is>
          <t>인천시</t>
        </is>
      </c>
      <c r="AC1400" s="0" t="inlineStr">
        <is>
          <t>남동구</t>
        </is>
      </c>
      <c r="AD1400" s="0" t="inlineStr">
        <is>
          <t>만수동</t>
        </is>
      </c>
      <c r="AG1400" s="0" t="inlineStr">
        <is>
          <t>인천시 남동구 구월말로103번길 18-4</t>
        </is>
      </c>
      <c r="AH1400" s="0" t="n">
        <v>0</v>
      </c>
      <c r="AI1400" s="0" t="n">
        <v>236</v>
      </c>
      <c r="AJ1400" s="0" t="n">
        <v>18</v>
      </c>
      <c r="AK1400" s="0" t="n">
        <v>102</v>
      </c>
      <c r="AL1400" s="0" t="n">
        <v>1.01</v>
      </c>
    </row>
    <row r="1401">
      <c r="A1401" s="0" t="inlineStr">
        <is>
          <t>[만수동]</t>
        </is>
      </c>
      <c r="B1401" s="0" t="n">
        <v>2302</v>
      </c>
      <c r="C1401" s="0" t="n">
        <v>1</v>
      </c>
      <c r="D1401" s="0" t="inlineStr">
        <is>
          <t>담방마을</t>
        </is>
      </c>
      <c r="E1401" s="0" t="inlineStr">
        <is>
          <t>1994.05.</t>
        </is>
      </c>
      <c r="F1401" s="0" t="n">
        <v>1100</v>
      </c>
      <c r="G1401" s="0" t="n">
        <v>17.94</v>
      </c>
      <c r="H1401" s="0" t="n">
        <v>59.33</v>
      </c>
      <c r="I1401" s="0" t="n">
        <v>13.95</v>
      </c>
      <c r="J1401" s="0" t="n">
        <v>46.12</v>
      </c>
      <c r="K1401" s="0" t="n">
        <v>38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59A</t>
        </is>
      </c>
      <c r="X1401" s="0" t="n">
        <v>19</v>
      </c>
      <c r="Y1401" s="0" t="n">
        <v>16</v>
      </c>
      <c r="Z1401" s="0" t="inlineStr">
        <is>
          <t>https://new.land.naver.com/complexes/2302?tab=detail&amp;rf=Y</t>
        </is>
      </c>
      <c r="AA1401" s="0" t="inlineStr">
        <is>
          <t>인천시 남동구 만수동 1049</t>
        </is>
      </c>
      <c r="AB1401" s="0" t="inlineStr">
        <is>
          <t>인천시</t>
        </is>
      </c>
      <c r="AC1401" s="0" t="inlineStr">
        <is>
          <t>남동구</t>
        </is>
      </c>
      <c r="AD1401" s="0" t="inlineStr">
        <is>
          <t>만수동</t>
        </is>
      </c>
      <c r="AG1401" s="0" t="inlineStr">
        <is>
          <t>인천시 남동구 매소홀로 1030</t>
        </is>
      </c>
      <c r="AH1401" s="0" t="n">
        <v>0</v>
      </c>
      <c r="AI1401" s="0" t="n">
        <v>0</v>
      </c>
      <c r="AJ1401" s="0" t="n">
        <v>0</v>
      </c>
      <c r="AK1401" s="0" t="n">
        <v>990</v>
      </c>
      <c r="AL1401" s="0" t="n">
        <v>0.9</v>
      </c>
    </row>
    <row r="1402">
      <c r="A1402" s="0" t="inlineStr">
        <is>
          <t>[만수동]</t>
        </is>
      </c>
      <c r="B1402" s="0" t="n">
        <v>2302</v>
      </c>
      <c r="C1402" s="0" t="n">
        <v>2</v>
      </c>
      <c r="D1402" s="0" t="inlineStr">
        <is>
          <t>담방마을</t>
        </is>
      </c>
      <c r="E1402" s="0" t="inlineStr">
        <is>
          <t>1994.05.</t>
        </is>
      </c>
      <c r="F1402" s="0" t="n">
        <v>1100</v>
      </c>
      <c r="G1402" s="0" t="n">
        <v>18.24</v>
      </c>
      <c r="H1402" s="0" t="n">
        <v>60.31</v>
      </c>
      <c r="I1402" s="0" t="n">
        <v>13.84</v>
      </c>
      <c r="J1402" s="0" t="n">
        <v>45.76</v>
      </c>
      <c r="K1402" s="0" t="n">
        <v>290</v>
      </c>
      <c r="T1402" s="0" t="n">
        <v>2</v>
      </c>
      <c r="U1402" s="0" t="n">
        <v>1</v>
      </c>
      <c r="V1402" s="0" t="inlineStr">
        <is>
          <t>복도식</t>
        </is>
      </c>
      <c r="W1402" s="0" t="inlineStr">
        <is>
          <t>60C</t>
        </is>
      </c>
      <c r="X1402" s="0" t="n">
        <v>19</v>
      </c>
      <c r="Y1402" s="0" t="n">
        <v>16</v>
      </c>
      <c r="Z1402" s="0" t="inlineStr">
        <is>
          <t>https://new.land.naver.com/complexes/2302?tab=detail&amp;rf=Y</t>
        </is>
      </c>
      <c r="AA1402" s="0" t="inlineStr">
        <is>
          <t>인천시 남동구 만수동 1049</t>
        </is>
      </c>
      <c r="AB1402" s="0" t="inlineStr">
        <is>
          <t>인천시</t>
        </is>
      </c>
      <c r="AC1402" s="0" t="inlineStr">
        <is>
          <t>남동구</t>
        </is>
      </c>
      <c r="AD1402" s="0" t="inlineStr">
        <is>
          <t>만수동</t>
        </is>
      </c>
      <c r="AG1402" s="0" t="inlineStr">
        <is>
          <t>인천시 남동구 매소홀로 1030</t>
        </is>
      </c>
      <c r="AH1402" s="0" t="n">
        <v>0</v>
      </c>
      <c r="AI1402" s="0" t="n">
        <v>0</v>
      </c>
      <c r="AJ1402" s="0" t="n">
        <v>0</v>
      </c>
      <c r="AK1402" s="0" t="n">
        <v>990</v>
      </c>
      <c r="AL1402" s="0" t="n">
        <v>0.9</v>
      </c>
    </row>
    <row r="1403">
      <c r="A1403" s="0" t="inlineStr">
        <is>
          <t>[만수동]</t>
        </is>
      </c>
      <c r="B1403" s="0" t="n">
        <v>2302</v>
      </c>
      <c r="C1403" s="0" t="n">
        <v>3</v>
      </c>
      <c r="D1403" s="0" t="inlineStr">
        <is>
          <t>담방마을</t>
        </is>
      </c>
      <c r="E1403" s="0" t="inlineStr">
        <is>
          <t>1994.05.</t>
        </is>
      </c>
      <c r="F1403" s="0" t="n">
        <v>1100</v>
      </c>
      <c r="G1403" s="0" t="n">
        <v>18.47</v>
      </c>
      <c r="H1403" s="0" t="n">
        <v>61.08</v>
      </c>
      <c r="I1403" s="0" t="n">
        <v>13.95</v>
      </c>
      <c r="J1403" s="0" t="n">
        <v>46.12</v>
      </c>
      <c r="K1403" s="0" t="n">
        <v>242</v>
      </c>
      <c r="T1403" s="0" t="n">
        <v>2</v>
      </c>
      <c r="U1403" s="0" t="n">
        <v>1</v>
      </c>
      <c r="V1403" s="0" t="inlineStr">
        <is>
          <t>계단식</t>
        </is>
      </c>
      <c r="W1403" s="0" t="inlineStr">
        <is>
          <t>61B</t>
        </is>
      </c>
      <c r="X1403" s="0" t="n">
        <v>19</v>
      </c>
      <c r="Y1403" s="0" t="n">
        <v>16</v>
      </c>
      <c r="Z1403" s="0" t="inlineStr">
        <is>
          <t>https://new.land.naver.com/complexes/2302?tab=detail&amp;rf=Y</t>
        </is>
      </c>
      <c r="AA1403" s="0" t="inlineStr">
        <is>
          <t>인천시 남동구 만수동 1049</t>
        </is>
      </c>
      <c r="AB1403" s="0" t="inlineStr">
        <is>
          <t>인천시</t>
        </is>
      </c>
      <c r="AC1403" s="0" t="inlineStr">
        <is>
          <t>남동구</t>
        </is>
      </c>
      <c r="AD1403" s="0" t="inlineStr">
        <is>
          <t>만수동</t>
        </is>
      </c>
      <c r="AG1403" s="0" t="inlineStr">
        <is>
          <t>인천시 남동구 매소홀로 1030</t>
        </is>
      </c>
      <c r="AH1403" s="0" t="n">
        <v>0</v>
      </c>
      <c r="AI1403" s="0" t="n">
        <v>0</v>
      </c>
      <c r="AJ1403" s="0" t="n">
        <v>0</v>
      </c>
      <c r="AK1403" s="0" t="n">
        <v>990</v>
      </c>
      <c r="AL1403" s="0" t="n">
        <v>0.9</v>
      </c>
    </row>
    <row r="1404">
      <c r="A1404" s="0" t="inlineStr">
        <is>
          <t>[만수동]</t>
        </is>
      </c>
      <c r="B1404" s="0" t="n">
        <v>2302</v>
      </c>
      <c r="C1404" s="0" t="n">
        <v>4</v>
      </c>
      <c r="D1404" s="0" t="inlineStr">
        <is>
          <t>담방마을</t>
        </is>
      </c>
      <c r="E1404" s="0" t="inlineStr">
        <is>
          <t>1994.05.</t>
        </is>
      </c>
      <c r="F1404" s="0" t="n">
        <v>1100</v>
      </c>
      <c r="G1404" s="0" t="n">
        <v>19.91</v>
      </c>
      <c r="H1404" s="0" t="n">
        <v>65.84</v>
      </c>
      <c r="I1404" s="0" t="n">
        <v>15.04</v>
      </c>
      <c r="J1404" s="0" t="n">
        <v>49.72</v>
      </c>
      <c r="K1404" s="0" t="n">
        <v>458</v>
      </c>
      <c r="T1404" s="0" t="n">
        <v>2</v>
      </c>
      <c r="U1404" s="0" t="n">
        <v>1</v>
      </c>
      <c r="V1404" s="0" t="inlineStr">
        <is>
          <t>복도식</t>
        </is>
      </c>
      <c r="W1404" s="0" t="n">
        <v>65</v>
      </c>
      <c r="X1404" s="0" t="n">
        <v>19</v>
      </c>
      <c r="Y1404" s="0" t="n">
        <v>16</v>
      </c>
      <c r="Z1404" s="0" t="inlineStr">
        <is>
          <t>https://new.land.naver.com/complexes/2302?tab=detail&amp;rf=Y</t>
        </is>
      </c>
      <c r="AA1404" s="0" t="inlineStr">
        <is>
          <t>인천시 남동구 만수동 1049</t>
        </is>
      </c>
      <c r="AB1404" s="0" t="inlineStr">
        <is>
          <t>인천시</t>
        </is>
      </c>
      <c r="AC1404" s="0" t="inlineStr">
        <is>
          <t>남동구</t>
        </is>
      </c>
      <c r="AD1404" s="0" t="inlineStr">
        <is>
          <t>만수동</t>
        </is>
      </c>
      <c r="AG1404" s="0" t="inlineStr">
        <is>
          <t>인천시 남동구 매소홀로 1030</t>
        </is>
      </c>
      <c r="AH1404" s="0" t="n">
        <v>0</v>
      </c>
      <c r="AI1404" s="0" t="n">
        <v>0</v>
      </c>
      <c r="AJ1404" s="0" t="n">
        <v>0</v>
      </c>
      <c r="AK1404" s="0" t="n">
        <v>990</v>
      </c>
      <c r="AL1404" s="0" t="n">
        <v>0.9</v>
      </c>
    </row>
    <row r="1405">
      <c r="A1405" s="0" t="inlineStr">
        <is>
          <t>[만수동]</t>
        </is>
      </c>
      <c r="B1405" s="0" t="n">
        <v>2302</v>
      </c>
      <c r="C1405" s="0" t="n">
        <v>5</v>
      </c>
      <c r="D1405" s="0" t="inlineStr">
        <is>
          <t>담방마을</t>
        </is>
      </c>
      <c r="E1405" s="0" t="inlineStr">
        <is>
          <t>1994.05.</t>
        </is>
      </c>
      <c r="F1405" s="0" t="n">
        <v>1100</v>
      </c>
      <c r="G1405" s="0" t="n">
        <v>19.79</v>
      </c>
      <c r="H1405" s="0" t="n">
        <v>65.43000000000001</v>
      </c>
      <c r="I1405" s="0" t="n">
        <v>15.1</v>
      </c>
      <c r="J1405" s="0" t="n">
        <v>49.92</v>
      </c>
      <c r="K1405" s="0" t="n">
        <v>36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65A</t>
        </is>
      </c>
      <c r="X1405" s="0" t="n">
        <v>19</v>
      </c>
      <c r="Y1405" s="0" t="n">
        <v>16</v>
      </c>
      <c r="Z1405" s="0" t="inlineStr">
        <is>
          <t>https://new.land.naver.com/complexes/2302?tab=detail&amp;rf=Y</t>
        </is>
      </c>
      <c r="AA1405" s="0" t="inlineStr">
        <is>
          <t>인천시 남동구 만수동 1049</t>
        </is>
      </c>
      <c r="AB1405" s="0" t="inlineStr">
        <is>
          <t>인천시</t>
        </is>
      </c>
      <c r="AC1405" s="0" t="inlineStr">
        <is>
          <t>남동구</t>
        </is>
      </c>
      <c r="AD1405" s="0" t="inlineStr">
        <is>
          <t>만수동</t>
        </is>
      </c>
      <c r="AG1405" s="0" t="inlineStr">
        <is>
          <t>인천시 남동구 매소홀로 1030</t>
        </is>
      </c>
      <c r="AH1405" s="0" t="n">
        <v>0</v>
      </c>
      <c r="AI1405" s="0" t="n">
        <v>0</v>
      </c>
      <c r="AJ1405" s="0" t="n">
        <v>0</v>
      </c>
      <c r="AK1405" s="0" t="n">
        <v>990</v>
      </c>
      <c r="AL1405" s="0" t="n">
        <v>0.9</v>
      </c>
    </row>
    <row r="1406">
      <c r="A1406" s="0" t="inlineStr">
        <is>
          <t>[만수동]</t>
        </is>
      </c>
      <c r="B1406" s="0" t="n">
        <v>2302</v>
      </c>
      <c r="C1406" s="0" t="n">
        <v>6</v>
      </c>
      <c r="D1406" s="0" t="inlineStr">
        <is>
          <t>담방마을</t>
        </is>
      </c>
      <c r="E1406" s="0" t="inlineStr">
        <is>
          <t>1994.05.</t>
        </is>
      </c>
      <c r="F1406" s="0" t="n">
        <v>1100</v>
      </c>
      <c r="G1406" s="0" t="n">
        <v>19.88</v>
      </c>
      <c r="H1406" s="0" t="n">
        <v>65.75</v>
      </c>
      <c r="I1406" s="0" t="n">
        <v>15.1</v>
      </c>
      <c r="J1406" s="0" t="n">
        <v>49.92</v>
      </c>
      <c r="K1406" s="0" t="n">
        <v>36</v>
      </c>
      <c r="T1406" s="0" t="n">
        <v>3</v>
      </c>
      <c r="U1406" s="0" t="n">
        <v>1</v>
      </c>
      <c r="V1406" s="0" t="inlineStr">
        <is>
          <t>계단식</t>
        </is>
      </c>
      <c r="W1406" s="0" t="inlineStr">
        <is>
          <t>65B</t>
        </is>
      </c>
      <c r="X1406" s="0" t="n">
        <v>19</v>
      </c>
      <c r="Y1406" s="0" t="n">
        <v>16</v>
      </c>
      <c r="Z1406" s="0" t="inlineStr">
        <is>
          <t>https://new.land.naver.com/complexes/2302?tab=detail&amp;rf=Y</t>
        </is>
      </c>
      <c r="AA1406" s="0" t="inlineStr">
        <is>
          <t>인천시 남동구 만수동 1049</t>
        </is>
      </c>
      <c r="AB1406" s="0" t="inlineStr">
        <is>
          <t>인천시</t>
        </is>
      </c>
      <c r="AC1406" s="0" t="inlineStr">
        <is>
          <t>남동구</t>
        </is>
      </c>
      <c r="AD1406" s="0" t="inlineStr">
        <is>
          <t>만수동</t>
        </is>
      </c>
      <c r="AG1406" s="0" t="inlineStr">
        <is>
          <t>인천시 남동구 매소홀로 1030</t>
        </is>
      </c>
      <c r="AH1406" s="0" t="n">
        <v>0</v>
      </c>
      <c r="AI1406" s="0" t="n">
        <v>0</v>
      </c>
      <c r="AJ1406" s="0" t="n">
        <v>0</v>
      </c>
      <c r="AK1406" s="0" t="n">
        <v>990</v>
      </c>
      <c r="AL1406" s="0" t="n">
        <v>0.9</v>
      </c>
    </row>
    <row r="1407">
      <c r="A1407" s="0" t="inlineStr">
        <is>
          <t>[만수동]</t>
        </is>
      </c>
      <c r="B1407" s="0" t="n">
        <v>120852</v>
      </c>
      <c r="C1407" s="0" t="n">
        <v>1</v>
      </c>
      <c r="D1407" s="0" t="inlineStr">
        <is>
          <t>하우스토리만수</t>
        </is>
      </c>
      <c r="E1407" s="0" t="inlineStr">
        <is>
          <t>2020.07.</t>
        </is>
      </c>
      <c r="F1407" s="0" t="n">
        <v>795</v>
      </c>
      <c r="G1407" s="0" t="n">
        <v>24.62</v>
      </c>
      <c r="H1407" s="0" t="n">
        <v>81.39</v>
      </c>
      <c r="I1407" s="0" t="n">
        <v>18.14</v>
      </c>
      <c r="J1407" s="0" t="n">
        <v>59.97</v>
      </c>
      <c r="K1407" s="0" t="n">
        <v>366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81A</t>
        </is>
      </c>
      <c r="X1407" s="0" t="n">
        <v>20</v>
      </c>
      <c r="Y1407" s="0" t="n">
        <v>12</v>
      </c>
      <c r="Z1407" s="0" t="inlineStr">
        <is>
          <t>https://new.land.naver.com/complexes/120852?tab=detail&amp;rf=Y</t>
        </is>
      </c>
      <c r="AA1407" s="0" t="inlineStr">
        <is>
          <t>인천시 남동구 만수동 1123</t>
        </is>
      </c>
      <c r="AB1407" s="0" t="inlineStr">
        <is>
          <t>인천시</t>
        </is>
      </c>
      <c r="AC1407" s="0" t="inlineStr">
        <is>
          <t>남동구</t>
        </is>
      </c>
      <c r="AD1407" s="0" t="inlineStr">
        <is>
          <t>만수동</t>
        </is>
      </c>
      <c r="AG1407" s="0" t="inlineStr">
        <is>
          <t>인천시 남동구 구월로372번길 90</t>
        </is>
      </c>
      <c r="AH1407" s="0" t="n">
        <v>0</v>
      </c>
      <c r="AI1407" s="0" t="n">
        <v>245</v>
      </c>
      <c r="AJ1407" s="0" t="n">
        <v>20</v>
      </c>
      <c r="AK1407" s="0" t="n">
        <v>889</v>
      </c>
      <c r="AL1407" s="0" t="n">
        <v>1.12</v>
      </c>
    </row>
    <row r="1408">
      <c r="A1408" s="0" t="inlineStr">
        <is>
          <t>[만수동]</t>
        </is>
      </c>
      <c r="B1408" s="0" t="n">
        <v>120852</v>
      </c>
      <c r="C1408" s="0" t="n">
        <v>2</v>
      </c>
      <c r="D1408" s="0" t="inlineStr">
        <is>
          <t>하우스토리만수</t>
        </is>
      </c>
      <c r="E1408" s="0" t="inlineStr">
        <is>
          <t>2020.07.</t>
        </is>
      </c>
      <c r="F1408" s="0" t="n">
        <v>795</v>
      </c>
      <c r="G1408" s="0" t="n">
        <v>24.6</v>
      </c>
      <c r="H1408" s="0" t="n">
        <v>81.33</v>
      </c>
      <c r="I1408" s="0" t="n">
        <v>18.13</v>
      </c>
      <c r="J1408" s="0" t="n">
        <v>59.95</v>
      </c>
      <c r="K1408" s="0" t="n">
        <v>205</v>
      </c>
      <c r="T1408" s="0" t="n">
        <v>3</v>
      </c>
      <c r="U1408" s="0" t="n">
        <v>2</v>
      </c>
      <c r="V1408" s="0" t="inlineStr">
        <is>
          <t>계단식</t>
        </is>
      </c>
      <c r="W1408" s="0" t="inlineStr">
        <is>
          <t>81B</t>
        </is>
      </c>
      <c r="X1408" s="0" t="n">
        <v>20</v>
      </c>
      <c r="Y1408" s="0" t="n">
        <v>12</v>
      </c>
      <c r="Z1408" s="0" t="inlineStr">
        <is>
          <t>https://new.land.naver.com/complexes/120852?tab=detail&amp;rf=Y</t>
        </is>
      </c>
      <c r="AA1408" s="0" t="inlineStr">
        <is>
          <t>인천시 남동구 만수동 1123</t>
        </is>
      </c>
      <c r="AB1408" s="0" t="inlineStr">
        <is>
          <t>인천시</t>
        </is>
      </c>
      <c r="AC1408" s="0" t="inlineStr">
        <is>
          <t>남동구</t>
        </is>
      </c>
      <c r="AD1408" s="0" t="inlineStr">
        <is>
          <t>만수동</t>
        </is>
      </c>
      <c r="AG1408" s="0" t="inlineStr">
        <is>
          <t>인천시 남동구 구월로372번길 90</t>
        </is>
      </c>
      <c r="AH1408" s="0" t="n">
        <v>0</v>
      </c>
      <c r="AI1408" s="0" t="n">
        <v>245</v>
      </c>
      <c r="AJ1408" s="0" t="n">
        <v>20</v>
      </c>
      <c r="AK1408" s="0" t="n">
        <v>889</v>
      </c>
      <c r="AL1408" s="0" t="n">
        <v>1.12</v>
      </c>
    </row>
    <row r="1409">
      <c r="A1409" s="0" t="inlineStr">
        <is>
          <t>[만수동]</t>
        </is>
      </c>
      <c r="B1409" s="0" t="n">
        <v>120852</v>
      </c>
      <c r="C1409" s="0" t="n">
        <v>3</v>
      </c>
      <c r="D1409" s="0" t="inlineStr">
        <is>
          <t>하우스토리만수</t>
        </is>
      </c>
      <c r="E1409" s="0" t="inlineStr">
        <is>
          <t>2020.07.</t>
        </is>
      </c>
      <c r="F1409" s="0" t="n">
        <v>795</v>
      </c>
      <c r="G1409" s="0" t="n">
        <v>24.89</v>
      </c>
      <c r="H1409" s="0" t="n">
        <v>82.29000000000001</v>
      </c>
      <c r="I1409" s="0" t="n">
        <v>18.14</v>
      </c>
      <c r="J1409" s="0" t="n">
        <v>59.98</v>
      </c>
      <c r="K1409" s="0" t="n">
        <v>224</v>
      </c>
      <c r="T1409" s="0" t="n">
        <v>3</v>
      </c>
      <c r="U1409" s="0" t="n">
        <v>2</v>
      </c>
      <c r="V1409" s="0" t="inlineStr">
        <is>
          <t>계단식</t>
        </is>
      </c>
      <c r="W1409" s="0" t="inlineStr">
        <is>
          <t>82C</t>
        </is>
      </c>
      <c r="X1409" s="0" t="n">
        <v>20</v>
      </c>
      <c r="Y1409" s="0" t="n">
        <v>12</v>
      </c>
      <c r="Z1409" s="0" t="inlineStr">
        <is>
          <t>https://new.land.naver.com/complexes/120852?tab=detail&amp;rf=Y</t>
        </is>
      </c>
      <c r="AA1409" s="0" t="inlineStr">
        <is>
          <t>인천시 남동구 만수동 1123</t>
        </is>
      </c>
      <c r="AB1409" s="0" t="inlineStr">
        <is>
          <t>인천시</t>
        </is>
      </c>
      <c r="AC1409" s="0" t="inlineStr">
        <is>
          <t>남동구</t>
        </is>
      </c>
      <c r="AD1409" s="0" t="inlineStr">
        <is>
          <t>만수동</t>
        </is>
      </c>
      <c r="AG1409" s="0" t="inlineStr">
        <is>
          <t>인천시 남동구 구월로372번길 90</t>
        </is>
      </c>
      <c r="AH1409" s="0" t="n">
        <v>0</v>
      </c>
      <c r="AI1409" s="0" t="n">
        <v>245</v>
      </c>
      <c r="AJ1409" s="0" t="n">
        <v>20</v>
      </c>
      <c r="AK1409" s="0" t="n">
        <v>889</v>
      </c>
      <c r="AL1409" s="0" t="n">
        <v>1.12</v>
      </c>
    </row>
    <row r="1410">
      <c r="A1410" s="0" t="inlineStr">
        <is>
          <t>[만수동]</t>
        </is>
      </c>
      <c r="B1410" s="0" t="n">
        <v>128356</v>
      </c>
      <c r="C1410" s="0" t="n">
        <v>1</v>
      </c>
      <c r="D1410" s="0" t="inlineStr">
        <is>
          <t>리벤시아</t>
        </is>
      </c>
      <c r="E1410" s="0" t="inlineStr">
        <is>
          <t>2017.07.</t>
        </is>
      </c>
      <c r="F1410" s="0" t="n">
        <v>24</v>
      </c>
      <c r="G1410" s="0" t="n">
        <v>18.56</v>
      </c>
      <c r="H1410" s="0" t="n">
        <v>61.36</v>
      </c>
      <c r="I1410" s="0" t="n">
        <v>15.32</v>
      </c>
      <c r="J1410" s="0" t="n">
        <v>50.65</v>
      </c>
      <c r="K1410" s="0" t="n">
        <v>8</v>
      </c>
      <c r="T1410" s="0" t="n">
        <v>3</v>
      </c>
      <c r="U1410" s="0" t="n">
        <v>1</v>
      </c>
      <c r="V1410" s="0" t="inlineStr">
        <is>
          <t>계단식</t>
        </is>
      </c>
      <c r="W1410" s="0" t="inlineStr">
        <is>
          <t>61A</t>
        </is>
      </c>
      <c r="X1410" s="0" t="n">
        <v>10</v>
      </c>
      <c r="Y1410" s="0" t="n">
        <v>10</v>
      </c>
      <c r="Z1410" s="0" t="inlineStr">
        <is>
          <t>https://new.land.naver.com/complexes/128356?tab=detail&amp;rf=Y</t>
        </is>
      </c>
      <c r="AA1410" s="0" t="inlineStr">
        <is>
          <t>인천시 남동구 만수동 844-40</t>
        </is>
      </c>
      <c r="AB1410" s="0" t="inlineStr">
        <is>
          <t>인천시</t>
        </is>
      </c>
      <c r="AC1410" s="0" t="inlineStr">
        <is>
          <t>남동구</t>
        </is>
      </c>
      <c r="AD1410" s="0" t="inlineStr">
        <is>
          <t>만수동</t>
        </is>
      </c>
      <c r="AG1410" s="0" t="inlineStr">
        <is>
          <t>인천시 남동구 서판로54번길 16</t>
        </is>
      </c>
      <c r="AH1410" s="0" t="n">
        <v>0</v>
      </c>
      <c r="AI1410" s="0" t="n">
        <v>439</v>
      </c>
      <c r="AJ1410" s="0" t="n">
        <v>59</v>
      </c>
      <c r="AK1410" s="0" t="n">
        <v>20</v>
      </c>
      <c r="AL1410" s="0" t="n">
        <v>0.83</v>
      </c>
    </row>
    <row r="1411">
      <c r="A1411" s="0" t="inlineStr">
        <is>
          <t>[만수동]</t>
        </is>
      </c>
      <c r="B1411" s="0" t="n">
        <v>128356</v>
      </c>
      <c r="C1411" s="0" t="n">
        <v>2</v>
      </c>
      <c r="D1411" s="0" t="inlineStr">
        <is>
          <t>리벤시아</t>
        </is>
      </c>
      <c r="E1411" s="0" t="inlineStr">
        <is>
          <t>2017.07.</t>
        </is>
      </c>
      <c r="F1411" s="0" t="n">
        <v>24</v>
      </c>
      <c r="G1411" s="0" t="n">
        <v>18.97</v>
      </c>
      <c r="H1411" s="0" t="n">
        <v>62.73</v>
      </c>
      <c r="I1411" s="0" t="n">
        <v>15.79</v>
      </c>
      <c r="J1411" s="0" t="n">
        <v>52.23</v>
      </c>
      <c r="K1411" s="0" t="n">
        <v>8</v>
      </c>
      <c r="T1411" s="0" t="n">
        <v>3</v>
      </c>
      <c r="U1411" s="0" t="n">
        <v>1</v>
      </c>
      <c r="V1411" s="0" t="inlineStr">
        <is>
          <t>계단식</t>
        </is>
      </c>
      <c r="W1411" s="0" t="inlineStr">
        <is>
          <t>62B</t>
        </is>
      </c>
      <c r="X1411" s="0" t="n">
        <v>10</v>
      </c>
      <c r="Y1411" s="0" t="n">
        <v>10</v>
      </c>
      <c r="Z1411" s="0" t="inlineStr">
        <is>
          <t>https://new.land.naver.com/complexes/128356?tab=detail&amp;rf=Y</t>
        </is>
      </c>
      <c r="AA1411" s="0" t="inlineStr">
        <is>
          <t>인천시 남동구 만수동 844-40</t>
        </is>
      </c>
      <c r="AB1411" s="0" t="inlineStr">
        <is>
          <t>인천시</t>
        </is>
      </c>
      <c r="AC1411" s="0" t="inlineStr">
        <is>
          <t>남동구</t>
        </is>
      </c>
      <c r="AD1411" s="0" t="inlineStr">
        <is>
          <t>만수동</t>
        </is>
      </c>
      <c r="AG1411" s="0" t="inlineStr">
        <is>
          <t>인천시 남동구 서판로54번길 16</t>
        </is>
      </c>
      <c r="AH1411" s="0" t="n">
        <v>0</v>
      </c>
      <c r="AI1411" s="0" t="n">
        <v>439</v>
      </c>
      <c r="AJ1411" s="0" t="n">
        <v>59</v>
      </c>
      <c r="AK1411" s="0" t="n">
        <v>20</v>
      </c>
      <c r="AL1411" s="0" t="n">
        <v>0.83</v>
      </c>
    </row>
    <row r="1412">
      <c r="A1412" s="0" t="inlineStr">
        <is>
          <t>[만수동]</t>
        </is>
      </c>
      <c r="B1412" s="0" t="n">
        <v>128356</v>
      </c>
      <c r="C1412" s="0" t="n">
        <v>3</v>
      </c>
      <c r="D1412" s="0" t="inlineStr">
        <is>
          <t>리벤시아</t>
        </is>
      </c>
      <c r="E1412" s="0" t="inlineStr">
        <is>
          <t>2017.07.</t>
        </is>
      </c>
      <c r="F1412" s="0" t="n">
        <v>24</v>
      </c>
      <c r="G1412" s="0" t="n">
        <v>18.98</v>
      </c>
      <c r="H1412" s="0" t="n">
        <v>62.75</v>
      </c>
      <c r="I1412" s="0" t="n">
        <v>15.85</v>
      </c>
      <c r="J1412" s="0" t="n">
        <v>52.4</v>
      </c>
      <c r="K1412" s="0" t="n">
        <v>8</v>
      </c>
      <c r="T1412" s="0" t="n">
        <v>3</v>
      </c>
      <c r="U1412" s="0" t="n">
        <v>1</v>
      </c>
      <c r="V1412" s="0" t="inlineStr">
        <is>
          <t>계단식</t>
        </is>
      </c>
      <c r="W1412" s="0" t="inlineStr">
        <is>
          <t>62C</t>
        </is>
      </c>
      <c r="X1412" s="0" t="n">
        <v>10</v>
      </c>
      <c r="Y1412" s="0" t="n">
        <v>10</v>
      </c>
      <c r="Z1412" s="0" t="inlineStr">
        <is>
          <t>https://new.land.naver.com/complexes/128356?tab=detail&amp;rf=Y</t>
        </is>
      </c>
      <c r="AA1412" s="0" t="inlineStr">
        <is>
          <t>인천시 남동구 만수동 844-40</t>
        </is>
      </c>
      <c r="AB1412" s="0" t="inlineStr">
        <is>
          <t>인천시</t>
        </is>
      </c>
      <c r="AC1412" s="0" t="inlineStr">
        <is>
          <t>남동구</t>
        </is>
      </c>
      <c r="AD1412" s="0" t="inlineStr">
        <is>
          <t>만수동</t>
        </is>
      </c>
      <c r="AG1412" s="0" t="inlineStr">
        <is>
          <t>인천시 남동구 서판로54번길 16</t>
        </is>
      </c>
      <c r="AH1412" s="0" t="n">
        <v>0</v>
      </c>
      <c r="AI1412" s="0" t="n">
        <v>439</v>
      </c>
      <c r="AJ1412" s="0" t="n">
        <v>59</v>
      </c>
      <c r="AK1412" s="0" t="n">
        <v>20</v>
      </c>
      <c r="AL1412" s="0" t="n">
        <v>0.83</v>
      </c>
    </row>
    <row r="1413">
      <c r="A1413" s="0" t="inlineStr">
        <is>
          <t>[만수동]</t>
        </is>
      </c>
      <c r="B1413" s="0" t="n">
        <v>9547</v>
      </c>
      <c r="C1413" s="0" t="n">
        <v>1</v>
      </c>
      <c r="D1413" s="0" t="inlineStr">
        <is>
          <t>이삭1단지</t>
        </is>
      </c>
      <c r="E1413" s="0" t="inlineStr">
        <is>
          <t>2000.05.</t>
        </is>
      </c>
      <c r="F1413" s="0" t="n">
        <v>299</v>
      </c>
      <c r="G1413" s="0" t="n">
        <v>30.39</v>
      </c>
      <c r="H1413" s="0" t="n">
        <v>100.48</v>
      </c>
      <c r="I1413" s="0" t="n">
        <v>23.66</v>
      </c>
      <c r="J1413" s="0" t="n">
        <v>78.22</v>
      </c>
      <c r="K1413" s="0" t="n">
        <v>88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100</v>
      </c>
      <c r="X1413" s="0" t="n">
        <v>21</v>
      </c>
      <c r="Y1413" s="0" t="n">
        <v>11</v>
      </c>
      <c r="Z1413" s="0" t="inlineStr">
        <is>
          <t>https://new.land.naver.com/complexes/9547?tab=detail&amp;rf=Y</t>
        </is>
      </c>
      <c r="AA1413" s="0" t="inlineStr">
        <is>
          <t>인천시 남동구 만수동 1086-1</t>
        </is>
      </c>
      <c r="AB1413" s="0" t="inlineStr">
        <is>
          <t>인천시</t>
        </is>
      </c>
      <c r="AC1413" s="0" t="inlineStr">
        <is>
          <t>남동구</t>
        </is>
      </c>
      <c r="AD1413" s="0" t="inlineStr">
        <is>
          <t>만수동</t>
        </is>
      </c>
      <c r="AG1413" s="0" t="inlineStr">
        <is>
          <t>인천시 남동구 담방서로17번길 21</t>
        </is>
      </c>
      <c r="AH1413" s="0" t="n">
        <v>0</v>
      </c>
      <c r="AI1413" s="0" t="n">
        <v>267</v>
      </c>
      <c r="AJ1413" s="0" t="n">
        <v>26</v>
      </c>
      <c r="AK1413" s="0" t="n">
        <v>352</v>
      </c>
      <c r="AL1413" s="0" t="n">
        <v>1.18</v>
      </c>
    </row>
    <row r="1414">
      <c r="A1414" s="0" t="inlineStr">
        <is>
          <t>[만수동]</t>
        </is>
      </c>
      <c r="B1414" s="0" t="n">
        <v>9547</v>
      </c>
      <c r="C1414" s="0" t="n">
        <v>2</v>
      </c>
      <c r="D1414" s="0" t="inlineStr">
        <is>
          <t>이삭1단지</t>
        </is>
      </c>
      <c r="E1414" s="0" t="inlineStr">
        <is>
          <t>2000.05.</t>
        </is>
      </c>
      <c r="F1414" s="0" t="n">
        <v>299</v>
      </c>
      <c r="G1414" s="0" t="n">
        <v>32.99</v>
      </c>
      <c r="H1414" s="0" t="n">
        <v>109.09</v>
      </c>
      <c r="I1414" s="0" t="n">
        <v>25.69</v>
      </c>
      <c r="J1414" s="0" t="n">
        <v>84.93000000000001</v>
      </c>
      <c r="K1414" s="0" t="n">
        <v>144</v>
      </c>
      <c r="T1414" s="0" t="n">
        <v>3</v>
      </c>
      <c r="U1414" s="0" t="n">
        <v>2</v>
      </c>
      <c r="V1414" s="0" t="inlineStr">
        <is>
          <t>계단식</t>
        </is>
      </c>
      <c r="W1414" s="0" t="n">
        <v>109</v>
      </c>
      <c r="X1414" s="0" t="n">
        <v>21</v>
      </c>
      <c r="Y1414" s="0" t="n">
        <v>11</v>
      </c>
      <c r="Z1414" s="0" t="inlineStr">
        <is>
          <t>https://new.land.naver.com/complexes/9547?tab=detail&amp;rf=Y</t>
        </is>
      </c>
      <c r="AA1414" s="0" t="inlineStr">
        <is>
          <t>인천시 남동구 만수동 1086-1</t>
        </is>
      </c>
      <c r="AB1414" s="0" t="inlineStr">
        <is>
          <t>인천시</t>
        </is>
      </c>
      <c r="AC1414" s="0" t="inlineStr">
        <is>
          <t>남동구</t>
        </is>
      </c>
      <c r="AD1414" s="0" t="inlineStr">
        <is>
          <t>만수동</t>
        </is>
      </c>
      <c r="AG1414" s="0" t="inlineStr">
        <is>
          <t>인천시 남동구 담방서로17번길 21</t>
        </is>
      </c>
      <c r="AH1414" s="0" t="n">
        <v>0</v>
      </c>
      <c r="AI1414" s="0" t="n">
        <v>267</v>
      </c>
      <c r="AJ1414" s="0" t="n">
        <v>26</v>
      </c>
      <c r="AK1414" s="0" t="n">
        <v>352</v>
      </c>
      <c r="AL1414" s="0" t="n">
        <v>1.18</v>
      </c>
    </row>
    <row r="1415">
      <c r="A1415" s="0" t="inlineStr">
        <is>
          <t>[만수동]</t>
        </is>
      </c>
      <c r="B1415" s="0" t="n">
        <v>9547</v>
      </c>
      <c r="C1415" s="0" t="n">
        <v>3</v>
      </c>
      <c r="D1415" s="0" t="inlineStr">
        <is>
          <t>이삭1단지</t>
        </is>
      </c>
      <c r="E1415" s="0" t="inlineStr">
        <is>
          <t>2000.05.</t>
        </is>
      </c>
      <c r="F1415" s="0" t="n">
        <v>299</v>
      </c>
      <c r="G1415" s="0" t="n">
        <v>40.04</v>
      </c>
      <c r="H1415" s="0" t="n">
        <v>132.37</v>
      </c>
      <c r="I1415" s="0" t="n">
        <v>31.17</v>
      </c>
      <c r="J1415" s="0" t="n">
        <v>103.06</v>
      </c>
      <c r="K1415" s="0" t="n">
        <v>67</v>
      </c>
      <c r="T1415" s="0" t="n">
        <v>3</v>
      </c>
      <c r="U1415" s="0" t="n">
        <v>2</v>
      </c>
      <c r="V1415" s="0" t="inlineStr">
        <is>
          <t>계단식</t>
        </is>
      </c>
      <c r="W1415" s="0" t="n">
        <v>132</v>
      </c>
      <c r="X1415" s="0" t="n">
        <v>21</v>
      </c>
      <c r="Y1415" s="0" t="n">
        <v>11</v>
      </c>
      <c r="Z1415" s="0" t="inlineStr">
        <is>
          <t>https://new.land.naver.com/complexes/9547?tab=detail&amp;rf=Y</t>
        </is>
      </c>
      <c r="AA1415" s="0" t="inlineStr">
        <is>
          <t>인천시 남동구 만수동 1086-1</t>
        </is>
      </c>
      <c r="AB1415" s="0" t="inlineStr">
        <is>
          <t>인천시</t>
        </is>
      </c>
      <c r="AC1415" s="0" t="inlineStr">
        <is>
          <t>남동구</t>
        </is>
      </c>
      <c r="AD1415" s="0" t="inlineStr">
        <is>
          <t>만수동</t>
        </is>
      </c>
      <c r="AG1415" s="0" t="inlineStr">
        <is>
          <t>인천시 남동구 담방서로17번길 21</t>
        </is>
      </c>
      <c r="AH1415" s="0" t="n">
        <v>0</v>
      </c>
      <c r="AI1415" s="0" t="n">
        <v>267</v>
      </c>
      <c r="AJ1415" s="0" t="n">
        <v>26</v>
      </c>
      <c r="AK1415" s="0" t="n">
        <v>352</v>
      </c>
      <c r="AL1415" s="0" t="n">
        <v>1.18</v>
      </c>
    </row>
    <row r="1416">
      <c r="A1416" s="0" t="inlineStr">
        <is>
          <t>[만수동]</t>
        </is>
      </c>
      <c r="B1416" s="0" t="n">
        <v>8782</v>
      </c>
      <c r="C1416" s="0" t="n">
        <v>1</v>
      </c>
      <c r="D1416" s="0" t="inlineStr">
        <is>
          <t>성신3차</t>
        </is>
      </c>
      <c r="E1416" s="0" t="inlineStr">
        <is>
          <t>1987.10.</t>
        </is>
      </c>
      <c r="F1416" s="0" t="n">
        <v>210</v>
      </c>
      <c r="G1416" s="0" t="n">
        <v>17.79</v>
      </c>
      <c r="H1416" s="0" t="n">
        <v>58.82</v>
      </c>
      <c r="I1416" s="0" t="n">
        <v>13.43</v>
      </c>
      <c r="J1416" s="0" t="n">
        <v>44.4</v>
      </c>
      <c r="K1416" s="0" t="n">
        <v>5</v>
      </c>
      <c r="T1416" s="0" t="n">
        <v>3</v>
      </c>
      <c r="U1416" s="0" t="n">
        <v>1</v>
      </c>
      <c r="V1416" s="0" t="inlineStr">
        <is>
          <t>계단식</t>
        </is>
      </c>
      <c r="W1416" s="0" t="n">
        <v>58</v>
      </c>
      <c r="X1416" s="0" t="n">
        <v>5</v>
      </c>
      <c r="Y1416" s="0" t="n">
        <v>5</v>
      </c>
      <c r="Z1416" s="0" t="inlineStr">
        <is>
          <t>https://new.land.naver.com/complexes/8782?tab=detail&amp;rf=Y</t>
        </is>
      </c>
      <c r="AA1416" s="0" t="inlineStr">
        <is>
          <t>인천시 남동구 만수동 5-373</t>
        </is>
      </c>
      <c r="AB1416" s="0" t="inlineStr">
        <is>
          <t>인천시</t>
        </is>
      </c>
      <c r="AC1416" s="0" t="inlineStr">
        <is>
          <t>남동구</t>
        </is>
      </c>
      <c r="AD1416" s="0" t="inlineStr">
        <is>
          <t>만수동</t>
        </is>
      </c>
      <c r="AG1416" s="0" t="inlineStr">
        <is>
          <t>인천시 남동구</t>
        </is>
      </c>
      <c r="AH1416" s="0" t="n">
        <v>0</v>
      </c>
      <c r="AI1416" s="0" t="n">
        <v>115</v>
      </c>
      <c r="AJ1416" s="0" t="n">
        <v>0</v>
      </c>
      <c r="AK1416" s="0" t="n">
        <v>0</v>
      </c>
      <c r="AL1416" s="0" t="n">
        <v>0</v>
      </c>
    </row>
    <row r="1417">
      <c r="A1417" s="0" t="inlineStr">
        <is>
          <t>[만수동]</t>
        </is>
      </c>
      <c r="B1417" s="0" t="n">
        <v>8782</v>
      </c>
      <c r="C1417" s="0" t="n">
        <v>2</v>
      </c>
      <c r="D1417" s="0" t="inlineStr">
        <is>
          <t>성신3차</t>
        </is>
      </c>
      <c r="E1417" s="0" t="inlineStr">
        <is>
          <t>1987.10.</t>
        </is>
      </c>
      <c r="F1417" s="0" t="n">
        <v>210</v>
      </c>
      <c r="G1417" s="0" t="n">
        <v>18.76</v>
      </c>
      <c r="H1417" s="0" t="n">
        <v>62.03</v>
      </c>
      <c r="I1417" s="0" t="n">
        <v>14.88</v>
      </c>
      <c r="J1417" s="0" t="n">
        <v>49.2</v>
      </c>
      <c r="K1417" s="0" t="n">
        <v>200</v>
      </c>
      <c r="T1417" s="0" t="n">
        <v>3</v>
      </c>
      <c r="U1417" s="0" t="n">
        <v>1</v>
      </c>
      <c r="V1417" s="0" t="inlineStr">
        <is>
          <t>계단식</t>
        </is>
      </c>
      <c r="W1417" s="0" t="n">
        <v>62</v>
      </c>
      <c r="X1417" s="0" t="n">
        <v>5</v>
      </c>
      <c r="Y1417" s="0" t="n">
        <v>5</v>
      </c>
      <c r="Z1417" s="0" t="inlineStr">
        <is>
          <t>https://new.land.naver.com/complexes/8782?tab=detail&amp;rf=Y</t>
        </is>
      </c>
      <c r="AA1417" s="0" t="inlineStr">
        <is>
          <t>인천시 남동구 만수동 5-373</t>
        </is>
      </c>
      <c r="AB1417" s="0" t="inlineStr">
        <is>
          <t>인천시</t>
        </is>
      </c>
      <c r="AC1417" s="0" t="inlineStr">
        <is>
          <t>남동구</t>
        </is>
      </c>
      <c r="AD1417" s="0" t="inlineStr">
        <is>
          <t>만수동</t>
        </is>
      </c>
      <c r="AG1417" s="0" t="inlineStr">
        <is>
          <t>인천시 남동구</t>
        </is>
      </c>
      <c r="AH1417" s="0" t="n">
        <v>0</v>
      </c>
      <c r="AI1417" s="0" t="n">
        <v>115</v>
      </c>
      <c r="AJ1417" s="0" t="n">
        <v>0</v>
      </c>
      <c r="AK1417" s="0" t="n">
        <v>0</v>
      </c>
      <c r="AL1417" s="0" t="n">
        <v>0</v>
      </c>
    </row>
    <row r="1418">
      <c r="A1418" s="0" t="inlineStr">
        <is>
          <t>[만수동]</t>
        </is>
      </c>
      <c r="B1418" s="0" t="n">
        <v>8782</v>
      </c>
      <c r="C1418" s="0" t="n">
        <v>3</v>
      </c>
      <c r="D1418" s="0" t="inlineStr">
        <is>
          <t>성신3차</t>
        </is>
      </c>
      <c r="E1418" s="0" t="inlineStr">
        <is>
          <t>1987.10.</t>
        </is>
      </c>
      <c r="F1418" s="0" t="n">
        <v>210</v>
      </c>
      <c r="G1418" s="0" t="n">
        <v>25.24</v>
      </c>
      <c r="H1418" s="0" t="n">
        <v>83.45999999999999</v>
      </c>
      <c r="I1418" s="0" t="n">
        <v>19.36</v>
      </c>
      <c r="J1418" s="0" t="n">
        <v>64.02</v>
      </c>
      <c r="K1418" s="0" t="n">
        <v>5</v>
      </c>
      <c r="T1418" s="0" t="n">
        <v>3</v>
      </c>
      <c r="U1418" s="0" t="n">
        <v>1</v>
      </c>
      <c r="V1418" s="0" t="inlineStr">
        <is>
          <t>복합식</t>
        </is>
      </c>
      <c r="W1418" s="0" t="n">
        <v>83</v>
      </c>
      <c r="X1418" s="0" t="n">
        <v>5</v>
      </c>
      <c r="Y1418" s="0" t="n">
        <v>5</v>
      </c>
      <c r="Z1418" s="0" t="inlineStr">
        <is>
          <t>https://new.land.naver.com/complexes/8782?tab=detail&amp;rf=Y</t>
        </is>
      </c>
      <c r="AA1418" s="0" t="inlineStr">
        <is>
          <t>인천시 남동구 만수동 5-373</t>
        </is>
      </c>
      <c r="AB1418" s="0" t="inlineStr">
        <is>
          <t>인천시</t>
        </is>
      </c>
      <c r="AC1418" s="0" t="inlineStr">
        <is>
          <t>남동구</t>
        </is>
      </c>
      <c r="AD1418" s="0" t="inlineStr">
        <is>
          <t>만수동</t>
        </is>
      </c>
      <c r="AG1418" s="0" t="inlineStr">
        <is>
          <t>인천시 남동구</t>
        </is>
      </c>
      <c r="AH1418" s="0" t="n">
        <v>0</v>
      </c>
      <c r="AI1418" s="0" t="n">
        <v>115</v>
      </c>
      <c r="AJ1418" s="0" t="n">
        <v>0</v>
      </c>
      <c r="AK1418" s="0" t="n">
        <v>0</v>
      </c>
      <c r="AL1418" s="0" t="n">
        <v>0</v>
      </c>
    </row>
    <row r="1419">
      <c r="A1419" s="0" t="inlineStr">
        <is>
          <t>[만수동]</t>
        </is>
      </c>
      <c r="B1419" s="0" t="n">
        <v>8803</v>
      </c>
      <c r="C1419" s="0" t="n">
        <v>1</v>
      </c>
      <c r="D1419" s="0" t="inlineStr">
        <is>
          <t>아주1차</t>
        </is>
      </c>
      <c r="E1419" s="0" t="inlineStr">
        <is>
          <t>1986.09.</t>
        </is>
      </c>
      <c r="F1419" s="0" t="n">
        <v>165</v>
      </c>
      <c r="G1419" s="0" t="n">
        <v>15.08</v>
      </c>
      <c r="H1419" s="0" t="n">
        <v>49.87</v>
      </c>
      <c r="I1419" s="0" t="n">
        <v>11.87</v>
      </c>
      <c r="J1419" s="0" t="n">
        <v>39.24</v>
      </c>
      <c r="K1419" s="0" t="n">
        <v>40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49</v>
      </c>
      <c r="X1419" s="0" t="n">
        <v>5</v>
      </c>
      <c r="Y1419" s="0" t="n">
        <v>5</v>
      </c>
      <c r="Z1419" s="0" t="inlineStr">
        <is>
          <t>https://new.land.naver.com/complexes/8803?tab=detail&amp;rf=Y</t>
        </is>
      </c>
      <c r="AA1419" s="0" t="inlineStr">
        <is>
          <t>인천시 남동구 만수동 5-320</t>
        </is>
      </c>
      <c r="AB1419" s="0" t="inlineStr">
        <is>
          <t>인천시</t>
        </is>
      </c>
      <c r="AC1419" s="0" t="inlineStr">
        <is>
          <t>남동구</t>
        </is>
      </c>
      <c r="AD1419" s="0" t="inlineStr">
        <is>
          <t>만수동</t>
        </is>
      </c>
      <c r="AG1419" s="0" t="inlineStr">
        <is>
          <t>인천시 남동구 만수로105번길 18-18</t>
        </is>
      </c>
      <c r="AH1419" s="0" t="n">
        <v>0</v>
      </c>
      <c r="AI1419" s="0" t="n">
        <v>147</v>
      </c>
      <c r="AJ1419" s="0" t="n">
        <v>29</v>
      </c>
      <c r="AK1419" s="0" t="n">
        <v>0</v>
      </c>
      <c r="AL1419" s="0" t="n">
        <v>0</v>
      </c>
    </row>
    <row r="1420">
      <c r="A1420" s="0" t="inlineStr">
        <is>
          <t>[만수동]</t>
        </is>
      </c>
      <c r="B1420" s="0" t="n">
        <v>8803</v>
      </c>
      <c r="C1420" s="0" t="n">
        <v>2</v>
      </c>
      <c r="D1420" s="0" t="inlineStr">
        <is>
          <t>아주1차</t>
        </is>
      </c>
      <c r="E1420" s="0" t="inlineStr">
        <is>
          <t>1986.09.</t>
        </is>
      </c>
      <c r="F1420" s="0" t="n">
        <v>165</v>
      </c>
      <c r="G1420" s="0" t="n">
        <v>15.96</v>
      </c>
      <c r="H1420" s="0" t="n">
        <v>52.79</v>
      </c>
      <c r="I1420" s="0" t="n">
        <v>12.65</v>
      </c>
      <c r="J1420" s="0" t="n">
        <v>41.82</v>
      </c>
      <c r="K1420" s="0" t="n">
        <v>50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5</v>
      </c>
      <c r="Y1420" s="0" t="n">
        <v>5</v>
      </c>
      <c r="Z1420" s="0" t="inlineStr">
        <is>
          <t>https://new.land.naver.com/complexes/8803?tab=detail&amp;rf=Y</t>
        </is>
      </c>
      <c r="AA1420" s="0" t="inlineStr">
        <is>
          <t>인천시 남동구 만수동 5-320</t>
        </is>
      </c>
      <c r="AB1420" s="0" t="inlineStr">
        <is>
          <t>인천시</t>
        </is>
      </c>
      <c r="AC1420" s="0" t="inlineStr">
        <is>
          <t>남동구</t>
        </is>
      </c>
      <c r="AD1420" s="0" t="inlineStr">
        <is>
          <t>만수동</t>
        </is>
      </c>
      <c r="AG1420" s="0" t="inlineStr">
        <is>
          <t>인천시 남동구 만수로105번길 18-18</t>
        </is>
      </c>
      <c r="AH1420" s="0" t="n">
        <v>0</v>
      </c>
      <c r="AI1420" s="0" t="n">
        <v>147</v>
      </c>
      <c r="AJ1420" s="0" t="n">
        <v>29</v>
      </c>
      <c r="AK1420" s="0" t="n">
        <v>0</v>
      </c>
      <c r="AL1420" s="0" t="n">
        <v>0</v>
      </c>
    </row>
    <row r="1421">
      <c r="A1421" s="0" t="inlineStr">
        <is>
          <t>[만수동]</t>
        </is>
      </c>
      <c r="B1421" s="0" t="n">
        <v>8803</v>
      </c>
      <c r="C1421" s="0" t="n">
        <v>3</v>
      </c>
      <c r="D1421" s="0" t="inlineStr">
        <is>
          <t>아주1차</t>
        </is>
      </c>
      <c r="E1421" s="0" t="inlineStr">
        <is>
          <t>1986.09.</t>
        </is>
      </c>
      <c r="F1421" s="0" t="n">
        <v>165</v>
      </c>
      <c r="G1421" s="0" t="n">
        <v>16.21</v>
      </c>
      <c r="H1421" s="0" t="n">
        <v>53.6</v>
      </c>
      <c r="I1421" s="0" t="n">
        <v>12.86</v>
      </c>
      <c r="J1421" s="0" t="n">
        <v>42.54</v>
      </c>
      <c r="K1421" s="0" t="n">
        <v>65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5</v>
      </c>
      <c r="Y1421" s="0" t="n">
        <v>5</v>
      </c>
      <c r="Z1421" s="0" t="inlineStr">
        <is>
          <t>https://new.land.naver.com/complexes/8803?tab=detail&amp;rf=Y</t>
        </is>
      </c>
      <c r="AA1421" s="0" t="inlineStr">
        <is>
          <t>인천시 남동구 만수동 5-320</t>
        </is>
      </c>
      <c r="AB1421" s="0" t="inlineStr">
        <is>
          <t>인천시</t>
        </is>
      </c>
      <c r="AC1421" s="0" t="inlineStr">
        <is>
          <t>남동구</t>
        </is>
      </c>
      <c r="AD1421" s="0" t="inlineStr">
        <is>
          <t>만수동</t>
        </is>
      </c>
      <c r="AG1421" s="0" t="inlineStr">
        <is>
          <t>인천시 남동구 만수로105번길 18-18</t>
        </is>
      </c>
      <c r="AH1421" s="0" t="n">
        <v>0</v>
      </c>
      <c r="AI1421" s="0" t="n">
        <v>147</v>
      </c>
      <c r="AJ1421" s="0" t="n">
        <v>29</v>
      </c>
      <c r="AK1421" s="0" t="n">
        <v>0</v>
      </c>
      <c r="AL1421" s="0" t="n">
        <v>0</v>
      </c>
    </row>
    <row r="1422">
      <c r="A1422" s="0" t="inlineStr">
        <is>
          <t>[만수동]</t>
        </is>
      </c>
      <c r="B1422" s="0" t="n">
        <v>8803</v>
      </c>
      <c r="C1422" s="0" t="n">
        <v>4</v>
      </c>
      <c r="D1422" s="0" t="inlineStr">
        <is>
          <t>아주1차</t>
        </is>
      </c>
      <c r="E1422" s="0" t="inlineStr">
        <is>
          <t>1986.09.</t>
        </is>
      </c>
      <c r="F1422" s="0" t="n">
        <v>165</v>
      </c>
      <c r="G1422" s="0" t="n">
        <v>21.33</v>
      </c>
      <c r="H1422" s="0" t="n">
        <v>70.52</v>
      </c>
      <c r="I1422" s="0" t="n">
        <v>17.39</v>
      </c>
      <c r="J1422" s="0" t="n">
        <v>57.51</v>
      </c>
      <c r="K1422" s="0" t="n">
        <v>5</v>
      </c>
      <c r="T1422" s="0" t="n">
        <v>3</v>
      </c>
      <c r="U1422" s="0" t="n">
        <v>1</v>
      </c>
      <c r="V1422" s="0" t="inlineStr">
        <is>
          <t>계단식</t>
        </is>
      </c>
      <c r="W1422" s="0" t="n">
        <v>70</v>
      </c>
      <c r="X1422" s="0" t="n">
        <v>5</v>
      </c>
      <c r="Y1422" s="0" t="n">
        <v>5</v>
      </c>
      <c r="Z1422" s="0" t="inlineStr">
        <is>
          <t>https://new.land.naver.com/complexes/8803?tab=detail&amp;rf=Y</t>
        </is>
      </c>
      <c r="AA1422" s="0" t="inlineStr">
        <is>
          <t>인천시 남동구 만수동 5-320</t>
        </is>
      </c>
      <c r="AB1422" s="0" t="inlineStr">
        <is>
          <t>인천시</t>
        </is>
      </c>
      <c r="AC1422" s="0" t="inlineStr">
        <is>
          <t>남동구</t>
        </is>
      </c>
      <c r="AD1422" s="0" t="inlineStr">
        <is>
          <t>만수동</t>
        </is>
      </c>
      <c r="AG1422" s="0" t="inlineStr">
        <is>
          <t>인천시 남동구 만수로105번길 18-18</t>
        </is>
      </c>
      <c r="AH1422" s="0" t="n">
        <v>0</v>
      </c>
      <c r="AI1422" s="0" t="n">
        <v>147</v>
      </c>
      <c r="AJ1422" s="0" t="n">
        <v>29</v>
      </c>
      <c r="AK1422" s="0" t="n">
        <v>0</v>
      </c>
      <c r="AL1422" s="0" t="n">
        <v>0</v>
      </c>
    </row>
    <row r="1423">
      <c r="A1423" s="0" t="inlineStr">
        <is>
          <t>[만수동]</t>
        </is>
      </c>
      <c r="B1423" s="0" t="n">
        <v>8803</v>
      </c>
      <c r="C1423" s="0" t="n">
        <v>5</v>
      </c>
      <c r="D1423" s="0" t="inlineStr">
        <is>
          <t>아주1차</t>
        </is>
      </c>
      <c r="E1423" s="0" t="inlineStr">
        <is>
          <t>1986.09.</t>
        </is>
      </c>
      <c r="F1423" s="0" t="n">
        <v>165</v>
      </c>
      <c r="G1423" s="0" t="n">
        <v>22.15</v>
      </c>
      <c r="H1423" s="0" t="n">
        <v>73.23999999999999</v>
      </c>
      <c r="I1423" s="0" t="n">
        <v>18.12</v>
      </c>
      <c r="J1423" s="0" t="n">
        <v>59.92</v>
      </c>
      <c r="K1423" s="0" t="n">
        <v>5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5</v>
      </c>
      <c r="Y1423" s="0" t="n">
        <v>5</v>
      </c>
      <c r="Z1423" s="0" t="inlineStr">
        <is>
          <t>https://new.land.naver.com/complexes/8803?tab=detail&amp;rf=Y</t>
        </is>
      </c>
      <c r="AA1423" s="0" t="inlineStr">
        <is>
          <t>인천시 남동구 만수동 5-320</t>
        </is>
      </c>
      <c r="AB1423" s="0" t="inlineStr">
        <is>
          <t>인천시</t>
        </is>
      </c>
      <c r="AC1423" s="0" t="inlineStr">
        <is>
          <t>남동구</t>
        </is>
      </c>
      <c r="AD1423" s="0" t="inlineStr">
        <is>
          <t>만수동</t>
        </is>
      </c>
      <c r="AG1423" s="0" t="inlineStr">
        <is>
          <t>인천시 남동구 만수로105번길 18-18</t>
        </is>
      </c>
      <c r="AH1423" s="0" t="n">
        <v>0</v>
      </c>
      <c r="AI1423" s="0" t="n">
        <v>147</v>
      </c>
      <c r="AJ1423" s="0" t="n">
        <v>29</v>
      </c>
      <c r="AK1423" s="0" t="n">
        <v>0</v>
      </c>
      <c r="AL1423" s="0" t="n">
        <v>0</v>
      </c>
    </row>
    <row r="1424">
      <c r="A1424" s="0" t="inlineStr">
        <is>
          <t>[만수동]</t>
        </is>
      </c>
      <c r="B1424" s="0" t="n">
        <v>8374</v>
      </c>
      <c r="C1424" s="0" t="n">
        <v>1</v>
      </c>
      <c r="D1424" s="0" t="inlineStr">
        <is>
          <t>대동(5-397)</t>
        </is>
      </c>
      <c r="E1424" s="0" t="inlineStr">
        <is>
          <t>1989.10.</t>
        </is>
      </c>
      <c r="F1424" s="0" t="n">
        <v>432</v>
      </c>
      <c r="G1424" s="0" t="n">
        <v>17.91</v>
      </c>
      <c r="H1424" s="0" t="n">
        <v>59.23</v>
      </c>
      <c r="I1424" s="0" t="n">
        <v>14.13</v>
      </c>
      <c r="J1424" s="0" t="n">
        <v>46.74</v>
      </c>
      <c r="K1424" s="0" t="n">
        <v>84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59</v>
      </c>
      <c r="X1424" s="0" t="n">
        <v>6</v>
      </c>
      <c r="Y1424" s="0" t="n">
        <v>6</v>
      </c>
      <c r="Z1424" s="0" t="inlineStr">
        <is>
          <t>https://new.land.naver.com/complexes/8374?tab=detail&amp;rf=Y</t>
        </is>
      </c>
      <c r="AA1424" s="0" t="inlineStr">
        <is>
          <t>인천시 남동구 만수동 5-397</t>
        </is>
      </c>
      <c r="AB1424" s="0" t="inlineStr">
        <is>
          <t>인천시</t>
        </is>
      </c>
      <c r="AC1424" s="0" t="inlineStr">
        <is>
          <t>남동구</t>
        </is>
      </c>
      <c r="AD1424" s="0" t="inlineStr">
        <is>
          <t>만수동</t>
        </is>
      </c>
      <c r="AG1424" s="0" t="inlineStr">
        <is>
          <t>인천시 남동구 만수서로83번길 63-4</t>
        </is>
      </c>
      <c r="AH1424" s="0" t="n">
        <v>0</v>
      </c>
      <c r="AI1424" s="0" t="n">
        <v>178</v>
      </c>
      <c r="AJ1424" s="0" t="n">
        <v>29</v>
      </c>
      <c r="AK1424" s="0" t="n">
        <v>0</v>
      </c>
      <c r="AL1424" s="0" t="n">
        <v>0</v>
      </c>
    </row>
    <row r="1425">
      <c r="A1425" s="0" t="inlineStr">
        <is>
          <t>[만수동]</t>
        </is>
      </c>
      <c r="B1425" s="0" t="n">
        <v>8374</v>
      </c>
      <c r="C1425" s="0" t="n">
        <v>2</v>
      </c>
      <c r="D1425" s="0" t="inlineStr">
        <is>
          <t>대동(5-397)</t>
        </is>
      </c>
      <c r="E1425" s="0" t="inlineStr">
        <is>
          <t>1989.10.</t>
        </is>
      </c>
      <c r="F1425" s="0" t="n">
        <v>432</v>
      </c>
      <c r="G1425" s="0" t="n">
        <v>21.26</v>
      </c>
      <c r="H1425" s="0" t="n">
        <v>70.31</v>
      </c>
      <c r="I1425" s="0" t="n">
        <v>17.1</v>
      </c>
      <c r="J1425" s="0" t="n">
        <v>56.56</v>
      </c>
      <c r="K1425" s="0" t="n">
        <v>144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70</v>
      </c>
      <c r="X1425" s="0" t="n">
        <v>6</v>
      </c>
      <c r="Y1425" s="0" t="n">
        <v>6</v>
      </c>
      <c r="Z1425" s="0" t="inlineStr">
        <is>
          <t>https://new.land.naver.com/complexes/8374?tab=detail&amp;rf=Y</t>
        </is>
      </c>
      <c r="AA1425" s="0" t="inlineStr">
        <is>
          <t>인천시 남동구 만수동 5-397</t>
        </is>
      </c>
      <c r="AB1425" s="0" t="inlineStr">
        <is>
          <t>인천시</t>
        </is>
      </c>
      <c r="AC1425" s="0" t="inlineStr">
        <is>
          <t>남동구</t>
        </is>
      </c>
      <c r="AD1425" s="0" t="inlineStr">
        <is>
          <t>만수동</t>
        </is>
      </c>
      <c r="AG1425" s="0" t="inlineStr">
        <is>
          <t>인천시 남동구 만수서로83번길 63-4</t>
        </is>
      </c>
      <c r="AH1425" s="0" t="n">
        <v>0</v>
      </c>
      <c r="AI1425" s="0" t="n">
        <v>178</v>
      </c>
      <c r="AJ1425" s="0" t="n">
        <v>29</v>
      </c>
      <c r="AK1425" s="0" t="n">
        <v>0</v>
      </c>
      <c r="AL1425" s="0" t="n">
        <v>0</v>
      </c>
    </row>
    <row r="1426">
      <c r="A1426" s="0" t="inlineStr">
        <is>
          <t>[만수동]</t>
        </is>
      </c>
      <c r="B1426" s="0" t="n">
        <v>8374</v>
      </c>
      <c r="C1426" s="0" t="n">
        <v>3</v>
      </c>
      <c r="D1426" s="0" t="inlineStr">
        <is>
          <t>대동(5-397)</t>
        </is>
      </c>
      <c r="E1426" s="0" t="inlineStr">
        <is>
          <t>1989.10.</t>
        </is>
      </c>
      <c r="F1426" s="0" t="n">
        <v>432</v>
      </c>
      <c r="G1426" s="0" t="n">
        <v>22.38</v>
      </c>
      <c r="H1426" s="0" t="n">
        <v>74</v>
      </c>
      <c r="I1426" s="0" t="n">
        <v>18.09</v>
      </c>
      <c r="J1426" s="0" t="n">
        <v>59.83</v>
      </c>
      <c r="K1426" s="0" t="n">
        <v>144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74</v>
      </c>
      <c r="X1426" s="0" t="n">
        <v>6</v>
      </c>
      <c r="Y1426" s="0" t="n">
        <v>6</v>
      </c>
      <c r="Z1426" s="0" t="inlineStr">
        <is>
          <t>https://new.land.naver.com/complexes/8374?tab=detail&amp;rf=Y</t>
        </is>
      </c>
      <c r="AA1426" s="0" t="inlineStr">
        <is>
          <t>인천시 남동구 만수동 5-397</t>
        </is>
      </c>
      <c r="AB1426" s="0" t="inlineStr">
        <is>
          <t>인천시</t>
        </is>
      </c>
      <c r="AC1426" s="0" t="inlineStr">
        <is>
          <t>남동구</t>
        </is>
      </c>
      <c r="AD1426" s="0" t="inlineStr">
        <is>
          <t>만수동</t>
        </is>
      </c>
      <c r="AG1426" s="0" t="inlineStr">
        <is>
          <t>인천시 남동구 만수서로83번길 63-4</t>
        </is>
      </c>
      <c r="AH1426" s="0" t="n">
        <v>0</v>
      </c>
      <c r="AI1426" s="0" t="n">
        <v>178</v>
      </c>
      <c r="AJ1426" s="0" t="n">
        <v>29</v>
      </c>
      <c r="AK1426" s="0" t="n">
        <v>0</v>
      </c>
      <c r="AL1426" s="0" t="n">
        <v>0</v>
      </c>
    </row>
    <row r="1427">
      <c r="A1427" s="0" t="inlineStr">
        <is>
          <t>[만수동]</t>
        </is>
      </c>
      <c r="B1427" s="0" t="n">
        <v>8374</v>
      </c>
      <c r="C1427" s="0" t="n">
        <v>4</v>
      </c>
      <c r="D1427" s="0" t="inlineStr">
        <is>
          <t>대동(5-397)</t>
        </is>
      </c>
      <c r="E1427" s="0" t="inlineStr">
        <is>
          <t>1989.10.</t>
        </is>
      </c>
      <c r="F1427" s="0" t="n">
        <v>432</v>
      </c>
      <c r="G1427" s="0" t="n">
        <v>25.05</v>
      </c>
      <c r="H1427" s="0" t="n">
        <v>82.83</v>
      </c>
      <c r="I1427" s="0" t="n">
        <v>20.46</v>
      </c>
      <c r="J1427" s="0" t="n">
        <v>67.65000000000001</v>
      </c>
      <c r="K1427" s="0" t="n">
        <v>60</v>
      </c>
      <c r="T1427" s="0" t="n">
        <v>3</v>
      </c>
      <c r="U1427" s="0" t="n">
        <v>1</v>
      </c>
      <c r="V1427" s="0" t="inlineStr">
        <is>
          <t>계단식</t>
        </is>
      </c>
      <c r="W1427" s="0" t="n">
        <v>82</v>
      </c>
      <c r="X1427" s="0" t="n">
        <v>6</v>
      </c>
      <c r="Y1427" s="0" t="n">
        <v>6</v>
      </c>
      <c r="Z1427" s="0" t="inlineStr">
        <is>
          <t>https://new.land.naver.com/complexes/8374?tab=detail&amp;rf=Y</t>
        </is>
      </c>
      <c r="AA1427" s="0" t="inlineStr">
        <is>
          <t>인천시 남동구 만수동 5-397</t>
        </is>
      </c>
      <c r="AB1427" s="0" t="inlineStr">
        <is>
          <t>인천시</t>
        </is>
      </c>
      <c r="AC1427" s="0" t="inlineStr">
        <is>
          <t>남동구</t>
        </is>
      </c>
      <c r="AD1427" s="0" t="inlineStr">
        <is>
          <t>만수동</t>
        </is>
      </c>
      <c r="AG1427" s="0" t="inlineStr">
        <is>
          <t>인천시 남동구 만수서로83번길 63-4</t>
        </is>
      </c>
      <c r="AH1427" s="0" t="n">
        <v>0</v>
      </c>
      <c r="AI1427" s="0" t="n">
        <v>178</v>
      </c>
      <c r="AJ1427" s="0" t="n">
        <v>29</v>
      </c>
      <c r="AK1427" s="0" t="n">
        <v>0</v>
      </c>
      <c r="AL1427" s="0" t="n">
        <v>0</v>
      </c>
    </row>
    <row r="1428">
      <c r="A1428" s="0" t="inlineStr">
        <is>
          <t>[만수동]</t>
        </is>
      </c>
      <c r="B1428" s="0" t="n">
        <v>2316</v>
      </c>
      <c r="C1428" s="0" t="n">
        <v>1</v>
      </c>
      <c r="D1428" s="0" t="inlineStr">
        <is>
          <t>만수주공6단지</t>
        </is>
      </c>
      <c r="E1428" s="0" t="inlineStr">
        <is>
          <t>1986.10.</t>
        </is>
      </c>
      <c r="F1428" s="0" t="n">
        <v>800</v>
      </c>
      <c r="G1428" s="0" t="n">
        <v>13.28</v>
      </c>
      <c r="H1428" s="0" t="n">
        <v>43.92</v>
      </c>
      <c r="I1428" s="0" t="n">
        <v>11.65</v>
      </c>
      <c r="J1428" s="0" t="n">
        <v>38.52</v>
      </c>
      <c r="K1428" s="0" t="n">
        <v>440</v>
      </c>
      <c r="T1428" s="0" t="n">
        <v>2</v>
      </c>
      <c r="U1428" s="0" t="n">
        <v>1</v>
      </c>
      <c r="V1428" s="0" t="inlineStr">
        <is>
          <t>계단식</t>
        </is>
      </c>
      <c r="W1428" s="0" t="n">
        <v>43</v>
      </c>
      <c r="X1428" s="0" t="n">
        <v>5</v>
      </c>
      <c r="Y1428" s="0" t="n">
        <v>5</v>
      </c>
      <c r="Z1428" s="0" t="inlineStr">
        <is>
          <t>https://new.land.naver.com/complexes/2316?tab=detail&amp;rf=Y</t>
        </is>
      </c>
      <c r="AA1428" s="0" t="inlineStr">
        <is>
          <t>인천시 남동구 만수동 20</t>
        </is>
      </c>
      <c r="AB1428" s="0" t="inlineStr">
        <is>
          <t>인천시</t>
        </is>
      </c>
      <c r="AC1428" s="0" t="inlineStr">
        <is>
          <t>남동구</t>
        </is>
      </c>
      <c r="AD1428" s="0" t="inlineStr">
        <is>
          <t>만수동</t>
        </is>
      </c>
      <c r="AG1428" s="0" t="inlineStr">
        <is>
          <t>인천시 남동구 만수로50번길 19</t>
        </is>
      </c>
      <c r="AH1428" s="0" t="n">
        <v>0</v>
      </c>
      <c r="AI1428" s="0" t="n">
        <v>0</v>
      </c>
      <c r="AJ1428" s="0" t="n">
        <v>0</v>
      </c>
      <c r="AK1428" s="0" t="n">
        <v>0</v>
      </c>
      <c r="AL1428" s="0" t="n">
        <v>0</v>
      </c>
    </row>
    <row r="1429">
      <c r="A1429" s="0" t="inlineStr">
        <is>
          <t>[만수동]</t>
        </is>
      </c>
      <c r="B1429" s="0" t="n">
        <v>2316</v>
      </c>
      <c r="C1429" s="0" t="n">
        <v>2</v>
      </c>
      <c r="D1429" s="0" t="inlineStr">
        <is>
          <t>만수주공6단지</t>
        </is>
      </c>
      <c r="E1429" s="0" t="inlineStr">
        <is>
          <t>1986.10.</t>
        </is>
      </c>
      <c r="F1429" s="0" t="n">
        <v>800</v>
      </c>
      <c r="G1429" s="0" t="n">
        <v>15.92</v>
      </c>
      <c r="H1429" s="0" t="n">
        <v>52.65</v>
      </c>
      <c r="I1429" s="0" t="n">
        <v>14.29</v>
      </c>
      <c r="J1429" s="0" t="n">
        <v>47.25</v>
      </c>
      <c r="K1429" s="0" t="n">
        <v>360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https://new.land.naver.com/complexes/2316?tab=detail&amp;rf=Y</t>
        </is>
      </c>
      <c r="AA1429" s="0" t="inlineStr">
        <is>
          <t>인천시 남동구 만수동 20</t>
        </is>
      </c>
      <c r="AB1429" s="0" t="inlineStr">
        <is>
          <t>인천시</t>
        </is>
      </c>
      <c r="AC1429" s="0" t="inlineStr">
        <is>
          <t>남동구</t>
        </is>
      </c>
      <c r="AD1429" s="0" t="inlineStr">
        <is>
          <t>만수동</t>
        </is>
      </c>
      <c r="AG1429" s="0" t="inlineStr">
        <is>
          <t>인천시 남동구 만수로50번길 19</t>
        </is>
      </c>
      <c r="AH1429" s="0" t="n">
        <v>0</v>
      </c>
      <c r="AI1429" s="0" t="n">
        <v>0</v>
      </c>
      <c r="AJ1429" s="0" t="n">
        <v>0</v>
      </c>
      <c r="AK1429" s="0" t="n">
        <v>0</v>
      </c>
      <c r="AL1429" s="0" t="n">
        <v>0</v>
      </c>
    </row>
    <row r="1430">
      <c r="A1430" s="0" t="inlineStr">
        <is>
          <t>[만수동]</t>
        </is>
      </c>
      <c r="B1430" s="0" t="n">
        <v>13196</v>
      </c>
      <c r="C1430" s="0" t="n">
        <v>1</v>
      </c>
      <c r="D1430" s="0" t="inlineStr">
        <is>
          <t>산호마을포스트</t>
        </is>
      </c>
      <c r="E1430" s="0" t="inlineStr">
        <is>
          <t>2004.07.</t>
        </is>
      </c>
      <c r="F1430" s="0" t="n">
        <v>135</v>
      </c>
      <c r="G1430" s="0" t="n">
        <v>23.24</v>
      </c>
      <c r="H1430" s="0" t="n">
        <v>76.84</v>
      </c>
      <c r="I1430" s="0" t="n">
        <v>18.14</v>
      </c>
      <c r="J1430" s="0" t="n">
        <v>59.97</v>
      </c>
      <c r="K1430" s="0" t="n">
        <v>82</v>
      </c>
      <c r="T1430" s="0" t="n">
        <v>3</v>
      </c>
      <c r="U1430" s="0" t="n">
        <v>2</v>
      </c>
      <c r="V1430" s="0" t="inlineStr">
        <is>
          <t>계단식</t>
        </is>
      </c>
      <c r="W1430" s="0" t="n">
        <v>76</v>
      </c>
      <c r="X1430" s="0" t="n">
        <v>14</v>
      </c>
      <c r="Y1430" s="0" t="n">
        <v>10</v>
      </c>
      <c r="Z1430" s="0" t="inlineStr">
        <is>
          <t>https://new.land.naver.com/complexes/13196?tab=detail&amp;rf=Y</t>
        </is>
      </c>
      <c r="AA1430" s="0" t="inlineStr">
        <is>
          <t>인천시 남동구 만수동 844-125</t>
        </is>
      </c>
      <c r="AB1430" s="0" t="inlineStr">
        <is>
          <t>인천시</t>
        </is>
      </c>
      <c r="AC1430" s="0" t="inlineStr">
        <is>
          <t>남동구</t>
        </is>
      </c>
      <c r="AD1430" s="0" t="inlineStr">
        <is>
          <t>만수동</t>
        </is>
      </c>
      <c r="AG1430" s="0" t="inlineStr">
        <is>
          <t>인천시 남동구 서판로 22</t>
        </is>
      </c>
      <c r="AH1430" s="0" t="n">
        <v>0</v>
      </c>
      <c r="AI1430" s="0" t="n">
        <v>247</v>
      </c>
      <c r="AJ1430" s="0" t="n">
        <v>22</v>
      </c>
      <c r="AK1430" s="0" t="n">
        <v>135</v>
      </c>
      <c r="AL1430" s="0" t="n">
        <v>1</v>
      </c>
    </row>
    <row r="1431">
      <c r="A1431" s="0" t="inlineStr">
        <is>
          <t>[만수동]</t>
        </is>
      </c>
      <c r="B1431" s="0" t="n">
        <v>13196</v>
      </c>
      <c r="C1431" s="0" t="n">
        <v>2</v>
      </c>
      <c r="D1431" s="0" t="inlineStr">
        <is>
          <t>산호마을포스트</t>
        </is>
      </c>
      <c r="E1431" s="0" t="inlineStr">
        <is>
          <t>2004.07.</t>
        </is>
      </c>
      <c r="F1431" s="0" t="n">
        <v>135</v>
      </c>
      <c r="G1431" s="0" t="n">
        <v>24.42</v>
      </c>
      <c r="H1431" s="0" t="n">
        <v>80.76000000000001</v>
      </c>
      <c r="I1431" s="0" t="n">
        <v>19.03</v>
      </c>
      <c r="J1431" s="0" t="n">
        <v>62.94</v>
      </c>
      <c r="K1431" s="0" t="n">
        <v>26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80</v>
      </c>
      <c r="X1431" s="0" t="n">
        <v>14</v>
      </c>
      <c r="Y1431" s="0" t="n">
        <v>10</v>
      </c>
      <c r="Z1431" s="0" t="inlineStr">
        <is>
          <t>https://new.land.naver.com/complexes/13196?tab=detail&amp;rf=Y</t>
        </is>
      </c>
      <c r="AA1431" s="0" t="inlineStr">
        <is>
          <t>인천시 남동구 만수동 844-125</t>
        </is>
      </c>
      <c r="AB1431" s="0" t="inlineStr">
        <is>
          <t>인천시</t>
        </is>
      </c>
      <c r="AC1431" s="0" t="inlineStr">
        <is>
          <t>남동구</t>
        </is>
      </c>
      <c r="AD1431" s="0" t="inlineStr">
        <is>
          <t>만수동</t>
        </is>
      </c>
      <c r="AG1431" s="0" t="inlineStr">
        <is>
          <t>인천시 남동구 서판로 22</t>
        </is>
      </c>
      <c r="AH1431" s="0" t="n">
        <v>0</v>
      </c>
      <c r="AI1431" s="0" t="n">
        <v>247</v>
      </c>
      <c r="AJ1431" s="0" t="n">
        <v>22</v>
      </c>
      <c r="AK1431" s="0" t="n">
        <v>135</v>
      </c>
      <c r="AL1431" s="0" t="n">
        <v>1</v>
      </c>
    </row>
    <row r="1432">
      <c r="A1432" s="0" t="inlineStr">
        <is>
          <t>[만수동]</t>
        </is>
      </c>
      <c r="B1432" s="0" t="n">
        <v>13196</v>
      </c>
      <c r="C1432" s="0" t="n">
        <v>3</v>
      </c>
      <c r="D1432" s="0" t="inlineStr">
        <is>
          <t>산호마을포스트</t>
        </is>
      </c>
      <c r="E1432" s="0" t="inlineStr">
        <is>
          <t>2004.07.</t>
        </is>
      </c>
      <c r="F1432" s="0" t="n">
        <v>135</v>
      </c>
      <c r="G1432" s="0" t="n">
        <v>32.79</v>
      </c>
      <c r="H1432" s="0" t="n">
        <v>108.4</v>
      </c>
      <c r="I1432" s="0" t="n">
        <v>25.68</v>
      </c>
      <c r="J1432" s="0" t="n">
        <v>84.92</v>
      </c>
      <c r="K1432" s="0" t="n">
        <v>27</v>
      </c>
      <c r="T1432" s="0" t="n">
        <v>3</v>
      </c>
      <c r="U1432" s="0" t="n">
        <v>2</v>
      </c>
      <c r="V1432" s="0" t="inlineStr">
        <is>
          <t>계단식</t>
        </is>
      </c>
      <c r="W1432" s="0" t="n">
        <v>108</v>
      </c>
      <c r="X1432" s="0" t="n">
        <v>14</v>
      </c>
      <c r="Y1432" s="0" t="n">
        <v>10</v>
      </c>
      <c r="Z1432" s="0" t="inlineStr">
        <is>
          <t>https://new.land.naver.com/complexes/13196?tab=detail&amp;rf=Y</t>
        </is>
      </c>
      <c r="AA1432" s="0" t="inlineStr">
        <is>
          <t>인천시 남동구 만수동 844-125</t>
        </is>
      </c>
      <c r="AB1432" s="0" t="inlineStr">
        <is>
          <t>인천시</t>
        </is>
      </c>
      <c r="AC1432" s="0" t="inlineStr">
        <is>
          <t>남동구</t>
        </is>
      </c>
      <c r="AD1432" s="0" t="inlineStr">
        <is>
          <t>만수동</t>
        </is>
      </c>
      <c r="AG1432" s="0" t="inlineStr">
        <is>
          <t>인천시 남동구 서판로 22</t>
        </is>
      </c>
      <c r="AH1432" s="0" t="n">
        <v>0</v>
      </c>
      <c r="AI1432" s="0" t="n">
        <v>247</v>
      </c>
      <c r="AJ1432" s="0" t="n">
        <v>22</v>
      </c>
      <c r="AK1432" s="0" t="n">
        <v>135</v>
      </c>
      <c r="AL1432" s="0" t="n">
        <v>1</v>
      </c>
    </row>
    <row r="1433">
      <c r="A1433" s="0" t="inlineStr">
        <is>
          <t>[만수동]</t>
        </is>
      </c>
      <c r="B1433" s="0" t="n">
        <v>2300</v>
      </c>
      <c r="C1433" s="0" t="n">
        <v>1</v>
      </c>
      <c r="D1433" s="0" t="inlineStr">
        <is>
          <t>광명</t>
        </is>
      </c>
      <c r="E1433" s="0" t="inlineStr">
        <is>
          <t>1991.11.</t>
        </is>
      </c>
      <c r="F1433" s="0" t="n">
        <v>870</v>
      </c>
      <c r="G1433" s="0" t="n">
        <v>27.79</v>
      </c>
      <c r="H1433" s="0" t="n">
        <v>91.88</v>
      </c>
      <c r="I1433" s="0" t="n">
        <v>22.59</v>
      </c>
      <c r="J1433" s="0" t="n">
        <v>74.68000000000001</v>
      </c>
      <c r="K1433" s="0" t="n">
        <v>120</v>
      </c>
      <c r="T1433" s="0" t="n">
        <v>3</v>
      </c>
      <c r="U1433" s="0" t="n">
        <v>1</v>
      </c>
      <c r="V1433" s="0" t="inlineStr">
        <is>
          <t>계단식</t>
        </is>
      </c>
      <c r="W1433" s="0" t="n">
        <v>91</v>
      </c>
      <c r="X1433" s="0" t="n">
        <v>15</v>
      </c>
      <c r="Y1433" s="0" t="n">
        <v>15</v>
      </c>
      <c r="Z1433" s="0" t="inlineStr">
        <is>
          <t>https://new.land.naver.com/complexes/2300?tab=detail&amp;rf=Y</t>
        </is>
      </c>
      <c r="AA1433" s="0" t="inlineStr">
        <is>
          <t>인천시 남동구 만수동 1042</t>
        </is>
      </c>
      <c r="AB1433" s="0" t="inlineStr">
        <is>
          <t>인천시</t>
        </is>
      </c>
      <c r="AC1433" s="0" t="inlineStr">
        <is>
          <t>남동구</t>
        </is>
      </c>
      <c r="AD1433" s="0" t="inlineStr">
        <is>
          <t>만수동</t>
        </is>
      </c>
      <c r="AG1433" s="0" t="inlineStr">
        <is>
          <t>인천시 남동구 담방로21번길 24</t>
        </is>
      </c>
      <c r="AH1433" s="0" t="n">
        <v>0</v>
      </c>
      <c r="AI1433" s="0" t="n">
        <v>122</v>
      </c>
      <c r="AJ1433" s="0" t="n">
        <v>19</v>
      </c>
      <c r="AK1433" s="0" t="n">
        <v>0</v>
      </c>
      <c r="AL1433" s="0" t="n">
        <v>0</v>
      </c>
    </row>
    <row r="1434">
      <c r="A1434" s="0" t="inlineStr">
        <is>
          <t>[만수동]</t>
        </is>
      </c>
      <c r="B1434" s="0" t="n">
        <v>2300</v>
      </c>
      <c r="C1434" s="0" t="n">
        <v>2</v>
      </c>
      <c r="D1434" s="0" t="inlineStr">
        <is>
          <t>광명</t>
        </is>
      </c>
      <c r="E1434" s="0" t="inlineStr">
        <is>
          <t>1991.11.</t>
        </is>
      </c>
      <c r="F1434" s="0" t="n">
        <v>870</v>
      </c>
      <c r="G1434" s="0" t="n">
        <v>31.03</v>
      </c>
      <c r="H1434" s="0" t="n">
        <v>102.61</v>
      </c>
      <c r="I1434" s="0" t="n">
        <v>25.52</v>
      </c>
      <c r="J1434" s="0" t="n">
        <v>84.38</v>
      </c>
      <c r="K1434" s="0" t="n">
        <v>750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102</v>
      </c>
      <c r="X1434" s="0" t="n">
        <v>15</v>
      </c>
      <c r="Y1434" s="0" t="n">
        <v>15</v>
      </c>
      <c r="Z1434" s="0" t="inlineStr">
        <is>
          <t>https://new.land.naver.com/complexes/2300?tab=detail&amp;rf=Y</t>
        </is>
      </c>
      <c r="AA1434" s="0" t="inlineStr">
        <is>
          <t>인천시 남동구 만수동 1042</t>
        </is>
      </c>
      <c r="AB1434" s="0" t="inlineStr">
        <is>
          <t>인천시</t>
        </is>
      </c>
      <c r="AC1434" s="0" t="inlineStr">
        <is>
          <t>남동구</t>
        </is>
      </c>
      <c r="AD1434" s="0" t="inlineStr">
        <is>
          <t>만수동</t>
        </is>
      </c>
      <c r="AG1434" s="0" t="inlineStr">
        <is>
          <t>인천시 남동구 담방로21번길 24</t>
        </is>
      </c>
      <c r="AH1434" s="0" t="n">
        <v>0</v>
      </c>
      <c r="AI1434" s="0" t="n">
        <v>122</v>
      </c>
      <c r="AJ1434" s="0" t="n">
        <v>19</v>
      </c>
      <c r="AK1434" s="0" t="n">
        <v>0</v>
      </c>
      <c r="AL1434" s="0" t="n">
        <v>0</v>
      </c>
    </row>
    <row r="1435">
      <c r="A1435" s="0" t="inlineStr">
        <is>
          <t>[만수동]</t>
        </is>
      </c>
      <c r="B1435" s="0" t="n">
        <v>8847</v>
      </c>
      <c r="C1435" s="0" t="n">
        <v>1</v>
      </c>
      <c r="D1435" s="0" t="inlineStr">
        <is>
          <t>영풍1차</t>
        </is>
      </c>
      <c r="E1435" s="0" t="inlineStr">
        <is>
          <t>1997.09.</t>
        </is>
      </c>
      <c r="F1435" s="0" t="n">
        <v>132</v>
      </c>
      <c r="G1435" s="0" t="n">
        <v>24.69</v>
      </c>
      <c r="H1435" s="0" t="n">
        <v>81.64</v>
      </c>
      <c r="I1435" s="0" t="n">
        <v>18.1</v>
      </c>
      <c r="J1435" s="0" t="n">
        <v>59.86</v>
      </c>
      <c r="K1435" s="0" t="n">
        <v>66</v>
      </c>
      <c r="T1435" s="0" t="n">
        <v>3</v>
      </c>
      <c r="U1435" s="0" t="n">
        <v>1</v>
      </c>
      <c r="V1435" s="0" t="inlineStr">
        <is>
          <t>계단식</t>
        </is>
      </c>
      <c r="W1435" s="0" t="n">
        <v>81</v>
      </c>
      <c r="X1435" s="0" t="n">
        <v>18</v>
      </c>
      <c r="Y1435" s="0" t="n">
        <v>12</v>
      </c>
      <c r="Z1435" s="0" t="inlineStr">
        <is>
          <t>https://new.land.naver.com/complexes/8847?tab=detail&amp;rf=Y</t>
        </is>
      </c>
      <c r="AA1435" s="0" t="inlineStr">
        <is>
          <t>인천시 남동구 만수동 848</t>
        </is>
      </c>
      <c r="AB1435" s="0" t="inlineStr">
        <is>
          <t>인천시</t>
        </is>
      </c>
      <c r="AC1435" s="0" t="inlineStr">
        <is>
          <t>남동구</t>
        </is>
      </c>
      <c r="AD1435" s="0" t="inlineStr">
        <is>
          <t>만수동</t>
        </is>
      </c>
      <c r="AG1435" s="0" t="inlineStr">
        <is>
          <t>인천시 남동구 백범로248번길 20</t>
        </is>
      </c>
      <c r="AH1435" s="0" t="n">
        <v>0</v>
      </c>
      <c r="AI1435" s="0" t="n">
        <v>241</v>
      </c>
      <c r="AJ1435" s="0" t="n">
        <v>19</v>
      </c>
      <c r="AK1435" s="0" t="n">
        <v>0</v>
      </c>
      <c r="AL1435" s="0" t="n">
        <v>0</v>
      </c>
    </row>
    <row r="1436">
      <c r="A1436" s="0" t="inlineStr">
        <is>
          <t>[만수동]</t>
        </is>
      </c>
      <c r="B1436" s="0" t="n">
        <v>8847</v>
      </c>
      <c r="C1436" s="0" t="n">
        <v>2</v>
      </c>
      <c r="D1436" s="0" t="inlineStr">
        <is>
          <t>영풍1차</t>
        </is>
      </c>
      <c r="E1436" s="0" t="inlineStr">
        <is>
          <t>1997.09.</t>
        </is>
      </c>
      <c r="F1436" s="0" t="n">
        <v>132</v>
      </c>
      <c r="G1436" s="0" t="n">
        <v>32.65</v>
      </c>
      <c r="H1436" s="0" t="n">
        <v>107.96</v>
      </c>
      <c r="I1436" s="0" t="n">
        <v>25.68</v>
      </c>
      <c r="J1436" s="0" t="n">
        <v>84.90000000000001</v>
      </c>
      <c r="K1436" s="0" t="n">
        <v>36</v>
      </c>
      <c r="T1436" s="0" t="n">
        <v>3</v>
      </c>
      <c r="U1436" s="0" t="n">
        <v>2</v>
      </c>
      <c r="V1436" s="0" t="inlineStr">
        <is>
          <t>계단식</t>
        </is>
      </c>
      <c r="W1436" s="0" t="n">
        <v>107</v>
      </c>
      <c r="X1436" s="0" t="n">
        <v>18</v>
      </c>
      <c r="Y1436" s="0" t="n">
        <v>12</v>
      </c>
      <c r="Z1436" s="0" t="inlineStr">
        <is>
          <t>https://new.land.naver.com/complexes/8847?tab=detail&amp;rf=Y</t>
        </is>
      </c>
      <c r="AA1436" s="0" t="inlineStr">
        <is>
          <t>인천시 남동구 만수동 848</t>
        </is>
      </c>
      <c r="AB1436" s="0" t="inlineStr">
        <is>
          <t>인천시</t>
        </is>
      </c>
      <c r="AC1436" s="0" t="inlineStr">
        <is>
          <t>남동구</t>
        </is>
      </c>
      <c r="AD1436" s="0" t="inlineStr">
        <is>
          <t>만수동</t>
        </is>
      </c>
      <c r="AG1436" s="0" t="inlineStr">
        <is>
          <t>인천시 남동구 백범로248번길 20</t>
        </is>
      </c>
      <c r="AH1436" s="0" t="n">
        <v>0</v>
      </c>
      <c r="AI1436" s="0" t="n">
        <v>241</v>
      </c>
      <c r="AJ1436" s="0" t="n">
        <v>19</v>
      </c>
      <c r="AK1436" s="0" t="n">
        <v>0</v>
      </c>
      <c r="AL1436" s="0" t="n">
        <v>0</v>
      </c>
    </row>
    <row r="1437">
      <c r="A1437" s="0" t="inlineStr">
        <is>
          <t>[만수동]</t>
        </is>
      </c>
      <c r="B1437" s="0" t="n">
        <v>8847</v>
      </c>
      <c r="C1437" s="0" t="n">
        <v>3</v>
      </c>
      <c r="D1437" s="0" t="inlineStr">
        <is>
          <t>영풍1차</t>
        </is>
      </c>
      <c r="E1437" s="0" t="inlineStr">
        <is>
          <t>1997.09.</t>
        </is>
      </c>
      <c r="F1437" s="0" t="n">
        <v>132</v>
      </c>
      <c r="G1437" s="0" t="n">
        <v>45.96</v>
      </c>
      <c r="H1437" s="0" t="n">
        <v>151.95</v>
      </c>
      <c r="I1437" s="0" t="n">
        <v>36.97</v>
      </c>
      <c r="J1437" s="0" t="n">
        <v>122.22</v>
      </c>
      <c r="K1437" s="0" t="n">
        <v>30</v>
      </c>
      <c r="T1437" s="0" t="n">
        <v>4</v>
      </c>
      <c r="U1437" s="0" t="n">
        <v>2</v>
      </c>
      <c r="V1437" s="0" t="inlineStr">
        <is>
          <t>계단식</t>
        </is>
      </c>
      <c r="W1437" s="0" t="n">
        <v>151</v>
      </c>
      <c r="X1437" s="0" t="n">
        <v>18</v>
      </c>
      <c r="Y1437" s="0" t="n">
        <v>12</v>
      </c>
      <c r="Z1437" s="0" t="inlineStr">
        <is>
          <t>https://new.land.naver.com/complexes/8847?tab=detail&amp;rf=Y</t>
        </is>
      </c>
      <c r="AA1437" s="0" t="inlineStr">
        <is>
          <t>인천시 남동구 만수동 848</t>
        </is>
      </c>
      <c r="AB1437" s="0" t="inlineStr">
        <is>
          <t>인천시</t>
        </is>
      </c>
      <c r="AC1437" s="0" t="inlineStr">
        <is>
          <t>남동구</t>
        </is>
      </c>
      <c r="AD1437" s="0" t="inlineStr">
        <is>
          <t>만수동</t>
        </is>
      </c>
      <c r="AG1437" s="0" t="inlineStr">
        <is>
          <t>인천시 남동구 백범로248번길 20</t>
        </is>
      </c>
      <c r="AH1437" s="0" t="n">
        <v>0</v>
      </c>
      <c r="AI1437" s="0" t="n">
        <v>241</v>
      </c>
      <c r="AJ1437" s="0" t="n">
        <v>19</v>
      </c>
      <c r="AK1437" s="0" t="n">
        <v>0</v>
      </c>
      <c r="AL1437" s="0" t="n">
        <v>0</v>
      </c>
    </row>
    <row r="1438">
      <c r="A1438" s="0" t="inlineStr">
        <is>
          <t>[만수동]</t>
        </is>
      </c>
      <c r="B1438" s="0" t="n">
        <v>9630</v>
      </c>
      <c r="C1438" s="0" t="n">
        <v>1</v>
      </c>
      <c r="D1438" s="0" t="inlineStr">
        <is>
          <t>이삭2단지</t>
        </is>
      </c>
      <c r="E1438" s="0" t="inlineStr">
        <is>
          <t>1999.08.</t>
        </is>
      </c>
      <c r="F1438" s="0" t="n">
        <v>48</v>
      </c>
      <c r="G1438" s="0" t="n">
        <v>43.03</v>
      </c>
      <c r="H1438" s="0" t="n">
        <v>142.28</v>
      </c>
      <c r="I1438" s="0" t="n">
        <v>36.07</v>
      </c>
      <c r="J1438" s="0" t="n">
        <v>119.24</v>
      </c>
      <c r="K1438" s="0" t="n">
        <v>44</v>
      </c>
      <c r="T1438" s="0" t="n">
        <v>4</v>
      </c>
      <c r="U1438" s="0" t="n">
        <v>2</v>
      </c>
      <c r="V1438" s="0" t="inlineStr">
        <is>
          <t>계단식</t>
        </is>
      </c>
      <c r="W1438" s="0" t="n">
        <v>142</v>
      </c>
      <c r="X1438" s="0" t="n">
        <v>13</v>
      </c>
      <c r="Y1438" s="0" t="n">
        <v>13</v>
      </c>
      <c r="Z1438" s="0" t="inlineStr">
        <is>
          <t>https://new.land.naver.com/complexes/9630?tab=detail&amp;rf=Y</t>
        </is>
      </c>
      <c r="AA1438" s="0" t="inlineStr">
        <is>
          <t>인천시 남동구 만수동 1085-7</t>
        </is>
      </c>
      <c r="AB1438" s="0" t="inlineStr">
        <is>
          <t>인천시</t>
        </is>
      </c>
      <c r="AC1438" s="0" t="inlineStr">
        <is>
          <t>남동구</t>
        </is>
      </c>
      <c r="AD1438" s="0" t="inlineStr">
        <is>
          <t>만수동</t>
        </is>
      </c>
      <c r="AG1438" s="0" t="inlineStr">
        <is>
          <t>인천시 남동구 담방서로23번길 5</t>
        </is>
      </c>
      <c r="AH1438" s="0" t="n">
        <v>0</v>
      </c>
      <c r="AI1438" s="0" t="n">
        <v>257</v>
      </c>
      <c r="AJ1438" s="0" t="n">
        <v>51</v>
      </c>
      <c r="AK1438" s="0" t="n">
        <v>85</v>
      </c>
      <c r="AL1438" s="0" t="n">
        <v>1.77</v>
      </c>
    </row>
    <row r="1439">
      <c r="A1439" s="0" t="inlineStr">
        <is>
          <t>[만수동]</t>
        </is>
      </c>
      <c r="B1439" s="0" t="n">
        <v>9630</v>
      </c>
      <c r="C1439" s="0" t="n">
        <v>2</v>
      </c>
      <c r="D1439" s="0" t="inlineStr">
        <is>
          <t>이삭2단지</t>
        </is>
      </c>
      <c r="E1439" s="0" t="inlineStr">
        <is>
          <t>1999.08.</t>
        </is>
      </c>
      <c r="F1439" s="0" t="n">
        <v>48</v>
      </c>
      <c r="G1439" s="0" t="n">
        <v>57.2</v>
      </c>
      <c r="H1439" s="0" t="n">
        <v>189.1</v>
      </c>
      <c r="I1439" s="0" t="n">
        <v>47.94</v>
      </c>
      <c r="J1439" s="0" t="n">
        <v>158.48</v>
      </c>
      <c r="K1439" s="0" t="n">
        <v>4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189</v>
      </c>
      <c r="X1439" s="0" t="n">
        <v>13</v>
      </c>
      <c r="Y1439" s="0" t="n">
        <v>13</v>
      </c>
      <c r="Z1439" s="0" t="inlineStr">
        <is>
          <t>https://new.land.naver.com/complexes/9630?tab=detail&amp;rf=Y</t>
        </is>
      </c>
      <c r="AA1439" s="0" t="inlineStr">
        <is>
          <t>인천시 남동구 만수동 1085-7</t>
        </is>
      </c>
      <c r="AB1439" s="0" t="inlineStr">
        <is>
          <t>인천시</t>
        </is>
      </c>
      <c r="AC1439" s="0" t="inlineStr">
        <is>
          <t>남동구</t>
        </is>
      </c>
      <c r="AD1439" s="0" t="inlineStr">
        <is>
          <t>만수동</t>
        </is>
      </c>
      <c r="AG1439" s="0" t="inlineStr">
        <is>
          <t>인천시 남동구 담방서로23번길 5</t>
        </is>
      </c>
      <c r="AH1439" s="0" t="n">
        <v>0</v>
      </c>
      <c r="AI1439" s="0" t="n">
        <v>257</v>
      </c>
      <c r="AJ1439" s="0" t="n">
        <v>51</v>
      </c>
      <c r="AK1439" s="0" t="n">
        <v>85</v>
      </c>
      <c r="AL1439" s="0" t="n">
        <v>1.77</v>
      </c>
    </row>
    <row r="1440">
      <c r="A1440" s="0" t="inlineStr">
        <is>
          <t>[만수동]</t>
        </is>
      </c>
      <c r="B1440" s="0" t="n">
        <v>11690</v>
      </c>
      <c r="C1440" s="0" t="n">
        <v>1</v>
      </c>
      <c r="D1440" s="0" t="inlineStr">
        <is>
          <t>태화</t>
        </is>
      </c>
      <c r="E1440" s="0" t="inlineStr">
        <is>
          <t>1994.09.</t>
        </is>
      </c>
      <c r="F1440" s="0" t="n">
        <v>96</v>
      </c>
      <c r="G1440" s="0" t="n">
        <v>17.53</v>
      </c>
      <c r="H1440" s="0" t="n">
        <v>57.98</v>
      </c>
      <c r="I1440" s="0" t="n">
        <v>12.68</v>
      </c>
      <c r="J1440" s="0" t="n">
        <v>41.94</v>
      </c>
      <c r="K1440" s="0" t="n">
        <v>5</v>
      </c>
      <c r="T1440" s="0" t="n">
        <v>2</v>
      </c>
      <c r="U1440" s="0" t="n">
        <v>1</v>
      </c>
      <c r="V1440" s="0" t="inlineStr">
        <is>
          <t>계단식</t>
        </is>
      </c>
      <c r="W1440" s="0" t="n">
        <v>57</v>
      </c>
      <c r="X1440" s="0" t="n">
        <v>10</v>
      </c>
      <c r="Y1440" s="0" t="n">
        <v>10</v>
      </c>
      <c r="Z1440" s="0" t="inlineStr">
        <is>
          <t>https://new.land.naver.com/complexes/11690?tab=detail&amp;rf=Y</t>
        </is>
      </c>
      <c r="AA1440" s="0" t="inlineStr">
        <is>
          <t>인천시 남동구 만수동 5-9</t>
        </is>
      </c>
      <c r="AB1440" s="0" t="inlineStr">
        <is>
          <t>인천시</t>
        </is>
      </c>
      <c r="AC1440" s="0" t="inlineStr">
        <is>
          <t>남동구</t>
        </is>
      </c>
      <c r="AD1440" s="0" t="inlineStr">
        <is>
          <t>만수동</t>
        </is>
      </c>
      <c r="AG1440" s="0" t="inlineStr">
        <is>
          <t>인천시 남동구 만수로75번길 21</t>
        </is>
      </c>
      <c r="AH1440" s="0" t="n">
        <v>0</v>
      </c>
      <c r="AI1440" s="0" t="n">
        <v>404</v>
      </c>
      <c r="AJ1440" s="0" t="n">
        <v>67</v>
      </c>
      <c r="AK1440" s="0" t="n">
        <v>40</v>
      </c>
      <c r="AL1440" s="0" t="n">
        <v>0.42</v>
      </c>
    </row>
    <row r="1441">
      <c r="A1441" s="0" t="inlineStr">
        <is>
          <t>[만수동]</t>
        </is>
      </c>
      <c r="B1441" s="0" t="n">
        <v>11690</v>
      </c>
      <c r="C1441" s="0" t="n">
        <v>2</v>
      </c>
      <c r="D1441" s="0" t="inlineStr">
        <is>
          <t>태화</t>
        </is>
      </c>
      <c r="E1441" s="0" t="inlineStr">
        <is>
          <t>1994.09.</t>
        </is>
      </c>
      <c r="F1441" s="0" t="n">
        <v>96</v>
      </c>
      <c r="G1441" s="0" t="n">
        <v>21.3</v>
      </c>
      <c r="H1441" s="0" t="n">
        <v>70.42</v>
      </c>
      <c r="I1441" s="0" t="n">
        <v>15.4</v>
      </c>
      <c r="J1441" s="0" t="n">
        <v>50.94</v>
      </c>
      <c r="K1441" s="0" t="n">
        <v>8</v>
      </c>
      <c r="T1441" s="0" t="n">
        <v>3</v>
      </c>
      <c r="U1441" s="0" t="n">
        <v>1</v>
      </c>
      <c r="V1441" s="0" t="inlineStr">
        <is>
          <t>계단식</t>
        </is>
      </c>
      <c r="W1441" s="0" t="n">
        <v>70</v>
      </c>
      <c r="X1441" s="0" t="n">
        <v>10</v>
      </c>
      <c r="Y1441" s="0" t="n">
        <v>10</v>
      </c>
      <c r="Z1441" s="0" t="inlineStr">
        <is>
          <t>https://new.land.naver.com/complexes/11690?tab=detail&amp;rf=Y</t>
        </is>
      </c>
      <c r="AA1441" s="0" t="inlineStr">
        <is>
          <t>인천시 남동구 만수동 5-9</t>
        </is>
      </c>
      <c r="AB1441" s="0" t="inlineStr">
        <is>
          <t>인천시</t>
        </is>
      </c>
      <c r="AC1441" s="0" t="inlineStr">
        <is>
          <t>남동구</t>
        </is>
      </c>
      <c r="AD1441" s="0" t="inlineStr">
        <is>
          <t>만수동</t>
        </is>
      </c>
      <c r="AG1441" s="0" t="inlineStr">
        <is>
          <t>인천시 남동구 만수로75번길 21</t>
        </is>
      </c>
      <c r="AH1441" s="0" t="n">
        <v>0</v>
      </c>
      <c r="AI1441" s="0" t="n">
        <v>404</v>
      </c>
      <c r="AJ1441" s="0" t="n">
        <v>67</v>
      </c>
      <c r="AK1441" s="0" t="n">
        <v>40</v>
      </c>
      <c r="AL1441" s="0" t="n">
        <v>0.42</v>
      </c>
    </row>
    <row r="1442">
      <c r="A1442" s="0" t="inlineStr">
        <is>
          <t>[만수동]</t>
        </is>
      </c>
      <c r="B1442" s="0" t="n">
        <v>11690</v>
      </c>
      <c r="C1442" s="0" t="n">
        <v>3</v>
      </c>
      <c r="D1442" s="0" t="inlineStr">
        <is>
          <t>태화</t>
        </is>
      </c>
      <c r="E1442" s="0" t="inlineStr">
        <is>
          <t>1994.09.</t>
        </is>
      </c>
      <c r="F1442" s="0" t="n">
        <v>96</v>
      </c>
      <c r="G1442" s="0" t="n">
        <v>23.56</v>
      </c>
      <c r="H1442" s="0" t="n">
        <v>77.89</v>
      </c>
      <c r="I1442" s="0" t="n">
        <v>17.04</v>
      </c>
      <c r="J1442" s="0" t="n">
        <v>56.34</v>
      </c>
      <c r="K1442" s="0" t="n">
        <v>5</v>
      </c>
      <c r="T1442" s="0" t="n">
        <v>3</v>
      </c>
      <c r="U1442" s="0" t="n">
        <v>1</v>
      </c>
      <c r="V1442" s="0" t="inlineStr">
        <is>
          <t>계단식</t>
        </is>
      </c>
      <c r="W1442" s="0" t="n">
        <v>77</v>
      </c>
      <c r="X1442" s="0" t="n">
        <v>10</v>
      </c>
      <c r="Y1442" s="0" t="n">
        <v>10</v>
      </c>
      <c r="Z1442" s="0" t="inlineStr">
        <is>
          <t>https://new.land.naver.com/complexes/11690?tab=detail&amp;rf=Y</t>
        </is>
      </c>
      <c r="AA1442" s="0" t="inlineStr">
        <is>
          <t>인천시 남동구 만수동 5-9</t>
        </is>
      </c>
      <c r="AB1442" s="0" t="inlineStr">
        <is>
          <t>인천시</t>
        </is>
      </c>
      <c r="AC1442" s="0" t="inlineStr">
        <is>
          <t>남동구</t>
        </is>
      </c>
      <c r="AD1442" s="0" t="inlineStr">
        <is>
          <t>만수동</t>
        </is>
      </c>
      <c r="AG1442" s="0" t="inlineStr">
        <is>
          <t>인천시 남동구 만수로75번길 21</t>
        </is>
      </c>
      <c r="AH1442" s="0" t="n">
        <v>0</v>
      </c>
      <c r="AI1442" s="0" t="n">
        <v>404</v>
      </c>
      <c r="AJ1442" s="0" t="n">
        <v>67</v>
      </c>
      <c r="AK1442" s="0" t="n">
        <v>40</v>
      </c>
      <c r="AL1442" s="0" t="n">
        <v>0.42</v>
      </c>
    </row>
    <row r="1443">
      <c r="A1443" s="0" t="inlineStr">
        <is>
          <t>[만수동]</t>
        </is>
      </c>
      <c r="B1443" s="0" t="n">
        <v>11690</v>
      </c>
      <c r="C1443" s="0" t="n">
        <v>4</v>
      </c>
      <c r="D1443" s="0" t="inlineStr">
        <is>
          <t>태화</t>
        </is>
      </c>
      <c r="E1443" s="0" t="inlineStr">
        <is>
          <t>1994.09.</t>
        </is>
      </c>
      <c r="F1443" s="0" t="n">
        <v>96</v>
      </c>
      <c r="G1443" s="0" t="n">
        <v>25.02</v>
      </c>
      <c r="H1443" s="0" t="n">
        <v>82.73999999999999</v>
      </c>
      <c r="I1443" s="0" t="n">
        <v>18.1</v>
      </c>
      <c r="J1443" s="0" t="n">
        <v>59.85</v>
      </c>
      <c r="K1443" s="0" t="n">
        <v>78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82</v>
      </c>
      <c r="X1443" s="0" t="n">
        <v>10</v>
      </c>
      <c r="Y1443" s="0" t="n">
        <v>10</v>
      </c>
      <c r="Z1443" s="0" t="inlineStr">
        <is>
          <t>https://new.land.naver.com/complexes/11690?tab=detail&amp;rf=Y</t>
        </is>
      </c>
      <c r="AA1443" s="0" t="inlineStr">
        <is>
          <t>인천시 남동구 만수동 5-9</t>
        </is>
      </c>
      <c r="AB1443" s="0" t="inlineStr">
        <is>
          <t>인천시</t>
        </is>
      </c>
      <c r="AC1443" s="0" t="inlineStr">
        <is>
          <t>남동구</t>
        </is>
      </c>
      <c r="AD1443" s="0" t="inlineStr">
        <is>
          <t>만수동</t>
        </is>
      </c>
      <c r="AG1443" s="0" t="inlineStr">
        <is>
          <t>인천시 남동구 만수로75번길 21</t>
        </is>
      </c>
      <c r="AH1443" s="0" t="n">
        <v>0</v>
      </c>
      <c r="AI1443" s="0" t="n">
        <v>404</v>
      </c>
      <c r="AJ1443" s="0" t="n">
        <v>67</v>
      </c>
      <c r="AK1443" s="0" t="n">
        <v>40</v>
      </c>
      <c r="AL1443" s="0" t="n">
        <v>0.42</v>
      </c>
    </row>
    <row r="1444">
      <c r="A1444" s="0" t="inlineStr">
        <is>
          <t>[만수동]</t>
        </is>
      </c>
      <c r="B1444" s="0" t="n">
        <v>18915</v>
      </c>
      <c r="C1444" s="0" t="n">
        <v>1</v>
      </c>
      <c r="D1444" s="0" t="inlineStr">
        <is>
          <t>별빛마을대성유니드</t>
        </is>
      </c>
      <c r="E1444" s="0" t="inlineStr">
        <is>
          <t>2006.09.</t>
        </is>
      </c>
      <c r="F1444" s="0" t="n">
        <v>364</v>
      </c>
      <c r="G1444" s="0" t="n">
        <v>25.6</v>
      </c>
      <c r="H1444" s="0" t="n">
        <v>84.66</v>
      </c>
      <c r="I1444" s="0" t="n">
        <v>18.11</v>
      </c>
      <c r="J1444" s="0" t="n">
        <v>59.89</v>
      </c>
      <c r="K1444" s="0" t="n">
        <v>88</v>
      </c>
      <c r="T1444" s="0" t="n">
        <v>3</v>
      </c>
      <c r="U1444" s="0" t="n">
        <v>2</v>
      </c>
      <c r="V1444" s="0" t="inlineStr">
        <is>
          <t>계단식</t>
        </is>
      </c>
      <c r="W1444" s="0" t="n">
        <v>84</v>
      </c>
      <c r="X1444" s="0" t="n">
        <v>23</v>
      </c>
      <c r="Y1444" s="0" t="n">
        <v>10</v>
      </c>
      <c r="Z1444" s="0" t="inlineStr">
        <is>
          <t>https://new.land.naver.com/complexes/18915?tab=detail&amp;rf=Y</t>
        </is>
      </c>
      <c r="AA1444" s="0" t="inlineStr">
        <is>
          <t>인천시 남동구 만수동 844-1</t>
        </is>
      </c>
      <c r="AB1444" s="0" t="inlineStr">
        <is>
          <t>인천시</t>
        </is>
      </c>
      <c r="AC1444" s="0" t="inlineStr">
        <is>
          <t>남동구</t>
        </is>
      </c>
      <c r="AD1444" s="0" t="inlineStr">
        <is>
          <t>만수동</t>
        </is>
      </c>
      <c r="AG1444" s="0" t="inlineStr">
        <is>
          <t>인천시 남동구 서판로 30</t>
        </is>
      </c>
      <c r="AH1444" s="0" t="n">
        <v>0</v>
      </c>
      <c r="AI1444" s="0" t="n">
        <v>249</v>
      </c>
      <c r="AJ1444" s="0" t="n">
        <v>19</v>
      </c>
      <c r="AK1444" s="0" t="n">
        <v>380</v>
      </c>
      <c r="AL1444" s="0" t="n">
        <v>1.04</v>
      </c>
    </row>
    <row r="1445">
      <c r="A1445" s="0" t="inlineStr">
        <is>
          <t>[만수동]</t>
        </is>
      </c>
      <c r="B1445" s="0" t="n">
        <v>18915</v>
      </c>
      <c r="C1445" s="0" t="n">
        <v>2</v>
      </c>
      <c r="D1445" s="0" t="inlineStr">
        <is>
          <t>별빛마을대성유니드</t>
        </is>
      </c>
      <c r="E1445" s="0" t="inlineStr">
        <is>
          <t>2006.09.</t>
        </is>
      </c>
      <c r="F1445" s="0" t="n">
        <v>364</v>
      </c>
      <c r="G1445" s="0" t="n">
        <v>34.1</v>
      </c>
      <c r="H1445" s="0" t="n">
        <v>112.73</v>
      </c>
      <c r="I1445" s="0" t="n">
        <v>25.51</v>
      </c>
      <c r="J1445" s="0" t="n">
        <v>84.34</v>
      </c>
      <c r="K1445" s="0" t="n">
        <v>276</v>
      </c>
      <c r="T1445" s="0" t="n">
        <v>3</v>
      </c>
      <c r="U1445" s="0" t="n">
        <v>2</v>
      </c>
      <c r="V1445" s="0" t="inlineStr">
        <is>
          <t>계단식</t>
        </is>
      </c>
      <c r="W1445" s="0" t="n">
        <v>112</v>
      </c>
      <c r="X1445" s="0" t="n">
        <v>23</v>
      </c>
      <c r="Y1445" s="0" t="n">
        <v>10</v>
      </c>
      <c r="Z1445" s="0" t="inlineStr">
        <is>
          <t>https://new.land.naver.com/complexes/18915?tab=detail&amp;rf=Y</t>
        </is>
      </c>
      <c r="AA1445" s="0" t="inlineStr">
        <is>
          <t>인천시 남동구 만수동 844-1</t>
        </is>
      </c>
      <c r="AB1445" s="0" t="inlineStr">
        <is>
          <t>인천시</t>
        </is>
      </c>
      <c r="AC1445" s="0" t="inlineStr">
        <is>
          <t>남동구</t>
        </is>
      </c>
      <c r="AD1445" s="0" t="inlineStr">
        <is>
          <t>만수동</t>
        </is>
      </c>
      <c r="AG1445" s="0" t="inlineStr">
        <is>
          <t>인천시 남동구 서판로 30</t>
        </is>
      </c>
      <c r="AH1445" s="0" t="n">
        <v>0</v>
      </c>
      <c r="AI1445" s="0" t="n">
        <v>249</v>
      </c>
      <c r="AJ1445" s="0" t="n">
        <v>19</v>
      </c>
      <c r="AK1445" s="0" t="n">
        <v>380</v>
      </c>
      <c r="AL1445" s="0" t="n">
        <v>1.04</v>
      </c>
    </row>
    <row r="1446">
      <c r="A1446" s="0" t="inlineStr">
        <is>
          <t>[만수동]</t>
        </is>
      </c>
      <c r="B1446" s="0" t="n">
        <v>2320</v>
      </c>
      <c r="C1446" s="0" t="n">
        <v>1</v>
      </c>
      <c r="D1446" s="0" t="inlineStr">
        <is>
          <t>진흥</t>
        </is>
      </c>
      <c r="E1446" s="0" t="inlineStr">
        <is>
          <t>1991.10.</t>
        </is>
      </c>
      <c r="F1446" s="0" t="n">
        <v>300</v>
      </c>
      <c r="G1446" s="0" t="n">
        <v>22.17</v>
      </c>
      <c r="H1446" s="0" t="n">
        <v>73.31999999999999</v>
      </c>
      <c r="I1446" s="0" t="n">
        <v>17.45</v>
      </c>
      <c r="J1446" s="0" t="n">
        <v>57.69</v>
      </c>
      <c r="K1446" s="0" t="n">
        <v>180</v>
      </c>
      <c r="T1446" s="0" t="n">
        <v>3</v>
      </c>
      <c r="U1446" s="0" t="n">
        <v>1</v>
      </c>
      <c r="V1446" s="0" t="inlineStr">
        <is>
          <t>계단식</t>
        </is>
      </c>
      <c r="W1446" s="0" t="n">
        <v>73</v>
      </c>
      <c r="X1446" s="0" t="n">
        <v>6</v>
      </c>
      <c r="Y1446" s="0" t="n">
        <v>6</v>
      </c>
      <c r="Z1446" s="0" t="inlineStr">
        <is>
          <t>https://new.land.naver.com/complexes/2320?tab=detail&amp;rf=Y</t>
        </is>
      </c>
      <c r="AA1446" s="0" t="inlineStr">
        <is>
          <t>인천시 남동구 만수동 1036</t>
        </is>
      </c>
      <c r="AB1446" s="0" t="inlineStr">
        <is>
          <t>인천시</t>
        </is>
      </c>
      <c r="AC1446" s="0" t="inlineStr">
        <is>
          <t>남동구</t>
        </is>
      </c>
      <c r="AD1446" s="0" t="inlineStr">
        <is>
          <t>만수동</t>
        </is>
      </c>
      <c r="AG1446" s="0" t="inlineStr">
        <is>
          <t>인천시 남동구 장승남로81번길 16</t>
        </is>
      </c>
      <c r="AH1446" s="0" t="n">
        <v>0</v>
      </c>
      <c r="AI1446" s="0" t="n">
        <v>147</v>
      </c>
      <c r="AJ1446" s="0" t="n">
        <v>26</v>
      </c>
      <c r="AK1446" s="0" t="n">
        <v>0</v>
      </c>
      <c r="AL1446" s="0" t="n">
        <v>0</v>
      </c>
    </row>
    <row r="1447">
      <c r="A1447" s="0" t="inlineStr">
        <is>
          <t>[만수동]</t>
        </is>
      </c>
      <c r="B1447" s="0" t="n">
        <v>2320</v>
      </c>
      <c r="C1447" s="0" t="n">
        <v>2</v>
      </c>
      <c r="D1447" s="0" t="inlineStr">
        <is>
          <t>진흥</t>
        </is>
      </c>
      <c r="E1447" s="0" t="inlineStr">
        <is>
          <t>1991.10.</t>
        </is>
      </c>
      <c r="F1447" s="0" t="n">
        <v>300</v>
      </c>
      <c r="G1447" s="0" t="n">
        <v>32.4</v>
      </c>
      <c r="H1447" s="0" t="n">
        <v>107.12</v>
      </c>
      <c r="I1447" s="0" t="n">
        <v>25.61</v>
      </c>
      <c r="J1447" s="0" t="n">
        <v>84.69</v>
      </c>
      <c r="K1447" s="0" t="n">
        <v>120</v>
      </c>
      <c r="T1447" s="0" t="n">
        <v>3</v>
      </c>
      <c r="U1447" s="0" t="n">
        <v>1</v>
      </c>
      <c r="V1447" s="0" t="inlineStr">
        <is>
          <t>계단식</t>
        </is>
      </c>
      <c r="W1447" s="0" t="n">
        <v>107</v>
      </c>
      <c r="X1447" s="0" t="n">
        <v>6</v>
      </c>
      <c r="Y1447" s="0" t="n">
        <v>6</v>
      </c>
      <c r="Z1447" s="0" t="inlineStr">
        <is>
          <t>https://new.land.naver.com/complexes/2320?tab=detail&amp;rf=Y</t>
        </is>
      </c>
      <c r="AA1447" s="0" t="inlineStr">
        <is>
          <t>인천시 남동구 만수동 1036</t>
        </is>
      </c>
      <c r="AB1447" s="0" t="inlineStr">
        <is>
          <t>인천시</t>
        </is>
      </c>
      <c r="AC1447" s="0" t="inlineStr">
        <is>
          <t>남동구</t>
        </is>
      </c>
      <c r="AD1447" s="0" t="inlineStr">
        <is>
          <t>만수동</t>
        </is>
      </c>
      <c r="AG1447" s="0" t="inlineStr">
        <is>
          <t>인천시 남동구 장승남로81번길 16</t>
        </is>
      </c>
      <c r="AH1447" s="0" t="n">
        <v>0</v>
      </c>
      <c r="AI1447" s="0" t="n">
        <v>147</v>
      </c>
      <c r="AJ1447" s="0" t="n">
        <v>26</v>
      </c>
      <c r="AK1447" s="0" t="n">
        <v>0</v>
      </c>
      <c r="AL1447" s="0" t="n">
        <v>0</v>
      </c>
    </row>
    <row r="1448">
      <c r="A1448" s="0" t="inlineStr">
        <is>
          <t>[만수동]</t>
        </is>
      </c>
      <c r="B1448" s="0" t="n">
        <v>139892</v>
      </c>
      <c r="C1448" s="0" t="n">
        <v>1</v>
      </c>
      <c r="D1448" s="0" t="inlineStr">
        <is>
          <t>아마빌레</t>
        </is>
      </c>
      <c r="E1448" s="0" t="inlineStr">
        <is>
          <t>2017.05.</t>
        </is>
      </c>
      <c r="F1448" s="0" t="n">
        <v>8</v>
      </c>
      <c r="G1448" s="0" t="n">
        <v>21.93</v>
      </c>
      <c r="H1448" s="0" t="n">
        <v>72.52</v>
      </c>
      <c r="I1448" s="0" t="n">
        <v>17.98</v>
      </c>
      <c r="J1448" s="0" t="n">
        <v>59.45</v>
      </c>
      <c r="K1448" s="0" t="n">
        <v>4</v>
      </c>
      <c r="T1448" s="0" t="n">
        <v>3</v>
      </c>
      <c r="U1448" s="0" t="n">
        <v>1</v>
      </c>
      <c r="V1448" s="0" t="inlineStr">
        <is>
          <t>계단식</t>
        </is>
      </c>
      <c r="W1448" s="0" t="n">
        <v>72</v>
      </c>
      <c r="X1448" s="0" t="n">
        <v>5</v>
      </c>
      <c r="Y1448" s="0" t="n">
        <v>5</v>
      </c>
      <c r="Z1448" s="0" t="inlineStr">
        <is>
          <t>https://new.land.naver.com/complexes/139892?tab=detail&amp;rf=Y</t>
        </is>
      </c>
      <c r="AA1448" s="0" t="inlineStr">
        <is>
          <t>인천시 남동구 만수동 5-281</t>
        </is>
      </c>
      <c r="AB1448" s="0" t="inlineStr">
        <is>
          <t>인천시</t>
        </is>
      </c>
      <c r="AC1448" s="0" t="inlineStr">
        <is>
          <t>남동구</t>
        </is>
      </c>
      <c r="AD1448" s="0" t="inlineStr">
        <is>
          <t>만수동</t>
        </is>
      </c>
      <c r="AG1448" s="0" t="inlineStr">
        <is>
          <t>인천시 남동구 만수로88번길 14-1</t>
        </is>
      </c>
      <c r="AH1448" s="0" t="n">
        <v>0</v>
      </c>
      <c r="AI1448" s="0" t="n">
        <v>206</v>
      </c>
      <c r="AJ1448" s="0" t="n">
        <v>59</v>
      </c>
      <c r="AK1448" s="0" t="n">
        <v>8</v>
      </c>
      <c r="AL1448" s="0" t="n">
        <v>1</v>
      </c>
    </row>
    <row r="1449">
      <c r="A1449" s="0" t="inlineStr">
        <is>
          <t>[만수동]</t>
        </is>
      </c>
      <c r="B1449" s="0" t="n">
        <v>139892</v>
      </c>
      <c r="C1449" s="0" t="n">
        <v>2</v>
      </c>
      <c r="D1449" s="0" t="inlineStr">
        <is>
          <t>아마빌레</t>
        </is>
      </c>
      <c r="E1449" s="0" t="inlineStr">
        <is>
          <t>2017.05.</t>
        </is>
      </c>
      <c r="F1449" s="0" t="n">
        <v>8</v>
      </c>
      <c r="G1449" s="0" t="n">
        <v>23.73</v>
      </c>
      <c r="H1449" s="0" t="n">
        <v>78.45999999999999</v>
      </c>
      <c r="I1449" s="0" t="n">
        <v>19.43</v>
      </c>
      <c r="J1449" s="0" t="n">
        <v>64.25</v>
      </c>
      <c r="K1449" s="0" t="n">
        <v>4</v>
      </c>
      <c r="T1449" s="0" t="n">
        <v>3</v>
      </c>
      <c r="U1449" s="0" t="n">
        <v>1</v>
      </c>
      <c r="V1449" s="0" t="inlineStr">
        <is>
          <t>계단식</t>
        </is>
      </c>
      <c r="W1449" s="0" t="n">
        <v>78</v>
      </c>
      <c r="X1449" s="0" t="n">
        <v>5</v>
      </c>
      <c r="Y1449" s="0" t="n">
        <v>5</v>
      </c>
      <c r="Z1449" s="0" t="inlineStr">
        <is>
          <t>https://new.land.naver.com/complexes/139892?tab=detail&amp;rf=Y</t>
        </is>
      </c>
      <c r="AA1449" s="0" t="inlineStr">
        <is>
          <t>인천시 남동구 만수동 5-281</t>
        </is>
      </c>
      <c r="AB1449" s="0" t="inlineStr">
        <is>
          <t>인천시</t>
        </is>
      </c>
      <c r="AC1449" s="0" t="inlineStr">
        <is>
          <t>남동구</t>
        </is>
      </c>
      <c r="AD1449" s="0" t="inlineStr">
        <is>
          <t>만수동</t>
        </is>
      </c>
      <c r="AG1449" s="0" t="inlineStr">
        <is>
          <t>인천시 남동구 만수로88번길 14-1</t>
        </is>
      </c>
      <c r="AH1449" s="0" t="n">
        <v>0</v>
      </c>
      <c r="AI1449" s="0" t="n">
        <v>206</v>
      </c>
      <c r="AJ1449" s="0" t="n">
        <v>59</v>
      </c>
      <c r="AK1449" s="0" t="n">
        <v>8</v>
      </c>
      <c r="AL1449" s="0" t="n">
        <v>1</v>
      </c>
    </row>
    <row r="1450">
      <c r="A1450" s="0" t="inlineStr">
        <is>
          <t>[만수동]</t>
        </is>
      </c>
      <c r="B1450" s="0" t="n">
        <v>10553</v>
      </c>
      <c r="C1450" s="0" t="n">
        <v>1</v>
      </c>
      <c r="D1450" s="0" t="inlineStr">
        <is>
          <t>금원</t>
        </is>
      </c>
      <c r="E1450" s="0" t="inlineStr">
        <is>
          <t>1985.06.</t>
        </is>
      </c>
      <c r="F1450" s="0" t="n">
        <v>79</v>
      </c>
      <c r="G1450" s="0" t="n">
        <v>19.06</v>
      </c>
      <c r="H1450" s="0" t="n">
        <v>63.02</v>
      </c>
      <c r="I1450" s="0" t="n">
        <v>15.13</v>
      </c>
      <c r="J1450" s="0" t="n">
        <v>50.04</v>
      </c>
      <c r="K1450" s="0" t="n">
        <v>45</v>
      </c>
      <c r="T1450" s="0" t="n">
        <v>3</v>
      </c>
      <c r="U1450" s="0" t="n">
        <v>1</v>
      </c>
      <c r="V1450" s="0" t="inlineStr">
        <is>
          <t>계단식</t>
        </is>
      </c>
      <c r="W1450" s="0" t="n">
        <v>63</v>
      </c>
      <c r="X1450" s="0" t="n">
        <v>5</v>
      </c>
      <c r="Y1450" s="0" t="n">
        <v>4</v>
      </c>
      <c r="Z1450" s="0" t="inlineStr">
        <is>
          <t>https://new.land.naver.com/complexes/10553?tab=detail&amp;rf=Y</t>
        </is>
      </c>
      <c r="AA1450" s="0" t="inlineStr">
        <is>
          <t>인천시 남동구 만수동 922-13</t>
        </is>
      </c>
      <c r="AB1450" s="0" t="inlineStr">
        <is>
          <t>인천시</t>
        </is>
      </c>
      <c r="AC1450" s="0" t="inlineStr">
        <is>
          <t>남동구</t>
        </is>
      </c>
      <c r="AD1450" s="0" t="inlineStr">
        <is>
          <t>만수동</t>
        </is>
      </c>
      <c r="AG1450" s="0" t="inlineStr">
        <is>
          <t>인천시 남동구 하촌서로47번길 56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[만수동]</t>
        </is>
      </c>
      <c r="B1451" s="0" t="n">
        <v>10553</v>
      </c>
      <c r="C1451" s="0" t="n">
        <v>2</v>
      </c>
      <c r="D1451" s="0" t="inlineStr">
        <is>
          <t>금원</t>
        </is>
      </c>
      <c r="E1451" s="0" t="inlineStr">
        <is>
          <t>1985.06.</t>
        </is>
      </c>
      <c r="F1451" s="0" t="n">
        <v>79</v>
      </c>
      <c r="G1451" s="0" t="n">
        <v>20.89</v>
      </c>
      <c r="H1451" s="0" t="n">
        <v>69.06999999999999</v>
      </c>
      <c r="I1451" s="0" t="n">
        <v>14.91</v>
      </c>
      <c r="J1451" s="0" t="n">
        <v>49.32</v>
      </c>
      <c r="K1451" s="0" t="n">
        <v>5</v>
      </c>
      <c r="T1451" s="0" t="n">
        <v>3</v>
      </c>
      <c r="U1451" s="0" t="n">
        <v>1</v>
      </c>
      <c r="V1451" s="0" t="inlineStr">
        <is>
          <t>계단식</t>
        </is>
      </c>
      <c r="W1451" s="0" t="n">
        <v>69</v>
      </c>
      <c r="X1451" s="0" t="n">
        <v>5</v>
      </c>
      <c r="Y1451" s="0" t="n">
        <v>4</v>
      </c>
      <c r="Z1451" s="0" t="inlineStr">
        <is>
          <t>https://new.land.naver.com/complexes/10553?tab=detail&amp;rf=Y</t>
        </is>
      </c>
      <c r="AA1451" s="0" t="inlineStr">
        <is>
          <t>인천시 남동구 만수동 922-13</t>
        </is>
      </c>
      <c r="AB1451" s="0" t="inlineStr">
        <is>
          <t>인천시</t>
        </is>
      </c>
      <c r="AC1451" s="0" t="inlineStr">
        <is>
          <t>남동구</t>
        </is>
      </c>
      <c r="AD1451" s="0" t="inlineStr">
        <is>
          <t>만수동</t>
        </is>
      </c>
      <c r="AG1451" s="0" t="inlineStr">
        <is>
          <t>인천시 남동구 하촌서로47번길 56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[만수동]</t>
        </is>
      </c>
      <c r="B1452" s="0" t="n">
        <v>10553</v>
      </c>
      <c r="C1452" s="0" t="n">
        <v>3</v>
      </c>
      <c r="D1452" s="0" t="inlineStr">
        <is>
          <t>금원</t>
        </is>
      </c>
      <c r="E1452" s="0" t="inlineStr">
        <is>
          <t>1985.06.</t>
        </is>
      </c>
      <c r="F1452" s="0" t="n">
        <v>79</v>
      </c>
      <c r="G1452" s="0" t="n">
        <v>22.03</v>
      </c>
      <c r="H1452" s="0" t="n">
        <v>72.84999999999999</v>
      </c>
      <c r="I1452" s="0" t="n">
        <v>16.66</v>
      </c>
      <c r="J1452" s="0" t="n">
        <v>55.08</v>
      </c>
      <c r="K1452" s="0" t="n">
        <v>24</v>
      </c>
      <c r="T1452" s="0" t="n">
        <v>3</v>
      </c>
      <c r="U1452" s="0" t="n">
        <v>1</v>
      </c>
      <c r="V1452" s="0" t="inlineStr">
        <is>
          <t>계단식</t>
        </is>
      </c>
      <c r="W1452" s="0" t="n">
        <v>72</v>
      </c>
      <c r="X1452" s="0" t="n">
        <v>5</v>
      </c>
      <c r="Y1452" s="0" t="n">
        <v>4</v>
      </c>
      <c r="Z1452" s="0" t="inlineStr">
        <is>
          <t>https://new.land.naver.com/complexes/10553?tab=detail&amp;rf=Y</t>
        </is>
      </c>
      <c r="AA1452" s="0" t="inlineStr">
        <is>
          <t>인천시 남동구 만수동 922-13</t>
        </is>
      </c>
      <c r="AB1452" s="0" t="inlineStr">
        <is>
          <t>인천시</t>
        </is>
      </c>
      <c r="AC1452" s="0" t="inlineStr">
        <is>
          <t>남동구</t>
        </is>
      </c>
      <c r="AD1452" s="0" t="inlineStr">
        <is>
          <t>만수동</t>
        </is>
      </c>
      <c r="AG1452" s="0" t="inlineStr">
        <is>
          <t>인천시 남동구 하촌서로47번길 56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[만수동]</t>
        </is>
      </c>
      <c r="B1453" s="0" t="n">
        <v>10553</v>
      </c>
      <c r="C1453" s="0" t="n">
        <v>4</v>
      </c>
      <c r="D1453" s="0" t="inlineStr">
        <is>
          <t>금원</t>
        </is>
      </c>
      <c r="E1453" s="0" t="inlineStr">
        <is>
          <t>1985.06.</t>
        </is>
      </c>
      <c r="F1453" s="0" t="n">
        <v>79</v>
      </c>
      <c r="G1453" s="0" t="n">
        <v>23.07</v>
      </c>
      <c r="H1453" s="0" t="n">
        <v>76.27</v>
      </c>
      <c r="I1453" s="0" t="n">
        <v>17.96</v>
      </c>
      <c r="J1453" s="0" t="n">
        <v>59.4</v>
      </c>
      <c r="K1453" s="0" t="n">
        <v>5</v>
      </c>
      <c r="T1453" s="0" t="n">
        <v>3</v>
      </c>
      <c r="U1453" s="0" t="n">
        <v>1</v>
      </c>
      <c r="V1453" s="0" t="inlineStr">
        <is>
          <t>계단식</t>
        </is>
      </c>
      <c r="W1453" s="0" t="n">
        <v>76</v>
      </c>
      <c r="X1453" s="0" t="n">
        <v>5</v>
      </c>
      <c r="Y1453" s="0" t="n">
        <v>4</v>
      </c>
      <c r="Z1453" s="0" t="inlineStr">
        <is>
          <t>https://new.land.naver.com/complexes/10553?tab=detail&amp;rf=Y</t>
        </is>
      </c>
      <c r="AA1453" s="0" t="inlineStr">
        <is>
          <t>인천시 남동구 만수동 922-13</t>
        </is>
      </c>
      <c r="AB1453" s="0" t="inlineStr">
        <is>
          <t>인천시</t>
        </is>
      </c>
      <c r="AC1453" s="0" t="inlineStr">
        <is>
          <t>남동구</t>
        </is>
      </c>
      <c r="AD1453" s="0" t="inlineStr">
        <is>
          <t>만수동</t>
        </is>
      </c>
      <c r="AG1453" s="0" t="inlineStr">
        <is>
          <t>인천시 남동구 하촌서로47번길 56</t>
        </is>
      </c>
      <c r="AH1453" s="0" t="n">
        <v>0</v>
      </c>
      <c r="AI1453" s="0" t="n">
        <v>0</v>
      </c>
      <c r="AJ1453" s="0" t="n">
        <v>0</v>
      </c>
      <c r="AK1453" s="0" t="n">
        <v>0</v>
      </c>
      <c r="AL1453" s="0" t="n">
        <v>0</v>
      </c>
    </row>
    <row r="1454">
      <c r="A1454" s="0" t="inlineStr">
        <is>
          <t>[만수동]</t>
        </is>
      </c>
      <c r="B1454" s="0" t="n">
        <v>129230</v>
      </c>
      <c r="C1454" s="0" t="n">
        <v>1</v>
      </c>
      <c r="D1454" s="0" t="inlineStr">
        <is>
          <t>더스카이</t>
        </is>
      </c>
      <c r="E1454" s="0" t="inlineStr">
        <is>
          <t>2020.01.</t>
        </is>
      </c>
      <c r="F1454" s="0" t="n">
        <v>4</v>
      </c>
      <c r="G1454" s="0" t="n">
        <v>23.91</v>
      </c>
      <c r="H1454" s="0" t="n">
        <v>79.06</v>
      </c>
      <c r="I1454" s="0" t="n">
        <v>20</v>
      </c>
      <c r="J1454" s="0" t="n">
        <v>66.14</v>
      </c>
      <c r="K1454" s="0" t="n">
        <v>2</v>
      </c>
      <c r="T1454" s="0" t="n">
        <v>3</v>
      </c>
      <c r="U1454" s="0" t="n">
        <v>1</v>
      </c>
      <c r="V1454" s="0" t="inlineStr">
        <is>
          <t>계단식</t>
        </is>
      </c>
      <c r="W1454" s="0" t="inlineStr">
        <is>
          <t>79A</t>
        </is>
      </c>
      <c r="X1454" s="0" t="n">
        <v>2</v>
      </c>
      <c r="Y1454" s="0" t="n">
        <v>2</v>
      </c>
      <c r="Z1454" s="0" t="inlineStr">
        <is>
          <t>https://new.land.naver.com/complexes/129230?tab=detail&amp;rf=Y</t>
        </is>
      </c>
      <c r="AA1454" s="0" t="inlineStr">
        <is>
          <t>인천시 남동구 만수동 863-2</t>
        </is>
      </c>
      <c r="AB1454" s="0" t="inlineStr">
        <is>
          <t>인천시</t>
        </is>
      </c>
      <c r="AC1454" s="0" t="inlineStr">
        <is>
          <t>남동구</t>
        </is>
      </c>
      <c r="AD1454" s="0" t="inlineStr">
        <is>
          <t>만수동</t>
        </is>
      </c>
      <c r="AG1454" s="0" t="inlineStr">
        <is>
          <t>인천시 남동구 만수서로37번길 77</t>
        </is>
      </c>
      <c r="AH1454" s="0" t="n">
        <v>0</v>
      </c>
      <c r="AI1454" s="0" t="n">
        <v>596</v>
      </c>
      <c r="AJ1454" s="0" t="n">
        <v>56</v>
      </c>
      <c r="AK1454" s="0" t="n">
        <v>4</v>
      </c>
      <c r="AL1454" s="0" t="n">
        <v>1</v>
      </c>
    </row>
    <row r="1455">
      <c r="A1455" s="0" t="inlineStr">
        <is>
          <t>[만수동]</t>
        </is>
      </c>
      <c r="B1455" s="0" t="n">
        <v>129230</v>
      </c>
      <c r="C1455" s="0" t="n">
        <v>2</v>
      </c>
      <c r="D1455" s="0" t="inlineStr">
        <is>
          <t>더스카이</t>
        </is>
      </c>
      <c r="E1455" s="0" t="inlineStr">
        <is>
          <t>2020.01.</t>
        </is>
      </c>
      <c r="F1455" s="0" t="n">
        <v>4</v>
      </c>
      <c r="G1455" s="0" t="n">
        <v>23.92</v>
      </c>
      <c r="H1455" s="0" t="n">
        <v>79.09</v>
      </c>
      <c r="I1455" s="0" t="n">
        <v>20.1</v>
      </c>
      <c r="J1455" s="0" t="n">
        <v>66.47</v>
      </c>
      <c r="K1455" s="0" t="n">
        <v>2</v>
      </c>
      <c r="T1455" s="0" t="n">
        <v>3</v>
      </c>
      <c r="U1455" s="0" t="n">
        <v>1</v>
      </c>
      <c r="V1455" s="0" t="inlineStr">
        <is>
          <t>계단식</t>
        </is>
      </c>
      <c r="W1455" s="0" t="inlineStr">
        <is>
          <t>79B</t>
        </is>
      </c>
      <c r="X1455" s="0" t="n">
        <v>2</v>
      </c>
      <c r="Y1455" s="0" t="n">
        <v>2</v>
      </c>
      <c r="Z1455" s="0" t="inlineStr">
        <is>
          <t>https://new.land.naver.com/complexes/129230?tab=detail&amp;rf=Y</t>
        </is>
      </c>
      <c r="AA1455" s="0" t="inlineStr">
        <is>
          <t>인천시 남동구 만수동 863-2</t>
        </is>
      </c>
      <c r="AB1455" s="0" t="inlineStr">
        <is>
          <t>인천시</t>
        </is>
      </c>
      <c r="AC1455" s="0" t="inlineStr">
        <is>
          <t>남동구</t>
        </is>
      </c>
      <c r="AD1455" s="0" t="inlineStr">
        <is>
          <t>만수동</t>
        </is>
      </c>
      <c r="AG1455" s="0" t="inlineStr">
        <is>
          <t>인천시 남동구 만수서로37번길 77</t>
        </is>
      </c>
      <c r="AH1455" s="0" t="n">
        <v>0</v>
      </c>
      <c r="AI1455" s="0" t="n">
        <v>596</v>
      </c>
      <c r="AJ1455" s="0" t="n">
        <v>56</v>
      </c>
      <c r="AK1455" s="0" t="n">
        <v>4</v>
      </c>
      <c r="AL1455" s="0" t="n">
        <v>1</v>
      </c>
    </row>
    <row r="1456">
      <c r="A1456" s="0" t="inlineStr">
        <is>
          <t>[만수동]</t>
        </is>
      </c>
      <c r="B1456" s="0" t="n">
        <v>2307</v>
      </c>
      <c r="C1456" s="0" t="n">
        <v>1</v>
      </c>
      <c r="D1456" s="0" t="inlineStr">
        <is>
          <t>남동</t>
        </is>
      </c>
      <c r="E1456" s="0" t="inlineStr">
        <is>
          <t>1992.10.</t>
        </is>
      </c>
      <c r="F1456" s="0" t="n">
        <v>770</v>
      </c>
      <c r="G1456" s="0" t="n">
        <v>21.21</v>
      </c>
      <c r="H1456" s="0" t="n">
        <v>70.12</v>
      </c>
      <c r="I1456" s="0" t="n">
        <v>15.64</v>
      </c>
      <c r="J1456" s="0" t="n">
        <v>51.72</v>
      </c>
      <c r="K1456" s="0" t="n">
        <v>335</v>
      </c>
      <c r="T1456" s="0" t="n">
        <v>2</v>
      </c>
      <c r="U1456" s="0" t="n">
        <v>1</v>
      </c>
      <c r="V1456" s="0" t="inlineStr">
        <is>
          <t>복도식</t>
        </is>
      </c>
      <c r="W1456" s="0" t="n">
        <v>70</v>
      </c>
      <c r="X1456" s="0" t="n">
        <v>15</v>
      </c>
      <c r="Y1456" s="0" t="n">
        <v>11</v>
      </c>
      <c r="Z1456" s="0" t="inlineStr">
        <is>
          <t>https://new.land.naver.com/complexes/2307?tab=detail&amp;rf=Y</t>
        </is>
      </c>
      <c r="AA1456" s="0" t="inlineStr">
        <is>
          <t>인천시 남동구 만수동 1014</t>
        </is>
      </c>
      <c r="AB1456" s="0" t="inlineStr">
        <is>
          <t>인천시</t>
        </is>
      </c>
      <c r="AC1456" s="0" t="inlineStr">
        <is>
          <t>남동구</t>
        </is>
      </c>
      <c r="AD1456" s="0" t="inlineStr">
        <is>
          <t>만수동</t>
        </is>
      </c>
      <c r="AG1456" s="0" t="inlineStr">
        <is>
          <t>인천시 남동구 장승남로33번길 23</t>
        </is>
      </c>
      <c r="AH1456" s="0" t="n">
        <v>0</v>
      </c>
      <c r="AI1456" s="0" t="n">
        <v>215</v>
      </c>
      <c r="AJ1456" s="0" t="n">
        <v>0</v>
      </c>
      <c r="AK1456" s="0" t="n">
        <v>770</v>
      </c>
      <c r="AL1456" s="0" t="n">
        <v>1</v>
      </c>
    </row>
    <row r="1457">
      <c r="A1457" s="0" t="inlineStr">
        <is>
          <t>[만수동]</t>
        </is>
      </c>
      <c r="B1457" s="0" t="n">
        <v>2307</v>
      </c>
      <c r="C1457" s="0" t="n">
        <v>2</v>
      </c>
      <c r="D1457" s="0" t="inlineStr">
        <is>
          <t>남동</t>
        </is>
      </c>
      <c r="E1457" s="0" t="inlineStr">
        <is>
          <t>1992.10.</t>
        </is>
      </c>
      <c r="F1457" s="0" t="n">
        <v>770</v>
      </c>
      <c r="G1457" s="0" t="n">
        <v>25.32</v>
      </c>
      <c r="H1457" s="0" t="n">
        <v>83.70999999999999</v>
      </c>
      <c r="I1457" s="0" t="n">
        <v>18.15</v>
      </c>
      <c r="J1457" s="0" t="n">
        <v>60</v>
      </c>
      <c r="K1457" s="0" t="n">
        <v>435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83</v>
      </c>
      <c r="X1457" s="0" t="n">
        <v>15</v>
      </c>
      <c r="Y1457" s="0" t="n">
        <v>11</v>
      </c>
      <c r="Z1457" s="0" t="inlineStr">
        <is>
          <t>https://new.land.naver.com/complexes/2307?tab=detail&amp;rf=Y</t>
        </is>
      </c>
      <c r="AA1457" s="0" t="inlineStr">
        <is>
          <t>인천시 남동구 만수동 1014</t>
        </is>
      </c>
      <c r="AB1457" s="0" t="inlineStr">
        <is>
          <t>인천시</t>
        </is>
      </c>
      <c r="AC1457" s="0" t="inlineStr">
        <is>
          <t>남동구</t>
        </is>
      </c>
      <c r="AD1457" s="0" t="inlineStr">
        <is>
          <t>만수동</t>
        </is>
      </c>
      <c r="AG1457" s="0" t="inlineStr">
        <is>
          <t>인천시 남동구 장승남로33번길 23</t>
        </is>
      </c>
      <c r="AH1457" s="0" t="n">
        <v>0</v>
      </c>
      <c r="AI1457" s="0" t="n">
        <v>215</v>
      </c>
      <c r="AJ1457" s="0" t="n">
        <v>0</v>
      </c>
      <c r="AK1457" s="0" t="n">
        <v>770</v>
      </c>
      <c r="AL1457" s="0" t="n">
        <v>1</v>
      </c>
    </row>
    <row r="1458">
      <c r="A1458" s="0" t="inlineStr">
        <is>
          <t>[만수동]</t>
        </is>
      </c>
      <c r="B1458" s="0" t="n">
        <v>2314</v>
      </c>
      <c r="C1458" s="0" t="n">
        <v>1</v>
      </c>
      <c r="D1458" s="0" t="inlineStr">
        <is>
          <t>만수주공4단지</t>
        </is>
      </c>
      <c r="E1458" s="0" t="inlineStr">
        <is>
          <t>1987.07.</t>
        </is>
      </c>
      <c r="F1458" s="0" t="n">
        <v>2220</v>
      </c>
      <c r="G1458" s="0" t="n">
        <v>22.82</v>
      </c>
      <c r="H1458" s="0" t="n">
        <v>75.45</v>
      </c>
      <c r="I1458" s="0" t="n">
        <v>16.6</v>
      </c>
      <c r="J1458" s="0" t="n">
        <v>54.9</v>
      </c>
      <c r="K1458" s="0" t="n">
        <v>230</v>
      </c>
      <c r="T1458" s="0" t="n">
        <v>2</v>
      </c>
      <c r="U1458" s="0" t="n">
        <v>1</v>
      </c>
      <c r="V1458" s="0" t="inlineStr">
        <is>
          <t>복도식</t>
        </is>
      </c>
      <c r="W1458" s="0" t="n">
        <v>75</v>
      </c>
      <c r="X1458" s="0" t="n">
        <v>15</v>
      </c>
      <c r="Y1458" s="0" t="n">
        <v>15</v>
      </c>
      <c r="Z1458" s="0" t="inlineStr">
        <is>
          <t>https://new.land.naver.com/complexes/2314?tab=detail&amp;rf=Y</t>
        </is>
      </c>
      <c r="AA1458" s="0" t="inlineStr">
        <is>
          <t>인천시 남동구 만수동 13</t>
        </is>
      </c>
      <c r="AB1458" s="0" t="inlineStr">
        <is>
          <t>인천시</t>
        </is>
      </c>
      <c r="AC1458" s="0" t="inlineStr">
        <is>
          <t>남동구</t>
        </is>
      </c>
      <c r="AD1458" s="0" t="inlineStr">
        <is>
          <t>만수동</t>
        </is>
      </c>
      <c r="AG1458" s="0" t="inlineStr">
        <is>
          <t>인천시 남동구 백범로124번길 126</t>
        </is>
      </c>
      <c r="AH1458" s="0" t="n">
        <v>430</v>
      </c>
      <c r="AI1458" s="0" t="n">
        <v>163</v>
      </c>
      <c r="AJ1458" s="0" t="n">
        <v>10</v>
      </c>
      <c r="AK1458" s="0" t="n">
        <v>1122</v>
      </c>
      <c r="AL1458" s="0" t="n">
        <v>0.51</v>
      </c>
    </row>
    <row r="1459">
      <c r="A1459" s="0" t="inlineStr">
        <is>
          <t>[만수동]</t>
        </is>
      </c>
      <c r="B1459" s="0" t="n">
        <v>2314</v>
      </c>
      <c r="C1459" s="0" t="n">
        <v>2</v>
      </c>
      <c r="D1459" s="0" t="inlineStr">
        <is>
          <t>만수주공4단지</t>
        </is>
      </c>
      <c r="E1459" s="0" t="inlineStr">
        <is>
          <t>1987.07.</t>
        </is>
      </c>
      <c r="F1459" s="0" t="n">
        <v>2220</v>
      </c>
      <c r="G1459" s="0" t="n">
        <v>25.32</v>
      </c>
      <c r="H1459" s="0" t="n">
        <v>83.73</v>
      </c>
      <c r="I1459" s="0" t="n">
        <v>18.6</v>
      </c>
      <c r="J1459" s="0" t="n">
        <v>61.52</v>
      </c>
      <c r="K1459" s="0" t="n">
        <v>240</v>
      </c>
      <c r="T1459" s="0" t="n">
        <v>2</v>
      </c>
      <c r="U1459" s="0" t="n">
        <v>1</v>
      </c>
      <c r="V1459" s="0" t="inlineStr">
        <is>
          <t>복도식</t>
        </is>
      </c>
      <c r="W1459" s="0" t="n">
        <v>83</v>
      </c>
      <c r="X1459" s="0" t="n">
        <v>15</v>
      </c>
      <c r="Y1459" s="0" t="n">
        <v>15</v>
      </c>
      <c r="Z1459" s="0" t="inlineStr">
        <is>
          <t>https://new.land.naver.com/complexes/2314?tab=detail&amp;rf=Y</t>
        </is>
      </c>
      <c r="AA1459" s="0" t="inlineStr">
        <is>
          <t>인천시 남동구 만수동 13</t>
        </is>
      </c>
      <c r="AB1459" s="0" t="inlineStr">
        <is>
          <t>인천시</t>
        </is>
      </c>
      <c r="AC1459" s="0" t="inlineStr">
        <is>
          <t>남동구</t>
        </is>
      </c>
      <c r="AD1459" s="0" t="inlineStr">
        <is>
          <t>만수동</t>
        </is>
      </c>
      <c r="AG1459" s="0" t="inlineStr">
        <is>
          <t>인천시 남동구 백범로124번길 126</t>
        </is>
      </c>
      <c r="AH1459" s="0" t="n">
        <v>430</v>
      </c>
      <c r="AI1459" s="0" t="n">
        <v>163</v>
      </c>
      <c r="AJ1459" s="0" t="n">
        <v>10</v>
      </c>
      <c r="AK1459" s="0" t="n">
        <v>1122</v>
      </c>
      <c r="AL1459" s="0" t="n">
        <v>0.51</v>
      </c>
    </row>
    <row r="1460">
      <c r="A1460" s="0" t="inlineStr">
        <is>
          <t>[만수동]</t>
        </is>
      </c>
      <c r="B1460" s="0" t="n">
        <v>2314</v>
      </c>
      <c r="C1460" s="0" t="n">
        <v>3</v>
      </c>
      <c r="D1460" s="0" t="inlineStr">
        <is>
          <t>만수주공4단지</t>
        </is>
      </c>
      <c r="E1460" s="0" t="inlineStr">
        <is>
          <t>1987.07.</t>
        </is>
      </c>
      <c r="F1460" s="0" t="n">
        <v>2220</v>
      </c>
      <c r="G1460" s="0" t="n">
        <v>26.86</v>
      </c>
      <c r="H1460" s="0" t="n">
        <v>88.81</v>
      </c>
      <c r="I1460" s="0" t="n">
        <v>19.54</v>
      </c>
      <c r="J1460" s="0" t="n">
        <v>64.62</v>
      </c>
      <c r="K1460" s="0" t="n">
        <v>720</v>
      </c>
      <c r="T1460" s="0" t="n">
        <v>3</v>
      </c>
      <c r="U1460" s="0" t="n">
        <v>1</v>
      </c>
      <c r="V1460" s="0" t="inlineStr">
        <is>
          <t>계단식</t>
        </is>
      </c>
      <c r="W1460" s="0" t="inlineStr">
        <is>
          <t>88A</t>
        </is>
      </c>
      <c r="X1460" s="0" t="n">
        <v>15</v>
      </c>
      <c r="Y1460" s="0" t="n">
        <v>15</v>
      </c>
      <c r="Z1460" s="0" t="inlineStr">
        <is>
          <t>https://new.land.naver.com/complexes/2314?tab=detail&amp;rf=Y</t>
        </is>
      </c>
      <c r="AA1460" s="0" t="inlineStr">
        <is>
          <t>인천시 남동구 만수동 13</t>
        </is>
      </c>
      <c r="AB1460" s="0" t="inlineStr">
        <is>
          <t>인천시</t>
        </is>
      </c>
      <c r="AC1460" s="0" t="inlineStr">
        <is>
          <t>남동구</t>
        </is>
      </c>
      <c r="AD1460" s="0" t="inlineStr">
        <is>
          <t>만수동</t>
        </is>
      </c>
      <c r="AG1460" s="0" t="inlineStr">
        <is>
          <t>인천시 남동구 백범로124번길 126</t>
        </is>
      </c>
      <c r="AH1460" s="0" t="n">
        <v>430</v>
      </c>
      <c r="AI1460" s="0" t="n">
        <v>163</v>
      </c>
      <c r="AJ1460" s="0" t="n">
        <v>10</v>
      </c>
      <c r="AK1460" s="0" t="n">
        <v>1122</v>
      </c>
      <c r="AL1460" s="0" t="n">
        <v>0.51</v>
      </c>
    </row>
    <row r="1461">
      <c r="A1461" s="0" t="inlineStr">
        <is>
          <t>[만수동]</t>
        </is>
      </c>
      <c r="B1461" s="0" t="n">
        <v>2314</v>
      </c>
      <c r="C1461" s="0" t="n">
        <v>4</v>
      </c>
      <c r="D1461" s="0" t="inlineStr">
        <is>
          <t>만수주공4단지</t>
        </is>
      </c>
      <c r="E1461" s="0" t="inlineStr">
        <is>
          <t>1987.07.</t>
        </is>
      </c>
      <c r="F1461" s="0" t="n">
        <v>2220</v>
      </c>
      <c r="G1461" s="0" t="n">
        <v>27.4</v>
      </c>
      <c r="H1461" s="0" t="n">
        <v>90.58</v>
      </c>
      <c r="I1461" s="0" t="n">
        <v>20.13</v>
      </c>
      <c r="J1461" s="0" t="n">
        <v>66.56</v>
      </c>
      <c r="K1461" s="0" t="n">
        <v>120</v>
      </c>
      <c r="T1461" s="0" t="n">
        <v>3</v>
      </c>
      <c r="U1461" s="0" t="n">
        <v>1</v>
      </c>
      <c r="V1461" s="0" t="inlineStr">
        <is>
          <t>계단식</t>
        </is>
      </c>
      <c r="W1461" s="0" t="inlineStr">
        <is>
          <t>90C</t>
        </is>
      </c>
      <c r="X1461" s="0" t="n">
        <v>15</v>
      </c>
      <c r="Y1461" s="0" t="n">
        <v>15</v>
      </c>
      <c r="Z1461" s="0" t="inlineStr">
        <is>
          <t>https://new.land.naver.com/complexes/2314?tab=detail&amp;rf=Y</t>
        </is>
      </c>
      <c r="AA1461" s="0" t="inlineStr">
        <is>
          <t>인천시 남동구 만수동 13</t>
        </is>
      </c>
      <c r="AB1461" s="0" t="inlineStr">
        <is>
          <t>인천시</t>
        </is>
      </c>
      <c r="AC1461" s="0" t="inlineStr">
        <is>
          <t>남동구</t>
        </is>
      </c>
      <c r="AD1461" s="0" t="inlineStr">
        <is>
          <t>만수동</t>
        </is>
      </c>
      <c r="AG1461" s="0" t="inlineStr">
        <is>
          <t>인천시 남동구 백범로124번길 126</t>
        </is>
      </c>
      <c r="AH1461" s="0" t="n">
        <v>430</v>
      </c>
      <c r="AI1461" s="0" t="n">
        <v>163</v>
      </c>
      <c r="AJ1461" s="0" t="n">
        <v>10</v>
      </c>
      <c r="AK1461" s="0" t="n">
        <v>1122</v>
      </c>
      <c r="AL1461" s="0" t="n">
        <v>0.51</v>
      </c>
    </row>
    <row r="1462">
      <c r="A1462" s="0" t="inlineStr">
        <is>
          <t>[만수동]</t>
        </is>
      </c>
      <c r="B1462" s="0" t="n">
        <v>2314</v>
      </c>
      <c r="C1462" s="0" t="n">
        <v>5</v>
      </c>
      <c r="D1462" s="0" t="inlineStr">
        <is>
          <t>만수주공4단지</t>
        </is>
      </c>
      <c r="E1462" s="0" t="inlineStr">
        <is>
          <t>1987.07.</t>
        </is>
      </c>
      <c r="F1462" s="0" t="n">
        <v>2220</v>
      </c>
      <c r="G1462" s="0" t="n">
        <v>27.32</v>
      </c>
      <c r="H1462" s="0" t="n">
        <v>90.34</v>
      </c>
      <c r="I1462" s="0" t="n">
        <v>20.07</v>
      </c>
      <c r="J1462" s="0" t="n">
        <v>66.38</v>
      </c>
      <c r="K1462" s="0" t="n">
        <v>60</v>
      </c>
      <c r="T1462" s="0" t="n">
        <v>3</v>
      </c>
      <c r="U1462" s="0" t="n">
        <v>1</v>
      </c>
      <c r="V1462" s="0" t="inlineStr">
        <is>
          <t>계단식</t>
        </is>
      </c>
      <c r="W1462" s="0" t="inlineStr">
        <is>
          <t>90B</t>
        </is>
      </c>
      <c r="X1462" s="0" t="n">
        <v>15</v>
      </c>
      <c r="Y1462" s="0" t="n">
        <v>15</v>
      </c>
      <c r="Z1462" s="0" t="inlineStr">
        <is>
          <t>https://new.land.naver.com/complexes/2314?tab=detail&amp;rf=Y</t>
        </is>
      </c>
      <c r="AA1462" s="0" t="inlineStr">
        <is>
          <t>인천시 남동구 만수동 13</t>
        </is>
      </c>
      <c r="AB1462" s="0" t="inlineStr">
        <is>
          <t>인천시</t>
        </is>
      </c>
      <c r="AC1462" s="0" t="inlineStr">
        <is>
          <t>남동구</t>
        </is>
      </c>
      <c r="AD1462" s="0" t="inlineStr">
        <is>
          <t>만수동</t>
        </is>
      </c>
      <c r="AG1462" s="0" t="inlineStr">
        <is>
          <t>인천시 남동구 백범로124번길 126</t>
        </is>
      </c>
      <c r="AH1462" s="0" t="n">
        <v>430</v>
      </c>
      <c r="AI1462" s="0" t="n">
        <v>163</v>
      </c>
      <c r="AJ1462" s="0" t="n">
        <v>10</v>
      </c>
      <c r="AK1462" s="0" t="n">
        <v>1122</v>
      </c>
      <c r="AL1462" s="0" t="n">
        <v>0.51</v>
      </c>
    </row>
    <row r="1463">
      <c r="A1463" s="0" t="inlineStr">
        <is>
          <t>[만수동]</t>
        </is>
      </c>
      <c r="B1463" s="0" t="n">
        <v>2314</v>
      </c>
      <c r="C1463" s="0" t="n">
        <v>6</v>
      </c>
      <c r="D1463" s="0" t="inlineStr">
        <is>
          <t>만수주공4단지</t>
        </is>
      </c>
      <c r="E1463" s="0" t="inlineStr">
        <is>
          <t>1987.07.</t>
        </is>
      </c>
      <c r="F1463" s="0" t="n">
        <v>2220</v>
      </c>
      <c r="G1463" s="0" t="n">
        <v>27.69</v>
      </c>
      <c r="H1463" s="0" t="n">
        <v>91.56</v>
      </c>
      <c r="I1463" s="0" t="n">
        <v>20.35</v>
      </c>
      <c r="J1463" s="0" t="n">
        <v>67.28</v>
      </c>
      <c r="K1463" s="0" t="n">
        <v>60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91</v>
      </c>
      <c r="X1463" s="0" t="n">
        <v>15</v>
      </c>
      <c r="Y1463" s="0" t="n">
        <v>15</v>
      </c>
      <c r="Z1463" s="0" t="inlineStr">
        <is>
          <t>https://new.land.naver.com/complexes/2314?tab=detail&amp;rf=Y</t>
        </is>
      </c>
      <c r="AA1463" s="0" t="inlineStr">
        <is>
          <t>인천시 남동구 만수동 13</t>
        </is>
      </c>
      <c r="AB1463" s="0" t="inlineStr">
        <is>
          <t>인천시</t>
        </is>
      </c>
      <c r="AC1463" s="0" t="inlineStr">
        <is>
          <t>남동구</t>
        </is>
      </c>
      <c r="AD1463" s="0" t="inlineStr">
        <is>
          <t>만수동</t>
        </is>
      </c>
      <c r="AG1463" s="0" t="inlineStr">
        <is>
          <t>인천시 남동구 백범로124번길 126</t>
        </is>
      </c>
      <c r="AH1463" s="0" t="n">
        <v>430</v>
      </c>
      <c r="AI1463" s="0" t="n">
        <v>163</v>
      </c>
      <c r="AJ1463" s="0" t="n">
        <v>10</v>
      </c>
      <c r="AK1463" s="0" t="n">
        <v>1122</v>
      </c>
      <c r="AL1463" s="0" t="n">
        <v>0.51</v>
      </c>
    </row>
    <row r="1464">
      <c r="A1464" s="0" t="inlineStr">
        <is>
          <t>[만수동]</t>
        </is>
      </c>
      <c r="B1464" s="0" t="n">
        <v>2314</v>
      </c>
      <c r="C1464" s="0" t="n">
        <v>7</v>
      </c>
      <c r="D1464" s="0" t="inlineStr">
        <is>
          <t>만수주공4단지</t>
        </is>
      </c>
      <c r="E1464" s="0" t="inlineStr">
        <is>
          <t>1987.07.</t>
        </is>
      </c>
      <c r="F1464" s="0" t="n">
        <v>2220</v>
      </c>
      <c r="G1464" s="0" t="n">
        <v>28.5</v>
      </c>
      <c r="H1464" s="0" t="n">
        <v>94.23</v>
      </c>
      <c r="I1464" s="0" t="n">
        <v>22.76</v>
      </c>
      <c r="J1464" s="0" t="n">
        <v>75.23999999999999</v>
      </c>
      <c r="K1464" s="0" t="n">
        <v>180</v>
      </c>
      <c r="T1464" s="0" t="n">
        <v>3</v>
      </c>
      <c r="U1464" s="0" t="n">
        <v>1</v>
      </c>
      <c r="V1464" s="0" t="inlineStr">
        <is>
          <t>계단식</t>
        </is>
      </c>
      <c r="W1464" s="0" t="inlineStr">
        <is>
          <t>94A</t>
        </is>
      </c>
      <c r="X1464" s="0" t="n">
        <v>15</v>
      </c>
      <c r="Y1464" s="0" t="n">
        <v>15</v>
      </c>
      <c r="Z1464" s="0" t="inlineStr">
        <is>
          <t>https://new.land.naver.com/complexes/2314?tab=detail&amp;rf=Y</t>
        </is>
      </c>
      <c r="AA1464" s="0" t="inlineStr">
        <is>
          <t>인천시 남동구 만수동 13</t>
        </is>
      </c>
      <c r="AB1464" s="0" t="inlineStr">
        <is>
          <t>인천시</t>
        </is>
      </c>
      <c r="AC1464" s="0" t="inlineStr">
        <is>
          <t>남동구</t>
        </is>
      </c>
      <c r="AD1464" s="0" t="inlineStr">
        <is>
          <t>만수동</t>
        </is>
      </c>
      <c r="AG1464" s="0" t="inlineStr">
        <is>
          <t>인천시 남동구 백범로124번길 126</t>
        </is>
      </c>
      <c r="AH1464" s="0" t="n">
        <v>430</v>
      </c>
      <c r="AI1464" s="0" t="n">
        <v>163</v>
      </c>
      <c r="AJ1464" s="0" t="n">
        <v>10</v>
      </c>
      <c r="AK1464" s="0" t="n">
        <v>1122</v>
      </c>
      <c r="AL1464" s="0" t="n">
        <v>0.51</v>
      </c>
    </row>
    <row r="1465">
      <c r="A1465" s="0" t="inlineStr">
        <is>
          <t>[만수동]</t>
        </is>
      </c>
      <c r="B1465" s="0" t="n">
        <v>2314</v>
      </c>
      <c r="C1465" s="0" t="n">
        <v>8</v>
      </c>
      <c r="D1465" s="0" t="inlineStr">
        <is>
          <t>만수주공4단지</t>
        </is>
      </c>
      <c r="E1465" s="0" t="inlineStr">
        <is>
          <t>1987.07.</t>
        </is>
      </c>
      <c r="F1465" s="0" t="n">
        <v>2220</v>
      </c>
      <c r="G1465" s="0" t="n">
        <v>28.6</v>
      </c>
      <c r="H1465" s="0" t="n">
        <v>94.56999999999999</v>
      </c>
      <c r="I1465" s="0" t="n">
        <v>22.84</v>
      </c>
      <c r="J1465" s="0" t="n">
        <v>75.51000000000001</v>
      </c>
      <c r="K1465" s="0" t="n">
        <v>180</v>
      </c>
      <c r="T1465" s="0" t="n">
        <v>3</v>
      </c>
      <c r="U1465" s="0" t="n">
        <v>1</v>
      </c>
      <c r="V1465" s="0" t="inlineStr">
        <is>
          <t>계단식</t>
        </is>
      </c>
      <c r="W1465" s="0" t="inlineStr">
        <is>
          <t>94B</t>
        </is>
      </c>
      <c r="X1465" s="0" t="n">
        <v>15</v>
      </c>
      <c r="Y1465" s="0" t="n">
        <v>15</v>
      </c>
      <c r="Z1465" s="0" t="inlineStr">
        <is>
          <t>https://new.land.naver.com/complexes/2314?tab=detail&amp;rf=Y</t>
        </is>
      </c>
      <c r="AA1465" s="0" t="inlineStr">
        <is>
          <t>인천시 남동구 만수동 13</t>
        </is>
      </c>
      <c r="AB1465" s="0" t="inlineStr">
        <is>
          <t>인천시</t>
        </is>
      </c>
      <c r="AC1465" s="0" t="inlineStr">
        <is>
          <t>남동구</t>
        </is>
      </c>
      <c r="AD1465" s="0" t="inlineStr">
        <is>
          <t>만수동</t>
        </is>
      </c>
      <c r="AG1465" s="0" t="inlineStr">
        <is>
          <t>인천시 남동구 백범로124번길 126</t>
        </is>
      </c>
      <c r="AH1465" s="0" t="n">
        <v>430</v>
      </c>
      <c r="AI1465" s="0" t="n">
        <v>163</v>
      </c>
      <c r="AJ1465" s="0" t="n">
        <v>10</v>
      </c>
      <c r="AK1465" s="0" t="n">
        <v>1122</v>
      </c>
      <c r="AL1465" s="0" t="n">
        <v>0.51</v>
      </c>
    </row>
    <row r="1466">
      <c r="A1466" s="0" t="inlineStr">
        <is>
          <t>[만수동]</t>
        </is>
      </c>
      <c r="B1466" s="0" t="n">
        <v>133423</v>
      </c>
      <c r="C1466" s="0" t="n">
        <v>1</v>
      </c>
      <c r="D1466" s="0" t="inlineStr">
        <is>
          <t>시티팰리스</t>
        </is>
      </c>
      <c r="E1466" s="0" t="inlineStr">
        <is>
          <t>2020.03.</t>
        </is>
      </c>
      <c r="F1466" s="0" t="n">
        <v>2</v>
      </c>
      <c r="G1466" s="0" t="n">
        <v>21.49</v>
      </c>
      <c r="H1466" s="0" t="n">
        <v>71.06999999999999</v>
      </c>
      <c r="I1466" s="0" t="n">
        <v>16.94</v>
      </c>
      <c r="J1466" s="0" t="n">
        <v>56.03</v>
      </c>
      <c r="K1466" s="0" t="n">
        <v>1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71A</t>
        </is>
      </c>
      <c r="X1466" s="0" t="n">
        <v>13</v>
      </c>
      <c r="Y1466" s="0" t="n">
        <v>13</v>
      </c>
      <c r="Z1466" s="0" t="inlineStr">
        <is>
          <t>https://new.land.naver.com/complexes/133423?tab=detail&amp;rf=Y</t>
        </is>
      </c>
      <c r="AA1466" s="0" t="inlineStr">
        <is>
          <t>인천시 남동구 만수동 870-5</t>
        </is>
      </c>
      <c r="AB1466" s="0" t="inlineStr">
        <is>
          <t>인천시</t>
        </is>
      </c>
      <c r="AC1466" s="0" t="inlineStr">
        <is>
          <t>남동구</t>
        </is>
      </c>
      <c r="AD1466" s="0" t="inlineStr">
        <is>
          <t>만수동</t>
        </is>
      </c>
      <c r="AG1466" s="0" t="inlineStr">
        <is>
          <t>인천시 남동구 만수로19번길 11</t>
        </is>
      </c>
      <c r="AH1466" s="0" t="n">
        <v>0</v>
      </c>
      <c r="AI1466" s="0" t="n">
        <v>499</v>
      </c>
      <c r="AJ1466" s="0" t="n">
        <v>56</v>
      </c>
      <c r="AK1466" s="0" t="n">
        <v>2</v>
      </c>
      <c r="AL1466" s="0" t="n">
        <v>1</v>
      </c>
    </row>
    <row r="1467">
      <c r="A1467" s="0" t="inlineStr">
        <is>
          <t>[만수동]</t>
        </is>
      </c>
      <c r="B1467" s="0" t="n">
        <v>133423</v>
      </c>
      <c r="C1467" s="0" t="n">
        <v>2</v>
      </c>
      <c r="D1467" s="0" t="inlineStr">
        <is>
          <t>시티팰리스</t>
        </is>
      </c>
      <c r="E1467" s="0" t="inlineStr">
        <is>
          <t>2020.03.</t>
        </is>
      </c>
      <c r="F1467" s="0" t="n">
        <v>2</v>
      </c>
      <c r="G1467" s="0" t="n">
        <v>21.66</v>
      </c>
      <c r="H1467" s="0" t="n">
        <v>71.62</v>
      </c>
      <c r="I1467" s="0" t="n">
        <v>17.44</v>
      </c>
      <c r="J1467" s="0" t="n">
        <v>57.68</v>
      </c>
      <c r="K1467" s="0" t="n">
        <v>1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71B</t>
        </is>
      </c>
      <c r="X1467" s="0" t="n">
        <v>13</v>
      </c>
      <c r="Y1467" s="0" t="n">
        <v>13</v>
      </c>
      <c r="Z1467" s="0" t="inlineStr">
        <is>
          <t>https://new.land.naver.com/complexes/133423?tab=detail&amp;rf=Y</t>
        </is>
      </c>
      <c r="AA1467" s="0" t="inlineStr">
        <is>
          <t>인천시 남동구 만수동 870-5</t>
        </is>
      </c>
      <c r="AB1467" s="0" t="inlineStr">
        <is>
          <t>인천시</t>
        </is>
      </c>
      <c r="AC1467" s="0" t="inlineStr">
        <is>
          <t>남동구</t>
        </is>
      </c>
      <c r="AD1467" s="0" t="inlineStr">
        <is>
          <t>만수동</t>
        </is>
      </c>
      <c r="AG1467" s="0" t="inlineStr">
        <is>
          <t>인천시 남동구 만수로19번길 11</t>
        </is>
      </c>
      <c r="AH1467" s="0" t="n">
        <v>0</v>
      </c>
      <c r="AI1467" s="0" t="n">
        <v>499</v>
      </c>
      <c r="AJ1467" s="0" t="n">
        <v>56</v>
      </c>
      <c r="AK1467" s="0" t="n">
        <v>2</v>
      </c>
      <c r="AL1467" s="0" t="n">
        <v>1</v>
      </c>
    </row>
    <row r="1468">
      <c r="A1468" s="0" t="inlineStr">
        <is>
          <t>[만수동]</t>
        </is>
      </c>
      <c r="B1468" s="0" t="n">
        <v>137722</v>
      </c>
      <c r="C1468" s="0" t="n">
        <v>1</v>
      </c>
      <c r="D1468" s="0" t="inlineStr">
        <is>
          <t>캐슬베리</t>
        </is>
      </c>
      <c r="E1468" s="0" t="inlineStr">
        <is>
          <t>2016.10.</t>
        </is>
      </c>
      <c r="F1468" s="0" t="n">
        <v>16</v>
      </c>
      <c r="G1468" s="0" t="n">
        <v>13.6</v>
      </c>
      <c r="H1468" s="0" t="n">
        <v>44.98</v>
      </c>
      <c r="I1468" s="0" t="n">
        <v>11.34</v>
      </c>
      <c r="J1468" s="0" t="n">
        <v>37.49</v>
      </c>
      <c r="K1468" s="0" t="n">
        <v>4</v>
      </c>
      <c r="T1468" s="0" t="n">
        <v>1</v>
      </c>
      <c r="U1468" s="0" t="n">
        <v>1</v>
      </c>
      <c r="V1468" s="0" t="inlineStr">
        <is>
          <t>계단식</t>
        </is>
      </c>
      <c r="W1468" s="0" t="inlineStr">
        <is>
          <t>44A</t>
        </is>
      </c>
      <c r="X1468" s="0" t="n">
        <v>10</v>
      </c>
      <c r="Y1468" s="0" t="n">
        <v>10</v>
      </c>
      <c r="Z1468" s="0" t="inlineStr">
        <is>
          <t>https://new.land.naver.com/complexes/137722?tab=detail&amp;rf=Y</t>
        </is>
      </c>
      <c r="AA1468" s="0" t="inlineStr">
        <is>
          <t>인천시 남동구 만수동 5-254</t>
        </is>
      </c>
      <c r="AB1468" s="0" t="inlineStr">
        <is>
          <t>인천시</t>
        </is>
      </c>
      <c r="AC1468" s="0" t="inlineStr">
        <is>
          <t>남동구</t>
        </is>
      </c>
      <c r="AD1468" s="0" t="inlineStr">
        <is>
          <t>만수동</t>
        </is>
      </c>
      <c r="AG1468" s="0" t="inlineStr">
        <is>
          <t>인천시 남동구 만수로94번길 21</t>
        </is>
      </c>
      <c r="AH1468" s="0" t="n">
        <v>0</v>
      </c>
      <c r="AI1468" s="0" t="n">
        <v>439</v>
      </c>
      <c r="AJ1468" s="0" t="n">
        <v>54</v>
      </c>
      <c r="AK1468" s="0" t="n">
        <v>11</v>
      </c>
      <c r="AL1468" s="0" t="n">
        <v>0.6899999999999999</v>
      </c>
    </row>
    <row r="1469">
      <c r="A1469" s="0" t="inlineStr">
        <is>
          <t>[만수동]</t>
        </is>
      </c>
      <c r="B1469" s="0" t="n">
        <v>137722</v>
      </c>
      <c r="C1469" s="0" t="n">
        <v>2</v>
      </c>
      <c r="D1469" s="0" t="inlineStr">
        <is>
          <t>캐슬베리</t>
        </is>
      </c>
      <c r="E1469" s="0" t="inlineStr">
        <is>
          <t>2016.10.</t>
        </is>
      </c>
      <c r="F1469" s="0" t="n">
        <v>16</v>
      </c>
      <c r="G1469" s="0" t="n">
        <v>13.6</v>
      </c>
      <c r="H1469" s="0" t="n">
        <v>44.98</v>
      </c>
      <c r="I1469" s="0" t="n">
        <v>11.34</v>
      </c>
      <c r="J1469" s="0" t="n">
        <v>37.49</v>
      </c>
      <c r="K1469" s="0" t="n">
        <v>4</v>
      </c>
      <c r="T1469" s="0" t="n">
        <v>1</v>
      </c>
      <c r="U1469" s="0" t="n">
        <v>1</v>
      </c>
      <c r="V1469" s="0" t="inlineStr">
        <is>
          <t>계단식</t>
        </is>
      </c>
      <c r="W1469" s="0" t="inlineStr">
        <is>
          <t>44B</t>
        </is>
      </c>
      <c r="X1469" s="0" t="n">
        <v>10</v>
      </c>
      <c r="Y1469" s="0" t="n">
        <v>10</v>
      </c>
      <c r="Z1469" s="0" t="inlineStr">
        <is>
          <t>https://new.land.naver.com/complexes/137722?tab=detail&amp;rf=Y</t>
        </is>
      </c>
      <c r="AA1469" s="0" t="inlineStr">
        <is>
          <t>인천시 남동구 만수동 5-254</t>
        </is>
      </c>
      <c r="AB1469" s="0" t="inlineStr">
        <is>
          <t>인천시</t>
        </is>
      </c>
      <c r="AC1469" s="0" t="inlineStr">
        <is>
          <t>남동구</t>
        </is>
      </c>
      <c r="AD1469" s="0" t="inlineStr">
        <is>
          <t>만수동</t>
        </is>
      </c>
      <c r="AG1469" s="0" t="inlineStr">
        <is>
          <t>인천시 남동구 만수로94번길 21</t>
        </is>
      </c>
      <c r="AH1469" s="0" t="n">
        <v>0</v>
      </c>
      <c r="AI1469" s="0" t="n">
        <v>439</v>
      </c>
      <c r="AJ1469" s="0" t="n">
        <v>54</v>
      </c>
      <c r="AK1469" s="0" t="n">
        <v>11</v>
      </c>
      <c r="AL1469" s="0" t="n">
        <v>0.6899999999999999</v>
      </c>
    </row>
    <row r="1470">
      <c r="A1470" s="0" t="inlineStr">
        <is>
          <t>[만수동]</t>
        </is>
      </c>
      <c r="B1470" s="0" t="n">
        <v>137722</v>
      </c>
      <c r="C1470" s="0" t="n">
        <v>3</v>
      </c>
      <c r="D1470" s="0" t="inlineStr">
        <is>
          <t>캐슬베리</t>
        </is>
      </c>
      <c r="E1470" s="0" t="inlineStr">
        <is>
          <t>2016.10.</t>
        </is>
      </c>
      <c r="F1470" s="0" t="n">
        <v>16</v>
      </c>
      <c r="G1470" s="0" t="n">
        <v>14.03</v>
      </c>
      <c r="H1470" s="0" t="n">
        <v>46.4</v>
      </c>
      <c r="I1470" s="0" t="n">
        <v>11.72</v>
      </c>
      <c r="J1470" s="0" t="n">
        <v>38.76</v>
      </c>
      <c r="K1470" s="0" t="n">
        <v>4</v>
      </c>
      <c r="T1470" s="0" t="n">
        <v>2</v>
      </c>
      <c r="U1470" s="0" t="n">
        <v>1</v>
      </c>
      <c r="V1470" s="0" t="inlineStr">
        <is>
          <t>계단식</t>
        </is>
      </c>
      <c r="W1470" s="0" t="inlineStr">
        <is>
          <t>46C</t>
        </is>
      </c>
      <c r="X1470" s="0" t="n">
        <v>10</v>
      </c>
      <c r="Y1470" s="0" t="n">
        <v>10</v>
      </c>
      <c r="Z1470" s="0" t="inlineStr">
        <is>
          <t>https://new.land.naver.com/complexes/137722?tab=detail&amp;rf=Y</t>
        </is>
      </c>
      <c r="AA1470" s="0" t="inlineStr">
        <is>
          <t>인천시 남동구 만수동 5-254</t>
        </is>
      </c>
      <c r="AB1470" s="0" t="inlineStr">
        <is>
          <t>인천시</t>
        </is>
      </c>
      <c r="AC1470" s="0" t="inlineStr">
        <is>
          <t>남동구</t>
        </is>
      </c>
      <c r="AD1470" s="0" t="inlineStr">
        <is>
          <t>만수동</t>
        </is>
      </c>
      <c r="AG1470" s="0" t="inlineStr">
        <is>
          <t>인천시 남동구 만수로94번길 21</t>
        </is>
      </c>
      <c r="AH1470" s="0" t="n">
        <v>0</v>
      </c>
      <c r="AI1470" s="0" t="n">
        <v>439</v>
      </c>
      <c r="AJ1470" s="0" t="n">
        <v>54</v>
      </c>
      <c r="AK1470" s="0" t="n">
        <v>11</v>
      </c>
      <c r="AL1470" s="0" t="n">
        <v>0.6899999999999999</v>
      </c>
    </row>
    <row r="1471">
      <c r="A1471" s="0" t="inlineStr">
        <is>
          <t>[만수동]</t>
        </is>
      </c>
      <c r="B1471" s="0" t="n">
        <v>137722</v>
      </c>
      <c r="C1471" s="0" t="n">
        <v>4</v>
      </c>
      <c r="D1471" s="0" t="inlineStr">
        <is>
          <t>캐슬베리</t>
        </is>
      </c>
      <c r="E1471" s="0" t="inlineStr">
        <is>
          <t>2016.10.</t>
        </is>
      </c>
      <c r="F1471" s="0" t="n">
        <v>16</v>
      </c>
      <c r="G1471" s="0" t="n">
        <v>14.07</v>
      </c>
      <c r="H1471" s="0" t="n">
        <v>46.53</v>
      </c>
      <c r="I1471" s="0" t="n">
        <v>11.75</v>
      </c>
      <c r="J1471" s="0" t="n">
        <v>38.87</v>
      </c>
      <c r="K1471" s="0" t="n">
        <v>4</v>
      </c>
      <c r="T1471" s="0" t="n">
        <v>2</v>
      </c>
      <c r="U1471" s="0" t="n">
        <v>1</v>
      </c>
      <c r="V1471" s="0" t="inlineStr">
        <is>
          <t>계단식</t>
        </is>
      </c>
      <c r="W1471" s="0" t="inlineStr">
        <is>
          <t>46D</t>
        </is>
      </c>
      <c r="X1471" s="0" t="n">
        <v>10</v>
      </c>
      <c r="Y1471" s="0" t="n">
        <v>10</v>
      </c>
      <c r="Z1471" s="0" t="inlineStr">
        <is>
          <t>https://new.land.naver.com/complexes/137722?tab=detail&amp;rf=Y</t>
        </is>
      </c>
      <c r="AA1471" s="0" t="inlineStr">
        <is>
          <t>인천시 남동구 만수동 5-254</t>
        </is>
      </c>
      <c r="AB1471" s="0" t="inlineStr">
        <is>
          <t>인천시</t>
        </is>
      </c>
      <c r="AC1471" s="0" t="inlineStr">
        <is>
          <t>남동구</t>
        </is>
      </c>
      <c r="AD1471" s="0" t="inlineStr">
        <is>
          <t>만수동</t>
        </is>
      </c>
      <c r="AG1471" s="0" t="inlineStr">
        <is>
          <t>인천시 남동구 만수로94번길 21</t>
        </is>
      </c>
      <c r="AH1471" s="0" t="n">
        <v>0</v>
      </c>
      <c r="AI1471" s="0" t="n">
        <v>439</v>
      </c>
      <c r="AJ1471" s="0" t="n">
        <v>54</v>
      </c>
      <c r="AK1471" s="0" t="n">
        <v>11</v>
      </c>
      <c r="AL1471" s="0" t="n">
        <v>0.6899999999999999</v>
      </c>
    </row>
    <row r="1472">
      <c r="A1472" s="0" t="inlineStr">
        <is>
          <t>[만수동]</t>
        </is>
      </c>
      <c r="B1472" s="0" t="n">
        <v>133922</v>
      </c>
      <c r="C1472" s="0" t="n">
        <v>1</v>
      </c>
      <c r="D1472" s="0" t="inlineStr">
        <is>
          <t>에이스타운2차</t>
        </is>
      </c>
      <c r="E1472" s="0" t="inlineStr">
        <is>
          <t>2018.06.</t>
        </is>
      </c>
      <c r="F1472" s="0" t="n">
        <v>4</v>
      </c>
      <c r="G1472" s="0" t="n">
        <v>21.44</v>
      </c>
      <c r="H1472" s="0" t="n">
        <v>70.89</v>
      </c>
      <c r="I1472" s="0" t="n">
        <v>17.64</v>
      </c>
      <c r="J1472" s="0" t="n">
        <v>58.32</v>
      </c>
      <c r="K1472" s="0" t="n">
        <v>1</v>
      </c>
      <c r="T1472" s="0" t="n">
        <v>3</v>
      </c>
      <c r="U1472" s="0" t="n">
        <v>1</v>
      </c>
      <c r="V1472" s="0" t="inlineStr">
        <is>
          <t>계단식</t>
        </is>
      </c>
      <c r="W1472" s="0" t="n">
        <v>70</v>
      </c>
      <c r="X1472" s="0" t="n">
        <v>14</v>
      </c>
      <c r="Y1472" s="0" t="n">
        <v>14</v>
      </c>
      <c r="Z1472" s="0" t="inlineStr">
        <is>
          <t>https://new.land.naver.com/complexes/133922?tab=detail&amp;rf=Y</t>
        </is>
      </c>
      <c r="AA1472" s="0" t="inlineStr">
        <is>
          <t>인천시 남동구 만수동 111-88</t>
        </is>
      </c>
      <c r="AB1472" s="0" t="inlineStr">
        <is>
          <t>인천시</t>
        </is>
      </c>
      <c r="AC1472" s="0" t="inlineStr">
        <is>
          <t>남동구</t>
        </is>
      </c>
      <c r="AD1472" s="0" t="inlineStr">
        <is>
          <t>만수동</t>
        </is>
      </c>
      <c r="AG1472" s="0" t="inlineStr">
        <is>
          <t>인천시 남동구 만수서로21번길 26</t>
        </is>
      </c>
      <c r="AH1472" s="0" t="n">
        <v>0</v>
      </c>
      <c r="AI1472" s="0" t="n">
        <v>583</v>
      </c>
      <c r="AJ1472" s="0" t="n">
        <v>53</v>
      </c>
      <c r="AK1472" s="0" t="n">
        <v>4</v>
      </c>
      <c r="AL1472" s="0" t="n">
        <v>1</v>
      </c>
    </row>
    <row r="1473">
      <c r="A1473" s="0" t="inlineStr">
        <is>
          <t>[만수동]</t>
        </is>
      </c>
      <c r="B1473" s="0" t="n">
        <v>133922</v>
      </c>
      <c r="C1473" s="0" t="n">
        <v>2</v>
      </c>
      <c r="D1473" s="0" t="inlineStr">
        <is>
          <t>에이스타운2차</t>
        </is>
      </c>
      <c r="E1473" s="0" t="inlineStr">
        <is>
          <t>2018.06.</t>
        </is>
      </c>
      <c r="F1473" s="0" t="n">
        <v>4</v>
      </c>
      <c r="G1473" s="0" t="n">
        <v>21.94</v>
      </c>
      <c r="H1473" s="0" t="n">
        <v>72.55</v>
      </c>
      <c r="I1473" s="0" t="n">
        <v>18.11</v>
      </c>
      <c r="J1473" s="0" t="n">
        <v>59.89</v>
      </c>
      <c r="K1473" s="0" t="n">
        <v>1</v>
      </c>
      <c r="T1473" s="0" t="n">
        <v>3</v>
      </c>
      <c r="U1473" s="0" t="n">
        <v>1</v>
      </c>
      <c r="V1473" s="0" t="inlineStr">
        <is>
          <t>계단식</t>
        </is>
      </c>
      <c r="W1473" s="0" t="inlineStr">
        <is>
          <t>72A</t>
        </is>
      </c>
      <c r="X1473" s="0" t="n">
        <v>14</v>
      </c>
      <c r="Y1473" s="0" t="n">
        <v>14</v>
      </c>
      <c r="Z1473" s="0" t="inlineStr">
        <is>
          <t>https://new.land.naver.com/complexes/133922?tab=detail&amp;rf=Y</t>
        </is>
      </c>
      <c r="AA1473" s="0" t="inlineStr">
        <is>
          <t>인천시 남동구 만수동 111-88</t>
        </is>
      </c>
      <c r="AB1473" s="0" t="inlineStr">
        <is>
          <t>인천시</t>
        </is>
      </c>
      <c r="AC1473" s="0" t="inlineStr">
        <is>
          <t>남동구</t>
        </is>
      </c>
      <c r="AD1473" s="0" t="inlineStr">
        <is>
          <t>만수동</t>
        </is>
      </c>
      <c r="AG1473" s="0" t="inlineStr">
        <is>
          <t>인천시 남동구 만수서로21번길 26</t>
        </is>
      </c>
      <c r="AH1473" s="0" t="n">
        <v>0</v>
      </c>
      <c r="AI1473" s="0" t="n">
        <v>583</v>
      </c>
      <c r="AJ1473" s="0" t="n">
        <v>53</v>
      </c>
      <c r="AK1473" s="0" t="n">
        <v>4</v>
      </c>
      <c r="AL1473" s="0" t="n">
        <v>1</v>
      </c>
    </row>
    <row r="1474">
      <c r="A1474" s="0" t="inlineStr">
        <is>
          <t>[만수동]</t>
        </is>
      </c>
      <c r="B1474" s="0" t="n">
        <v>133922</v>
      </c>
      <c r="C1474" s="0" t="n">
        <v>3</v>
      </c>
      <c r="D1474" s="0" t="inlineStr">
        <is>
          <t>에이스타운2차</t>
        </is>
      </c>
      <c r="E1474" s="0" t="inlineStr">
        <is>
          <t>2018.06.</t>
        </is>
      </c>
      <c r="F1474" s="0" t="n">
        <v>4</v>
      </c>
      <c r="G1474" s="0" t="n">
        <v>22</v>
      </c>
      <c r="H1474" s="0" t="n">
        <v>72.73999999999999</v>
      </c>
      <c r="I1474" s="0" t="n">
        <v>18.18</v>
      </c>
      <c r="J1474" s="0" t="n">
        <v>60.12</v>
      </c>
      <c r="K1474" s="0" t="n">
        <v>1</v>
      </c>
      <c r="T1474" s="0" t="n">
        <v>3</v>
      </c>
      <c r="U1474" s="0" t="n">
        <v>1</v>
      </c>
      <c r="V1474" s="0" t="inlineStr">
        <is>
          <t>계단식</t>
        </is>
      </c>
      <c r="W1474" s="0" t="inlineStr">
        <is>
          <t>72B</t>
        </is>
      </c>
      <c r="X1474" s="0" t="n">
        <v>14</v>
      </c>
      <c r="Y1474" s="0" t="n">
        <v>14</v>
      </c>
      <c r="Z1474" s="0" t="inlineStr">
        <is>
          <t>https://new.land.naver.com/complexes/133922?tab=detail&amp;rf=Y</t>
        </is>
      </c>
      <c r="AA1474" s="0" t="inlineStr">
        <is>
          <t>인천시 남동구 만수동 111-88</t>
        </is>
      </c>
      <c r="AB1474" s="0" t="inlineStr">
        <is>
          <t>인천시</t>
        </is>
      </c>
      <c r="AC1474" s="0" t="inlineStr">
        <is>
          <t>남동구</t>
        </is>
      </c>
      <c r="AD1474" s="0" t="inlineStr">
        <is>
          <t>만수동</t>
        </is>
      </c>
      <c r="AG1474" s="0" t="inlineStr">
        <is>
          <t>인천시 남동구 만수서로21번길 26</t>
        </is>
      </c>
      <c r="AH1474" s="0" t="n">
        <v>0</v>
      </c>
      <c r="AI1474" s="0" t="n">
        <v>583</v>
      </c>
      <c r="AJ1474" s="0" t="n">
        <v>53</v>
      </c>
      <c r="AK1474" s="0" t="n">
        <v>4</v>
      </c>
      <c r="AL1474" s="0" t="n">
        <v>1</v>
      </c>
    </row>
    <row r="1475">
      <c r="A1475" s="0" t="inlineStr">
        <is>
          <t>[만수동]</t>
        </is>
      </c>
      <c r="B1475" s="0" t="n">
        <v>133922</v>
      </c>
      <c r="C1475" s="0" t="n">
        <v>4</v>
      </c>
      <c r="D1475" s="0" t="inlineStr">
        <is>
          <t>에이스타운2차</t>
        </is>
      </c>
      <c r="E1475" s="0" t="inlineStr">
        <is>
          <t>2018.06.</t>
        </is>
      </c>
      <c r="F1475" s="0" t="n">
        <v>4</v>
      </c>
      <c r="G1475" s="0" t="n">
        <v>22</v>
      </c>
      <c r="H1475" s="0" t="n">
        <v>72.73999999999999</v>
      </c>
      <c r="I1475" s="0" t="n">
        <v>18.34</v>
      </c>
      <c r="J1475" s="0" t="n">
        <v>60.66</v>
      </c>
      <c r="K1475" s="0" t="n">
        <v>1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72C</t>
        </is>
      </c>
      <c r="X1475" s="0" t="n">
        <v>14</v>
      </c>
      <c r="Y1475" s="0" t="n">
        <v>14</v>
      </c>
      <c r="Z1475" s="0" t="inlineStr">
        <is>
          <t>https://new.land.naver.com/complexes/133922?tab=detail&amp;rf=Y</t>
        </is>
      </c>
      <c r="AA1475" s="0" t="inlineStr">
        <is>
          <t>인천시 남동구 만수동 111-88</t>
        </is>
      </c>
      <c r="AB1475" s="0" t="inlineStr">
        <is>
          <t>인천시</t>
        </is>
      </c>
      <c r="AC1475" s="0" t="inlineStr">
        <is>
          <t>남동구</t>
        </is>
      </c>
      <c r="AD1475" s="0" t="inlineStr">
        <is>
          <t>만수동</t>
        </is>
      </c>
      <c r="AG1475" s="0" t="inlineStr">
        <is>
          <t>인천시 남동구 만수서로21번길 26</t>
        </is>
      </c>
      <c r="AH1475" s="0" t="n">
        <v>0</v>
      </c>
      <c r="AI1475" s="0" t="n">
        <v>583</v>
      </c>
      <c r="AJ1475" s="0" t="n">
        <v>53</v>
      </c>
      <c r="AK1475" s="0" t="n">
        <v>4</v>
      </c>
      <c r="AL1475" s="0" t="n">
        <v>1</v>
      </c>
    </row>
    <row r="1476">
      <c r="A1476" s="0" t="inlineStr">
        <is>
          <t>[만수동]</t>
        </is>
      </c>
      <c r="B1476" s="0" t="n">
        <v>26989</v>
      </c>
      <c r="C1476" s="0" t="n">
        <v>1</v>
      </c>
      <c r="D1476" s="0" t="inlineStr">
        <is>
          <t>포레시안</t>
        </is>
      </c>
      <c r="E1476" s="0" t="inlineStr">
        <is>
          <t>2011.05.</t>
        </is>
      </c>
      <c r="F1476" s="0" t="n">
        <v>3208</v>
      </c>
      <c r="G1476" s="0" t="n">
        <v>20.45</v>
      </c>
      <c r="H1476" s="0" t="n">
        <v>67.61</v>
      </c>
      <c r="I1476" s="0" t="n">
        <v>14.04</v>
      </c>
      <c r="J1476" s="0" t="n">
        <v>46.42</v>
      </c>
      <c r="K1476" s="0" t="n">
        <v>43</v>
      </c>
      <c r="T1476" s="0" t="n">
        <v>2</v>
      </c>
      <c r="U1476" s="0" t="n">
        <v>1</v>
      </c>
      <c r="V1476" s="0" t="inlineStr">
        <is>
          <t>복도식</t>
        </is>
      </c>
      <c r="W1476" s="0" t="inlineStr">
        <is>
          <t>67C</t>
        </is>
      </c>
      <c r="X1476" s="0" t="n">
        <v>25</v>
      </c>
      <c r="Y1476" s="0" t="n">
        <v>2</v>
      </c>
      <c r="Z1476" s="0" t="inlineStr">
        <is>
          <t>https://new.land.naver.com/complexes/26989?tab=detail&amp;rf=Y</t>
        </is>
      </c>
      <c r="AA1476" s="0" t="inlineStr">
        <is>
          <t>인천시 남동구 만수동 1115-1</t>
        </is>
      </c>
      <c r="AB1476" s="0" t="inlineStr">
        <is>
          <t>인천시</t>
        </is>
      </c>
      <c r="AC1476" s="0" t="inlineStr">
        <is>
          <t>남동구</t>
        </is>
      </c>
      <c r="AD1476" s="0" t="inlineStr">
        <is>
          <t>만수동</t>
        </is>
      </c>
      <c r="AG1476" s="0" t="inlineStr">
        <is>
          <t>인천시 남동구 만수서로 55</t>
        </is>
      </c>
      <c r="AH1476" s="0" t="n">
        <v>0</v>
      </c>
      <c r="AI1476" s="0" t="n">
        <v>218</v>
      </c>
      <c r="AJ1476" s="0" t="n">
        <v>13</v>
      </c>
      <c r="AK1476" s="0" t="n">
        <v>3363</v>
      </c>
      <c r="AL1476" s="0" t="n">
        <v>1.05</v>
      </c>
    </row>
    <row r="1477">
      <c r="A1477" s="0" t="inlineStr">
        <is>
          <t>[만수동]</t>
        </is>
      </c>
      <c r="B1477" s="0" t="n">
        <v>26989</v>
      </c>
      <c r="C1477" s="0" t="n">
        <v>2</v>
      </c>
      <c r="D1477" s="0" t="inlineStr">
        <is>
          <t>포레시안</t>
        </is>
      </c>
      <c r="E1477" s="0" t="inlineStr">
        <is>
          <t>2011.05.</t>
        </is>
      </c>
      <c r="F1477" s="0" t="n">
        <v>3208</v>
      </c>
      <c r="G1477" s="0" t="n">
        <v>20.65</v>
      </c>
      <c r="H1477" s="0" t="n">
        <v>68.29000000000001</v>
      </c>
      <c r="I1477" s="0" t="n">
        <v>14.18</v>
      </c>
      <c r="J1477" s="0" t="n">
        <v>46.89</v>
      </c>
      <c r="K1477" s="0" t="n">
        <v>264</v>
      </c>
      <c r="T1477" s="0" t="n">
        <v>2</v>
      </c>
      <c r="U1477" s="0" t="n">
        <v>1</v>
      </c>
      <c r="V1477" s="0" t="inlineStr">
        <is>
          <t>복도식</t>
        </is>
      </c>
      <c r="W1477" s="0" t="inlineStr">
        <is>
          <t>68A</t>
        </is>
      </c>
      <c r="X1477" s="0" t="n">
        <v>25</v>
      </c>
      <c r="Y1477" s="0" t="n">
        <v>2</v>
      </c>
      <c r="Z1477" s="0" t="inlineStr">
        <is>
          <t>https://new.land.naver.com/complexes/26989?tab=detail&amp;rf=Y</t>
        </is>
      </c>
      <c r="AA1477" s="0" t="inlineStr">
        <is>
          <t>인천시 남동구 만수동 1115-1</t>
        </is>
      </c>
      <c r="AB1477" s="0" t="inlineStr">
        <is>
          <t>인천시</t>
        </is>
      </c>
      <c r="AC1477" s="0" t="inlineStr">
        <is>
          <t>남동구</t>
        </is>
      </c>
      <c r="AD1477" s="0" t="inlineStr">
        <is>
          <t>만수동</t>
        </is>
      </c>
      <c r="AG1477" s="0" t="inlineStr">
        <is>
          <t>인천시 남동구 만수서로 55</t>
        </is>
      </c>
      <c r="AH1477" s="0" t="n">
        <v>0</v>
      </c>
      <c r="AI1477" s="0" t="n">
        <v>218</v>
      </c>
      <c r="AJ1477" s="0" t="n">
        <v>13</v>
      </c>
      <c r="AK1477" s="0" t="n">
        <v>3363</v>
      </c>
      <c r="AL1477" s="0" t="n">
        <v>1.05</v>
      </c>
    </row>
    <row r="1478">
      <c r="A1478" s="0" t="inlineStr">
        <is>
          <t>[만수동]</t>
        </is>
      </c>
      <c r="B1478" s="0" t="n">
        <v>26989</v>
      </c>
      <c r="C1478" s="0" t="n">
        <v>3</v>
      </c>
      <c r="D1478" s="0" t="inlineStr">
        <is>
          <t>포레시안</t>
        </is>
      </c>
      <c r="E1478" s="0" t="inlineStr">
        <is>
          <t>2011.05.</t>
        </is>
      </c>
      <c r="F1478" s="0" t="n">
        <v>3208</v>
      </c>
      <c r="G1478" s="0" t="n">
        <v>20.65</v>
      </c>
      <c r="H1478" s="0" t="n">
        <v>68.29000000000001</v>
      </c>
      <c r="I1478" s="0" t="n">
        <v>14.18</v>
      </c>
      <c r="J1478" s="0" t="n">
        <v>46.89</v>
      </c>
      <c r="K1478" s="0" t="n">
        <v>100</v>
      </c>
      <c r="T1478" s="0" t="n">
        <v>2</v>
      </c>
      <c r="U1478" s="0" t="n">
        <v>1</v>
      </c>
      <c r="V1478" s="0" t="inlineStr">
        <is>
          <t>복도식</t>
        </is>
      </c>
      <c r="W1478" s="0" t="inlineStr">
        <is>
          <t>68B</t>
        </is>
      </c>
      <c r="X1478" s="0" t="n">
        <v>25</v>
      </c>
      <c r="Y1478" s="0" t="n">
        <v>2</v>
      </c>
      <c r="Z1478" s="0" t="inlineStr">
        <is>
          <t>https://new.land.naver.com/complexes/26989?tab=detail&amp;rf=Y</t>
        </is>
      </c>
      <c r="AA1478" s="0" t="inlineStr">
        <is>
          <t>인천시 남동구 만수동 1115-1</t>
        </is>
      </c>
      <c r="AB1478" s="0" t="inlineStr">
        <is>
          <t>인천시</t>
        </is>
      </c>
      <c r="AC1478" s="0" t="inlineStr">
        <is>
          <t>남동구</t>
        </is>
      </c>
      <c r="AD1478" s="0" t="inlineStr">
        <is>
          <t>만수동</t>
        </is>
      </c>
      <c r="AG1478" s="0" t="inlineStr">
        <is>
          <t>인천시 남동구 만수서로 55</t>
        </is>
      </c>
      <c r="AH1478" s="0" t="n">
        <v>0</v>
      </c>
      <c r="AI1478" s="0" t="n">
        <v>218</v>
      </c>
      <c r="AJ1478" s="0" t="n">
        <v>13</v>
      </c>
      <c r="AK1478" s="0" t="n">
        <v>3363</v>
      </c>
      <c r="AL1478" s="0" t="n">
        <v>1.05</v>
      </c>
    </row>
    <row r="1479">
      <c r="A1479" s="0" t="inlineStr">
        <is>
          <t>[만수동]</t>
        </is>
      </c>
      <c r="B1479" s="0" t="n">
        <v>26989</v>
      </c>
      <c r="C1479" s="0" t="n">
        <v>4</v>
      </c>
      <c r="D1479" s="0" t="inlineStr">
        <is>
          <t>포레시안</t>
        </is>
      </c>
      <c r="E1479" s="0" t="inlineStr">
        <is>
          <t>2011.05.</t>
        </is>
      </c>
      <c r="F1479" s="0" t="n">
        <v>3208</v>
      </c>
      <c r="G1479" s="0" t="n">
        <v>25.23</v>
      </c>
      <c r="H1479" s="0" t="n">
        <v>83.43000000000001</v>
      </c>
      <c r="I1479" s="0" t="n">
        <v>18.07</v>
      </c>
      <c r="J1479" s="0" t="n">
        <v>59.76</v>
      </c>
      <c r="K1479" s="0" t="n">
        <v>222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83C</t>
        </is>
      </c>
      <c r="X1479" s="0" t="n">
        <v>25</v>
      </c>
      <c r="Y1479" s="0" t="n">
        <v>2</v>
      </c>
      <c r="Z1479" s="0" t="inlineStr">
        <is>
          <t>https://new.land.naver.com/complexes/26989?tab=detail&amp;rf=Y</t>
        </is>
      </c>
      <c r="AA1479" s="0" t="inlineStr">
        <is>
          <t>인천시 남동구 만수동 1115-1</t>
        </is>
      </c>
      <c r="AB1479" s="0" t="inlineStr">
        <is>
          <t>인천시</t>
        </is>
      </c>
      <c r="AC1479" s="0" t="inlineStr">
        <is>
          <t>남동구</t>
        </is>
      </c>
      <c r="AD1479" s="0" t="inlineStr">
        <is>
          <t>만수동</t>
        </is>
      </c>
      <c r="AG1479" s="0" t="inlineStr">
        <is>
          <t>인천시 남동구 만수서로 55</t>
        </is>
      </c>
      <c r="AH1479" s="0" t="n">
        <v>0</v>
      </c>
      <c r="AI1479" s="0" t="n">
        <v>218</v>
      </c>
      <c r="AJ1479" s="0" t="n">
        <v>13</v>
      </c>
      <c r="AK1479" s="0" t="n">
        <v>3363</v>
      </c>
      <c r="AL1479" s="0" t="n">
        <v>1.05</v>
      </c>
    </row>
    <row r="1480">
      <c r="A1480" s="0" t="inlineStr">
        <is>
          <t>[만수동]</t>
        </is>
      </c>
      <c r="B1480" s="0" t="n">
        <v>26989</v>
      </c>
      <c r="C1480" s="0" t="n">
        <v>5</v>
      </c>
      <c r="D1480" s="0" t="inlineStr">
        <is>
          <t>포레시안</t>
        </is>
      </c>
      <c r="E1480" s="0" t="inlineStr">
        <is>
          <t>2011.05.</t>
        </is>
      </c>
      <c r="F1480" s="0" t="n">
        <v>3208</v>
      </c>
      <c r="G1480" s="0" t="n">
        <v>25.2</v>
      </c>
      <c r="H1480" s="0" t="n">
        <v>83.31999999999999</v>
      </c>
      <c r="I1480" s="0" t="n">
        <v>18.05</v>
      </c>
      <c r="J1480" s="0" t="n">
        <v>59.68</v>
      </c>
      <c r="K1480" s="0" t="n">
        <v>218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83D</t>
        </is>
      </c>
      <c r="X1480" s="0" t="n">
        <v>25</v>
      </c>
      <c r="Y1480" s="0" t="n">
        <v>2</v>
      </c>
      <c r="Z1480" s="0" t="inlineStr">
        <is>
          <t>https://new.land.naver.com/complexes/26989?tab=detail&amp;rf=Y</t>
        </is>
      </c>
      <c r="AA1480" s="0" t="inlineStr">
        <is>
          <t>인천시 남동구 만수동 1115-1</t>
        </is>
      </c>
      <c r="AB1480" s="0" t="inlineStr">
        <is>
          <t>인천시</t>
        </is>
      </c>
      <c r="AC1480" s="0" t="inlineStr">
        <is>
          <t>남동구</t>
        </is>
      </c>
      <c r="AD1480" s="0" t="inlineStr">
        <is>
          <t>만수동</t>
        </is>
      </c>
      <c r="AG1480" s="0" t="inlineStr">
        <is>
          <t>인천시 남동구 만수서로 55</t>
        </is>
      </c>
      <c r="AH1480" s="0" t="n">
        <v>0</v>
      </c>
      <c r="AI1480" s="0" t="n">
        <v>218</v>
      </c>
      <c r="AJ1480" s="0" t="n">
        <v>13</v>
      </c>
      <c r="AK1480" s="0" t="n">
        <v>3363</v>
      </c>
      <c r="AL1480" s="0" t="n">
        <v>1.05</v>
      </c>
    </row>
    <row r="1481">
      <c r="A1481" s="0" t="inlineStr">
        <is>
          <t>[만수동]</t>
        </is>
      </c>
      <c r="B1481" s="0" t="n">
        <v>26989</v>
      </c>
      <c r="C1481" s="0" t="n">
        <v>6</v>
      </c>
      <c r="D1481" s="0" t="inlineStr">
        <is>
          <t>포레시안</t>
        </is>
      </c>
      <c r="E1481" s="0" t="inlineStr">
        <is>
          <t>2011.05.</t>
        </is>
      </c>
      <c r="F1481" s="0" t="n">
        <v>3208</v>
      </c>
      <c r="G1481" s="0" t="n">
        <v>25.23</v>
      </c>
      <c r="H1481" s="0" t="n">
        <v>83.43000000000001</v>
      </c>
      <c r="I1481" s="0" t="n">
        <v>18.07</v>
      </c>
      <c r="J1481" s="0" t="n">
        <v>59.76</v>
      </c>
      <c r="K1481" s="0" t="n">
        <v>22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83C1</t>
        </is>
      </c>
      <c r="X1481" s="0" t="n">
        <v>25</v>
      </c>
      <c r="Y1481" s="0" t="n">
        <v>2</v>
      </c>
      <c r="Z1481" s="0" t="inlineStr">
        <is>
          <t>https://new.land.naver.com/complexes/26989?tab=detail&amp;rf=Y</t>
        </is>
      </c>
      <c r="AA1481" s="0" t="inlineStr">
        <is>
          <t>인천시 남동구 만수동 1115-1</t>
        </is>
      </c>
      <c r="AB1481" s="0" t="inlineStr">
        <is>
          <t>인천시</t>
        </is>
      </c>
      <c r="AC1481" s="0" t="inlineStr">
        <is>
          <t>남동구</t>
        </is>
      </c>
      <c r="AD1481" s="0" t="inlineStr">
        <is>
          <t>만수동</t>
        </is>
      </c>
      <c r="AG1481" s="0" t="inlineStr">
        <is>
          <t>인천시 남동구 만수서로 55</t>
        </is>
      </c>
      <c r="AH1481" s="0" t="n">
        <v>0</v>
      </c>
      <c r="AI1481" s="0" t="n">
        <v>218</v>
      </c>
      <c r="AJ1481" s="0" t="n">
        <v>13</v>
      </c>
      <c r="AK1481" s="0" t="n">
        <v>3363</v>
      </c>
      <c r="AL1481" s="0" t="n">
        <v>1.05</v>
      </c>
    </row>
    <row r="1482">
      <c r="A1482" s="0" t="inlineStr">
        <is>
          <t>[만수동]</t>
        </is>
      </c>
      <c r="B1482" s="0" t="n">
        <v>26989</v>
      </c>
      <c r="C1482" s="0" t="n">
        <v>7</v>
      </c>
      <c r="D1482" s="0" t="inlineStr">
        <is>
          <t>포레시안</t>
        </is>
      </c>
      <c r="E1482" s="0" t="inlineStr">
        <is>
          <t>2011.05.</t>
        </is>
      </c>
      <c r="F1482" s="0" t="n">
        <v>3208</v>
      </c>
      <c r="G1482" s="0" t="n">
        <v>25.8</v>
      </c>
      <c r="H1482" s="0" t="n">
        <v>85.31999999999999</v>
      </c>
      <c r="I1482" s="0" t="n">
        <v>18.06</v>
      </c>
      <c r="J1482" s="0" t="n">
        <v>59.71</v>
      </c>
      <c r="K1482" s="0" t="n">
        <v>359</v>
      </c>
      <c r="T1482" s="0" t="n">
        <v>3</v>
      </c>
      <c r="U1482" s="0" t="n">
        <v>2</v>
      </c>
      <c r="V1482" s="0" t="inlineStr">
        <is>
          <t>계단식</t>
        </is>
      </c>
      <c r="W1482" s="0" t="inlineStr">
        <is>
          <t>85A</t>
        </is>
      </c>
      <c r="X1482" s="0" t="n">
        <v>25</v>
      </c>
      <c r="Y1482" s="0" t="n">
        <v>2</v>
      </c>
      <c r="Z1482" s="0" t="inlineStr">
        <is>
          <t>https://new.land.naver.com/complexes/26989?tab=detail&amp;rf=Y</t>
        </is>
      </c>
      <c r="AA1482" s="0" t="inlineStr">
        <is>
          <t>인천시 남동구 만수동 1115-1</t>
        </is>
      </c>
      <c r="AB1482" s="0" t="inlineStr">
        <is>
          <t>인천시</t>
        </is>
      </c>
      <c r="AC1482" s="0" t="inlineStr">
        <is>
          <t>남동구</t>
        </is>
      </c>
      <c r="AD1482" s="0" t="inlineStr">
        <is>
          <t>만수동</t>
        </is>
      </c>
      <c r="AG1482" s="0" t="inlineStr">
        <is>
          <t>인천시 남동구 만수서로 55</t>
        </is>
      </c>
      <c r="AH1482" s="0" t="n">
        <v>0</v>
      </c>
      <c r="AI1482" s="0" t="n">
        <v>218</v>
      </c>
      <c r="AJ1482" s="0" t="n">
        <v>13</v>
      </c>
      <c r="AK1482" s="0" t="n">
        <v>3363</v>
      </c>
      <c r="AL1482" s="0" t="n">
        <v>1.05</v>
      </c>
    </row>
    <row r="1483">
      <c r="A1483" s="0" t="inlineStr">
        <is>
          <t>[만수동]</t>
        </is>
      </c>
      <c r="B1483" s="0" t="n">
        <v>26989</v>
      </c>
      <c r="C1483" s="0" t="n">
        <v>8</v>
      </c>
      <c r="D1483" s="0" t="inlineStr">
        <is>
          <t>포레시안</t>
        </is>
      </c>
      <c r="E1483" s="0" t="inlineStr">
        <is>
          <t>2011.05.</t>
        </is>
      </c>
      <c r="F1483" s="0" t="n">
        <v>3208</v>
      </c>
      <c r="G1483" s="0" t="n">
        <v>25.74</v>
      </c>
      <c r="H1483" s="0" t="n">
        <v>85.12</v>
      </c>
      <c r="I1483" s="0" t="n">
        <v>18.01</v>
      </c>
      <c r="J1483" s="0" t="n">
        <v>59.57</v>
      </c>
      <c r="K1483" s="0" t="n">
        <v>25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85B</t>
        </is>
      </c>
      <c r="X1483" s="0" t="n">
        <v>25</v>
      </c>
      <c r="Y1483" s="0" t="n">
        <v>2</v>
      </c>
      <c r="Z1483" s="0" t="inlineStr">
        <is>
          <t>https://new.land.naver.com/complexes/26989?tab=detail&amp;rf=Y</t>
        </is>
      </c>
      <c r="AA1483" s="0" t="inlineStr">
        <is>
          <t>인천시 남동구 만수동 1115-1</t>
        </is>
      </c>
      <c r="AB1483" s="0" t="inlineStr">
        <is>
          <t>인천시</t>
        </is>
      </c>
      <c r="AC1483" s="0" t="inlineStr">
        <is>
          <t>남동구</t>
        </is>
      </c>
      <c r="AD1483" s="0" t="inlineStr">
        <is>
          <t>만수동</t>
        </is>
      </c>
      <c r="AG1483" s="0" t="inlineStr">
        <is>
          <t>인천시 남동구 만수서로 55</t>
        </is>
      </c>
      <c r="AH1483" s="0" t="n">
        <v>0</v>
      </c>
      <c r="AI1483" s="0" t="n">
        <v>218</v>
      </c>
      <c r="AJ1483" s="0" t="n">
        <v>13</v>
      </c>
      <c r="AK1483" s="0" t="n">
        <v>3363</v>
      </c>
      <c r="AL1483" s="0" t="n">
        <v>1.05</v>
      </c>
    </row>
    <row r="1484">
      <c r="A1484" s="0" t="inlineStr">
        <is>
          <t>[만수동]</t>
        </is>
      </c>
      <c r="B1484" s="0" t="n">
        <v>26989</v>
      </c>
      <c r="C1484" s="0" t="n">
        <v>9</v>
      </c>
      <c r="D1484" s="0" t="inlineStr">
        <is>
          <t>포레시안</t>
        </is>
      </c>
      <c r="E1484" s="0" t="inlineStr">
        <is>
          <t>2011.05.</t>
        </is>
      </c>
      <c r="F1484" s="0" t="n">
        <v>3208</v>
      </c>
      <c r="G1484" s="0" t="n">
        <v>30.24</v>
      </c>
      <c r="H1484" s="0" t="n">
        <v>99.98</v>
      </c>
      <c r="I1484" s="0" t="n">
        <v>22.66</v>
      </c>
      <c r="J1484" s="0" t="n">
        <v>74.91</v>
      </c>
      <c r="K1484" s="0" t="n">
        <v>212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99A</t>
        </is>
      </c>
      <c r="X1484" s="0" t="n">
        <v>25</v>
      </c>
      <c r="Y1484" s="0" t="n">
        <v>2</v>
      </c>
      <c r="Z1484" s="0" t="inlineStr">
        <is>
          <t>https://new.land.naver.com/complexes/26989?tab=detail&amp;rf=Y</t>
        </is>
      </c>
      <c r="AA1484" s="0" t="inlineStr">
        <is>
          <t>인천시 남동구 만수동 1115-1</t>
        </is>
      </c>
      <c r="AB1484" s="0" t="inlineStr">
        <is>
          <t>인천시</t>
        </is>
      </c>
      <c r="AC1484" s="0" t="inlineStr">
        <is>
          <t>남동구</t>
        </is>
      </c>
      <c r="AD1484" s="0" t="inlineStr">
        <is>
          <t>만수동</t>
        </is>
      </c>
      <c r="AG1484" s="0" t="inlineStr">
        <is>
          <t>인천시 남동구 만수서로 55</t>
        </is>
      </c>
      <c r="AH1484" s="0" t="n">
        <v>0</v>
      </c>
      <c r="AI1484" s="0" t="n">
        <v>218</v>
      </c>
      <c r="AJ1484" s="0" t="n">
        <v>13</v>
      </c>
      <c r="AK1484" s="0" t="n">
        <v>3363</v>
      </c>
      <c r="AL1484" s="0" t="n">
        <v>1.05</v>
      </c>
    </row>
    <row r="1485">
      <c r="A1485" s="0" t="inlineStr">
        <is>
          <t>[만수동]</t>
        </is>
      </c>
      <c r="B1485" s="0" t="n">
        <v>26989</v>
      </c>
      <c r="C1485" s="0" t="n">
        <v>10</v>
      </c>
      <c r="D1485" s="0" t="inlineStr">
        <is>
          <t>포레시안</t>
        </is>
      </c>
      <c r="E1485" s="0" t="inlineStr">
        <is>
          <t>2011.05.</t>
        </is>
      </c>
      <c r="F1485" s="0" t="n">
        <v>3208</v>
      </c>
      <c r="G1485" s="0" t="n">
        <v>32.97</v>
      </c>
      <c r="H1485" s="0" t="n">
        <v>109</v>
      </c>
      <c r="I1485" s="0" t="n">
        <v>25.51</v>
      </c>
      <c r="J1485" s="0" t="n">
        <v>84.34999999999999</v>
      </c>
      <c r="K1485" s="0" t="n">
        <v>558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109D</t>
        </is>
      </c>
      <c r="X1485" s="0" t="n">
        <v>25</v>
      </c>
      <c r="Y1485" s="0" t="n">
        <v>2</v>
      </c>
      <c r="Z1485" s="0" t="inlineStr">
        <is>
          <t>https://new.land.naver.com/complexes/26989?tab=detail&amp;rf=Y</t>
        </is>
      </c>
      <c r="AA1485" s="0" t="inlineStr">
        <is>
          <t>인천시 남동구 만수동 1115-1</t>
        </is>
      </c>
      <c r="AB1485" s="0" t="inlineStr">
        <is>
          <t>인천시</t>
        </is>
      </c>
      <c r="AC1485" s="0" t="inlineStr">
        <is>
          <t>남동구</t>
        </is>
      </c>
      <c r="AD1485" s="0" t="inlineStr">
        <is>
          <t>만수동</t>
        </is>
      </c>
      <c r="AG1485" s="0" t="inlineStr">
        <is>
          <t>인천시 남동구 만수서로 55</t>
        </is>
      </c>
      <c r="AH1485" s="0" t="n">
        <v>0</v>
      </c>
      <c r="AI1485" s="0" t="n">
        <v>218</v>
      </c>
      <c r="AJ1485" s="0" t="n">
        <v>13</v>
      </c>
      <c r="AK1485" s="0" t="n">
        <v>3363</v>
      </c>
      <c r="AL1485" s="0" t="n">
        <v>1.05</v>
      </c>
    </row>
    <row r="1486">
      <c r="A1486" s="0" t="inlineStr">
        <is>
          <t>[만수동]</t>
        </is>
      </c>
      <c r="B1486" s="0" t="n">
        <v>26989</v>
      </c>
      <c r="C1486" s="0" t="n">
        <v>11</v>
      </c>
      <c r="D1486" s="0" t="inlineStr">
        <is>
          <t>포레시안</t>
        </is>
      </c>
      <c r="E1486" s="0" t="inlineStr">
        <is>
          <t>2011.05.</t>
        </is>
      </c>
      <c r="F1486" s="0" t="n">
        <v>3208</v>
      </c>
      <c r="G1486" s="0" t="n">
        <v>33.19</v>
      </c>
      <c r="H1486" s="0" t="n">
        <v>109.75</v>
      </c>
      <c r="I1486" s="0" t="n">
        <v>25.69</v>
      </c>
      <c r="J1486" s="0" t="n">
        <v>84.93000000000001</v>
      </c>
      <c r="K1486" s="0" t="n">
        <v>544</v>
      </c>
      <c r="T1486" s="0" t="n">
        <v>3</v>
      </c>
      <c r="U1486" s="0" t="n">
        <v>2</v>
      </c>
      <c r="V1486" s="0" t="inlineStr">
        <is>
          <t>계단식</t>
        </is>
      </c>
      <c r="W1486" s="0" t="inlineStr">
        <is>
          <t>109E</t>
        </is>
      </c>
      <c r="X1486" s="0" t="n">
        <v>25</v>
      </c>
      <c r="Y1486" s="0" t="n">
        <v>2</v>
      </c>
      <c r="Z1486" s="0" t="inlineStr">
        <is>
          <t>https://new.land.naver.com/complexes/26989?tab=detail&amp;rf=Y</t>
        </is>
      </c>
      <c r="AA1486" s="0" t="inlineStr">
        <is>
          <t>인천시 남동구 만수동 1115-1</t>
        </is>
      </c>
      <c r="AB1486" s="0" t="inlineStr">
        <is>
          <t>인천시</t>
        </is>
      </c>
      <c r="AC1486" s="0" t="inlineStr">
        <is>
          <t>남동구</t>
        </is>
      </c>
      <c r="AD1486" s="0" t="inlineStr">
        <is>
          <t>만수동</t>
        </is>
      </c>
      <c r="AG1486" s="0" t="inlineStr">
        <is>
          <t>인천시 남동구 만수서로 55</t>
        </is>
      </c>
      <c r="AH1486" s="0" t="n">
        <v>0</v>
      </c>
      <c r="AI1486" s="0" t="n">
        <v>218</v>
      </c>
      <c r="AJ1486" s="0" t="n">
        <v>13</v>
      </c>
      <c r="AK1486" s="0" t="n">
        <v>3363</v>
      </c>
      <c r="AL1486" s="0" t="n">
        <v>1.05</v>
      </c>
    </row>
    <row r="1487">
      <c r="A1487" s="0" t="inlineStr">
        <is>
          <t>[만수동]</t>
        </is>
      </c>
      <c r="B1487" s="0" t="n">
        <v>26989</v>
      </c>
      <c r="C1487" s="0" t="n">
        <v>12</v>
      </c>
      <c r="D1487" s="0" t="inlineStr">
        <is>
          <t>포레시안</t>
        </is>
      </c>
      <c r="E1487" s="0" t="inlineStr">
        <is>
          <t>2011.05.</t>
        </is>
      </c>
      <c r="F1487" s="0" t="n">
        <v>3208</v>
      </c>
      <c r="G1487" s="0" t="n">
        <v>32.97</v>
      </c>
      <c r="H1487" s="0" t="n">
        <v>109</v>
      </c>
      <c r="I1487" s="0" t="n">
        <v>25.51</v>
      </c>
      <c r="J1487" s="0" t="n">
        <v>84.34999999999999</v>
      </c>
      <c r="K1487" s="0" t="n">
        <v>42</v>
      </c>
      <c r="T1487" s="0" t="n">
        <v>3</v>
      </c>
      <c r="U1487" s="0" t="n">
        <v>2</v>
      </c>
      <c r="V1487" s="0" t="inlineStr">
        <is>
          <t>계단식</t>
        </is>
      </c>
      <c r="W1487" s="0" t="inlineStr">
        <is>
          <t>109D1</t>
        </is>
      </c>
      <c r="X1487" s="0" t="n">
        <v>25</v>
      </c>
      <c r="Y1487" s="0" t="n">
        <v>2</v>
      </c>
      <c r="Z1487" s="0" t="inlineStr">
        <is>
          <t>https://new.land.naver.com/complexes/26989?tab=detail&amp;rf=Y</t>
        </is>
      </c>
      <c r="AA1487" s="0" t="inlineStr">
        <is>
          <t>인천시 남동구 만수동 1115-1</t>
        </is>
      </c>
      <c r="AB1487" s="0" t="inlineStr">
        <is>
          <t>인천시</t>
        </is>
      </c>
      <c r="AC1487" s="0" t="inlineStr">
        <is>
          <t>남동구</t>
        </is>
      </c>
      <c r="AD1487" s="0" t="inlineStr">
        <is>
          <t>만수동</t>
        </is>
      </c>
      <c r="AG1487" s="0" t="inlineStr">
        <is>
          <t>인천시 남동구 만수서로 55</t>
        </is>
      </c>
      <c r="AH1487" s="0" t="n">
        <v>0</v>
      </c>
      <c r="AI1487" s="0" t="n">
        <v>218</v>
      </c>
      <c r="AJ1487" s="0" t="n">
        <v>13</v>
      </c>
      <c r="AK1487" s="0" t="n">
        <v>3363</v>
      </c>
      <c r="AL1487" s="0" t="n">
        <v>1.05</v>
      </c>
    </row>
    <row r="1488">
      <c r="A1488" s="0" t="inlineStr">
        <is>
          <t>[만수동]</t>
        </is>
      </c>
      <c r="B1488" s="0" t="n">
        <v>26989</v>
      </c>
      <c r="C1488" s="0" t="n">
        <v>13</v>
      </c>
      <c r="D1488" s="0" t="inlineStr">
        <is>
          <t>포레시안</t>
        </is>
      </c>
      <c r="E1488" s="0" t="inlineStr">
        <is>
          <t>2011.05.</t>
        </is>
      </c>
      <c r="F1488" s="0" t="n">
        <v>3208</v>
      </c>
      <c r="G1488" s="0" t="n">
        <v>33.76</v>
      </c>
      <c r="H1488" s="0" t="n">
        <v>111.62</v>
      </c>
      <c r="I1488" s="0" t="n">
        <v>22.61</v>
      </c>
      <c r="J1488" s="0" t="n">
        <v>74.77</v>
      </c>
      <c r="K1488" s="0" t="n">
        <v>12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111T</t>
        </is>
      </c>
      <c r="X1488" s="0" t="n">
        <v>25</v>
      </c>
      <c r="Y1488" s="0" t="n">
        <v>2</v>
      </c>
      <c r="Z1488" s="0" t="inlineStr">
        <is>
          <t>https://new.land.naver.com/complexes/26989?tab=detail&amp;rf=Y</t>
        </is>
      </c>
      <c r="AA1488" s="0" t="inlineStr">
        <is>
          <t>인천시 남동구 만수동 1115-1</t>
        </is>
      </c>
      <c r="AB1488" s="0" t="inlineStr">
        <is>
          <t>인천시</t>
        </is>
      </c>
      <c r="AC1488" s="0" t="inlineStr">
        <is>
          <t>남동구</t>
        </is>
      </c>
      <c r="AD1488" s="0" t="inlineStr">
        <is>
          <t>만수동</t>
        </is>
      </c>
      <c r="AG1488" s="0" t="inlineStr">
        <is>
          <t>인천시 남동구 만수서로 55</t>
        </is>
      </c>
      <c r="AH1488" s="0" t="n">
        <v>0</v>
      </c>
      <c r="AI1488" s="0" t="n">
        <v>218</v>
      </c>
      <c r="AJ1488" s="0" t="n">
        <v>13</v>
      </c>
      <c r="AK1488" s="0" t="n">
        <v>3363</v>
      </c>
      <c r="AL1488" s="0" t="n">
        <v>1.05</v>
      </c>
    </row>
    <row r="1489">
      <c r="A1489" s="0" t="inlineStr">
        <is>
          <t>[만수동]</t>
        </is>
      </c>
      <c r="B1489" s="0" t="n">
        <v>26989</v>
      </c>
      <c r="C1489" s="0" t="n">
        <v>14</v>
      </c>
      <c r="D1489" s="0" t="inlineStr">
        <is>
          <t>포레시안</t>
        </is>
      </c>
      <c r="E1489" s="0" t="inlineStr">
        <is>
          <t>2011.05.</t>
        </is>
      </c>
      <c r="F1489" s="0" t="n">
        <v>3208</v>
      </c>
      <c r="G1489" s="0" t="n">
        <v>34.16</v>
      </c>
      <c r="H1489" s="0" t="n">
        <v>112.93</v>
      </c>
      <c r="I1489" s="0" t="n">
        <v>25.69</v>
      </c>
      <c r="J1489" s="0" t="n">
        <v>84.95</v>
      </c>
      <c r="K1489" s="0" t="n">
        <v>236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112A</t>
        </is>
      </c>
      <c r="X1489" s="0" t="n">
        <v>25</v>
      </c>
      <c r="Y1489" s="0" t="n">
        <v>2</v>
      </c>
      <c r="Z1489" s="0" t="inlineStr">
        <is>
          <t>https://new.land.naver.com/complexes/26989?tab=detail&amp;rf=Y</t>
        </is>
      </c>
      <c r="AA1489" s="0" t="inlineStr">
        <is>
          <t>인천시 남동구 만수동 1115-1</t>
        </is>
      </c>
      <c r="AB1489" s="0" t="inlineStr">
        <is>
          <t>인천시</t>
        </is>
      </c>
      <c r="AC1489" s="0" t="inlineStr">
        <is>
          <t>남동구</t>
        </is>
      </c>
      <c r="AD1489" s="0" t="inlineStr">
        <is>
          <t>만수동</t>
        </is>
      </c>
      <c r="AG1489" s="0" t="inlineStr">
        <is>
          <t>인천시 남동구 만수서로 55</t>
        </is>
      </c>
      <c r="AH1489" s="0" t="n">
        <v>0</v>
      </c>
      <c r="AI1489" s="0" t="n">
        <v>218</v>
      </c>
      <c r="AJ1489" s="0" t="n">
        <v>13</v>
      </c>
      <c r="AK1489" s="0" t="n">
        <v>3363</v>
      </c>
      <c r="AL1489" s="0" t="n">
        <v>1.05</v>
      </c>
    </row>
    <row r="1490">
      <c r="A1490" s="0" t="inlineStr">
        <is>
          <t>[만수동]</t>
        </is>
      </c>
      <c r="B1490" s="0" t="n">
        <v>26989</v>
      </c>
      <c r="C1490" s="0" t="n">
        <v>15</v>
      </c>
      <c r="D1490" s="0" t="inlineStr">
        <is>
          <t>포레시안</t>
        </is>
      </c>
      <c r="E1490" s="0" t="inlineStr">
        <is>
          <t>2011.05.</t>
        </is>
      </c>
      <c r="F1490" s="0" t="n">
        <v>3208</v>
      </c>
      <c r="G1490" s="0" t="n">
        <v>34.16</v>
      </c>
      <c r="H1490" s="0" t="n">
        <v>112.93</v>
      </c>
      <c r="I1490" s="0" t="n">
        <v>25.69</v>
      </c>
      <c r="J1490" s="0" t="n">
        <v>84.95</v>
      </c>
      <c r="K1490" s="0" t="n">
        <v>76</v>
      </c>
      <c r="T1490" s="0" t="n">
        <v>3</v>
      </c>
      <c r="U1490" s="0" t="n">
        <v>2</v>
      </c>
      <c r="V1490" s="0" t="inlineStr">
        <is>
          <t>계단식</t>
        </is>
      </c>
      <c r="W1490" s="0" t="inlineStr">
        <is>
          <t>112B</t>
        </is>
      </c>
      <c r="X1490" s="0" t="n">
        <v>25</v>
      </c>
      <c r="Y1490" s="0" t="n">
        <v>2</v>
      </c>
      <c r="Z1490" s="0" t="inlineStr">
        <is>
          <t>https://new.land.naver.com/complexes/26989?tab=detail&amp;rf=Y</t>
        </is>
      </c>
      <c r="AA1490" s="0" t="inlineStr">
        <is>
          <t>인천시 남동구 만수동 1115-1</t>
        </is>
      </c>
      <c r="AB1490" s="0" t="inlineStr">
        <is>
          <t>인천시</t>
        </is>
      </c>
      <c r="AC1490" s="0" t="inlineStr">
        <is>
          <t>남동구</t>
        </is>
      </c>
      <c r="AD1490" s="0" t="inlineStr">
        <is>
          <t>만수동</t>
        </is>
      </c>
      <c r="AG1490" s="0" t="inlineStr">
        <is>
          <t>인천시 남동구 만수서로 55</t>
        </is>
      </c>
      <c r="AH1490" s="0" t="n">
        <v>0</v>
      </c>
      <c r="AI1490" s="0" t="n">
        <v>218</v>
      </c>
      <c r="AJ1490" s="0" t="n">
        <v>13</v>
      </c>
      <c r="AK1490" s="0" t="n">
        <v>3363</v>
      </c>
      <c r="AL1490" s="0" t="n">
        <v>1.05</v>
      </c>
    </row>
    <row r="1491">
      <c r="A1491" s="0" t="inlineStr">
        <is>
          <t>[만수동]</t>
        </is>
      </c>
      <c r="B1491" s="0" t="n">
        <v>26989</v>
      </c>
      <c r="C1491" s="0" t="n">
        <v>16</v>
      </c>
      <c r="D1491" s="0" t="inlineStr">
        <is>
          <t>포레시안</t>
        </is>
      </c>
      <c r="E1491" s="0" t="inlineStr">
        <is>
          <t>2011.05.</t>
        </is>
      </c>
      <c r="F1491" s="0" t="n">
        <v>3208</v>
      </c>
      <c r="G1491" s="0" t="n">
        <v>34.08</v>
      </c>
      <c r="H1491" s="0" t="n">
        <v>112.69</v>
      </c>
      <c r="I1491" s="0" t="n">
        <v>25.64</v>
      </c>
      <c r="J1491" s="0" t="n">
        <v>84.77</v>
      </c>
      <c r="K1491" s="0" t="n">
        <v>29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112C</t>
        </is>
      </c>
      <c r="X1491" s="0" t="n">
        <v>25</v>
      </c>
      <c r="Y1491" s="0" t="n">
        <v>2</v>
      </c>
      <c r="Z1491" s="0" t="inlineStr">
        <is>
          <t>https://new.land.naver.com/complexes/26989?tab=detail&amp;rf=Y</t>
        </is>
      </c>
      <c r="AA1491" s="0" t="inlineStr">
        <is>
          <t>인천시 남동구 만수동 1115-1</t>
        </is>
      </c>
      <c r="AB1491" s="0" t="inlineStr">
        <is>
          <t>인천시</t>
        </is>
      </c>
      <c r="AC1491" s="0" t="inlineStr">
        <is>
          <t>남동구</t>
        </is>
      </c>
      <c r="AD1491" s="0" t="inlineStr">
        <is>
          <t>만수동</t>
        </is>
      </c>
      <c r="AG1491" s="0" t="inlineStr">
        <is>
          <t>인천시 남동구 만수서로 55</t>
        </is>
      </c>
      <c r="AH1491" s="0" t="n">
        <v>0</v>
      </c>
      <c r="AI1491" s="0" t="n">
        <v>218</v>
      </c>
      <c r="AJ1491" s="0" t="n">
        <v>13</v>
      </c>
      <c r="AK1491" s="0" t="n">
        <v>3363</v>
      </c>
      <c r="AL1491" s="0" t="n">
        <v>1.05</v>
      </c>
    </row>
    <row r="1492">
      <c r="A1492" s="0" t="inlineStr">
        <is>
          <t>[만수동]</t>
        </is>
      </c>
      <c r="B1492" s="0" t="n">
        <v>26989</v>
      </c>
      <c r="C1492" s="0" t="n">
        <v>17</v>
      </c>
      <c r="D1492" s="0" t="inlineStr">
        <is>
          <t>포레시안</t>
        </is>
      </c>
      <c r="E1492" s="0" t="inlineStr">
        <is>
          <t>2011.05.</t>
        </is>
      </c>
      <c r="F1492" s="0" t="n">
        <v>3208</v>
      </c>
      <c r="G1492" s="0" t="n">
        <v>34.36</v>
      </c>
      <c r="H1492" s="0" t="n">
        <v>113.6</v>
      </c>
      <c r="I1492" s="0" t="n">
        <v>25.67</v>
      </c>
      <c r="J1492" s="0" t="n">
        <v>84.89</v>
      </c>
      <c r="K1492" s="0" t="n">
        <v>4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113T-1</t>
        </is>
      </c>
      <c r="X1492" s="0" t="n">
        <v>25</v>
      </c>
      <c r="Y1492" s="0" t="n">
        <v>2</v>
      </c>
      <c r="Z1492" s="0" t="inlineStr">
        <is>
          <t>https://new.land.naver.com/complexes/26989?tab=detail&amp;rf=Y</t>
        </is>
      </c>
      <c r="AA1492" s="0" t="inlineStr">
        <is>
          <t>인천시 남동구 만수동 1115-1</t>
        </is>
      </c>
      <c r="AB1492" s="0" t="inlineStr">
        <is>
          <t>인천시</t>
        </is>
      </c>
      <c r="AC1492" s="0" t="inlineStr">
        <is>
          <t>남동구</t>
        </is>
      </c>
      <c r="AD1492" s="0" t="inlineStr">
        <is>
          <t>만수동</t>
        </is>
      </c>
      <c r="AG1492" s="0" t="inlineStr">
        <is>
          <t>인천시 남동구 만수서로 55</t>
        </is>
      </c>
      <c r="AH1492" s="0" t="n">
        <v>0</v>
      </c>
      <c r="AI1492" s="0" t="n">
        <v>218</v>
      </c>
      <c r="AJ1492" s="0" t="n">
        <v>13</v>
      </c>
      <c r="AK1492" s="0" t="n">
        <v>3363</v>
      </c>
      <c r="AL1492" s="0" t="n">
        <v>1.05</v>
      </c>
    </row>
    <row r="1493">
      <c r="A1493" s="0" t="inlineStr">
        <is>
          <t>[만수동]</t>
        </is>
      </c>
      <c r="B1493" s="0" t="n">
        <v>26989</v>
      </c>
      <c r="C1493" s="0" t="n">
        <v>18</v>
      </c>
      <c r="D1493" s="0" t="inlineStr">
        <is>
          <t>포레시안</t>
        </is>
      </c>
      <c r="E1493" s="0" t="inlineStr">
        <is>
          <t>2011.05.</t>
        </is>
      </c>
      <c r="F1493" s="0" t="n">
        <v>3208</v>
      </c>
      <c r="G1493" s="0" t="n">
        <v>43.62</v>
      </c>
      <c r="H1493" s="0" t="n">
        <v>144.22</v>
      </c>
      <c r="I1493" s="0" t="n">
        <v>34.49</v>
      </c>
      <c r="J1493" s="0" t="n">
        <v>114.04</v>
      </c>
      <c r="K1493" s="0" t="n">
        <v>204</v>
      </c>
      <c r="T1493" s="0" t="n">
        <v>4</v>
      </c>
      <c r="U1493" s="0" t="n">
        <v>2</v>
      </c>
      <c r="V1493" s="0" t="inlineStr">
        <is>
          <t>계단식</t>
        </is>
      </c>
      <c r="W1493" s="0" t="inlineStr">
        <is>
          <t>144A</t>
        </is>
      </c>
      <c r="X1493" s="0" t="n">
        <v>25</v>
      </c>
      <c r="Y1493" s="0" t="n">
        <v>2</v>
      </c>
      <c r="Z1493" s="0" t="inlineStr">
        <is>
          <t>https://new.land.naver.com/complexes/26989?tab=detail&amp;rf=Y</t>
        </is>
      </c>
      <c r="AA1493" s="0" t="inlineStr">
        <is>
          <t>인천시 남동구 만수동 1115-1</t>
        </is>
      </c>
      <c r="AB1493" s="0" t="inlineStr">
        <is>
          <t>인천시</t>
        </is>
      </c>
      <c r="AC1493" s="0" t="inlineStr">
        <is>
          <t>남동구</t>
        </is>
      </c>
      <c r="AD1493" s="0" t="inlineStr">
        <is>
          <t>만수동</t>
        </is>
      </c>
      <c r="AG1493" s="0" t="inlineStr">
        <is>
          <t>인천시 남동구 만수서로 55</t>
        </is>
      </c>
      <c r="AH1493" s="0" t="n">
        <v>0</v>
      </c>
      <c r="AI1493" s="0" t="n">
        <v>218</v>
      </c>
      <c r="AJ1493" s="0" t="n">
        <v>13</v>
      </c>
      <c r="AK1493" s="0" t="n">
        <v>3363</v>
      </c>
      <c r="AL1493" s="0" t="n">
        <v>1.05</v>
      </c>
    </row>
    <row r="1494">
      <c r="A1494" s="0" t="inlineStr">
        <is>
          <t>[만수동]</t>
        </is>
      </c>
      <c r="B1494" s="0" t="n">
        <v>26989</v>
      </c>
      <c r="C1494" s="0" t="n">
        <v>19</v>
      </c>
      <c r="D1494" s="0" t="inlineStr">
        <is>
          <t>포레시안</t>
        </is>
      </c>
      <c r="E1494" s="0" t="inlineStr">
        <is>
          <t>2011.05.</t>
        </is>
      </c>
      <c r="F1494" s="0" t="n">
        <v>3208</v>
      </c>
      <c r="G1494" s="0" t="n">
        <v>43.85</v>
      </c>
      <c r="H1494" s="0" t="n">
        <v>144.98</v>
      </c>
      <c r="I1494" s="0" t="n">
        <v>34.67</v>
      </c>
      <c r="J1494" s="0" t="n">
        <v>114.64</v>
      </c>
      <c r="K1494" s="0" t="n">
        <v>38</v>
      </c>
      <c r="T1494" s="0" t="n">
        <v>4</v>
      </c>
      <c r="U1494" s="0" t="n">
        <v>2</v>
      </c>
      <c r="V1494" s="0" t="inlineStr">
        <is>
          <t>계단식</t>
        </is>
      </c>
      <c r="W1494" s="0" t="inlineStr">
        <is>
          <t>144B</t>
        </is>
      </c>
      <c r="X1494" s="0" t="n">
        <v>25</v>
      </c>
      <c r="Y1494" s="0" t="n">
        <v>2</v>
      </c>
      <c r="Z1494" s="0" t="inlineStr">
        <is>
          <t>https://new.land.naver.com/complexes/26989?tab=detail&amp;rf=Y</t>
        </is>
      </c>
      <c r="AA1494" s="0" t="inlineStr">
        <is>
          <t>인천시 남동구 만수동 1115-1</t>
        </is>
      </c>
      <c r="AB1494" s="0" t="inlineStr">
        <is>
          <t>인천시</t>
        </is>
      </c>
      <c r="AC1494" s="0" t="inlineStr">
        <is>
          <t>남동구</t>
        </is>
      </c>
      <c r="AD1494" s="0" t="inlineStr">
        <is>
          <t>만수동</t>
        </is>
      </c>
      <c r="AG1494" s="0" t="inlineStr">
        <is>
          <t>인천시 남동구 만수서로 55</t>
        </is>
      </c>
      <c r="AH1494" s="0" t="n">
        <v>0</v>
      </c>
      <c r="AI1494" s="0" t="n">
        <v>218</v>
      </c>
      <c r="AJ1494" s="0" t="n">
        <v>13</v>
      </c>
      <c r="AK1494" s="0" t="n">
        <v>3363</v>
      </c>
      <c r="AL1494" s="0" t="n">
        <v>1.05</v>
      </c>
    </row>
    <row r="1495">
      <c r="A1495" s="0" t="inlineStr">
        <is>
          <t>[만수동]</t>
        </is>
      </c>
      <c r="B1495" s="0" t="n">
        <v>13677</v>
      </c>
      <c r="C1495" s="0" t="n">
        <v>1</v>
      </c>
      <c r="D1495" s="0" t="inlineStr">
        <is>
          <t>성신2차</t>
        </is>
      </c>
      <c r="E1495" s="0" t="inlineStr">
        <is>
          <t>1985.11.</t>
        </is>
      </c>
      <c r="F1495" s="0" t="n">
        <v>150</v>
      </c>
      <c r="G1495" s="0" t="n">
        <v>19.02</v>
      </c>
      <c r="H1495" s="0" t="n">
        <v>62.88</v>
      </c>
      <c r="I1495" s="0" t="n">
        <v>15.35</v>
      </c>
      <c r="J1495" s="0" t="n">
        <v>50.76</v>
      </c>
      <c r="K1495" s="0" t="n">
        <v>140</v>
      </c>
      <c r="T1495" s="0" t="n">
        <v>3</v>
      </c>
      <c r="U1495" s="0" t="n">
        <v>1</v>
      </c>
      <c r="V1495" s="0" t="inlineStr">
        <is>
          <t>계단식</t>
        </is>
      </c>
      <c r="W1495" s="0" t="n">
        <v>62</v>
      </c>
      <c r="X1495" s="0" t="n">
        <v>5</v>
      </c>
      <c r="Y1495" s="0" t="n">
        <v>5</v>
      </c>
      <c r="Z1495" s="0" t="inlineStr">
        <is>
          <t>https://new.land.naver.com/complexes/13677?tab=detail&amp;rf=Y</t>
        </is>
      </c>
      <c r="AA1495" s="0" t="inlineStr">
        <is>
          <t>인천시 남동구 만수동 5-6</t>
        </is>
      </c>
      <c r="AB1495" s="0" t="inlineStr">
        <is>
          <t>인천시</t>
        </is>
      </c>
      <c r="AC1495" s="0" t="inlineStr">
        <is>
          <t>남동구</t>
        </is>
      </c>
      <c r="AD1495" s="0" t="inlineStr">
        <is>
          <t>만수동</t>
        </is>
      </c>
      <c r="AG1495" s="0" t="inlineStr">
        <is>
          <t>인천시 남동구 만수로75번길 57</t>
        </is>
      </c>
      <c r="AH1495" s="0" t="n">
        <v>0</v>
      </c>
      <c r="AI1495" s="0" t="n">
        <v>136</v>
      </c>
      <c r="AJ1495" s="0" t="n">
        <v>30</v>
      </c>
      <c r="AK1495" s="0" t="n">
        <v>0</v>
      </c>
      <c r="AL1495" s="0" t="n">
        <v>0</v>
      </c>
    </row>
    <row r="1496">
      <c r="A1496" s="0" t="inlineStr">
        <is>
          <t>[만수동]</t>
        </is>
      </c>
      <c r="B1496" s="0" t="n">
        <v>13677</v>
      </c>
      <c r="C1496" s="0" t="n">
        <v>2</v>
      </c>
      <c r="D1496" s="0" t="inlineStr">
        <is>
          <t>성신2차</t>
        </is>
      </c>
      <c r="E1496" s="0" t="inlineStr">
        <is>
          <t>1985.11.</t>
        </is>
      </c>
      <c r="F1496" s="0" t="n">
        <v>150</v>
      </c>
      <c r="G1496" s="0" t="n">
        <v>19.94</v>
      </c>
      <c r="H1496" s="0" t="n">
        <v>65.93000000000001</v>
      </c>
      <c r="I1496" s="0" t="n">
        <v>16.08</v>
      </c>
      <c r="J1496" s="0" t="n">
        <v>53.19</v>
      </c>
      <c r="K1496" s="0" t="n">
        <v>5</v>
      </c>
      <c r="T1496" s="0" t="n">
        <v>3</v>
      </c>
      <c r="U1496" s="0" t="n">
        <v>1</v>
      </c>
      <c r="V1496" s="0" t="inlineStr">
        <is>
          <t>계단식</t>
        </is>
      </c>
      <c r="W1496" s="0" t="inlineStr">
        <is>
          <t>65A</t>
        </is>
      </c>
      <c r="X1496" s="0" t="n">
        <v>5</v>
      </c>
      <c r="Y1496" s="0" t="n">
        <v>5</v>
      </c>
      <c r="Z1496" s="0" t="inlineStr">
        <is>
          <t>https://new.land.naver.com/complexes/13677?tab=detail&amp;rf=Y</t>
        </is>
      </c>
      <c r="AA1496" s="0" t="inlineStr">
        <is>
          <t>인천시 남동구 만수동 5-6</t>
        </is>
      </c>
      <c r="AB1496" s="0" t="inlineStr">
        <is>
          <t>인천시</t>
        </is>
      </c>
      <c r="AC1496" s="0" t="inlineStr">
        <is>
          <t>남동구</t>
        </is>
      </c>
      <c r="AD1496" s="0" t="inlineStr">
        <is>
          <t>만수동</t>
        </is>
      </c>
      <c r="AG1496" s="0" t="inlineStr">
        <is>
          <t>인천시 남동구 만수로75번길 57</t>
        </is>
      </c>
      <c r="AH1496" s="0" t="n">
        <v>0</v>
      </c>
      <c r="AI1496" s="0" t="n">
        <v>136</v>
      </c>
      <c r="AJ1496" s="0" t="n">
        <v>30</v>
      </c>
      <c r="AK1496" s="0" t="n">
        <v>0</v>
      </c>
      <c r="AL1496" s="0" t="n">
        <v>0</v>
      </c>
    </row>
    <row r="1497">
      <c r="A1497" s="0" t="inlineStr">
        <is>
          <t>[만수동]</t>
        </is>
      </c>
      <c r="B1497" s="0" t="n">
        <v>13677</v>
      </c>
      <c r="C1497" s="0" t="n">
        <v>3</v>
      </c>
      <c r="D1497" s="0" t="inlineStr">
        <is>
          <t>성신2차</t>
        </is>
      </c>
      <c r="E1497" s="0" t="inlineStr">
        <is>
          <t>1985.11.</t>
        </is>
      </c>
      <c r="F1497" s="0" t="n">
        <v>150</v>
      </c>
      <c r="G1497" s="0" t="n">
        <v>19.97</v>
      </c>
      <c r="H1497" s="0" t="n">
        <v>66.04000000000001</v>
      </c>
      <c r="I1497" s="0" t="n">
        <v>16.19</v>
      </c>
      <c r="J1497" s="0" t="n">
        <v>53.55</v>
      </c>
      <c r="K1497" s="0" t="n">
        <v>5</v>
      </c>
      <c r="T1497" s="0" t="n">
        <v>3</v>
      </c>
      <c r="U1497" s="0" t="n">
        <v>1</v>
      </c>
      <c r="V1497" s="0" t="inlineStr">
        <is>
          <t>계단식</t>
        </is>
      </c>
      <c r="W1497" s="0" t="inlineStr">
        <is>
          <t>66B</t>
        </is>
      </c>
      <c r="X1497" s="0" t="n">
        <v>5</v>
      </c>
      <c r="Y1497" s="0" t="n">
        <v>5</v>
      </c>
      <c r="Z1497" s="0" t="inlineStr">
        <is>
          <t>https://new.land.naver.com/complexes/13677?tab=detail&amp;rf=Y</t>
        </is>
      </c>
      <c r="AA1497" s="0" t="inlineStr">
        <is>
          <t>인천시 남동구 만수동 5-6</t>
        </is>
      </c>
      <c r="AB1497" s="0" t="inlineStr">
        <is>
          <t>인천시</t>
        </is>
      </c>
      <c r="AC1497" s="0" t="inlineStr">
        <is>
          <t>남동구</t>
        </is>
      </c>
      <c r="AD1497" s="0" t="inlineStr">
        <is>
          <t>만수동</t>
        </is>
      </c>
      <c r="AG1497" s="0" t="inlineStr">
        <is>
          <t>인천시 남동구 만수로75번길 57</t>
        </is>
      </c>
      <c r="AH1497" s="0" t="n">
        <v>0</v>
      </c>
      <c r="AI1497" s="0" t="n">
        <v>136</v>
      </c>
      <c r="AJ1497" s="0" t="n">
        <v>30</v>
      </c>
      <c r="AK1497" s="0" t="n">
        <v>0</v>
      </c>
      <c r="AL1497" s="0" t="n">
        <v>0</v>
      </c>
    </row>
    <row r="1498">
      <c r="A1498" s="0" t="inlineStr">
        <is>
          <t>[만수동]</t>
        </is>
      </c>
      <c r="B1498" s="0" t="n">
        <v>11717</v>
      </c>
      <c r="C1498" s="0" t="n">
        <v>1</v>
      </c>
      <c r="D1498" s="0" t="inlineStr">
        <is>
          <t>현광</t>
        </is>
      </c>
      <c r="E1498" s="0" t="inlineStr">
        <is>
          <t>1988.07.</t>
        </is>
      </c>
      <c r="F1498" s="0" t="n">
        <v>90</v>
      </c>
      <c r="G1498" s="0" t="n">
        <v>16.09</v>
      </c>
      <c r="H1498" s="0" t="n">
        <v>53.22</v>
      </c>
      <c r="I1498" s="0" t="n">
        <v>11.87</v>
      </c>
      <c r="J1498" s="0" t="n">
        <v>39.24</v>
      </c>
      <c r="K1498" s="0" t="n">
        <v>60</v>
      </c>
      <c r="T1498" s="0" t="n">
        <v>2</v>
      </c>
      <c r="U1498" s="0" t="n">
        <v>1</v>
      </c>
      <c r="V1498" s="0" t="inlineStr">
        <is>
          <t>계단식</t>
        </is>
      </c>
      <c r="W1498" s="0" t="n">
        <v>53</v>
      </c>
      <c r="X1498" s="0" t="n">
        <v>5</v>
      </c>
      <c r="Y1498" s="0" t="n">
        <v>5</v>
      </c>
      <c r="Z1498" s="0" t="inlineStr">
        <is>
          <t>https://new.land.naver.com/complexes/11717?tab=detail&amp;rf=Y</t>
        </is>
      </c>
      <c r="AA1498" s="0" t="inlineStr">
        <is>
          <t>인천시 남동구 만수동 917-1</t>
        </is>
      </c>
      <c r="AB1498" s="0" t="inlineStr">
        <is>
          <t>인천시</t>
        </is>
      </c>
      <c r="AC1498" s="0" t="inlineStr">
        <is>
          <t>남동구</t>
        </is>
      </c>
      <c r="AD1498" s="0" t="inlineStr">
        <is>
          <t>만수동</t>
        </is>
      </c>
      <c r="AG1498" s="0" t="inlineStr">
        <is>
          <t>인천시 남동구 구월남로327번길 62-11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[만수동]</t>
        </is>
      </c>
      <c r="B1499" s="0" t="n">
        <v>11717</v>
      </c>
      <c r="C1499" s="0" t="n">
        <v>2</v>
      </c>
      <c r="D1499" s="0" t="inlineStr">
        <is>
          <t>현광</t>
        </is>
      </c>
      <c r="E1499" s="0" t="inlineStr">
        <is>
          <t>1988.07.</t>
        </is>
      </c>
      <c r="F1499" s="0" t="n">
        <v>90</v>
      </c>
      <c r="G1499" s="0" t="n">
        <v>17.17</v>
      </c>
      <c r="H1499" s="0" t="n">
        <v>56.77</v>
      </c>
      <c r="I1499" s="0" t="n">
        <v>12.85</v>
      </c>
      <c r="J1499" s="0" t="n">
        <v>42.48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56</v>
      </c>
      <c r="X1499" s="0" t="n">
        <v>5</v>
      </c>
      <c r="Y1499" s="0" t="n">
        <v>5</v>
      </c>
      <c r="Z1499" s="0" t="inlineStr">
        <is>
          <t>https://new.land.naver.com/complexes/11717?tab=detail&amp;rf=Y</t>
        </is>
      </c>
      <c r="AA1499" s="0" t="inlineStr">
        <is>
          <t>인천시 남동구 만수동 917-1</t>
        </is>
      </c>
      <c r="AB1499" s="0" t="inlineStr">
        <is>
          <t>인천시</t>
        </is>
      </c>
      <c r="AC1499" s="0" t="inlineStr">
        <is>
          <t>남동구</t>
        </is>
      </c>
      <c r="AD1499" s="0" t="inlineStr">
        <is>
          <t>만수동</t>
        </is>
      </c>
      <c r="AG1499" s="0" t="inlineStr">
        <is>
          <t>인천시 남동구 구월남로327번길 62-11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[만수동]</t>
        </is>
      </c>
      <c r="B1500" s="0" t="n">
        <v>117688</v>
      </c>
      <c r="C1500" s="0" t="n">
        <v>1</v>
      </c>
      <c r="D1500" s="0" t="inlineStr">
        <is>
          <t>향촌휴먼시아2단지</t>
        </is>
      </c>
      <c r="E1500" s="0" t="inlineStr">
        <is>
          <t>2012.05.</t>
        </is>
      </c>
      <c r="F1500" s="0" t="n">
        <v>438</v>
      </c>
      <c r="G1500" s="0" t="n">
        <v>16.12</v>
      </c>
      <c r="H1500" s="0" t="n">
        <v>53.3</v>
      </c>
      <c r="I1500" s="0" t="n">
        <v>12.04</v>
      </c>
      <c r="J1500" s="0" t="n">
        <v>39.82</v>
      </c>
      <c r="K1500" s="0" t="n">
        <v>42</v>
      </c>
      <c r="T1500" s="0" t="n">
        <v>2</v>
      </c>
      <c r="U1500" s="0" t="n">
        <v>1</v>
      </c>
      <c r="V1500" s="0" t="inlineStr">
        <is>
          <t>계단식</t>
        </is>
      </c>
      <c r="W1500" s="0" t="n">
        <v>53</v>
      </c>
      <c r="X1500" s="0" t="n">
        <v>25</v>
      </c>
      <c r="Y1500" s="0" t="n">
        <v>21</v>
      </c>
      <c r="Z1500" s="0" t="inlineStr">
        <is>
          <t>https://new.land.naver.com/complexes/117688?tab=detail&amp;rf=Y</t>
        </is>
      </c>
      <c r="AA1500" s="0" t="inlineStr">
        <is>
          <t>인천시 남동구 만수동 1116-1</t>
        </is>
      </c>
      <c r="AB1500" s="0" t="inlineStr">
        <is>
          <t>인천시</t>
        </is>
      </c>
      <c r="AC1500" s="0" t="inlineStr">
        <is>
          <t>남동구</t>
        </is>
      </c>
      <c r="AD1500" s="0" t="inlineStr">
        <is>
          <t>만수동</t>
        </is>
      </c>
      <c r="AG1500" s="0" t="inlineStr">
        <is>
          <t>인천시 남동구 만수서로 36</t>
        </is>
      </c>
      <c r="AH1500" s="0" t="n">
        <v>0</v>
      </c>
      <c r="AI1500" s="0" t="n">
        <v>209</v>
      </c>
      <c r="AJ1500" s="0" t="n">
        <v>15</v>
      </c>
      <c r="AK1500" s="0" t="n">
        <v>505</v>
      </c>
      <c r="AL1500" s="0" t="n">
        <v>1.15</v>
      </c>
    </row>
    <row r="1501">
      <c r="A1501" s="0" t="inlineStr">
        <is>
          <t>[만수동]</t>
        </is>
      </c>
      <c r="B1501" s="0" t="n">
        <v>117688</v>
      </c>
      <c r="C1501" s="0" t="n">
        <v>2</v>
      </c>
      <c r="D1501" s="0" t="inlineStr">
        <is>
          <t>향촌휴먼시아2단지</t>
        </is>
      </c>
      <c r="E1501" s="0" t="inlineStr">
        <is>
          <t>2012.05.</t>
        </is>
      </c>
      <c r="F1501" s="0" t="n">
        <v>438</v>
      </c>
      <c r="G1501" s="0" t="n">
        <v>24.04</v>
      </c>
      <c r="H1501" s="0" t="n">
        <v>79.5</v>
      </c>
      <c r="I1501" s="0" t="n">
        <v>18.13</v>
      </c>
      <c r="J1501" s="0" t="n">
        <v>59.95</v>
      </c>
      <c r="K1501" s="0" t="n">
        <v>48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79A</t>
        </is>
      </c>
      <c r="X1501" s="0" t="n">
        <v>25</v>
      </c>
      <c r="Y1501" s="0" t="n">
        <v>21</v>
      </c>
      <c r="Z1501" s="0" t="inlineStr">
        <is>
          <t>https://new.land.naver.com/complexes/117688?tab=detail&amp;rf=Y</t>
        </is>
      </c>
      <c r="AA1501" s="0" t="inlineStr">
        <is>
          <t>인천시 남동구 만수동 1116-1</t>
        </is>
      </c>
      <c r="AB1501" s="0" t="inlineStr">
        <is>
          <t>인천시</t>
        </is>
      </c>
      <c r="AC1501" s="0" t="inlineStr">
        <is>
          <t>남동구</t>
        </is>
      </c>
      <c r="AD1501" s="0" t="inlineStr">
        <is>
          <t>만수동</t>
        </is>
      </c>
      <c r="AG1501" s="0" t="inlineStr">
        <is>
          <t>인천시 남동구 만수서로 36</t>
        </is>
      </c>
      <c r="AH1501" s="0" t="n">
        <v>0</v>
      </c>
      <c r="AI1501" s="0" t="n">
        <v>209</v>
      </c>
      <c r="AJ1501" s="0" t="n">
        <v>15</v>
      </c>
      <c r="AK1501" s="0" t="n">
        <v>505</v>
      </c>
      <c r="AL1501" s="0" t="n">
        <v>1.15</v>
      </c>
    </row>
    <row r="1502">
      <c r="A1502" s="0" t="inlineStr">
        <is>
          <t>[만수동]</t>
        </is>
      </c>
      <c r="B1502" s="0" t="n">
        <v>117688</v>
      </c>
      <c r="C1502" s="0" t="n">
        <v>3</v>
      </c>
      <c r="D1502" s="0" t="inlineStr">
        <is>
          <t>향촌휴먼시아2단지</t>
        </is>
      </c>
      <c r="E1502" s="0" t="inlineStr">
        <is>
          <t>2012.05.</t>
        </is>
      </c>
      <c r="F1502" s="0" t="n">
        <v>438</v>
      </c>
      <c r="G1502" s="0" t="n">
        <v>24.15</v>
      </c>
      <c r="H1502" s="0" t="n">
        <v>79.84999999999999</v>
      </c>
      <c r="I1502" s="0" t="n">
        <v>18.11</v>
      </c>
      <c r="J1502" s="0" t="n">
        <v>59.9</v>
      </c>
      <c r="K1502" s="0" t="n">
        <v>20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79B</t>
        </is>
      </c>
      <c r="X1502" s="0" t="n">
        <v>25</v>
      </c>
      <c r="Y1502" s="0" t="n">
        <v>21</v>
      </c>
      <c r="Z1502" s="0" t="inlineStr">
        <is>
          <t>https://new.land.naver.com/complexes/117688?tab=detail&amp;rf=Y</t>
        </is>
      </c>
      <c r="AA1502" s="0" t="inlineStr">
        <is>
          <t>인천시 남동구 만수동 1116-1</t>
        </is>
      </c>
      <c r="AB1502" s="0" t="inlineStr">
        <is>
          <t>인천시</t>
        </is>
      </c>
      <c r="AC1502" s="0" t="inlineStr">
        <is>
          <t>남동구</t>
        </is>
      </c>
      <c r="AD1502" s="0" t="inlineStr">
        <is>
          <t>만수동</t>
        </is>
      </c>
      <c r="AG1502" s="0" t="inlineStr">
        <is>
          <t>인천시 남동구 만수서로 36</t>
        </is>
      </c>
      <c r="AH1502" s="0" t="n">
        <v>0</v>
      </c>
      <c r="AI1502" s="0" t="n">
        <v>209</v>
      </c>
      <c r="AJ1502" s="0" t="n">
        <v>15</v>
      </c>
      <c r="AK1502" s="0" t="n">
        <v>505</v>
      </c>
      <c r="AL1502" s="0" t="n">
        <v>1.15</v>
      </c>
    </row>
    <row r="1503">
      <c r="A1503" s="0" t="inlineStr">
        <is>
          <t>[만수동]</t>
        </is>
      </c>
      <c r="B1503" s="0" t="n">
        <v>117688</v>
      </c>
      <c r="C1503" s="0" t="n">
        <v>4</v>
      </c>
      <c r="D1503" s="0" t="inlineStr">
        <is>
          <t>향촌휴먼시아2단지</t>
        </is>
      </c>
      <c r="E1503" s="0" t="inlineStr">
        <is>
          <t>2012.05.</t>
        </is>
      </c>
      <c r="F1503" s="0" t="n">
        <v>438</v>
      </c>
      <c r="G1503" s="0" t="n">
        <v>33.45</v>
      </c>
      <c r="H1503" s="0" t="n">
        <v>110.6</v>
      </c>
      <c r="I1503" s="0" t="n">
        <v>25.65</v>
      </c>
      <c r="J1503" s="0" t="n">
        <v>84.8</v>
      </c>
      <c r="K1503" s="0" t="n">
        <v>138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110B</t>
        </is>
      </c>
      <c r="X1503" s="0" t="n">
        <v>25</v>
      </c>
      <c r="Y1503" s="0" t="n">
        <v>21</v>
      </c>
      <c r="Z1503" s="0" t="inlineStr">
        <is>
          <t>https://new.land.naver.com/complexes/117688?tab=detail&amp;rf=Y</t>
        </is>
      </c>
      <c r="AA1503" s="0" t="inlineStr">
        <is>
          <t>인천시 남동구 만수동 1116-1</t>
        </is>
      </c>
      <c r="AB1503" s="0" t="inlineStr">
        <is>
          <t>인천시</t>
        </is>
      </c>
      <c r="AC1503" s="0" t="inlineStr">
        <is>
          <t>남동구</t>
        </is>
      </c>
      <c r="AD1503" s="0" t="inlineStr">
        <is>
          <t>만수동</t>
        </is>
      </c>
      <c r="AG1503" s="0" t="inlineStr">
        <is>
          <t>인천시 남동구 만수서로 36</t>
        </is>
      </c>
      <c r="AH1503" s="0" t="n">
        <v>0</v>
      </c>
      <c r="AI1503" s="0" t="n">
        <v>209</v>
      </c>
      <c r="AJ1503" s="0" t="n">
        <v>15</v>
      </c>
      <c r="AK1503" s="0" t="n">
        <v>505</v>
      </c>
      <c r="AL1503" s="0" t="n">
        <v>1.15</v>
      </c>
    </row>
    <row r="1504">
      <c r="A1504" s="0" t="inlineStr">
        <is>
          <t>[만수동]</t>
        </is>
      </c>
      <c r="B1504" s="0" t="n">
        <v>117688</v>
      </c>
      <c r="C1504" s="0" t="n">
        <v>5</v>
      </c>
      <c r="D1504" s="0" t="inlineStr">
        <is>
          <t>향촌휴먼시아2단지</t>
        </is>
      </c>
      <c r="E1504" s="0" t="inlineStr">
        <is>
          <t>2012.05.</t>
        </is>
      </c>
      <c r="F1504" s="0" t="n">
        <v>438</v>
      </c>
      <c r="G1504" s="0" t="n">
        <v>33.92</v>
      </c>
      <c r="H1504" s="0" t="n">
        <v>112.15</v>
      </c>
      <c r="I1504" s="0" t="n">
        <v>25.7</v>
      </c>
      <c r="J1504" s="0" t="n">
        <v>84.98</v>
      </c>
      <c r="K1504" s="0" t="n">
        <v>186</v>
      </c>
      <c r="T1504" s="0" t="n">
        <v>3</v>
      </c>
      <c r="U1504" s="0" t="n">
        <v>2</v>
      </c>
      <c r="V1504" s="0" t="inlineStr">
        <is>
          <t>계단식</t>
        </is>
      </c>
      <c r="W1504" s="0" t="inlineStr">
        <is>
          <t>112A</t>
        </is>
      </c>
      <c r="X1504" s="0" t="n">
        <v>25</v>
      </c>
      <c r="Y1504" s="0" t="n">
        <v>21</v>
      </c>
      <c r="Z1504" s="0" t="inlineStr">
        <is>
          <t>https://new.land.naver.com/complexes/117688?tab=detail&amp;rf=Y</t>
        </is>
      </c>
      <c r="AA1504" s="0" t="inlineStr">
        <is>
          <t>인천시 남동구 만수동 1116-1</t>
        </is>
      </c>
      <c r="AB1504" s="0" t="inlineStr">
        <is>
          <t>인천시</t>
        </is>
      </c>
      <c r="AC1504" s="0" t="inlineStr">
        <is>
          <t>남동구</t>
        </is>
      </c>
      <c r="AD1504" s="0" t="inlineStr">
        <is>
          <t>만수동</t>
        </is>
      </c>
      <c r="AG1504" s="0" t="inlineStr">
        <is>
          <t>인천시 남동구 만수서로 36</t>
        </is>
      </c>
      <c r="AH1504" s="0" t="n">
        <v>0</v>
      </c>
      <c r="AI1504" s="0" t="n">
        <v>209</v>
      </c>
      <c r="AJ1504" s="0" t="n">
        <v>15</v>
      </c>
      <c r="AK1504" s="0" t="n">
        <v>505</v>
      </c>
      <c r="AL1504" s="0" t="n">
        <v>1.15</v>
      </c>
    </row>
    <row r="1505">
      <c r="A1505" s="0" t="inlineStr">
        <is>
          <t>[만수동]</t>
        </is>
      </c>
      <c r="B1505" s="0" t="n">
        <v>117688</v>
      </c>
      <c r="C1505" s="0" t="n">
        <v>6</v>
      </c>
      <c r="D1505" s="0" t="inlineStr">
        <is>
          <t>향촌휴먼시아2단지</t>
        </is>
      </c>
      <c r="E1505" s="0" t="inlineStr">
        <is>
          <t>2012.05.</t>
        </is>
      </c>
      <c r="F1505" s="0" t="n">
        <v>438</v>
      </c>
      <c r="G1505" s="0" t="n">
        <v>34.51</v>
      </c>
      <c r="H1505" s="0" t="n">
        <v>114.1</v>
      </c>
      <c r="I1505" s="0" t="n">
        <v>25.69</v>
      </c>
      <c r="J1505" s="0" t="n">
        <v>84.94</v>
      </c>
      <c r="K1505" s="0" t="n">
        <v>4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114C</t>
        </is>
      </c>
      <c r="X1505" s="0" t="n">
        <v>25</v>
      </c>
      <c r="Y1505" s="0" t="n">
        <v>21</v>
      </c>
      <c r="Z1505" s="0" t="inlineStr">
        <is>
          <t>https://new.land.naver.com/complexes/117688?tab=detail&amp;rf=Y</t>
        </is>
      </c>
      <c r="AA1505" s="0" t="inlineStr">
        <is>
          <t>인천시 남동구 만수동 1116-1</t>
        </is>
      </c>
      <c r="AB1505" s="0" t="inlineStr">
        <is>
          <t>인천시</t>
        </is>
      </c>
      <c r="AC1505" s="0" t="inlineStr">
        <is>
          <t>남동구</t>
        </is>
      </c>
      <c r="AD1505" s="0" t="inlineStr">
        <is>
          <t>만수동</t>
        </is>
      </c>
      <c r="AG1505" s="0" t="inlineStr">
        <is>
          <t>인천시 남동구 만수서로 36</t>
        </is>
      </c>
      <c r="AH1505" s="0" t="n">
        <v>0</v>
      </c>
      <c r="AI1505" s="0" t="n">
        <v>209</v>
      </c>
      <c r="AJ1505" s="0" t="n">
        <v>15</v>
      </c>
      <c r="AK1505" s="0" t="n">
        <v>505</v>
      </c>
      <c r="AL1505" s="0" t="n">
        <v>1.15</v>
      </c>
    </row>
    <row r="1506">
      <c r="A1506" s="0" t="inlineStr">
        <is>
          <t>[만수동]</t>
        </is>
      </c>
      <c r="B1506" s="0" t="n">
        <v>2304</v>
      </c>
      <c r="C1506" s="0" t="n">
        <v>1</v>
      </c>
      <c r="D1506" s="0" t="inlineStr">
        <is>
          <t>삼익</t>
        </is>
      </c>
      <c r="E1506" s="0" t="inlineStr">
        <is>
          <t>1992.08.</t>
        </is>
      </c>
      <c r="F1506" s="0" t="n">
        <v>256</v>
      </c>
      <c r="G1506" s="0" t="n">
        <v>47.47</v>
      </c>
      <c r="H1506" s="0" t="n">
        <v>156.94</v>
      </c>
      <c r="I1506" s="0" t="n">
        <v>40.17</v>
      </c>
      <c r="J1506" s="0" t="n">
        <v>132.81</v>
      </c>
      <c r="K1506" s="0" t="n">
        <v>192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156</v>
      </c>
      <c r="X1506" s="0" t="n">
        <v>16</v>
      </c>
      <c r="Y1506" s="0" t="n">
        <v>16</v>
      </c>
      <c r="Z1506" s="0" t="inlineStr">
        <is>
          <t>https://new.land.naver.com/complexes/2304?tab=detail&amp;rf=Y</t>
        </is>
      </c>
      <c r="AA1506" s="0" t="inlineStr">
        <is>
          <t>인천시 남동구 만수동 1038</t>
        </is>
      </c>
      <c r="AB1506" s="0" t="inlineStr">
        <is>
          <t>인천시</t>
        </is>
      </c>
      <c r="AC1506" s="0" t="inlineStr">
        <is>
          <t>남동구</t>
        </is>
      </c>
      <c r="AD1506" s="0" t="inlineStr">
        <is>
          <t>만수동</t>
        </is>
      </c>
      <c r="AG1506" s="0" t="inlineStr">
        <is>
          <t>인천시 남동구 장승남로 70-30</t>
        </is>
      </c>
      <c r="AH1506" s="0" t="n">
        <v>0</v>
      </c>
      <c r="AI1506" s="0" t="n">
        <v>291</v>
      </c>
      <c r="AJ1506" s="0" t="n">
        <v>0</v>
      </c>
      <c r="AK1506" s="0" t="n">
        <v>293</v>
      </c>
      <c r="AL1506" s="0" t="n">
        <v>1.14</v>
      </c>
    </row>
    <row r="1507">
      <c r="A1507" s="0" t="inlineStr">
        <is>
          <t>[만수동]</t>
        </is>
      </c>
      <c r="B1507" s="0" t="n">
        <v>2304</v>
      </c>
      <c r="C1507" s="0" t="n">
        <v>2</v>
      </c>
      <c r="D1507" s="0" t="inlineStr">
        <is>
          <t>삼익</t>
        </is>
      </c>
      <c r="E1507" s="0" t="inlineStr">
        <is>
          <t>1992.08.</t>
        </is>
      </c>
      <c r="F1507" s="0" t="n">
        <v>256</v>
      </c>
      <c r="G1507" s="0" t="n">
        <v>57.41</v>
      </c>
      <c r="H1507" s="0" t="n">
        <v>189.8</v>
      </c>
      <c r="I1507" s="0" t="n">
        <v>49.63</v>
      </c>
      <c r="J1507" s="0" t="n">
        <v>164.07</v>
      </c>
      <c r="K1507" s="0" t="n">
        <v>64</v>
      </c>
      <c r="T1507" s="0" t="n">
        <v>5</v>
      </c>
      <c r="U1507" s="0" t="n">
        <v>2</v>
      </c>
      <c r="V1507" s="0" t="inlineStr">
        <is>
          <t>계단식</t>
        </is>
      </c>
      <c r="W1507" s="0" t="n">
        <v>189</v>
      </c>
      <c r="X1507" s="0" t="n">
        <v>16</v>
      </c>
      <c r="Y1507" s="0" t="n">
        <v>16</v>
      </c>
      <c r="Z1507" s="0" t="inlineStr">
        <is>
          <t>https://new.land.naver.com/complexes/2304?tab=detail&amp;rf=Y</t>
        </is>
      </c>
      <c r="AA1507" s="0" t="inlineStr">
        <is>
          <t>인천시 남동구 만수동 1038</t>
        </is>
      </c>
      <c r="AB1507" s="0" t="inlineStr">
        <is>
          <t>인천시</t>
        </is>
      </c>
      <c r="AC1507" s="0" t="inlineStr">
        <is>
          <t>남동구</t>
        </is>
      </c>
      <c r="AD1507" s="0" t="inlineStr">
        <is>
          <t>만수동</t>
        </is>
      </c>
      <c r="AG1507" s="0" t="inlineStr">
        <is>
          <t>인천시 남동구 장승남로 70-30</t>
        </is>
      </c>
      <c r="AH1507" s="0" t="n">
        <v>0</v>
      </c>
      <c r="AI1507" s="0" t="n">
        <v>291</v>
      </c>
      <c r="AJ1507" s="0" t="n">
        <v>0</v>
      </c>
      <c r="AK1507" s="0" t="n">
        <v>293</v>
      </c>
      <c r="AL1507" s="0" t="n">
        <v>1.14</v>
      </c>
    </row>
    <row r="1508">
      <c r="A1508" s="0" t="inlineStr">
        <is>
          <t>[만수동]</t>
        </is>
      </c>
      <c r="B1508" s="0" t="n">
        <v>12976</v>
      </c>
      <c r="C1508" s="0" t="n">
        <v>1</v>
      </c>
      <c r="D1508" s="0" t="inlineStr">
        <is>
          <t>삼용</t>
        </is>
      </c>
      <c r="E1508" s="0" t="inlineStr">
        <is>
          <t>1988.09.</t>
        </is>
      </c>
      <c r="F1508" s="0" t="n">
        <v>144</v>
      </c>
      <c r="G1508" s="0" t="n">
        <v>16.93</v>
      </c>
      <c r="H1508" s="0" t="n">
        <v>55.97</v>
      </c>
      <c r="I1508" s="0" t="n">
        <v>13.9</v>
      </c>
      <c r="J1508" s="0" t="n">
        <v>45.96</v>
      </c>
      <c r="K1508" s="0" t="n">
        <v>96</v>
      </c>
      <c r="T1508" s="0" t="n">
        <v>2</v>
      </c>
      <c r="U1508" s="0" t="n">
        <v>1</v>
      </c>
      <c r="V1508" s="0" t="inlineStr">
        <is>
          <t>계단식</t>
        </is>
      </c>
      <c r="W1508" s="0" t="n">
        <v>55</v>
      </c>
      <c r="X1508" s="0" t="n">
        <v>6</v>
      </c>
      <c r="Y1508" s="0" t="n">
        <v>6</v>
      </c>
      <c r="Z1508" s="0" t="inlineStr">
        <is>
          <t>https://new.land.naver.com/complexes/12976?tab=detail&amp;rf=Y</t>
        </is>
      </c>
      <c r="AA1508" s="0" t="inlineStr">
        <is>
          <t>인천시 남동구 만수동 902</t>
        </is>
      </c>
      <c r="AB1508" s="0" t="inlineStr">
        <is>
          <t>인천시</t>
        </is>
      </c>
      <c r="AC1508" s="0" t="inlineStr">
        <is>
          <t>남동구</t>
        </is>
      </c>
      <c r="AD1508" s="0" t="inlineStr">
        <is>
          <t>만수동</t>
        </is>
      </c>
      <c r="AG1508" s="0" t="inlineStr">
        <is>
          <t>인천시 남동구 백범로227번길 69</t>
        </is>
      </c>
      <c r="AH1508" s="0" t="n">
        <v>0</v>
      </c>
      <c r="AI1508" s="0" t="n">
        <v>189</v>
      </c>
      <c r="AJ1508" s="0" t="n">
        <v>31</v>
      </c>
      <c r="AK1508" s="0" t="n">
        <v>0</v>
      </c>
      <c r="AL1508" s="0" t="n">
        <v>0</v>
      </c>
    </row>
    <row r="1509">
      <c r="A1509" s="0" t="inlineStr">
        <is>
          <t>[만수동]</t>
        </is>
      </c>
      <c r="B1509" s="0" t="n">
        <v>12976</v>
      </c>
      <c r="C1509" s="0" t="n">
        <v>2</v>
      </c>
      <c r="D1509" s="0" t="inlineStr">
        <is>
          <t>삼용</t>
        </is>
      </c>
      <c r="E1509" s="0" t="inlineStr">
        <is>
          <t>1988.09.</t>
        </is>
      </c>
      <c r="F1509" s="0" t="n">
        <v>144</v>
      </c>
      <c r="G1509" s="0" t="n">
        <v>17.9</v>
      </c>
      <c r="H1509" s="0" t="n">
        <v>59.19</v>
      </c>
      <c r="I1509" s="0" t="n">
        <v>14.52</v>
      </c>
      <c r="J1509" s="0" t="n">
        <v>48</v>
      </c>
      <c r="K1509" s="0" t="n">
        <v>48</v>
      </c>
      <c r="T1509" s="0" t="n">
        <v>3</v>
      </c>
      <c r="U1509" s="0" t="n">
        <v>1</v>
      </c>
      <c r="V1509" s="0" t="inlineStr">
        <is>
          <t>계단식</t>
        </is>
      </c>
      <c r="W1509" s="0" t="n">
        <v>59</v>
      </c>
      <c r="X1509" s="0" t="n">
        <v>6</v>
      </c>
      <c r="Y1509" s="0" t="n">
        <v>6</v>
      </c>
      <c r="Z1509" s="0" t="inlineStr">
        <is>
          <t>https://new.land.naver.com/complexes/12976?tab=detail&amp;rf=Y</t>
        </is>
      </c>
      <c r="AA1509" s="0" t="inlineStr">
        <is>
          <t>인천시 남동구 만수동 902</t>
        </is>
      </c>
      <c r="AB1509" s="0" t="inlineStr">
        <is>
          <t>인천시</t>
        </is>
      </c>
      <c r="AC1509" s="0" t="inlineStr">
        <is>
          <t>남동구</t>
        </is>
      </c>
      <c r="AD1509" s="0" t="inlineStr">
        <is>
          <t>만수동</t>
        </is>
      </c>
      <c r="AG1509" s="0" t="inlineStr">
        <is>
          <t>인천시 남동구 백범로227번길 69</t>
        </is>
      </c>
      <c r="AH1509" s="0" t="n">
        <v>0</v>
      </c>
      <c r="AI1509" s="0" t="n">
        <v>189</v>
      </c>
      <c r="AJ1509" s="0" t="n">
        <v>31</v>
      </c>
      <c r="AK1509" s="0" t="n">
        <v>0</v>
      </c>
      <c r="AL1509" s="0" t="n">
        <v>0</v>
      </c>
    </row>
    <row r="1510">
      <c r="A1510" s="0" t="inlineStr">
        <is>
          <t>[만수동]</t>
        </is>
      </c>
      <c r="B1510" s="0" t="n">
        <v>14809</v>
      </c>
      <c r="C1510" s="0" t="n">
        <v>1</v>
      </c>
      <c r="D1510" s="0" t="inlineStr">
        <is>
          <t>공작(3-73)</t>
        </is>
      </c>
      <c r="E1510" s="0" t="inlineStr">
        <is>
          <t>1989.06.</t>
        </is>
      </c>
      <c r="F1510" s="0" t="n">
        <v>114</v>
      </c>
      <c r="G1510" s="0" t="n">
        <v>15.73</v>
      </c>
      <c r="H1510" s="0" t="n">
        <v>52.01</v>
      </c>
      <c r="I1510" s="0" t="n">
        <v>11.88</v>
      </c>
      <c r="J1510" s="0" t="n">
        <v>39.29</v>
      </c>
      <c r="K1510" s="0" t="n">
        <v>84</v>
      </c>
      <c r="T1510" s="0" t="n">
        <v>2</v>
      </c>
      <c r="U1510" s="0" t="n">
        <v>1</v>
      </c>
      <c r="V1510" s="0" t="inlineStr">
        <is>
          <t>계단식</t>
        </is>
      </c>
      <c r="W1510" s="0" t="n">
        <v>52</v>
      </c>
      <c r="X1510" s="0" t="n">
        <v>6</v>
      </c>
      <c r="Y1510" s="0" t="n">
        <v>6</v>
      </c>
      <c r="Z1510" s="0" t="inlineStr">
        <is>
          <t>https://new.land.naver.com/complexes/14809?tab=detail&amp;rf=Y</t>
        </is>
      </c>
      <c r="AA1510" s="0" t="inlineStr">
        <is>
          <t>인천시 남동구 만수동 3-73</t>
        </is>
      </c>
      <c r="AB1510" s="0" t="inlineStr">
        <is>
          <t>인천시</t>
        </is>
      </c>
      <c r="AC1510" s="0" t="inlineStr">
        <is>
          <t>남동구</t>
        </is>
      </c>
      <c r="AD1510" s="0" t="inlineStr">
        <is>
          <t>만수동</t>
        </is>
      </c>
      <c r="AG1510" s="0" t="inlineStr">
        <is>
          <t>인천시 남동구 만수서로105번길 40-23</t>
        </is>
      </c>
      <c r="AH1510" s="0" t="n">
        <v>0</v>
      </c>
      <c r="AI1510" s="0" t="n">
        <v>133</v>
      </c>
      <c r="AJ1510" s="0" t="n">
        <v>22</v>
      </c>
      <c r="AK1510" s="0" t="n">
        <v>0</v>
      </c>
      <c r="AL1510" s="0" t="n">
        <v>0</v>
      </c>
    </row>
    <row r="1511">
      <c r="A1511" s="0" t="inlineStr">
        <is>
          <t>[만수동]</t>
        </is>
      </c>
      <c r="B1511" s="0" t="n">
        <v>14809</v>
      </c>
      <c r="C1511" s="0" t="n">
        <v>2</v>
      </c>
      <c r="D1511" s="0" t="inlineStr">
        <is>
          <t>공작(3-73)</t>
        </is>
      </c>
      <c r="E1511" s="0" t="inlineStr">
        <is>
          <t>1989.06.</t>
        </is>
      </c>
      <c r="F1511" s="0" t="n">
        <v>114</v>
      </c>
      <c r="G1511" s="0" t="n">
        <v>20.08</v>
      </c>
      <c r="H1511" s="0" t="n">
        <v>66.41</v>
      </c>
      <c r="I1511" s="0" t="n">
        <v>14.08</v>
      </c>
      <c r="J1511" s="0" t="n">
        <v>46.57</v>
      </c>
      <c r="K1511" s="0" t="n">
        <v>6</v>
      </c>
      <c r="T1511" s="0" t="n">
        <v>3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6</v>
      </c>
      <c r="Y1511" s="0" t="n">
        <v>6</v>
      </c>
      <c r="Z1511" s="0" t="inlineStr">
        <is>
          <t>https://new.land.naver.com/complexes/14809?tab=detail&amp;rf=Y</t>
        </is>
      </c>
      <c r="AA1511" s="0" t="inlineStr">
        <is>
          <t>인천시 남동구 만수동 3-73</t>
        </is>
      </c>
      <c r="AB1511" s="0" t="inlineStr">
        <is>
          <t>인천시</t>
        </is>
      </c>
      <c r="AC1511" s="0" t="inlineStr">
        <is>
          <t>남동구</t>
        </is>
      </c>
      <c r="AD1511" s="0" t="inlineStr">
        <is>
          <t>만수동</t>
        </is>
      </c>
      <c r="AG1511" s="0" t="inlineStr">
        <is>
          <t>인천시 남동구 만수서로105번길 40-23</t>
        </is>
      </c>
      <c r="AH1511" s="0" t="n">
        <v>0</v>
      </c>
      <c r="AI1511" s="0" t="n">
        <v>133</v>
      </c>
      <c r="AJ1511" s="0" t="n">
        <v>22</v>
      </c>
      <c r="AK1511" s="0" t="n">
        <v>0</v>
      </c>
      <c r="AL1511" s="0" t="n">
        <v>0</v>
      </c>
    </row>
    <row r="1512">
      <c r="A1512" s="0" t="inlineStr">
        <is>
          <t>[만수동]</t>
        </is>
      </c>
      <c r="B1512" s="0" t="n">
        <v>14809</v>
      </c>
      <c r="C1512" s="0" t="n">
        <v>3</v>
      </c>
      <c r="D1512" s="0" t="inlineStr">
        <is>
          <t>공작(3-73)</t>
        </is>
      </c>
      <c r="E1512" s="0" t="inlineStr">
        <is>
          <t>1989.06.</t>
        </is>
      </c>
      <c r="F1512" s="0" t="n">
        <v>114</v>
      </c>
      <c r="G1512" s="0" t="n">
        <v>21.88</v>
      </c>
      <c r="H1512" s="0" t="n">
        <v>72.34</v>
      </c>
      <c r="I1512" s="0" t="n">
        <v>17.14</v>
      </c>
      <c r="J1512" s="0" t="n">
        <v>56.67</v>
      </c>
      <c r="K1512" s="0" t="n">
        <v>24</v>
      </c>
      <c r="T1512" s="0" t="n">
        <v>3</v>
      </c>
      <c r="U1512" s="0" t="n">
        <v>1</v>
      </c>
      <c r="V1512" s="0" t="inlineStr">
        <is>
          <t>계단식</t>
        </is>
      </c>
      <c r="W1512" s="0" t="n">
        <v>72</v>
      </c>
      <c r="X1512" s="0" t="n">
        <v>6</v>
      </c>
      <c r="Y1512" s="0" t="n">
        <v>6</v>
      </c>
      <c r="Z1512" s="0" t="inlineStr">
        <is>
          <t>https://new.land.naver.com/complexes/14809?tab=detail&amp;rf=Y</t>
        </is>
      </c>
      <c r="AA1512" s="0" t="inlineStr">
        <is>
          <t>인천시 남동구 만수동 3-73</t>
        </is>
      </c>
      <c r="AB1512" s="0" t="inlineStr">
        <is>
          <t>인천시</t>
        </is>
      </c>
      <c r="AC1512" s="0" t="inlineStr">
        <is>
          <t>남동구</t>
        </is>
      </c>
      <c r="AD1512" s="0" t="inlineStr">
        <is>
          <t>만수동</t>
        </is>
      </c>
      <c r="AG1512" s="0" t="inlineStr">
        <is>
          <t>인천시 남동구 만수서로105번길 40-23</t>
        </is>
      </c>
      <c r="AH1512" s="0" t="n">
        <v>0</v>
      </c>
      <c r="AI1512" s="0" t="n">
        <v>133</v>
      </c>
      <c r="AJ1512" s="0" t="n">
        <v>22</v>
      </c>
      <c r="AK1512" s="0" t="n">
        <v>0</v>
      </c>
      <c r="AL1512" s="0" t="n">
        <v>0</v>
      </c>
    </row>
    <row r="1513">
      <c r="A1513" s="0" t="inlineStr">
        <is>
          <t>[만수동]</t>
        </is>
      </c>
      <c r="B1513" s="0" t="n">
        <v>10378</v>
      </c>
      <c r="C1513" s="0" t="n">
        <v>1</v>
      </c>
      <c r="D1513" s="0" t="inlineStr">
        <is>
          <t>신화</t>
        </is>
      </c>
      <c r="E1513" s="0" t="inlineStr">
        <is>
          <t>1983.10.</t>
        </is>
      </c>
      <c r="F1513" s="0" t="n">
        <v>60</v>
      </c>
      <c r="G1513" s="0" t="n">
        <v>14.6</v>
      </c>
      <c r="H1513" s="0" t="n">
        <v>48.28</v>
      </c>
      <c r="I1513" s="0" t="n">
        <v>13.06</v>
      </c>
      <c r="J1513" s="0" t="n">
        <v>43.2</v>
      </c>
      <c r="K1513" s="0" t="n">
        <v>40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48A</t>
        </is>
      </c>
      <c r="X1513" s="0" t="n">
        <v>5</v>
      </c>
      <c r="Y1513" s="0" t="n">
        <v>5</v>
      </c>
      <c r="Z1513" s="0" t="inlineStr">
        <is>
          <t>https://new.land.naver.com/complexes/10378?tab=detail&amp;rf=Y</t>
        </is>
      </c>
      <c r="AA1513" s="0" t="inlineStr">
        <is>
          <t>인천시 남동구 만수동 881-1</t>
        </is>
      </c>
      <c r="AB1513" s="0" t="inlineStr">
        <is>
          <t>인천시</t>
        </is>
      </c>
      <c r="AC1513" s="0" t="inlineStr">
        <is>
          <t>남동구</t>
        </is>
      </c>
      <c r="AD1513" s="0" t="inlineStr">
        <is>
          <t>만수동</t>
        </is>
      </c>
      <c r="AG1513" s="0" t="inlineStr">
        <is>
          <t>인천시 남동구 만경로8번길 41</t>
        </is>
      </c>
      <c r="AH1513" s="0" t="n">
        <v>0</v>
      </c>
      <c r="AI1513" s="0" t="n">
        <v>0</v>
      </c>
      <c r="AJ1513" s="0" t="n">
        <v>0</v>
      </c>
      <c r="AK1513" s="0" t="n">
        <v>0</v>
      </c>
      <c r="AL1513" s="0" t="n">
        <v>0</v>
      </c>
    </row>
    <row r="1514">
      <c r="A1514" s="0" t="inlineStr">
        <is>
          <t>[만수동]</t>
        </is>
      </c>
      <c r="B1514" s="0" t="n">
        <v>10378</v>
      </c>
      <c r="C1514" s="0" t="n">
        <v>2</v>
      </c>
      <c r="D1514" s="0" t="inlineStr">
        <is>
          <t>신화</t>
        </is>
      </c>
      <c r="E1514" s="0" t="inlineStr">
        <is>
          <t>1983.10.</t>
        </is>
      </c>
      <c r="F1514" s="0" t="n">
        <v>60</v>
      </c>
      <c r="G1514" s="0" t="n">
        <v>14.81</v>
      </c>
      <c r="H1514" s="0" t="n">
        <v>48.96</v>
      </c>
      <c r="I1514" s="0" t="n">
        <v>13.27</v>
      </c>
      <c r="J1514" s="0" t="n">
        <v>43.89</v>
      </c>
      <c r="K1514" s="0" t="n">
        <v>20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48B</t>
        </is>
      </c>
      <c r="X1514" s="0" t="n">
        <v>5</v>
      </c>
      <c r="Y1514" s="0" t="n">
        <v>5</v>
      </c>
      <c r="Z1514" s="0" t="inlineStr">
        <is>
          <t>https://new.land.naver.com/complexes/10378?tab=detail&amp;rf=Y</t>
        </is>
      </c>
      <c r="AA1514" s="0" t="inlineStr">
        <is>
          <t>인천시 남동구 만수동 881-1</t>
        </is>
      </c>
      <c r="AB1514" s="0" t="inlineStr">
        <is>
          <t>인천시</t>
        </is>
      </c>
      <c r="AC1514" s="0" t="inlineStr">
        <is>
          <t>남동구</t>
        </is>
      </c>
      <c r="AD1514" s="0" t="inlineStr">
        <is>
          <t>만수동</t>
        </is>
      </c>
      <c r="AG1514" s="0" t="inlineStr">
        <is>
          <t>인천시 남동구 만경로8번길 41</t>
        </is>
      </c>
      <c r="AH1514" s="0" t="n">
        <v>0</v>
      </c>
      <c r="AI1514" s="0" t="n">
        <v>0</v>
      </c>
      <c r="AJ1514" s="0" t="n">
        <v>0</v>
      </c>
      <c r="AK1514" s="0" t="n">
        <v>0</v>
      </c>
      <c r="AL1514" s="0" t="n">
        <v>0</v>
      </c>
    </row>
    <row r="1515">
      <c r="A1515" s="0" t="inlineStr">
        <is>
          <t>[만수동]</t>
        </is>
      </c>
      <c r="B1515" s="0" t="n">
        <v>2308</v>
      </c>
      <c r="C1515" s="0" t="n">
        <v>1</v>
      </c>
      <c r="D1515" s="0" t="inlineStr">
        <is>
          <t>신동아</t>
        </is>
      </c>
      <c r="E1515" s="0" t="inlineStr">
        <is>
          <t>1990.10.</t>
        </is>
      </c>
      <c r="F1515" s="0" t="n">
        <v>750</v>
      </c>
      <c r="G1515" s="0" t="n">
        <v>24.6</v>
      </c>
      <c r="H1515" s="0" t="n">
        <v>81.33</v>
      </c>
      <c r="I1515" s="0" t="n">
        <v>20.27</v>
      </c>
      <c r="J1515" s="0" t="n">
        <v>67.02</v>
      </c>
      <c r="K1515" s="0" t="n">
        <v>209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81A</t>
        </is>
      </c>
      <c r="X1515" s="0" t="n">
        <v>15</v>
      </c>
      <c r="Y1515" s="0" t="n">
        <v>15</v>
      </c>
      <c r="Z1515" s="0" t="inlineStr">
        <is>
          <t>https://new.land.naver.com/complexes/2308?tab=detail&amp;rf=Y</t>
        </is>
      </c>
      <c r="AA1515" s="0" t="inlineStr">
        <is>
          <t>인천시 남동구 만수동 5-426</t>
        </is>
      </c>
      <c r="AB1515" s="0" t="inlineStr">
        <is>
          <t>인천시</t>
        </is>
      </c>
      <c r="AC1515" s="0" t="inlineStr">
        <is>
          <t>남동구</t>
        </is>
      </c>
      <c r="AD1515" s="0" t="inlineStr">
        <is>
          <t>만수동</t>
        </is>
      </c>
      <c r="AG1515" s="0" t="inlineStr">
        <is>
          <t>인천시 남동구 만수로111번길 38</t>
        </is>
      </c>
      <c r="AH1515" s="0" t="n">
        <v>0</v>
      </c>
      <c r="AI1515" s="0" t="n">
        <v>219</v>
      </c>
      <c r="AJ1515" s="0" t="n">
        <v>15</v>
      </c>
      <c r="AK1515" s="0" t="n">
        <v>0</v>
      </c>
      <c r="AL1515" s="0" t="n">
        <v>0</v>
      </c>
    </row>
    <row r="1516">
      <c r="A1516" s="0" t="inlineStr">
        <is>
          <t>[만수동]</t>
        </is>
      </c>
      <c r="B1516" s="0" t="n">
        <v>2308</v>
      </c>
      <c r="C1516" s="0" t="n">
        <v>2</v>
      </c>
      <c r="D1516" s="0" t="inlineStr">
        <is>
          <t>신동아</t>
        </is>
      </c>
      <c r="E1516" s="0" t="inlineStr">
        <is>
          <t>1990.10.</t>
        </is>
      </c>
      <c r="F1516" s="0" t="n">
        <v>750</v>
      </c>
      <c r="G1516" s="0" t="n">
        <v>24.76</v>
      </c>
      <c r="H1516" s="0" t="n">
        <v>81.87</v>
      </c>
      <c r="I1516" s="0" t="n">
        <v>20.27</v>
      </c>
      <c r="J1516" s="0" t="n">
        <v>67.02</v>
      </c>
      <c r="K1516" s="0" t="n">
        <v>1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81B</t>
        </is>
      </c>
      <c r="X1516" s="0" t="n">
        <v>15</v>
      </c>
      <c r="Y1516" s="0" t="n">
        <v>15</v>
      </c>
      <c r="Z1516" s="0" t="inlineStr">
        <is>
          <t>https://new.land.naver.com/complexes/2308?tab=detail&amp;rf=Y</t>
        </is>
      </c>
      <c r="AA1516" s="0" t="inlineStr">
        <is>
          <t>인천시 남동구 만수동 5-426</t>
        </is>
      </c>
      <c r="AB1516" s="0" t="inlineStr">
        <is>
          <t>인천시</t>
        </is>
      </c>
      <c r="AC1516" s="0" t="inlineStr">
        <is>
          <t>남동구</t>
        </is>
      </c>
      <c r="AD1516" s="0" t="inlineStr">
        <is>
          <t>만수동</t>
        </is>
      </c>
      <c r="AG1516" s="0" t="inlineStr">
        <is>
          <t>인천시 남동구 만수로111번길 38</t>
        </is>
      </c>
      <c r="AH1516" s="0" t="n">
        <v>0</v>
      </c>
      <c r="AI1516" s="0" t="n">
        <v>219</v>
      </c>
      <c r="AJ1516" s="0" t="n">
        <v>15</v>
      </c>
      <c r="AK1516" s="0" t="n">
        <v>0</v>
      </c>
      <c r="AL1516" s="0" t="n">
        <v>0</v>
      </c>
    </row>
    <row r="1517">
      <c r="A1517" s="0" t="inlineStr">
        <is>
          <t>[만수동]</t>
        </is>
      </c>
      <c r="B1517" s="0" t="n">
        <v>2308</v>
      </c>
      <c r="C1517" s="0" t="n">
        <v>3</v>
      </c>
      <c r="D1517" s="0" t="inlineStr">
        <is>
          <t>신동아</t>
        </is>
      </c>
      <c r="E1517" s="0" t="inlineStr">
        <is>
          <t>1990.10.</t>
        </is>
      </c>
      <c r="F1517" s="0" t="n">
        <v>750</v>
      </c>
      <c r="G1517" s="0" t="n">
        <v>27.14</v>
      </c>
      <c r="H1517" s="0" t="n">
        <v>89.75</v>
      </c>
      <c r="I1517" s="0" t="n">
        <v>22.66</v>
      </c>
      <c r="J1517" s="0" t="n">
        <v>74.92</v>
      </c>
      <c r="K1517" s="0" t="n">
        <v>210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89</v>
      </c>
      <c r="X1517" s="0" t="n">
        <v>15</v>
      </c>
      <c r="Y1517" s="0" t="n">
        <v>15</v>
      </c>
      <c r="Z1517" s="0" t="inlineStr">
        <is>
          <t>https://new.land.naver.com/complexes/2308?tab=detail&amp;rf=Y</t>
        </is>
      </c>
      <c r="AA1517" s="0" t="inlineStr">
        <is>
          <t>인천시 남동구 만수동 5-426</t>
        </is>
      </c>
      <c r="AB1517" s="0" t="inlineStr">
        <is>
          <t>인천시</t>
        </is>
      </c>
      <c r="AC1517" s="0" t="inlineStr">
        <is>
          <t>남동구</t>
        </is>
      </c>
      <c r="AD1517" s="0" t="inlineStr">
        <is>
          <t>만수동</t>
        </is>
      </c>
      <c r="AG1517" s="0" t="inlineStr">
        <is>
          <t>인천시 남동구 만수로111번길 38</t>
        </is>
      </c>
      <c r="AH1517" s="0" t="n">
        <v>0</v>
      </c>
      <c r="AI1517" s="0" t="n">
        <v>219</v>
      </c>
      <c r="AJ1517" s="0" t="n">
        <v>15</v>
      </c>
      <c r="AK1517" s="0" t="n">
        <v>0</v>
      </c>
      <c r="AL1517" s="0" t="n">
        <v>0</v>
      </c>
    </row>
    <row r="1518">
      <c r="A1518" s="0" t="inlineStr">
        <is>
          <t>[만수동]</t>
        </is>
      </c>
      <c r="B1518" s="0" t="n">
        <v>2308</v>
      </c>
      <c r="C1518" s="0" t="n">
        <v>4</v>
      </c>
      <c r="D1518" s="0" t="inlineStr">
        <is>
          <t>신동아</t>
        </is>
      </c>
      <c r="E1518" s="0" t="inlineStr">
        <is>
          <t>1990.10.</t>
        </is>
      </c>
      <c r="F1518" s="0" t="n">
        <v>750</v>
      </c>
      <c r="G1518" s="0" t="n">
        <v>30.77</v>
      </c>
      <c r="H1518" s="0" t="n">
        <v>101.72</v>
      </c>
      <c r="I1518" s="0" t="n">
        <v>25.68</v>
      </c>
      <c r="J1518" s="0" t="n">
        <v>84.91</v>
      </c>
      <c r="K1518" s="0" t="n">
        <v>270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101</v>
      </c>
      <c r="X1518" s="0" t="n">
        <v>15</v>
      </c>
      <c r="Y1518" s="0" t="n">
        <v>15</v>
      </c>
      <c r="Z1518" s="0" t="inlineStr">
        <is>
          <t>https://new.land.naver.com/complexes/2308?tab=detail&amp;rf=Y</t>
        </is>
      </c>
      <c r="AA1518" s="0" t="inlineStr">
        <is>
          <t>인천시 남동구 만수동 5-426</t>
        </is>
      </c>
      <c r="AB1518" s="0" t="inlineStr">
        <is>
          <t>인천시</t>
        </is>
      </c>
      <c r="AC1518" s="0" t="inlineStr">
        <is>
          <t>남동구</t>
        </is>
      </c>
      <c r="AD1518" s="0" t="inlineStr">
        <is>
          <t>만수동</t>
        </is>
      </c>
      <c r="AG1518" s="0" t="inlineStr">
        <is>
          <t>인천시 남동구 만수로111번길 38</t>
        </is>
      </c>
      <c r="AH1518" s="0" t="n">
        <v>0</v>
      </c>
      <c r="AI1518" s="0" t="n">
        <v>219</v>
      </c>
      <c r="AJ1518" s="0" t="n">
        <v>15</v>
      </c>
      <c r="AK1518" s="0" t="n">
        <v>0</v>
      </c>
      <c r="AL1518" s="0" t="n">
        <v>0</v>
      </c>
    </row>
    <row r="1519">
      <c r="A1519" s="0" t="inlineStr">
        <is>
          <t>[만수동]</t>
        </is>
      </c>
      <c r="B1519" s="0" t="n">
        <v>2308</v>
      </c>
      <c r="C1519" s="0" t="n">
        <v>5</v>
      </c>
      <c r="D1519" s="0" t="inlineStr">
        <is>
          <t>신동아</t>
        </is>
      </c>
      <c r="E1519" s="0" t="inlineStr">
        <is>
          <t>1990.10.</t>
        </is>
      </c>
      <c r="F1519" s="0" t="n">
        <v>750</v>
      </c>
      <c r="G1519" s="0" t="n">
        <v>45.65</v>
      </c>
      <c r="H1519" s="0" t="n">
        <v>150.93</v>
      </c>
      <c r="I1519" s="0" t="n">
        <v>39.7</v>
      </c>
      <c r="J1519" s="0" t="n">
        <v>131.25</v>
      </c>
      <c r="K1519" s="0" t="n">
        <v>60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150</v>
      </c>
      <c r="X1519" s="0" t="n">
        <v>15</v>
      </c>
      <c r="Y1519" s="0" t="n">
        <v>15</v>
      </c>
      <c r="Z1519" s="0" t="inlineStr">
        <is>
          <t>https://new.land.naver.com/complexes/2308?tab=detail&amp;rf=Y</t>
        </is>
      </c>
      <c r="AA1519" s="0" t="inlineStr">
        <is>
          <t>인천시 남동구 만수동 5-426</t>
        </is>
      </c>
      <c r="AB1519" s="0" t="inlineStr">
        <is>
          <t>인천시</t>
        </is>
      </c>
      <c r="AC1519" s="0" t="inlineStr">
        <is>
          <t>남동구</t>
        </is>
      </c>
      <c r="AD1519" s="0" t="inlineStr">
        <is>
          <t>만수동</t>
        </is>
      </c>
      <c r="AG1519" s="0" t="inlineStr">
        <is>
          <t>인천시 남동구 만수로111번길 38</t>
        </is>
      </c>
      <c r="AH1519" s="0" t="n">
        <v>0</v>
      </c>
      <c r="AI1519" s="0" t="n">
        <v>219</v>
      </c>
      <c r="AJ1519" s="0" t="n">
        <v>15</v>
      </c>
      <c r="AK1519" s="0" t="n">
        <v>0</v>
      </c>
      <c r="AL1519" s="0" t="n">
        <v>0</v>
      </c>
    </row>
    <row r="1520">
      <c r="A1520" s="0" t="inlineStr">
        <is>
          <t>[만수동]</t>
        </is>
      </c>
      <c r="B1520" s="0" t="n">
        <v>2317</v>
      </c>
      <c r="C1520" s="0" t="n">
        <v>1</v>
      </c>
      <c r="D1520" s="0" t="inlineStr">
        <is>
          <t>만수주공8단지</t>
        </is>
      </c>
      <c r="E1520" s="0" t="inlineStr">
        <is>
          <t>1990.12.</t>
        </is>
      </c>
      <c r="F1520" s="0" t="n">
        <v>1440</v>
      </c>
      <c r="G1520" s="0" t="n">
        <v>15.24</v>
      </c>
      <c r="H1520" s="0" t="n">
        <v>50.4</v>
      </c>
      <c r="I1520" s="0" t="n">
        <v>11.68</v>
      </c>
      <c r="J1520" s="0" t="n">
        <v>38.64</v>
      </c>
      <c r="K1520" s="0" t="n">
        <v>960</v>
      </c>
      <c r="T1520" s="0" t="n">
        <v>2</v>
      </c>
      <c r="U1520" s="0" t="n">
        <v>1</v>
      </c>
      <c r="V1520" s="0" t="inlineStr">
        <is>
          <t>복도식</t>
        </is>
      </c>
      <c r="W1520" s="0" t="n">
        <v>50</v>
      </c>
      <c r="X1520" s="0" t="n">
        <v>15</v>
      </c>
      <c r="Y1520" s="0" t="n">
        <v>15</v>
      </c>
      <c r="Z1520" s="0" t="inlineStr">
        <is>
          <t>https://new.land.naver.com/complexes/2317?tab=detail&amp;rf=Y</t>
        </is>
      </c>
      <c r="AA1520" s="0" t="inlineStr">
        <is>
          <t>인천시 남동구 만수동 1005</t>
        </is>
      </c>
      <c r="AB1520" s="0" t="inlineStr">
        <is>
          <t>인천시</t>
        </is>
      </c>
      <c r="AC1520" s="0" t="inlineStr">
        <is>
          <t>남동구</t>
        </is>
      </c>
      <c r="AD1520" s="0" t="inlineStr">
        <is>
          <t>만수동</t>
        </is>
      </c>
      <c r="AG1520" s="0" t="inlineStr">
        <is>
          <t>인천시 남동구 담방로 105</t>
        </is>
      </c>
      <c r="AH1520" s="0" t="n">
        <v>0</v>
      </c>
      <c r="AI1520" s="0" t="n">
        <v>0</v>
      </c>
      <c r="AJ1520" s="0" t="n">
        <v>0</v>
      </c>
      <c r="AK1520" s="0" t="n">
        <v>1449</v>
      </c>
      <c r="AL1520" s="0" t="n">
        <v>1.01</v>
      </c>
    </row>
    <row r="1521">
      <c r="A1521" s="0" t="inlineStr">
        <is>
          <t>[만수동]</t>
        </is>
      </c>
      <c r="B1521" s="0" t="n">
        <v>2317</v>
      </c>
      <c r="C1521" s="0" t="n">
        <v>2</v>
      </c>
      <c r="D1521" s="0" t="inlineStr">
        <is>
          <t>만수주공8단지</t>
        </is>
      </c>
      <c r="E1521" s="0" t="inlineStr">
        <is>
          <t>1990.12.</t>
        </is>
      </c>
      <c r="F1521" s="0" t="n">
        <v>1440</v>
      </c>
      <c r="G1521" s="0" t="n">
        <v>17.72</v>
      </c>
      <c r="H1521" s="0" t="n">
        <v>58.61</v>
      </c>
      <c r="I1521" s="0" t="n">
        <v>13.59</v>
      </c>
      <c r="J1521" s="0" t="n">
        <v>44.94</v>
      </c>
      <c r="K1521" s="0" t="n">
        <v>477</v>
      </c>
      <c r="T1521" s="0" t="n">
        <v>2</v>
      </c>
      <c r="U1521" s="0" t="n">
        <v>1</v>
      </c>
      <c r="V1521" s="0" t="inlineStr">
        <is>
          <t>복도식</t>
        </is>
      </c>
      <c r="W1521" s="0" t="inlineStr">
        <is>
          <t>58C</t>
        </is>
      </c>
      <c r="X1521" s="0" t="n">
        <v>15</v>
      </c>
      <c r="Y1521" s="0" t="n">
        <v>15</v>
      </c>
      <c r="Z1521" s="0" t="inlineStr">
        <is>
          <t>https://new.land.naver.com/complexes/2317?tab=detail&amp;rf=Y</t>
        </is>
      </c>
      <c r="AA1521" s="0" t="inlineStr">
        <is>
          <t>인천시 남동구 만수동 1005</t>
        </is>
      </c>
      <c r="AB1521" s="0" t="inlineStr">
        <is>
          <t>인천시</t>
        </is>
      </c>
      <c r="AC1521" s="0" t="inlineStr">
        <is>
          <t>남동구</t>
        </is>
      </c>
      <c r="AD1521" s="0" t="inlineStr">
        <is>
          <t>만수동</t>
        </is>
      </c>
      <c r="AG1521" s="0" t="inlineStr">
        <is>
          <t>인천시 남동구 담방로 105</t>
        </is>
      </c>
      <c r="AH1521" s="0" t="n">
        <v>0</v>
      </c>
      <c r="AI1521" s="0" t="n">
        <v>0</v>
      </c>
      <c r="AJ1521" s="0" t="n">
        <v>0</v>
      </c>
      <c r="AK1521" s="0" t="n">
        <v>1449</v>
      </c>
      <c r="AL1521" s="0" t="n">
        <v>1.01</v>
      </c>
    </row>
    <row r="1522">
      <c r="A1522" s="0" t="inlineStr">
        <is>
          <t>[만수동]</t>
        </is>
      </c>
      <c r="B1522" s="0" t="n">
        <v>2317</v>
      </c>
      <c r="C1522" s="0" t="n">
        <v>3</v>
      </c>
      <c r="D1522" s="0" t="inlineStr">
        <is>
          <t>만수주공8단지</t>
        </is>
      </c>
      <c r="E1522" s="0" t="inlineStr">
        <is>
          <t>1990.12.</t>
        </is>
      </c>
      <c r="F1522" s="0" t="n">
        <v>1440</v>
      </c>
      <c r="G1522" s="0" t="n">
        <v>17.63</v>
      </c>
      <c r="H1522" s="0" t="n">
        <v>58.31</v>
      </c>
      <c r="I1522" s="0" t="n">
        <v>13.5</v>
      </c>
      <c r="J1522" s="0" t="n">
        <v>44.64</v>
      </c>
      <c r="K1522" s="0" t="n">
        <v>2</v>
      </c>
      <c r="T1522" s="0" t="n">
        <v>2</v>
      </c>
      <c r="U1522" s="0" t="n">
        <v>1</v>
      </c>
      <c r="V1522" s="0" t="inlineStr">
        <is>
          <t>계단식</t>
        </is>
      </c>
      <c r="W1522" s="0" t="inlineStr">
        <is>
          <t>58A</t>
        </is>
      </c>
      <c r="X1522" s="0" t="n">
        <v>15</v>
      </c>
      <c r="Y1522" s="0" t="n">
        <v>15</v>
      </c>
      <c r="Z1522" s="0" t="inlineStr">
        <is>
          <t>https://new.land.naver.com/complexes/2317?tab=detail&amp;rf=Y</t>
        </is>
      </c>
      <c r="AA1522" s="0" t="inlineStr">
        <is>
          <t>인천시 남동구 만수동 1005</t>
        </is>
      </c>
      <c r="AB1522" s="0" t="inlineStr">
        <is>
          <t>인천시</t>
        </is>
      </c>
      <c r="AC1522" s="0" t="inlineStr">
        <is>
          <t>남동구</t>
        </is>
      </c>
      <c r="AD1522" s="0" t="inlineStr">
        <is>
          <t>만수동</t>
        </is>
      </c>
      <c r="AG1522" s="0" t="inlineStr">
        <is>
          <t>인천시 남동구 담방로 105</t>
        </is>
      </c>
      <c r="AH1522" s="0" t="n">
        <v>0</v>
      </c>
      <c r="AI1522" s="0" t="n">
        <v>0</v>
      </c>
      <c r="AJ1522" s="0" t="n">
        <v>0</v>
      </c>
      <c r="AK1522" s="0" t="n">
        <v>1449</v>
      </c>
      <c r="AL1522" s="0" t="n">
        <v>1.01</v>
      </c>
    </row>
    <row r="1523">
      <c r="A1523" s="0" t="inlineStr">
        <is>
          <t>[만수동]</t>
        </is>
      </c>
      <c r="B1523" s="0" t="n">
        <v>2317</v>
      </c>
      <c r="C1523" s="0" t="n">
        <v>4</v>
      </c>
      <c r="D1523" s="0" t="inlineStr">
        <is>
          <t>만수주공8단지</t>
        </is>
      </c>
      <c r="E1523" s="0" t="inlineStr">
        <is>
          <t>1990.12.</t>
        </is>
      </c>
      <c r="F1523" s="0" t="n">
        <v>1440</v>
      </c>
      <c r="G1523" s="0" t="n">
        <v>17.64</v>
      </c>
      <c r="H1523" s="0" t="n">
        <v>58.34</v>
      </c>
      <c r="I1523" s="0" t="n">
        <v>13.51</v>
      </c>
      <c r="J1523" s="0" t="n">
        <v>44.67</v>
      </c>
      <c r="K1523" s="0" t="n">
        <v>1</v>
      </c>
      <c r="T1523" s="0" t="n">
        <v>2</v>
      </c>
      <c r="U1523" s="0" t="n">
        <v>1</v>
      </c>
      <c r="V1523" s="0" t="inlineStr">
        <is>
          <t>계단식</t>
        </is>
      </c>
      <c r="W1523" s="0" t="inlineStr">
        <is>
          <t>58B</t>
        </is>
      </c>
      <c r="X1523" s="0" t="n">
        <v>15</v>
      </c>
      <c r="Y1523" s="0" t="n">
        <v>15</v>
      </c>
      <c r="Z1523" s="0" t="inlineStr">
        <is>
          <t>https://new.land.naver.com/complexes/2317?tab=detail&amp;rf=Y</t>
        </is>
      </c>
      <c r="AA1523" s="0" t="inlineStr">
        <is>
          <t>인천시 남동구 만수동 1005</t>
        </is>
      </c>
      <c r="AB1523" s="0" t="inlineStr">
        <is>
          <t>인천시</t>
        </is>
      </c>
      <c r="AC1523" s="0" t="inlineStr">
        <is>
          <t>남동구</t>
        </is>
      </c>
      <c r="AD1523" s="0" t="inlineStr">
        <is>
          <t>만수동</t>
        </is>
      </c>
      <c r="AG1523" s="0" t="inlineStr">
        <is>
          <t>인천시 남동구 담방로 105</t>
        </is>
      </c>
      <c r="AH1523" s="0" t="n">
        <v>0</v>
      </c>
      <c r="AI1523" s="0" t="n">
        <v>0</v>
      </c>
      <c r="AJ1523" s="0" t="n">
        <v>0</v>
      </c>
      <c r="AK1523" s="0" t="n">
        <v>1449</v>
      </c>
      <c r="AL1523" s="0" t="n">
        <v>1.01</v>
      </c>
    </row>
    <row r="1524">
      <c r="A1524" s="0" t="inlineStr">
        <is>
          <t>[만수동]</t>
        </is>
      </c>
      <c r="B1524" s="0" t="n">
        <v>134922</v>
      </c>
      <c r="C1524" s="0" t="n">
        <v>1</v>
      </c>
      <c r="D1524" s="0" t="inlineStr">
        <is>
          <t>월드이클래스</t>
        </is>
      </c>
      <c r="E1524" s="0" t="inlineStr">
        <is>
          <t>2019.01.</t>
        </is>
      </c>
      <c r="F1524" s="0" t="n">
        <v>12</v>
      </c>
      <c r="G1524" s="0" t="n">
        <v>15.94</v>
      </c>
      <c r="H1524" s="0" t="n">
        <v>52.72</v>
      </c>
      <c r="I1524" s="0" t="n">
        <v>13.04</v>
      </c>
      <c r="J1524" s="0" t="n">
        <v>43.13</v>
      </c>
      <c r="K1524" s="0" t="n">
        <v>4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52A</t>
        </is>
      </c>
      <c r="X1524" s="0" t="n">
        <v>13</v>
      </c>
      <c r="Y1524" s="0" t="n">
        <v>13</v>
      </c>
      <c r="Z1524" s="0" t="inlineStr">
        <is>
          <t>https://new.land.naver.com/complexes/134922?tab=detail&amp;rf=Y</t>
        </is>
      </c>
      <c r="AA1524" s="0" t="inlineStr">
        <is>
          <t>인천시 남동구 만수동 2-10</t>
        </is>
      </c>
      <c r="AB1524" s="0" t="inlineStr">
        <is>
          <t>인천시</t>
        </is>
      </c>
      <c r="AC1524" s="0" t="inlineStr">
        <is>
          <t>남동구</t>
        </is>
      </c>
      <c r="AD1524" s="0" t="inlineStr">
        <is>
          <t>만수동</t>
        </is>
      </c>
      <c r="AG1524" s="0" t="inlineStr">
        <is>
          <t>인천시 남동구 수현로119번길 15</t>
        </is>
      </c>
      <c r="AH1524" s="0" t="n">
        <v>0</v>
      </c>
      <c r="AI1524" s="0" t="n">
        <v>479</v>
      </c>
      <c r="AJ1524" s="0" t="n">
        <v>58</v>
      </c>
      <c r="AK1524" s="0" t="n">
        <v>12</v>
      </c>
      <c r="AL1524" s="0" t="n">
        <v>1</v>
      </c>
    </row>
    <row r="1525">
      <c r="A1525" s="0" t="inlineStr">
        <is>
          <t>[만수동]</t>
        </is>
      </c>
      <c r="B1525" s="0" t="n">
        <v>134922</v>
      </c>
      <c r="C1525" s="0" t="n">
        <v>2</v>
      </c>
      <c r="D1525" s="0" t="inlineStr">
        <is>
          <t>월드이클래스</t>
        </is>
      </c>
      <c r="E1525" s="0" t="inlineStr">
        <is>
          <t>2019.01.</t>
        </is>
      </c>
      <c r="F1525" s="0" t="n">
        <v>12</v>
      </c>
      <c r="G1525" s="0" t="n">
        <v>15.95</v>
      </c>
      <c r="H1525" s="0" t="n">
        <v>52.76</v>
      </c>
      <c r="I1525" s="0" t="n">
        <v>13.12</v>
      </c>
      <c r="J1525" s="0" t="n">
        <v>43.38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52C</t>
        </is>
      </c>
      <c r="X1525" s="0" t="n">
        <v>13</v>
      </c>
      <c r="Y1525" s="0" t="n">
        <v>13</v>
      </c>
      <c r="Z1525" s="0" t="inlineStr">
        <is>
          <t>https://new.land.naver.com/complexes/134922?tab=detail&amp;rf=Y</t>
        </is>
      </c>
      <c r="AA1525" s="0" t="inlineStr">
        <is>
          <t>인천시 남동구 만수동 2-10</t>
        </is>
      </c>
      <c r="AB1525" s="0" t="inlineStr">
        <is>
          <t>인천시</t>
        </is>
      </c>
      <c r="AC1525" s="0" t="inlineStr">
        <is>
          <t>남동구</t>
        </is>
      </c>
      <c r="AD1525" s="0" t="inlineStr">
        <is>
          <t>만수동</t>
        </is>
      </c>
      <c r="AG1525" s="0" t="inlineStr">
        <is>
          <t>인천시 남동구 수현로119번길 15</t>
        </is>
      </c>
      <c r="AH1525" s="0" t="n">
        <v>0</v>
      </c>
      <c r="AI1525" s="0" t="n">
        <v>479</v>
      </c>
      <c r="AJ1525" s="0" t="n">
        <v>58</v>
      </c>
      <c r="AK1525" s="0" t="n">
        <v>12</v>
      </c>
      <c r="AL1525" s="0" t="n">
        <v>1</v>
      </c>
    </row>
    <row r="1526">
      <c r="A1526" s="0" t="inlineStr">
        <is>
          <t>[만수동]</t>
        </is>
      </c>
      <c r="B1526" s="0" t="n">
        <v>134922</v>
      </c>
      <c r="C1526" s="0" t="n">
        <v>3</v>
      </c>
      <c r="D1526" s="0" t="inlineStr">
        <is>
          <t>월드이클래스</t>
        </is>
      </c>
      <c r="E1526" s="0" t="inlineStr">
        <is>
          <t>2019.01.</t>
        </is>
      </c>
      <c r="F1526" s="0" t="n">
        <v>12</v>
      </c>
      <c r="G1526" s="0" t="n">
        <v>16</v>
      </c>
      <c r="H1526" s="0" t="n">
        <v>52.92</v>
      </c>
      <c r="I1526" s="0" t="n">
        <v>13.08</v>
      </c>
      <c r="J1526" s="0" t="n">
        <v>43.27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52B</t>
        </is>
      </c>
      <c r="X1526" s="0" t="n">
        <v>13</v>
      </c>
      <c r="Y1526" s="0" t="n">
        <v>13</v>
      </c>
      <c r="Z1526" s="0" t="inlineStr">
        <is>
          <t>https://new.land.naver.com/complexes/134922?tab=detail&amp;rf=Y</t>
        </is>
      </c>
      <c r="AA1526" s="0" t="inlineStr">
        <is>
          <t>인천시 남동구 만수동 2-10</t>
        </is>
      </c>
      <c r="AB1526" s="0" t="inlineStr">
        <is>
          <t>인천시</t>
        </is>
      </c>
      <c r="AC1526" s="0" t="inlineStr">
        <is>
          <t>남동구</t>
        </is>
      </c>
      <c r="AD1526" s="0" t="inlineStr">
        <is>
          <t>만수동</t>
        </is>
      </c>
      <c r="AG1526" s="0" t="inlineStr">
        <is>
          <t>인천시 남동구 수현로119번길 15</t>
        </is>
      </c>
      <c r="AH1526" s="0" t="n">
        <v>0</v>
      </c>
      <c r="AI1526" s="0" t="n">
        <v>479</v>
      </c>
      <c r="AJ1526" s="0" t="n">
        <v>58</v>
      </c>
      <c r="AK1526" s="0" t="n">
        <v>12</v>
      </c>
      <c r="AL1526" s="0" t="n">
        <v>1</v>
      </c>
    </row>
    <row r="1527">
      <c r="A1527" s="0" t="inlineStr">
        <is>
          <t>[만수동]</t>
        </is>
      </c>
      <c r="B1527" s="0" t="n">
        <v>134922</v>
      </c>
      <c r="C1527" s="0" t="n">
        <v>4</v>
      </c>
      <c r="D1527" s="0" t="inlineStr">
        <is>
          <t>월드이클래스</t>
        </is>
      </c>
      <c r="E1527" s="0" t="inlineStr">
        <is>
          <t>2019.01.</t>
        </is>
      </c>
      <c r="F1527" s="0" t="n">
        <v>12</v>
      </c>
      <c r="G1527" s="0" t="n">
        <v>16.01</v>
      </c>
      <c r="H1527" s="0" t="n">
        <v>52.95</v>
      </c>
      <c r="I1527" s="0" t="n">
        <v>13.16</v>
      </c>
      <c r="J1527" s="0" t="n">
        <v>43.51</v>
      </c>
      <c r="K1527" s="0" t="n">
        <v>2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52D</t>
        </is>
      </c>
      <c r="X1527" s="0" t="n">
        <v>13</v>
      </c>
      <c r="Y1527" s="0" t="n">
        <v>13</v>
      </c>
      <c r="Z1527" s="0" t="inlineStr">
        <is>
          <t>https://new.land.naver.com/complexes/134922?tab=detail&amp;rf=Y</t>
        </is>
      </c>
      <c r="AA1527" s="0" t="inlineStr">
        <is>
          <t>인천시 남동구 만수동 2-10</t>
        </is>
      </c>
      <c r="AB1527" s="0" t="inlineStr">
        <is>
          <t>인천시</t>
        </is>
      </c>
      <c r="AC1527" s="0" t="inlineStr">
        <is>
          <t>남동구</t>
        </is>
      </c>
      <c r="AD1527" s="0" t="inlineStr">
        <is>
          <t>만수동</t>
        </is>
      </c>
      <c r="AG1527" s="0" t="inlineStr">
        <is>
          <t>인천시 남동구 수현로119번길 15</t>
        </is>
      </c>
      <c r="AH1527" s="0" t="n">
        <v>0</v>
      </c>
      <c r="AI1527" s="0" t="n">
        <v>479</v>
      </c>
      <c r="AJ1527" s="0" t="n">
        <v>58</v>
      </c>
      <c r="AK1527" s="0" t="n">
        <v>12</v>
      </c>
      <c r="AL1527" s="0" t="n">
        <v>1</v>
      </c>
    </row>
    <row r="1528">
      <c r="A1528" s="0" t="inlineStr">
        <is>
          <t>[만수동]</t>
        </is>
      </c>
      <c r="B1528" s="0" t="n">
        <v>2303</v>
      </c>
      <c r="C1528" s="0" t="n">
        <v>1</v>
      </c>
      <c r="D1528" s="0" t="inlineStr">
        <is>
          <t>대동(1018)</t>
        </is>
      </c>
      <c r="E1528" s="0" t="inlineStr">
        <is>
          <t>1992.04.</t>
        </is>
      </c>
      <c r="F1528" s="0" t="n">
        <v>560</v>
      </c>
      <c r="G1528" s="0" t="n">
        <v>25.47</v>
      </c>
      <c r="H1528" s="0" t="n">
        <v>84.22</v>
      </c>
      <c r="I1528" s="0" t="n">
        <v>19.12</v>
      </c>
      <c r="J1528" s="0" t="n">
        <v>63.22</v>
      </c>
      <c r="K1528" s="0" t="n">
        <v>96</v>
      </c>
      <c r="T1528" s="0" t="n">
        <v>2</v>
      </c>
      <c r="U1528" s="0" t="n">
        <v>1</v>
      </c>
      <c r="V1528" s="0" t="inlineStr">
        <is>
          <t>복도식</t>
        </is>
      </c>
      <c r="W1528" s="0" t="n">
        <v>84</v>
      </c>
      <c r="X1528" s="0" t="n">
        <v>17</v>
      </c>
      <c r="Y1528" s="0" t="n">
        <v>16</v>
      </c>
      <c r="Z1528" s="0" t="inlineStr">
        <is>
          <t>https://new.land.naver.com/complexes/2303?tab=detail&amp;rf=Y</t>
        </is>
      </c>
      <c r="AA1528" s="0" t="inlineStr">
        <is>
          <t>인천시 남동구 만수동 1018</t>
        </is>
      </c>
      <c r="AB1528" s="0" t="inlineStr">
        <is>
          <t>인천시</t>
        </is>
      </c>
      <c r="AC1528" s="0" t="inlineStr">
        <is>
          <t>남동구</t>
        </is>
      </c>
      <c r="AD1528" s="0" t="inlineStr">
        <is>
          <t>만수동</t>
        </is>
      </c>
      <c r="AG1528" s="0" t="inlineStr">
        <is>
          <t>인천시 남동구 장승남로33번길 21</t>
        </is>
      </c>
      <c r="AH1528" s="0" t="n">
        <v>0</v>
      </c>
      <c r="AI1528" s="0" t="n">
        <v>244</v>
      </c>
      <c r="AJ1528" s="0" t="n">
        <v>33</v>
      </c>
      <c r="AK1528" s="0" t="n">
        <v>0</v>
      </c>
      <c r="AL1528" s="0" t="n">
        <v>0</v>
      </c>
    </row>
    <row r="1529">
      <c r="A1529" s="0" t="inlineStr">
        <is>
          <t>[만수동]</t>
        </is>
      </c>
      <c r="B1529" s="0" t="n">
        <v>2303</v>
      </c>
      <c r="C1529" s="0" t="n">
        <v>2</v>
      </c>
      <c r="D1529" s="0" t="inlineStr">
        <is>
          <t>대동(1018)</t>
        </is>
      </c>
      <c r="E1529" s="0" t="inlineStr">
        <is>
          <t>1992.04.</t>
        </is>
      </c>
      <c r="F1529" s="0" t="n">
        <v>560</v>
      </c>
      <c r="G1529" s="0" t="n">
        <v>31.27</v>
      </c>
      <c r="H1529" s="0" t="n">
        <v>103.38</v>
      </c>
      <c r="I1529" s="0" t="n">
        <v>25.57</v>
      </c>
      <c r="J1529" s="0" t="n">
        <v>84.55</v>
      </c>
      <c r="K1529" s="0" t="n">
        <v>464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103</v>
      </c>
      <c r="X1529" s="0" t="n">
        <v>17</v>
      </c>
      <c r="Y1529" s="0" t="n">
        <v>16</v>
      </c>
      <c r="Z1529" s="0" t="inlineStr">
        <is>
          <t>https://new.land.naver.com/complexes/2303?tab=detail&amp;rf=Y</t>
        </is>
      </c>
      <c r="AA1529" s="0" t="inlineStr">
        <is>
          <t>인천시 남동구 만수동 1018</t>
        </is>
      </c>
      <c r="AB1529" s="0" t="inlineStr">
        <is>
          <t>인천시</t>
        </is>
      </c>
      <c r="AC1529" s="0" t="inlineStr">
        <is>
          <t>남동구</t>
        </is>
      </c>
      <c r="AD1529" s="0" t="inlineStr">
        <is>
          <t>만수동</t>
        </is>
      </c>
      <c r="AG1529" s="0" t="inlineStr">
        <is>
          <t>인천시 남동구 장승남로33번길 21</t>
        </is>
      </c>
      <c r="AH1529" s="0" t="n">
        <v>0</v>
      </c>
      <c r="AI1529" s="0" t="n">
        <v>244</v>
      </c>
      <c r="AJ1529" s="0" t="n">
        <v>33</v>
      </c>
      <c r="AK1529" s="0" t="n">
        <v>0</v>
      </c>
      <c r="AL1529" s="0" t="n">
        <v>0</v>
      </c>
    </row>
    <row r="1530">
      <c r="A1530" s="0" t="inlineStr">
        <is>
          <t>[만수동]</t>
        </is>
      </c>
      <c r="B1530" s="0" t="n">
        <v>9246</v>
      </c>
      <c r="C1530" s="0" t="n">
        <v>1</v>
      </c>
      <c r="D1530" s="0" t="inlineStr">
        <is>
          <t>한국공영</t>
        </is>
      </c>
      <c r="E1530" s="0" t="inlineStr">
        <is>
          <t>1983.08.</t>
        </is>
      </c>
      <c r="F1530" s="0" t="n">
        <v>160</v>
      </c>
      <c r="G1530" s="0" t="n">
        <v>16.41</v>
      </c>
      <c r="H1530" s="0" t="n">
        <v>54.28</v>
      </c>
      <c r="I1530" s="0" t="n">
        <v>13.68</v>
      </c>
      <c r="J1530" s="0" t="n">
        <v>45.24</v>
      </c>
      <c r="K1530" s="0" t="n">
        <v>160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54</v>
      </c>
      <c r="X1530" s="0" t="n">
        <v>5</v>
      </c>
      <c r="Y1530" s="0" t="n">
        <v>5</v>
      </c>
      <c r="Z1530" s="0" t="inlineStr">
        <is>
          <t>https://new.land.naver.com/complexes/9246?tab=detail&amp;rf=Y</t>
        </is>
      </c>
      <c r="AA1530" s="0" t="inlineStr">
        <is>
          <t>인천시 남동구 만수동 5-295</t>
        </is>
      </c>
      <c r="AB1530" s="0" t="inlineStr">
        <is>
          <t>인천시</t>
        </is>
      </c>
      <c r="AC1530" s="0" t="inlineStr">
        <is>
          <t>남동구</t>
        </is>
      </c>
      <c r="AD1530" s="0" t="inlineStr">
        <is>
          <t>만수동</t>
        </is>
      </c>
      <c r="AG1530" s="0" t="inlineStr">
        <is>
          <t>인천시 남동구 만수로75번길 35-12</t>
        </is>
      </c>
      <c r="AH1530" s="0" t="n">
        <v>0</v>
      </c>
      <c r="AI1530" s="0" t="n">
        <v>142</v>
      </c>
      <c r="AJ1530" s="0" t="n">
        <v>28</v>
      </c>
      <c r="AK1530" s="0" t="n">
        <v>0</v>
      </c>
      <c r="AL1530" s="0" t="n">
        <v>0</v>
      </c>
    </row>
    <row r="1531">
      <c r="A1531" s="0" t="inlineStr">
        <is>
          <t>[만수동]</t>
        </is>
      </c>
      <c r="B1531" s="0" t="n">
        <v>134644</v>
      </c>
      <c r="C1531" s="0" t="n">
        <v>1</v>
      </c>
      <c r="D1531" s="0" t="inlineStr">
        <is>
          <t>성원예가</t>
        </is>
      </c>
      <c r="E1531" s="0" t="inlineStr">
        <is>
          <t>2020.04.</t>
        </is>
      </c>
      <c r="F1531" s="0" t="n">
        <v>16</v>
      </c>
      <c r="G1531" s="0" t="n">
        <v>17.88</v>
      </c>
      <c r="H1531" s="0" t="n">
        <v>59.13</v>
      </c>
      <c r="I1531" s="0" t="n">
        <v>14.23</v>
      </c>
      <c r="J1531" s="0" t="n">
        <v>47.07</v>
      </c>
      <c r="K1531" s="0" t="n">
        <v>8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59A</t>
        </is>
      </c>
      <c r="X1531" s="0" t="n">
        <v>10</v>
      </c>
      <c r="Y1531" s="0" t="n">
        <v>10</v>
      </c>
      <c r="Z1531" s="0" t="inlineStr">
        <is>
          <t>https://new.land.naver.com/complexes/134644?tab=detail&amp;rf=Y</t>
        </is>
      </c>
      <c r="AA1531" s="0" t="inlineStr">
        <is>
          <t>인천시 남동구 만수동 858-2</t>
        </is>
      </c>
      <c r="AB1531" s="0" t="inlineStr">
        <is>
          <t>인천시</t>
        </is>
      </c>
      <c r="AC1531" s="0" t="inlineStr">
        <is>
          <t>남동구</t>
        </is>
      </c>
      <c r="AD1531" s="0" t="inlineStr">
        <is>
          <t>만수동</t>
        </is>
      </c>
      <c r="AG1531" s="0" t="inlineStr">
        <is>
          <t>인천시 남동구 서판로54번길 57</t>
        </is>
      </c>
      <c r="AH1531" s="0" t="n">
        <v>0</v>
      </c>
      <c r="AI1531" s="0" t="n">
        <v>438</v>
      </c>
      <c r="AJ1531" s="0" t="n">
        <v>57</v>
      </c>
      <c r="AK1531" s="0" t="n">
        <v>16</v>
      </c>
      <c r="AL1531" s="0" t="n">
        <v>1</v>
      </c>
    </row>
    <row r="1532">
      <c r="A1532" s="0" t="inlineStr">
        <is>
          <t>[만수동]</t>
        </is>
      </c>
      <c r="B1532" s="0" t="n">
        <v>134644</v>
      </c>
      <c r="C1532" s="0" t="n">
        <v>2</v>
      </c>
      <c r="D1532" s="0" t="inlineStr">
        <is>
          <t>성원예가</t>
        </is>
      </c>
      <c r="E1532" s="0" t="inlineStr">
        <is>
          <t>2020.04.</t>
        </is>
      </c>
      <c r="F1532" s="0" t="n">
        <v>16</v>
      </c>
      <c r="G1532" s="0" t="n">
        <v>18.41</v>
      </c>
      <c r="H1532" s="0" t="n">
        <v>60.88</v>
      </c>
      <c r="I1532" s="0" t="n">
        <v>14.67</v>
      </c>
      <c r="J1532" s="0" t="n">
        <v>48.52</v>
      </c>
      <c r="K1532" s="0" t="n">
        <v>8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60B</t>
        </is>
      </c>
      <c r="X1532" s="0" t="n">
        <v>10</v>
      </c>
      <c r="Y1532" s="0" t="n">
        <v>10</v>
      </c>
      <c r="Z1532" s="0" t="inlineStr">
        <is>
          <t>https://new.land.naver.com/complexes/134644?tab=detail&amp;rf=Y</t>
        </is>
      </c>
      <c r="AA1532" s="0" t="inlineStr">
        <is>
          <t>인천시 남동구 만수동 858-2</t>
        </is>
      </c>
      <c r="AB1532" s="0" t="inlineStr">
        <is>
          <t>인천시</t>
        </is>
      </c>
      <c r="AC1532" s="0" t="inlineStr">
        <is>
          <t>남동구</t>
        </is>
      </c>
      <c r="AD1532" s="0" t="inlineStr">
        <is>
          <t>만수동</t>
        </is>
      </c>
      <c r="AG1532" s="0" t="inlineStr">
        <is>
          <t>인천시 남동구 서판로54번길 57</t>
        </is>
      </c>
      <c r="AH1532" s="0" t="n">
        <v>0</v>
      </c>
      <c r="AI1532" s="0" t="n">
        <v>438</v>
      </c>
      <c r="AJ1532" s="0" t="n">
        <v>57</v>
      </c>
      <c r="AK1532" s="0" t="n">
        <v>16</v>
      </c>
      <c r="AL1532" s="0" t="n">
        <v>1</v>
      </c>
    </row>
    <row r="1533">
      <c r="A1533" s="0" t="inlineStr">
        <is>
          <t>[만수동]</t>
        </is>
      </c>
      <c r="B1533" s="0" t="n">
        <v>127178</v>
      </c>
      <c r="C1533" s="0" t="n">
        <v>1</v>
      </c>
      <c r="D1533" s="0" t="inlineStr">
        <is>
          <t>엑설런트(도시형)</t>
        </is>
      </c>
      <c r="E1533" s="0" t="inlineStr">
        <is>
          <t>2011.06.</t>
        </is>
      </c>
      <c r="F1533" s="0" t="n">
        <v>56</v>
      </c>
      <c r="G1533" s="0" t="n">
        <v>6.67</v>
      </c>
      <c r="H1533" s="0" t="n">
        <v>22.07</v>
      </c>
      <c r="I1533" s="0" t="n">
        <v>5.06</v>
      </c>
      <c r="J1533" s="0" t="n">
        <v>16.75</v>
      </c>
      <c r="K1533" s="0" t="n">
        <v>22</v>
      </c>
      <c r="T1533" s="0" t="n">
        <v>1</v>
      </c>
      <c r="U1533" s="0" t="n">
        <v>1</v>
      </c>
      <c r="V1533" s="0" t="inlineStr">
        <is>
          <t>계단식</t>
        </is>
      </c>
      <c r="W1533" s="0" t="inlineStr">
        <is>
          <t>22A</t>
        </is>
      </c>
      <c r="X1533" s="0" t="n">
        <v>8</v>
      </c>
      <c r="Y1533" s="0" t="n">
        <v>8</v>
      </c>
      <c r="Z1533" s="0" t="inlineStr">
        <is>
          <t>https://new.land.naver.com/complexes/127178?tab=detail&amp;rf=Y</t>
        </is>
      </c>
      <c r="AA1533" s="0" t="inlineStr">
        <is>
          <t>인천시 남동구 만수동 871-26</t>
        </is>
      </c>
      <c r="AB1533" s="0" t="inlineStr">
        <is>
          <t>인천시</t>
        </is>
      </c>
      <c r="AC1533" s="0" t="inlineStr">
        <is>
          <t>남동구</t>
        </is>
      </c>
      <c r="AD1533" s="0" t="inlineStr">
        <is>
          <t>만수동</t>
        </is>
      </c>
      <c r="AG1533" s="0" t="inlineStr">
        <is>
          <t>인천시 남동구 만수로15번길 7</t>
        </is>
      </c>
      <c r="AH1533" s="0" t="n">
        <v>0</v>
      </c>
      <c r="AI1533" s="0" t="n">
        <v>373</v>
      </c>
      <c r="AJ1533" s="0" t="n">
        <v>59</v>
      </c>
      <c r="AK1533" s="0" t="n">
        <v>16</v>
      </c>
      <c r="AL1533" s="0" t="n">
        <v>0.29</v>
      </c>
    </row>
    <row r="1534">
      <c r="A1534" s="0" t="inlineStr">
        <is>
          <t>[만수동]</t>
        </is>
      </c>
      <c r="B1534" s="0" t="n">
        <v>127178</v>
      </c>
      <c r="C1534" s="0" t="n">
        <v>2</v>
      </c>
      <c r="D1534" s="0" t="inlineStr">
        <is>
          <t>엑설런트(도시형)</t>
        </is>
      </c>
      <c r="E1534" s="0" t="inlineStr">
        <is>
          <t>2011.06.</t>
        </is>
      </c>
      <c r="F1534" s="0" t="n">
        <v>56</v>
      </c>
      <c r="G1534" s="0" t="n">
        <v>6.67</v>
      </c>
      <c r="H1534" s="0" t="n">
        <v>22.08</v>
      </c>
      <c r="I1534" s="0" t="n">
        <v>5.06</v>
      </c>
      <c r="J1534" s="0" t="n">
        <v>16.75</v>
      </c>
      <c r="K1534" s="0" t="n">
        <v>21</v>
      </c>
      <c r="T1534" s="0" t="n">
        <v>1</v>
      </c>
      <c r="U1534" s="0" t="n">
        <v>1</v>
      </c>
      <c r="V1534" s="0" t="inlineStr">
        <is>
          <t>계단식</t>
        </is>
      </c>
      <c r="W1534" s="0" t="inlineStr">
        <is>
          <t>22B</t>
        </is>
      </c>
      <c r="X1534" s="0" t="n">
        <v>8</v>
      </c>
      <c r="Y1534" s="0" t="n">
        <v>8</v>
      </c>
      <c r="Z1534" s="0" t="inlineStr">
        <is>
          <t>https://new.land.naver.com/complexes/127178?tab=detail&amp;rf=Y</t>
        </is>
      </c>
      <c r="AA1534" s="0" t="inlineStr">
        <is>
          <t>인천시 남동구 만수동 871-26</t>
        </is>
      </c>
      <c r="AB1534" s="0" t="inlineStr">
        <is>
          <t>인천시</t>
        </is>
      </c>
      <c r="AC1534" s="0" t="inlineStr">
        <is>
          <t>남동구</t>
        </is>
      </c>
      <c r="AD1534" s="0" t="inlineStr">
        <is>
          <t>만수동</t>
        </is>
      </c>
      <c r="AG1534" s="0" t="inlineStr">
        <is>
          <t>인천시 남동구 만수로15번길 7</t>
        </is>
      </c>
      <c r="AH1534" s="0" t="n">
        <v>0</v>
      </c>
      <c r="AI1534" s="0" t="n">
        <v>373</v>
      </c>
      <c r="AJ1534" s="0" t="n">
        <v>59</v>
      </c>
      <c r="AK1534" s="0" t="n">
        <v>16</v>
      </c>
      <c r="AL1534" s="0" t="n">
        <v>0.29</v>
      </c>
    </row>
    <row r="1535">
      <c r="A1535" s="0" t="inlineStr">
        <is>
          <t>[만수동]</t>
        </is>
      </c>
      <c r="B1535" s="0" t="n">
        <v>127178</v>
      </c>
      <c r="C1535" s="0" t="n">
        <v>3</v>
      </c>
      <c r="D1535" s="0" t="inlineStr">
        <is>
          <t>엑설런트(도시형)</t>
        </is>
      </c>
      <c r="E1535" s="0" t="inlineStr">
        <is>
          <t>2011.06.</t>
        </is>
      </c>
      <c r="F1535" s="0" t="n">
        <v>56</v>
      </c>
      <c r="G1535" s="0" t="n">
        <v>7.09</v>
      </c>
      <c r="H1535" s="0" t="n">
        <v>23.46</v>
      </c>
      <c r="I1535" s="0" t="n">
        <v>5.38</v>
      </c>
      <c r="J1535" s="0" t="n">
        <v>17.8</v>
      </c>
      <c r="K1535" s="0" t="n">
        <v>8</v>
      </c>
      <c r="T1535" s="0" t="n">
        <v>1</v>
      </c>
      <c r="U1535" s="0" t="n">
        <v>1</v>
      </c>
      <c r="V1535" s="0" t="inlineStr">
        <is>
          <t>계단식</t>
        </is>
      </c>
      <c r="W1535" s="0" t="inlineStr">
        <is>
          <t>23C</t>
        </is>
      </c>
      <c r="X1535" s="0" t="n">
        <v>8</v>
      </c>
      <c r="Y1535" s="0" t="n">
        <v>8</v>
      </c>
      <c r="Z1535" s="0" t="inlineStr">
        <is>
          <t>https://new.land.naver.com/complexes/127178?tab=detail&amp;rf=Y</t>
        </is>
      </c>
      <c r="AA1535" s="0" t="inlineStr">
        <is>
          <t>인천시 남동구 만수동 871-26</t>
        </is>
      </c>
      <c r="AB1535" s="0" t="inlineStr">
        <is>
          <t>인천시</t>
        </is>
      </c>
      <c r="AC1535" s="0" t="inlineStr">
        <is>
          <t>남동구</t>
        </is>
      </c>
      <c r="AD1535" s="0" t="inlineStr">
        <is>
          <t>만수동</t>
        </is>
      </c>
      <c r="AG1535" s="0" t="inlineStr">
        <is>
          <t>인천시 남동구 만수로15번길 7</t>
        </is>
      </c>
      <c r="AH1535" s="0" t="n">
        <v>0</v>
      </c>
      <c r="AI1535" s="0" t="n">
        <v>373</v>
      </c>
      <c r="AJ1535" s="0" t="n">
        <v>59</v>
      </c>
      <c r="AK1535" s="0" t="n">
        <v>16</v>
      </c>
      <c r="AL1535" s="0" t="n">
        <v>0.29</v>
      </c>
    </row>
    <row r="1536">
      <c r="A1536" s="0" t="inlineStr">
        <is>
          <t>[만수동]</t>
        </is>
      </c>
      <c r="B1536" s="0" t="n">
        <v>127178</v>
      </c>
      <c r="C1536" s="0" t="n">
        <v>4</v>
      </c>
      <c r="D1536" s="0" t="inlineStr">
        <is>
          <t>엑설런트(도시형)</t>
        </is>
      </c>
      <c r="E1536" s="0" t="inlineStr">
        <is>
          <t>2011.06.</t>
        </is>
      </c>
      <c r="F1536" s="0" t="n">
        <v>56</v>
      </c>
      <c r="G1536" s="0" t="n">
        <v>7.48</v>
      </c>
      <c r="H1536" s="0" t="n">
        <v>24.73</v>
      </c>
      <c r="I1536" s="0" t="n">
        <v>6.03</v>
      </c>
      <c r="J1536" s="0" t="n">
        <v>19.94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24D</t>
        </is>
      </c>
      <c r="X1536" s="0" t="n">
        <v>8</v>
      </c>
      <c r="Y1536" s="0" t="n">
        <v>8</v>
      </c>
      <c r="Z1536" s="0" t="inlineStr">
        <is>
          <t>https://new.land.naver.com/complexes/127178?tab=detail&amp;rf=Y</t>
        </is>
      </c>
      <c r="AA1536" s="0" t="inlineStr">
        <is>
          <t>인천시 남동구 만수동 871-26</t>
        </is>
      </c>
      <c r="AB1536" s="0" t="inlineStr">
        <is>
          <t>인천시</t>
        </is>
      </c>
      <c r="AC1536" s="0" t="inlineStr">
        <is>
          <t>남동구</t>
        </is>
      </c>
      <c r="AD1536" s="0" t="inlineStr">
        <is>
          <t>만수동</t>
        </is>
      </c>
      <c r="AG1536" s="0" t="inlineStr">
        <is>
          <t>인천시 남동구 만수로15번길 7</t>
        </is>
      </c>
      <c r="AH1536" s="0" t="n">
        <v>0</v>
      </c>
      <c r="AI1536" s="0" t="n">
        <v>373</v>
      </c>
      <c r="AJ1536" s="0" t="n">
        <v>59</v>
      </c>
      <c r="AK1536" s="0" t="n">
        <v>16</v>
      </c>
      <c r="AL1536" s="0" t="n">
        <v>0.29</v>
      </c>
    </row>
    <row r="1537">
      <c r="A1537" s="0" t="inlineStr">
        <is>
          <t>[만수동]</t>
        </is>
      </c>
      <c r="B1537" s="0" t="n">
        <v>127178</v>
      </c>
      <c r="C1537" s="0" t="n">
        <v>5</v>
      </c>
      <c r="D1537" s="0" t="inlineStr">
        <is>
          <t>엑설런트(도시형)</t>
        </is>
      </c>
      <c r="E1537" s="0" t="inlineStr">
        <is>
          <t>2011.06.</t>
        </is>
      </c>
      <c r="F1537" s="0" t="n">
        <v>56</v>
      </c>
      <c r="G1537" s="0" t="n">
        <v>7.64</v>
      </c>
      <c r="H1537" s="0" t="n">
        <v>25.27</v>
      </c>
      <c r="I1537" s="0" t="n">
        <v>6.19</v>
      </c>
      <c r="J1537" s="0" t="n">
        <v>20.49</v>
      </c>
      <c r="K1537" s="0" t="n">
        <v>4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8</v>
      </c>
      <c r="Y1537" s="0" t="n">
        <v>8</v>
      </c>
      <c r="Z1537" s="0" t="inlineStr">
        <is>
          <t>https://new.land.naver.com/complexes/127178?tab=detail&amp;rf=Y</t>
        </is>
      </c>
      <c r="AA1537" s="0" t="inlineStr">
        <is>
          <t>인천시 남동구 만수동 871-26</t>
        </is>
      </c>
      <c r="AB1537" s="0" t="inlineStr">
        <is>
          <t>인천시</t>
        </is>
      </c>
      <c r="AC1537" s="0" t="inlineStr">
        <is>
          <t>남동구</t>
        </is>
      </c>
      <c r="AD1537" s="0" t="inlineStr">
        <is>
          <t>만수동</t>
        </is>
      </c>
      <c r="AG1537" s="0" t="inlineStr">
        <is>
          <t>인천시 남동구 만수로15번길 7</t>
        </is>
      </c>
      <c r="AH1537" s="0" t="n">
        <v>0</v>
      </c>
      <c r="AI1537" s="0" t="n">
        <v>373</v>
      </c>
      <c r="AJ1537" s="0" t="n">
        <v>59</v>
      </c>
      <c r="AK1537" s="0" t="n">
        <v>16</v>
      </c>
      <c r="AL1537" s="0" t="n">
        <v>0.29</v>
      </c>
    </row>
    <row r="1538">
      <c r="A1538" s="0" t="inlineStr">
        <is>
          <t>[만수동]</t>
        </is>
      </c>
      <c r="B1538" s="0" t="n">
        <v>9480</v>
      </c>
      <c r="C1538" s="0" t="n">
        <v>1</v>
      </c>
      <c r="D1538" s="0" t="inlineStr">
        <is>
          <t>삼부</t>
        </is>
      </c>
      <c r="E1538" s="0" t="inlineStr">
        <is>
          <t>1984.06.</t>
        </is>
      </c>
      <c r="F1538" s="0" t="n">
        <v>185</v>
      </c>
      <c r="G1538" s="0" t="n">
        <v>19.79</v>
      </c>
      <c r="H1538" s="0" t="n">
        <v>65.44</v>
      </c>
      <c r="I1538" s="0" t="n">
        <v>16.49</v>
      </c>
      <c r="J1538" s="0" t="n">
        <v>54.54</v>
      </c>
      <c r="K1538" s="0" t="n">
        <v>50</v>
      </c>
      <c r="T1538" s="0" t="n">
        <v>2</v>
      </c>
      <c r="U1538" s="0" t="n">
        <v>1</v>
      </c>
      <c r="V1538" s="0" t="inlineStr">
        <is>
          <t>복합식</t>
        </is>
      </c>
      <c r="W1538" s="0" t="n">
        <v>65</v>
      </c>
      <c r="X1538" s="0" t="n">
        <v>5</v>
      </c>
      <c r="Y1538" s="0" t="n">
        <v>5</v>
      </c>
      <c r="Z1538" s="0" t="inlineStr">
        <is>
          <t>https://new.land.naver.com/complexes/9480?tab=detail&amp;rf=Y</t>
        </is>
      </c>
      <c r="AA1538" s="0" t="inlineStr">
        <is>
          <t>인천시 남동구 만수동 5-305</t>
        </is>
      </c>
      <c r="AB1538" s="0" t="inlineStr">
        <is>
          <t>인천시</t>
        </is>
      </c>
      <c r="AC1538" s="0" t="inlineStr">
        <is>
          <t>남동구</t>
        </is>
      </c>
      <c r="AD1538" s="0" t="inlineStr">
        <is>
          <t>만수동</t>
        </is>
      </c>
      <c r="AG1538" s="0" t="inlineStr">
        <is>
          <t>인천시 남동구 만수로 98</t>
        </is>
      </c>
      <c r="AH1538" s="0" t="n">
        <v>0</v>
      </c>
      <c r="AI1538" s="0" t="n">
        <v>129</v>
      </c>
      <c r="AJ1538" s="0" t="n">
        <v>25</v>
      </c>
      <c r="AK1538" s="0" t="n">
        <v>0</v>
      </c>
      <c r="AL1538" s="0" t="n">
        <v>0</v>
      </c>
    </row>
    <row r="1539">
      <c r="A1539" s="0" t="inlineStr">
        <is>
          <t>[만수동]</t>
        </is>
      </c>
      <c r="B1539" s="0" t="n">
        <v>9480</v>
      </c>
      <c r="C1539" s="0" t="n">
        <v>2</v>
      </c>
      <c r="D1539" s="0" t="inlineStr">
        <is>
          <t>삼부</t>
        </is>
      </c>
      <c r="E1539" s="0" t="inlineStr">
        <is>
          <t>1984.06.</t>
        </is>
      </c>
      <c r="F1539" s="0" t="n">
        <v>185</v>
      </c>
      <c r="G1539" s="0" t="n">
        <v>21.75</v>
      </c>
      <c r="H1539" s="0" t="n">
        <v>71.92</v>
      </c>
      <c r="I1539" s="0" t="n">
        <v>18.13</v>
      </c>
      <c r="J1539" s="0" t="n">
        <v>59.94</v>
      </c>
      <c r="K1539" s="0" t="n">
        <v>5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71</v>
      </c>
      <c r="X1539" s="0" t="n">
        <v>5</v>
      </c>
      <c r="Y1539" s="0" t="n">
        <v>5</v>
      </c>
      <c r="Z1539" s="0" t="inlineStr">
        <is>
          <t>https://new.land.naver.com/complexes/9480?tab=detail&amp;rf=Y</t>
        </is>
      </c>
      <c r="AA1539" s="0" t="inlineStr">
        <is>
          <t>인천시 남동구 만수동 5-305</t>
        </is>
      </c>
      <c r="AB1539" s="0" t="inlineStr">
        <is>
          <t>인천시</t>
        </is>
      </c>
      <c r="AC1539" s="0" t="inlineStr">
        <is>
          <t>남동구</t>
        </is>
      </c>
      <c r="AD1539" s="0" t="inlineStr">
        <is>
          <t>만수동</t>
        </is>
      </c>
      <c r="AG1539" s="0" t="inlineStr">
        <is>
          <t>인천시 남동구 만수로 98</t>
        </is>
      </c>
      <c r="AH1539" s="0" t="n">
        <v>0</v>
      </c>
      <c r="AI1539" s="0" t="n">
        <v>129</v>
      </c>
      <c r="AJ1539" s="0" t="n">
        <v>25</v>
      </c>
      <c r="AK1539" s="0" t="n">
        <v>0</v>
      </c>
      <c r="AL1539" s="0" t="n">
        <v>0</v>
      </c>
    </row>
    <row r="1540">
      <c r="A1540" s="0" t="inlineStr">
        <is>
          <t>[만수동]</t>
        </is>
      </c>
      <c r="B1540" s="0" t="n">
        <v>9480</v>
      </c>
      <c r="C1540" s="0" t="n">
        <v>3</v>
      </c>
      <c r="D1540" s="0" t="inlineStr">
        <is>
          <t>삼부</t>
        </is>
      </c>
      <c r="E1540" s="0" t="inlineStr">
        <is>
          <t>1984.06.</t>
        </is>
      </c>
      <c r="F1540" s="0" t="n">
        <v>185</v>
      </c>
      <c r="G1540" s="0" t="n">
        <v>22.73</v>
      </c>
      <c r="H1540" s="0" t="n">
        <v>75.16</v>
      </c>
      <c r="I1540" s="0" t="n">
        <v>18.94</v>
      </c>
      <c r="J1540" s="0" t="n">
        <v>62.64</v>
      </c>
      <c r="K1540" s="0" t="n">
        <v>60</v>
      </c>
      <c r="T1540" s="0" t="n">
        <v>3</v>
      </c>
      <c r="U1540" s="0" t="n">
        <v>1</v>
      </c>
      <c r="V1540" s="0" t="inlineStr">
        <is>
          <t>계단식</t>
        </is>
      </c>
      <c r="W1540" s="0" t="n">
        <v>75</v>
      </c>
      <c r="X1540" s="0" t="n">
        <v>5</v>
      </c>
      <c r="Y1540" s="0" t="n">
        <v>5</v>
      </c>
      <c r="Z1540" s="0" t="inlineStr">
        <is>
          <t>https://new.land.naver.com/complexes/9480?tab=detail&amp;rf=Y</t>
        </is>
      </c>
      <c r="AA1540" s="0" t="inlineStr">
        <is>
          <t>인천시 남동구 만수동 5-305</t>
        </is>
      </c>
      <c r="AB1540" s="0" t="inlineStr">
        <is>
          <t>인천시</t>
        </is>
      </c>
      <c r="AC1540" s="0" t="inlineStr">
        <is>
          <t>남동구</t>
        </is>
      </c>
      <c r="AD1540" s="0" t="inlineStr">
        <is>
          <t>만수동</t>
        </is>
      </c>
      <c r="AG1540" s="0" t="inlineStr">
        <is>
          <t>인천시 남동구 만수로 98</t>
        </is>
      </c>
      <c r="AH1540" s="0" t="n">
        <v>0</v>
      </c>
      <c r="AI1540" s="0" t="n">
        <v>129</v>
      </c>
      <c r="AJ1540" s="0" t="n">
        <v>25</v>
      </c>
      <c r="AK1540" s="0" t="n">
        <v>0</v>
      </c>
      <c r="AL1540" s="0" t="n">
        <v>0</v>
      </c>
    </row>
    <row r="1541">
      <c r="A1541" s="0" t="inlineStr">
        <is>
          <t>[만수동]</t>
        </is>
      </c>
      <c r="B1541" s="0" t="n">
        <v>9480</v>
      </c>
      <c r="C1541" s="0" t="n">
        <v>4</v>
      </c>
      <c r="D1541" s="0" t="inlineStr">
        <is>
          <t>삼부</t>
        </is>
      </c>
      <c r="E1541" s="0" t="inlineStr">
        <is>
          <t>1984.06.</t>
        </is>
      </c>
      <c r="F1541" s="0" t="n">
        <v>185</v>
      </c>
      <c r="G1541" s="0" t="n">
        <v>25.51</v>
      </c>
      <c r="H1541" s="0" t="n">
        <v>84.34</v>
      </c>
      <c r="I1541" s="0" t="n">
        <v>21.26</v>
      </c>
      <c r="J1541" s="0" t="n">
        <v>70.29000000000001</v>
      </c>
      <c r="K1541" s="0" t="n">
        <v>70</v>
      </c>
      <c r="T1541" s="0" t="n">
        <v>3</v>
      </c>
      <c r="U1541" s="0" t="n">
        <v>1</v>
      </c>
      <c r="V1541" s="0" t="inlineStr">
        <is>
          <t>계단식</t>
        </is>
      </c>
      <c r="W1541" s="0" t="n">
        <v>84</v>
      </c>
      <c r="X1541" s="0" t="n">
        <v>5</v>
      </c>
      <c r="Y1541" s="0" t="n">
        <v>5</v>
      </c>
      <c r="Z1541" s="0" t="inlineStr">
        <is>
          <t>https://new.land.naver.com/complexes/9480?tab=detail&amp;rf=Y</t>
        </is>
      </c>
      <c r="AA1541" s="0" t="inlineStr">
        <is>
          <t>인천시 남동구 만수동 5-305</t>
        </is>
      </c>
      <c r="AB1541" s="0" t="inlineStr">
        <is>
          <t>인천시</t>
        </is>
      </c>
      <c r="AC1541" s="0" t="inlineStr">
        <is>
          <t>남동구</t>
        </is>
      </c>
      <c r="AD1541" s="0" t="inlineStr">
        <is>
          <t>만수동</t>
        </is>
      </c>
      <c r="AG1541" s="0" t="inlineStr">
        <is>
          <t>인천시 남동구 만수로 98</t>
        </is>
      </c>
      <c r="AH1541" s="0" t="n">
        <v>0</v>
      </c>
      <c r="AI1541" s="0" t="n">
        <v>129</v>
      </c>
      <c r="AJ1541" s="0" t="n">
        <v>25</v>
      </c>
      <c r="AK1541" s="0" t="n">
        <v>0</v>
      </c>
      <c r="AL1541" s="0" t="n">
        <v>0</v>
      </c>
    </row>
    <row r="1542">
      <c r="A1542" s="0" t="inlineStr">
        <is>
          <t>[만수동]</t>
        </is>
      </c>
      <c r="B1542" s="0" t="n">
        <v>2301</v>
      </c>
      <c r="C1542" s="0" t="n">
        <v>1</v>
      </c>
      <c r="D1542" s="0" t="inlineStr">
        <is>
          <t>금호타운</t>
        </is>
      </c>
      <c r="E1542" s="0" t="inlineStr">
        <is>
          <t>1992.10.</t>
        </is>
      </c>
      <c r="F1542" s="0" t="n">
        <v>414</v>
      </c>
      <c r="G1542" s="0" t="n">
        <v>37.01</v>
      </c>
      <c r="H1542" s="0" t="n">
        <v>122.38</v>
      </c>
      <c r="I1542" s="0" t="n">
        <v>30.81</v>
      </c>
      <c r="J1542" s="0" t="n">
        <v>101.88</v>
      </c>
      <c r="K1542" s="0" t="n">
        <v>148</v>
      </c>
      <c r="T1542" s="0" t="n">
        <v>4</v>
      </c>
      <c r="U1542" s="0" t="n">
        <v>2</v>
      </c>
      <c r="V1542" s="0" t="inlineStr">
        <is>
          <t>계단식</t>
        </is>
      </c>
      <c r="W1542" s="0" t="n">
        <v>122</v>
      </c>
      <c r="X1542" s="0" t="n">
        <v>19</v>
      </c>
      <c r="Y1542" s="0" t="n">
        <v>18</v>
      </c>
      <c r="Z1542" s="0" t="inlineStr">
        <is>
          <t>https://new.land.naver.com/complexes/2301?tab=detail&amp;rf=Y</t>
        </is>
      </c>
      <c r="AA1542" s="0" t="inlineStr">
        <is>
          <t>인천시 남동구 만수동 1048</t>
        </is>
      </c>
      <c r="AB1542" s="0" t="inlineStr">
        <is>
          <t>인천시</t>
        </is>
      </c>
      <c r="AC1542" s="0" t="inlineStr">
        <is>
          <t>남동구</t>
        </is>
      </c>
      <c r="AD1542" s="0" t="inlineStr">
        <is>
          <t>만수동</t>
        </is>
      </c>
      <c r="AG1542" s="0" t="inlineStr">
        <is>
          <t>인천시 남동구 담방로 22-16</t>
        </is>
      </c>
      <c r="AH1542" s="0" t="n">
        <v>0</v>
      </c>
      <c r="AI1542" s="0" t="n">
        <v>236</v>
      </c>
      <c r="AJ1542" s="0" t="n">
        <v>0</v>
      </c>
      <c r="AK1542" s="0" t="n">
        <v>485</v>
      </c>
      <c r="AL1542" s="0" t="n">
        <v>1.17</v>
      </c>
    </row>
    <row r="1543">
      <c r="A1543" s="0" t="inlineStr">
        <is>
          <t>[만수동]</t>
        </is>
      </c>
      <c r="B1543" s="0" t="n">
        <v>2301</v>
      </c>
      <c r="C1543" s="0" t="n">
        <v>2</v>
      </c>
      <c r="D1543" s="0" t="inlineStr">
        <is>
          <t>금호타운</t>
        </is>
      </c>
      <c r="E1543" s="0" t="inlineStr">
        <is>
          <t>1992.10.</t>
        </is>
      </c>
      <c r="F1543" s="0" t="n">
        <v>414</v>
      </c>
      <c r="G1543" s="0" t="n">
        <v>44.22</v>
      </c>
      <c r="H1543" s="0" t="n">
        <v>146.21</v>
      </c>
      <c r="I1543" s="0" t="n">
        <v>37.52</v>
      </c>
      <c r="J1543" s="0" t="n">
        <v>124.05</v>
      </c>
      <c r="K1543" s="0" t="n">
        <v>190</v>
      </c>
      <c r="T1543" s="0" t="n">
        <v>4</v>
      </c>
      <c r="U1543" s="0" t="n">
        <v>2</v>
      </c>
      <c r="V1543" s="0" t="inlineStr">
        <is>
          <t>계단식</t>
        </is>
      </c>
      <c r="W1543" s="0" t="n">
        <v>146</v>
      </c>
      <c r="X1543" s="0" t="n">
        <v>19</v>
      </c>
      <c r="Y1543" s="0" t="n">
        <v>18</v>
      </c>
      <c r="Z1543" s="0" t="inlineStr">
        <is>
          <t>https://new.land.naver.com/complexes/2301?tab=detail&amp;rf=Y</t>
        </is>
      </c>
      <c r="AA1543" s="0" t="inlineStr">
        <is>
          <t>인천시 남동구 만수동 1048</t>
        </is>
      </c>
      <c r="AB1543" s="0" t="inlineStr">
        <is>
          <t>인천시</t>
        </is>
      </c>
      <c r="AC1543" s="0" t="inlineStr">
        <is>
          <t>남동구</t>
        </is>
      </c>
      <c r="AD1543" s="0" t="inlineStr">
        <is>
          <t>만수동</t>
        </is>
      </c>
      <c r="AG1543" s="0" t="inlineStr">
        <is>
          <t>인천시 남동구 담방로 22-16</t>
        </is>
      </c>
      <c r="AH1543" s="0" t="n">
        <v>0</v>
      </c>
      <c r="AI1543" s="0" t="n">
        <v>236</v>
      </c>
      <c r="AJ1543" s="0" t="n">
        <v>0</v>
      </c>
      <c r="AK1543" s="0" t="n">
        <v>485</v>
      </c>
      <c r="AL1543" s="0" t="n">
        <v>1.17</v>
      </c>
    </row>
    <row r="1544">
      <c r="A1544" s="0" t="inlineStr">
        <is>
          <t>[만수동]</t>
        </is>
      </c>
      <c r="B1544" s="0" t="n">
        <v>2301</v>
      </c>
      <c r="C1544" s="0" t="n">
        <v>3</v>
      </c>
      <c r="D1544" s="0" t="inlineStr">
        <is>
          <t>금호타운</t>
        </is>
      </c>
      <c r="E1544" s="0" t="inlineStr">
        <is>
          <t>1992.10.</t>
        </is>
      </c>
      <c r="F1544" s="0" t="n">
        <v>414</v>
      </c>
      <c r="G1544" s="0" t="n">
        <v>50.08</v>
      </c>
      <c r="H1544" s="0" t="n">
        <v>165.56</v>
      </c>
      <c r="I1544" s="0" t="n">
        <v>42.88</v>
      </c>
      <c r="J1544" s="0" t="n">
        <v>141.78</v>
      </c>
      <c r="K1544" s="0" t="n">
        <v>76</v>
      </c>
      <c r="T1544" s="0" t="n">
        <v>4</v>
      </c>
      <c r="U1544" s="0" t="n">
        <v>2</v>
      </c>
      <c r="V1544" s="0" t="inlineStr">
        <is>
          <t>계단식</t>
        </is>
      </c>
      <c r="W1544" s="0" t="n">
        <v>165</v>
      </c>
      <c r="X1544" s="0" t="n">
        <v>19</v>
      </c>
      <c r="Y1544" s="0" t="n">
        <v>18</v>
      </c>
      <c r="Z1544" s="0" t="inlineStr">
        <is>
          <t>https://new.land.naver.com/complexes/2301?tab=detail&amp;rf=Y</t>
        </is>
      </c>
      <c r="AA1544" s="0" t="inlineStr">
        <is>
          <t>인천시 남동구 만수동 1048</t>
        </is>
      </c>
      <c r="AB1544" s="0" t="inlineStr">
        <is>
          <t>인천시</t>
        </is>
      </c>
      <c r="AC1544" s="0" t="inlineStr">
        <is>
          <t>남동구</t>
        </is>
      </c>
      <c r="AD1544" s="0" t="inlineStr">
        <is>
          <t>만수동</t>
        </is>
      </c>
      <c r="AG1544" s="0" t="inlineStr">
        <is>
          <t>인천시 남동구 담방로 22-16</t>
        </is>
      </c>
      <c r="AH1544" s="0" t="n">
        <v>0</v>
      </c>
      <c r="AI1544" s="0" t="n">
        <v>236</v>
      </c>
      <c r="AJ1544" s="0" t="n">
        <v>0</v>
      </c>
      <c r="AK1544" s="0" t="n">
        <v>485</v>
      </c>
      <c r="AL1544" s="0" t="n">
        <v>1.17</v>
      </c>
    </row>
    <row r="1545">
      <c r="A1545" s="0" t="inlineStr">
        <is>
          <t>[만수동]</t>
        </is>
      </c>
      <c r="B1545" s="0" t="n">
        <v>137665</v>
      </c>
      <c r="C1545" s="0" t="n">
        <v>1</v>
      </c>
      <c r="D1545" s="0" t="inlineStr">
        <is>
          <t>씨엘펠리스</t>
        </is>
      </c>
      <c r="E1545" s="0" t="inlineStr">
        <is>
          <t>2017.09.</t>
        </is>
      </c>
      <c r="F1545" s="0" t="n">
        <v>6</v>
      </c>
      <c r="G1545" s="0" t="n">
        <v>21.01</v>
      </c>
      <c r="H1545" s="0" t="n">
        <v>69.48</v>
      </c>
      <c r="I1545" s="0" t="n">
        <v>17.96</v>
      </c>
      <c r="J1545" s="0" t="n">
        <v>59.38</v>
      </c>
      <c r="K1545" s="0" t="n">
        <v>6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69</v>
      </c>
      <c r="X1545" s="0" t="n">
        <v>4</v>
      </c>
      <c r="Y1545" s="0" t="n">
        <v>4</v>
      </c>
      <c r="Z1545" s="0" t="inlineStr">
        <is>
          <t>https://new.land.naver.com/complexes/137665?tab=detail&amp;rf=Y</t>
        </is>
      </c>
      <c r="AA1545" s="0" t="inlineStr">
        <is>
          <t>인천시 남동구 만수동 109-106</t>
        </is>
      </c>
      <c r="AB1545" s="0" t="inlineStr">
        <is>
          <t>인천시</t>
        </is>
      </c>
      <c r="AC1545" s="0" t="inlineStr">
        <is>
          <t>남동구</t>
        </is>
      </c>
      <c r="AD1545" s="0" t="inlineStr">
        <is>
          <t>만수동</t>
        </is>
      </c>
      <c r="AG1545" s="0" t="inlineStr">
        <is>
          <t>인천시 남동구 만수서로29번길 20-9</t>
        </is>
      </c>
      <c r="AH1545" s="0" t="n">
        <v>0</v>
      </c>
      <c r="AI1545" s="0" t="n">
        <v>548</v>
      </c>
      <c r="AJ1545" s="0" t="n">
        <v>59</v>
      </c>
      <c r="AK1545" s="0" t="n">
        <v>6</v>
      </c>
      <c r="AL1545" s="0" t="n">
        <v>1</v>
      </c>
    </row>
    <row r="1546">
      <c r="A1546" s="0" t="inlineStr">
        <is>
          <t>[만수동]</t>
        </is>
      </c>
      <c r="B1546" s="0" t="n">
        <v>9598</v>
      </c>
      <c r="C1546" s="0" t="n">
        <v>1</v>
      </c>
      <c r="D1546" s="0" t="inlineStr">
        <is>
          <t>신한(2-21)</t>
        </is>
      </c>
      <c r="E1546" s="0" t="inlineStr">
        <is>
          <t>1988.11.</t>
        </is>
      </c>
      <c r="F1546" s="0" t="n">
        <v>240</v>
      </c>
      <c r="G1546" s="0" t="n">
        <v>13.67</v>
      </c>
      <c r="H1546" s="0" t="n">
        <v>45.22</v>
      </c>
      <c r="I1546" s="0" t="n">
        <v>10.88</v>
      </c>
      <c r="J1546" s="0" t="n">
        <v>35.99</v>
      </c>
      <c r="K1546" s="0" t="n">
        <v>66</v>
      </c>
      <c r="T1546" s="0" t="n">
        <v>2</v>
      </c>
      <c r="U1546" s="0" t="n">
        <v>1</v>
      </c>
      <c r="V1546" s="0" t="inlineStr">
        <is>
          <t>계단식</t>
        </is>
      </c>
      <c r="W1546" s="0" t="n">
        <v>45</v>
      </c>
      <c r="X1546" s="0" t="n">
        <v>6</v>
      </c>
      <c r="Y1546" s="0" t="n">
        <v>6</v>
      </c>
      <c r="Z1546" s="0" t="inlineStr">
        <is>
          <t>https://new.land.naver.com/complexes/9598?tab=detail&amp;rf=Y</t>
        </is>
      </c>
      <c r="AA1546" s="0" t="inlineStr">
        <is>
          <t>인천시 남동구 만수동 2-21</t>
        </is>
      </c>
      <c r="AB1546" s="0" t="inlineStr">
        <is>
          <t>인천시</t>
        </is>
      </c>
      <c r="AC1546" s="0" t="inlineStr">
        <is>
          <t>남동구</t>
        </is>
      </c>
      <c r="AD1546" s="0" t="inlineStr">
        <is>
          <t>만수동</t>
        </is>
      </c>
      <c r="AG1546" s="0" t="inlineStr">
        <is>
          <t>인천시 남동구 수현로136번길 30</t>
        </is>
      </c>
      <c r="AH1546" s="0" t="n">
        <v>0</v>
      </c>
      <c r="AI1546" s="0" t="n">
        <v>151</v>
      </c>
      <c r="AJ1546" s="0" t="n">
        <v>25</v>
      </c>
      <c r="AK1546" s="0" t="n">
        <v>0</v>
      </c>
      <c r="AL1546" s="0" t="n">
        <v>0</v>
      </c>
    </row>
    <row r="1547">
      <c r="A1547" s="0" t="inlineStr">
        <is>
          <t>[만수동]</t>
        </is>
      </c>
      <c r="B1547" s="0" t="n">
        <v>9598</v>
      </c>
      <c r="C1547" s="0" t="n">
        <v>2</v>
      </c>
      <c r="D1547" s="0" t="inlineStr">
        <is>
          <t>신한(2-21)</t>
        </is>
      </c>
      <c r="E1547" s="0" t="inlineStr">
        <is>
          <t>1988.11.</t>
        </is>
      </c>
      <c r="F1547" s="0" t="n">
        <v>240</v>
      </c>
      <c r="G1547" s="0" t="n">
        <v>14.55</v>
      </c>
      <c r="H1547" s="0" t="n">
        <v>48.11</v>
      </c>
      <c r="I1547" s="0" t="n">
        <v>11.67</v>
      </c>
      <c r="J1547" s="0" t="n">
        <v>38.6</v>
      </c>
      <c r="K1547" s="0" t="n">
        <v>48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48A</t>
        </is>
      </c>
      <c r="X1547" s="0" t="n">
        <v>6</v>
      </c>
      <c r="Y1547" s="0" t="n">
        <v>6</v>
      </c>
      <c r="Z1547" s="0" t="inlineStr">
        <is>
          <t>https://new.land.naver.com/complexes/9598?tab=detail&amp;rf=Y</t>
        </is>
      </c>
      <c r="AA1547" s="0" t="inlineStr">
        <is>
          <t>인천시 남동구 만수동 2-21</t>
        </is>
      </c>
      <c r="AB1547" s="0" t="inlineStr">
        <is>
          <t>인천시</t>
        </is>
      </c>
      <c r="AC1547" s="0" t="inlineStr">
        <is>
          <t>남동구</t>
        </is>
      </c>
      <c r="AD1547" s="0" t="inlineStr">
        <is>
          <t>만수동</t>
        </is>
      </c>
      <c r="AG1547" s="0" t="inlineStr">
        <is>
          <t>인천시 남동구 수현로136번길 30</t>
        </is>
      </c>
      <c r="AH1547" s="0" t="n">
        <v>0</v>
      </c>
      <c r="AI1547" s="0" t="n">
        <v>151</v>
      </c>
      <c r="AJ1547" s="0" t="n">
        <v>25</v>
      </c>
      <c r="AK1547" s="0" t="n">
        <v>0</v>
      </c>
      <c r="AL1547" s="0" t="n">
        <v>0</v>
      </c>
    </row>
    <row r="1548">
      <c r="A1548" s="0" t="inlineStr">
        <is>
          <t>[만수동]</t>
        </is>
      </c>
      <c r="B1548" s="0" t="n">
        <v>9598</v>
      </c>
      <c r="C1548" s="0" t="n">
        <v>3</v>
      </c>
      <c r="D1548" s="0" t="inlineStr">
        <is>
          <t>신한(2-21)</t>
        </is>
      </c>
      <c r="E1548" s="0" t="inlineStr">
        <is>
          <t>1988.11.</t>
        </is>
      </c>
      <c r="F1548" s="0" t="n">
        <v>240</v>
      </c>
      <c r="G1548" s="0" t="n">
        <v>15.33</v>
      </c>
      <c r="H1548" s="0" t="n">
        <v>50.7</v>
      </c>
      <c r="I1548" s="0" t="n">
        <v>12.38</v>
      </c>
      <c r="J1548" s="0" t="n">
        <v>40.95</v>
      </c>
      <c r="K1548" s="0" t="n">
        <v>48</v>
      </c>
      <c r="T1548" s="0" t="n">
        <v>2</v>
      </c>
      <c r="U1548" s="0" t="n">
        <v>1</v>
      </c>
      <c r="V1548" s="0" t="inlineStr">
        <is>
          <t>계단식</t>
        </is>
      </c>
      <c r="W1548" s="0" t="inlineStr">
        <is>
          <t>50C</t>
        </is>
      </c>
      <c r="X1548" s="0" t="n">
        <v>6</v>
      </c>
      <c r="Y1548" s="0" t="n">
        <v>6</v>
      </c>
      <c r="Z1548" s="0" t="inlineStr">
        <is>
          <t>https://new.land.naver.com/complexes/9598?tab=detail&amp;rf=Y</t>
        </is>
      </c>
      <c r="AA1548" s="0" t="inlineStr">
        <is>
          <t>인천시 남동구 만수동 2-21</t>
        </is>
      </c>
      <c r="AB1548" s="0" t="inlineStr">
        <is>
          <t>인천시</t>
        </is>
      </c>
      <c r="AC1548" s="0" t="inlineStr">
        <is>
          <t>남동구</t>
        </is>
      </c>
      <c r="AD1548" s="0" t="inlineStr">
        <is>
          <t>만수동</t>
        </is>
      </c>
      <c r="AG1548" s="0" t="inlineStr">
        <is>
          <t>인천시 남동구 수현로136번길 30</t>
        </is>
      </c>
      <c r="AH1548" s="0" t="n">
        <v>0</v>
      </c>
      <c r="AI1548" s="0" t="n">
        <v>151</v>
      </c>
      <c r="AJ1548" s="0" t="n">
        <v>25</v>
      </c>
      <c r="AK1548" s="0" t="n">
        <v>0</v>
      </c>
      <c r="AL1548" s="0" t="n">
        <v>0</v>
      </c>
    </row>
    <row r="1549">
      <c r="A1549" s="0" t="inlineStr">
        <is>
          <t>[만수동]</t>
        </is>
      </c>
      <c r="B1549" s="0" t="n">
        <v>9598</v>
      </c>
      <c r="C1549" s="0" t="n">
        <v>4</v>
      </c>
      <c r="D1549" s="0" t="inlineStr">
        <is>
          <t>신한(2-21)</t>
        </is>
      </c>
      <c r="E1549" s="0" t="inlineStr">
        <is>
          <t>1988.11.</t>
        </is>
      </c>
      <c r="F1549" s="0" t="n">
        <v>240</v>
      </c>
      <c r="G1549" s="0" t="n">
        <v>15.42</v>
      </c>
      <c r="H1549" s="0" t="n">
        <v>51</v>
      </c>
      <c r="I1549" s="0" t="n">
        <v>12.46</v>
      </c>
      <c r="J1549" s="0" t="n">
        <v>41.21</v>
      </c>
      <c r="K1549" s="0" t="n">
        <v>18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51B</t>
        </is>
      </c>
      <c r="X1549" s="0" t="n">
        <v>6</v>
      </c>
      <c r="Y1549" s="0" t="n">
        <v>6</v>
      </c>
      <c r="Z1549" s="0" t="inlineStr">
        <is>
          <t>https://new.land.naver.com/complexes/9598?tab=detail&amp;rf=Y</t>
        </is>
      </c>
      <c r="AA1549" s="0" t="inlineStr">
        <is>
          <t>인천시 남동구 만수동 2-21</t>
        </is>
      </c>
      <c r="AB1549" s="0" t="inlineStr">
        <is>
          <t>인천시</t>
        </is>
      </c>
      <c r="AC1549" s="0" t="inlineStr">
        <is>
          <t>남동구</t>
        </is>
      </c>
      <c r="AD1549" s="0" t="inlineStr">
        <is>
          <t>만수동</t>
        </is>
      </c>
      <c r="AG1549" s="0" t="inlineStr">
        <is>
          <t>인천시 남동구 수현로136번길 30</t>
        </is>
      </c>
      <c r="AH1549" s="0" t="n">
        <v>0</v>
      </c>
      <c r="AI1549" s="0" t="n">
        <v>151</v>
      </c>
      <c r="AJ1549" s="0" t="n">
        <v>25</v>
      </c>
      <c r="AK1549" s="0" t="n">
        <v>0</v>
      </c>
      <c r="AL1549" s="0" t="n">
        <v>0</v>
      </c>
    </row>
    <row r="1550">
      <c r="A1550" s="0" t="inlineStr">
        <is>
          <t>[만수동]</t>
        </is>
      </c>
      <c r="B1550" s="0" t="n">
        <v>9598</v>
      </c>
      <c r="C1550" s="0" t="n">
        <v>5</v>
      </c>
      <c r="D1550" s="0" t="inlineStr">
        <is>
          <t>신한(2-21)</t>
        </is>
      </c>
      <c r="E1550" s="0" t="inlineStr">
        <is>
          <t>1988.11.</t>
        </is>
      </c>
      <c r="F1550" s="0" t="n">
        <v>240</v>
      </c>
      <c r="G1550" s="0" t="n">
        <v>16.32</v>
      </c>
      <c r="H1550" s="0" t="n">
        <v>53.96</v>
      </c>
      <c r="I1550" s="0" t="n">
        <v>13.27</v>
      </c>
      <c r="J1550" s="0" t="n">
        <v>43.89</v>
      </c>
      <c r="K1550" s="0" t="n">
        <v>48</v>
      </c>
      <c r="T1550" s="0" t="n">
        <v>2</v>
      </c>
      <c r="U1550" s="0" t="n">
        <v>1</v>
      </c>
      <c r="V1550" s="0" t="inlineStr">
        <is>
          <t>계단식</t>
        </is>
      </c>
      <c r="W1550" s="0" t="n">
        <v>53</v>
      </c>
      <c r="X1550" s="0" t="n">
        <v>6</v>
      </c>
      <c r="Y1550" s="0" t="n">
        <v>6</v>
      </c>
      <c r="Z1550" s="0" t="inlineStr">
        <is>
          <t>https://new.land.naver.com/complexes/9598?tab=detail&amp;rf=Y</t>
        </is>
      </c>
      <c r="AA1550" s="0" t="inlineStr">
        <is>
          <t>인천시 남동구 만수동 2-21</t>
        </is>
      </c>
      <c r="AB1550" s="0" t="inlineStr">
        <is>
          <t>인천시</t>
        </is>
      </c>
      <c r="AC1550" s="0" t="inlineStr">
        <is>
          <t>남동구</t>
        </is>
      </c>
      <c r="AD1550" s="0" t="inlineStr">
        <is>
          <t>만수동</t>
        </is>
      </c>
      <c r="AG1550" s="0" t="inlineStr">
        <is>
          <t>인천시 남동구 수현로136번길 30</t>
        </is>
      </c>
      <c r="AH1550" s="0" t="n">
        <v>0</v>
      </c>
      <c r="AI1550" s="0" t="n">
        <v>151</v>
      </c>
      <c r="AJ1550" s="0" t="n">
        <v>25</v>
      </c>
      <c r="AK1550" s="0" t="n">
        <v>0</v>
      </c>
      <c r="AL1550" s="0" t="n">
        <v>0</v>
      </c>
    </row>
    <row r="1551">
      <c r="A1551" s="0" t="inlineStr">
        <is>
          <t>[만수동]</t>
        </is>
      </c>
      <c r="B1551" s="0" t="n">
        <v>9598</v>
      </c>
      <c r="C1551" s="0" t="n">
        <v>6</v>
      </c>
      <c r="D1551" s="0" t="inlineStr">
        <is>
          <t>신한(2-21)</t>
        </is>
      </c>
      <c r="E1551" s="0" t="inlineStr">
        <is>
          <t>1988.11.</t>
        </is>
      </c>
      <c r="F1551" s="0" t="n">
        <v>240</v>
      </c>
      <c r="G1551" s="0" t="n">
        <v>28.37</v>
      </c>
      <c r="H1551" s="0" t="n">
        <v>93.81</v>
      </c>
      <c r="I1551" s="0" t="n">
        <v>24.17</v>
      </c>
      <c r="J1551" s="0" t="n">
        <v>79.91</v>
      </c>
      <c r="K1551" s="0" t="n">
        <v>6</v>
      </c>
      <c r="T1551" s="0" t="n">
        <v>3</v>
      </c>
      <c r="U1551" s="0" t="n">
        <v>1</v>
      </c>
      <c r="V1551" s="0" t="inlineStr">
        <is>
          <t>계단식</t>
        </is>
      </c>
      <c r="W1551" s="0" t="inlineStr">
        <is>
          <t>93A</t>
        </is>
      </c>
      <c r="X1551" s="0" t="n">
        <v>6</v>
      </c>
      <c r="Y1551" s="0" t="n">
        <v>6</v>
      </c>
      <c r="Z1551" s="0" t="inlineStr">
        <is>
          <t>https://new.land.naver.com/complexes/9598?tab=detail&amp;rf=Y</t>
        </is>
      </c>
      <c r="AA1551" s="0" t="inlineStr">
        <is>
          <t>인천시 남동구 만수동 2-21</t>
        </is>
      </c>
      <c r="AB1551" s="0" t="inlineStr">
        <is>
          <t>인천시</t>
        </is>
      </c>
      <c r="AC1551" s="0" t="inlineStr">
        <is>
          <t>남동구</t>
        </is>
      </c>
      <c r="AD1551" s="0" t="inlineStr">
        <is>
          <t>만수동</t>
        </is>
      </c>
      <c r="AG1551" s="0" t="inlineStr">
        <is>
          <t>인천시 남동구 수현로136번길 30</t>
        </is>
      </c>
      <c r="AH1551" s="0" t="n">
        <v>0</v>
      </c>
      <c r="AI1551" s="0" t="n">
        <v>151</v>
      </c>
      <c r="AJ1551" s="0" t="n">
        <v>25</v>
      </c>
      <c r="AK1551" s="0" t="n">
        <v>0</v>
      </c>
      <c r="AL1551" s="0" t="n">
        <v>0</v>
      </c>
    </row>
    <row r="1552">
      <c r="A1552" s="0" t="inlineStr">
        <is>
          <t>[만수동]</t>
        </is>
      </c>
      <c r="B1552" s="0" t="n">
        <v>9598</v>
      </c>
      <c r="C1552" s="0" t="n">
        <v>7</v>
      </c>
      <c r="D1552" s="0" t="inlineStr">
        <is>
          <t>신한(2-21)</t>
        </is>
      </c>
      <c r="E1552" s="0" t="inlineStr">
        <is>
          <t>1988.11.</t>
        </is>
      </c>
      <c r="F1552" s="0" t="n">
        <v>240</v>
      </c>
      <c r="G1552" s="0" t="n">
        <v>28.43</v>
      </c>
      <c r="H1552" s="0" t="n">
        <v>94.01000000000001</v>
      </c>
      <c r="I1552" s="0" t="n">
        <v>24.22</v>
      </c>
      <c r="J1552" s="0" t="n">
        <v>80.09</v>
      </c>
      <c r="K1552" s="0" t="n">
        <v>6</v>
      </c>
      <c r="T1552" s="0" t="n">
        <v>3</v>
      </c>
      <c r="U1552" s="0" t="n">
        <v>1</v>
      </c>
      <c r="V1552" s="0" t="inlineStr">
        <is>
          <t>계단식</t>
        </is>
      </c>
      <c r="W1552" s="0" t="inlineStr">
        <is>
          <t>94B</t>
        </is>
      </c>
      <c r="X1552" s="0" t="n">
        <v>6</v>
      </c>
      <c r="Y1552" s="0" t="n">
        <v>6</v>
      </c>
      <c r="Z1552" s="0" t="inlineStr">
        <is>
          <t>https://new.land.naver.com/complexes/9598?tab=detail&amp;rf=Y</t>
        </is>
      </c>
      <c r="AA1552" s="0" t="inlineStr">
        <is>
          <t>인천시 남동구 만수동 2-21</t>
        </is>
      </c>
      <c r="AB1552" s="0" t="inlineStr">
        <is>
          <t>인천시</t>
        </is>
      </c>
      <c r="AC1552" s="0" t="inlineStr">
        <is>
          <t>남동구</t>
        </is>
      </c>
      <c r="AD1552" s="0" t="inlineStr">
        <is>
          <t>만수동</t>
        </is>
      </c>
      <c r="AG1552" s="0" t="inlineStr">
        <is>
          <t>인천시 남동구 수현로136번길 30</t>
        </is>
      </c>
      <c r="AH1552" s="0" t="n">
        <v>0</v>
      </c>
      <c r="AI1552" s="0" t="n">
        <v>151</v>
      </c>
      <c r="AJ1552" s="0" t="n">
        <v>25</v>
      </c>
      <c r="AK1552" s="0" t="n">
        <v>0</v>
      </c>
      <c r="AL1552" s="0" t="n">
        <v>0</v>
      </c>
    </row>
    <row r="1553">
      <c r="A1553" s="0" t="inlineStr">
        <is>
          <t>[만수동]</t>
        </is>
      </c>
      <c r="B1553" s="0" t="n">
        <v>2313</v>
      </c>
      <c r="C1553" s="0" t="n">
        <v>1</v>
      </c>
      <c r="D1553" s="0" t="inlineStr">
        <is>
          <t>만수주공3단지</t>
        </is>
      </c>
      <c r="E1553" s="0" t="inlineStr">
        <is>
          <t>1986.10.</t>
        </is>
      </c>
      <c r="F1553" s="0" t="n">
        <v>510</v>
      </c>
      <c r="G1553" s="0" t="n">
        <v>17.91</v>
      </c>
      <c r="H1553" s="0" t="n">
        <v>59.22</v>
      </c>
      <c r="I1553" s="0" t="n">
        <v>16.28</v>
      </c>
      <c r="J1553" s="0" t="n">
        <v>53.85</v>
      </c>
      <c r="K1553" s="0" t="n">
        <v>219</v>
      </c>
      <c r="T1553" s="0" t="n">
        <v>2</v>
      </c>
      <c r="U1553" s="0" t="n">
        <v>1</v>
      </c>
      <c r="V1553" s="0" t="inlineStr">
        <is>
          <t>계단식</t>
        </is>
      </c>
      <c r="W1553" s="0" t="n">
        <v>59</v>
      </c>
      <c r="X1553" s="0" t="n">
        <v>5</v>
      </c>
      <c r="Y1553" s="0" t="n">
        <v>3</v>
      </c>
      <c r="Z1553" s="0" t="inlineStr">
        <is>
          <t>https://new.land.naver.com/complexes/2313?tab=detail&amp;rf=Y</t>
        </is>
      </c>
      <c r="AA1553" s="0" t="inlineStr">
        <is>
          <t>인천시 남동구 만수동 46</t>
        </is>
      </c>
      <c r="AB1553" s="0" t="inlineStr">
        <is>
          <t>인천시</t>
        </is>
      </c>
      <c r="AC1553" s="0" t="inlineStr">
        <is>
          <t>남동구</t>
        </is>
      </c>
      <c r="AD1553" s="0" t="inlineStr">
        <is>
          <t>만수동</t>
        </is>
      </c>
      <c r="AG1553" s="0" t="inlineStr">
        <is>
          <t>인천시 남동구 백범로124번길 16</t>
        </is>
      </c>
      <c r="AH1553" s="0" t="n">
        <v>0</v>
      </c>
      <c r="AI1553" s="0" t="n">
        <v>78</v>
      </c>
      <c r="AJ1553" s="0" t="n">
        <v>20</v>
      </c>
      <c r="AK1553" s="0" t="n">
        <v>204</v>
      </c>
      <c r="AL1553" s="0" t="n">
        <v>0.4</v>
      </c>
    </row>
    <row r="1554">
      <c r="A1554" s="0" t="inlineStr">
        <is>
          <t>[만수동]</t>
        </is>
      </c>
      <c r="B1554" s="0" t="n">
        <v>2313</v>
      </c>
      <c r="C1554" s="0" t="n">
        <v>2</v>
      </c>
      <c r="D1554" s="0" t="inlineStr">
        <is>
          <t>만수주공3단지</t>
        </is>
      </c>
      <c r="E1554" s="0" t="inlineStr">
        <is>
          <t>1986.10.</t>
        </is>
      </c>
      <c r="F1554" s="0" t="n">
        <v>510</v>
      </c>
      <c r="G1554" s="0" t="n">
        <v>18.01</v>
      </c>
      <c r="H1554" s="0" t="n">
        <v>59.56</v>
      </c>
      <c r="I1554" s="0" t="n">
        <v>16.78</v>
      </c>
      <c r="J1554" s="0" t="n">
        <v>55.48</v>
      </c>
      <c r="K1554" s="0" t="n">
        <v>48</v>
      </c>
      <c r="T1554" s="0" t="n">
        <v>2</v>
      </c>
      <c r="U1554" s="0" t="n">
        <v>1</v>
      </c>
      <c r="V1554" s="0" t="inlineStr">
        <is>
          <t>계단식</t>
        </is>
      </c>
      <c r="W1554" s="0" t="n">
        <v>59</v>
      </c>
      <c r="X1554" s="0" t="n">
        <v>5</v>
      </c>
      <c r="Y1554" s="0" t="n">
        <v>3</v>
      </c>
      <c r="Z1554" s="0" t="inlineStr">
        <is>
          <t>https://new.land.naver.com/complexes/2313?tab=detail&amp;rf=Y</t>
        </is>
      </c>
      <c r="AA1554" s="0" t="inlineStr">
        <is>
          <t>인천시 남동구 만수동 46</t>
        </is>
      </c>
      <c r="AB1554" s="0" t="inlineStr">
        <is>
          <t>인천시</t>
        </is>
      </c>
      <c r="AC1554" s="0" t="inlineStr">
        <is>
          <t>남동구</t>
        </is>
      </c>
      <c r="AD1554" s="0" t="inlineStr">
        <is>
          <t>만수동</t>
        </is>
      </c>
      <c r="AG1554" s="0" t="inlineStr">
        <is>
          <t>인천시 남동구 백범로124번길 16</t>
        </is>
      </c>
      <c r="AH1554" s="0" t="n">
        <v>0</v>
      </c>
      <c r="AI1554" s="0" t="n">
        <v>78</v>
      </c>
      <c r="AJ1554" s="0" t="n">
        <v>20</v>
      </c>
      <c r="AK1554" s="0" t="n">
        <v>204</v>
      </c>
      <c r="AL1554" s="0" t="n">
        <v>0.4</v>
      </c>
    </row>
    <row r="1555">
      <c r="A1555" s="0" t="inlineStr">
        <is>
          <t>[만수동]</t>
        </is>
      </c>
      <c r="B1555" s="0" t="n">
        <v>2313</v>
      </c>
      <c r="C1555" s="0" t="n">
        <v>3</v>
      </c>
      <c r="D1555" s="0" t="inlineStr">
        <is>
          <t>만수주공3단지</t>
        </is>
      </c>
      <c r="E1555" s="0" t="inlineStr">
        <is>
          <t>1986.10.</t>
        </is>
      </c>
      <c r="F1555" s="0" t="n">
        <v>510</v>
      </c>
      <c r="G1555" s="0" t="n">
        <v>19.98</v>
      </c>
      <c r="H1555" s="0" t="n">
        <v>66.06</v>
      </c>
      <c r="I1555" s="0" t="n">
        <v>18.61</v>
      </c>
      <c r="J1555" s="0" t="n">
        <v>61.53</v>
      </c>
      <c r="K1555" s="0" t="n">
        <v>24</v>
      </c>
      <c r="T1555" s="0" t="n">
        <v>2</v>
      </c>
      <c r="U1555" s="0" t="n">
        <v>1</v>
      </c>
      <c r="V1555" s="0" t="inlineStr">
        <is>
          <t>계단식</t>
        </is>
      </c>
      <c r="W1555" s="0" t="inlineStr">
        <is>
          <t>66A</t>
        </is>
      </c>
      <c r="X1555" s="0" t="n">
        <v>5</v>
      </c>
      <c r="Y1555" s="0" t="n">
        <v>3</v>
      </c>
      <c r="Z1555" s="0" t="inlineStr">
        <is>
          <t>https://new.land.naver.com/complexes/2313?tab=detail&amp;rf=Y</t>
        </is>
      </c>
      <c r="AA1555" s="0" t="inlineStr">
        <is>
          <t>인천시 남동구 만수동 46</t>
        </is>
      </c>
      <c r="AB1555" s="0" t="inlineStr">
        <is>
          <t>인천시</t>
        </is>
      </c>
      <c r="AC1555" s="0" t="inlineStr">
        <is>
          <t>남동구</t>
        </is>
      </c>
      <c r="AD1555" s="0" t="inlineStr">
        <is>
          <t>만수동</t>
        </is>
      </c>
      <c r="AG1555" s="0" t="inlineStr">
        <is>
          <t>인천시 남동구 백범로124번길 16</t>
        </is>
      </c>
      <c r="AH1555" s="0" t="n">
        <v>0</v>
      </c>
      <c r="AI1555" s="0" t="n">
        <v>78</v>
      </c>
      <c r="AJ1555" s="0" t="n">
        <v>20</v>
      </c>
      <c r="AK1555" s="0" t="n">
        <v>204</v>
      </c>
      <c r="AL1555" s="0" t="n">
        <v>0.4</v>
      </c>
    </row>
    <row r="1556">
      <c r="A1556" s="0" t="inlineStr">
        <is>
          <t>[만수동]</t>
        </is>
      </c>
      <c r="B1556" s="0" t="n">
        <v>2313</v>
      </c>
      <c r="C1556" s="0" t="n">
        <v>4</v>
      </c>
      <c r="D1556" s="0" t="inlineStr">
        <is>
          <t>만수주공3단지</t>
        </is>
      </c>
      <c r="E1556" s="0" t="inlineStr">
        <is>
          <t>1986.10.</t>
        </is>
      </c>
      <c r="F1556" s="0" t="n">
        <v>510</v>
      </c>
      <c r="G1556" s="0" t="n">
        <v>20.54</v>
      </c>
      <c r="H1556" s="0" t="n">
        <v>67.93000000000001</v>
      </c>
      <c r="I1556" s="0" t="n">
        <v>18.68</v>
      </c>
      <c r="J1556" s="0" t="n">
        <v>61.77</v>
      </c>
      <c r="K1556" s="0" t="n">
        <v>158</v>
      </c>
      <c r="T1556" s="0" t="n">
        <v>3</v>
      </c>
      <c r="U1556" s="0" t="n">
        <v>1</v>
      </c>
      <c r="V1556" s="0" t="inlineStr">
        <is>
          <t>계단식</t>
        </is>
      </c>
      <c r="W1556" s="0" t="n">
        <v>67</v>
      </c>
      <c r="X1556" s="0" t="n">
        <v>5</v>
      </c>
      <c r="Y1556" s="0" t="n">
        <v>3</v>
      </c>
      <c r="Z1556" s="0" t="inlineStr">
        <is>
          <t>https://new.land.naver.com/complexes/2313?tab=detail&amp;rf=Y</t>
        </is>
      </c>
      <c r="AA1556" s="0" t="inlineStr">
        <is>
          <t>인천시 남동구 만수동 46</t>
        </is>
      </c>
      <c r="AB1556" s="0" t="inlineStr">
        <is>
          <t>인천시</t>
        </is>
      </c>
      <c r="AC1556" s="0" t="inlineStr">
        <is>
          <t>남동구</t>
        </is>
      </c>
      <c r="AD1556" s="0" t="inlineStr">
        <is>
          <t>만수동</t>
        </is>
      </c>
      <c r="AG1556" s="0" t="inlineStr">
        <is>
          <t>인천시 남동구 백범로124번길 16</t>
        </is>
      </c>
      <c r="AH1556" s="0" t="n">
        <v>0</v>
      </c>
      <c r="AI1556" s="0" t="n">
        <v>78</v>
      </c>
      <c r="AJ1556" s="0" t="n">
        <v>20</v>
      </c>
      <c r="AK1556" s="0" t="n">
        <v>204</v>
      </c>
      <c r="AL1556" s="0" t="n">
        <v>0.4</v>
      </c>
    </row>
    <row r="1557">
      <c r="A1557" s="0" t="inlineStr">
        <is>
          <t>[만수동]</t>
        </is>
      </c>
      <c r="B1557" s="0" t="n">
        <v>2313</v>
      </c>
      <c r="C1557" s="0" t="n">
        <v>5</v>
      </c>
      <c r="D1557" s="0" t="inlineStr">
        <is>
          <t>만수주공3단지</t>
        </is>
      </c>
      <c r="E1557" s="0" t="inlineStr">
        <is>
          <t>1986.10.</t>
        </is>
      </c>
      <c r="F1557" s="0" t="n">
        <v>510</v>
      </c>
      <c r="G1557" s="0" t="n">
        <v>20.41</v>
      </c>
      <c r="H1557" s="0" t="n">
        <v>67.48999999999999</v>
      </c>
      <c r="I1557" s="0" t="n">
        <v>18.67</v>
      </c>
      <c r="J1557" s="0" t="n">
        <v>61.72</v>
      </c>
      <c r="K1557" s="0" t="n">
        <v>13</v>
      </c>
      <c r="T1557" s="0" t="n">
        <v>3</v>
      </c>
      <c r="U1557" s="0" t="n">
        <v>1</v>
      </c>
      <c r="V1557" s="0" t="inlineStr">
        <is>
          <t>계단식</t>
        </is>
      </c>
      <c r="W1557" s="0" t="inlineStr">
        <is>
          <t>67B</t>
        </is>
      </c>
      <c r="X1557" s="0" t="n">
        <v>5</v>
      </c>
      <c r="Y1557" s="0" t="n">
        <v>3</v>
      </c>
      <c r="Z1557" s="0" t="inlineStr">
        <is>
          <t>https://new.land.naver.com/complexes/2313?tab=detail&amp;rf=Y</t>
        </is>
      </c>
      <c r="AA1557" s="0" t="inlineStr">
        <is>
          <t>인천시 남동구 만수동 46</t>
        </is>
      </c>
      <c r="AB1557" s="0" t="inlineStr">
        <is>
          <t>인천시</t>
        </is>
      </c>
      <c r="AC1557" s="0" t="inlineStr">
        <is>
          <t>남동구</t>
        </is>
      </c>
      <c r="AD1557" s="0" t="inlineStr">
        <is>
          <t>만수동</t>
        </is>
      </c>
      <c r="AG1557" s="0" t="inlineStr">
        <is>
          <t>인천시 남동구 백범로124번길 16</t>
        </is>
      </c>
      <c r="AH1557" s="0" t="n">
        <v>0</v>
      </c>
      <c r="AI1557" s="0" t="n">
        <v>78</v>
      </c>
      <c r="AJ1557" s="0" t="n">
        <v>20</v>
      </c>
      <c r="AK1557" s="0" t="n">
        <v>204</v>
      </c>
      <c r="AL1557" s="0" t="n">
        <v>0.4</v>
      </c>
    </row>
    <row r="1558">
      <c r="A1558" s="0" t="inlineStr">
        <is>
          <t>[만수동]</t>
        </is>
      </c>
      <c r="B1558" s="0" t="n">
        <v>2313</v>
      </c>
      <c r="C1558" s="0" t="n">
        <v>6</v>
      </c>
      <c r="D1558" s="0" t="inlineStr">
        <is>
          <t>만수주공3단지</t>
        </is>
      </c>
      <c r="E1558" s="0" t="inlineStr">
        <is>
          <t>1986.10.</t>
        </is>
      </c>
      <c r="F1558" s="0" t="n">
        <v>510</v>
      </c>
      <c r="G1558" s="0" t="n">
        <v>22.97</v>
      </c>
      <c r="H1558" s="0" t="n">
        <v>75.95</v>
      </c>
      <c r="I1558" s="0" t="n">
        <v>21.4</v>
      </c>
      <c r="J1558" s="0" t="n">
        <v>70.75</v>
      </c>
      <c r="K1558" s="0" t="n">
        <v>48</v>
      </c>
      <c r="T1558" s="0" t="n">
        <v>3</v>
      </c>
      <c r="U1558" s="0" t="n">
        <v>1</v>
      </c>
      <c r="V1558" s="0" t="inlineStr">
        <is>
          <t>계단식</t>
        </is>
      </c>
      <c r="W1558" s="0" t="n">
        <v>75</v>
      </c>
      <c r="X1558" s="0" t="n">
        <v>5</v>
      </c>
      <c r="Y1558" s="0" t="n">
        <v>3</v>
      </c>
      <c r="Z1558" s="0" t="inlineStr">
        <is>
          <t>https://new.land.naver.com/complexes/2313?tab=detail&amp;rf=Y</t>
        </is>
      </c>
      <c r="AA1558" s="0" t="inlineStr">
        <is>
          <t>인천시 남동구 만수동 46</t>
        </is>
      </c>
      <c r="AB1558" s="0" t="inlineStr">
        <is>
          <t>인천시</t>
        </is>
      </c>
      <c r="AC1558" s="0" t="inlineStr">
        <is>
          <t>남동구</t>
        </is>
      </c>
      <c r="AD1558" s="0" t="inlineStr">
        <is>
          <t>만수동</t>
        </is>
      </c>
      <c r="AG1558" s="0" t="inlineStr">
        <is>
          <t>인천시 남동구 백범로124번길 16</t>
        </is>
      </c>
      <c r="AH1558" s="0" t="n">
        <v>0</v>
      </c>
      <c r="AI1558" s="0" t="n">
        <v>78</v>
      </c>
      <c r="AJ1558" s="0" t="n">
        <v>20</v>
      </c>
      <c r="AK1558" s="0" t="n">
        <v>204</v>
      </c>
      <c r="AL1558" s="0" t="n">
        <v>0.4</v>
      </c>
    </row>
    <row r="1559">
      <c r="A1559" s="0" t="inlineStr">
        <is>
          <t>[만수동]</t>
        </is>
      </c>
      <c r="B1559" s="0" t="n">
        <v>128487</v>
      </c>
      <c r="C1559" s="0" t="n">
        <v>1</v>
      </c>
      <c r="D1559" s="0" t="inlineStr">
        <is>
          <t>리젠시12</t>
        </is>
      </c>
      <c r="E1559" s="0" t="inlineStr">
        <is>
          <t>2017.03.</t>
        </is>
      </c>
      <c r="F1559" s="0" t="n">
        <v>8</v>
      </c>
      <c r="G1559" s="0" t="n">
        <v>17.84</v>
      </c>
      <c r="H1559" s="0" t="n">
        <v>58.99</v>
      </c>
      <c r="I1559" s="0" t="n">
        <v>14.55</v>
      </c>
      <c r="J1559" s="0" t="n">
        <v>48.11</v>
      </c>
      <c r="K1559" s="0" t="n">
        <v>8</v>
      </c>
      <c r="T1559" s="0" t="n">
        <v>2</v>
      </c>
      <c r="U1559" s="0" t="n">
        <v>1</v>
      </c>
      <c r="V1559" s="0" t="inlineStr">
        <is>
          <t>계단식</t>
        </is>
      </c>
      <c r="W1559" s="0" t="n">
        <v>58</v>
      </c>
      <c r="X1559" s="0" t="n">
        <v>7</v>
      </c>
      <c r="Y1559" s="0" t="n">
        <v>7</v>
      </c>
      <c r="Z1559" s="0" t="inlineStr">
        <is>
          <t>https://new.land.naver.com/complexes/128487?tab=detail&amp;rf=Y</t>
        </is>
      </c>
      <c r="AA1559" s="0" t="inlineStr">
        <is>
          <t>인천시 남동구 만수동 5-262</t>
        </is>
      </c>
      <c r="AB1559" s="0" t="inlineStr">
        <is>
          <t>인천시</t>
        </is>
      </c>
      <c r="AC1559" s="0" t="inlineStr">
        <is>
          <t>남동구</t>
        </is>
      </c>
      <c r="AD1559" s="0" t="inlineStr">
        <is>
          <t>만수동</t>
        </is>
      </c>
      <c r="AG1559" s="0" t="inlineStr">
        <is>
          <t>인천시 남동구 만수로94번길 23-8</t>
        </is>
      </c>
      <c r="AH1559" s="0" t="n">
        <v>0</v>
      </c>
      <c r="AI1559" s="0" t="n">
        <v>270</v>
      </c>
      <c r="AJ1559" s="0" t="n">
        <v>54</v>
      </c>
      <c r="AK1559" s="0" t="n">
        <v>5</v>
      </c>
      <c r="AL1559" s="0" t="n">
        <v>0.62</v>
      </c>
    </row>
    <row r="1560">
      <c r="A1560" s="0" t="inlineStr">
        <is>
          <t>[만수동]</t>
        </is>
      </c>
      <c r="B1560" s="0" t="n">
        <v>2305</v>
      </c>
      <c r="C1560" s="0" t="n">
        <v>1</v>
      </c>
      <c r="D1560" s="0" t="inlineStr">
        <is>
          <t>삼환1차</t>
        </is>
      </c>
      <c r="E1560" s="0" t="inlineStr">
        <is>
          <t>1989.10.</t>
        </is>
      </c>
      <c r="F1560" s="0" t="n">
        <v>660</v>
      </c>
      <c r="G1560" s="0" t="n">
        <v>16.03</v>
      </c>
      <c r="H1560" s="0" t="n">
        <v>53.01</v>
      </c>
      <c r="I1560" s="0" t="n">
        <v>13.17</v>
      </c>
      <c r="J1560" s="0" t="n">
        <v>43.55</v>
      </c>
      <c r="K1560" s="0" t="n">
        <v>150</v>
      </c>
      <c r="T1560" s="0" t="n">
        <v>2</v>
      </c>
      <c r="U1560" s="0" t="n">
        <v>1</v>
      </c>
      <c r="V1560" s="0" t="inlineStr">
        <is>
          <t>계단식</t>
        </is>
      </c>
      <c r="W1560" s="0" t="n">
        <v>53</v>
      </c>
      <c r="X1560" s="0" t="n">
        <v>15</v>
      </c>
      <c r="Y1560" s="0" t="n">
        <v>15</v>
      </c>
      <c r="Z1560" s="0" t="inlineStr">
        <is>
          <t>https://new.land.naver.com/complexes/2305?tab=detail&amp;rf=Y</t>
        </is>
      </c>
      <c r="AA1560" s="0" t="inlineStr">
        <is>
          <t>인천시 남동구 만수동 983-1</t>
        </is>
      </c>
      <c r="AB1560" s="0" t="inlineStr">
        <is>
          <t>인천시</t>
        </is>
      </c>
      <c r="AC1560" s="0" t="inlineStr">
        <is>
          <t>남동구</t>
        </is>
      </c>
      <c r="AD1560" s="0" t="inlineStr">
        <is>
          <t>만수동</t>
        </is>
      </c>
      <c r="AG1560" s="0" t="inlineStr">
        <is>
          <t>인천시 남동구 인주대로 857</t>
        </is>
      </c>
      <c r="AH1560" s="0" t="n">
        <v>0</v>
      </c>
      <c r="AI1560" s="0" t="n">
        <v>191</v>
      </c>
      <c r="AJ1560" s="0" t="n">
        <v>15</v>
      </c>
      <c r="AK1560" s="0" t="n">
        <v>792</v>
      </c>
      <c r="AL1560" s="0" t="n">
        <v>1.2</v>
      </c>
    </row>
    <row r="1561">
      <c r="A1561" s="0" t="inlineStr">
        <is>
          <t>[만수동]</t>
        </is>
      </c>
      <c r="B1561" s="0" t="n">
        <v>2305</v>
      </c>
      <c r="C1561" s="0" t="n">
        <v>2</v>
      </c>
      <c r="D1561" s="0" t="inlineStr">
        <is>
          <t>삼환1차</t>
        </is>
      </c>
      <c r="E1561" s="0" t="inlineStr">
        <is>
          <t>1989.10.</t>
        </is>
      </c>
      <c r="F1561" s="0" t="n">
        <v>660</v>
      </c>
      <c r="G1561" s="0" t="n">
        <v>19.19</v>
      </c>
      <c r="H1561" s="0" t="n">
        <v>63.44</v>
      </c>
      <c r="I1561" s="0" t="n">
        <v>15.2</v>
      </c>
      <c r="J1561" s="0" t="n">
        <v>50.26</v>
      </c>
      <c r="K1561" s="0" t="n">
        <v>180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63</v>
      </c>
      <c r="X1561" s="0" t="n">
        <v>15</v>
      </c>
      <c r="Y1561" s="0" t="n">
        <v>15</v>
      </c>
      <c r="Z1561" s="0" t="inlineStr">
        <is>
          <t>https://new.land.naver.com/complexes/2305?tab=detail&amp;rf=Y</t>
        </is>
      </c>
      <c r="AA1561" s="0" t="inlineStr">
        <is>
          <t>인천시 남동구 만수동 983-1</t>
        </is>
      </c>
      <c r="AB1561" s="0" t="inlineStr">
        <is>
          <t>인천시</t>
        </is>
      </c>
      <c r="AC1561" s="0" t="inlineStr">
        <is>
          <t>남동구</t>
        </is>
      </c>
      <c r="AD1561" s="0" t="inlineStr">
        <is>
          <t>만수동</t>
        </is>
      </c>
      <c r="AG1561" s="0" t="inlineStr">
        <is>
          <t>인천시 남동구 인주대로 857</t>
        </is>
      </c>
      <c r="AH1561" s="0" t="n">
        <v>0</v>
      </c>
      <c r="AI1561" s="0" t="n">
        <v>191</v>
      </c>
      <c r="AJ1561" s="0" t="n">
        <v>15</v>
      </c>
      <c r="AK1561" s="0" t="n">
        <v>792</v>
      </c>
      <c r="AL1561" s="0" t="n">
        <v>1.2</v>
      </c>
    </row>
    <row r="1562">
      <c r="A1562" s="0" t="inlineStr">
        <is>
          <t>[만수동]</t>
        </is>
      </c>
      <c r="B1562" s="0" t="n">
        <v>2305</v>
      </c>
      <c r="C1562" s="0" t="n">
        <v>3</v>
      </c>
      <c r="D1562" s="0" t="inlineStr">
        <is>
          <t>삼환1차</t>
        </is>
      </c>
      <c r="E1562" s="0" t="inlineStr">
        <is>
          <t>1989.10.</t>
        </is>
      </c>
      <c r="F1562" s="0" t="n">
        <v>660</v>
      </c>
      <c r="G1562" s="0" t="n">
        <v>22.54</v>
      </c>
      <c r="H1562" s="0" t="n">
        <v>74.53</v>
      </c>
      <c r="I1562" s="0" t="n">
        <v>17.86</v>
      </c>
      <c r="J1562" s="0" t="n">
        <v>59.05</v>
      </c>
      <c r="K1562" s="0" t="n">
        <v>180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74</v>
      </c>
      <c r="X1562" s="0" t="n">
        <v>15</v>
      </c>
      <c r="Y1562" s="0" t="n">
        <v>15</v>
      </c>
      <c r="Z1562" s="0" t="inlineStr">
        <is>
          <t>https://new.land.naver.com/complexes/2305?tab=detail&amp;rf=Y</t>
        </is>
      </c>
      <c r="AA1562" s="0" t="inlineStr">
        <is>
          <t>인천시 남동구 만수동 983-1</t>
        </is>
      </c>
      <c r="AB1562" s="0" t="inlineStr">
        <is>
          <t>인천시</t>
        </is>
      </c>
      <c r="AC1562" s="0" t="inlineStr">
        <is>
          <t>남동구</t>
        </is>
      </c>
      <c r="AD1562" s="0" t="inlineStr">
        <is>
          <t>만수동</t>
        </is>
      </c>
      <c r="AG1562" s="0" t="inlineStr">
        <is>
          <t>인천시 남동구 인주대로 857</t>
        </is>
      </c>
      <c r="AH1562" s="0" t="n">
        <v>0</v>
      </c>
      <c r="AI1562" s="0" t="n">
        <v>191</v>
      </c>
      <c r="AJ1562" s="0" t="n">
        <v>15</v>
      </c>
      <c r="AK1562" s="0" t="n">
        <v>792</v>
      </c>
      <c r="AL1562" s="0" t="n">
        <v>1.2</v>
      </c>
    </row>
    <row r="1563">
      <c r="A1563" s="0" t="inlineStr">
        <is>
          <t>[만수동]</t>
        </is>
      </c>
      <c r="B1563" s="0" t="n">
        <v>2305</v>
      </c>
      <c r="C1563" s="0" t="n">
        <v>4</v>
      </c>
      <c r="D1563" s="0" t="inlineStr">
        <is>
          <t>삼환1차</t>
        </is>
      </c>
      <c r="E1563" s="0" t="inlineStr">
        <is>
          <t>1989.10.</t>
        </is>
      </c>
      <c r="F1563" s="0" t="n">
        <v>660</v>
      </c>
      <c r="G1563" s="0" t="n">
        <v>23.66</v>
      </c>
      <c r="H1563" s="0" t="n">
        <v>78.23</v>
      </c>
      <c r="I1563" s="0" t="n">
        <v>19.17</v>
      </c>
      <c r="J1563" s="0" t="n">
        <v>63.38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n">
        <v>78</v>
      </c>
      <c r="X1563" s="0" t="n">
        <v>15</v>
      </c>
      <c r="Y1563" s="0" t="n">
        <v>15</v>
      </c>
      <c r="Z1563" s="0" t="inlineStr">
        <is>
          <t>https://new.land.naver.com/complexes/2305?tab=detail&amp;rf=Y</t>
        </is>
      </c>
      <c r="AA1563" s="0" t="inlineStr">
        <is>
          <t>인천시 남동구 만수동 983-1</t>
        </is>
      </c>
      <c r="AB1563" s="0" t="inlineStr">
        <is>
          <t>인천시</t>
        </is>
      </c>
      <c r="AC1563" s="0" t="inlineStr">
        <is>
          <t>남동구</t>
        </is>
      </c>
      <c r="AD1563" s="0" t="inlineStr">
        <is>
          <t>만수동</t>
        </is>
      </c>
      <c r="AG1563" s="0" t="inlineStr">
        <is>
          <t>인천시 남동구 인주대로 857</t>
        </is>
      </c>
      <c r="AH1563" s="0" t="n">
        <v>0</v>
      </c>
      <c r="AI1563" s="0" t="n">
        <v>191</v>
      </c>
      <c r="AJ1563" s="0" t="n">
        <v>15</v>
      </c>
      <c r="AK1563" s="0" t="n">
        <v>792</v>
      </c>
      <c r="AL1563" s="0" t="n">
        <v>1.2</v>
      </c>
    </row>
    <row r="1564">
      <c r="A1564" s="0" t="inlineStr">
        <is>
          <t>[만수동]</t>
        </is>
      </c>
      <c r="B1564" s="0" t="n">
        <v>2305</v>
      </c>
      <c r="C1564" s="0" t="n">
        <v>5</v>
      </c>
      <c r="D1564" s="0" t="inlineStr">
        <is>
          <t>삼환1차</t>
        </is>
      </c>
      <c r="E1564" s="0" t="inlineStr">
        <is>
          <t>1989.10.</t>
        </is>
      </c>
      <c r="F1564" s="0" t="n">
        <v>660</v>
      </c>
      <c r="G1564" s="0" t="n">
        <v>25.17</v>
      </c>
      <c r="H1564" s="0" t="n">
        <v>83.23</v>
      </c>
      <c r="I1564" s="0" t="n">
        <v>20.68</v>
      </c>
      <c r="J1564" s="0" t="n">
        <v>68.38</v>
      </c>
      <c r="K1564" s="0" t="n">
        <v>149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83</v>
      </c>
      <c r="X1564" s="0" t="n">
        <v>15</v>
      </c>
      <c r="Y1564" s="0" t="n">
        <v>15</v>
      </c>
      <c r="Z1564" s="0" t="inlineStr">
        <is>
          <t>https://new.land.naver.com/complexes/2305?tab=detail&amp;rf=Y</t>
        </is>
      </c>
      <c r="AA1564" s="0" t="inlineStr">
        <is>
          <t>인천시 남동구 만수동 983-1</t>
        </is>
      </c>
      <c r="AB1564" s="0" t="inlineStr">
        <is>
          <t>인천시</t>
        </is>
      </c>
      <c r="AC1564" s="0" t="inlineStr">
        <is>
          <t>남동구</t>
        </is>
      </c>
      <c r="AD1564" s="0" t="inlineStr">
        <is>
          <t>만수동</t>
        </is>
      </c>
      <c r="AG1564" s="0" t="inlineStr">
        <is>
          <t>인천시 남동구 인주대로 857</t>
        </is>
      </c>
      <c r="AH1564" s="0" t="n">
        <v>0</v>
      </c>
      <c r="AI1564" s="0" t="n">
        <v>191</v>
      </c>
      <c r="AJ1564" s="0" t="n">
        <v>15</v>
      </c>
      <c r="AK1564" s="0" t="n">
        <v>792</v>
      </c>
      <c r="AL1564" s="0" t="n">
        <v>1.2</v>
      </c>
    </row>
    <row r="1565">
      <c r="A1565" s="0" t="inlineStr">
        <is>
          <t>[만수동]</t>
        </is>
      </c>
      <c r="B1565" s="0" t="n">
        <v>13737</v>
      </c>
      <c r="C1565" s="0" t="n">
        <v>1</v>
      </c>
      <c r="D1565" s="0" t="inlineStr">
        <is>
          <t>아주3차</t>
        </is>
      </c>
      <c r="E1565" s="0" t="inlineStr">
        <is>
          <t>1988.06.</t>
        </is>
      </c>
      <c r="F1565" s="0" t="n">
        <v>150</v>
      </c>
      <c r="G1565" s="0" t="n">
        <v>16.08</v>
      </c>
      <c r="H1565" s="0" t="n">
        <v>53.19</v>
      </c>
      <c r="I1565" s="0" t="n">
        <v>13.11</v>
      </c>
      <c r="J1565" s="0" t="n">
        <v>43.36</v>
      </c>
      <c r="K1565" s="0" t="n">
        <v>12</v>
      </c>
      <c r="T1565" s="0" t="n">
        <v>2</v>
      </c>
      <c r="U1565" s="0" t="n">
        <v>1</v>
      </c>
      <c r="V1565" s="0" t="inlineStr">
        <is>
          <t>계단식</t>
        </is>
      </c>
      <c r="W1565" s="0" t="n">
        <v>53</v>
      </c>
      <c r="X1565" s="0" t="n">
        <v>6</v>
      </c>
      <c r="Y1565" s="0" t="n">
        <v>6</v>
      </c>
      <c r="Z1565" s="0" t="inlineStr">
        <is>
          <t>https://new.land.naver.com/complexes/13737?tab=detail&amp;rf=Y</t>
        </is>
      </c>
      <c r="AA1565" s="0" t="inlineStr">
        <is>
          <t>인천시 남동구 만수동 5-3</t>
        </is>
      </c>
      <c r="AB1565" s="0" t="inlineStr">
        <is>
          <t>인천시</t>
        </is>
      </c>
      <c r="AC1565" s="0" t="inlineStr">
        <is>
          <t>남동구</t>
        </is>
      </c>
      <c r="AD1565" s="0" t="inlineStr">
        <is>
          <t>만수동</t>
        </is>
      </c>
      <c r="AG1565" s="0" t="inlineStr">
        <is>
          <t>인천시 남동구</t>
        </is>
      </c>
      <c r="AH1565" s="0" t="n">
        <v>0</v>
      </c>
      <c r="AI1565" s="0" t="n">
        <v>176</v>
      </c>
      <c r="AJ1565" s="0" t="n">
        <v>29</v>
      </c>
      <c r="AK1565" s="0" t="n">
        <v>0</v>
      </c>
      <c r="AL1565" s="0" t="n">
        <v>0</v>
      </c>
    </row>
    <row r="1566">
      <c r="A1566" s="0" t="inlineStr">
        <is>
          <t>[만수동]</t>
        </is>
      </c>
      <c r="B1566" s="0" t="n">
        <v>13737</v>
      </c>
      <c r="C1566" s="0" t="n">
        <v>2</v>
      </c>
      <c r="D1566" s="0" t="inlineStr">
        <is>
          <t>아주3차</t>
        </is>
      </c>
      <c r="E1566" s="0" t="inlineStr">
        <is>
          <t>1988.06.</t>
        </is>
      </c>
      <c r="F1566" s="0" t="n">
        <v>150</v>
      </c>
      <c r="G1566" s="0" t="n">
        <v>17.12</v>
      </c>
      <c r="H1566" s="0" t="n">
        <v>56.62</v>
      </c>
      <c r="I1566" s="0" t="n">
        <v>14.06</v>
      </c>
      <c r="J1566" s="0" t="n">
        <v>46.48</v>
      </c>
      <c r="K1566" s="0" t="n">
        <v>5</v>
      </c>
      <c r="T1566" s="0" t="n">
        <v>2</v>
      </c>
      <c r="U1566" s="0" t="n">
        <v>1</v>
      </c>
      <c r="V1566" s="0" t="inlineStr">
        <is>
          <t>계단식</t>
        </is>
      </c>
      <c r="W1566" s="0" t="inlineStr">
        <is>
          <t>56B</t>
        </is>
      </c>
      <c r="X1566" s="0" t="n">
        <v>6</v>
      </c>
      <c r="Y1566" s="0" t="n">
        <v>6</v>
      </c>
      <c r="Z1566" s="0" t="inlineStr">
        <is>
          <t>https://new.land.naver.com/complexes/13737?tab=detail&amp;rf=Y</t>
        </is>
      </c>
      <c r="AA1566" s="0" t="inlineStr">
        <is>
          <t>인천시 남동구 만수동 5-3</t>
        </is>
      </c>
      <c r="AB1566" s="0" t="inlineStr">
        <is>
          <t>인천시</t>
        </is>
      </c>
      <c r="AC1566" s="0" t="inlineStr">
        <is>
          <t>남동구</t>
        </is>
      </c>
      <c r="AD1566" s="0" t="inlineStr">
        <is>
          <t>만수동</t>
        </is>
      </c>
      <c r="AG1566" s="0" t="inlineStr">
        <is>
          <t>인천시 남동구</t>
        </is>
      </c>
      <c r="AH1566" s="0" t="n">
        <v>0</v>
      </c>
      <c r="AI1566" s="0" t="n">
        <v>176</v>
      </c>
      <c r="AJ1566" s="0" t="n">
        <v>29</v>
      </c>
      <c r="AK1566" s="0" t="n">
        <v>0</v>
      </c>
      <c r="AL1566" s="0" t="n">
        <v>0</v>
      </c>
    </row>
    <row r="1567">
      <c r="A1567" s="0" t="inlineStr">
        <is>
          <t>[만수동]</t>
        </is>
      </c>
      <c r="B1567" s="0" t="n">
        <v>13737</v>
      </c>
      <c r="C1567" s="0" t="n">
        <v>3</v>
      </c>
      <c r="D1567" s="0" t="inlineStr">
        <is>
          <t>아주3차</t>
        </is>
      </c>
      <c r="E1567" s="0" t="inlineStr">
        <is>
          <t>1988.06.</t>
        </is>
      </c>
      <c r="F1567" s="0" t="n">
        <v>150</v>
      </c>
      <c r="G1567" s="0" t="n">
        <v>17.11</v>
      </c>
      <c r="H1567" s="0" t="n">
        <v>56.57</v>
      </c>
      <c r="I1567" s="0" t="n">
        <v>14.04</v>
      </c>
      <c r="J1567" s="0" t="n">
        <v>46.43</v>
      </c>
      <c r="K1567" s="0" t="n">
        <v>1</v>
      </c>
      <c r="T1567" s="0" t="n">
        <v>2</v>
      </c>
      <c r="U1567" s="0" t="n">
        <v>1</v>
      </c>
      <c r="V1567" s="0" t="inlineStr">
        <is>
          <t>계단식</t>
        </is>
      </c>
      <c r="W1567" s="0" t="inlineStr">
        <is>
          <t>56A</t>
        </is>
      </c>
      <c r="X1567" s="0" t="n">
        <v>6</v>
      </c>
      <c r="Y1567" s="0" t="n">
        <v>6</v>
      </c>
      <c r="Z1567" s="0" t="inlineStr">
        <is>
          <t>https://new.land.naver.com/complexes/13737?tab=detail&amp;rf=Y</t>
        </is>
      </c>
      <c r="AA1567" s="0" t="inlineStr">
        <is>
          <t>인천시 남동구 만수동 5-3</t>
        </is>
      </c>
      <c r="AB1567" s="0" t="inlineStr">
        <is>
          <t>인천시</t>
        </is>
      </c>
      <c r="AC1567" s="0" t="inlineStr">
        <is>
          <t>남동구</t>
        </is>
      </c>
      <c r="AD1567" s="0" t="inlineStr">
        <is>
          <t>만수동</t>
        </is>
      </c>
      <c r="AG1567" s="0" t="inlineStr">
        <is>
          <t>인천시 남동구</t>
        </is>
      </c>
      <c r="AH1567" s="0" t="n">
        <v>0</v>
      </c>
      <c r="AI1567" s="0" t="n">
        <v>176</v>
      </c>
      <c r="AJ1567" s="0" t="n">
        <v>29</v>
      </c>
      <c r="AK1567" s="0" t="n">
        <v>0</v>
      </c>
      <c r="AL1567" s="0" t="n">
        <v>0</v>
      </c>
    </row>
    <row r="1568">
      <c r="A1568" s="0" t="inlineStr">
        <is>
          <t>[만수동]</t>
        </is>
      </c>
      <c r="B1568" s="0" t="n">
        <v>13737</v>
      </c>
      <c r="C1568" s="0" t="n">
        <v>4</v>
      </c>
      <c r="D1568" s="0" t="inlineStr">
        <is>
          <t>아주3차</t>
        </is>
      </c>
      <c r="E1568" s="0" t="inlineStr">
        <is>
          <t>1988.06.</t>
        </is>
      </c>
      <c r="F1568" s="0" t="n">
        <v>150</v>
      </c>
      <c r="G1568" s="0" t="n">
        <v>18.47</v>
      </c>
      <c r="H1568" s="0" t="n">
        <v>61.08</v>
      </c>
      <c r="I1568" s="0" t="n">
        <v>15.28</v>
      </c>
      <c r="J1568" s="0" t="n">
        <v>50.52</v>
      </c>
      <c r="K1568" s="0" t="n">
        <v>108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61</v>
      </c>
      <c r="X1568" s="0" t="n">
        <v>6</v>
      </c>
      <c r="Y1568" s="0" t="n">
        <v>6</v>
      </c>
      <c r="Z1568" s="0" t="inlineStr">
        <is>
          <t>https://new.land.naver.com/complexes/13737?tab=detail&amp;rf=Y</t>
        </is>
      </c>
      <c r="AA1568" s="0" t="inlineStr">
        <is>
          <t>인천시 남동구 만수동 5-3</t>
        </is>
      </c>
      <c r="AB1568" s="0" t="inlineStr">
        <is>
          <t>인천시</t>
        </is>
      </c>
      <c r="AC1568" s="0" t="inlineStr">
        <is>
          <t>남동구</t>
        </is>
      </c>
      <c r="AD1568" s="0" t="inlineStr">
        <is>
          <t>만수동</t>
        </is>
      </c>
      <c r="AG1568" s="0" t="inlineStr">
        <is>
          <t>인천시 남동구</t>
        </is>
      </c>
      <c r="AH1568" s="0" t="n">
        <v>0</v>
      </c>
      <c r="AI1568" s="0" t="n">
        <v>176</v>
      </c>
      <c r="AJ1568" s="0" t="n">
        <v>29</v>
      </c>
      <c r="AK1568" s="0" t="n">
        <v>0</v>
      </c>
      <c r="AL1568" s="0" t="n">
        <v>0</v>
      </c>
    </row>
    <row r="1569">
      <c r="A1569" s="0" t="inlineStr">
        <is>
          <t>[만수동]</t>
        </is>
      </c>
      <c r="B1569" s="0" t="n">
        <v>13737</v>
      </c>
      <c r="C1569" s="0" t="n">
        <v>5</v>
      </c>
      <c r="D1569" s="0" t="inlineStr">
        <is>
          <t>아주3차</t>
        </is>
      </c>
      <c r="E1569" s="0" t="inlineStr">
        <is>
          <t>1988.06.</t>
        </is>
      </c>
      <c r="F1569" s="0" t="n">
        <v>150</v>
      </c>
      <c r="G1569" s="0" t="n">
        <v>19.28</v>
      </c>
      <c r="H1569" s="0" t="n">
        <v>63.74</v>
      </c>
      <c r="I1569" s="0" t="n">
        <v>14.53</v>
      </c>
      <c r="J1569" s="0" t="n">
        <v>48.04</v>
      </c>
      <c r="K1569" s="0" t="n">
        <v>6</v>
      </c>
      <c r="T1569" s="0" t="n">
        <v>2</v>
      </c>
      <c r="U1569" s="0" t="n">
        <v>1</v>
      </c>
      <c r="V1569" s="0" t="inlineStr">
        <is>
          <t>복합식</t>
        </is>
      </c>
      <c r="W1569" s="0" t="n">
        <v>63</v>
      </c>
      <c r="X1569" s="0" t="n">
        <v>6</v>
      </c>
      <c r="Y1569" s="0" t="n">
        <v>6</v>
      </c>
      <c r="Z1569" s="0" t="inlineStr">
        <is>
          <t>https://new.land.naver.com/complexes/13737?tab=detail&amp;rf=Y</t>
        </is>
      </c>
      <c r="AA1569" s="0" t="inlineStr">
        <is>
          <t>인천시 남동구 만수동 5-3</t>
        </is>
      </c>
      <c r="AB1569" s="0" t="inlineStr">
        <is>
          <t>인천시</t>
        </is>
      </c>
      <c r="AC1569" s="0" t="inlineStr">
        <is>
          <t>남동구</t>
        </is>
      </c>
      <c r="AD1569" s="0" t="inlineStr">
        <is>
          <t>만수동</t>
        </is>
      </c>
      <c r="AG1569" s="0" t="inlineStr">
        <is>
          <t>인천시 남동구</t>
        </is>
      </c>
      <c r="AH1569" s="0" t="n">
        <v>0</v>
      </c>
      <c r="AI1569" s="0" t="n">
        <v>176</v>
      </c>
      <c r="AJ1569" s="0" t="n">
        <v>29</v>
      </c>
      <c r="AK1569" s="0" t="n">
        <v>0</v>
      </c>
      <c r="AL1569" s="0" t="n">
        <v>0</v>
      </c>
    </row>
    <row r="1570">
      <c r="A1570" s="0" t="inlineStr">
        <is>
          <t>[만수동]</t>
        </is>
      </c>
      <c r="B1570" s="0" t="n">
        <v>13737</v>
      </c>
      <c r="C1570" s="0" t="n">
        <v>6</v>
      </c>
      <c r="D1570" s="0" t="inlineStr">
        <is>
          <t>아주3차</t>
        </is>
      </c>
      <c r="E1570" s="0" t="inlineStr">
        <is>
          <t>1988.06.</t>
        </is>
      </c>
      <c r="F1570" s="0" t="n">
        <v>150</v>
      </c>
      <c r="G1570" s="0" t="n">
        <v>19.91</v>
      </c>
      <c r="H1570" s="0" t="n">
        <v>65.84999999999999</v>
      </c>
      <c r="I1570" s="0" t="n">
        <v>16.87</v>
      </c>
      <c r="J1570" s="0" t="n">
        <v>55.8</v>
      </c>
      <c r="K1570" s="0" t="n">
        <v>6</v>
      </c>
      <c r="T1570" s="0" t="n">
        <v>2</v>
      </c>
      <c r="U1570" s="0" t="n">
        <v>1</v>
      </c>
      <c r="V1570" s="0" t="inlineStr">
        <is>
          <t>계단식</t>
        </is>
      </c>
      <c r="W1570" s="0" t="inlineStr">
        <is>
          <t>65A</t>
        </is>
      </c>
      <c r="X1570" s="0" t="n">
        <v>6</v>
      </c>
      <c r="Y1570" s="0" t="n">
        <v>6</v>
      </c>
      <c r="Z1570" s="0" t="inlineStr">
        <is>
          <t>https://new.land.naver.com/complexes/13737?tab=detail&amp;rf=Y</t>
        </is>
      </c>
      <c r="AA1570" s="0" t="inlineStr">
        <is>
          <t>인천시 남동구 만수동 5-3</t>
        </is>
      </c>
      <c r="AB1570" s="0" t="inlineStr">
        <is>
          <t>인천시</t>
        </is>
      </c>
      <c r="AC1570" s="0" t="inlineStr">
        <is>
          <t>남동구</t>
        </is>
      </c>
      <c r="AD1570" s="0" t="inlineStr">
        <is>
          <t>만수동</t>
        </is>
      </c>
      <c r="AG1570" s="0" t="inlineStr">
        <is>
          <t>인천시 남동구</t>
        </is>
      </c>
      <c r="AH1570" s="0" t="n">
        <v>0</v>
      </c>
      <c r="AI1570" s="0" t="n">
        <v>176</v>
      </c>
      <c r="AJ1570" s="0" t="n">
        <v>29</v>
      </c>
      <c r="AK1570" s="0" t="n">
        <v>0</v>
      </c>
      <c r="AL1570" s="0" t="n">
        <v>0</v>
      </c>
    </row>
    <row r="1571">
      <c r="A1571" s="0" t="inlineStr">
        <is>
          <t>[만수동]</t>
        </is>
      </c>
      <c r="B1571" s="0" t="n">
        <v>13737</v>
      </c>
      <c r="C1571" s="0" t="n">
        <v>7</v>
      </c>
      <c r="D1571" s="0" t="inlineStr">
        <is>
          <t>아주3차</t>
        </is>
      </c>
      <c r="E1571" s="0" t="inlineStr">
        <is>
          <t>1988.06.</t>
        </is>
      </c>
      <c r="F1571" s="0" t="n">
        <v>150</v>
      </c>
      <c r="G1571" s="0" t="n">
        <v>20.47</v>
      </c>
      <c r="H1571" s="0" t="n">
        <v>67.7</v>
      </c>
      <c r="I1571" s="0" t="n">
        <v>15.61</v>
      </c>
      <c r="J1571" s="0" t="n">
        <v>51.63</v>
      </c>
      <c r="K1571" s="0" t="n">
        <v>6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67B</t>
        </is>
      </c>
      <c r="X1571" s="0" t="n">
        <v>6</v>
      </c>
      <c r="Y1571" s="0" t="n">
        <v>6</v>
      </c>
      <c r="Z1571" s="0" t="inlineStr">
        <is>
          <t>https://new.land.naver.com/complexes/13737?tab=detail&amp;rf=Y</t>
        </is>
      </c>
      <c r="AA1571" s="0" t="inlineStr">
        <is>
          <t>인천시 남동구 만수동 5-3</t>
        </is>
      </c>
      <c r="AB1571" s="0" t="inlineStr">
        <is>
          <t>인천시</t>
        </is>
      </c>
      <c r="AC1571" s="0" t="inlineStr">
        <is>
          <t>남동구</t>
        </is>
      </c>
      <c r="AD1571" s="0" t="inlineStr">
        <is>
          <t>만수동</t>
        </is>
      </c>
      <c r="AG1571" s="0" t="inlineStr">
        <is>
          <t>인천시 남동구</t>
        </is>
      </c>
      <c r="AH1571" s="0" t="n">
        <v>0</v>
      </c>
      <c r="AI1571" s="0" t="n">
        <v>176</v>
      </c>
      <c r="AJ1571" s="0" t="n">
        <v>29</v>
      </c>
      <c r="AK1571" s="0" t="n">
        <v>0</v>
      </c>
      <c r="AL1571" s="0" t="n">
        <v>0</v>
      </c>
    </row>
    <row r="1572">
      <c r="A1572" s="0" t="inlineStr">
        <is>
          <t>[만수동]</t>
        </is>
      </c>
      <c r="B1572" s="0" t="n">
        <v>13737</v>
      </c>
      <c r="C1572" s="0" t="n">
        <v>8</v>
      </c>
      <c r="D1572" s="0" t="inlineStr">
        <is>
          <t>아주3차</t>
        </is>
      </c>
      <c r="E1572" s="0" t="inlineStr">
        <is>
          <t>1988.06.</t>
        </is>
      </c>
      <c r="F1572" s="0" t="n">
        <v>150</v>
      </c>
      <c r="G1572" s="0" t="n">
        <v>21.69</v>
      </c>
      <c r="H1572" s="0" t="n">
        <v>71.73</v>
      </c>
      <c r="I1572" s="0" t="n">
        <v>18.51</v>
      </c>
      <c r="J1572" s="0" t="n">
        <v>61.2</v>
      </c>
      <c r="K1572" s="0" t="n">
        <v>6</v>
      </c>
      <c r="T1572" s="0" t="n">
        <v>3</v>
      </c>
      <c r="U1572" s="0" t="n">
        <v>1</v>
      </c>
      <c r="V1572" s="0" t="inlineStr">
        <is>
          <t>계단식</t>
        </is>
      </c>
      <c r="W1572" s="0" t="n">
        <v>71</v>
      </c>
      <c r="X1572" s="0" t="n">
        <v>6</v>
      </c>
      <c r="Y1572" s="0" t="n">
        <v>6</v>
      </c>
      <c r="Z1572" s="0" t="inlineStr">
        <is>
          <t>https://new.land.naver.com/complexes/13737?tab=detail&amp;rf=Y</t>
        </is>
      </c>
      <c r="AA1572" s="0" t="inlineStr">
        <is>
          <t>인천시 남동구 만수동 5-3</t>
        </is>
      </c>
      <c r="AB1572" s="0" t="inlineStr">
        <is>
          <t>인천시</t>
        </is>
      </c>
      <c r="AC1572" s="0" t="inlineStr">
        <is>
          <t>남동구</t>
        </is>
      </c>
      <c r="AD1572" s="0" t="inlineStr">
        <is>
          <t>만수동</t>
        </is>
      </c>
      <c r="AG1572" s="0" t="inlineStr">
        <is>
          <t>인천시 남동구</t>
        </is>
      </c>
      <c r="AH1572" s="0" t="n">
        <v>0</v>
      </c>
      <c r="AI1572" s="0" t="n">
        <v>176</v>
      </c>
      <c r="AJ1572" s="0" t="n">
        <v>29</v>
      </c>
      <c r="AK1572" s="0" t="n">
        <v>0</v>
      </c>
      <c r="AL1572" s="0" t="n">
        <v>0</v>
      </c>
    </row>
    <row r="1573">
      <c r="A1573" s="0" t="inlineStr">
        <is>
          <t>[만수동]</t>
        </is>
      </c>
      <c r="B1573" s="0" t="n">
        <v>107178</v>
      </c>
      <c r="C1573" s="0" t="n">
        <v>1</v>
      </c>
      <c r="D1573" s="0" t="inlineStr">
        <is>
          <t>신한(923-1)</t>
        </is>
      </c>
      <c r="E1573" s="0" t="inlineStr">
        <is>
          <t>1988.05.</t>
        </is>
      </c>
      <c r="F1573" s="0" t="n">
        <v>40</v>
      </c>
      <c r="G1573" s="0" t="n">
        <v>14.86</v>
      </c>
      <c r="H1573" s="0" t="n">
        <v>49.14</v>
      </c>
      <c r="I1573" s="0" t="n">
        <v>11.67</v>
      </c>
      <c r="J1573" s="0" t="n">
        <v>38.61</v>
      </c>
      <c r="K1573" s="0" t="n">
        <v>20</v>
      </c>
      <c r="T1573" s="0" t="n">
        <v>2</v>
      </c>
      <c r="U1573" s="0" t="n">
        <v>1</v>
      </c>
      <c r="V1573" s="0" t="inlineStr">
        <is>
          <t>복합식</t>
        </is>
      </c>
      <c r="W1573" s="0" t="n">
        <v>49</v>
      </c>
      <c r="X1573" s="0" t="n">
        <v>5</v>
      </c>
      <c r="Y1573" s="0" t="n">
        <v>5</v>
      </c>
      <c r="Z1573" s="0" t="inlineStr">
        <is>
          <t>https://new.land.naver.com/complexes/107178?tab=detail&amp;rf=Y</t>
        </is>
      </c>
      <c r="AA1573" s="0" t="inlineStr">
        <is>
          <t>인천시 남동구 만수동 923-1</t>
        </is>
      </c>
      <c r="AB1573" s="0" t="inlineStr">
        <is>
          <t>인천시</t>
        </is>
      </c>
      <c r="AC1573" s="0" t="inlineStr">
        <is>
          <t>남동구</t>
        </is>
      </c>
      <c r="AD1573" s="0" t="inlineStr">
        <is>
          <t>만수동</t>
        </is>
      </c>
      <c r="AG1573" s="0" t="inlineStr">
        <is>
          <t>인천시 남동구 구월로336번길 52</t>
        </is>
      </c>
      <c r="AH1573" s="0" t="n">
        <v>0</v>
      </c>
      <c r="AI1573" s="0" t="n">
        <v>0</v>
      </c>
      <c r="AJ1573" s="0" t="n">
        <v>0</v>
      </c>
      <c r="AK1573" s="0" t="n">
        <v>0</v>
      </c>
      <c r="AL1573" s="0" t="n">
        <v>0</v>
      </c>
    </row>
    <row r="1574">
      <c r="A1574" s="0" t="inlineStr">
        <is>
          <t>[만수동]</t>
        </is>
      </c>
      <c r="B1574" s="0" t="n">
        <v>107178</v>
      </c>
      <c r="C1574" s="0" t="n">
        <v>2</v>
      </c>
      <c r="D1574" s="0" t="inlineStr">
        <is>
          <t>신한(923-1)</t>
        </is>
      </c>
      <c r="E1574" s="0" t="inlineStr">
        <is>
          <t>1988.05.</t>
        </is>
      </c>
      <c r="F1574" s="0" t="n">
        <v>40</v>
      </c>
      <c r="G1574" s="0" t="n">
        <v>15.68</v>
      </c>
      <c r="H1574" s="0" t="n">
        <v>51.84</v>
      </c>
      <c r="I1574" s="0" t="n">
        <v>12.41</v>
      </c>
      <c r="J1574" s="0" t="n">
        <v>41.04</v>
      </c>
      <c r="K1574" s="0" t="n">
        <v>16</v>
      </c>
      <c r="T1574" s="0" t="n">
        <v>2</v>
      </c>
      <c r="U1574" s="0" t="n">
        <v>1</v>
      </c>
      <c r="V1574" s="0" t="inlineStr">
        <is>
          <t>복합식</t>
        </is>
      </c>
      <c r="W1574" s="0" t="inlineStr">
        <is>
          <t>51B</t>
        </is>
      </c>
      <c r="X1574" s="0" t="n">
        <v>5</v>
      </c>
      <c r="Y1574" s="0" t="n">
        <v>5</v>
      </c>
      <c r="Z1574" s="0" t="inlineStr">
        <is>
          <t>https://new.land.naver.com/complexes/107178?tab=detail&amp;rf=Y</t>
        </is>
      </c>
      <c r="AA1574" s="0" t="inlineStr">
        <is>
          <t>인천시 남동구 만수동 923-1</t>
        </is>
      </c>
      <c r="AB1574" s="0" t="inlineStr">
        <is>
          <t>인천시</t>
        </is>
      </c>
      <c r="AC1574" s="0" t="inlineStr">
        <is>
          <t>남동구</t>
        </is>
      </c>
      <c r="AD1574" s="0" t="inlineStr">
        <is>
          <t>만수동</t>
        </is>
      </c>
      <c r="AG1574" s="0" t="inlineStr">
        <is>
          <t>인천시 남동구 구월로336번길 52</t>
        </is>
      </c>
      <c r="AH1574" s="0" t="n">
        <v>0</v>
      </c>
      <c r="AI1574" s="0" t="n">
        <v>0</v>
      </c>
      <c r="AJ1574" s="0" t="n">
        <v>0</v>
      </c>
      <c r="AK1574" s="0" t="n">
        <v>0</v>
      </c>
      <c r="AL1574" s="0" t="n">
        <v>0</v>
      </c>
    </row>
    <row r="1575">
      <c r="A1575" s="0" t="inlineStr">
        <is>
          <t>[만수동]</t>
        </is>
      </c>
      <c r="B1575" s="0" t="n">
        <v>107178</v>
      </c>
      <c r="C1575" s="0" t="n">
        <v>3</v>
      </c>
      <c r="D1575" s="0" t="inlineStr">
        <is>
          <t>신한(923-1)</t>
        </is>
      </c>
      <c r="E1575" s="0" t="inlineStr">
        <is>
          <t>1988.05.</t>
        </is>
      </c>
      <c r="F1575" s="0" t="n">
        <v>40</v>
      </c>
      <c r="G1575" s="0" t="n">
        <v>15.67</v>
      </c>
      <c r="H1575" s="0" t="n">
        <v>51.83</v>
      </c>
      <c r="I1575" s="0" t="n">
        <v>12.41</v>
      </c>
      <c r="J1575" s="0" t="n">
        <v>41.03</v>
      </c>
      <c r="K1575" s="0" t="n">
        <v>4</v>
      </c>
      <c r="T1575" s="0" t="n">
        <v>2</v>
      </c>
      <c r="U1575" s="0" t="n">
        <v>1</v>
      </c>
      <c r="V1575" s="0" t="inlineStr">
        <is>
          <t>복합식</t>
        </is>
      </c>
      <c r="W1575" s="0" t="inlineStr">
        <is>
          <t>51A</t>
        </is>
      </c>
      <c r="X1575" s="0" t="n">
        <v>5</v>
      </c>
      <c r="Y1575" s="0" t="n">
        <v>5</v>
      </c>
      <c r="Z1575" s="0" t="inlineStr">
        <is>
          <t>https://new.land.naver.com/complexes/107178?tab=detail&amp;rf=Y</t>
        </is>
      </c>
      <c r="AA1575" s="0" t="inlineStr">
        <is>
          <t>인천시 남동구 만수동 923-1</t>
        </is>
      </c>
      <c r="AB1575" s="0" t="inlineStr">
        <is>
          <t>인천시</t>
        </is>
      </c>
      <c r="AC1575" s="0" t="inlineStr">
        <is>
          <t>남동구</t>
        </is>
      </c>
      <c r="AD1575" s="0" t="inlineStr">
        <is>
          <t>만수동</t>
        </is>
      </c>
      <c r="AG1575" s="0" t="inlineStr">
        <is>
          <t>인천시 남동구 구월로336번길 52</t>
        </is>
      </c>
      <c r="AH1575" s="0" t="n">
        <v>0</v>
      </c>
      <c r="AI1575" s="0" t="n">
        <v>0</v>
      </c>
      <c r="AJ1575" s="0" t="n">
        <v>0</v>
      </c>
      <c r="AK1575" s="0" t="n">
        <v>0</v>
      </c>
      <c r="AL1575" s="0" t="n">
        <v>0</v>
      </c>
    </row>
    <row r="1576">
      <c r="A1576" s="0" t="inlineStr">
        <is>
          <t>[만수동]</t>
        </is>
      </c>
      <c r="B1576" s="0" t="n">
        <v>8454</v>
      </c>
      <c r="C1576" s="0" t="n">
        <v>1</v>
      </c>
      <c r="D1576" s="0" t="inlineStr">
        <is>
          <t>장수</t>
        </is>
      </c>
      <c r="E1576" s="0" t="inlineStr">
        <is>
          <t>1999.10.</t>
        </is>
      </c>
      <c r="F1576" s="0" t="n">
        <v>19</v>
      </c>
      <c r="G1576" s="0" t="n">
        <v>32.69</v>
      </c>
      <c r="H1576" s="0" t="n">
        <v>108.08</v>
      </c>
      <c r="I1576" s="0" t="n">
        <v>28.56</v>
      </c>
      <c r="J1576" s="0" t="n">
        <v>94.43000000000001</v>
      </c>
      <c r="K1576" s="0" t="n">
        <v>18</v>
      </c>
      <c r="T1576" s="0" t="n">
        <v>3</v>
      </c>
      <c r="U1576" s="0" t="n">
        <v>2</v>
      </c>
      <c r="V1576" s="0" t="inlineStr">
        <is>
          <t>계단식</t>
        </is>
      </c>
      <c r="W1576" s="0" t="n">
        <v>108</v>
      </c>
      <c r="X1576" s="0" t="n">
        <v>11</v>
      </c>
      <c r="Y1576" s="0" t="n">
        <v>10</v>
      </c>
      <c r="Z1576" s="0" t="inlineStr">
        <is>
          <t>https://new.land.naver.com/complexes/8454?tab=detail&amp;rf=Y</t>
        </is>
      </c>
      <c r="AA1576" s="0" t="inlineStr">
        <is>
          <t>인천시 남동구 만수동 423-3</t>
        </is>
      </c>
      <c r="AB1576" s="0" t="inlineStr">
        <is>
          <t>인천시</t>
        </is>
      </c>
      <c r="AC1576" s="0" t="inlineStr">
        <is>
          <t>남동구</t>
        </is>
      </c>
      <c r="AD1576" s="0" t="inlineStr">
        <is>
          <t>만수동</t>
        </is>
      </c>
      <c r="AG1576" s="0" t="inlineStr">
        <is>
          <t>인천시 남동구 백범로 67</t>
        </is>
      </c>
      <c r="AH1576" s="0" t="n">
        <v>0</v>
      </c>
      <c r="AI1576" s="0" t="n">
        <v>356</v>
      </c>
      <c r="AJ1576" s="0" t="n">
        <v>51</v>
      </c>
      <c r="AK1576" s="0" t="n">
        <v>15</v>
      </c>
      <c r="AL1576" s="0" t="n">
        <v>0.79</v>
      </c>
    </row>
    <row r="1577">
      <c r="A1577" s="0" t="inlineStr">
        <is>
          <t>[만수동]</t>
        </is>
      </c>
      <c r="B1577" s="0" t="n">
        <v>8454</v>
      </c>
      <c r="C1577" s="0" t="n">
        <v>2</v>
      </c>
      <c r="D1577" s="0" t="inlineStr">
        <is>
          <t>장수</t>
        </is>
      </c>
      <c r="E1577" s="0" t="inlineStr">
        <is>
          <t>1999.10.</t>
        </is>
      </c>
      <c r="F1577" s="0" t="n">
        <v>19</v>
      </c>
      <c r="G1577" s="0" t="n">
        <v>65.17</v>
      </c>
      <c r="H1577" s="0" t="n">
        <v>215.47</v>
      </c>
      <c r="I1577" s="0" t="n">
        <v>57.13</v>
      </c>
      <c r="J1577" s="0" t="n">
        <v>188.86</v>
      </c>
      <c r="K1577" s="0" t="n">
        <v>1</v>
      </c>
      <c r="T1577" s="0" t="n">
        <v>3</v>
      </c>
      <c r="U1577" s="0" t="n">
        <v>2</v>
      </c>
      <c r="V1577" s="0" t="inlineStr">
        <is>
          <t>복합식</t>
        </is>
      </c>
      <c r="W1577" s="0" t="n">
        <v>215</v>
      </c>
      <c r="X1577" s="0" t="n">
        <v>11</v>
      </c>
      <c r="Y1577" s="0" t="n">
        <v>10</v>
      </c>
      <c r="Z1577" s="0" t="inlineStr">
        <is>
          <t>https://new.land.naver.com/complexes/8454?tab=detail&amp;rf=Y</t>
        </is>
      </c>
      <c r="AA1577" s="0" t="inlineStr">
        <is>
          <t>인천시 남동구 만수동 423-3</t>
        </is>
      </c>
      <c r="AB1577" s="0" t="inlineStr">
        <is>
          <t>인천시</t>
        </is>
      </c>
      <c r="AC1577" s="0" t="inlineStr">
        <is>
          <t>남동구</t>
        </is>
      </c>
      <c r="AD1577" s="0" t="inlineStr">
        <is>
          <t>만수동</t>
        </is>
      </c>
      <c r="AG1577" s="0" t="inlineStr">
        <is>
          <t>인천시 남동구 백범로 67</t>
        </is>
      </c>
      <c r="AH1577" s="0" t="n">
        <v>0</v>
      </c>
      <c r="AI1577" s="0" t="n">
        <v>356</v>
      </c>
      <c r="AJ1577" s="0" t="n">
        <v>51</v>
      </c>
      <c r="AK1577" s="0" t="n">
        <v>15</v>
      </c>
      <c r="AL1577" s="0" t="n">
        <v>0.79</v>
      </c>
    </row>
    <row r="1578">
      <c r="A1578" s="0" t="inlineStr">
        <is>
          <t>[만수동]</t>
        </is>
      </c>
      <c r="B1578" s="0" t="n">
        <v>13727</v>
      </c>
      <c r="C1578" s="0" t="n">
        <v>1</v>
      </c>
      <c r="D1578" s="0" t="inlineStr">
        <is>
          <t>영풍2차</t>
        </is>
      </c>
      <c r="E1578" s="0" t="inlineStr">
        <is>
          <t>1998.05.</t>
        </is>
      </c>
      <c r="F1578" s="0" t="n">
        <v>168</v>
      </c>
      <c r="G1578" s="0" t="n">
        <v>24.36</v>
      </c>
      <c r="H1578" s="0" t="n">
        <v>80.56</v>
      </c>
      <c r="I1578" s="0" t="n">
        <v>18.1</v>
      </c>
      <c r="J1578" s="0" t="n">
        <v>59.86</v>
      </c>
      <c r="K1578" s="0" t="n">
        <v>84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80</v>
      </c>
      <c r="X1578" s="0" t="n">
        <v>21</v>
      </c>
      <c r="Y1578" s="0" t="n">
        <v>21</v>
      </c>
      <c r="Z1578" s="0" t="inlineStr">
        <is>
          <t>https://new.land.naver.com/complexes/13727?tab=detail&amp;rf=Y</t>
        </is>
      </c>
      <c r="AA1578" s="0" t="inlineStr">
        <is>
          <t>인천시 남동구 만수동 849</t>
        </is>
      </c>
      <c r="AB1578" s="0" t="inlineStr">
        <is>
          <t>인천시</t>
        </is>
      </c>
      <c r="AC1578" s="0" t="inlineStr">
        <is>
          <t>남동구</t>
        </is>
      </c>
      <c r="AD1578" s="0" t="inlineStr">
        <is>
          <t>만수동</t>
        </is>
      </c>
      <c r="AG1578" s="0" t="inlineStr">
        <is>
          <t>인천시 남동구 호구포로888번길 40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[만수동]</t>
        </is>
      </c>
      <c r="B1579" s="0" t="n">
        <v>13727</v>
      </c>
      <c r="C1579" s="0" t="n">
        <v>2</v>
      </c>
      <c r="D1579" s="0" t="inlineStr">
        <is>
          <t>영풍2차</t>
        </is>
      </c>
      <c r="E1579" s="0" t="inlineStr">
        <is>
          <t>1998.05.</t>
        </is>
      </c>
      <c r="F1579" s="0" t="n">
        <v>168</v>
      </c>
      <c r="G1579" s="0" t="n">
        <v>32.76</v>
      </c>
      <c r="H1579" s="0" t="n">
        <v>108.31</v>
      </c>
      <c r="I1579" s="0" t="n">
        <v>25.68</v>
      </c>
      <c r="J1579" s="0" t="n">
        <v>84.90000000000001</v>
      </c>
      <c r="K1579" s="0" t="n">
        <v>42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108</v>
      </c>
      <c r="X1579" s="0" t="n">
        <v>21</v>
      </c>
      <c r="Y1579" s="0" t="n">
        <v>21</v>
      </c>
      <c r="Z1579" s="0" t="inlineStr">
        <is>
          <t>https://new.land.naver.com/complexes/13727?tab=detail&amp;rf=Y</t>
        </is>
      </c>
      <c r="AA1579" s="0" t="inlineStr">
        <is>
          <t>인천시 남동구 만수동 849</t>
        </is>
      </c>
      <c r="AB1579" s="0" t="inlineStr">
        <is>
          <t>인천시</t>
        </is>
      </c>
      <c r="AC1579" s="0" t="inlineStr">
        <is>
          <t>남동구</t>
        </is>
      </c>
      <c r="AD1579" s="0" t="inlineStr">
        <is>
          <t>만수동</t>
        </is>
      </c>
      <c r="AG1579" s="0" t="inlineStr">
        <is>
          <t>인천시 남동구 호구포로888번길 40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[만수동]</t>
        </is>
      </c>
      <c r="B1580" s="0" t="n">
        <v>13727</v>
      </c>
      <c r="C1580" s="0" t="n">
        <v>3</v>
      </c>
      <c r="D1580" s="0" t="inlineStr">
        <is>
          <t>영풍2차</t>
        </is>
      </c>
      <c r="E1580" s="0" t="inlineStr">
        <is>
          <t>1998.05.</t>
        </is>
      </c>
      <c r="F1580" s="0" t="n">
        <v>168</v>
      </c>
      <c r="G1580" s="0" t="n">
        <v>45.24</v>
      </c>
      <c r="H1580" s="0" t="n">
        <v>149.57</v>
      </c>
      <c r="I1580" s="0" t="n">
        <v>36.97</v>
      </c>
      <c r="J1580" s="0" t="n">
        <v>122.22</v>
      </c>
      <c r="K1580" s="0" t="n">
        <v>42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149</v>
      </c>
      <c r="X1580" s="0" t="n">
        <v>21</v>
      </c>
      <c r="Y1580" s="0" t="n">
        <v>21</v>
      </c>
      <c r="Z1580" s="0" t="inlineStr">
        <is>
          <t>https://new.land.naver.com/complexes/13727?tab=detail&amp;rf=Y</t>
        </is>
      </c>
      <c r="AA1580" s="0" t="inlineStr">
        <is>
          <t>인천시 남동구 만수동 849</t>
        </is>
      </c>
      <c r="AB1580" s="0" t="inlineStr">
        <is>
          <t>인천시</t>
        </is>
      </c>
      <c r="AC1580" s="0" t="inlineStr">
        <is>
          <t>남동구</t>
        </is>
      </c>
      <c r="AD1580" s="0" t="inlineStr">
        <is>
          <t>만수동</t>
        </is>
      </c>
      <c r="AG1580" s="0" t="inlineStr">
        <is>
          <t>인천시 남동구 호구포로888번길 40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[만수동]</t>
        </is>
      </c>
      <c r="B1581" s="0" t="n">
        <v>121822</v>
      </c>
      <c r="C1581" s="0" t="n">
        <v>1</v>
      </c>
      <c r="D1581" s="0" t="inlineStr">
        <is>
          <t>해밀뜨락</t>
        </is>
      </c>
      <c r="E1581" s="0" t="inlineStr">
        <is>
          <t>2016.11.</t>
        </is>
      </c>
      <c r="F1581" s="0" t="n">
        <v>7</v>
      </c>
      <c r="G1581" s="0" t="n">
        <v>19.21</v>
      </c>
      <c r="H1581" s="0" t="n">
        <v>63.52</v>
      </c>
      <c r="I1581" s="0" t="n">
        <v>15.66</v>
      </c>
      <c r="J1581" s="0" t="n">
        <v>51.8</v>
      </c>
      <c r="K1581" s="0" t="n">
        <v>2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63</v>
      </c>
      <c r="X1581" s="0" t="n">
        <v>11</v>
      </c>
      <c r="Y1581" s="0" t="n">
        <v>10</v>
      </c>
      <c r="Z1581" s="0" t="inlineStr">
        <is>
          <t>https://new.land.naver.com/complexes/121822?tab=detail&amp;rf=Y</t>
        </is>
      </c>
      <c r="AA1581" s="0" t="inlineStr">
        <is>
          <t>인천시 남동구 만수동 109-3</t>
        </is>
      </c>
      <c r="AB1581" s="0" t="inlineStr">
        <is>
          <t>인천시</t>
        </is>
      </c>
      <c r="AC1581" s="0" t="inlineStr">
        <is>
          <t>남동구</t>
        </is>
      </c>
      <c r="AD1581" s="0" t="inlineStr">
        <is>
          <t>만수동</t>
        </is>
      </c>
      <c r="AG1581" s="0" t="inlineStr">
        <is>
          <t>인천시 남동구 만수서로33번길 17</t>
        </is>
      </c>
      <c r="AH1581" s="0" t="n">
        <v>0</v>
      </c>
      <c r="AI1581" s="0" t="n">
        <v>468</v>
      </c>
      <c r="AJ1581" s="0" t="n">
        <v>59</v>
      </c>
      <c r="AK1581" s="0" t="n">
        <v>6</v>
      </c>
      <c r="AL1581" s="0" t="n">
        <v>0.86</v>
      </c>
    </row>
    <row r="1582">
      <c r="A1582" s="0" t="inlineStr">
        <is>
          <t>[만수동]</t>
        </is>
      </c>
      <c r="B1582" s="0" t="n">
        <v>121822</v>
      </c>
      <c r="C1582" s="0" t="n">
        <v>2</v>
      </c>
      <c r="D1582" s="0" t="inlineStr">
        <is>
          <t>해밀뜨락</t>
        </is>
      </c>
      <c r="E1582" s="0" t="inlineStr">
        <is>
          <t>2016.11.</t>
        </is>
      </c>
      <c r="F1582" s="0" t="n">
        <v>7</v>
      </c>
      <c r="G1582" s="0" t="n">
        <v>19.7</v>
      </c>
      <c r="H1582" s="0" t="n">
        <v>65.15000000000001</v>
      </c>
      <c r="I1582" s="0" t="n">
        <v>16.01</v>
      </c>
      <c r="J1582" s="0" t="n">
        <v>52.94</v>
      </c>
      <c r="K1582" s="0" t="n">
        <v>1</v>
      </c>
      <c r="T1582" s="0" t="n">
        <v>3</v>
      </c>
      <c r="U1582" s="0" t="n">
        <v>1</v>
      </c>
      <c r="V1582" s="0" t="inlineStr">
        <is>
          <t>계단식</t>
        </is>
      </c>
      <c r="W1582" s="0" t="inlineStr">
        <is>
          <t>65A</t>
        </is>
      </c>
      <c r="X1582" s="0" t="n">
        <v>11</v>
      </c>
      <c r="Y1582" s="0" t="n">
        <v>10</v>
      </c>
      <c r="Z1582" s="0" t="inlineStr">
        <is>
          <t>https://new.land.naver.com/complexes/121822?tab=detail&amp;rf=Y</t>
        </is>
      </c>
      <c r="AA1582" s="0" t="inlineStr">
        <is>
          <t>인천시 남동구 만수동 109-3</t>
        </is>
      </c>
      <c r="AB1582" s="0" t="inlineStr">
        <is>
          <t>인천시</t>
        </is>
      </c>
      <c r="AC1582" s="0" t="inlineStr">
        <is>
          <t>남동구</t>
        </is>
      </c>
      <c r="AD1582" s="0" t="inlineStr">
        <is>
          <t>만수동</t>
        </is>
      </c>
      <c r="AG1582" s="0" t="inlineStr">
        <is>
          <t>인천시 남동구 만수서로33번길 17</t>
        </is>
      </c>
      <c r="AH1582" s="0" t="n">
        <v>0</v>
      </c>
      <c r="AI1582" s="0" t="n">
        <v>468</v>
      </c>
      <c r="AJ1582" s="0" t="n">
        <v>59</v>
      </c>
      <c r="AK1582" s="0" t="n">
        <v>6</v>
      </c>
      <c r="AL1582" s="0" t="n">
        <v>0.86</v>
      </c>
    </row>
    <row r="1583">
      <c r="A1583" s="0" t="inlineStr">
        <is>
          <t>[만수동]</t>
        </is>
      </c>
      <c r="B1583" s="0" t="n">
        <v>121822</v>
      </c>
      <c r="C1583" s="0" t="n">
        <v>3</v>
      </c>
      <c r="D1583" s="0" t="inlineStr">
        <is>
          <t>해밀뜨락</t>
        </is>
      </c>
      <c r="E1583" s="0" t="inlineStr">
        <is>
          <t>2016.11.</t>
        </is>
      </c>
      <c r="F1583" s="0" t="n">
        <v>7</v>
      </c>
      <c r="G1583" s="0" t="n">
        <v>20.35</v>
      </c>
      <c r="H1583" s="0" t="n">
        <v>67.28</v>
      </c>
      <c r="I1583" s="0" t="n">
        <v>16.6</v>
      </c>
      <c r="J1583" s="0" t="n">
        <v>54.9</v>
      </c>
      <c r="K1583" s="0" t="n">
        <v>1</v>
      </c>
      <c r="T1583" s="0" t="n">
        <v>3</v>
      </c>
      <c r="U1583" s="0" t="n">
        <v>1</v>
      </c>
      <c r="V1583" s="0" t="inlineStr">
        <is>
          <t>계단식</t>
        </is>
      </c>
      <c r="W1583" s="0" t="inlineStr">
        <is>
          <t>67B</t>
        </is>
      </c>
      <c r="X1583" s="0" t="n">
        <v>11</v>
      </c>
      <c r="Y1583" s="0" t="n">
        <v>10</v>
      </c>
      <c r="Z1583" s="0" t="inlineStr">
        <is>
          <t>https://new.land.naver.com/complexes/121822?tab=detail&amp;rf=Y</t>
        </is>
      </c>
      <c r="AA1583" s="0" t="inlineStr">
        <is>
          <t>인천시 남동구 만수동 109-3</t>
        </is>
      </c>
      <c r="AB1583" s="0" t="inlineStr">
        <is>
          <t>인천시</t>
        </is>
      </c>
      <c r="AC1583" s="0" t="inlineStr">
        <is>
          <t>남동구</t>
        </is>
      </c>
      <c r="AD1583" s="0" t="inlineStr">
        <is>
          <t>만수동</t>
        </is>
      </c>
      <c r="AG1583" s="0" t="inlineStr">
        <is>
          <t>인천시 남동구 만수서로33번길 17</t>
        </is>
      </c>
      <c r="AH1583" s="0" t="n">
        <v>0</v>
      </c>
      <c r="AI1583" s="0" t="n">
        <v>468</v>
      </c>
      <c r="AJ1583" s="0" t="n">
        <v>59</v>
      </c>
      <c r="AK1583" s="0" t="n">
        <v>6</v>
      </c>
      <c r="AL1583" s="0" t="n">
        <v>0.86</v>
      </c>
    </row>
    <row r="1584">
      <c r="A1584" s="0" t="inlineStr">
        <is>
          <t>[만수동]</t>
        </is>
      </c>
      <c r="B1584" s="0" t="n">
        <v>121822</v>
      </c>
      <c r="C1584" s="0" t="n">
        <v>4</v>
      </c>
      <c r="D1584" s="0" t="inlineStr">
        <is>
          <t>해밀뜨락</t>
        </is>
      </c>
      <c r="E1584" s="0" t="inlineStr">
        <is>
          <t>2016.11.</t>
        </is>
      </c>
      <c r="F1584" s="0" t="n">
        <v>7</v>
      </c>
      <c r="G1584" s="0" t="n">
        <v>22.77</v>
      </c>
      <c r="H1584" s="0" t="n">
        <v>75.28</v>
      </c>
      <c r="I1584" s="0" t="n">
        <v>18.62</v>
      </c>
      <c r="J1584" s="0" t="n">
        <v>61.58</v>
      </c>
      <c r="K1584" s="0" t="n">
        <v>1</v>
      </c>
      <c r="T1584" s="0" t="n">
        <v>3</v>
      </c>
      <c r="U1584" s="0" t="n">
        <v>1</v>
      </c>
      <c r="V1584" s="0" t="inlineStr">
        <is>
          <t>계단식</t>
        </is>
      </c>
      <c r="W1584" s="0" t="n">
        <v>75</v>
      </c>
      <c r="X1584" s="0" t="n">
        <v>11</v>
      </c>
      <c r="Y1584" s="0" t="n">
        <v>10</v>
      </c>
      <c r="Z1584" s="0" t="inlineStr">
        <is>
          <t>https://new.land.naver.com/complexes/121822?tab=detail&amp;rf=Y</t>
        </is>
      </c>
      <c r="AA1584" s="0" t="inlineStr">
        <is>
          <t>인천시 남동구 만수동 109-3</t>
        </is>
      </c>
      <c r="AB1584" s="0" t="inlineStr">
        <is>
          <t>인천시</t>
        </is>
      </c>
      <c r="AC1584" s="0" t="inlineStr">
        <is>
          <t>남동구</t>
        </is>
      </c>
      <c r="AD1584" s="0" t="inlineStr">
        <is>
          <t>만수동</t>
        </is>
      </c>
      <c r="AG1584" s="0" t="inlineStr">
        <is>
          <t>인천시 남동구 만수서로33번길 17</t>
        </is>
      </c>
      <c r="AH1584" s="0" t="n">
        <v>0</v>
      </c>
      <c r="AI1584" s="0" t="n">
        <v>468</v>
      </c>
      <c r="AJ1584" s="0" t="n">
        <v>59</v>
      </c>
      <c r="AK1584" s="0" t="n">
        <v>6</v>
      </c>
      <c r="AL1584" s="0" t="n">
        <v>0.86</v>
      </c>
    </row>
    <row r="1585">
      <c r="A1585" s="0" t="inlineStr">
        <is>
          <t>[만수동]</t>
        </is>
      </c>
      <c r="B1585" s="0" t="n">
        <v>121822</v>
      </c>
      <c r="C1585" s="0" t="n">
        <v>5</v>
      </c>
      <c r="D1585" s="0" t="inlineStr">
        <is>
          <t>해밀뜨락</t>
        </is>
      </c>
      <c r="E1585" s="0" t="inlineStr">
        <is>
          <t>2016.11.</t>
        </is>
      </c>
      <c r="F1585" s="0" t="n">
        <v>7</v>
      </c>
      <c r="G1585" s="0" t="n">
        <v>30.97</v>
      </c>
      <c r="H1585" s="0" t="n">
        <v>102.39</v>
      </c>
      <c r="I1585" s="0" t="n">
        <v>25.42</v>
      </c>
      <c r="J1585" s="0" t="n">
        <v>84.06</v>
      </c>
      <c r="K1585" s="0" t="n">
        <v>1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102A</t>
        </is>
      </c>
      <c r="X1585" s="0" t="n">
        <v>11</v>
      </c>
      <c r="Y1585" s="0" t="n">
        <v>10</v>
      </c>
      <c r="Z1585" s="0" t="inlineStr">
        <is>
          <t>https://new.land.naver.com/complexes/121822?tab=detail&amp;rf=Y</t>
        </is>
      </c>
      <c r="AA1585" s="0" t="inlineStr">
        <is>
          <t>인천시 남동구 만수동 109-3</t>
        </is>
      </c>
      <c r="AB1585" s="0" t="inlineStr">
        <is>
          <t>인천시</t>
        </is>
      </c>
      <c r="AC1585" s="0" t="inlineStr">
        <is>
          <t>남동구</t>
        </is>
      </c>
      <c r="AD1585" s="0" t="inlineStr">
        <is>
          <t>만수동</t>
        </is>
      </c>
      <c r="AG1585" s="0" t="inlineStr">
        <is>
          <t>인천시 남동구 만수서로33번길 17</t>
        </is>
      </c>
      <c r="AH1585" s="0" t="n">
        <v>0</v>
      </c>
      <c r="AI1585" s="0" t="n">
        <v>468</v>
      </c>
      <c r="AJ1585" s="0" t="n">
        <v>59</v>
      </c>
      <c r="AK1585" s="0" t="n">
        <v>6</v>
      </c>
      <c r="AL1585" s="0" t="n">
        <v>0.86</v>
      </c>
    </row>
    <row r="1586">
      <c r="A1586" s="0" t="inlineStr">
        <is>
          <t>[만수동]</t>
        </is>
      </c>
      <c r="B1586" s="0" t="n">
        <v>121822</v>
      </c>
      <c r="C1586" s="0" t="n">
        <v>6</v>
      </c>
      <c r="D1586" s="0" t="inlineStr">
        <is>
          <t>해밀뜨락</t>
        </is>
      </c>
      <c r="E1586" s="0" t="inlineStr">
        <is>
          <t>2016.11.</t>
        </is>
      </c>
      <c r="F1586" s="0" t="n">
        <v>7</v>
      </c>
      <c r="G1586" s="0" t="n">
        <v>31.27</v>
      </c>
      <c r="H1586" s="0" t="n">
        <v>103.39</v>
      </c>
      <c r="I1586" s="0" t="n">
        <v>25.7</v>
      </c>
      <c r="J1586" s="0" t="n">
        <v>84.95999999999999</v>
      </c>
      <c r="K1586" s="0" t="n">
        <v>1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103B</t>
        </is>
      </c>
      <c r="X1586" s="0" t="n">
        <v>11</v>
      </c>
      <c r="Y1586" s="0" t="n">
        <v>10</v>
      </c>
      <c r="Z1586" s="0" t="inlineStr">
        <is>
          <t>https://new.land.naver.com/complexes/121822?tab=detail&amp;rf=Y</t>
        </is>
      </c>
      <c r="AA1586" s="0" t="inlineStr">
        <is>
          <t>인천시 남동구 만수동 109-3</t>
        </is>
      </c>
      <c r="AB1586" s="0" t="inlineStr">
        <is>
          <t>인천시</t>
        </is>
      </c>
      <c r="AC1586" s="0" t="inlineStr">
        <is>
          <t>남동구</t>
        </is>
      </c>
      <c r="AD1586" s="0" t="inlineStr">
        <is>
          <t>만수동</t>
        </is>
      </c>
      <c r="AG1586" s="0" t="inlineStr">
        <is>
          <t>인천시 남동구 만수서로33번길 17</t>
        </is>
      </c>
      <c r="AH1586" s="0" t="n">
        <v>0</v>
      </c>
      <c r="AI1586" s="0" t="n">
        <v>468</v>
      </c>
      <c r="AJ1586" s="0" t="n">
        <v>59</v>
      </c>
      <c r="AK1586" s="0" t="n">
        <v>6</v>
      </c>
      <c r="AL1586" s="0" t="n">
        <v>0.86</v>
      </c>
    </row>
    <row r="1587">
      <c r="A1587" s="0" t="inlineStr">
        <is>
          <t>[만수동]</t>
        </is>
      </c>
      <c r="B1587" s="0" t="n">
        <v>108015</v>
      </c>
      <c r="C1587" s="0" t="n">
        <v>1</v>
      </c>
      <c r="D1587" s="0" t="inlineStr">
        <is>
          <t>신안레미안</t>
        </is>
      </c>
      <c r="E1587" s="0" t="inlineStr">
        <is>
          <t>2012.01.</t>
        </is>
      </c>
      <c r="F1587" s="0" t="n">
        <v>16</v>
      </c>
      <c r="G1587" s="0" t="n">
        <v>20.77</v>
      </c>
      <c r="H1587" s="0" t="n">
        <v>68.69</v>
      </c>
      <c r="I1587" s="0" t="n">
        <v>18.07</v>
      </c>
      <c r="J1587" s="0" t="n">
        <v>59.75</v>
      </c>
      <c r="K1587" s="0" t="n">
        <v>8</v>
      </c>
      <c r="T1587" s="0" t="n">
        <v>2</v>
      </c>
      <c r="U1587" s="0" t="n">
        <v>1</v>
      </c>
      <c r="V1587" s="0" t="inlineStr">
        <is>
          <t>복합식</t>
        </is>
      </c>
      <c r="W1587" s="0" t="inlineStr">
        <is>
          <t>68A</t>
        </is>
      </c>
      <c r="X1587" s="0" t="n">
        <v>9</v>
      </c>
      <c r="Y1587" s="0" t="n">
        <v>9</v>
      </c>
      <c r="Z1587" s="0" t="inlineStr">
        <is>
          <t>https://new.land.naver.com/complexes/108015?tab=detail&amp;rf=Y</t>
        </is>
      </c>
      <c r="AA1587" s="0" t="inlineStr">
        <is>
          <t>인천시 남동구 만수동 867</t>
        </is>
      </c>
      <c r="AB1587" s="0" t="inlineStr">
        <is>
          <t>인천시</t>
        </is>
      </c>
      <c r="AC1587" s="0" t="inlineStr">
        <is>
          <t>남동구</t>
        </is>
      </c>
      <c r="AD1587" s="0" t="inlineStr">
        <is>
          <t>만수동</t>
        </is>
      </c>
      <c r="AG1587" s="0" t="inlineStr">
        <is>
          <t>인천시 남동구 만수서로 20</t>
        </is>
      </c>
      <c r="AH1587" s="0" t="n">
        <v>0</v>
      </c>
      <c r="AI1587" s="0" t="n">
        <v>408</v>
      </c>
      <c r="AJ1587" s="0" t="n">
        <v>58</v>
      </c>
      <c r="AK1587" s="0" t="n">
        <v>16</v>
      </c>
      <c r="AL1587" s="0" t="n">
        <v>1</v>
      </c>
    </row>
    <row r="1588">
      <c r="A1588" s="0" t="inlineStr">
        <is>
          <t>[만수동]</t>
        </is>
      </c>
      <c r="B1588" s="0" t="n">
        <v>108015</v>
      </c>
      <c r="C1588" s="0" t="n">
        <v>2</v>
      </c>
      <c r="D1588" s="0" t="inlineStr">
        <is>
          <t>신안레미안</t>
        </is>
      </c>
      <c r="E1588" s="0" t="inlineStr">
        <is>
          <t>2012.01.</t>
        </is>
      </c>
      <c r="F1588" s="0" t="n">
        <v>16</v>
      </c>
      <c r="G1588" s="0" t="n">
        <v>20.81</v>
      </c>
      <c r="H1588" s="0" t="n">
        <v>68.81999999999999</v>
      </c>
      <c r="I1588" s="0" t="n">
        <v>18.1</v>
      </c>
      <c r="J1588" s="0" t="n">
        <v>59.85</v>
      </c>
      <c r="K1588" s="0" t="n">
        <v>8</v>
      </c>
      <c r="T1588" s="0" t="n">
        <v>2</v>
      </c>
      <c r="U1588" s="0" t="n">
        <v>1</v>
      </c>
      <c r="V1588" s="0" t="inlineStr">
        <is>
          <t>복합식</t>
        </is>
      </c>
      <c r="W1588" s="0" t="inlineStr">
        <is>
          <t>68B</t>
        </is>
      </c>
      <c r="X1588" s="0" t="n">
        <v>9</v>
      </c>
      <c r="Y1588" s="0" t="n">
        <v>9</v>
      </c>
      <c r="Z1588" s="0" t="inlineStr">
        <is>
          <t>https://new.land.naver.com/complexes/108015?tab=detail&amp;rf=Y</t>
        </is>
      </c>
      <c r="AA1588" s="0" t="inlineStr">
        <is>
          <t>인천시 남동구 만수동 867</t>
        </is>
      </c>
      <c r="AB1588" s="0" t="inlineStr">
        <is>
          <t>인천시</t>
        </is>
      </c>
      <c r="AC1588" s="0" t="inlineStr">
        <is>
          <t>남동구</t>
        </is>
      </c>
      <c r="AD1588" s="0" t="inlineStr">
        <is>
          <t>만수동</t>
        </is>
      </c>
      <c r="AG1588" s="0" t="inlineStr">
        <is>
          <t>인천시 남동구 만수서로 20</t>
        </is>
      </c>
      <c r="AH1588" s="0" t="n">
        <v>0</v>
      </c>
      <c r="AI1588" s="0" t="n">
        <v>408</v>
      </c>
      <c r="AJ1588" s="0" t="n">
        <v>58</v>
      </c>
      <c r="AK1588" s="0" t="n">
        <v>16</v>
      </c>
      <c r="AL1588" s="0" t="n">
        <v>1</v>
      </c>
    </row>
    <row r="1589">
      <c r="A1589" s="0" t="inlineStr">
        <is>
          <t>[만수동]</t>
        </is>
      </c>
      <c r="B1589" s="0" t="n">
        <v>13829</v>
      </c>
      <c r="C1589" s="0" t="n">
        <v>1</v>
      </c>
      <c r="D1589" s="0" t="inlineStr">
        <is>
          <t>삼일</t>
        </is>
      </c>
      <c r="E1589" s="0" t="inlineStr">
        <is>
          <t>1985.02.</t>
        </is>
      </c>
      <c r="F1589" s="0" t="n">
        <v>30</v>
      </c>
      <c r="G1589" s="0" t="n">
        <v>19.89</v>
      </c>
      <c r="H1589" s="0" t="n">
        <v>65.77</v>
      </c>
      <c r="I1589" s="0" t="n">
        <v>16.58</v>
      </c>
      <c r="J1589" s="0" t="n">
        <v>54.81</v>
      </c>
      <c r="K1589" s="0" t="n">
        <v>30</v>
      </c>
      <c r="T1589" s="0" t="n">
        <v>2</v>
      </c>
      <c r="U1589" s="0" t="n">
        <v>1</v>
      </c>
      <c r="V1589" s="0" t="inlineStr">
        <is>
          <t>계단식</t>
        </is>
      </c>
      <c r="W1589" s="0" t="n">
        <v>65</v>
      </c>
      <c r="X1589" s="0" t="n">
        <v>5</v>
      </c>
      <c r="Y1589" s="0" t="n">
        <v>5</v>
      </c>
      <c r="Z1589" s="0" t="inlineStr">
        <is>
          <t>https://new.land.naver.com/complexes/13829?tab=detail&amp;rf=Y</t>
        </is>
      </c>
      <c r="AA1589" s="0" t="inlineStr">
        <is>
          <t>인천시 남동구 만수동 927-13</t>
        </is>
      </c>
      <c r="AB1589" s="0" t="inlineStr">
        <is>
          <t>인천시</t>
        </is>
      </c>
      <c r="AC1589" s="0" t="inlineStr">
        <is>
          <t>남동구</t>
        </is>
      </c>
      <c r="AD1589" s="0" t="inlineStr">
        <is>
          <t>만수동</t>
        </is>
      </c>
      <c r="AG1589" s="0" t="inlineStr">
        <is>
          <t>인천시 남동구 복개동로38번길 1</t>
        </is>
      </c>
      <c r="AH1589" s="0" t="n">
        <v>0</v>
      </c>
      <c r="AI1589" s="0" t="n">
        <v>0</v>
      </c>
      <c r="AJ1589" s="0" t="n">
        <v>0</v>
      </c>
      <c r="AK1589" s="0" t="n">
        <v>0</v>
      </c>
      <c r="AL1589" s="0" t="n">
        <v>0</v>
      </c>
    </row>
    <row r="1590">
      <c r="A1590" s="0" t="inlineStr">
        <is>
          <t>[만수동]</t>
        </is>
      </c>
      <c r="B1590" s="0" t="n">
        <v>2312</v>
      </c>
      <c r="C1590" s="0" t="n">
        <v>1</v>
      </c>
      <c r="D1590" s="0" t="inlineStr">
        <is>
          <t>만수주공2단지</t>
        </is>
      </c>
      <c r="E1590" s="0" t="inlineStr">
        <is>
          <t>1987.07.</t>
        </is>
      </c>
      <c r="F1590" s="0" t="n">
        <v>1920</v>
      </c>
      <c r="G1590" s="0" t="n">
        <v>22.82</v>
      </c>
      <c r="H1590" s="0" t="n">
        <v>75.45</v>
      </c>
      <c r="I1590" s="0" t="n">
        <v>16.6</v>
      </c>
      <c r="J1590" s="0" t="n">
        <v>54.9</v>
      </c>
      <c r="K1590" s="0" t="n">
        <v>480</v>
      </c>
      <c r="T1590" s="0" t="n">
        <v>2</v>
      </c>
      <c r="U1590" s="0" t="n">
        <v>1</v>
      </c>
      <c r="V1590" s="0" t="inlineStr">
        <is>
          <t>복도식</t>
        </is>
      </c>
      <c r="W1590" s="0" t="n">
        <v>75</v>
      </c>
      <c r="X1590" s="0" t="n">
        <v>15</v>
      </c>
      <c r="Y1590" s="0" t="n">
        <v>15</v>
      </c>
      <c r="Z1590" s="0" t="inlineStr">
        <is>
          <t>https://new.land.naver.com/complexes/2312?tab=detail&amp;rf=Y</t>
        </is>
      </c>
      <c r="AA1590" s="0" t="inlineStr">
        <is>
          <t>인천시 남동구 만수동 29</t>
        </is>
      </c>
      <c r="AB1590" s="0" t="inlineStr">
        <is>
          <t>인천시</t>
        </is>
      </c>
      <c r="AC1590" s="0" t="inlineStr">
        <is>
          <t>남동구</t>
        </is>
      </c>
      <c r="AD1590" s="0" t="inlineStr">
        <is>
          <t>만수동</t>
        </is>
      </c>
      <c r="AG1590" s="0" t="inlineStr">
        <is>
          <t>인천시 남동구 백범로124번길 43</t>
        </is>
      </c>
      <c r="AH1590" s="0" t="n">
        <v>0</v>
      </c>
      <c r="AI1590" s="0" t="n">
        <v>0</v>
      </c>
      <c r="AJ1590" s="0" t="n">
        <v>0</v>
      </c>
      <c r="AK1590" s="0" t="n">
        <v>960</v>
      </c>
      <c r="AL1590" s="0" t="n">
        <v>0.5</v>
      </c>
    </row>
    <row r="1591">
      <c r="A1591" s="0" t="inlineStr">
        <is>
          <t>[만수동]</t>
        </is>
      </c>
      <c r="B1591" s="0" t="n">
        <v>2312</v>
      </c>
      <c r="C1591" s="0" t="n">
        <v>2</v>
      </c>
      <c r="D1591" s="0" t="inlineStr">
        <is>
          <t>만수주공2단지</t>
        </is>
      </c>
      <c r="E1591" s="0" t="inlineStr">
        <is>
          <t>1987.07.</t>
        </is>
      </c>
      <c r="F1591" s="0" t="n">
        <v>1920</v>
      </c>
      <c r="G1591" s="0" t="n">
        <v>25.32</v>
      </c>
      <c r="H1591" s="0" t="n">
        <v>83.73</v>
      </c>
      <c r="I1591" s="0" t="n">
        <v>18.6</v>
      </c>
      <c r="J1591" s="0" t="n">
        <v>61.52</v>
      </c>
      <c r="K1591" s="0" t="n">
        <v>240</v>
      </c>
      <c r="T1591" s="0" t="n">
        <v>2</v>
      </c>
      <c r="U1591" s="0" t="n">
        <v>1</v>
      </c>
      <c r="V1591" s="0" t="inlineStr">
        <is>
          <t>복도식</t>
        </is>
      </c>
      <c r="W1591" s="0" t="n">
        <v>83</v>
      </c>
      <c r="X1591" s="0" t="n">
        <v>15</v>
      </c>
      <c r="Y1591" s="0" t="n">
        <v>15</v>
      </c>
      <c r="Z1591" s="0" t="inlineStr">
        <is>
          <t>https://new.land.naver.com/complexes/2312?tab=detail&amp;rf=Y</t>
        </is>
      </c>
      <c r="AA1591" s="0" t="inlineStr">
        <is>
          <t>인천시 남동구 만수동 29</t>
        </is>
      </c>
      <c r="AB1591" s="0" t="inlineStr">
        <is>
          <t>인천시</t>
        </is>
      </c>
      <c r="AC1591" s="0" t="inlineStr">
        <is>
          <t>남동구</t>
        </is>
      </c>
      <c r="AD1591" s="0" t="inlineStr">
        <is>
          <t>만수동</t>
        </is>
      </c>
      <c r="AG1591" s="0" t="inlineStr">
        <is>
          <t>인천시 남동구 백범로124번길 43</t>
        </is>
      </c>
      <c r="AH1591" s="0" t="n">
        <v>0</v>
      </c>
      <c r="AI1591" s="0" t="n">
        <v>0</v>
      </c>
      <c r="AJ1591" s="0" t="n">
        <v>0</v>
      </c>
      <c r="AK1591" s="0" t="n">
        <v>960</v>
      </c>
      <c r="AL1591" s="0" t="n">
        <v>0.5</v>
      </c>
    </row>
    <row r="1592">
      <c r="A1592" s="0" t="inlineStr">
        <is>
          <t>[만수동]</t>
        </is>
      </c>
      <c r="B1592" s="0" t="n">
        <v>2312</v>
      </c>
      <c r="C1592" s="0" t="n">
        <v>3</v>
      </c>
      <c r="D1592" s="0" t="inlineStr">
        <is>
          <t>만수주공2단지</t>
        </is>
      </c>
      <c r="E1592" s="0" t="inlineStr">
        <is>
          <t>1987.07.</t>
        </is>
      </c>
      <c r="F1592" s="0" t="n">
        <v>1920</v>
      </c>
      <c r="G1592" s="0" t="n">
        <v>26.86</v>
      </c>
      <c r="H1592" s="0" t="n">
        <v>88.81</v>
      </c>
      <c r="I1592" s="0" t="n">
        <v>19.54</v>
      </c>
      <c r="J1592" s="0" t="n">
        <v>64.62</v>
      </c>
      <c r="K1592" s="0" t="n">
        <v>300</v>
      </c>
      <c r="T1592" s="0" t="n">
        <v>3</v>
      </c>
      <c r="U1592" s="0" t="n">
        <v>1</v>
      </c>
      <c r="V1592" s="0" t="inlineStr">
        <is>
          <t>계단식</t>
        </is>
      </c>
      <c r="W1592" s="0" t="inlineStr">
        <is>
          <t>88D</t>
        </is>
      </c>
      <c r="X1592" s="0" t="n">
        <v>15</v>
      </c>
      <c r="Y1592" s="0" t="n">
        <v>15</v>
      </c>
      <c r="Z1592" s="0" t="inlineStr">
        <is>
          <t>https://new.land.naver.com/complexes/2312?tab=detail&amp;rf=Y</t>
        </is>
      </c>
      <c r="AA1592" s="0" t="inlineStr">
        <is>
          <t>인천시 남동구 만수동 29</t>
        </is>
      </c>
      <c r="AB1592" s="0" t="inlineStr">
        <is>
          <t>인천시</t>
        </is>
      </c>
      <c r="AC1592" s="0" t="inlineStr">
        <is>
          <t>남동구</t>
        </is>
      </c>
      <c r="AD1592" s="0" t="inlineStr">
        <is>
          <t>만수동</t>
        </is>
      </c>
      <c r="AG1592" s="0" t="inlineStr">
        <is>
          <t>인천시 남동구 백범로124번길 43</t>
        </is>
      </c>
      <c r="AH1592" s="0" t="n">
        <v>0</v>
      </c>
      <c r="AI1592" s="0" t="n">
        <v>0</v>
      </c>
      <c r="AJ1592" s="0" t="n">
        <v>0</v>
      </c>
      <c r="AK1592" s="0" t="n">
        <v>960</v>
      </c>
      <c r="AL1592" s="0" t="n">
        <v>0.5</v>
      </c>
    </row>
    <row r="1593">
      <c r="A1593" s="0" t="inlineStr">
        <is>
          <t>[만수동]</t>
        </is>
      </c>
      <c r="B1593" s="0" t="n">
        <v>2312</v>
      </c>
      <c r="C1593" s="0" t="n">
        <v>4</v>
      </c>
      <c r="D1593" s="0" t="inlineStr">
        <is>
          <t>만수주공2단지</t>
        </is>
      </c>
      <c r="E1593" s="0" t="inlineStr">
        <is>
          <t>1987.07.</t>
        </is>
      </c>
      <c r="F1593" s="0" t="n">
        <v>1920</v>
      </c>
      <c r="G1593" s="0" t="n">
        <v>27.18</v>
      </c>
      <c r="H1593" s="0" t="n">
        <v>89.86</v>
      </c>
      <c r="I1593" s="0" t="n">
        <v>19.54</v>
      </c>
      <c r="J1593" s="0" t="n">
        <v>64.62</v>
      </c>
      <c r="K1593" s="0" t="n">
        <v>240</v>
      </c>
      <c r="T1593" s="0" t="n">
        <v>3</v>
      </c>
      <c r="U1593" s="0" t="n">
        <v>1</v>
      </c>
      <c r="V1593" s="0" t="inlineStr">
        <is>
          <t>복도식</t>
        </is>
      </c>
      <c r="W1593" s="0" t="inlineStr">
        <is>
          <t>89A</t>
        </is>
      </c>
      <c r="X1593" s="0" t="n">
        <v>15</v>
      </c>
      <c r="Y1593" s="0" t="n">
        <v>15</v>
      </c>
      <c r="Z1593" s="0" t="inlineStr">
        <is>
          <t>https://new.land.naver.com/complexes/2312?tab=detail&amp;rf=Y</t>
        </is>
      </c>
      <c r="AA1593" s="0" t="inlineStr">
        <is>
          <t>인천시 남동구 만수동 29</t>
        </is>
      </c>
      <c r="AB1593" s="0" t="inlineStr">
        <is>
          <t>인천시</t>
        </is>
      </c>
      <c r="AC1593" s="0" t="inlineStr">
        <is>
          <t>남동구</t>
        </is>
      </c>
      <c r="AD1593" s="0" t="inlineStr">
        <is>
          <t>만수동</t>
        </is>
      </c>
      <c r="AG1593" s="0" t="inlineStr">
        <is>
          <t>인천시 남동구 백범로124번길 43</t>
        </is>
      </c>
      <c r="AH1593" s="0" t="n">
        <v>0</v>
      </c>
      <c r="AI1593" s="0" t="n">
        <v>0</v>
      </c>
      <c r="AJ1593" s="0" t="n">
        <v>0</v>
      </c>
      <c r="AK1593" s="0" t="n">
        <v>960</v>
      </c>
      <c r="AL1593" s="0" t="n">
        <v>0.5</v>
      </c>
    </row>
    <row r="1594">
      <c r="A1594" s="0" t="inlineStr">
        <is>
          <t>[만수동]</t>
        </is>
      </c>
      <c r="B1594" s="0" t="n">
        <v>2312</v>
      </c>
      <c r="C1594" s="0" t="n">
        <v>5</v>
      </c>
      <c r="D1594" s="0" t="inlineStr">
        <is>
          <t>만수주공2단지</t>
        </is>
      </c>
      <c r="E1594" s="0" t="inlineStr">
        <is>
          <t>1987.07.</t>
        </is>
      </c>
      <c r="F1594" s="0" t="n">
        <v>1920</v>
      </c>
      <c r="G1594" s="0" t="n">
        <v>27.4</v>
      </c>
      <c r="H1594" s="0" t="n">
        <v>90.58</v>
      </c>
      <c r="I1594" s="0" t="n">
        <v>20.13</v>
      </c>
      <c r="J1594" s="0" t="n">
        <v>66.56</v>
      </c>
      <c r="K1594" s="0" t="n">
        <v>120</v>
      </c>
      <c r="T1594" s="0" t="n">
        <v>3</v>
      </c>
      <c r="U1594" s="0" t="n">
        <v>1</v>
      </c>
      <c r="V1594" s="0" t="inlineStr">
        <is>
          <t>복도식</t>
        </is>
      </c>
      <c r="W1594" s="0" t="inlineStr">
        <is>
          <t>90B</t>
        </is>
      </c>
      <c r="X1594" s="0" t="n">
        <v>15</v>
      </c>
      <c r="Y1594" s="0" t="n">
        <v>15</v>
      </c>
      <c r="Z1594" s="0" t="inlineStr">
        <is>
          <t>https://new.land.naver.com/complexes/2312?tab=detail&amp;rf=Y</t>
        </is>
      </c>
      <c r="AA1594" s="0" t="inlineStr">
        <is>
          <t>인천시 남동구 만수동 29</t>
        </is>
      </c>
      <c r="AB1594" s="0" t="inlineStr">
        <is>
          <t>인천시</t>
        </is>
      </c>
      <c r="AC1594" s="0" t="inlineStr">
        <is>
          <t>남동구</t>
        </is>
      </c>
      <c r="AD1594" s="0" t="inlineStr">
        <is>
          <t>만수동</t>
        </is>
      </c>
      <c r="AG1594" s="0" t="inlineStr">
        <is>
          <t>인천시 남동구 백범로124번길 43</t>
        </is>
      </c>
      <c r="AH1594" s="0" t="n">
        <v>0</v>
      </c>
      <c r="AI1594" s="0" t="n">
        <v>0</v>
      </c>
      <c r="AJ1594" s="0" t="n">
        <v>0</v>
      </c>
      <c r="AK1594" s="0" t="n">
        <v>960</v>
      </c>
      <c r="AL1594" s="0" t="n">
        <v>0.5</v>
      </c>
    </row>
    <row r="1595">
      <c r="A1595" s="0" t="inlineStr">
        <is>
          <t>[만수동]</t>
        </is>
      </c>
      <c r="B1595" s="0" t="n">
        <v>2312</v>
      </c>
      <c r="C1595" s="0" t="n">
        <v>6</v>
      </c>
      <c r="D1595" s="0" t="inlineStr">
        <is>
          <t>만수주공2단지</t>
        </is>
      </c>
      <c r="E1595" s="0" t="inlineStr">
        <is>
          <t>1987.07.</t>
        </is>
      </c>
      <c r="F1595" s="0" t="n">
        <v>1920</v>
      </c>
      <c r="G1595" s="0" t="n">
        <v>27.32</v>
      </c>
      <c r="H1595" s="0" t="n">
        <v>90.34</v>
      </c>
      <c r="I1595" s="0" t="n">
        <v>20.07</v>
      </c>
      <c r="J1595" s="0" t="n">
        <v>66.38</v>
      </c>
      <c r="K1595" s="0" t="n">
        <v>60</v>
      </c>
      <c r="T1595" s="0" t="n">
        <v>3</v>
      </c>
      <c r="U1595" s="0" t="n">
        <v>1</v>
      </c>
      <c r="V1595" s="0" t="inlineStr">
        <is>
          <t>복도식</t>
        </is>
      </c>
      <c r="W1595" s="0" t="inlineStr">
        <is>
          <t>90C</t>
        </is>
      </c>
      <c r="X1595" s="0" t="n">
        <v>15</v>
      </c>
      <c r="Y1595" s="0" t="n">
        <v>15</v>
      </c>
      <c r="Z1595" s="0" t="inlineStr">
        <is>
          <t>https://new.land.naver.com/complexes/2312?tab=detail&amp;rf=Y</t>
        </is>
      </c>
      <c r="AA1595" s="0" t="inlineStr">
        <is>
          <t>인천시 남동구 만수동 29</t>
        </is>
      </c>
      <c r="AB1595" s="0" t="inlineStr">
        <is>
          <t>인천시</t>
        </is>
      </c>
      <c r="AC1595" s="0" t="inlineStr">
        <is>
          <t>남동구</t>
        </is>
      </c>
      <c r="AD1595" s="0" t="inlineStr">
        <is>
          <t>만수동</t>
        </is>
      </c>
      <c r="AG1595" s="0" t="inlineStr">
        <is>
          <t>인천시 남동구 백범로124번길 43</t>
        </is>
      </c>
      <c r="AH1595" s="0" t="n">
        <v>0</v>
      </c>
      <c r="AI1595" s="0" t="n">
        <v>0</v>
      </c>
      <c r="AJ1595" s="0" t="n">
        <v>0</v>
      </c>
      <c r="AK1595" s="0" t="n">
        <v>960</v>
      </c>
      <c r="AL1595" s="0" t="n">
        <v>0.5</v>
      </c>
    </row>
    <row r="1596">
      <c r="A1596" s="0" t="inlineStr">
        <is>
          <t>[만수동]</t>
        </is>
      </c>
      <c r="B1596" s="0" t="n">
        <v>2312</v>
      </c>
      <c r="C1596" s="0" t="n">
        <v>7</v>
      </c>
      <c r="D1596" s="0" t="inlineStr">
        <is>
          <t>만수주공2단지</t>
        </is>
      </c>
      <c r="E1596" s="0" t="inlineStr">
        <is>
          <t>1987.07.</t>
        </is>
      </c>
      <c r="F1596" s="0" t="n">
        <v>1920</v>
      </c>
      <c r="G1596" s="0" t="n">
        <v>27.69</v>
      </c>
      <c r="H1596" s="0" t="n">
        <v>91.56</v>
      </c>
      <c r="I1596" s="0" t="n">
        <v>20.35</v>
      </c>
      <c r="J1596" s="0" t="n">
        <v>67.28</v>
      </c>
      <c r="K1596" s="0" t="n">
        <v>60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91</v>
      </c>
      <c r="X1596" s="0" t="n">
        <v>15</v>
      </c>
      <c r="Y1596" s="0" t="n">
        <v>15</v>
      </c>
      <c r="Z1596" s="0" t="inlineStr">
        <is>
          <t>https://new.land.naver.com/complexes/2312?tab=detail&amp;rf=Y</t>
        </is>
      </c>
      <c r="AA1596" s="0" t="inlineStr">
        <is>
          <t>인천시 남동구 만수동 29</t>
        </is>
      </c>
      <c r="AB1596" s="0" t="inlineStr">
        <is>
          <t>인천시</t>
        </is>
      </c>
      <c r="AC1596" s="0" t="inlineStr">
        <is>
          <t>남동구</t>
        </is>
      </c>
      <c r="AD1596" s="0" t="inlineStr">
        <is>
          <t>만수동</t>
        </is>
      </c>
      <c r="AG1596" s="0" t="inlineStr">
        <is>
          <t>인천시 남동구 백범로124번길 43</t>
        </is>
      </c>
      <c r="AH1596" s="0" t="n">
        <v>0</v>
      </c>
      <c r="AI1596" s="0" t="n">
        <v>0</v>
      </c>
      <c r="AJ1596" s="0" t="n">
        <v>0</v>
      </c>
      <c r="AK1596" s="0" t="n">
        <v>960</v>
      </c>
      <c r="AL1596" s="0" t="n">
        <v>0.5</v>
      </c>
    </row>
    <row r="1597">
      <c r="A1597" s="0" t="inlineStr">
        <is>
          <t>[만수동]</t>
        </is>
      </c>
      <c r="B1597" s="0" t="n">
        <v>2312</v>
      </c>
      <c r="C1597" s="0" t="n">
        <v>8</v>
      </c>
      <c r="D1597" s="0" t="inlineStr">
        <is>
          <t>만수주공2단지</t>
        </is>
      </c>
      <c r="E1597" s="0" t="inlineStr">
        <is>
          <t>1987.07.</t>
        </is>
      </c>
      <c r="F1597" s="0" t="n">
        <v>1920</v>
      </c>
      <c r="G1597" s="0" t="n">
        <v>28.6</v>
      </c>
      <c r="H1597" s="0" t="n">
        <v>94.56999999999999</v>
      </c>
      <c r="I1597" s="0" t="n">
        <v>22.84</v>
      </c>
      <c r="J1597" s="0" t="n">
        <v>75.51000000000001</v>
      </c>
      <c r="K1597" s="0" t="n">
        <v>210</v>
      </c>
      <c r="T1597" s="0" t="n">
        <v>3</v>
      </c>
      <c r="U1597" s="0" t="n">
        <v>1</v>
      </c>
      <c r="V1597" s="0" t="inlineStr">
        <is>
          <t>복합식</t>
        </is>
      </c>
      <c r="W1597" s="0" t="inlineStr">
        <is>
          <t>94A</t>
        </is>
      </c>
      <c r="X1597" s="0" t="n">
        <v>15</v>
      </c>
      <c r="Y1597" s="0" t="n">
        <v>15</v>
      </c>
      <c r="Z1597" s="0" t="inlineStr">
        <is>
          <t>https://new.land.naver.com/complexes/2312?tab=detail&amp;rf=Y</t>
        </is>
      </c>
      <c r="AA1597" s="0" t="inlineStr">
        <is>
          <t>인천시 남동구 만수동 29</t>
        </is>
      </c>
      <c r="AB1597" s="0" t="inlineStr">
        <is>
          <t>인천시</t>
        </is>
      </c>
      <c r="AC1597" s="0" t="inlineStr">
        <is>
          <t>남동구</t>
        </is>
      </c>
      <c r="AD1597" s="0" t="inlineStr">
        <is>
          <t>만수동</t>
        </is>
      </c>
      <c r="AG1597" s="0" t="inlineStr">
        <is>
          <t>인천시 남동구 백범로124번길 43</t>
        </is>
      </c>
      <c r="AH1597" s="0" t="n">
        <v>0</v>
      </c>
      <c r="AI1597" s="0" t="n">
        <v>0</v>
      </c>
      <c r="AJ1597" s="0" t="n">
        <v>0</v>
      </c>
      <c r="AK1597" s="0" t="n">
        <v>960</v>
      </c>
      <c r="AL1597" s="0" t="n">
        <v>0.5</v>
      </c>
    </row>
    <row r="1598">
      <c r="A1598" s="0" t="inlineStr">
        <is>
          <t>[만수동]</t>
        </is>
      </c>
      <c r="B1598" s="0" t="n">
        <v>2312</v>
      </c>
      <c r="C1598" s="0" t="n">
        <v>9</v>
      </c>
      <c r="D1598" s="0" t="inlineStr">
        <is>
          <t>만수주공2단지</t>
        </is>
      </c>
      <c r="E1598" s="0" t="inlineStr">
        <is>
          <t>1987.07.</t>
        </is>
      </c>
      <c r="F1598" s="0" t="n">
        <v>1920</v>
      </c>
      <c r="G1598" s="0" t="n">
        <v>28.5</v>
      </c>
      <c r="H1598" s="0" t="n">
        <v>94.23</v>
      </c>
      <c r="I1598" s="0" t="n">
        <v>22.76</v>
      </c>
      <c r="J1598" s="0" t="n">
        <v>75.23999999999999</v>
      </c>
      <c r="K1598" s="0" t="n">
        <v>210</v>
      </c>
      <c r="T1598" s="0" t="n">
        <v>3</v>
      </c>
      <c r="U1598" s="0" t="n">
        <v>1</v>
      </c>
      <c r="V1598" s="0" t="inlineStr">
        <is>
          <t>계단식</t>
        </is>
      </c>
      <c r="W1598" s="0" t="inlineStr">
        <is>
          <t>94B</t>
        </is>
      </c>
      <c r="X1598" s="0" t="n">
        <v>15</v>
      </c>
      <c r="Y1598" s="0" t="n">
        <v>15</v>
      </c>
      <c r="Z1598" s="0" t="inlineStr">
        <is>
          <t>https://new.land.naver.com/complexes/2312?tab=detail&amp;rf=Y</t>
        </is>
      </c>
      <c r="AA1598" s="0" t="inlineStr">
        <is>
          <t>인천시 남동구 만수동 29</t>
        </is>
      </c>
      <c r="AB1598" s="0" t="inlineStr">
        <is>
          <t>인천시</t>
        </is>
      </c>
      <c r="AC1598" s="0" t="inlineStr">
        <is>
          <t>남동구</t>
        </is>
      </c>
      <c r="AD1598" s="0" t="inlineStr">
        <is>
          <t>만수동</t>
        </is>
      </c>
      <c r="AG1598" s="0" t="inlineStr">
        <is>
          <t>인천시 남동구 백범로124번길 43</t>
        </is>
      </c>
      <c r="AH1598" s="0" t="n">
        <v>0</v>
      </c>
      <c r="AI1598" s="0" t="n">
        <v>0</v>
      </c>
      <c r="AJ1598" s="0" t="n">
        <v>0</v>
      </c>
      <c r="AK1598" s="0" t="n">
        <v>960</v>
      </c>
      <c r="AL1598" s="0" t="n">
        <v>0.5</v>
      </c>
    </row>
    <row r="1599">
      <c r="A1599" s="0" t="inlineStr">
        <is>
          <t>[만수동]</t>
        </is>
      </c>
      <c r="B1599" s="0" t="n">
        <v>116409</v>
      </c>
      <c r="C1599" s="0" t="n">
        <v>1</v>
      </c>
      <c r="D1599" s="0" t="inlineStr">
        <is>
          <t>리더스힐</t>
        </is>
      </c>
      <c r="E1599" s="0" t="inlineStr">
        <is>
          <t>2015.12.</t>
        </is>
      </c>
      <c r="F1599" s="0" t="n">
        <v>8</v>
      </c>
      <c r="G1599" s="0" t="n">
        <v>19.47</v>
      </c>
      <c r="H1599" s="0" t="n">
        <v>64.37</v>
      </c>
      <c r="I1599" s="0" t="n">
        <v>16.02</v>
      </c>
      <c r="J1599" s="0" t="n">
        <v>52.96</v>
      </c>
      <c r="K1599" s="0" t="n">
        <v>8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64</v>
      </c>
      <c r="X1599" s="0" t="n">
        <v>12</v>
      </c>
      <c r="Y1599" s="0" t="n">
        <v>12</v>
      </c>
      <c r="Z1599" s="0" t="inlineStr">
        <is>
          <t>https://new.land.naver.com/complexes/116409?tab=detail&amp;rf=Y</t>
        </is>
      </c>
      <c r="AA1599" s="0" t="inlineStr">
        <is>
          <t>인천시 남동구 만수동 866-20</t>
        </is>
      </c>
      <c r="AB1599" s="0" t="inlineStr">
        <is>
          <t>인천시</t>
        </is>
      </c>
      <c r="AC1599" s="0" t="inlineStr">
        <is>
          <t>남동구</t>
        </is>
      </c>
      <c r="AD1599" s="0" t="inlineStr">
        <is>
          <t>만수동</t>
        </is>
      </c>
      <c r="AG1599" s="0" t="inlineStr">
        <is>
          <t>인천시 남동구 만수서로 17</t>
        </is>
      </c>
      <c r="AH1599" s="0" t="n">
        <v>0</v>
      </c>
      <c r="AI1599" s="0" t="n">
        <v>457</v>
      </c>
      <c r="AJ1599" s="0" t="n">
        <v>56</v>
      </c>
      <c r="AK1599" s="0" t="n">
        <v>9</v>
      </c>
      <c r="AL1599" s="0" t="n">
        <v>1.12</v>
      </c>
    </row>
    <row r="1600">
      <c r="A1600" s="0" t="inlineStr">
        <is>
          <t>[만수동]</t>
        </is>
      </c>
      <c r="B1600" s="0" t="n">
        <v>2322</v>
      </c>
      <c r="C1600" s="0" t="n">
        <v>1</v>
      </c>
      <c r="D1600" s="0" t="inlineStr">
        <is>
          <t>한국</t>
        </is>
      </c>
      <c r="E1600" s="0" t="inlineStr">
        <is>
          <t>1992.04.</t>
        </is>
      </c>
      <c r="F1600" s="0" t="n">
        <v>608</v>
      </c>
      <c r="G1600" s="0" t="n">
        <v>31.36</v>
      </c>
      <c r="H1600" s="0" t="n">
        <v>103.68</v>
      </c>
      <c r="I1600" s="0" t="n">
        <v>25.47</v>
      </c>
      <c r="J1600" s="0" t="n">
        <v>84.23</v>
      </c>
      <c r="K1600" s="0" t="n">
        <v>320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103A</t>
        </is>
      </c>
      <c r="X1600" s="0" t="n">
        <v>16</v>
      </c>
      <c r="Y1600" s="0" t="n">
        <v>16</v>
      </c>
      <c r="Z1600" s="0" t="inlineStr">
        <is>
          <t>https://new.land.naver.com/complexes/2322?tab=detail&amp;rf=Y</t>
        </is>
      </c>
      <c r="AA1600" s="0" t="inlineStr">
        <is>
          <t>인천시 남동구 만수동 1045</t>
        </is>
      </c>
      <c r="AB1600" s="0" t="inlineStr">
        <is>
          <t>인천시</t>
        </is>
      </c>
      <c r="AC1600" s="0" t="inlineStr">
        <is>
          <t>남동구</t>
        </is>
      </c>
      <c r="AD1600" s="0" t="inlineStr">
        <is>
          <t>만수동</t>
        </is>
      </c>
      <c r="AG1600" s="0" t="inlineStr">
        <is>
          <t>인천시 남동구 담방로21번길 23</t>
        </is>
      </c>
      <c r="AH1600" s="0" t="n">
        <v>0</v>
      </c>
      <c r="AI1600" s="0" t="n">
        <v>251</v>
      </c>
      <c r="AJ1600" s="0" t="n">
        <v>19</v>
      </c>
      <c r="AK1600" s="0" t="n">
        <v>426</v>
      </c>
      <c r="AL1600" s="0" t="n">
        <v>0.7</v>
      </c>
    </row>
    <row r="1601">
      <c r="A1601" s="0" t="inlineStr">
        <is>
          <t>[만수동]</t>
        </is>
      </c>
      <c r="B1601" s="0" t="n">
        <v>2322</v>
      </c>
      <c r="C1601" s="0" t="n">
        <v>2</v>
      </c>
      <c r="D1601" s="0" t="inlineStr">
        <is>
          <t>한국</t>
        </is>
      </c>
      <c r="E1601" s="0" t="inlineStr">
        <is>
          <t>1992.04.</t>
        </is>
      </c>
      <c r="F1601" s="0" t="n">
        <v>608</v>
      </c>
      <c r="G1601" s="0" t="n">
        <v>31.59</v>
      </c>
      <c r="H1601" s="0" t="n">
        <v>104.45</v>
      </c>
      <c r="I1601" s="0" t="n">
        <v>25.61</v>
      </c>
      <c r="J1601" s="0" t="n">
        <v>84.69</v>
      </c>
      <c r="K1601" s="0" t="n">
        <v>288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104B</t>
        </is>
      </c>
      <c r="X1601" s="0" t="n">
        <v>16</v>
      </c>
      <c r="Y1601" s="0" t="n">
        <v>16</v>
      </c>
      <c r="Z1601" s="0" t="inlineStr">
        <is>
          <t>https://new.land.naver.com/complexes/2322?tab=detail&amp;rf=Y</t>
        </is>
      </c>
      <c r="AA1601" s="0" t="inlineStr">
        <is>
          <t>인천시 남동구 만수동 1045</t>
        </is>
      </c>
      <c r="AB1601" s="0" t="inlineStr">
        <is>
          <t>인천시</t>
        </is>
      </c>
      <c r="AC1601" s="0" t="inlineStr">
        <is>
          <t>남동구</t>
        </is>
      </c>
      <c r="AD1601" s="0" t="inlineStr">
        <is>
          <t>만수동</t>
        </is>
      </c>
      <c r="AG1601" s="0" t="inlineStr">
        <is>
          <t>인천시 남동구 담방로21번길 23</t>
        </is>
      </c>
      <c r="AH1601" s="0" t="n">
        <v>0</v>
      </c>
      <c r="AI1601" s="0" t="n">
        <v>251</v>
      </c>
      <c r="AJ1601" s="0" t="n">
        <v>19</v>
      </c>
      <c r="AK1601" s="0" t="n">
        <v>426</v>
      </c>
      <c r="AL1601" s="0" t="n">
        <v>0.7</v>
      </c>
    </row>
    <row r="1602">
      <c r="A1602" s="0" t="inlineStr">
        <is>
          <t>[만수동]</t>
        </is>
      </c>
      <c r="B1602" s="0" t="n">
        <v>9300</v>
      </c>
      <c r="C1602" s="0" t="n">
        <v>1</v>
      </c>
      <c r="D1602" s="0" t="inlineStr">
        <is>
          <t>삼성</t>
        </is>
      </c>
      <c r="E1602" s="0" t="inlineStr">
        <is>
          <t>1984.04.</t>
        </is>
      </c>
      <c r="F1602" s="0" t="n">
        <v>48</v>
      </c>
      <c r="G1602" s="0" t="n">
        <v>15.04</v>
      </c>
      <c r="H1602" s="0" t="n">
        <v>49.74</v>
      </c>
      <c r="I1602" s="0" t="n">
        <v>11.41</v>
      </c>
      <c r="J1602" s="0" t="n">
        <v>37.74</v>
      </c>
      <c r="K1602" s="0" t="n">
        <v>6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49</v>
      </c>
      <c r="X1602" s="0" t="n">
        <v>6</v>
      </c>
      <c r="Y1602" s="0" t="n">
        <v>6</v>
      </c>
      <c r="Z1602" s="0" t="inlineStr">
        <is>
          <t>https://new.land.naver.com/complexes/9300?tab=detail&amp;rf=Y</t>
        </is>
      </c>
      <c r="AA1602" s="0" t="inlineStr">
        <is>
          <t>인천시 남동구 만수동 968-1</t>
        </is>
      </c>
      <c r="AB1602" s="0" t="inlineStr">
        <is>
          <t>인천시</t>
        </is>
      </c>
      <c r="AC1602" s="0" t="inlineStr">
        <is>
          <t>남동구</t>
        </is>
      </c>
      <c r="AD1602" s="0" t="inlineStr">
        <is>
          <t>만수동</t>
        </is>
      </c>
      <c r="AG1602" s="0" t="inlineStr">
        <is>
          <t>인천시 남동구 하촌로 40-6</t>
        </is>
      </c>
      <c r="AH1602" s="0" t="n">
        <v>0</v>
      </c>
      <c r="AI1602" s="0" t="n">
        <v>0</v>
      </c>
      <c r="AJ1602" s="0" t="n">
        <v>0</v>
      </c>
      <c r="AK1602" s="0" t="n">
        <v>0</v>
      </c>
      <c r="AL1602" s="0" t="n">
        <v>0</v>
      </c>
    </row>
    <row r="1603">
      <c r="A1603" s="0" t="inlineStr">
        <is>
          <t>[만수동]</t>
        </is>
      </c>
      <c r="B1603" s="0" t="n">
        <v>9300</v>
      </c>
      <c r="C1603" s="0" t="n">
        <v>2</v>
      </c>
      <c r="D1603" s="0" t="inlineStr">
        <is>
          <t>삼성</t>
        </is>
      </c>
      <c r="E1603" s="0" t="inlineStr">
        <is>
          <t>1984.04.</t>
        </is>
      </c>
      <c r="F1603" s="0" t="n">
        <v>48</v>
      </c>
      <c r="G1603" s="0" t="n">
        <v>15.82</v>
      </c>
      <c r="H1603" s="0" t="n">
        <v>52.3</v>
      </c>
      <c r="I1603" s="0" t="n">
        <v>12.08</v>
      </c>
      <c r="J1603" s="0" t="n">
        <v>39.96</v>
      </c>
      <c r="K1603" s="0" t="n">
        <v>42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52</v>
      </c>
      <c r="X1603" s="0" t="n">
        <v>6</v>
      </c>
      <c r="Y1603" s="0" t="n">
        <v>6</v>
      </c>
      <c r="Z1603" s="0" t="inlineStr">
        <is>
          <t>https://new.land.naver.com/complexes/9300?tab=detail&amp;rf=Y</t>
        </is>
      </c>
      <c r="AA1603" s="0" t="inlineStr">
        <is>
          <t>인천시 남동구 만수동 968-1</t>
        </is>
      </c>
      <c r="AB1603" s="0" t="inlineStr">
        <is>
          <t>인천시</t>
        </is>
      </c>
      <c r="AC1603" s="0" t="inlineStr">
        <is>
          <t>남동구</t>
        </is>
      </c>
      <c r="AD1603" s="0" t="inlineStr">
        <is>
          <t>만수동</t>
        </is>
      </c>
      <c r="AG1603" s="0" t="inlineStr">
        <is>
          <t>인천시 남동구 하촌로 40-6</t>
        </is>
      </c>
      <c r="AH1603" s="0" t="n">
        <v>0</v>
      </c>
      <c r="AI1603" s="0" t="n">
        <v>0</v>
      </c>
      <c r="AJ1603" s="0" t="n">
        <v>0</v>
      </c>
      <c r="AK1603" s="0" t="n">
        <v>0</v>
      </c>
      <c r="AL1603" s="0" t="n">
        <v>0</v>
      </c>
    </row>
    <row r="1604">
      <c r="A1604" s="0" t="inlineStr">
        <is>
          <t>[만수동]</t>
        </is>
      </c>
      <c r="B1604" s="0" t="n">
        <v>2310</v>
      </c>
      <c r="C1604" s="0" t="n">
        <v>1</v>
      </c>
      <c r="D1604" s="0" t="inlineStr">
        <is>
          <t>만수주공10단지</t>
        </is>
      </c>
      <c r="E1604" s="0" t="inlineStr">
        <is>
          <t>1994.05.</t>
        </is>
      </c>
      <c r="F1604" s="0" t="n">
        <v>420</v>
      </c>
      <c r="G1604" s="0" t="n">
        <v>21.03</v>
      </c>
      <c r="H1604" s="0" t="n">
        <v>69.55</v>
      </c>
      <c r="I1604" s="0" t="n">
        <v>15.05</v>
      </c>
      <c r="J1604" s="0" t="n">
        <v>49.77</v>
      </c>
      <c r="K1604" s="0" t="n">
        <v>420</v>
      </c>
      <c r="T1604" s="0" t="n">
        <v>2</v>
      </c>
      <c r="U1604" s="0" t="n">
        <v>1</v>
      </c>
      <c r="V1604" s="0" t="inlineStr">
        <is>
          <t>복도식</t>
        </is>
      </c>
      <c r="W1604" s="0" t="n">
        <v>69</v>
      </c>
      <c r="X1604" s="0" t="n">
        <v>15</v>
      </c>
      <c r="Y1604" s="0" t="n">
        <v>15</v>
      </c>
      <c r="Z1604" s="0" t="inlineStr">
        <is>
          <t>https://new.land.naver.com/complexes/2310?tab=detail&amp;rf=Y</t>
        </is>
      </c>
      <c r="AA1604" s="0" t="inlineStr">
        <is>
          <t>인천시 남동구 만수동 1043</t>
        </is>
      </c>
      <c r="AB1604" s="0" t="inlineStr">
        <is>
          <t>인천시</t>
        </is>
      </c>
      <c r="AC1604" s="0" t="inlineStr">
        <is>
          <t>남동구</t>
        </is>
      </c>
      <c r="AD1604" s="0" t="inlineStr">
        <is>
          <t>만수동</t>
        </is>
      </c>
      <c r="AG1604" s="0" t="inlineStr">
        <is>
          <t>인천시 남동구 장승남로 34</t>
        </is>
      </c>
      <c r="AH1604" s="0" t="n">
        <v>0</v>
      </c>
      <c r="AI1604" s="0" t="n">
        <v>198</v>
      </c>
      <c r="AJ1604" s="0" t="n">
        <v>17</v>
      </c>
      <c r="AK1604" s="0" t="n">
        <v>161</v>
      </c>
      <c r="AL1604" s="0" t="n">
        <v>0.38</v>
      </c>
    </row>
    <row r="1605">
      <c r="A1605" s="0" t="inlineStr">
        <is>
          <t>[만수동]</t>
        </is>
      </c>
      <c r="B1605" s="0" t="n">
        <v>25699</v>
      </c>
      <c r="C1605" s="0" t="n">
        <v>1</v>
      </c>
      <c r="D1605" s="0" t="inlineStr">
        <is>
          <t>은성프레미오</t>
        </is>
      </c>
      <c r="E1605" s="0" t="inlineStr">
        <is>
          <t>2003.08.</t>
        </is>
      </c>
      <c r="F1605" s="0" t="n">
        <v>36</v>
      </c>
      <c r="G1605" s="0" t="n">
        <v>26.6</v>
      </c>
      <c r="H1605" s="0" t="n">
        <v>87.95</v>
      </c>
      <c r="I1605" s="0" t="n">
        <v>20.75</v>
      </c>
      <c r="J1605" s="0" t="n">
        <v>68.62</v>
      </c>
      <c r="K1605" s="0" t="n">
        <v>24</v>
      </c>
      <c r="T1605" s="0" t="n">
        <v>3</v>
      </c>
      <c r="U1605" s="0" t="n">
        <v>2</v>
      </c>
      <c r="V1605" s="0" t="inlineStr">
        <is>
          <t>복도식</t>
        </is>
      </c>
      <c r="W1605" s="0" t="inlineStr">
        <is>
          <t>87A</t>
        </is>
      </c>
      <c r="X1605" s="0" t="n">
        <v>7</v>
      </c>
      <c r="Y1605" s="0" t="n">
        <v>7</v>
      </c>
      <c r="Z1605" s="0" t="inlineStr">
        <is>
          <t>https://new.land.naver.com/complexes/25699?tab=detail&amp;rf=Y</t>
        </is>
      </c>
      <c r="AA1605" s="0" t="inlineStr">
        <is>
          <t>인천시 남동구 만수동 927-1</t>
        </is>
      </c>
      <c r="AB1605" s="0" t="inlineStr">
        <is>
          <t>인천시</t>
        </is>
      </c>
      <c r="AC1605" s="0" t="inlineStr">
        <is>
          <t>남동구</t>
        </is>
      </c>
      <c r="AD1605" s="0" t="inlineStr">
        <is>
          <t>만수동</t>
        </is>
      </c>
      <c r="AG1605" s="0" t="inlineStr">
        <is>
          <t>인천시 남동구 구월남로 332</t>
        </is>
      </c>
      <c r="AH1605" s="0" t="n">
        <v>0</v>
      </c>
      <c r="AI1605" s="0" t="n">
        <v>0</v>
      </c>
      <c r="AJ1605" s="0" t="n">
        <v>0</v>
      </c>
      <c r="AK1605" s="0" t="n">
        <v>34</v>
      </c>
      <c r="AL1605" s="0" t="n">
        <v>0.9399999999999999</v>
      </c>
    </row>
    <row r="1606">
      <c r="A1606" s="0" t="inlineStr">
        <is>
          <t>[만수동]</t>
        </is>
      </c>
      <c r="B1606" s="0" t="n">
        <v>25699</v>
      </c>
      <c r="C1606" s="0" t="n">
        <v>2</v>
      </c>
      <c r="D1606" s="0" t="inlineStr">
        <is>
          <t>은성프레미오</t>
        </is>
      </c>
      <c r="E1606" s="0" t="inlineStr">
        <is>
          <t>2003.08.</t>
        </is>
      </c>
      <c r="F1606" s="0" t="n">
        <v>36</v>
      </c>
      <c r="G1606" s="0" t="n">
        <v>26.64</v>
      </c>
      <c r="H1606" s="0" t="n">
        <v>88.09</v>
      </c>
      <c r="I1606" s="0" t="n">
        <v>20.78</v>
      </c>
      <c r="J1606" s="0" t="n">
        <v>68.72</v>
      </c>
      <c r="K1606" s="0" t="n">
        <v>12</v>
      </c>
      <c r="T1606" s="0" t="n">
        <v>3</v>
      </c>
      <c r="U1606" s="0" t="n">
        <v>2</v>
      </c>
      <c r="V1606" s="0" t="inlineStr">
        <is>
          <t>계단식</t>
        </is>
      </c>
      <c r="W1606" s="0" t="inlineStr">
        <is>
          <t>88B</t>
        </is>
      </c>
      <c r="X1606" s="0" t="n">
        <v>7</v>
      </c>
      <c r="Y1606" s="0" t="n">
        <v>7</v>
      </c>
      <c r="Z1606" s="0" t="inlineStr">
        <is>
          <t>https://new.land.naver.com/complexes/25699?tab=detail&amp;rf=Y</t>
        </is>
      </c>
      <c r="AA1606" s="0" t="inlineStr">
        <is>
          <t>인천시 남동구 만수동 927-1</t>
        </is>
      </c>
      <c r="AB1606" s="0" t="inlineStr">
        <is>
          <t>인천시</t>
        </is>
      </c>
      <c r="AC1606" s="0" t="inlineStr">
        <is>
          <t>남동구</t>
        </is>
      </c>
      <c r="AD1606" s="0" t="inlineStr">
        <is>
          <t>만수동</t>
        </is>
      </c>
      <c r="AG1606" s="0" t="inlineStr">
        <is>
          <t>인천시 남동구 구월남로 332</t>
        </is>
      </c>
      <c r="AH1606" s="0" t="n">
        <v>0</v>
      </c>
      <c r="AI1606" s="0" t="n">
        <v>0</v>
      </c>
      <c r="AJ1606" s="0" t="n">
        <v>0</v>
      </c>
      <c r="AK1606" s="0" t="n">
        <v>34</v>
      </c>
      <c r="AL1606" s="0" t="n">
        <v>0.9399999999999999</v>
      </c>
    </row>
    <row r="1607">
      <c r="A1607" s="0" t="inlineStr">
        <is>
          <t>[만수동]</t>
        </is>
      </c>
      <c r="B1607" s="0" t="n">
        <v>11666</v>
      </c>
      <c r="C1607" s="0" t="n">
        <v>1</v>
      </c>
      <c r="D1607" s="0" t="inlineStr">
        <is>
          <t>이성</t>
        </is>
      </c>
      <c r="E1607" s="0" t="inlineStr">
        <is>
          <t>1986.10.</t>
        </is>
      </c>
      <c r="F1607" s="0" t="n">
        <v>25</v>
      </c>
      <c r="G1607" s="0" t="n">
        <v>22.06</v>
      </c>
      <c r="H1607" s="0" t="n">
        <v>72.95</v>
      </c>
      <c r="I1607" s="0" t="n">
        <v>16.59</v>
      </c>
      <c r="J1607" s="0" t="n">
        <v>54.87</v>
      </c>
      <c r="K1607" s="0" t="n">
        <v>15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72</v>
      </c>
      <c r="X1607" s="0" t="n">
        <v>5</v>
      </c>
      <c r="Y1607" s="0" t="n">
        <v>5</v>
      </c>
      <c r="Z1607" s="0" t="inlineStr">
        <is>
          <t>https://new.land.naver.com/complexes/11666?tab=detail&amp;rf=Y</t>
        </is>
      </c>
      <c r="AA1607" s="0" t="inlineStr">
        <is>
          <t>인천시 남동구 만수동 859-2</t>
        </is>
      </c>
      <c r="AB1607" s="0" t="inlineStr">
        <is>
          <t>인천시</t>
        </is>
      </c>
      <c r="AC1607" s="0" t="inlineStr">
        <is>
          <t>남동구</t>
        </is>
      </c>
      <c r="AD1607" s="0" t="inlineStr">
        <is>
          <t>만수동</t>
        </is>
      </c>
      <c r="AG1607" s="0" t="inlineStr">
        <is>
          <t>인천시 남동구 백범로226번길 10</t>
        </is>
      </c>
      <c r="AH1607" s="0" t="n">
        <v>0</v>
      </c>
      <c r="AI1607" s="0" t="n">
        <v>0</v>
      </c>
      <c r="AJ1607" s="0" t="n">
        <v>0</v>
      </c>
      <c r="AK1607" s="0" t="n">
        <v>0</v>
      </c>
      <c r="AL1607" s="0" t="n">
        <v>0</v>
      </c>
    </row>
    <row r="1608">
      <c r="A1608" s="0" t="inlineStr">
        <is>
          <t>[만수동]</t>
        </is>
      </c>
      <c r="B1608" s="0" t="n">
        <v>11666</v>
      </c>
      <c r="C1608" s="0" t="n">
        <v>2</v>
      </c>
      <c r="D1608" s="0" t="inlineStr">
        <is>
          <t>이성</t>
        </is>
      </c>
      <c r="E1608" s="0" t="inlineStr">
        <is>
          <t>1986.10.</t>
        </is>
      </c>
      <c r="F1608" s="0" t="n">
        <v>25</v>
      </c>
      <c r="G1608" s="0" t="n">
        <v>22.68</v>
      </c>
      <c r="H1608" s="0" t="n">
        <v>74.98999999999999</v>
      </c>
      <c r="I1608" s="0" t="n">
        <v>16.85</v>
      </c>
      <c r="J1608" s="0" t="n">
        <v>55.71</v>
      </c>
      <c r="K1608" s="0" t="n">
        <v>5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74</v>
      </c>
      <c r="X1608" s="0" t="n">
        <v>5</v>
      </c>
      <c r="Y1608" s="0" t="n">
        <v>5</v>
      </c>
      <c r="Z1608" s="0" t="inlineStr">
        <is>
          <t>https://new.land.naver.com/complexes/11666?tab=detail&amp;rf=Y</t>
        </is>
      </c>
      <c r="AA1608" s="0" t="inlineStr">
        <is>
          <t>인천시 남동구 만수동 859-2</t>
        </is>
      </c>
      <c r="AB1608" s="0" t="inlineStr">
        <is>
          <t>인천시</t>
        </is>
      </c>
      <c r="AC1608" s="0" t="inlineStr">
        <is>
          <t>남동구</t>
        </is>
      </c>
      <c r="AD1608" s="0" t="inlineStr">
        <is>
          <t>만수동</t>
        </is>
      </c>
      <c r="AG1608" s="0" t="inlineStr">
        <is>
          <t>인천시 남동구 백범로226번길 10</t>
        </is>
      </c>
      <c r="AH1608" s="0" t="n">
        <v>0</v>
      </c>
      <c r="AI1608" s="0" t="n">
        <v>0</v>
      </c>
      <c r="AJ1608" s="0" t="n">
        <v>0</v>
      </c>
      <c r="AK1608" s="0" t="n">
        <v>0</v>
      </c>
      <c r="AL1608" s="0" t="n">
        <v>0</v>
      </c>
    </row>
    <row r="1609">
      <c r="A1609" s="0" t="inlineStr">
        <is>
          <t>[만수동]</t>
        </is>
      </c>
      <c r="B1609" s="0" t="n">
        <v>11666</v>
      </c>
      <c r="C1609" s="0" t="n">
        <v>3</v>
      </c>
      <c r="D1609" s="0" t="inlineStr">
        <is>
          <t>이성</t>
        </is>
      </c>
      <c r="E1609" s="0" t="inlineStr">
        <is>
          <t>1986.10.</t>
        </is>
      </c>
      <c r="F1609" s="0" t="n">
        <v>25</v>
      </c>
      <c r="G1609" s="0" t="n">
        <v>23.87</v>
      </c>
      <c r="H1609" s="0" t="n">
        <v>78.92</v>
      </c>
      <c r="I1609" s="0" t="n">
        <v>16.08</v>
      </c>
      <c r="J1609" s="0" t="n">
        <v>53.16</v>
      </c>
      <c r="K1609" s="0" t="n">
        <v>5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78</v>
      </c>
      <c r="X1609" s="0" t="n">
        <v>5</v>
      </c>
      <c r="Y1609" s="0" t="n">
        <v>5</v>
      </c>
      <c r="Z1609" s="0" t="inlineStr">
        <is>
          <t>https://new.land.naver.com/complexes/11666?tab=detail&amp;rf=Y</t>
        </is>
      </c>
      <c r="AA1609" s="0" t="inlineStr">
        <is>
          <t>인천시 남동구 만수동 859-2</t>
        </is>
      </c>
      <c r="AB1609" s="0" t="inlineStr">
        <is>
          <t>인천시</t>
        </is>
      </c>
      <c r="AC1609" s="0" t="inlineStr">
        <is>
          <t>남동구</t>
        </is>
      </c>
      <c r="AD1609" s="0" t="inlineStr">
        <is>
          <t>만수동</t>
        </is>
      </c>
      <c r="AG1609" s="0" t="inlineStr">
        <is>
          <t>인천시 남동구 백범로226번길 10</t>
        </is>
      </c>
      <c r="AH1609" s="0" t="n">
        <v>0</v>
      </c>
      <c r="AI1609" s="0" t="n">
        <v>0</v>
      </c>
      <c r="AJ1609" s="0" t="n">
        <v>0</v>
      </c>
      <c r="AK1609" s="0" t="n">
        <v>0</v>
      </c>
      <c r="AL1609" s="0" t="n">
        <v>0</v>
      </c>
    </row>
    <row r="1610">
      <c r="A1610" s="0" t="inlineStr">
        <is>
          <t>[만수동]</t>
        </is>
      </c>
      <c r="B1610" s="0" t="n">
        <v>126933</v>
      </c>
      <c r="C1610" s="0" t="n">
        <v>1</v>
      </c>
      <c r="D1610" s="0" t="inlineStr">
        <is>
          <t>진흥아트빌(도시형)</t>
        </is>
      </c>
      <c r="E1610" s="0" t="inlineStr">
        <is>
          <t>2015.07.</t>
        </is>
      </c>
      <c r="F1610" s="0" t="n">
        <v>12</v>
      </c>
      <c r="G1610" s="0" t="n">
        <v>12.48</v>
      </c>
      <c r="H1610" s="0" t="n">
        <v>41.27</v>
      </c>
      <c r="I1610" s="0" t="n">
        <v>10.07</v>
      </c>
      <c r="J1610" s="0" t="n">
        <v>33.32</v>
      </c>
      <c r="K1610" s="0" t="n">
        <v>4</v>
      </c>
      <c r="T1610" s="0" t="n">
        <v>1</v>
      </c>
      <c r="U1610" s="0" t="n">
        <v>1</v>
      </c>
      <c r="V1610" s="0" t="inlineStr">
        <is>
          <t>계단식</t>
        </is>
      </c>
      <c r="W1610" s="0" t="n">
        <v>41</v>
      </c>
      <c r="X1610" s="0" t="n">
        <v>10</v>
      </c>
      <c r="Y1610" s="0" t="n">
        <v>10</v>
      </c>
      <c r="Z1610" s="0" t="inlineStr">
        <is>
          <t>https://new.land.naver.com/complexes/126933?tab=detail&amp;rf=Y</t>
        </is>
      </c>
      <c r="AA1610" s="0" t="inlineStr">
        <is>
          <t>인천시 남동구 만수동 906-14</t>
        </is>
      </c>
      <c r="AB1610" s="0" t="inlineStr">
        <is>
          <t>인천시</t>
        </is>
      </c>
      <c r="AC1610" s="0" t="inlineStr">
        <is>
          <t>남동구</t>
        </is>
      </c>
      <c r="AD1610" s="0" t="inlineStr">
        <is>
          <t>만수동</t>
        </is>
      </c>
      <c r="AG1610" s="0" t="inlineStr">
        <is>
          <t>인천시 남동구 백범로227번길 94</t>
        </is>
      </c>
      <c r="AH1610" s="0" t="n">
        <v>0</v>
      </c>
      <c r="AI1610" s="0" t="n">
        <v>439</v>
      </c>
      <c r="AJ1610" s="0" t="n">
        <v>57</v>
      </c>
      <c r="AK1610" s="0" t="n">
        <v>8</v>
      </c>
      <c r="AL1610" s="0" t="n">
        <v>0.67</v>
      </c>
    </row>
    <row r="1611">
      <c r="A1611" s="0" t="inlineStr">
        <is>
          <t>[만수동]</t>
        </is>
      </c>
      <c r="B1611" s="0" t="n">
        <v>126933</v>
      </c>
      <c r="C1611" s="0" t="n">
        <v>2</v>
      </c>
      <c r="D1611" s="0" t="inlineStr">
        <is>
          <t>진흥아트빌(도시형)</t>
        </is>
      </c>
      <c r="E1611" s="0" t="inlineStr">
        <is>
          <t>2015.07.</t>
        </is>
      </c>
      <c r="F1611" s="0" t="n">
        <v>12</v>
      </c>
      <c r="G1611" s="0" t="n">
        <v>12.49</v>
      </c>
      <c r="H1611" s="0" t="n">
        <v>41.31</v>
      </c>
      <c r="I1611" s="0" t="n">
        <v>10.09</v>
      </c>
      <c r="J1611" s="0" t="n">
        <v>33.36</v>
      </c>
      <c r="K1611" s="0" t="n">
        <v>4</v>
      </c>
      <c r="T1611" s="0" t="n">
        <v>1</v>
      </c>
      <c r="U1611" s="0" t="n">
        <v>1</v>
      </c>
      <c r="V1611" s="0" t="inlineStr">
        <is>
          <t>계단식</t>
        </is>
      </c>
      <c r="W1611" s="0" t="n">
        <v>41</v>
      </c>
      <c r="X1611" s="0" t="n">
        <v>10</v>
      </c>
      <c r="Y1611" s="0" t="n">
        <v>10</v>
      </c>
      <c r="Z1611" s="0" t="inlineStr">
        <is>
          <t>https://new.land.naver.com/complexes/126933?tab=detail&amp;rf=Y</t>
        </is>
      </c>
      <c r="AA1611" s="0" t="inlineStr">
        <is>
          <t>인천시 남동구 만수동 906-14</t>
        </is>
      </c>
      <c r="AB1611" s="0" t="inlineStr">
        <is>
          <t>인천시</t>
        </is>
      </c>
      <c r="AC1611" s="0" t="inlineStr">
        <is>
          <t>남동구</t>
        </is>
      </c>
      <c r="AD1611" s="0" t="inlineStr">
        <is>
          <t>만수동</t>
        </is>
      </c>
      <c r="AG1611" s="0" t="inlineStr">
        <is>
          <t>인천시 남동구 백범로227번길 94</t>
        </is>
      </c>
      <c r="AH1611" s="0" t="n">
        <v>0</v>
      </c>
      <c r="AI1611" s="0" t="n">
        <v>439</v>
      </c>
      <c r="AJ1611" s="0" t="n">
        <v>57</v>
      </c>
      <c r="AK1611" s="0" t="n">
        <v>8</v>
      </c>
      <c r="AL1611" s="0" t="n">
        <v>0.67</v>
      </c>
    </row>
    <row r="1612">
      <c r="A1612" s="0" t="inlineStr">
        <is>
          <t>[만수동]</t>
        </is>
      </c>
      <c r="B1612" s="0" t="n">
        <v>126933</v>
      </c>
      <c r="C1612" s="0" t="n">
        <v>3</v>
      </c>
      <c r="D1612" s="0" t="inlineStr">
        <is>
          <t>진흥아트빌(도시형)</t>
        </is>
      </c>
      <c r="E1612" s="0" t="inlineStr">
        <is>
          <t>2015.07.</t>
        </is>
      </c>
      <c r="F1612" s="0" t="n">
        <v>12</v>
      </c>
      <c r="G1612" s="0" t="n">
        <v>13.65</v>
      </c>
      <c r="H1612" s="0" t="n">
        <v>45.13</v>
      </c>
      <c r="I1612" s="0" t="n">
        <v>11.1</v>
      </c>
      <c r="J1612" s="0" t="n">
        <v>36.71</v>
      </c>
      <c r="K1612" s="0" t="n">
        <v>4</v>
      </c>
      <c r="T1612" s="0" t="n">
        <v>1</v>
      </c>
      <c r="U1612" s="0" t="n">
        <v>1</v>
      </c>
      <c r="V1612" s="0" t="inlineStr">
        <is>
          <t>계단식</t>
        </is>
      </c>
      <c r="W1612" s="0" t="n">
        <v>45</v>
      </c>
      <c r="X1612" s="0" t="n">
        <v>10</v>
      </c>
      <c r="Y1612" s="0" t="n">
        <v>10</v>
      </c>
      <c r="Z1612" s="0" t="inlineStr">
        <is>
          <t>https://new.land.naver.com/complexes/126933?tab=detail&amp;rf=Y</t>
        </is>
      </c>
      <c r="AA1612" s="0" t="inlineStr">
        <is>
          <t>인천시 남동구 만수동 906-14</t>
        </is>
      </c>
      <c r="AB1612" s="0" t="inlineStr">
        <is>
          <t>인천시</t>
        </is>
      </c>
      <c r="AC1612" s="0" t="inlineStr">
        <is>
          <t>남동구</t>
        </is>
      </c>
      <c r="AD1612" s="0" t="inlineStr">
        <is>
          <t>만수동</t>
        </is>
      </c>
      <c r="AG1612" s="0" t="inlineStr">
        <is>
          <t>인천시 남동구 백범로227번길 94</t>
        </is>
      </c>
      <c r="AH1612" s="0" t="n">
        <v>0</v>
      </c>
      <c r="AI1612" s="0" t="n">
        <v>439</v>
      </c>
      <c r="AJ1612" s="0" t="n">
        <v>57</v>
      </c>
      <c r="AK1612" s="0" t="n">
        <v>8</v>
      </c>
      <c r="AL1612" s="0" t="n">
        <v>0.67</v>
      </c>
    </row>
    <row r="1613">
      <c r="A1613" s="0" t="inlineStr">
        <is>
          <t>[만수동]</t>
        </is>
      </c>
      <c r="B1613" s="0" t="n">
        <v>2315</v>
      </c>
      <c r="C1613" s="0" t="n">
        <v>1</v>
      </c>
      <c r="D1613" s="0" t="inlineStr">
        <is>
          <t>만수주공5단지</t>
        </is>
      </c>
      <c r="E1613" s="0" t="inlineStr">
        <is>
          <t>1987.09.</t>
        </is>
      </c>
      <c r="F1613" s="0" t="n">
        <v>900</v>
      </c>
      <c r="G1613" s="0" t="n">
        <v>13.89</v>
      </c>
      <c r="H1613" s="0" t="n">
        <v>45.95</v>
      </c>
      <c r="I1613" s="0" t="n">
        <v>9.789999999999999</v>
      </c>
      <c r="J1613" s="0" t="n">
        <v>32.39</v>
      </c>
      <c r="K1613" s="0" t="n">
        <v>270</v>
      </c>
      <c r="T1613" s="0" t="n">
        <v>1</v>
      </c>
      <c r="U1613" s="0" t="n">
        <v>1</v>
      </c>
      <c r="V1613" s="0" t="inlineStr">
        <is>
          <t>복도식</t>
        </is>
      </c>
      <c r="W1613" s="0" t="n">
        <v>45</v>
      </c>
      <c r="X1613" s="0" t="n">
        <v>15</v>
      </c>
      <c r="Y1613" s="0" t="n">
        <v>15</v>
      </c>
      <c r="Z1613" s="0" t="inlineStr">
        <is>
          <t>https://new.land.naver.com/complexes/2315?tab=detail&amp;rf=Y</t>
        </is>
      </c>
      <c r="AA1613" s="0" t="inlineStr">
        <is>
          <t>인천시 남동구 만수동 17</t>
        </is>
      </c>
      <c r="AB1613" s="0" t="inlineStr">
        <is>
          <t>인천시</t>
        </is>
      </c>
      <c r="AC1613" s="0" t="inlineStr">
        <is>
          <t>남동구</t>
        </is>
      </c>
      <c r="AD1613" s="0" t="inlineStr">
        <is>
          <t>만수동</t>
        </is>
      </c>
      <c r="AG1613" s="0" t="inlineStr">
        <is>
          <t>인천시 남동구 백범로124번길 127</t>
        </is>
      </c>
      <c r="AH1613" s="0" t="n">
        <v>0</v>
      </c>
      <c r="AI1613" s="0" t="n">
        <v>135</v>
      </c>
      <c r="AJ1613" s="0" t="n">
        <v>9</v>
      </c>
      <c r="AK1613" s="0" t="n">
        <v>360</v>
      </c>
      <c r="AL1613" s="0" t="n">
        <v>0.4</v>
      </c>
    </row>
    <row r="1614">
      <c r="A1614" s="0" t="inlineStr">
        <is>
          <t>[만수동]</t>
        </is>
      </c>
      <c r="B1614" s="0" t="n">
        <v>2315</v>
      </c>
      <c r="C1614" s="0" t="n">
        <v>2</v>
      </c>
      <c r="D1614" s="0" t="inlineStr">
        <is>
          <t>만수주공5단지</t>
        </is>
      </c>
      <c r="E1614" s="0" t="inlineStr">
        <is>
          <t>1987.09.</t>
        </is>
      </c>
      <c r="F1614" s="0" t="n">
        <v>900</v>
      </c>
      <c r="G1614" s="0" t="n">
        <v>17.52</v>
      </c>
      <c r="H1614" s="0" t="n">
        <v>57.94</v>
      </c>
      <c r="I1614" s="0" t="n">
        <v>12.49</v>
      </c>
      <c r="J1614" s="0" t="n">
        <v>41.3</v>
      </c>
      <c r="K1614" s="0" t="n">
        <v>450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57</v>
      </c>
      <c r="X1614" s="0" t="n">
        <v>15</v>
      </c>
      <c r="Y1614" s="0" t="n">
        <v>15</v>
      </c>
      <c r="Z1614" s="0" t="inlineStr">
        <is>
          <t>https://new.land.naver.com/complexes/2315?tab=detail&amp;rf=Y</t>
        </is>
      </c>
      <c r="AA1614" s="0" t="inlineStr">
        <is>
          <t>인천시 남동구 만수동 17</t>
        </is>
      </c>
      <c r="AB1614" s="0" t="inlineStr">
        <is>
          <t>인천시</t>
        </is>
      </c>
      <c r="AC1614" s="0" t="inlineStr">
        <is>
          <t>남동구</t>
        </is>
      </c>
      <c r="AD1614" s="0" t="inlineStr">
        <is>
          <t>만수동</t>
        </is>
      </c>
      <c r="AG1614" s="0" t="inlineStr">
        <is>
          <t>인천시 남동구 백범로124번길 127</t>
        </is>
      </c>
      <c r="AH1614" s="0" t="n">
        <v>0</v>
      </c>
      <c r="AI1614" s="0" t="n">
        <v>135</v>
      </c>
      <c r="AJ1614" s="0" t="n">
        <v>9</v>
      </c>
      <c r="AK1614" s="0" t="n">
        <v>360</v>
      </c>
      <c r="AL1614" s="0" t="n">
        <v>0.4</v>
      </c>
    </row>
    <row r="1615">
      <c r="A1615" s="0" t="inlineStr">
        <is>
          <t>[만수동]</t>
        </is>
      </c>
      <c r="B1615" s="0" t="n">
        <v>2315</v>
      </c>
      <c r="C1615" s="0" t="n">
        <v>3</v>
      </c>
      <c r="D1615" s="0" t="inlineStr">
        <is>
          <t>만수주공5단지</t>
        </is>
      </c>
      <c r="E1615" s="0" t="inlineStr">
        <is>
          <t>1987.09.</t>
        </is>
      </c>
      <c r="F1615" s="0" t="n">
        <v>900</v>
      </c>
      <c r="G1615" s="0" t="n">
        <v>20.83</v>
      </c>
      <c r="H1615" s="0" t="n">
        <v>68.89</v>
      </c>
      <c r="I1615" s="0" t="n">
        <v>15.1</v>
      </c>
      <c r="J1615" s="0" t="n">
        <v>49.94</v>
      </c>
      <c r="K1615" s="0" t="n">
        <v>180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68</v>
      </c>
      <c r="X1615" s="0" t="n">
        <v>15</v>
      </c>
      <c r="Y1615" s="0" t="n">
        <v>15</v>
      </c>
      <c r="Z1615" s="0" t="inlineStr">
        <is>
          <t>https://new.land.naver.com/complexes/2315?tab=detail&amp;rf=Y</t>
        </is>
      </c>
      <c r="AA1615" s="0" t="inlineStr">
        <is>
          <t>인천시 남동구 만수동 17</t>
        </is>
      </c>
      <c r="AB1615" s="0" t="inlineStr">
        <is>
          <t>인천시</t>
        </is>
      </c>
      <c r="AC1615" s="0" t="inlineStr">
        <is>
          <t>남동구</t>
        </is>
      </c>
      <c r="AD1615" s="0" t="inlineStr">
        <is>
          <t>만수동</t>
        </is>
      </c>
      <c r="AG1615" s="0" t="inlineStr">
        <is>
          <t>인천시 남동구 백범로124번길 127</t>
        </is>
      </c>
      <c r="AH1615" s="0" t="n">
        <v>0</v>
      </c>
      <c r="AI1615" s="0" t="n">
        <v>135</v>
      </c>
      <c r="AJ1615" s="0" t="n">
        <v>9</v>
      </c>
      <c r="AK1615" s="0" t="n">
        <v>360</v>
      </c>
      <c r="AL1615" s="0" t="n">
        <v>0.4</v>
      </c>
    </row>
    <row r="1616">
      <c r="A1616" s="0" t="inlineStr">
        <is>
          <t>[만수동]</t>
        </is>
      </c>
      <c r="B1616" s="0" t="n">
        <v>140697</v>
      </c>
      <c r="C1616" s="0" t="n">
        <v>1</v>
      </c>
      <c r="D1616" s="0" t="inlineStr">
        <is>
          <t>삼보</t>
        </is>
      </c>
      <c r="E1616" s="0" t="inlineStr">
        <is>
          <t>1990.09.</t>
        </is>
      </c>
      <c r="F1616" s="0" t="n">
        <v>14</v>
      </c>
      <c r="G1616" s="0" t="n">
        <v>14.14</v>
      </c>
      <c r="H1616" s="0" t="n">
        <v>46.77</v>
      </c>
      <c r="I1616" s="0" t="n">
        <v>12.74</v>
      </c>
      <c r="J1616" s="0" t="n">
        <v>42.12</v>
      </c>
      <c r="K1616" s="0" t="n">
        <v>3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46</v>
      </c>
      <c r="X1616" s="0" t="n">
        <v>4</v>
      </c>
      <c r="Y1616" s="0" t="n">
        <v>3</v>
      </c>
      <c r="Z1616" s="0" t="inlineStr">
        <is>
          <t>https://new.land.naver.com/complexes/140697?tab=detail&amp;rf=Y</t>
        </is>
      </c>
      <c r="AA1616" s="0" t="inlineStr">
        <is>
          <t>인천시 남동구 만수동 967-4</t>
        </is>
      </c>
      <c r="AB1616" s="0" t="inlineStr">
        <is>
          <t>인천시</t>
        </is>
      </c>
      <c r="AC1616" s="0" t="inlineStr">
        <is>
          <t>남동구</t>
        </is>
      </c>
      <c r="AD1616" s="0" t="inlineStr">
        <is>
          <t>만수동</t>
        </is>
      </c>
      <c r="AG1616" s="0" t="inlineStr">
        <is>
          <t>인천시 남동구 하촌로 28-14</t>
        </is>
      </c>
      <c r="AH1616" s="0" t="n">
        <v>0</v>
      </c>
      <c r="AI1616" s="0" t="n">
        <v>0</v>
      </c>
      <c r="AJ1616" s="0" t="n">
        <v>0</v>
      </c>
      <c r="AK1616" s="0" t="n">
        <v>0</v>
      </c>
      <c r="AL1616" s="0" t="n">
        <v>0</v>
      </c>
    </row>
    <row r="1617">
      <c r="A1617" s="0" t="inlineStr">
        <is>
          <t>[만수동]</t>
        </is>
      </c>
      <c r="B1617" s="0" t="n">
        <v>140697</v>
      </c>
      <c r="C1617" s="0" t="n">
        <v>2</v>
      </c>
      <c r="D1617" s="0" t="inlineStr">
        <is>
          <t>삼보</t>
        </is>
      </c>
      <c r="E1617" s="0" t="inlineStr">
        <is>
          <t>1990.09.</t>
        </is>
      </c>
      <c r="F1617" s="0" t="n">
        <v>14</v>
      </c>
      <c r="G1617" s="0" t="n">
        <v>14.5</v>
      </c>
      <c r="H1617" s="0" t="n">
        <v>47.94</v>
      </c>
      <c r="I1617" s="0" t="n">
        <v>13.39</v>
      </c>
      <c r="J1617" s="0" t="n">
        <v>44.28</v>
      </c>
      <c r="K1617" s="0" t="n">
        <v>8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47A</t>
        </is>
      </c>
      <c r="X1617" s="0" t="n">
        <v>4</v>
      </c>
      <c r="Y1617" s="0" t="n">
        <v>3</v>
      </c>
      <c r="Z1617" s="0" t="inlineStr">
        <is>
          <t>https://new.land.naver.com/complexes/140697?tab=detail&amp;rf=Y</t>
        </is>
      </c>
      <c r="AA1617" s="0" t="inlineStr">
        <is>
          <t>인천시 남동구 만수동 967-4</t>
        </is>
      </c>
      <c r="AB1617" s="0" t="inlineStr">
        <is>
          <t>인천시</t>
        </is>
      </c>
      <c r="AC1617" s="0" t="inlineStr">
        <is>
          <t>남동구</t>
        </is>
      </c>
      <c r="AD1617" s="0" t="inlineStr">
        <is>
          <t>만수동</t>
        </is>
      </c>
      <c r="AG1617" s="0" t="inlineStr">
        <is>
          <t>인천시 남동구 하촌로 28-14</t>
        </is>
      </c>
      <c r="AH1617" s="0" t="n">
        <v>0</v>
      </c>
      <c r="AI1617" s="0" t="n">
        <v>0</v>
      </c>
      <c r="AJ1617" s="0" t="n">
        <v>0</v>
      </c>
      <c r="AK1617" s="0" t="n">
        <v>0</v>
      </c>
      <c r="AL1617" s="0" t="n">
        <v>0</v>
      </c>
    </row>
    <row r="1618">
      <c r="A1618" s="0" t="inlineStr">
        <is>
          <t>[만수동]</t>
        </is>
      </c>
      <c r="B1618" s="0" t="n">
        <v>140697</v>
      </c>
      <c r="C1618" s="0" t="n">
        <v>3</v>
      </c>
      <c r="D1618" s="0" t="inlineStr">
        <is>
          <t>삼보</t>
        </is>
      </c>
      <c r="E1618" s="0" t="inlineStr">
        <is>
          <t>1990.09.</t>
        </is>
      </c>
      <c r="F1618" s="0" t="n">
        <v>14</v>
      </c>
      <c r="G1618" s="0" t="n">
        <v>14.93</v>
      </c>
      <c r="H1618" s="0" t="n">
        <v>49.38</v>
      </c>
      <c r="I1618" s="0" t="n">
        <v>13.44</v>
      </c>
      <c r="J1618" s="0" t="n">
        <v>44.46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49B</t>
        </is>
      </c>
      <c r="X1618" s="0" t="n">
        <v>4</v>
      </c>
      <c r="Y1618" s="0" t="n">
        <v>3</v>
      </c>
      <c r="Z1618" s="0" t="inlineStr">
        <is>
          <t>https://new.land.naver.com/complexes/140697?tab=detail&amp;rf=Y</t>
        </is>
      </c>
      <c r="AA1618" s="0" t="inlineStr">
        <is>
          <t>인천시 남동구 만수동 967-4</t>
        </is>
      </c>
      <c r="AB1618" s="0" t="inlineStr">
        <is>
          <t>인천시</t>
        </is>
      </c>
      <c r="AC1618" s="0" t="inlineStr">
        <is>
          <t>남동구</t>
        </is>
      </c>
      <c r="AD1618" s="0" t="inlineStr">
        <is>
          <t>만수동</t>
        </is>
      </c>
      <c r="AG1618" s="0" t="inlineStr">
        <is>
          <t>인천시 남동구 하촌로 28-14</t>
        </is>
      </c>
      <c r="AH1618" s="0" t="n">
        <v>0</v>
      </c>
      <c r="AI1618" s="0" t="n">
        <v>0</v>
      </c>
      <c r="AJ1618" s="0" t="n">
        <v>0</v>
      </c>
      <c r="AK1618" s="0" t="n">
        <v>0</v>
      </c>
      <c r="AL1618" s="0" t="n">
        <v>0</v>
      </c>
    </row>
    <row r="1619">
      <c r="A1619" s="0" t="inlineStr">
        <is>
          <t>[만수동]</t>
        </is>
      </c>
      <c r="B1619" s="0" t="n">
        <v>140697</v>
      </c>
      <c r="C1619" s="0" t="n">
        <v>4</v>
      </c>
      <c r="D1619" s="0" t="inlineStr">
        <is>
          <t>삼보</t>
        </is>
      </c>
      <c r="E1619" s="0" t="inlineStr">
        <is>
          <t>1990.09.</t>
        </is>
      </c>
      <c r="F1619" s="0" t="n">
        <v>14</v>
      </c>
      <c r="G1619" s="0" t="n">
        <v>16.79</v>
      </c>
      <c r="H1619" s="0" t="n">
        <v>55.53</v>
      </c>
      <c r="I1619" s="0" t="n">
        <v>15.51</v>
      </c>
      <c r="J1619" s="0" t="n">
        <v>51.3</v>
      </c>
      <c r="K1619" s="0" t="n">
        <v>2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55</v>
      </c>
      <c r="X1619" s="0" t="n">
        <v>4</v>
      </c>
      <c r="Y1619" s="0" t="n">
        <v>3</v>
      </c>
      <c r="Z1619" s="0" t="inlineStr">
        <is>
          <t>https://new.land.naver.com/complexes/140697?tab=detail&amp;rf=Y</t>
        </is>
      </c>
      <c r="AA1619" s="0" t="inlineStr">
        <is>
          <t>인천시 남동구 만수동 967-4</t>
        </is>
      </c>
      <c r="AB1619" s="0" t="inlineStr">
        <is>
          <t>인천시</t>
        </is>
      </c>
      <c r="AC1619" s="0" t="inlineStr">
        <is>
          <t>남동구</t>
        </is>
      </c>
      <c r="AD1619" s="0" t="inlineStr">
        <is>
          <t>만수동</t>
        </is>
      </c>
      <c r="AG1619" s="0" t="inlineStr">
        <is>
          <t>인천시 남동구 하촌로 28-14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[만수동]</t>
        </is>
      </c>
      <c r="B1620" s="0" t="n">
        <v>9018</v>
      </c>
      <c r="C1620" s="0" t="n">
        <v>1</v>
      </c>
      <c r="D1620" s="0" t="inlineStr">
        <is>
          <t>신한(6-21)</t>
        </is>
      </c>
      <c r="E1620" s="0" t="inlineStr">
        <is>
          <t>1991.04.</t>
        </is>
      </c>
      <c r="F1620" s="0" t="n">
        <v>132</v>
      </c>
      <c r="G1620" s="0" t="n">
        <v>22.15</v>
      </c>
      <c r="H1620" s="0" t="n">
        <v>73.23</v>
      </c>
      <c r="I1620" s="0" t="n">
        <v>17.36</v>
      </c>
      <c r="J1620" s="0" t="n">
        <v>57.41</v>
      </c>
      <c r="K1620" s="0" t="n">
        <v>6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73</v>
      </c>
      <c r="X1620" s="0" t="n">
        <v>6</v>
      </c>
      <c r="Y1620" s="0" t="n">
        <v>6</v>
      </c>
      <c r="Z1620" s="0" t="inlineStr">
        <is>
          <t>https://new.land.naver.com/complexes/9018?tab=detail&amp;rf=Y</t>
        </is>
      </c>
      <c r="AA1620" s="0" t="inlineStr">
        <is>
          <t>인천시 남동구 만수동 6-21</t>
        </is>
      </c>
      <c r="AB1620" s="0" t="inlineStr">
        <is>
          <t>인천시</t>
        </is>
      </c>
      <c r="AC1620" s="0" t="inlineStr">
        <is>
          <t>남동구</t>
        </is>
      </c>
      <c r="AD1620" s="0" t="inlineStr">
        <is>
          <t>만수동</t>
        </is>
      </c>
      <c r="AG1620" s="0" t="inlineStr">
        <is>
          <t>인천시 남동구 만수서로 97-14</t>
        </is>
      </c>
      <c r="AH1620" s="0" t="n">
        <v>0</v>
      </c>
      <c r="AI1620" s="0" t="n">
        <v>194</v>
      </c>
      <c r="AJ1620" s="0" t="n">
        <v>33</v>
      </c>
      <c r="AK1620" s="0" t="n">
        <v>0</v>
      </c>
      <c r="AL1620" s="0" t="n">
        <v>0</v>
      </c>
    </row>
    <row r="1621">
      <c r="A1621" s="0" t="inlineStr">
        <is>
          <t>[만수동]</t>
        </is>
      </c>
      <c r="B1621" s="0" t="n">
        <v>9018</v>
      </c>
      <c r="C1621" s="0" t="n">
        <v>2</v>
      </c>
      <c r="D1621" s="0" t="inlineStr">
        <is>
          <t>신한(6-21)</t>
        </is>
      </c>
      <c r="E1621" s="0" t="inlineStr">
        <is>
          <t>1991.04.</t>
        </is>
      </c>
      <c r="F1621" s="0" t="n">
        <v>132</v>
      </c>
      <c r="G1621" s="0" t="n">
        <v>30.1</v>
      </c>
      <c r="H1621" s="0" t="n">
        <v>99.53</v>
      </c>
      <c r="I1621" s="0" t="n">
        <v>24.14</v>
      </c>
      <c r="J1621" s="0" t="n">
        <v>79.83</v>
      </c>
      <c r="K1621" s="0" t="n">
        <v>24</v>
      </c>
      <c r="T1621" s="0" t="n">
        <v>3</v>
      </c>
      <c r="U1621" s="0" t="n">
        <v>1</v>
      </c>
      <c r="V1621" s="0" t="inlineStr">
        <is>
          <t>계단식</t>
        </is>
      </c>
      <c r="W1621" s="0" t="n">
        <v>99</v>
      </c>
      <c r="X1621" s="0" t="n">
        <v>6</v>
      </c>
      <c r="Y1621" s="0" t="n">
        <v>6</v>
      </c>
      <c r="Z1621" s="0" t="inlineStr">
        <is>
          <t>https://new.land.naver.com/complexes/9018?tab=detail&amp;rf=Y</t>
        </is>
      </c>
      <c r="AA1621" s="0" t="inlineStr">
        <is>
          <t>인천시 남동구 만수동 6-21</t>
        </is>
      </c>
      <c r="AB1621" s="0" t="inlineStr">
        <is>
          <t>인천시</t>
        </is>
      </c>
      <c r="AC1621" s="0" t="inlineStr">
        <is>
          <t>남동구</t>
        </is>
      </c>
      <c r="AD1621" s="0" t="inlineStr">
        <is>
          <t>만수동</t>
        </is>
      </c>
      <c r="AG1621" s="0" t="inlineStr">
        <is>
          <t>인천시 남동구 만수서로 97-14</t>
        </is>
      </c>
      <c r="AH1621" s="0" t="n">
        <v>0</v>
      </c>
      <c r="AI1621" s="0" t="n">
        <v>194</v>
      </c>
      <c r="AJ1621" s="0" t="n">
        <v>33</v>
      </c>
      <c r="AK1621" s="0" t="n">
        <v>0</v>
      </c>
      <c r="AL1621" s="0" t="n">
        <v>0</v>
      </c>
    </row>
    <row r="1622">
      <c r="A1622" s="0" t="inlineStr">
        <is>
          <t>[만수동]</t>
        </is>
      </c>
      <c r="B1622" s="0" t="n">
        <v>9018</v>
      </c>
      <c r="C1622" s="0" t="n">
        <v>3</v>
      </c>
      <c r="D1622" s="0" t="inlineStr">
        <is>
          <t>신한(6-21)</t>
        </is>
      </c>
      <c r="E1622" s="0" t="inlineStr">
        <is>
          <t>1991.04.</t>
        </is>
      </c>
      <c r="F1622" s="0" t="n">
        <v>132</v>
      </c>
      <c r="G1622" s="0" t="n">
        <v>30.68</v>
      </c>
      <c r="H1622" s="0" t="n">
        <v>101.45</v>
      </c>
      <c r="I1622" s="0" t="n">
        <v>24.64</v>
      </c>
      <c r="J1622" s="0" t="n">
        <v>81.47</v>
      </c>
      <c r="K1622" s="0" t="n">
        <v>42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101A</t>
        </is>
      </c>
      <c r="X1622" s="0" t="n">
        <v>6</v>
      </c>
      <c r="Y1622" s="0" t="n">
        <v>6</v>
      </c>
      <c r="Z1622" s="0" t="inlineStr">
        <is>
          <t>https://new.land.naver.com/complexes/9018?tab=detail&amp;rf=Y</t>
        </is>
      </c>
      <c r="AA1622" s="0" t="inlineStr">
        <is>
          <t>인천시 남동구 만수동 6-21</t>
        </is>
      </c>
      <c r="AB1622" s="0" t="inlineStr">
        <is>
          <t>인천시</t>
        </is>
      </c>
      <c r="AC1622" s="0" t="inlineStr">
        <is>
          <t>남동구</t>
        </is>
      </c>
      <c r="AD1622" s="0" t="inlineStr">
        <is>
          <t>만수동</t>
        </is>
      </c>
      <c r="AG1622" s="0" t="inlineStr">
        <is>
          <t>인천시 남동구 만수서로 97-14</t>
        </is>
      </c>
      <c r="AH1622" s="0" t="n">
        <v>0</v>
      </c>
      <c r="AI1622" s="0" t="n">
        <v>194</v>
      </c>
      <c r="AJ1622" s="0" t="n">
        <v>33</v>
      </c>
      <c r="AK1622" s="0" t="n">
        <v>0</v>
      </c>
      <c r="AL1622" s="0" t="n">
        <v>0</v>
      </c>
    </row>
    <row r="1623">
      <c r="A1623" s="0" t="inlineStr">
        <is>
          <t>[만수동]</t>
        </is>
      </c>
      <c r="B1623" s="0" t="n">
        <v>9018</v>
      </c>
      <c r="C1623" s="0" t="n">
        <v>4</v>
      </c>
      <c r="D1623" s="0" t="inlineStr">
        <is>
          <t>신한(6-21)</t>
        </is>
      </c>
      <c r="E1623" s="0" t="inlineStr">
        <is>
          <t>1991.04.</t>
        </is>
      </c>
      <c r="F1623" s="0" t="n">
        <v>132</v>
      </c>
      <c r="G1623" s="0" t="n">
        <v>31.29</v>
      </c>
      <c r="H1623" s="0" t="n">
        <v>103.47</v>
      </c>
      <c r="I1623" s="0" t="n">
        <v>25.16</v>
      </c>
      <c r="J1623" s="0" t="n">
        <v>83.19</v>
      </c>
      <c r="K1623" s="0" t="n">
        <v>24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103B</t>
        </is>
      </c>
      <c r="X1623" s="0" t="n">
        <v>6</v>
      </c>
      <c r="Y1623" s="0" t="n">
        <v>6</v>
      </c>
      <c r="Z1623" s="0" t="inlineStr">
        <is>
          <t>https://new.land.naver.com/complexes/9018?tab=detail&amp;rf=Y</t>
        </is>
      </c>
      <c r="AA1623" s="0" t="inlineStr">
        <is>
          <t>인천시 남동구 만수동 6-21</t>
        </is>
      </c>
      <c r="AB1623" s="0" t="inlineStr">
        <is>
          <t>인천시</t>
        </is>
      </c>
      <c r="AC1623" s="0" t="inlineStr">
        <is>
          <t>남동구</t>
        </is>
      </c>
      <c r="AD1623" s="0" t="inlineStr">
        <is>
          <t>만수동</t>
        </is>
      </c>
      <c r="AG1623" s="0" t="inlineStr">
        <is>
          <t>인천시 남동구 만수서로 97-14</t>
        </is>
      </c>
      <c r="AH1623" s="0" t="n">
        <v>0</v>
      </c>
      <c r="AI1623" s="0" t="n">
        <v>194</v>
      </c>
      <c r="AJ1623" s="0" t="n">
        <v>33</v>
      </c>
      <c r="AK1623" s="0" t="n">
        <v>0</v>
      </c>
      <c r="AL1623" s="0" t="n">
        <v>0</v>
      </c>
    </row>
    <row r="1624">
      <c r="A1624" s="0" t="inlineStr">
        <is>
          <t>[만수동]</t>
        </is>
      </c>
      <c r="B1624" s="0" t="n">
        <v>9018</v>
      </c>
      <c r="C1624" s="0" t="n">
        <v>5</v>
      </c>
      <c r="D1624" s="0" t="inlineStr">
        <is>
          <t>신한(6-21)</t>
        </is>
      </c>
      <c r="E1624" s="0" t="inlineStr">
        <is>
          <t>1991.04.</t>
        </is>
      </c>
      <c r="F1624" s="0" t="n">
        <v>132</v>
      </c>
      <c r="G1624" s="0" t="n">
        <v>31.78</v>
      </c>
      <c r="H1624" s="0" t="n">
        <v>105.09</v>
      </c>
      <c r="I1624" s="0" t="n">
        <v>25.58</v>
      </c>
      <c r="J1624" s="0" t="n">
        <v>84.56999999999999</v>
      </c>
      <c r="K1624" s="0" t="n">
        <v>36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105</v>
      </c>
      <c r="X1624" s="0" t="n">
        <v>6</v>
      </c>
      <c r="Y1624" s="0" t="n">
        <v>6</v>
      </c>
      <c r="Z1624" s="0" t="inlineStr">
        <is>
          <t>https://new.land.naver.com/complexes/9018?tab=detail&amp;rf=Y</t>
        </is>
      </c>
      <c r="AA1624" s="0" t="inlineStr">
        <is>
          <t>인천시 남동구 만수동 6-21</t>
        </is>
      </c>
      <c r="AB1624" s="0" t="inlineStr">
        <is>
          <t>인천시</t>
        </is>
      </c>
      <c r="AC1624" s="0" t="inlineStr">
        <is>
          <t>남동구</t>
        </is>
      </c>
      <c r="AD1624" s="0" t="inlineStr">
        <is>
          <t>만수동</t>
        </is>
      </c>
      <c r="AG1624" s="0" t="inlineStr">
        <is>
          <t>인천시 남동구 만수서로 97-14</t>
        </is>
      </c>
      <c r="AH1624" s="0" t="n">
        <v>0</v>
      </c>
      <c r="AI1624" s="0" t="n">
        <v>194</v>
      </c>
      <c r="AJ1624" s="0" t="n">
        <v>33</v>
      </c>
      <c r="AK1624" s="0" t="n">
        <v>0</v>
      </c>
      <c r="AL1624" s="0" t="n">
        <v>0</v>
      </c>
    </row>
    <row r="1625">
      <c r="A1625" s="0" t="inlineStr">
        <is>
          <t>[만수동]</t>
        </is>
      </c>
      <c r="B1625" s="0" t="n">
        <v>9000</v>
      </c>
      <c r="C1625" s="0" t="n">
        <v>1</v>
      </c>
      <c r="D1625" s="0" t="inlineStr">
        <is>
          <t>동남</t>
        </is>
      </c>
      <c r="E1625" s="0" t="inlineStr">
        <is>
          <t>1984.12.</t>
        </is>
      </c>
      <c r="F1625" s="0" t="n">
        <v>110</v>
      </c>
      <c r="G1625" s="0" t="n">
        <v>24.72</v>
      </c>
      <c r="H1625" s="0" t="n">
        <v>81.75</v>
      </c>
      <c r="I1625" s="0" t="n">
        <v>21.99</v>
      </c>
      <c r="J1625" s="0" t="n">
        <v>72.72</v>
      </c>
      <c r="K1625" s="0" t="n">
        <v>20</v>
      </c>
      <c r="T1625" s="0" t="n">
        <v>3</v>
      </c>
      <c r="U1625" s="0" t="n">
        <v>1</v>
      </c>
      <c r="V1625" s="0" t="inlineStr">
        <is>
          <t>계단식</t>
        </is>
      </c>
      <c r="W1625" s="0" t="inlineStr">
        <is>
          <t>81A</t>
        </is>
      </c>
      <c r="X1625" s="0" t="n">
        <v>5</v>
      </c>
      <c r="Y1625" s="0" t="n">
        <v>5</v>
      </c>
      <c r="Z1625" s="0" t="inlineStr">
        <is>
          <t>https://new.land.naver.com/complexes/9000?tab=detail&amp;rf=Y</t>
        </is>
      </c>
      <c r="AA1625" s="0" t="inlineStr">
        <is>
          <t>인천시 남동구 만수동 904-18</t>
        </is>
      </c>
      <c r="AB1625" s="0" t="inlineStr">
        <is>
          <t>인천시</t>
        </is>
      </c>
      <c r="AC1625" s="0" t="inlineStr">
        <is>
          <t>남동구</t>
        </is>
      </c>
      <c r="AD1625" s="0" t="inlineStr">
        <is>
          <t>만수동</t>
        </is>
      </c>
      <c r="AG1625" s="0" t="inlineStr">
        <is>
          <t>인천시 남동구 백범로247번길 37</t>
        </is>
      </c>
      <c r="AH1625" s="0" t="n">
        <v>0</v>
      </c>
      <c r="AI1625" s="0" t="n">
        <v>159</v>
      </c>
      <c r="AJ1625" s="0" t="n">
        <v>32</v>
      </c>
      <c r="AK1625" s="0" t="n">
        <v>0</v>
      </c>
      <c r="AL1625" s="0" t="n">
        <v>0</v>
      </c>
    </row>
    <row r="1626">
      <c r="A1626" s="0" t="inlineStr">
        <is>
          <t>[만수동]</t>
        </is>
      </c>
      <c r="B1626" s="0" t="n">
        <v>9000</v>
      </c>
      <c r="C1626" s="0" t="n">
        <v>2</v>
      </c>
      <c r="D1626" s="0" t="inlineStr">
        <is>
          <t>동남</t>
        </is>
      </c>
      <c r="E1626" s="0" t="inlineStr">
        <is>
          <t>1984.12.</t>
        </is>
      </c>
      <c r="F1626" s="0" t="n">
        <v>110</v>
      </c>
      <c r="G1626" s="0" t="n">
        <v>25.81</v>
      </c>
      <c r="H1626" s="0" t="n">
        <v>85.34999999999999</v>
      </c>
      <c r="I1626" s="0" t="n">
        <v>23.08</v>
      </c>
      <c r="J1626" s="0" t="n">
        <v>76.31999999999999</v>
      </c>
      <c r="K1626" s="0" t="n">
        <v>5</v>
      </c>
      <c r="T1626" s="0" t="n">
        <v>3</v>
      </c>
      <c r="U1626" s="0" t="n">
        <v>1</v>
      </c>
      <c r="V1626" s="0" t="inlineStr">
        <is>
          <t>계단식</t>
        </is>
      </c>
      <c r="W1626" s="0" t="inlineStr">
        <is>
          <t>85B</t>
        </is>
      </c>
      <c r="X1626" s="0" t="n">
        <v>5</v>
      </c>
      <c r="Y1626" s="0" t="n">
        <v>5</v>
      </c>
      <c r="Z1626" s="0" t="inlineStr">
        <is>
          <t>https://new.land.naver.com/complexes/9000?tab=detail&amp;rf=Y</t>
        </is>
      </c>
      <c r="AA1626" s="0" t="inlineStr">
        <is>
          <t>인천시 남동구 만수동 904-18</t>
        </is>
      </c>
      <c r="AB1626" s="0" t="inlineStr">
        <is>
          <t>인천시</t>
        </is>
      </c>
      <c r="AC1626" s="0" t="inlineStr">
        <is>
          <t>남동구</t>
        </is>
      </c>
      <c r="AD1626" s="0" t="inlineStr">
        <is>
          <t>만수동</t>
        </is>
      </c>
      <c r="AG1626" s="0" t="inlineStr">
        <is>
          <t>인천시 남동구 백범로247번길 37</t>
        </is>
      </c>
      <c r="AH1626" s="0" t="n">
        <v>0</v>
      </c>
      <c r="AI1626" s="0" t="n">
        <v>159</v>
      </c>
      <c r="AJ1626" s="0" t="n">
        <v>32</v>
      </c>
      <c r="AK1626" s="0" t="n">
        <v>0</v>
      </c>
      <c r="AL1626" s="0" t="n">
        <v>0</v>
      </c>
    </row>
    <row r="1627">
      <c r="A1627" s="0" t="inlineStr">
        <is>
          <t>[만수동]</t>
        </is>
      </c>
      <c r="B1627" s="0" t="n">
        <v>9000</v>
      </c>
      <c r="C1627" s="0" t="n">
        <v>3</v>
      </c>
      <c r="D1627" s="0" t="inlineStr">
        <is>
          <t>동남</t>
        </is>
      </c>
      <c r="E1627" s="0" t="inlineStr">
        <is>
          <t>1984.12.</t>
        </is>
      </c>
      <c r="F1627" s="0" t="n">
        <v>110</v>
      </c>
      <c r="G1627" s="0" t="n">
        <v>26.92</v>
      </c>
      <c r="H1627" s="0" t="n">
        <v>89.01000000000001</v>
      </c>
      <c r="I1627" s="0" t="n">
        <v>22.99</v>
      </c>
      <c r="J1627" s="0" t="n">
        <v>76.02</v>
      </c>
      <c r="K1627" s="0" t="n">
        <v>40</v>
      </c>
      <c r="T1627" s="0" t="n">
        <v>3</v>
      </c>
      <c r="U1627" s="0" t="n">
        <v>1</v>
      </c>
      <c r="V1627" s="0" t="inlineStr">
        <is>
          <t>계단식</t>
        </is>
      </c>
      <c r="W1627" s="0" t="n">
        <v>89</v>
      </c>
      <c r="X1627" s="0" t="n">
        <v>5</v>
      </c>
      <c r="Y1627" s="0" t="n">
        <v>5</v>
      </c>
      <c r="Z1627" s="0" t="inlineStr">
        <is>
          <t>https://new.land.naver.com/complexes/9000?tab=detail&amp;rf=Y</t>
        </is>
      </c>
      <c r="AA1627" s="0" t="inlineStr">
        <is>
          <t>인천시 남동구 만수동 904-18</t>
        </is>
      </c>
      <c r="AB1627" s="0" t="inlineStr">
        <is>
          <t>인천시</t>
        </is>
      </c>
      <c r="AC1627" s="0" t="inlineStr">
        <is>
          <t>남동구</t>
        </is>
      </c>
      <c r="AD1627" s="0" t="inlineStr">
        <is>
          <t>만수동</t>
        </is>
      </c>
      <c r="AG1627" s="0" t="inlineStr">
        <is>
          <t>인천시 남동구 백범로247번길 37</t>
        </is>
      </c>
      <c r="AH1627" s="0" t="n">
        <v>0</v>
      </c>
      <c r="AI1627" s="0" t="n">
        <v>159</v>
      </c>
      <c r="AJ1627" s="0" t="n">
        <v>32</v>
      </c>
      <c r="AK1627" s="0" t="n">
        <v>0</v>
      </c>
      <c r="AL1627" s="0" t="n">
        <v>0</v>
      </c>
    </row>
    <row r="1628">
      <c r="A1628" s="0" t="inlineStr">
        <is>
          <t>[만수동]</t>
        </is>
      </c>
      <c r="B1628" s="0" t="n">
        <v>9000</v>
      </c>
      <c r="C1628" s="0" t="n">
        <v>4</v>
      </c>
      <c r="D1628" s="0" t="inlineStr">
        <is>
          <t>동남</t>
        </is>
      </c>
      <c r="E1628" s="0" t="inlineStr">
        <is>
          <t>1984.12.</t>
        </is>
      </c>
      <c r="F1628" s="0" t="n">
        <v>110</v>
      </c>
      <c r="G1628" s="0" t="n">
        <v>29.02</v>
      </c>
      <c r="H1628" s="0" t="n">
        <v>95.95</v>
      </c>
      <c r="I1628" s="0" t="n">
        <v>24.82</v>
      </c>
      <c r="J1628" s="0" t="n">
        <v>82.08</v>
      </c>
      <c r="K1628" s="0" t="n">
        <v>40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95A</t>
        </is>
      </c>
      <c r="X1628" s="0" t="n">
        <v>5</v>
      </c>
      <c r="Y1628" s="0" t="n">
        <v>5</v>
      </c>
      <c r="Z1628" s="0" t="inlineStr">
        <is>
          <t>https://new.land.naver.com/complexes/9000?tab=detail&amp;rf=Y</t>
        </is>
      </c>
      <c r="AA1628" s="0" t="inlineStr">
        <is>
          <t>인천시 남동구 만수동 904-18</t>
        </is>
      </c>
      <c r="AB1628" s="0" t="inlineStr">
        <is>
          <t>인천시</t>
        </is>
      </c>
      <c r="AC1628" s="0" t="inlineStr">
        <is>
          <t>남동구</t>
        </is>
      </c>
      <c r="AD1628" s="0" t="inlineStr">
        <is>
          <t>만수동</t>
        </is>
      </c>
      <c r="AG1628" s="0" t="inlineStr">
        <is>
          <t>인천시 남동구 백범로247번길 37</t>
        </is>
      </c>
      <c r="AH1628" s="0" t="n">
        <v>0</v>
      </c>
      <c r="AI1628" s="0" t="n">
        <v>159</v>
      </c>
      <c r="AJ1628" s="0" t="n">
        <v>32</v>
      </c>
      <c r="AK1628" s="0" t="n">
        <v>0</v>
      </c>
      <c r="AL1628" s="0" t="n">
        <v>0</v>
      </c>
    </row>
    <row r="1629">
      <c r="A1629" s="0" t="inlineStr">
        <is>
          <t>[만수동]</t>
        </is>
      </c>
      <c r="B1629" s="0" t="n">
        <v>9000</v>
      </c>
      <c r="C1629" s="0" t="n">
        <v>5</v>
      </c>
      <c r="D1629" s="0" t="inlineStr">
        <is>
          <t>동남</t>
        </is>
      </c>
      <c r="E1629" s="0" t="inlineStr">
        <is>
          <t>1984.12.</t>
        </is>
      </c>
      <c r="F1629" s="0" t="n">
        <v>110</v>
      </c>
      <c r="G1629" s="0" t="n">
        <v>28.88</v>
      </c>
      <c r="H1629" s="0" t="n">
        <v>95.48999999999999</v>
      </c>
      <c r="I1629" s="0" t="n">
        <v>24.95</v>
      </c>
      <c r="J1629" s="0" t="n">
        <v>82.5</v>
      </c>
      <c r="K1629" s="0" t="n">
        <v>5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95B</t>
        </is>
      </c>
      <c r="X1629" s="0" t="n">
        <v>5</v>
      </c>
      <c r="Y1629" s="0" t="n">
        <v>5</v>
      </c>
      <c r="Z1629" s="0" t="inlineStr">
        <is>
          <t>https://new.land.naver.com/complexes/9000?tab=detail&amp;rf=Y</t>
        </is>
      </c>
      <c r="AA1629" s="0" t="inlineStr">
        <is>
          <t>인천시 남동구 만수동 904-18</t>
        </is>
      </c>
      <c r="AB1629" s="0" t="inlineStr">
        <is>
          <t>인천시</t>
        </is>
      </c>
      <c r="AC1629" s="0" t="inlineStr">
        <is>
          <t>남동구</t>
        </is>
      </c>
      <c r="AD1629" s="0" t="inlineStr">
        <is>
          <t>만수동</t>
        </is>
      </c>
      <c r="AG1629" s="0" t="inlineStr">
        <is>
          <t>인천시 남동구 백범로247번길 37</t>
        </is>
      </c>
      <c r="AH1629" s="0" t="n">
        <v>0</v>
      </c>
      <c r="AI1629" s="0" t="n">
        <v>159</v>
      </c>
      <c r="AJ1629" s="0" t="n">
        <v>32</v>
      </c>
      <c r="AK1629" s="0" t="n">
        <v>0</v>
      </c>
      <c r="AL1629" s="0" t="n">
        <v>0</v>
      </c>
    </row>
    <row r="1630">
      <c r="A1630" s="0" t="inlineStr">
        <is>
          <t>[만수동]</t>
        </is>
      </c>
      <c r="B1630" s="0" t="n">
        <v>9349</v>
      </c>
      <c r="C1630" s="0" t="n">
        <v>1</v>
      </c>
      <c r="D1630" s="0" t="inlineStr">
        <is>
          <t>아주2차</t>
        </is>
      </c>
      <c r="E1630" s="0" t="inlineStr">
        <is>
          <t>1988.04.</t>
        </is>
      </c>
      <c r="F1630" s="0" t="n">
        <v>210</v>
      </c>
      <c r="G1630" s="0" t="n">
        <v>14.77</v>
      </c>
      <c r="H1630" s="0" t="n">
        <v>48.83</v>
      </c>
      <c r="I1630" s="0" t="n">
        <v>12</v>
      </c>
      <c r="J1630" s="0" t="n">
        <v>39.7</v>
      </c>
      <c r="K1630" s="0" t="n">
        <v>48</v>
      </c>
      <c r="T1630" s="0" t="n">
        <v>2</v>
      </c>
      <c r="U1630" s="0" t="n">
        <v>1</v>
      </c>
      <c r="V1630" s="0" t="inlineStr">
        <is>
          <t>계단식</t>
        </is>
      </c>
      <c r="W1630" s="0" t="n">
        <v>48</v>
      </c>
      <c r="X1630" s="0" t="n">
        <v>6</v>
      </c>
      <c r="Y1630" s="0" t="n">
        <v>6</v>
      </c>
      <c r="Z1630" s="0" t="inlineStr">
        <is>
          <t>https://new.land.naver.com/complexes/9349?tab=detail&amp;rf=Y</t>
        </is>
      </c>
      <c r="AA1630" s="0" t="inlineStr">
        <is>
          <t>인천시 남동구 만수동 5-318</t>
        </is>
      </c>
      <c r="AB1630" s="0" t="inlineStr">
        <is>
          <t>인천시</t>
        </is>
      </c>
      <c r="AC1630" s="0" t="inlineStr">
        <is>
          <t>남동구</t>
        </is>
      </c>
      <c r="AD1630" s="0" t="inlineStr">
        <is>
          <t>만수동</t>
        </is>
      </c>
      <c r="AG1630" s="0" t="inlineStr">
        <is>
          <t>인천시 남동구 만수로 97</t>
        </is>
      </c>
      <c r="AH1630" s="0" t="n">
        <v>0</v>
      </c>
      <c r="AI1630" s="0" t="n">
        <v>193</v>
      </c>
      <c r="AJ1630" s="0" t="n">
        <v>32</v>
      </c>
      <c r="AK1630" s="0" t="n">
        <v>340</v>
      </c>
      <c r="AL1630" s="0" t="n">
        <v>1.62</v>
      </c>
    </row>
    <row r="1631">
      <c r="A1631" s="0" t="inlineStr">
        <is>
          <t>[만수동]</t>
        </is>
      </c>
      <c r="B1631" s="0" t="n">
        <v>9349</v>
      </c>
      <c r="C1631" s="0" t="n">
        <v>2</v>
      </c>
      <c r="D1631" s="0" t="inlineStr">
        <is>
          <t>아주2차</t>
        </is>
      </c>
      <c r="E1631" s="0" t="inlineStr">
        <is>
          <t>1988.04.</t>
        </is>
      </c>
      <c r="F1631" s="0" t="n">
        <v>210</v>
      </c>
      <c r="G1631" s="0" t="n">
        <v>16.14</v>
      </c>
      <c r="H1631" s="0" t="n">
        <v>53.36</v>
      </c>
      <c r="I1631" s="0" t="n">
        <v>13.25</v>
      </c>
      <c r="J1631" s="0" t="n">
        <v>43.83</v>
      </c>
      <c r="K1631" s="0" t="n">
        <v>156</v>
      </c>
      <c r="T1631" s="0" t="n">
        <v>2</v>
      </c>
      <c r="U1631" s="0" t="n">
        <v>1</v>
      </c>
      <c r="V1631" s="0" t="inlineStr">
        <is>
          <t>계단식</t>
        </is>
      </c>
      <c r="W1631" s="0" t="n">
        <v>53</v>
      </c>
      <c r="X1631" s="0" t="n">
        <v>6</v>
      </c>
      <c r="Y1631" s="0" t="n">
        <v>6</v>
      </c>
      <c r="Z1631" s="0" t="inlineStr">
        <is>
          <t>https://new.land.naver.com/complexes/9349?tab=detail&amp;rf=Y</t>
        </is>
      </c>
      <c r="AA1631" s="0" t="inlineStr">
        <is>
          <t>인천시 남동구 만수동 5-318</t>
        </is>
      </c>
      <c r="AB1631" s="0" t="inlineStr">
        <is>
          <t>인천시</t>
        </is>
      </c>
      <c r="AC1631" s="0" t="inlineStr">
        <is>
          <t>남동구</t>
        </is>
      </c>
      <c r="AD1631" s="0" t="inlineStr">
        <is>
          <t>만수동</t>
        </is>
      </c>
      <c r="AG1631" s="0" t="inlineStr">
        <is>
          <t>인천시 남동구 만수로 97</t>
        </is>
      </c>
      <c r="AH1631" s="0" t="n">
        <v>0</v>
      </c>
      <c r="AI1631" s="0" t="n">
        <v>193</v>
      </c>
      <c r="AJ1631" s="0" t="n">
        <v>32</v>
      </c>
      <c r="AK1631" s="0" t="n">
        <v>340</v>
      </c>
      <c r="AL1631" s="0" t="n">
        <v>1.62</v>
      </c>
    </row>
    <row r="1632">
      <c r="A1632" s="0" t="inlineStr">
        <is>
          <t>[만수동]</t>
        </is>
      </c>
      <c r="B1632" s="0" t="n">
        <v>9349</v>
      </c>
      <c r="C1632" s="0" t="n">
        <v>3</v>
      </c>
      <c r="D1632" s="0" t="inlineStr">
        <is>
          <t>아주2차</t>
        </is>
      </c>
      <c r="E1632" s="0" t="inlineStr">
        <is>
          <t>1988.04.</t>
        </is>
      </c>
      <c r="F1632" s="0" t="n">
        <v>210</v>
      </c>
      <c r="G1632" s="0" t="n">
        <v>20.67</v>
      </c>
      <c r="H1632" s="0" t="n">
        <v>68.34</v>
      </c>
      <c r="I1632" s="0" t="n">
        <v>15.9</v>
      </c>
      <c r="J1632" s="0" t="n">
        <v>52.59</v>
      </c>
      <c r="K1632" s="0" t="n">
        <v>6</v>
      </c>
      <c r="T1632" s="0" t="n">
        <v>3</v>
      </c>
      <c r="U1632" s="0" t="n">
        <v>1</v>
      </c>
      <c r="V1632" s="0" t="inlineStr">
        <is>
          <t>계단식</t>
        </is>
      </c>
      <c r="W1632" s="0" t="n">
        <v>68</v>
      </c>
      <c r="X1632" s="0" t="n">
        <v>6</v>
      </c>
      <c r="Y1632" s="0" t="n">
        <v>6</v>
      </c>
      <c r="Z1632" s="0" t="inlineStr">
        <is>
          <t>https://new.land.naver.com/complexes/9349?tab=detail&amp;rf=Y</t>
        </is>
      </c>
      <c r="AA1632" s="0" t="inlineStr">
        <is>
          <t>인천시 남동구 만수동 5-318</t>
        </is>
      </c>
      <c r="AB1632" s="0" t="inlineStr">
        <is>
          <t>인천시</t>
        </is>
      </c>
      <c r="AC1632" s="0" t="inlineStr">
        <is>
          <t>남동구</t>
        </is>
      </c>
      <c r="AD1632" s="0" t="inlineStr">
        <is>
          <t>만수동</t>
        </is>
      </c>
      <c r="AG1632" s="0" t="inlineStr">
        <is>
          <t>인천시 남동구 만수로 97</t>
        </is>
      </c>
      <c r="AH1632" s="0" t="n">
        <v>0</v>
      </c>
      <c r="AI1632" s="0" t="n">
        <v>193</v>
      </c>
      <c r="AJ1632" s="0" t="n">
        <v>32</v>
      </c>
      <c r="AK1632" s="0" t="n">
        <v>340</v>
      </c>
      <c r="AL1632" s="0" t="n">
        <v>1.62</v>
      </c>
    </row>
    <row r="1633">
      <c r="A1633" s="0" t="inlineStr">
        <is>
          <t>[만수동]</t>
        </is>
      </c>
      <c r="B1633" s="0" t="n">
        <v>118854</v>
      </c>
      <c r="C1633" s="0" t="n">
        <v>1</v>
      </c>
      <c r="D1633" s="0" t="inlineStr">
        <is>
          <t>이안애(도시형)</t>
        </is>
      </c>
      <c r="E1633" s="0" t="inlineStr">
        <is>
          <t>2016.08.</t>
        </is>
      </c>
      <c r="F1633" s="0" t="n">
        <v>16</v>
      </c>
      <c r="G1633" s="0" t="n">
        <v>17.5</v>
      </c>
      <c r="H1633" s="0" t="n">
        <v>57.86</v>
      </c>
      <c r="I1633" s="0" t="n">
        <v>13.46</v>
      </c>
      <c r="J1633" s="0" t="n">
        <v>44.5</v>
      </c>
      <c r="K1633" s="0" t="n">
        <v>4</v>
      </c>
      <c r="T1633" s="0" t="n">
        <v>2</v>
      </c>
      <c r="U1633" s="0" t="n">
        <v>1</v>
      </c>
      <c r="V1633" s="0" t="inlineStr">
        <is>
          <t>계단식</t>
        </is>
      </c>
      <c r="W1633" s="0" t="inlineStr">
        <is>
          <t>57A</t>
        </is>
      </c>
      <c r="X1633" s="0" t="n">
        <v>10</v>
      </c>
      <c r="Y1633" s="0" t="n">
        <v>10</v>
      </c>
      <c r="Z1633" s="0" t="inlineStr">
        <is>
          <t>https://new.land.naver.com/complexes/118854?tab=detail&amp;rf=Y</t>
        </is>
      </c>
      <c r="AA1633" s="0" t="inlineStr">
        <is>
          <t>인천시 남동구 만수동 856-10</t>
        </is>
      </c>
      <c r="AB1633" s="0" t="inlineStr">
        <is>
          <t>인천시</t>
        </is>
      </c>
      <c r="AC1633" s="0" t="inlineStr">
        <is>
          <t>남동구</t>
        </is>
      </c>
      <c r="AD1633" s="0" t="inlineStr">
        <is>
          <t>만수동</t>
        </is>
      </c>
      <c r="AG1633" s="0" t="inlineStr">
        <is>
          <t>인천시 남동구 백범로214번길 42</t>
        </is>
      </c>
      <c r="AH1633" s="0" t="n">
        <v>0</v>
      </c>
      <c r="AI1633" s="0" t="n">
        <v>435</v>
      </c>
      <c r="AJ1633" s="0" t="n">
        <v>59</v>
      </c>
      <c r="AK1633" s="0" t="n">
        <v>14</v>
      </c>
      <c r="AL1633" s="0" t="n">
        <v>0.88</v>
      </c>
    </row>
    <row r="1634">
      <c r="A1634" s="0" t="inlineStr">
        <is>
          <t>[만수동]</t>
        </is>
      </c>
      <c r="B1634" s="0" t="n">
        <v>118854</v>
      </c>
      <c r="C1634" s="0" t="n">
        <v>2</v>
      </c>
      <c r="D1634" s="0" t="inlineStr">
        <is>
          <t>이안애(도시형)</t>
        </is>
      </c>
      <c r="E1634" s="0" t="inlineStr">
        <is>
          <t>2016.08.</t>
        </is>
      </c>
      <c r="F1634" s="0" t="n">
        <v>16</v>
      </c>
      <c r="G1634" s="0" t="n">
        <v>17.62</v>
      </c>
      <c r="H1634" s="0" t="n">
        <v>58.28</v>
      </c>
      <c r="I1634" s="0" t="n">
        <v>13.55</v>
      </c>
      <c r="J1634" s="0" t="n">
        <v>44.82</v>
      </c>
      <c r="K1634" s="0" t="n">
        <v>8</v>
      </c>
      <c r="T1634" s="0" t="n">
        <v>2</v>
      </c>
      <c r="U1634" s="0" t="n">
        <v>1</v>
      </c>
      <c r="V1634" s="0" t="inlineStr">
        <is>
          <t>계단식</t>
        </is>
      </c>
      <c r="W1634" s="0" t="inlineStr">
        <is>
          <t>58B</t>
        </is>
      </c>
      <c r="X1634" s="0" t="n">
        <v>10</v>
      </c>
      <c r="Y1634" s="0" t="n">
        <v>10</v>
      </c>
      <c r="Z1634" s="0" t="inlineStr">
        <is>
          <t>https://new.land.naver.com/complexes/118854?tab=detail&amp;rf=Y</t>
        </is>
      </c>
      <c r="AA1634" s="0" t="inlineStr">
        <is>
          <t>인천시 남동구 만수동 856-10</t>
        </is>
      </c>
      <c r="AB1634" s="0" t="inlineStr">
        <is>
          <t>인천시</t>
        </is>
      </c>
      <c r="AC1634" s="0" t="inlineStr">
        <is>
          <t>남동구</t>
        </is>
      </c>
      <c r="AD1634" s="0" t="inlineStr">
        <is>
          <t>만수동</t>
        </is>
      </c>
      <c r="AG1634" s="0" t="inlineStr">
        <is>
          <t>인천시 남동구 백범로214번길 42</t>
        </is>
      </c>
      <c r="AH1634" s="0" t="n">
        <v>0</v>
      </c>
      <c r="AI1634" s="0" t="n">
        <v>435</v>
      </c>
      <c r="AJ1634" s="0" t="n">
        <v>59</v>
      </c>
      <c r="AK1634" s="0" t="n">
        <v>14</v>
      </c>
      <c r="AL1634" s="0" t="n">
        <v>0.88</v>
      </c>
    </row>
    <row r="1635">
      <c r="A1635" s="0" t="inlineStr">
        <is>
          <t>[만수동]</t>
        </is>
      </c>
      <c r="B1635" s="0" t="n">
        <v>118854</v>
      </c>
      <c r="C1635" s="0" t="n">
        <v>3</v>
      </c>
      <c r="D1635" s="0" t="inlineStr">
        <is>
          <t>이안애(도시형)</t>
        </is>
      </c>
      <c r="E1635" s="0" t="inlineStr">
        <is>
          <t>2016.08.</t>
        </is>
      </c>
      <c r="F1635" s="0" t="n">
        <v>16</v>
      </c>
      <c r="G1635" s="0" t="n">
        <v>17.99</v>
      </c>
      <c r="H1635" s="0" t="n">
        <v>59.49</v>
      </c>
      <c r="I1635" s="0" t="n">
        <v>13.83</v>
      </c>
      <c r="J1635" s="0" t="n">
        <v>45.75</v>
      </c>
      <c r="K1635" s="0" t="n">
        <v>2</v>
      </c>
      <c r="T1635" s="0" t="n">
        <v>3</v>
      </c>
      <c r="U1635" s="0" t="n">
        <v>2</v>
      </c>
      <c r="V1635" s="0" t="inlineStr">
        <is>
          <t>계단식</t>
        </is>
      </c>
      <c r="W1635" s="0" t="inlineStr">
        <is>
          <t>59D</t>
        </is>
      </c>
      <c r="X1635" s="0" t="n">
        <v>10</v>
      </c>
      <c r="Y1635" s="0" t="n">
        <v>10</v>
      </c>
      <c r="Z1635" s="0" t="inlineStr">
        <is>
          <t>https://new.land.naver.com/complexes/118854?tab=detail&amp;rf=Y</t>
        </is>
      </c>
      <c r="AA1635" s="0" t="inlineStr">
        <is>
          <t>인천시 남동구 만수동 856-10</t>
        </is>
      </c>
      <c r="AB1635" s="0" t="inlineStr">
        <is>
          <t>인천시</t>
        </is>
      </c>
      <c r="AC1635" s="0" t="inlineStr">
        <is>
          <t>남동구</t>
        </is>
      </c>
      <c r="AD1635" s="0" t="inlineStr">
        <is>
          <t>만수동</t>
        </is>
      </c>
      <c r="AG1635" s="0" t="inlineStr">
        <is>
          <t>인천시 남동구 백범로214번길 42</t>
        </is>
      </c>
      <c r="AH1635" s="0" t="n">
        <v>0</v>
      </c>
      <c r="AI1635" s="0" t="n">
        <v>435</v>
      </c>
      <c r="AJ1635" s="0" t="n">
        <v>59</v>
      </c>
      <c r="AK1635" s="0" t="n">
        <v>14</v>
      </c>
      <c r="AL1635" s="0" t="n">
        <v>0.88</v>
      </c>
    </row>
    <row r="1636">
      <c r="A1636" s="0" t="inlineStr">
        <is>
          <t>[만수동]</t>
        </is>
      </c>
      <c r="B1636" s="0" t="n">
        <v>118854</v>
      </c>
      <c r="C1636" s="0" t="n">
        <v>4</v>
      </c>
      <c r="D1636" s="0" t="inlineStr">
        <is>
          <t>이안애(도시형)</t>
        </is>
      </c>
      <c r="E1636" s="0" t="inlineStr">
        <is>
          <t>2016.08.</t>
        </is>
      </c>
      <c r="F1636" s="0" t="n">
        <v>16</v>
      </c>
      <c r="G1636" s="0" t="n">
        <v>17.99</v>
      </c>
      <c r="H1636" s="0" t="n">
        <v>59.49</v>
      </c>
      <c r="I1636" s="0" t="n">
        <v>13.83</v>
      </c>
      <c r="J1636" s="0" t="n">
        <v>45.75</v>
      </c>
      <c r="K1636" s="0" t="n">
        <v>1</v>
      </c>
      <c r="T1636" s="0" t="n">
        <v>2</v>
      </c>
      <c r="U1636" s="0" t="n">
        <v>1</v>
      </c>
      <c r="V1636" s="0" t="inlineStr">
        <is>
          <t>계단식</t>
        </is>
      </c>
      <c r="W1636" s="0" t="inlineStr">
        <is>
          <t>59C</t>
        </is>
      </c>
      <c r="X1636" s="0" t="n">
        <v>10</v>
      </c>
      <c r="Y1636" s="0" t="n">
        <v>10</v>
      </c>
      <c r="Z1636" s="0" t="inlineStr">
        <is>
          <t>https://new.land.naver.com/complexes/118854?tab=detail&amp;rf=Y</t>
        </is>
      </c>
      <c r="AA1636" s="0" t="inlineStr">
        <is>
          <t>인천시 남동구 만수동 856-10</t>
        </is>
      </c>
      <c r="AB1636" s="0" t="inlineStr">
        <is>
          <t>인천시</t>
        </is>
      </c>
      <c r="AC1636" s="0" t="inlineStr">
        <is>
          <t>남동구</t>
        </is>
      </c>
      <c r="AD1636" s="0" t="inlineStr">
        <is>
          <t>만수동</t>
        </is>
      </c>
      <c r="AG1636" s="0" t="inlineStr">
        <is>
          <t>인천시 남동구 백범로214번길 42</t>
        </is>
      </c>
      <c r="AH1636" s="0" t="n">
        <v>0</v>
      </c>
      <c r="AI1636" s="0" t="n">
        <v>435</v>
      </c>
      <c r="AJ1636" s="0" t="n">
        <v>59</v>
      </c>
      <c r="AK1636" s="0" t="n">
        <v>14</v>
      </c>
      <c r="AL1636" s="0" t="n">
        <v>0.88</v>
      </c>
    </row>
    <row r="1637">
      <c r="A1637" s="0" t="inlineStr">
        <is>
          <t>[만수동]</t>
        </is>
      </c>
      <c r="B1637" s="0" t="n">
        <v>118854</v>
      </c>
      <c r="C1637" s="0" t="n">
        <v>5</v>
      </c>
      <c r="D1637" s="0" t="inlineStr">
        <is>
          <t>이안애(도시형)</t>
        </is>
      </c>
      <c r="E1637" s="0" t="inlineStr">
        <is>
          <t>2016.08.</t>
        </is>
      </c>
      <c r="F1637" s="0" t="n">
        <v>16</v>
      </c>
      <c r="G1637" s="0" t="n">
        <v>17.99</v>
      </c>
      <c r="H1637" s="0" t="n">
        <v>59.49</v>
      </c>
      <c r="I1637" s="0" t="n">
        <v>13.83</v>
      </c>
      <c r="J1637" s="0" t="n">
        <v>45.75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59E</t>
        </is>
      </c>
      <c r="X1637" s="0" t="n">
        <v>10</v>
      </c>
      <c r="Y1637" s="0" t="n">
        <v>10</v>
      </c>
      <c r="Z1637" s="0" t="inlineStr">
        <is>
          <t>https://new.land.naver.com/complexes/118854?tab=detail&amp;rf=Y</t>
        </is>
      </c>
      <c r="AA1637" s="0" t="inlineStr">
        <is>
          <t>인천시 남동구 만수동 856-10</t>
        </is>
      </c>
      <c r="AB1637" s="0" t="inlineStr">
        <is>
          <t>인천시</t>
        </is>
      </c>
      <c r="AC1637" s="0" t="inlineStr">
        <is>
          <t>남동구</t>
        </is>
      </c>
      <c r="AD1637" s="0" t="inlineStr">
        <is>
          <t>만수동</t>
        </is>
      </c>
      <c r="AG1637" s="0" t="inlineStr">
        <is>
          <t>인천시 남동구 백범로214번길 42</t>
        </is>
      </c>
      <c r="AH1637" s="0" t="n">
        <v>0</v>
      </c>
      <c r="AI1637" s="0" t="n">
        <v>435</v>
      </c>
      <c r="AJ1637" s="0" t="n">
        <v>59</v>
      </c>
      <c r="AK1637" s="0" t="n">
        <v>14</v>
      </c>
      <c r="AL1637" s="0" t="n">
        <v>0.88</v>
      </c>
    </row>
    <row r="1638">
      <c r="A1638" s="0" t="inlineStr">
        <is>
          <t>[만수동]</t>
        </is>
      </c>
      <c r="B1638" s="0" t="n">
        <v>11656</v>
      </c>
      <c r="C1638" s="0" t="n">
        <v>1</v>
      </c>
      <c r="D1638" s="0" t="inlineStr">
        <is>
          <t>정은홈타운</t>
        </is>
      </c>
      <c r="E1638" s="0" t="inlineStr">
        <is>
          <t>2003.04.</t>
        </is>
      </c>
      <c r="F1638" s="0" t="n">
        <v>16</v>
      </c>
      <c r="G1638" s="0" t="n">
        <v>25.13</v>
      </c>
      <c r="H1638" s="0" t="n">
        <v>83.08</v>
      </c>
      <c r="I1638" s="0" t="n">
        <v>22.4</v>
      </c>
      <c r="J1638" s="0" t="n">
        <v>74.08</v>
      </c>
      <c r="K1638" s="0" t="n">
        <v>2</v>
      </c>
      <c r="T1638" s="0" t="n">
        <v>3</v>
      </c>
      <c r="U1638" s="0" t="n">
        <v>1</v>
      </c>
      <c r="V1638" s="0" t="inlineStr">
        <is>
          <t>계단식</t>
        </is>
      </c>
      <c r="W1638" s="0" t="n">
        <v>83</v>
      </c>
      <c r="X1638" s="0" t="n">
        <v>9</v>
      </c>
      <c r="Y1638" s="0" t="n">
        <v>9</v>
      </c>
      <c r="Z1638" s="0" t="inlineStr">
        <is>
          <t>https://new.land.naver.com/complexes/11656?tab=detail&amp;rf=Y</t>
        </is>
      </c>
      <c r="AA1638" s="0" t="inlineStr">
        <is>
          <t>인천시 남동구 만수동 927-5</t>
        </is>
      </c>
      <c r="AB1638" s="0" t="inlineStr">
        <is>
          <t>인천시</t>
        </is>
      </c>
      <c r="AC1638" s="0" t="inlineStr">
        <is>
          <t>남동구</t>
        </is>
      </c>
      <c r="AD1638" s="0" t="inlineStr">
        <is>
          <t>만수동</t>
        </is>
      </c>
      <c r="AG1638" s="0" t="inlineStr">
        <is>
          <t>인천시 남동구 구월남로 336</t>
        </is>
      </c>
      <c r="AH1638" s="0" t="n">
        <v>0</v>
      </c>
      <c r="AI1638" s="0" t="n">
        <v>267</v>
      </c>
      <c r="AJ1638" s="0" t="n">
        <v>47</v>
      </c>
      <c r="AK1638" s="0" t="n">
        <v>18</v>
      </c>
      <c r="AL1638" s="0" t="n">
        <v>1.12</v>
      </c>
    </row>
    <row r="1639">
      <c r="A1639" s="0" t="inlineStr">
        <is>
          <t>[만수동]</t>
        </is>
      </c>
      <c r="B1639" s="0" t="n">
        <v>11656</v>
      </c>
      <c r="C1639" s="0" t="n">
        <v>2</v>
      </c>
      <c r="D1639" s="0" t="inlineStr">
        <is>
          <t>정은홈타운</t>
        </is>
      </c>
      <c r="E1639" s="0" t="inlineStr">
        <is>
          <t>2003.04.</t>
        </is>
      </c>
      <c r="F1639" s="0" t="n">
        <v>16</v>
      </c>
      <c r="G1639" s="0" t="n">
        <v>32.37</v>
      </c>
      <c r="H1639" s="0" t="n">
        <v>107.04</v>
      </c>
      <c r="I1639" s="0" t="n">
        <v>28.87</v>
      </c>
      <c r="J1639" s="0" t="n">
        <v>95.45999999999999</v>
      </c>
      <c r="K1639" s="0" t="n">
        <v>2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107</v>
      </c>
      <c r="X1639" s="0" t="n">
        <v>9</v>
      </c>
      <c r="Y1639" s="0" t="n">
        <v>9</v>
      </c>
      <c r="Z1639" s="0" t="inlineStr">
        <is>
          <t>https://new.land.naver.com/complexes/11656?tab=detail&amp;rf=Y</t>
        </is>
      </c>
      <c r="AA1639" s="0" t="inlineStr">
        <is>
          <t>인천시 남동구 만수동 927-5</t>
        </is>
      </c>
      <c r="AB1639" s="0" t="inlineStr">
        <is>
          <t>인천시</t>
        </is>
      </c>
      <c r="AC1639" s="0" t="inlineStr">
        <is>
          <t>남동구</t>
        </is>
      </c>
      <c r="AD1639" s="0" t="inlineStr">
        <is>
          <t>만수동</t>
        </is>
      </c>
      <c r="AG1639" s="0" t="inlineStr">
        <is>
          <t>인천시 남동구 구월남로 336</t>
        </is>
      </c>
      <c r="AH1639" s="0" t="n">
        <v>0</v>
      </c>
      <c r="AI1639" s="0" t="n">
        <v>267</v>
      </c>
      <c r="AJ1639" s="0" t="n">
        <v>47</v>
      </c>
      <c r="AK1639" s="0" t="n">
        <v>18</v>
      </c>
      <c r="AL1639" s="0" t="n">
        <v>1.12</v>
      </c>
    </row>
    <row r="1640">
      <c r="A1640" s="0" t="inlineStr">
        <is>
          <t>[만수동]</t>
        </is>
      </c>
      <c r="B1640" s="0" t="n">
        <v>11656</v>
      </c>
      <c r="C1640" s="0" t="n">
        <v>3</v>
      </c>
      <c r="D1640" s="0" t="inlineStr">
        <is>
          <t>정은홈타운</t>
        </is>
      </c>
      <c r="E1640" s="0" t="inlineStr">
        <is>
          <t>2003.04.</t>
        </is>
      </c>
      <c r="F1640" s="0" t="n">
        <v>16</v>
      </c>
      <c r="G1640" s="0" t="n">
        <v>32.81</v>
      </c>
      <c r="H1640" s="0" t="n">
        <v>108.47</v>
      </c>
      <c r="I1640" s="0" t="n">
        <v>29.25</v>
      </c>
      <c r="J1640" s="0" t="n">
        <v>96.72</v>
      </c>
      <c r="K1640" s="0" t="n">
        <v>12</v>
      </c>
      <c r="T1640" s="0" t="n">
        <v>3</v>
      </c>
      <c r="U1640" s="0" t="n">
        <v>2</v>
      </c>
      <c r="V1640" s="0" t="inlineStr">
        <is>
          <t>계단식</t>
        </is>
      </c>
      <c r="W1640" s="0" t="n">
        <v>108</v>
      </c>
      <c r="X1640" s="0" t="n">
        <v>9</v>
      </c>
      <c r="Y1640" s="0" t="n">
        <v>9</v>
      </c>
      <c r="Z1640" s="0" t="inlineStr">
        <is>
          <t>https://new.land.naver.com/complexes/11656?tab=detail&amp;rf=Y</t>
        </is>
      </c>
      <c r="AA1640" s="0" t="inlineStr">
        <is>
          <t>인천시 남동구 만수동 927-5</t>
        </is>
      </c>
      <c r="AB1640" s="0" t="inlineStr">
        <is>
          <t>인천시</t>
        </is>
      </c>
      <c r="AC1640" s="0" t="inlineStr">
        <is>
          <t>남동구</t>
        </is>
      </c>
      <c r="AD1640" s="0" t="inlineStr">
        <is>
          <t>만수동</t>
        </is>
      </c>
      <c r="AG1640" s="0" t="inlineStr">
        <is>
          <t>인천시 남동구 구월남로 336</t>
        </is>
      </c>
      <c r="AH1640" s="0" t="n">
        <v>0</v>
      </c>
      <c r="AI1640" s="0" t="n">
        <v>267</v>
      </c>
      <c r="AJ1640" s="0" t="n">
        <v>47</v>
      </c>
      <c r="AK1640" s="0" t="n">
        <v>18</v>
      </c>
      <c r="AL1640" s="0" t="n">
        <v>1.12</v>
      </c>
    </row>
    <row r="1641">
      <c r="A1641" s="0" t="inlineStr">
        <is>
          <t>[만수동]</t>
        </is>
      </c>
      <c r="B1641" s="0" t="n">
        <v>2325</v>
      </c>
      <c r="C1641" s="0" t="n">
        <v>1</v>
      </c>
      <c r="D1641" s="0" t="inlineStr">
        <is>
          <t>효성</t>
        </is>
      </c>
      <c r="E1641" s="0" t="inlineStr">
        <is>
          <t>1985.06.</t>
        </is>
      </c>
      <c r="F1641" s="0" t="n">
        <v>720</v>
      </c>
      <c r="G1641" s="0" t="n">
        <v>23.88</v>
      </c>
      <c r="H1641" s="0" t="n">
        <v>78.97</v>
      </c>
      <c r="I1641" s="0" t="n">
        <v>18.24</v>
      </c>
      <c r="J1641" s="0" t="n">
        <v>60.33</v>
      </c>
      <c r="K1641" s="0" t="n">
        <v>60</v>
      </c>
      <c r="T1641" s="0" t="n">
        <v>2</v>
      </c>
      <c r="U1641" s="0" t="n">
        <v>1</v>
      </c>
      <c r="V1641" s="0" t="inlineStr">
        <is>
          <t>복도식</t>
        </is>
      </c>
      <c r="W1641" s="0" t="inlineStr">
        <is>
          <t>78A</t>
        </is>
      </c>
      <c r="X1641" s="0" t="n">
        <v>15</v>
      </c>
      <c r="Y1641" s="0" t="n">
        <v>15</v>
      </c>
      <c r="Z1641" s="0" t="inlineStr">
        <is>
          <t>https://new.land.naver.com/complexes/2325?tab=detail&amp;rf=Y</t>
        </is>
      </c>
      <c r="AA1641" s="0" t="inlineStr">
        <is>
          <t>인천시 남동구 만수동 905</t>
        </is>
      </c>
      <c r="AB1641" s="0" t="inlineStr">
        <is>
          <t>인천시</t>
        </is>
      </c>
      <c r="AC1641" s="0" t="inlineStr">
        <is>
          <t>남동구</t>
        </is>
      </c>
      <c r="AD1641" s="0" t="inlineStr">
        <is>
          <t>만수동</t>
        </is>
      </c>
      <c r="AG1641" s="0" t="inlineStr">
        <is>
          <t>인천시 남동구 백범로227번길 76</t>
        </is>
      </c>
      <c r="AH1641" s="0" t="n">
        <v>0</v>
      </c>
      <c r="AI1641" s="0" t="n">
        <v>227</v>
      </c>
      <c r="AJ1641" s="0" t="n">
        <v>17</v>
      </c>
      <c r="AK1641" s="0" t="n">
        <v>660</v>
      </c>
      <c r="AL1641" s="0" t="n">
        <v>0.92</v>
      </c>
    </row>
    <row r="1642">
      <c r="A1642" s="0" t="inlineStr">
        <is>
          <t>[만수동]</t>
        </is>
      </c>
      <c r="B1642" s="0" t="n">
        <v>2325</v>
      </c>
      <c r="C1642" s="0" t="n">
        <v>2</v>
      </c>
      <c r="D1642" s="0" t="inlineStr">
        <is>
          <t>효성</t>
        </is>
      </c>
      <c r="E1642" s="0" t="inlineStr">
        <is>
          <t>1985.06.</t>
        </is>
      </c>
      <c r="F1642" s="0" t="n">
        <v>720</v>
      </c>
      <c r="G1642" s="0" t="n">
        <v>25.07</v>
      </c>
      <c r="H1642" s="0" t="n">
        <v>82.89</v>
      </c>
      <c r="I1642" s="0" t="n">
        <v>18.77</v>
      </c>
      <c r="J1642" s="0" t="n">
        <v>62.07</v>
      </c>
      <c r="K1642" s="0" t="n">
        <v>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82B</t>
        </is>
      </c>
      <c r="X1642" s="0" t="n">
        <v>15</v>
      </c>
      <c r="Y1642" s="0" t="n">
        <v>15</v>
      </c>
      <c r="Z1642" s="0" t="inlineStr">
        <is>
          <t>https://new.land.naver.com/complexes/2325?tab=detail&amp;rf=Y</t>
        </is>
      </c>
      <c r="AA1642" s="0" t="inlineStr">
        <is>
          <t>인천시 남동구 만수동 905</t>
        </is>
      </c>
      <c r="AB1642" s="0" t="inlineStr">
        <is>
          <t>인천시</t>
        </is>
      </c>
      <c r="AC1642" s="0" t="inlineStr">
        <is>
          <t>남동구</t>
        </is>
      </c>
      <c r="AD1642" s="0" t="inlineStr">
        <is>
          <t>만수동</t>
        </is>
      </c>
      <c r="AG1642" s="0" t="inlineStr">
        <is>
          <t>인천시 남동구 백범로227번길 76</t>
        </is>
      </c>
      <c r="AH1642" s="0" t="n">
        <v>0</v>
      </c>
      <c r="AI1642" s="0" t="n">
        <v>227</v>
      </c>
      <c r="AJ1642" s="0" t="n">
        <v>17</v>
      </c>
      <c r="AK1642" s="0" t="n">
        <v>660</v>
      </c>
      <c r="AL1642" s="0" t="n">
        <v>0.92</v>
      </c>
    </row>
    <row r="1643">
      <c r="A1643" s="0" t="inlineStr">
        <is>
          <t>[만수동]</t>
        </is>
      </c>
      <c r="B1643" s="0" t="n">
        <v>2325</v>
      </c>
      <c r="C1643" s="0" t="n">
        <v>3</v>
      </c>
      <c r="D1643" s="0" t="inlineStr">
        <is>
          <t>효성</t>
        </is>
      </c>
      <c r="E1643" s="0" t="inlineStr">
        <is>
          <t>1985.06.</t>
        </is>
      </c>
      <c r="F1643" s="0" t="n">
        <v>720</v>
      </c>
      <c r="G1643" s="0" t="n">
        <v>26.64</v>
      </c>
      <c r="H1643" s="0" t="n">
        <v>88.06999999999999</v>
      </c>
      <c r="I1643" s="0" t="n">
        <v>23.62</v>
      </c>
      <c r="J1643" s="0" t="n">
        <v>78.09999999999999</v>
      </c>
      <c r="K1643" s="0" t="n">
        <v>180</v>
      </c>
      <c r="T1643" s="0" t="n">
        <v>3</v>
      </c>
      <c r="U1643" s="0" t="n">
        <v>2</v>
      </c>
      <c r="V1643" s="0" t="inlineStr">
        <is>
          <t>계단식</t>
        </is>
      </c>
      <c r="W1643" s="0" t="n">
        <v>88</v>
      </c>
      <c r="X1643" s="0" t="n">
        <v>15</v>
      </c>
      <c r="Y1643" s="0" t="n">
        <v>15</v>
      </c>
      <c r="Z1643" s="0" t="inlineStr">
        <is>
          <t>https://new.land.naver.com/complexes/2325?tab=detail&amp;rf=Y</t>
        </is>
      </c>
      <c r="AA1643" s="0" t="inlineStr">
        <is>
          <t>인천시 남동구 만수동 905</t>
        </is>
      </c>
      <c r="AB1643" s="0" t="inlineStr">
        <is>
          <t>인천시</t>
        </is>
      </c>
      <c r="AC1643" s="0" t="inlineStr">
        <is>
          <t>남동구</t>
        </is>
      </c>
      <c r="AD1643" s="0" t="inlineStr">
        <is>
          <t>만수동</t>
        </is>
      </c>
      <c r="AG1643" s="0" t="inlineStr">
        <is>
          <t>인천시 남동구 백범로227번길 76</t>
        </is>
      </c>
      <c r="AH1643" s="0" t="n">
        <v>0</v>
      </c>
      <c r="AI1643" s="0" t="n">
        <v>227</v>
      </c>
      <c r="AJ1643" s="0" t="n">
        <v>17</v>
      </c>
      <c r="AK1643" s="0" t="n">
        <v>660</v>
      </c>
      <c r="AL1643" s="0" t="n">
        <v>0.92</v>
      </c>
    </row>
    <row r="1644">
      <c r="A1644" s="0" t="inlineStr">
        <is>
          <t>[만수동]</t>
        </is>
      </c>
      <c r="B1644" s="0" t="n">
        <v>2325</v>
      </c>
      <c r="C1644" s="0" t="n">
        <v>4</v>
      </c>
      <c r="D1644" s="0" t="inlineStr">
        <is>
          <t>효성</t>
        </is>
      </c>
      <c r="E1644" s="0" t="inlineStr">
        <is>
          <t>1985.06.</t>
        </is>
      </c>
      <c r="F1644" s="0" t="n">
        <v>720</v>
      </c>
      <c r="G1644" s="0" t="n">
        <v>27.19</v>
      </c>
      <c r="H1644" s="0" t="n">
        <v>89.89</v>
      </c>
      <c r="I1644" s="0" t="n">
        <v>20.89</v>
      </c>
      <c r="J1644" s="0" t="n">
        <v>69.06999999999999</v>
      </c>
      <c r="K1644" s="0" t="n">
        <v>59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89</v>
      </c>
      <c r="X1644" s="0" t="n">
        <v>15</v>
      </c>
      <c r="Y1644" s="0" t="n">
        <v>15</v>
      </c>
      <c r="Z1644" s="0" t="inlineStr">
        <is>
          <t>https://new.land.naver.com/complexes/2325?tab=detail&amp;rf=Y</t>
        </is>
      </c>
      <c r="AA1644" s="0" t="inlineStr">
        <is>
          <t>인천시 남동구 만수동 905</t>
        </is>
      </c>
      <c r="AB1644" s="0" t="inlineStr">
        <is>
          <t>인천시</t>
        </is>
      </c>
      <c r="AC1644" s="0" t="inlineStr">
        <is>
          <t>남동구</t>
        </is>
      </c>
      <c r="AD1644" s="0" t="inlineStr">
        <is>
          <t>만수동</t>
        </is>
      </c>
      <c r="AG1644" s="0" t="inlineStr">
        <is>
          <t>인천시 남동구 백범로227번길 76</t>
        </is>
      </c>
      <c r="AH1644" s="0" t="n">
        <v>0</v>
      </c>
      <c r="AI1644" s="0" t="n">
        <v>227</v>
      </c>
      <c r="AJ1644" s="0" t="n">
        <v>17</v>
      </c>
      <c r="AK1644" s="0" t="n">
        <v>660</v>
      </c>
      <c r="AL1644" s="0" t="n">
        <v>0.92</v>
      </c>
    </row>
    <row r="1645">
      <c r="A1645" s="0" t="inlineStr">
        <is>
          <t>[만수동]</t>
        </is>
      </c>
      <c r="B1645" s="0" t="n">
        <v>2325</v>
      </c>
      <c r="C1645" s="0" t="n">
        <v>5</v>
      </c>
      <c r="D1645" s="0" t="inlineStr">
        <is>
          <t>효성</t>
        </is>
      </c>
      <c r="E1645" s="0" t="inlineStr">
        <is>
          <t>1985.06.</t>
        </is>
      </c>
      <c r="F1645" s="0" t="n">
        <v>720</v>
      </c>
      <c r="G1645" s="0" t="n">
        <v>30.51</v>
      </c>
      <c r="H1645" s="0" t="n">
        <v>100.89</v>
      </c>
      <c r="I1645" s="0" t="n">
        <v>25.69</v>
      </c>
      <c r="J1645" s="0" t="n">
        <v>84.95</v>
      </c>
      <c r="K1645" s="0" t="n">
        <v>180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100B</t>
        </is>
      </c>
      <c r="X1645" s="0" t="n">
        <v>15</v>
      </c>
      <c r="Y1645" s="0" t="n">
        <v>15</v>
      </c>
      <c r="Z1645" s="0" t="inlineStr">
        <is>
          <t>https://new.land.naver.com/complexes/2325?tab=detail&amp;rf=Y</t>
        </is>
      </c>
      <c r="AA1645" s="0" t="inlineStr">
        <is>
          <t>인천시 남동구 만수동 905</t>
        </is>
      </c>
      <c r="AB1645" s="0" t="inlineStr">
        <is>
          <t>인천시</t>
        </is>
      </c>
      <c r="AC1645" s="0" t="inlineStr">
        <is>
          <t>남동구</t>
        </is>
      </c>
      <c r="AD1645" s="0" t="inlineStr">
        <is>
          <t>만수동</t>
        </is>
      </c>
      <c r="AG1645" s="0" t="inlineStr">
        <is>
          <t>인천시 남동구 백범로227번길 76</t>
        </is>
      </c>
      <c r="AH1645" s="0" t="n">
        <v>0</v>
      </c>
      <c r="AI1645" s="0" t="n">
        <v>227</v>
      </c>
      <c r="AJ1645" s="0" t="n">
        <v>17</v>
      </c>
      <c r="AK1645" s="0" t="n">
        <v>660</v>
      </c>
      <c r="AL1645" s="0" t="n">
        <v>0.92</v>
      </c>
    </row>
    <row r="1646">
      <c r="A1646" s="0" t="inlineStr">
        <is>
          <t>[만수동]</t>
        </is>
      </c>
      <c r="B1646" s="0" t="n">
        <v>2325</v>
      </c>
      <c r="C1646" s="0" t="n">
        <v>6</v>
      </c>
      <c r="D1646" s="0" t="inlineStr">
        <is>
          <t>효성</t>
        </is>
      </c>
      <c r="E1646" s="0" t="inlineStr">
        <is>
          <t>1985.06.</t>
        </is>
      </c>
      <c r="F1646" s="0" t="n">
        <v>720</v>
      </c>
      <c r="G1646" s="0" t="n">
        <v>30.8</v>
      </c>
      <c r="H1646" s="0" t="n">
        <v>101.83</v>
      </c>
      <c r="I1646" s="0" t="n">
        <v>25.62</v>
      </c>
      <c r="J1646" s="0" t="n">
        <v>84.72</v>
      </c>
      <c r="K1646" s="0" t="n">
        <v>180</v>
      </c>
      <c r="T1646" s="0" t="n">
        <v>3</v>
      </c>
      <c r="U1646" s="0" t="n">
        <v>1</v>
      </c>
      <c r="V1646" s="0" t="inlineStr">
        <is>
          <t>계단식</t>
        </is>
      </c>
      <c r="W1646" s="0" t="inlineStr">
        <is>
          <t>101A</t>
        </is>
      </c>
      <c r="X1646" s="0" t="n">
        <v>15</v>
      </c>
      <c r="Y1646" s="0" t="n">
        <v>15</v>
      </c>
      <c r="Z1646" s="0" t="inlineStr">
        <is>
          <t>https://new.land.naver.com/complexes/2325?tab=detail&amp;rf=Y</t>
        </is>
      </c>
      <c r="AA1646" s="0" t="inlineStr">
        <is>
          <t>인천시 남동구 만수동 905</t>
        </is>
      </c>
      <c r="AB1646" s="0" t="inlineStr">
        <is>
          <t>인천시</t>
        </is>
      </c>
      <c r="AC1646" s="0" t="inlineStr">
        <is>
          <t>남동구</t>
        </is>
      </c>
      <c r="AD1646" s="0" t="inlineStr">
        <is>
          <t>만수동</t>
        </is>
      </c>
      <c r="AG1646" s="0" t="inlineStr">
        <is>
          <t>인천시 남동구 백범로227번길 76</t>
        </is>
      </c>
      <c r="AH1646" s="0" t="n">
        <v>0</v>
      </c>
      <c r="AI1646" s="0" t="n">
        <v>227</v>
      </c>
      <c r="AJ1646" s="0" t="n">
        <v>17</v>
      </c>
      <c r="AK1646" s="0" t="n">
        <v>660</v>
      </c>
      <c r="AL1646" s="0" t="n">
        <v>0.92</v>
      </c>
    </row>
    <row r="1647">
      <c r="A1647" s="0" t="inlineStr">
        <is>
          <t>[만수동]</t>
        </is>
      </c>
      <c r="B1647" s="0" t="n">
        <v>2325</v>
      </c>
      <c r="C1647" s="0" t="n">
        <v>7</v>
      </c>
      <c r="D1647" s="0" t="inlineStr">
        <is>
          <t>효성</t>
        </is>
      </c>
      <c r="E1647" s="0" t="inlineStr">
        <is>
          <t>1985.06.</t>
        </is>
      </c>
      <c r="F1647" s="0" t="n">
        <v>720</v>
      </c>
      <c r="G1647" s="0" t="n">
        <v>42.7</v>
      </c>
      <c r="H1647" s="0" t="n">
        <v>141.16</v>
      </c>
      <c r="I1647" s="0" t="n">
        <v>36.66</v>
      </c>
      <c r="J1647" s="0" t="n">
        <v>121.21</v>
      </c>
      <c r="K1647" s="0" t="n">
        <v>59</v>
      </c>
      <c r="T1647" s="0" t="n">
        <v>4</v>
      </c>
      <c r="U1647" s="0" t="n">
        <v>2</v>
      </c>
      <c r="V1647" s="0" t="inlineStr">
        <is>
          <t>계단식</t>
        </is>
      </c>
      <c r="W1647" s="0" t="n">
        <v>141</v>
      </c>
      <c r="X1647" s="0" t="n">
        <v>15</v>
      </c>
      <c r="Y1647" s="0" t="n">
        <v>15</v>
      </c>
      <c r="Z1647" s="0" t="inlineStr">
        <is>
          <t>https://new.land.naver.com/complexes/2325?tab=detail&amp;rf=Y</t>
        </is>
      </c>
      <c r="AA1647" s="0" t="inlineStr">
        <is>
          <t>인천시 남동구 만수동 905</t>
        </is>
      </c>
      <c r="AB1647" s="0" t="inlineStr">
        <is>
          <t>인천시</t>
        </is>
      </c>
      <c r="AC1647" s="0" t="inlineStr">
        <is>
          <t>남동구</t>
        </is>
      </c>
      <c r="AD1647" s="0" t="inlineStr">
        <is>
          <t>만수동</t>
        </is>
      </c>
      <c r="AG1647" s="0" t="inlineStr">
        <is>
          <t>인천시 남동구 백범로227번길 76</t>
        </is>
      </c>
      <c r="AH1647" s="0" t="n">
        <v>0</v>
      </c>
      <c r="AI1647" s="0" t="n">
        <v>227</v>
      </c>
      <c r="AJ1647" s="0" t="n">
        <v>17</v>
      </c>
      <c r="AK1647" s="0" t="n">
        <v>660</v>
      </c>
      <c r="AL1647" s="0" t="n">
        <v>0.92</v>
      </c>
    </row>
    <row r="1648">
      <c r="A1648" s="0" t="inlineStr">
        <is>
          <t>[만수동]</t>
        </is>
      </c>
      <c r="B1648" s="0" t="n">
        <v>2325</v>
      </c>
      <c r="C1648" s="0" t="n">
        <v>8</v>
      </c>
      <c r="D1648" s="0" t="inlineStr">
        <is>
          <t>효성</t>
        </is>
      </c>
      <c r="E1648" s="0" t="inlineStr">
        <is>
          <t>1985.06.</t>
        </is>
      </c>
      <c r="F1648" s="0" t="n">
        <v>720</v>
      </c>
      <c r="G1648" s="0" t="n">
        <v>42.7</v>
      </c>
      <c r="H1648" s="0" t="n">
        <v>141.16</v>
      </c>
      <c r="I1648" s="0" t="n">
        <v>39.98</v>
      </c>
      <c r="J1648" s="0" t="n">
        <v>132.19</v>
      </c>
      <c r="K1648" s="0" t="n">
        <v>1</v>
      </c>
      <c r="T1648" s="0" t="n">
        <v>4</v>
      </c>
      <c r="U1648" s="0" t="n">
        <v>2</v>
      </c>
      <c r="V1648" s="0" t="inlineStr">
        <is>
          <t>계단식</t>
        </is>
      </c>
      <c r="W1648" s="0" t="n">
        <v>141</v>
      </c>
      <c r="X1648" s="0" t="n">
        <v>15</v>
      </c>
      <c r="Y1648" s="0" t="n">
        <v>15</v>
      </c>
      <c r="Z1648" s="0" t="inlineStr">
        <is>
          <t>https://new.land.naver.com/complexes/2325?tab=detail&amp;rf=Y</t>
        </is>
      </c>
      <c r="AA1648" s="0" t="inlineStr">
        <is>
          <t>인천시 남동구 만수동 905</t>
        </is>
      </c>
      <c r="AB1648" s="0" t="inlineStr">
        <is>
          <t>인천시</t>
        </is>
      </c>
      <c r="AC1648" s="0" t="inlineStr">
        <is>
          <t>남동구</t>
        </is>
      </c>
      <c r="AD1648" s="0" t="inlineStr">
        <is>
          <t>만수동</t>
        </is>
      </c>
      <c r="AG1648" s="0" t="inlineStr">
        <is>
          <t>인천시 남동구 백범로227번길 76</t>
        </is>
      </c>
      <c r="AH1648" s="0" t="n">
        <v>0</v>
      </c>
      <c r="AI1648" s="0" t="n">
        <v>227</v>
      </c>
      <c r="AJ1648" s="0" t="n">
        <v>17</v>
      </c>
      <c r="AK1648" s="0" t="n">
        <v>660</v>
      </c>
      <c r="AL1648" s="0" t="n">
        <v>0.92</v>
      </c>
    </row>
    <row r="1649">
      <c r="A1649" s="0" t="inlineStr">
        <is>
          <t>[서창동]</t>
        </is>
      </c>
      <c r="B1649" s="0" t="n">
        <v>102629</v>
      </c>
      <c r="C1649" s="0" t="n">
        <v>1</v>
      </c>
      <c r="D1649" s="0" t="inlineStr">
        <is>
          <t>서창베라체</t>
        </is>
      </c>
      <c r="E1649" s="0" t="inlineStr">
        <is>
          <t>2012.03.</t>
        </is>
      </c>
      <c r="F1649" s="0" t="n">
        <v>938</v>
      </c>
      <c r="G1649" s="0" t="n">
        <v>24.76</v>
      </c>
      <c r="H1649" s="0" t="n">
        <v>81.88</v>
      </c>
      <c r="I1649" s="0" t="n">
        <v>17.99</v>
      </c>
      <c r="J1649" s="0" t="n">
        <v>59.49</v>
      </c>
      <c r="K1649" s="0" t="n">
        <v>116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81A2</t>
        </is>
      </c>
      <c r="X1649" s="0" t="n">
        <v>20</v>
      </c>
      <c r="Y1649" s="0" t="n">
        <v>7</v>
      </c>
      <c r="Z1649" s="0" t="inlineStr">
        <is>
          <t>https://new.land.naver.com/complexes/102629?tab=detail&amp;rf=Y</t>
        </is>
      </c>
      <c r="AA1649" s="0" t="inlineStr">
        <is>
          <t>인천시 남동구 서창동 715</t>
        </is>
      </c>
      <c r="AB1649" s="0" t="inlineStr">
        <is>
          <t>인천시</t>
        </is>
      </c>
      <c r="AC1649" s="0" t="inlineStr">
        <is>
          <t>남동구</t>
        </is>
      </c>
      <c r="AD1649" s="0" t="inlineStr">
        <is>
          <t>서창동</t>
        </is>
      </c>
      <c r="AG1649" s="0" t="inlineStr">
        <is>
          <t>인천시 남동구 서창남로 17</t>
        </is>
      </c>
      <c r="AH1649" s="0" t="n">
        <v>0</v>
      </c>
      <c r="AI1649" s="0" t="n">
        <v>142</v>
      </c>
      <c r="AJ1649" s="0" t="n">
        <v>18</v>
      </c>
      <c r="AK1649" s="0" t="n">
        <v>1138</v>
      </c>
      <c r="AL1649" s="0" t="n">
        <v>1.21</v>
      </c>
    </row>
    <row r="1650">
      <c r="A1650" s="0" t="inlineStr">
        <is>
          <t>[서창동]</t>
        </is>
      </c>
      <c r="B1650" s="0" t="n">
        <v>102629</v>
      </c>
      <c r="C1650" s="0" t="n">
        <v>2</v>
      </c>
      <c r="D1650" s="0" t="inlineStr">
        <is>
          <t>서창베라체</t>
        </is>
      </c>
      <c r="E1650" s="0" t="inlineStr">
        <is>
          <t>2012.03.</t>
        </is>
      </c>
      <c r="F1650" s="0" t="n">
        <v>938</v>
      </c>
      <c r="G1650" s="0" t="n">
        <v>24.63</v>
      </c>
      <c r="H1650" s="0" t="n">
        <v>81.43000000000001</v>
      </c>
      <c r="I1650" s="0" t="n">
        <v>18.1</v>
      </c>
      <c r="J1650" s="0" t="n">
        <v>59.85</v>
      </c>
      <c r="K1650" s="0" t="n">
        <v>116</v>
      </c>
      <c r="T1650" s="0" t="n">
        <v>3</v>
      </c>
      <c r="U1650" s="0" t="n">
        <v>2</v>
      </c>
      <c r="V1650" s="0" t="inlineStr">
        <is>
          <t>계단식</t>
        </is>
      </c>
      <c r="W1650" s="0" t="inlineStr">
        <is>
          <t>81B2</t>
        </is>
      </c>
      <c r="X1650" s="0" t="n">
        <v>20</v>
      </c>
      <c r="Y1650" s="0" t="n">
        <v>7</v>
      </c>
      <c r="Z1650" s="0" t="inlineStr">
        <is>
          <t>https://new.land.naver.com/complexes/102629?tab=detail&amp;rf=Y</t>
        </is>
      </c>
      <c r="AA1650" s="0" t="inlineStr">
        <is>
          <t>인천시 남동구 서창동 715</t>
        </is>
      </c>
      <c r="AB1650" s="0" t="inlineStr">
        <is>
          <t>인천시</t>
        </is>
      </c>
      <c r="AC1650" s="0" t="inlineStr">
        <is>
          <t>남동구</t>
        </is>
      </c>
      <c r="AD1650" s="0" t="inlineStr">
        <is>
          <t>서창동</t>
        </is>
      </c>
      <c r="AG1650" s="0" t="inlineStr">
        <is>
          <t>인천시 남동구 서창남로 17</t>
        </is>
      </c>
      <c r="AH1650" s="0" t="n">
        <v>0</v>
      </c>
      <c r="AI1650" s="0" t="n">
        <v>142</v>
      </c>
      <c r="AJ1650" s="0" t="n">
        <v>18</v>
      </c>
      <c r="AK1650" s="0" t="n">
        <v>1138</v>
      </c>
      <c r="AL1650" s="0" t="n">
        <v>1.21</v>
      </c>
    </row>
    <row r="1651">
      <c r="A1651" s="0" t="inlineStr">
        <is>
          <t>[서창동]</t>
        </is>
      </c>
      <c r="B1651" s="0" t="n">
        <v>102629</v>
      </c>
      <c r="C1651" s="0" t="n">
        <v>3</v>
      </c>
      <c r="D1651" s="0" t="inlineStr">
        <is>
          <t>서창베라체</t>
        </is>
      </c>
      <c r="E1651" s="0" t="inlineStr">
        <is>
          <t>2012.03.</t>
        </is>
      </c>
      <c r="F1651" s="0" t="n">
        <v>938</v>
      </c>
      <c r="G1651" s="0" t="n">
        <v>24.58</v>
      </c>
      <c r="H1651" s="0" t="n">
        <v>81.27</v>
      </c>
      <c r="I1651" s="0" t="n">
        <v>18.09</v>
      </c>
      <c r="J1651" s="0" t="n">
        <v>59.81</v>
      </c>
      <c r="K1651" s="0" t="n">
        <v>57</v>
      </c>
      <c r="T1651" s="0" t="n">
        <v>3</v>
      </c>
      <c r="U1651" s="0" t="n">
        <v>2</v>
      </c>
      <c r="V1651" s="0" t="inlineStr">
        <is>
          <t>계단식</t>
        </is>
      </c>
      <c r="W1651" s="0" t="inlineStr">
        <is>
          <t>81B1</t>
        </is>
      </c>
      <c r="X1651" s="0" t="n">
        <v>20</v>
      </c>
      <c r="Y1651" s="0" t="n">
        <v>7</v>
      </c>
      <c r="Z1651" s="0" t="inlineStr">
        <is>
          <t>https://new.land.naver.com/complexes/102629?tab=detail&amp;rf=Y</t>
        </is>
      </c>
      <c r="AA1651" s="0" t="inlineStr">
        <is>
          <t>인천시 남동구 서창동 715</t>
        </is>
      </c>
      <c r="AB1651" s="0" t="inlineStr">
        <is>
          <t>인천시</t>
        </is>
      </c>
      <c r="AC1651" s="0" t="inlineStr">
        <is>
          <t>남동구</t>
        </is>
      </c>
      <c r="AD1651" s="0" t="inlineStr">
        <is>
          <t>서창동</t>
        </is>
      </c>
      <c r="AG1651" s="0" t="inlineStr">
        <is>
          <t>인천시 남동구 서창남로 17</t>
        </is>
      </c>
      <c r="AH1651" s="0" t="n">
        <v>0</v>
      </c>
      <c r="AI1651" s="0" t="n">
        <v>142</v>
      </c>
      <c r="AJ1651" s="0" t="n">
        <v>18</v>
      </c>
      <c r="AK1651" s="0" t="n">
        <v>1138</v>
      </c>
      <c r="AL1651" s="0" t="n">
        <v>1.21</v>
      </c>
    </row>
    <row r="1652">
      <c r="A1652" s="0" t="inlineStr">
        <is>
          <t>[서창동]</t>
        </is>
      </c>
      <c r="B1652" s="0" t="n">
        <v>102629</v>
      </c>
      <c r="C1652" s="0" t="n">
        <v>4</v>
      </c>
      <c r="D1652" s="0" t="inlineStr">
        <is>
          <t>서창베라체</t>
        </is>
      </c>
      <c r="E1652" s="0" t="inlineStr">
        <is>
          <t>2012.03.</t>
        </is>
      </c>
      <c r="F1652" s="0" t="n">
        <v>938</v>
      </c>
      <c r="G1652" s="0" t="n">
        <v>24.72</v>
      </c>
      <c r="H1652" s="0" t="n">
        <v>81.73999999999999</v>
      </c>
      <c r="I1652" s="0" t="n">
        <v>17.98</v>
      </c>
      <c r="J1652" s="0" t="n">
        <v>59.46</v>
      </c>
      <c r="K1652" s="0" t="n">
        <v>44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81A1</t>
        </is>
      </c>
      <c r="X1652" s="0" t="n">
        <v>20</v>
      </c>
      <c r="Y1652" s="0" t="n">
        <v>7</v>
      </c>
      <c r="Z1652" s="0" t="inlineStr">
        <is>
          <t>https://new.land.naver.com/complexes/102629?tab=detail&amp;rf=Y</t>
        </is>
      </c>
      <c r="AA1652" s="0" t="inlineStr">
        <is>
          <t>인천시 남동구 서창동 715</t>
        </is>
      </c>
      <c r="AB1652" s="0" t="inlineStr">
        <is>
          <t>인천시</t>
        </is>
      </c>
      <c r="AC1652" s="0" t="inlineStr">
        <is>
          <t>남동구</t>
        </is>
      </c>
      <c r="AD1652" s="0" t="inlineStr">
        <is>
          <t>서창동</t>
        </is>
      </c>
      <c r="AG1652" s="0" t="inlineStr">
        <is>
          <t>인천시 남동구 서창남로 17</t>
        </is>
      </c>
      <c r="AH1652" s="0" t="n">
        <v>0</v>
      </c>
      <c r="AI1652" s="0" t="n">
        <v>142</v>
      </c>
      <c r="AJ1652" s="0" t="n">
        <v>18</v>
      </c>
      <c r="AK1652" s="0" t="n">
        <v>1138</v>
      </c>
      <c r="AL1652" s="0" t="n">
        <v>1.21</v>
      </c>
    </row>
    <row r="1653">
      <c r="A1653" s="0" t="inlineStr">
        <is>
          <t>[서창동]</t>
        </is>
      </c>
      <c r="B1653" s="0" t="n">
        <v>102629</v>
      </c>
      <c r="C1653" s="0" t="n">
        <v>5</v>
      </c>
      <c r="D1653" s="0" t="inlineStr">
        <is>
          <t>서창베라체</t>
        </is>
      </c>
      <c r="E1653" s="0" t="inlineStr">
        <is>
          <t>2012.03.</t>
        </is>
      </c>
      <c r="F1653" s="0" t="n">
        <v>938</v>
      </c>
      <c r="G1653" s="0" t="n">
        <v>24.57</v>
      </c>
      <c r="H1653" s="0" t="n">
        <v>81.23</v>
      </c>
      <c r="I1653" s="0" t="n">
        <v>18</v>
      </c>
      <c r="J1653" s="0" t="n">
        <v>59.52</v>
      </c>
      <c r="K1653" s="0" t="n">
        <v>9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81C</t>
        </is>
      </c>
      <c r="X1653" s="0" t="n">
        <v>20</v>
      </c>
      <c r="Y1653" s="0" t="n">
        <v>7</v>
      </c>
      <c r="Z1653" s="0" t="inlineStr">
        <is>
          <t>https://new.land.naver.com/complexes/102629?tab=detail&amp;rf=Y</t>
        </is>
      </c>
      <c r="AA1653" s="0" t="inlineStr">
        <is>
          <t>인천시 남동구 서창동 715</t>
        </is>
      </c>
      <c r="AB1653" s="0" t="inlineStr">
        <is>
          <t>인천시</t>
        </is>
      </c>
      <c r="AC1653" s="0" t="inlineStr">
        <is>
          <t>남동구</t>
        </is>
      </c>
      <c r="AD1653" s="0" t="inlineStr">
        <is>
          <t>서창동</t>
        </is>
      </c>
      <c r="AG1653" s="0" t="inlineStr">
        <is>
          <t>인천시 남동구 서창남로 17</t>
        </is>
      </c>
      <c r="AH1653" s="0" t="n">
        <v>0</v>
      </c>
      <c r="AI1653" s="0" t="n">
        <v>142</v>
      </c>
      <c r="AJ1653" s="0" t="n">
        <v>18</v>
      </c>
      <c r="AK1653" s="0" t="n">
        <v>1138</v>
      </c>
      <c r="AL1653" s="0" t="n">
        <v>1.21</v>
      </c>
    </row>
    <row r="1654">
      <c r="A1654" s="0" t="inlineStr">
        <is>
          <t>[서창동]</t>
        </is>
      </c>
      <c r="B1654" s="0" t="n">
        <v>102629</v>
      </c>
      <c r="C1654" s="0" t="n">
        <v>6</v>
      </c>
      <c r="D1654" s="0" t="inlineStr">
        <is>
          <t>서창베라체</t>
        </is>
      </c>
      <c r="E1654" s="0" t="inlineStr">
        <is>
          <t>2012.03.</t>
        </is>
      </c>
      <c r="F1654" s="0" t="n">
        <v>938</v>
      </c>
      <c r="G1654" s="0" t="n">
        <v>34.3</v>
      </c>
      <c r="H1654" s="0" t="n">
        <v>113.41</v>
      </c>
      <c r="I1654" s="0" t="n">
        <v>25.62</v>
      </c>
      <c r="J1654" s="0" t="n">
        <v>84.72</v>
      </c>
      <c r="K1654" s="0" t="n">
        <v>119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113B1</t>
        </is>
      </c>
      <c r="X1654" s="0" t="n">
        <v>20</v>
      </c>
      <c r="Y1654" s="0" t="n">
        <v>7</v>
      </c>
      <c r="Z1654" s="0" t="inlineStr">
        <is>
          <t>https://new.land.naver.com/complexes/102629?tab=detail&amp;rf=Y</t>
        </is>
      </c>
      <c r="AA1654" s="0" t="inlineStr">
        <is>
          <t>인천시 남동구 서창동 715</t>
        </is>
      </c>
      <c r="AB1654" s="0" t="inlineStr">
        <is>
          <t>인천시</t>
        </is>
      </c>
      <c r="AC1654" s="0" t="inlineStr">
        <is>
          <t>남동구</t>
        </is>
      </c>
      <c r="AD1654" s="0" t="inlineStr">
        <is>
          <t>서창동</t>
        </is>
      </c>
      <c r="AG1654" s="0" t="inlineStr">
        <is>
          <t>인천시 남동구 서창남로 17</t>
        </is>
      </c>
      <c r="AH1654" s="0" t="n">
        <v>0</v>
      </c>
      <c r="AI1654" s="0" t="n">
        <v>142</v>
      </c>
      <c r="AJ1654" s="0" t="n">
        <v>18</v>
      </c>
      <c r="AK1654" s="0" t="n">
        <v>1138</v>
      </c>
      <c r="AL1654" s="0" t="n">
        <v>1.21</v>
      </c>
    </row>
    <row r="1655">
      <c r="A1655" s="0" t="inlineStr">
        <is>
          <t>[서창동]</t>
        </is>
      </c>
      <c r="B1655" s="0" t="n">
        <v>102629</v>
      </c>
      <c r="C1655" s="0" t="n">
        <v>7</v>
      </c>
      <c r="D1655" s="0" t="inlineStr">
        <is>
          <t>서창베라체</t>
        </is>
      </c>
      <c r="E1655" s="0" t="inlineStr">
        <is>
          <t>2012.03.</t>
        </is>
      </c>
      <c r="F1655" s="0" t="n">
        <v>938</v>
      </c>
      <c r="G1655" s="0" t="n">
        <v>34.45</v>
      </c>
      <c r="H1655" s="0" t="n">
        <v>113.91</v>
      </c>
      <c r="I1655" s="0" t="n">
        <v>25.7</v>
      </c>
      <c r="J1655" s="0" t="n">
        <v>84.98999999999999</v>
      </c>
      <c r="K1655" s="0" t="n">
        <v>56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113D2</t>
        </is>
      </c>
      <c r="X1655" s="0" t="n">
        <v>20</v>
      </c>
      <c r="Y1655" s="0" t="n">
        <v>7</v>
      </c>
      <c r="Z1655" s="0" t="inlineStr">
        <is>
          <t>https://new.land.naver.com/complexes/102629?tab=detail&amp;rf=Y</t>
        </is>
      </c>
      <c r="AA1655" s="0" t="inlineStr">
        <is>
          <t>인천시 남동구 서창동 715</t>
        </is>
      </c>
      <c r="AB1655" s="0" t="inlineStr">
        <is>
          <t>인천시</t>
        </is>
      </c>
      <c r="AC1655" s="0" t="inlineStr">
        <is>
          <t>남동구</t>
        </is>
      </c>
      <c r="AD1655" s="0" t="inlineStr">
        <is>
          <t>서창동</t>
        </is>
      </c>
      <c r="AG1655" s="0" t="inlineStr">
        <is>
          <t>인천시 남동구 서창남로 17</t>
        </is>
      </c>
      <c r="AH1655" s="0" t="n">
        <v>0</v>
      </c>
      <c r="AI1655" s="0" t="n">
        <v>142</v>
      </c>
      <c r="AJ1655" s="0" t="n">
        <v>18</v>
      </c>
      <c r="AK1655" s="0" t="n">
        <v>1138</v>
      </c>
      <c r="AL1655" s="0" t="n">
        <v>1.21</v>
      </c>
    </row>
    <row r="1656">
      <c r="A1656" s="0" t="inlineStr">
        <is>
          <t>[서창동]</t>
        </is>
      </c>
      <c r="B1656" s="0" t="n">
        <v>102629</v>
      </c>
      <c r="C1656" s="0" t="n">
        <v>8</v>
      </c>
      <c r="D1656" s="0" t="inlineStr">
        <is>
          <t>서창베라체</t>
        </is>
      </c>
      <c r="E1656" s="0" t="inlineStr">
        <is>
          <t>2012.03.</t>
        </is>
      </c>
      <c r="F1656" s="0" t="n">
        <v>938</v>
      </c>
      <c r="G1656" s="0" t="n">
        <v>34.45</v>
      </c>
      <c r="H1656" s="0" t="n">
        <v>113.91</v>
      </c>
      <c r="I1656" s="0" t="n">
        <v>25.7</v>
      </c>
      <c r="J1656" s="0" t="n">
        <v>84.98999999999999</v>
      </c>
      <c r="K1656" s="0" t="n">
        <v>40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113D2N</t>
        </is>
      </c>
      <c r="X1656" s="0" t="n">
        <v>20</v>
      </c>
      <c r="Y1656" s="0" t="n">
        <v>7</v>
      </c>
      <c r="Z1656" s="0" t="inlineStr">
        <is>
          <t>https://new.land.naver.com/complexes/102629?tab=detail&amp;rf=Y</t>
        </is>
      </c>
      <c r="AA1656" s="0" t="inlineStr">
        <is>
          <t>인천시 남동구 서창동 715</t>
        </is>
      </c>
      <c r="AB1656" s="0" t="inlineStr">
        <is>
          <t>인천시</t>
        </is>
      </c>
      <c r="AC1656" s="0" t="inlineStr">
        <is>
          <t>남동구</t>
        </is>
      </c>
      <c r="AD1656" s="0" t="inlineStr">
        <is>
          <t>서창동</t>
        </is>
      </c>
      <c r="AG1656" s="0" t="inlineStr">
        <is>
          <t>인천시 남동구 서창남로 17</t>
        </is>
      </c>
      <c r="AH1656" s="0" t="n">
        <v>0</v>
      </c>
      <c r="AI1656" s="0" t="n">
        <v>142</v>
      </c>
      <c r="AJ1656" s="0" t="n">
        <v>18</v>
      </c>
      <c r="AK1656" s="0" t="n">
        <v>1138</v>
      </c>
      <c r="AL1656" s="0" t="n">
        <v>1.21</v>
      </c>
    </row>
    <row r="1657">
      <c r="A1657" s="0" t="inlineStr">
        <is>
          <t>[서창동]</t>
        </is>
      </c>
      <c r="B1657" s="0" t="n">
        <v>102629</v>
      </c>
      <c r="C1657" s="0" t="n">
        <v>9</v>
      </c>
      <c r="D1657" s="0" t="inlineStr">
        <is>
          <t>서창베라체</t>
        </is>
      </c>
      <c r="E1657" s="0" t="inlineStr">
        <is>
          <t>2012.03.</t>
        </is>
      </c>
      <c r="F1657" s="0" t="n">
        <v>938</v>
      </c>
      <c r="G1657" s="0" t="n">
        <v>34.52</v>
      </c>
      <c r="H1657" s="0" t="n">
        <v>114.13</v>
      </c>
      <c r="I1657" s="0" t="n">
        <v>25.67</v>
      </c>
      <c r="J1657" s="0" t="n">
        <v>84.86</v>
      </c>
      <c r="K1657" s="0" t="n">
        <v>108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114A2</t>
        </is>
      </c>
      <c r="X1657" s="0" t="n">
        <v>20</v>
      </c>
      <c r="Y1657" s="0" t="n">
        <v>7</v>
      </c>
      <c r="Z1657" s="0" t="inlineStr">
        <is>
          <t>https://new.land.naver.com/complexes/102629?tab=detail&amp;rf=Y</t>
        </is>
      </c>
      <c r="AA1657" s="0" t="inlineStr">
        <is>
          <t>인천시 남동구 서창동 715</t>
        </is>
      </c>
      <c r="AB1657" s="0" t="inlineStr">
        <is>
          <t>인천시</t>
        </is>
      </c>
      <c r="AC1657" s="0" t="inlineStr">
        <is>
          <t>남동구</t>
        </is>
      </c>
      <c r="AD1657" s="0" t="inlineStr">
        <is>
          <t>서창동</t>
        </is>
      </c>
      <c r="AG1657" s="0" t="inlineStr">
        <is>
          <t>인천시 남동구 서창남로 17</t>
        </is>
      </c>
      <c r="AH1657" s="0" t="n">
        <v>0</v>
      </c>
      <c r="AI1657" s="0" t="n">
        <v>142</v>
      </c>
      <c r="AJ1657" s="0" t="n">
        <v>18</v>
      </c>
      <c r="AK1657" s="0" t="n">
        <v>1138</v>
      </c>
      <c r="AL1657" s="0" t="n">
        <v>1.21</v>
      </c>
    </row>
    <row r="1658">
      <c r="A1658" s="0" t="inlineStr">
        <is>
          <t>[서창동]</t>
        </is>
      </c>
      <c r="B1658" s="0" t="n">
        <v>102629</v>
      </c>
      <c r="C1658" s="0" t="n">
        <v>10</v>
      </c>
      <c r="D1658" s="0" t="inlineStr">
        <is>
          <t>서창베라체</t>
        </is>
      </c>
      <c r="E1658" s="0" t="inlineStr">
        <is>
          <t>2012.03.</t>
        </is>
      </c>
      <c r="F1658" s="0" t="n">
        <v>938</v>
      </c>
      <c r="G1658" s="0" t="n">
        <v>34.51</v>
      </c>
      <c r="H1658" s="0" t="n">
        <v>114.09</v>
      </c>
      <c r="I1658" s="0" t="n">
        <v>25.69</v>
      </c>
      <c r="J1658" s="0" t="n">
        <v>84.93000000000001</v>
      </c>
      <c r="K1658" s="0" t="n">
        <v>98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114A1</t>
        </is>
      </c>
      <c r="X1658" s="0" t="n">
        <v>20</v>
      </c>
      <c r="Y1658" s="0" t="n">
        <v>7</v>
      </c>
      <c r="Z1658" s="0" t="inlineStr">
        <is>
          <t>https://new.land.naver.com/complexes/102629?tab=detail&amp;rf=Y</t>
        </is>
      </c>
      <c r="AA1658" s="0" t="inlineStr">
        <is>
          <t>인천시 남동구 서창동 715</t>
        </is>
      </c>
      <c r="AB1658" s="0" t="inlineStr">
        <is>
          <t>인천시</t>
        </is>
      </c>
      <c r="AC1658" s="0" t="inlineStr">
        <is>
          <t>남동구</t>
        </is>
      </c>
      <c r="AD1658" s="0" t="inlineStr">
        <is>
          <t>서창동</t>
        </is>
      </c>
      <c r="AG1658" s="0" t="inlineStr">
        <is>
          <t>인천시 남동구 서창남로 17</t>
        </is>
      </c>
      <c r="AH1658" s="0" t="n">
        <v>0</v>
      </c>
      <c r="AI1658" s="0" t="n">
        <v>142</v>
      </c>
      <c r="AJ1658" s="0" t="n">
        <v>18</v>
      </c>
      <c r="AK1658" s="0" t="n">
        <v>1138</v>
      </c>
      <c r="AL1658" s="0" t="n">
        <v>1.21</v>
      </c>
    </row>
    <row r="1659">
      <c r="A1659" s="0" t="inlineStr">
        <is>
          <t>[서창동]</t>
        </is>
      </c>
      <c r="B1659" s="0" t="n">
        <v>102629</v>
      </c>
      <c r="C1659" s="0" t="n">
        <v>11</v>
      </c>
      <c r="D1659" s="0" t="inlineStr">
        <is>
          <t>서창베라체</t>
        </is>
      </c>
      <c r="E1659" s="0" t="inlineStr">
        <is>
          <t>2012.03.</t>
        </is>
      </c>
      <c r="F1659" s="0" t="n">
        <v>938</v>
      </c>
      <c r="G1659" s="0" t="n">
        <v>34.66</v>
      </c>
      <c r="H1659" s="0" t="n">
        <v>114.58</v>
      </c>
      <c r="I1659" s="0" t="n">
        <v>25.64</v>
      </c>
      <c r="J1659" s="0" t="n">
        <v>84.77</v>
      </c>
      <c r="K1659" s="0" t="n">
        <v>45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114D1</t>
        </is>
      </c>
      <c r="X1659" s="0" t="n">
        <v>20</v>
      </c>
      <c r="Y1659" s="0" t="n">
        <v>7</v>
      </c>
      <c r="Z1659" s="0" t="inlineStr">
        <is>
          <t>https://new.land.naver.com/complexes/102629?tab=detail&amp;rf=Y</t>
        </is>
      </c>
      <c r="AA1659" s="0" t="inlineStr">
        <is>
          <t>인천시 남동구 서창동 715</t>
        </is>
      </c>
      <c r="AB1659" s="0" t="inlineStr">
        <is>
          <t>인천시</t>
        </is>
      </c>
      <c r="AC1659" s="0" t="inlineStr">
        <is>
          <t>남동구</t>
        </is>
      </c>
      <c r="AD1659" s="0" t="inlineStr">
        <is>
          <t>서창동</t>
        </is>
      </c>
      <c r="AG1659" s="0" t="inlineStr">
        <is>
          <t>인천시 남동구 서창남로 17</t>
        </is>
      </c>
      <c r="AH1659" s="0" t="n">
        <v>0</v>
      </c>
      <c r="AI1659" s="0" t="n">
        <v>142</v>
      </c>
      <c r="AJ1659" s="0" t="n">
        <v>18</v>
      </c>
      <c r="AK1659" s="0" t="n">
        <v>1138</v>
      </c>
      <c r="AL1659" s="0" t="n">
        <v>1.21</v>
      </c>
    </row>
    <row r="1660">
      <c r="A1660" s="0" t="inlineStr">
        <is>
          <t>[서창동]</t>
        </is>
      </c>
      <c r="B1660" s="0" t="n">
        <v>102629</v>
      </c>
      <c r="C1660" s="0" t="n">
        <v>12</v>
      </c>
      <c r="D1660" s="0" t="inlineStr">
        <is>
          <t>서창베라체</t>
        </is>
      </c>
      <c r="E1660" s="0" t="inlineStr">
        <is>
          <t>2012.03.</t>
        </is>
      </c>
      <c r="F1660" s="0" t="n">
        <v>938</v>
      </c>
      <c r="G1660" s="0" t="n">
        <v>34.63</v>
      </c>
      <c r="H1660" s="0" t="n">
        <v>114.49</v>
      </c>
      <c r="I1660" s="0" t="n">
        <v>25.57</v>
      </c>
      <c r="J1660" s="0" t="n">
        <v>84.55</v>
      </c>
      <c r="K1660" s="0" t="n">
        <v>34</v>
      </c>
      <c r="T1660" s="0" t="n">
        <v>3</v>
      </c>
      <c r="U1660" s="0" t="n">
        <v>2</v>
      </c>
      <c r="V1660" s="0" t="inlineStr">
        <is>
          <t>계단식</t>
        </is>
      </c>
      <c r="W1660" s="0" t="inlineStr">
        <is>
          <t>114C1</t>
        </is>
      </c>
      <c r="X1660" s="0" t="n">
        <v>20</v>
      </c>
      <c r="Y1660" s="0" t="n">
        <v>7</v>
      </c>
      <c r="Z1660" s="0" t="inlineStr">
        <is>
          <t>https://new.land.naver.com/complexes/102629?tab=detail&amp;rf=Y</t>
        </is>
      </c>
      <c r="AA1660" s="0" t="inlineStr">
        <is>
          <t>인천시 남동구 서창동 715</t>
        </is>
      </c>
      <c r="AB1660" s="0" t="inlineStr">
        <is>
          <t>인천시</t>
        </is>
      </c>
      <c r="AC1660" s="0" t="inlineStr">
        <is>
          <t>남동구</t>
        </is>
      </c>
      <c r="AD1660" s="0" t="inlineStr">
        <is>
          <t>서창동</t>
        </is>
      </c>
      <c r="AG1660" s="0" t="inlineStr">
        <is>
          <t>인천시 남동구 서창남로 17</t>
        </is>
      </c>
      <c r="AH1660" s="0" t="n">
        <v>0</v>
      </c>
      <c r="AI1660" s="0" t="n">
        <v>142</v>
      </c>
      <c r="AJ1660" s="0" t="n">
        <v>18</v>
      </c>
      <c r="AK1660" s="0" t="n">
        <v>1138</v>
      </c>
      <c r="AL1660" s="0" t="n">
        <v>1.21</v>
      </c>
    </row>
    <row r="1661">
      <c r="A1661" s="0" t="inlineStr">
        <is>
          <t>[서창동]</t>
        </is>
      </c>
      <c r="B1661" s="0" t="n">
        <v>102629</v>
      </c>
      <c r="C1661" s="0" t="n">
        <v>13</v>
      </c>
      <c r="D1661" s="0" t="inlineStr">
        <is>
          <t>서창베라체</t>
        </is>
      </c>
      <c r="E1661" s="0" t="inlineStr">
        <is>
          <t>2012.03.</t>
        </is>
      </c>
      <c r="F1661" s="0" t="n">
        <v>938</v>
      </c>
      <c r="G1661" s="0" t="n">
        <v>34.62</v>
      </c>
      <c r="H1661" s="0" t="n">
        <v>114.46</v>
      </c>
      <c r="I1661" s="0" t="n">
        <v>25.53</v>
      </c>
      <c r="J1661" s="0" t="n">
        <v>84.41</v>
      </c>
      <c r="K1661" s="0" t="n">
        <v>20</v>
      </c>
      <c r="T1661" s="0" t="n">
        <v>3</v>
      </c>
      <c r="U1661" s="0" t="n">
        <v>2</v>
      </c>
      <c r="V1661" s="0" t="inlineStr">
        <is>
          <t>계단식</t>
        </is>
      </c>
      <c r="W1661" s="0" t="inlineStr">
        <is>
          <t>114B2N</t>
        </is>
      </c>
      <c r="X1661" s="0" t="n">
        <v>20</v>
      </c>
      <c r="Y1661" s="0" t="n">
        <v>7</v>
      </c>
      <c r="Z1661" s="0" t="inlineStr">
        <is>
          <t>https://new.land.naver.com/complexes/102629?tab=detail&amp;rf=Y</t>
        </is>
      </c>
      <c r="AA1661" s="0" t="inlineStr">
        <is>
          <t>인천시 남동구 서창동 715</t>
        </is>
      </c>
      <c r="AB1661" s="0" t="inlineStr">
        <is>
          <t>인천시</t>
        </is>
      </c>
      <c r="AC1661" s="0" t="inlineStr">
        <is>
          <t>남동구</t>
        </is>
      </c>
      <c r="AD1661" s="0" t="inlineStr">
        <is>
          <t>서창동</t>
        </is>
      </c>
      <c r="AG1661" s="0" t="inlineStr">
        <is>
          <t>인천시 남동구 서창남로 17</t>
        </is>
      </c>
      <c r="AH1661" s="0" t="n">
        <v>0</v>
      </c>
      <c r="AI1661" s="0" t="n">
        <v>142</v>
      </c>
      <c r="AJ1661" s="0" t="n">
        <v>18</v>
      </c>
      <c r="AK1661" s="0" t="n">
        <v>1138</v>
      </c>
      <c r="AL1661" s="0" t="n">
        <v>1.21</v>
      </c>
    </row>
    <row r="1662">
      <c r="A1662" s="0" t="inlineStr">
        <is>
          <t>[서창동]</t>
        </is>
      </c>
      <c r="B1662" s="0" t="n">
        <v>102629</v>
      </c>
      <c r="C1662" s="0" t="n">
        <v>14</v>
      </c>
      <c r="D1662" s="0" t="inlineStr">
        <is>
          <t>서창베라체</t>
        </is>
      </c>
      <c r="E1662" s="0" t="inlineStr">
        <is>
          <t>2012.03.</t>
        </is>
      </c>
      <c r="F1662" s="0" t="n">
        <v>938</v>
      </c>
      <c r="G1662" s="0" t="n">
        <v>34.62</v>
      </c>
      <c r="H1662" s="0" t="n">
        <v>114.46</v>
      </c>
      <c r="I1662" s="0" t="n">
        <v>25.53</v>
      </c>
      <c r="J1662" s="0" t="n">
        <v>84.41</v>
      </c>
      <c r="K1662" s="0" t="n">
        <v>20</v>
      </c>
      <c r="T1662" s="0" t="n">
        <v>3</v>
      </c>
      <c r="U1662" s="0" t="n">
        <v>2</v>
      </c>
      <c r="V1662" s="0" t="inlineStr">
        <is>
          <t>계단식</t>
        </is>
      </c>
      <c r="W1662" s="0" t="inlineStr">
        <is>
          <t>114C2</t>
        </is>
      </c>
      <c r="X1662" s="0" t="n">
        <v>20</v>
      </c>
      <c r="Y1662" s="0" t="n">
        <v>7</v>
      </c>
      <c r="Z1662" s="0" t="inlineStr">
        <is>
          <t>https://new.land.naver.com/complexes/102629?tab=detail&amp;rf=Y</t>
        </is>
      </c>
      <c r="AA1662" s="0" t="inlineStr">
        <is>
          <t>인천시 남동구 서창동 715</t>
        </is>
      </c>
      <c r="AB1662" s="0" t="inlineStr">
        <is>
          <t>인천시</t>
        </is>
      </c>
      <c r="AC1662" s="0" t="inlineStr">
        <is>
          <t>남동구</t>
        </is>
      </c>
      <c r="AD1662" s="0" t="inlineStr">
        <is>
          <t>서창동</t>
        </is>
      </c>
      <c r="AG1662" s="0" t="inlineStr">
        <is>
          <t>인천시 남동구 서창남로 17</t>
        </is>
      </c>
      <c r="AH1662" s="0" t="n">
        <v>0</v>
      </c>
      <c r="AI1662" s="0" t="n">
        <v>142</v>
      </c>
      <c r="AJ1662" s="0" t="n">
        <v>18</v>
      </c>
      <c r="AK1662" s="0" t="n">
        <v>1138</v>
      </c>
      <c r="AL1662" s="0" t="n">
        <v>1.21</v>
      </c>
    </row>
    <row r="1663">
      <c r="A1663" s="0" t="inlineStr">
        <is>
          <t>[서창동]</t>
        </is>
      </c>
      <c r="B1663" s="0" t="n">
        <v>102629</v>
      </c>
      <c r="C1663" s="0" t="n">
        <v>15</v>
      </c>
      <c r="D1663" s="0" t="inlineStr">
        <is>
          <t>서창베라체</t>
        </is>
      </c>
      <c r="E1663" s="0" t="inlineStr">
        <is>
          <t>2012.03.</t>
        </is>
      </c>
      <c r="F1663" s="0" t="n">
        <v>938</v>
      </c>
      <c r="G1663" s="0" t="n">
        <v>34.79</v>
      </c>
      <c r="H1663" s="0" t="n">
        <v>115.02</v>
      </c>
      <c r="I1663" s="0" t="n">
        <v>25.7</v>
      </c>
      <c r="J1663" s="0" t="n">
        <v>84.98999999999999</v>
      </c>
      <c r="K1663" s="0" t="n">
        <v>56</v>
      </c>
      <c r="T1663" s="0" t="n">
        <v>3</v>
      </c>
      <c r="U1663" s="0" t="n">
        <v>2</v>
      </c>
      <c r="V1663" s="0" t="inlineStr">
        <is>
          <t>계단식</t>
        </is>
      </c>
      <c r="W1663" s="0" t="inlineStr">
        <is>
          <t>115B2</t>
        </is>
      </c>
      <c r="X1663" s="0" t="n">
        <v>20</v>
      </c>
      <c r="Y1663" s="0" t="n">
        <v>7</v>
      </c>
      <c r="Z1663" s="0" t="inlineStr">
        <is>
          <t>https://new.land.naver.com/complexes/102629?tab=detail&amp;rf=Y</t>
        </is>
      </c>
      <c r="AA1663" s="0" t="inlineStr">
        <is>
          <t>인천시 남동구 서창동 715</t>
        </is>
      </c>
      <c r="AB1663" s="0" t="inlineStr">
        <is>
          <t>인천시</t>
        </is>
      </c>
      <c r="AC1663" s="0" t="inlineStr">
        <is>
          <t>남동구</t>
        </is>
      </c>
      <c r="AD1663" s="0" t="inlineStr">
        <is>
          <t>서창동</t>
        </is>
      </c>
      <c r="AG1663" s="0" t="inlineStr">
        <is>
          <t>인천시 남동구 서창남로 17</t>
        </is>
      </c>
      <c r="AH1663" s="0" t="n">
        <v>0</v>
      </c>
      <c r="AI1663" s="0" t="n">
        <v>142</v>
      </c>
      <c r="AJ1663" s="0" t="n">
        <v>18</v>
      </c>
      <c r="AK1663" s="0" t="n">
        <v>1138</v>
      </c>
      <c r="AL1663" s="0" t="n">
        <v>1.21</v>
      </c>
    </row>
    <row r="1664">
      <c r="A1664" s="0" t="inlineStr">
        <is>
          <t>[서창동]</t>
        </is>
      </c>
      <c r="B1664" s="0" t="n">
        <v>106190</v>
      </c>
      <c r="C1664" s="0" t="n">
        <v>1</v>
      </c>
      <c r="D1664" s="0" t="inlineStr">
        <is>
          <t>에코에비뉴</t>
        </is>
      </c>
      <c r="E1664" s="0" t="inlineStr">
        <is>
          <t>2014.07.</t>
        </is>
      </c>
      <c r="F1664" s="0" t="n">
        <v>855</v>
      </c>
      <c r="G1664" s="0" t="n">
        <v>30.59</v>
      </c>
      <c r="H1664" s="0" t="n">
        <v>101.14</v>
      </c>
      <c r="I1664" s="0" t="n">
        <v>22.66</v>
      </c>
      <c r="J1664" s="0" t="n">
        <v>74.92</v>
      </c>
      <c r="K1664" s="0" t="n">
        <v>180</v>
      </c>
      <c r="T1664" s="0" t="n">
        <v>3</v>
      </c>
      <c r="U1664" s="0" t="n">
        <v>2</v>
      </c>
      <c r="V1664" s="0" t="inlineStr">
        <is>
          <t>계단식</t>
        </is>
      </c>
      <c r="W1664" s="0" t="inlineStr">
        <is>
          <t>101A</t>
        </is>
      </c>
      <c r="X1664" s="0" t="n">
        <v>25</v>
      </c>
      <c r="Y1664" s="0" t="n">
        <v>19</v>
      </c>
      <c r="Z1664" s="0" t="inlineStr">
        <is>
          <t>https://new.land.naver.com/complexes/106190?tab=detail&amp;rf=Y</t>
        </is>
      </c>
      <c r="AA1664" s="0" t="inlineStr">
        <is>
          <t>인천시 남동구 서창동 695</t>
        </is>
      </c>
      <c r="AB1664" s="0" t="inlineStr">
        <is>
          <t>인천시</t>
        </is>
      </c>
      <c r="AC1664" s="0" t="inlineStr">
        <is>
          <t>남동구</t>
        </is>
      </c>
      <c r="AD1664" s="0" t="inlineStr">
        <is>
          <t>서창동</t>
        </is>
      </c>
      <c r="AG1664" s="0" t="inlineStr">
        <is>
          <t>인천시 남동구 서창남순환로 190-100</t>
        </is>
      </c>
      <c r="AH1664" s="0" t="n">
        <v>0</v>
      </c>
      <c r="AI1664" s="0" t="n">
        <v>197</v>
      </c>
      <c r="AJ1664" s="0" t="n">
        <v>15</v>
      </c>
      <c r="AK1664" s="0" t="n">
        <v>1004</v>
      </c>
      <c r="AL1664" s="0" t="n">
        <v>1.17</v>
      </c>
    </row>
    <row r="1665">
      <c r="A1665" s="0" t="inlineStr">
        <is>
          <t>[서창동]</t>
        </is>
      </c>
      <c r="B1665" s="0" t="n">
        <v>106190</v>
      </c>
      <c r="C1665" s="0" t="n">
        <v>2</v>
      </c>
      <c r="D1665" s="0" t="inlineStr">
        <is>
          <t>에코에비뉴</t>
        </is>
      </c>
      <c r="E1665" s="0" t="inlineStr">
        <is>
          <t>2014.07.</t>
        </is>
      </c>
      <c r="F1665" s="0" t="n">
        <v>855</v>
      </c>
      <c r="G1665" s="0" t="n">
        <v>30.6</v>
      </c>
      <c r="H1665" s="0" t="n">
        <v>101.18</v>
      </c>
      <c r="I1665" s="0" t="n">
        <v>22.67</v>
      </c>
      <c r="J1665" s="0" t="n">
        <v>74.95</v>
      </c>
      <c r="K1665" s="0" t="n">
        <v>96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101B</t>
        </is>
      </c>
      <c r="X1665" s="0" t="n">
        <v>25</v>
      </c>
      <c r="Y1665" s="0" t="n">
        <v>19</v>
      </c>
      <c r="Z1665" s="0" t="inlineStr">
        <is>
          <t>https://new.land.naver.com/complexes/106190?tab=detail&amp;rf=Y</t>
        </is>
      </c>
      <c r="AA1665" s="0" t="inlineStr">
        <is>
          <t>인천시 남동구 서창동 695</t>
        </is>
      </c>
      <c r="AB1665" s="0" t="inlineStr">
        <is>
          <t>인천시</t>
        </is>
      </c>
      <c r="AC1665" s="0" t="inlineStr">
        <is>
          <t>남동구</t>
        </is>
      </c>
      <c r="AD1665" s="0" t="inlineStr">
        <is>
          <t>서창동</t>
        </is>
      </c>
      <c r="AG1665" s="0" t="inlineStr">
        <is>
          <t>인천시 남동구 서창남순환로 190-100</t>
        </is>
      </c>
      <c r="AH1665" s="0" t="n">
        <v>0</v>
      </c>
      <c r="AI1665" s="0" t="n">
        <v>197</v>
      </c>
      <c r="AJ1665" s="0" t="n">
        <v>15</v>
      </c>
      <c r="AK1665" s="0" t="n">
        <v>1004</v>
      </c>
      <c r="AL1665" s="0" t="n">
        <v>1.17</v>
      </c>
    </row>
    <row r="1666">
      <c r="A1666" s="0" t="inlineStr">
        <is>
          <t>[서창동]</t>
        </is>
      </c>
      <c r="B1666" s="0" t="n">
        <v>106190</v>
      </c>
      <c r="C1666" s="0" t="n">
        <v>3</v>
      </c>
      <c r="D1666" s="0" t="inlineStr">
        <is>
          <t>에코에비뉴</t>
        </is>
      </c>
      <c r="E1666" s="0" t="inlineStr">
        <is>
          <t>2014.07.</t>
        </is>
      </c>
      <c r="F1666" s="0" t="n">
        <v>855</v>
      </c>
      <c r="G1666" s="0" t="n">
        <v>34.69</v>
      </c>
      <c r="H1666" s="0" t="n">
        <v>114.7</v>
      </c>
      <c r="I1666" s="0" t="n">
        <v>25.7</v>
      </c>
      <c r="J1666" s="0" t="n">
        <v>84.95999999999999</v>
      </c>
      <c r="K1666" s="0" t="n">
        <v>240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114A</t>
        </is>
      </c>
      <c r="X1666" s="0" t="n">
        <v>25</v>
      </c>
      <c r="Y1666" s="0" t="n">
        <v>19</v>
      </c>
      <c r="Z1666" s="0" t="inlineStr">
        <is>
          <t>https://new.land.naver.com/complexes/106190?tab=detail&amp;rf=Y</t>
        </is>
      </c>
      <c r="AA1666" s="0" t="inlineStr">
        <is>
          <t>인천시 남동구 서창동 695</t>
        </is>
      </c>
      <c r="AB1666" s="0" t="inlineStr">
        <is>
          <t>인천시</t>
        </is>
      </c>
      <c r="AC1666" s="0" t="inlineStr">
        <is>
          <t>남동구</t>
        </is>
      </c>
      <c r="AD1666" s="0" t="inlineStr">
        <is>
          <t>서창동</t>
        </is>
      </c>
      <c r="AG1666" s="0" t="inlineStr">
        <is>
          <t>인천시 남동구 서창남순환로 190-100</t>
        </is>
      </c>
      <c r="AH1666" s="0" t="n">
        <v>0</v>
      </c>
      <c r="AI1666" s="0" t="n">
        <v>197</v>
      </c>
      <c r="AJ1666" s="0" t="n">
        <v>15</v>
      </c>
      <c r="AK1666" s="0" t="n">
        <v>1004</v>
      </c>
      <c r="AL1666" s="0" t="n">
        <v>1.17</v>
      </c>
    </row>
    <row r="1667">
      <c r="A1667" s="0" t="inlineStr">
        <is>
          <t>[서창동]</t>
        </is>
      </c>
      <c r="B1667" s="0" t="n">
        <v>106190</v>
      </c>
      <c r="C1667" s="0" t="n">
        <v>4</v>
      </c>
      <c r="D1667" s="0" t="inlineStr">
        <is>
          <t>에코에비뉴</t>
        </is>
      </c>
      <c r="E1667" s="0" t="inlineStr">
        <is>
          <t>2014.07.</t>
        </is>
      </c>
      <c r="F1667" s="0" t="n">
        <v>855</v>
      </c>
      <c r="G1667" s="0" t="n">
        <v>34.67</v>
      </c>
      <c r="H1667" s="0" t="n">
        <v>114.64</v>
      </c>
      <c r="I1667" s="0" t="n">
        <v>25.68</v>
      </c>
      <c r="J1667" s="0" t="n">
        <v>84.92</v>
      </c>
      <c r="K1667" s="0" t="n">
        <v>168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114D</t>
        </is>
      </c>
      <c r="X1667" s="0" t="n">
        <v>25</v>
      </c>
      <c r="Y1667" s="0" t="n">
        <v>19</v>
      </c>
      <c r="Z1667" s="0" t="inlineStr">
        <is>
          <t>https://new.land.naver.com/complexes/106190?tab=detail&amp;rf=Y</t>
        </is>
      </c>
      <c r="AA1667" s="0" t="inlineStr">
        <is>
          <t>인천시 남동구 서창동 695</t>
        </is>
      </c>
      <c r="AB1667" s="0" t="inlineStr">
        <is>
          <t>인천시</t>
        </is>
      </c>
      <c r="AC1667" s="0" t="inlineStr">
        <is>
          <t>남동구</t>
        </is>
      </c>
      <c r="AD1667" s="0" t="inlineStr">
        <is>
          <t>서창동</t>
        </is>
      </c>
      <c r="AG1667" s="0" t="inlineStr">
        <is>
          <t>인천시 남동구 서창남순환로 190-100</t>
        </is>
      </c>
      <c r="AH1667" s="0" t="n">
        <v>0</v>
      </c>
      <c r="AI1667" s="0" t="n">
        <v>197</v>
      </c>
      <c r="AJ1667" s="0" t="n">
        <v>15</v>
      </c>
      <c r="AK1667" s="0" t="n">
        <v>1004</v>
      </c>
      <c r="AL1667" s="0" t="n">
        <v>1.17</v>
      </c>
    </row>
    <row r="1668">
      <c r="A1668" s="0" t="inlineStr">
        <is>
          <t>[서창동]</t>
        </is>
      </c>
      <c r="B1668" s="0" t="n">
        <v>106190</v>
      </c>
      <c r="C1668" s="0" t="n">
        <v>5</v>
      </c>
      <c r="D1668" s="0" t="inlineStr">
        <is>
          <t>에코에비뉴</t>
        </is>
      </c>
      <c r="E1668" s="0" t="inlineStr">
        <is>
          <t>2014.07.</t>
        </is>
      </c>
      <c r="F1668" s="0" t="n">
        <v>855</v>
      </c>
      <c r="G1668" s="0" t="n">
        <v>34.7</v>
      </c>
      <c r="H1668" s="0" t="n">
        <v>114.74</v>
      </c>
      <c r="I1668" s="0" t="n">
        <v>25.7</v>
      </c>
      <c r="J1668" s="0" t="n">
        <v>84.98999999999999</v>
      </c>
      <c r="K1668" s="0" t="n">
        <v>96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114C</t>
        </is>
      </c>
      <c r="X1668" s="0" t="n">
        <v>25</v>
      </c>
      <c r="Y1668" s="0" t="n">
        <v>19</v>
      </c>
      <c r="Z1668" s="0" t="inlineStr">
        <is>
          <t>https://new.land.naver.com/complexes/106190?tab=detail&amp;rf=Y</t>
        </is>
      </c>
      <c r="AA1668" s="0" t="inlineStr">
        <is>
          <t>인천시 남동구 서창동 695</t>
        </is>
      </c>
      <c r="AB1668" s="0" t="inlineStr">
        <is>
          <t>인천시</t>
        </is>
      </c>
      <c r="AC1668" s="0" t="inlineStr">
        <is>
          <t>남동구</t>
        </is>
      </c>
      <c r="AD1668" s="0" t="inlineStr">
        <is>
          <t>서창동</t>
        </is>
      </c>
      <c r="AG1668" s="0" t="inlineStr">
        <is>
          <t>인천시 남동구 서창남순환로 190-100</t>
        </is>
      </c>
      <c r="AH1668" s="0" t="n">
        <v>0</v>
      </c>
      <c r="AI1668" s="0" t="n">
        <v>197</v>
      </c>
      <c r="AJ1668" s="0" t="n">
        <v>15</v>
      </c>
      <c r="AK1668" s="0" t="n">
        <v>1004</v>
      </c>
      <c r="AL1668" s="0" t="n">
        <v>1.17</v>
      </c>
    </row>
    <row r="1669">
      <c r="A1669" s="0" t="inlineStr">
        <is>
          <t>[서창동]</t>
        </is>
      </c>
      <c r="B1669" s="0" t="n">
        <v>106190</v>
      </c>
      <c r="C1669" s="0" t="n">
        <v>6</v>
      </c>
      <c r="D1669" s="0" t="inlineStr">
        <is>
          <t>에코에비뉴</t>
        </is>
      </c>
      <c r="E1669" s="0" t="inlineStr">
        <is>
          <t>2014.07.</t>
        </is>
      </c>
      <c r="F1669" s="0" t="n">
        <v>855</v>
      </c>
      <c r="G1669" s="0" t="n">
        <v>34.68</v>
      </c>
      <c r="H1669" s="0" t="n">
        <v>114.67</v>
      </c>
      <c r="I1669" s="0" t="n">
        <v>25.69</v>
      </c>
      <c r="J1669" s="0" t="n">
        <v>84.94</v>
      </c>
      <c r="K1669" s="0" t="n">
        <v>75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114B</t>
        </is>
      </c>
      <c r="X1669" s="0" t="n">
        <v>25</v>
      </c>
      <c r="Y1669" s="0" t="n">
        <v>19</v>
      </c>
      <c r="Z1669" s="0" t="inlineStr">
        <is>
          <t>https://new.land.naver.com/complexes/106190?tab=detail&amp;rf=Y</t>
        </is>
      </c>
      <c r="AA1669" s="0" t="inlineStr">
        <is>
          <t>인천시 남동구 서창동 695</t>
        </is>
      </c>
      <c r="AB1669" s="0" t="inlineStr">
        <is>
          <t>인천시</t>
        </is>
      </c>
      <c r="AC1669" s="0" t="inlineStr">
        <is>
          <t>남동구</t>
        </is>
      </c>
      <c r="AD1669" s="0" t="inlineStr">
        <is>
          <t>서창동</t>
        </is>
      </c>
      <c r="AG1669" s="0" t="inlineStr">
        <is>
          <t>인천시 남동구 서창남순환로 190-100</t>
        </is>
      </c>
      <c r="AH1669" s="0" t="n">
        <v>0</v>
      </c>
      <c r="AI1669" s="0" t="n">
        <v>197</v>
      </c>
      <c r="AJ1669" s="0" t="n">
        <v>15</v>
      </c>
      <c r="AK1669" s="0" t="n">
        <v>1004</v>
      </c>
      <c r="AL1669" s="0" t="n">
        <v>1.17</v>
      </c>
    </row>
    <row r="1670">
      <c r="A1670" s="0" t="inlineStr">
        <is>
          <t>[서창동]</t>
        </is>
      </c>
      <c r="B1670" s="0" t="n">
        <v>110312</v>
      </c>
      <c r="C1670" s="0" t="n">
        <v>1</v>
      </c>
      <c r="D1670" s="0" t="inlineStr">
        <is>
          <t>호반베르디움</t>
        </is>
      </c>
      <c r="E1670" s="0" t="inlineStr">
        <is>
          <t>2017.07.</t>
        </is>
      </c>
      <c r="F1670" s="0" t="n">
        <v>600</v>
      </c>
      <c r="G1670" s="0" t="n">
        <v>33.83</v>
      </c>
      <c r="H1670" s="0" t="n">
        <v>111.86</v>
      </c>
      <c r="I1670" s="0" t="n">
        <v>25.63</v>
      </c>
      <c r="J1670" s="0" t="n">
        <v>84.73999999999999</v>
      </c>
      <c r="K1670" s="0" t="n">
        <v>544</v>
      </c>
      <c r="T1670" s="0" t="n">
        <v>4</v>
      </c>
      <c r="U1670" s="0" t="n">
        <v>2</v>
      </c>
      <c r="V1670" s="0" t="inlineStr">
        <is>
          <t>계단식</t>
        </is>
      </c>
      <c r="W1670" s="0" t="inlineStr">
        <is>
          <t>111A</t>
        </is>
      </c>
      <c r="X1670" s="0" t="n">
        <v>25</v>
      </c>
      <c r="Y1670" s="0" t="n">
        <v>17</v>
      </c>
      <c r="Z1670" s="0" t="inlineStr">
        <is>
          <t>https://new.land.naver.com/complexes/110312?tab=detail&amp;rf=Y</t>
        </is>
      </c>
      <c r="AA1670" s="0" t="inlineStr">
        <is>
          <t>인천시 남동구 서창동 702</t>
        </is>
      </c>
      <c r="AB1670" s="0" t="inlineStr">
        <is>
          <t>인천시</t>
        </is>
      </c>
      <c r="AC1670" s="0" t="inlineStr">
        <is>
          <t>남동구</t>
        </is>
      </c>
      <c r="AD1670" s="0" t="inlineStr">
        <is>
          <t>서창동</t>
        </is>
      </c>
      <c r="AG1670" s="0" t="inlineStr">
        <is>
          <t>인천시 남동구 서창남순환로 200</t>
        </is>
      </c>
      <c r="AH1670" s="0" t="n">
        <v>0</v>
      </c>
      <c r="AI1670" s="0" t="n">
        <v>179</v>
      </c>
      <c r="AJ1670" s="0" t="n">
        <v>15</v>
      </c>
      <c r="AK1670" s="0" t="n">
        <v>749</v>
      </c>
      <c r="AL1670" s="0" t="n">
        <v>1.25</v>
      </c>
    </row>
    <row r="1671">
      <c r="A1671" s="0" t="inlineStr">
        <is>
          <t>[서창동]</t>
        </is>
      </c>
      <c r="B1671" s="0" t="n">
        <v>110312</v>
      </c>
      <c r="C1671" s="0" t="n">
        <v>2</v>
      </c>
      <c r="D1671" s="0" t="inlineStr">
        <is>
          <t>호반베르디움</t>
        </is>
      </c>
      <c r="E1671" s="0" t="inlineStr">
        <is>
          <t>2017.07.</t>
        </is>
      </c>
      <c r="F1671" s="0" t="n">
        <v>600</v>
      </c>
      <c r="G1671" s="0" t="n">
        <v>34.62</v>
      </c>
      <c r="H1671" s="0" t="n">
        <v>114.47</v>
      </c>
      <c r="I1671" s="0" t="n">
        <v>25.66</v>
      </c>
      <c r="J1671" s="0" t="n">
        <v>84.84999999999999</v>
      </c>
      <c r="K1671" s="0" t="n">
        <v>56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114B</t>
        </is>
      </c>
      <c r="X1671" s="0" t="n">
        <v>25</v>
      </c>
      <c r="Y1671" s="0" t="n">
        <v>17</v>
      </c>
      <c r="Z1671" s="0" t="inlineStr">
        <is>
          <t>https://new.land.naver.com/complexes/110312?tab=detail&amp;rf=Y</t>
        </is>
      </c>
      <c r="AA1671" s="0" t="inlineStr">
        <is>
          <t>인천시 남동구 서창동 702</t>
        </is>
      </c>
      <c r="AB1671" s="0" t="inlineStr">
        <is>
          <t>인천시</t>
        </is>
      </c>
      <c r="AC1671" s="0" t="inlineStr">
        <is>
          <t>남동구</t>
        </is>
      </c>
      <c r="AD1671" s="0" t="inlineStr">
        <is>
          <t>서창동</t>
        </is>
      </c>
      <c r="AG1671" s="0" t="inlineStr">
        <is>
          <t>인천시 남동구 서창남순환로 200</t>
        </is>
      </c>
      <c r="AH1671" s="0" t="n">
        <v>0</v>
      </c>
      <c r="AI1671" s="0" t="n">
        <v>179</v>
      </c>
      <c r="AJ1671" s="0" t="n">
        <v>15</v>
      </c>
      <c r="AK1671" s="0" t="n">
        <v>749</v>
      </c>
      <c r="AL1671" s="0" t="n">
        <v>1.25</v>
      </c>
    </row>
    <row r="1672">
      <c r="A1672" s="0" t="inlineStr">
        <is>
          <t>[서창동]</t>
        </is>
      </c>
      <c r="B1672" s="0" t="n">
        <v>102628</v>
      </c>
      <c r="C1672" s="0" t="n">
        <v>1</v>
      </c>
      <c r="D1672" s="0" t="inlineStr">
        <is>
          <t>서창퍼스트뷰</t>
        </is>
      </c>
      <c r="E1672" s="0" t="inlineStr">
        <is>
          <t>2012.06.</t>
        </is>
      </c>
      <c r="F1672" s="0" t="n">
        <v>1196</v>
      </c>
      <c r="G1672" s="0" t="n">
        <v>23.68</v>
      </c>
      <c r="H1672" s="0" t="n">
        <v>78.3</v>
      </c>
      <c r="I1672" s="0" t="n">
        <v>18.11</v>
      </c>
      <c r="J1672" s="0" t="n">
        <v>59.9</v>
      </c>
      <c r="K1672" s="0" t="n">
        <v>170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78A1</t>
        </is>
      </c>
      <c r="X1672" s="0" t="n">
        <v>19</v>
      </c>
      <c r="Y1672" s="0" t="n">
        <v>10</v>
      </c>
      <c r="Z1672" s="0" t="inlineStr">
        <is>
          <t>https://new.land.naver.com/complexes/102628?tab=detail&amp;rf=Y</t>
        </is>
      </c>
      <c r="AA1672" s="0" t="inlineStr">
        <is>
          <t>인천시 남동구 서창동 699</t>
        </is>
      </c>
      <c r="AB1672" s="0" t="inlineStr">
        <is>
          <t>인천시</t>
        </is>
      </c>
      <c r="AC1672" s="0" t="inlineStr">
        <is>
          <t>남동구</t>
        </is>
      </c>
      <c r="AD1672" s="0" t="inlineStr">
        <is>
          <t>서창동</t>
        </is>
      </c>
      <c r="AG1672" s="0" t="inlineStr">
        <is>
          <t>인천시 남동구 서창남순환로 190-15</t>
        </is>
      </c>
      <c r="AH1672" s="0" t="n">
        <v>0</v>
      </c>
      <c r="AI1672" s="0" t="n">
        <v>166</v>
      </c>
      <c r="AJ1672" s="0" t="n">
        <v>18</v>
      </c>
      <c r="AK1672" s="0" t="n">
        <v>1592</v>
      </c>
      <c r="AL1672" s="0" t="n">
        <v>1.33</v>
      </c>
    </row>
    <row r="1673">
      <c r="A1673" s="0" t="inlineStr">
        <is>
          <t>[서창동]</t>
        </is>
      </c>
      <c r="B1673" s="0" t="n">
        <v>102628</v>
      </c>
      <c r="C1673" s="0" t="n">
        <v>2</v>
      </c>
      <c r="D1673" s="0" t="inlineStr">
        <is>
          <t>서창퍼스트뷰</t>
        </is>
      </c>
      <c r="E1673" s="0" t="inlineStr">
        <is>
          <t>2012.06.</t>
        </is>
      </c>
      <c r="F1673" s="0" t="n">
        <v>1196</v>
      </c>
      <c r="G1673" s="0" t="n">
        <v>23.7</v>
      </c>
      <c r="H1673" s="0" t="n">
        <v>78.36</v>
      </c>
      <c r="I1673" s="0" t="n">
        <v>18.13</v>
      </c>
      <c r="J1673" s="0" t="n">
        <v>59.94</v>
      </c>
      <c r="K1673" s="0" t="n">
        <v>70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78A2</t>
        </is>
      </c>
      <c r="X1673" s="0" t="n">
        <v>19</v>
      </c>
      <c r="Y1673" s="0" t="n">
        <v>10</v>
      </c>
      <c r="Z1673" s="0" t="inlineStr">
        <is>
          <t>https://new.land.naver.com/complexes/102628?tab=detail&amp;rf=Y</t>
        </is>
      </c>
      <c r="AA1673" s="0" t="inlineStr">
        <is>
          <t>인천시 남동구 서창동 699</t>
        </is>
      </c>
      <c r="AB1673" s="0" t="inlineStr">
        <is>
          <t>인천시</t>
        </is>
      </c>
      <c r="AC1673" s="0" t="inlineStr">
        <is>
          <t>남동구</t>
        </is>
      </c>
      <c r="AD1673" s="0" t="inlineStr">
        <is>
          <t>서창동</t>
        </is>
      </c>
      <c r="AG1673" s="0" t="inlineStr">
        <is>
          <t>인천시 남동구 서창남순환로 190-15</t>
        </is>
      </c>
      <c r="AH1673" s="0" t="n">
        <v>0</v>
      </c>
      <c r="AI1673" s="0" t="n">
        <v>166</v>
      </c>
      <c r="AJ1673" s="0" t="n">
        <v>18</v>
      </c>
      <c r="AK1673" s="0" t="n">
        <v>1592</v>
      </c>
      <c r="AL1673" s="0" t="n">
        <v>1.33</v>
      </c>
    </row>
    <row r="1674">
      <c r="A1674" s="0" t="inlineStr">
        <is>
          <t>[서창동]</t>
        </is>
      </c>
      <c r="B1674" s="0" t="n">
        <v>102628</v>
      </c>
      <c r="C1674" s="0" t="n">
        <v>3</v>
      </c>
      <c r="D1674" s="0" t="inlineStr">
        <is>
          <t>서창퍼스트뷰</t>
        </is>
      </c>
      <c r="E1674" s="0" t="inlineStr">
        <is>
          <t>2012.06.</t>
        </is>
      </c>
      <c r="F1674" s="0" t="n">
        <v>1196</v>
      </c>
      <c r="G1674" s="0" t="n">
        <v>33.38</v>
      </c>
      <c r="H1674" s="0" t="n">
        <v>110.35</v>
      </c>
      <c r="I1674" s="0" t="n">
        <v>25.53</v>
      </c>
      <c r="J1674" s="0" t="n">
        <v>84.41</v>
      </c>
      <c r="K1674" s="0" t="n">
        <v>106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110D2</t>
        </is>
      </c>
      <c r="X1674" s="0" t="n">
        <v>19</v>
      </c>
      <c r="Y1674" s="0" t="n">
        <v>10</v>
      </c>
      <c r="Z1674" s="0" t="inlineStr">
        <is>
          <t>https://new.land.naver.com/complexes/102628?tab=detail&amp;rf=Y</t>
        </is>
      </c>
      <c r="AA1674" s="0" t="inlineStr">
        <is>
          <t>인천시 남동구 서창동 699</t>
        </is>
      </c>
      <c r="AB1674" s="0" t="inlineStr">
        <is>
          <t>인천시</t>
        </is>
      </c>
      <c r="AC1674" s="0" t="inlineStr">
        <is>
          <t>남동구</t>
        </is>
      </c>
      <c r="AD1674" s="0" t="inlineStr">
        <is>
          <t>서창동</t>
        </is>
      </c>
      <c r="AG1674" s="0" t="inlineStr">
        <is>
          <t>인천시 남동구 서창남순환로 190-15</t>
        </is>
      </c>
      <c r="AH1674" s="0" t="n">
        <v>0</v>
      </c>
      <c r="AI1674" s="0" t="n">
        <v>166</v>
      </c>
      <c r="AJ1674" s="0" t="n">
        <v>18</v>
      </c>
      <c r="AK1674" s="0" t="n">
        <v>1592</v>
      </c>
      <c r="AL1674" s="0" t="n">
        <v>1.33</v>
      </c>
    </row>
    <row r="1675">
      <c r="A1675" s="0" t="inlineStr">
        <is>
          <t>[서창동]</t>
        </is>
      </c>
      <c r="B1675" s="0" t="n">
        <v>102628</v>
      </c>
      <c r="C1675" s="0" t="n">
        <v>4</v>
      </c>
      <c r="D1675" s="0" t="inlineStr">
        <is>
          <t>서창퍼스트뷰</t>
        </is>
      </c>
      <c r="E1675" s="0" t="inlineStr">
        <is>
          <t>2012.06.</t>
        </is>
      </c>
      <c r="F1675" s="0" t="n">
        <v>1196</v>
      </c>
      <c r="G1675" s="0" t="n">
        <v>33.5</v>
      </c>
      <c r="H1675" s="0" t="n">
        <v>110.75</v>
      </c>
      <c r="I1675" s="0" t="n">
        <v>25.62</v>
      </c>
      <c r="J1675" s="0" t="n">
        <v>84.72</v>
      </c>
      <c r="K1675" s="0" t="n">
        <v>76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110C1</t>
        </is>
      </c>
      <c r="X1675" s="0" t="n">
        <v>19</v>
      </c>
      <c r="Y1675" s="0" t="n">
        <v>10</v>
      </c>
      <c r="Z1675" s="0" t="inlineStr">
        <is>
          <t>https://new.land.naver.com/complexes/102628?tab=detail&amp;rf=Y</t>
        </is>
      </c>
      <c r="AA1675" s="0" t="inlineStr">
        <is>
          <t>인천시 남동구 서창동 699</t>
        </is>
      </c>
      <c r="AB1675" s="0" t="inlineStr">
        <is>
          <t>인천시</t>
        </is>
      </c>
      <c r="AC1675" s="0" t="inlineStr">
        <is>
          <t>남동구</t>
        </is>
      </c>
      <c r="AD1675" s="0" t="inlineStr">
        <is>
          <t>서창동</t>
        </is>
      </c>
      <c r="AG1675" s="0" t="inlineStr">
        <is>
          <t>인천시 남동구 서창남순환로 190-15</t>
        </is>
      </c>
      <c r="AH1675" s="0" t="n">
        <v>0</v>
      </c>
      <c r="AI1675" s="0" t="n">
        <v>166</v>
      </c>
      <c r="AJ1675" s="0" t="n">
        <v>18</v>
      </c>
      <c r="AK1675" s="0" t="n">
        <v>1592</v>
      </c>
      <c r="AL1675" s="0" t="n">
        <v>1.33</v>
      </c>
    </row>
    <row r="1676">
      <c r="A1676" s="0" t="inlineStr">
        <is>
          <t>[서창동]</t>
        </is>
      </c>
      <c r="B1676" s="0" t="n">
        <v>102628</v>
      </c>
      <c r="C1676" s="0" t="n">
        <v>5</v>
      </c>
      <c r="D1676" s="0" t="inlineStr">
        <is>
          <t>서창퍼스트뷰</t>
        </is>
      </c>
      <c r="E1676" s="0" t="inlineStr">
        <is>
          <t>2012.06.</t>
        </is>
      </c>
      <c r="F1676" s="0" t="n">
        <v>1196</v>
      </c>
      <c r="G1676" s="0" t="n">
        <v>33.43</v>
      </c>
      <c r="H1676" s="0" t="n">
        <v>110.53</v>
      </c>
      <c r="I1676" s="0" t="n">
        <v>25.57</v>
      </c>
      <c r="J1676" s="0" t="n">
        <v>84.55</v>
      </c>
      <c r="K1676" s="0" t="n">
        <v>76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110D1</t>
        </is>
      </c>
      <c r="X1676" s="0" t="n">
        <v>19</v>
      </c>
      <c r="Y1676" s="0" t="n">
        <v>10</v>
      </c>
      <c r="Z1676" s="0" t="inlineStr">
        <is>
          <t>https://new.land.naver.com/complexes/102628?tab=detail&amp;rf=Y</t>
        </is>
      </c>
      <c r="AA1676" s="0" t="inlineStr">
        <is>
          <t>인천시 남동구 서창동 699</t>
        </is>
      </c>
      <c r="AB1676" s="0" t="inlineStr">
        <is>
          <t>인천시</t>
        </is>
      </c>
      <c r="AC1676" s="0" t="inlineStr">
        <is>
          <t>남동구</t>
        </is>
      </c>
      <c r="AD1676" s="0" t="inlineStr">
        <is>
          <t>서창동</t>
        </is>
      </c>
      <c r="AG1676" s="0" t="inlineStr">
        <is>
          <t>인천시 남동구 서창남순환로 190-15</t>
        </is>
      </c>
      <c r="AH1676" s="0" t="n">
        <v>0</v>
      </c>
      <c r="AI1676" s="0" t="n">
        <v>166</v>
      </c>
      <c r="AJ1676" s="0" t="n">
        <v>18</v>
      </c>
      <c r="AK1676" s="0" t="n">
        <v>1592</v>
      </c>
      <c r="AL1676" s="0" t="n">
        <v>1.33</v>
      </c>
    </row>
    <row r="1677">
      <c r="A1677" s="0" t="inlineStr">
        <is>
          <t>[서창동]</t>
        </is>
      </c>
      <c r="B1677" s="0" t="n">
        <v>102628</v>
      </c>
      <c r="C1677" s="0" t="n">
        <v>6</v>
      </c>
      <c r="D1677" s="0" t="inlineStr">
        <is>
          <t>서창퍼스트뷰</t>
        </is>
      </c>
      <c r="E1677" s="0" t="inlineStr">
        <is>
          <t>2012.06.</t>
        </is>
      </c>
      <c r="F1677" s="0" t="n">
        <v>1196</v>
      </c>
      <c r="G1677" s="0" t="n">
        <v>33.32</v>
      </c>
      <c r="H1677" s="0" t="n">
        <v>110.18</v>
      </c>
      <c r="I1677" s="0" t="n">
        <v>25.49</v>
      </c>
      <c r="J1677" s="0" t="n">
        <v>84.28</v>
      </c>
      <c r="K1677" s="0" t="n">
        <v>54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110B</t>
        </is>
      </c>
      <c r="X1677" s="0" t="n">
        <v>19</v>
      </c>
      <c r="Y1677" s="0" t="n">
        <v>10</v>
      </c>
      <c r="Z1677" s="0" t="inlineStr">
        <is>
          <t>https://new.land.naver.com/complexes/102628?tab=detail&amp;rf=Y</t>
        </is>
      </c>
      <c r="AA1677" s="0" t="inlineStr">
        <is>
          <t>인천시 남동구 서창동 699</t>
        </is>
      </c>
      <c r="AB1677" s="0" t="inlineStr">
        <is>
          <t>인천시</t>
        </is>
      </c>
      <c r="AC1677" s="0" t="inlineStr">
        <is>
          <t>남동구</t>
        </is>
      </c>
      <c r="AD1677" s="0" t="inlineStr">
        <is>
          <t>서창동</t>
        </is>
      </c>
      <c r="AG1677" s="0" t="inlineStr">
        <is>
          <t>인천시 남동구 서창남순환로 190-15</t>
        </is>
      </c>
      <c r="AH1677" s="0" t="n">
        <v>0</v>
      </c>
      <c r="AI1677" s="0" t="n">
        <v>166</v>
      </c>
      <c r="AJ1677" s="0" t="n">
        <v>18</v>
      </c>
      <c r="AK1677" s="0" t="n">
        <v>1592</v>
      </c>
      <c r="AL1677" s="0" t="n">
        <v>1.33</v>
      </c>
    </row>
    <row r="1678">
      <c r="A1678" s="0" t="inlineStr">
        <is>
          <t>[서창동]</t>
        </is>
      </c>
      <c r="B1678" s="0" t="n">
        <v>102628</v>
      </c>
      <c r="C1678" s="0" t="n">
        <v>7</v>
      </c>
      <c r="D1678" s="0" t="inlineStr">
        <is>
          <t>서창퍼스트뷰</t>
        </is>
      </c>
      <c r="E1678" s="0" t="inlineStr">
        <is>
          <t>2012.06.</t>
        </is>
      </c>
      <c r="F1678" s="0" t="n">
        <v>1196</v>
      </c>
      <c r="G1678" s="0" t="n">
        <v>33.59</v>
      </c>
      <c r="H1678" s="0" t="n">
        <v>111.05</v>
      </c>
      <c r="I1678" s="0" t="n">
        <v>25.69</v>
      </c>
      <c r="J1678" s="0" t="n">
        <v>84.95</v>
      </c>
      <c r="K1678" s="0" t="n">
        <v>129</v>
      </c>
      <c r="T1678" s="0" t="n">
        <v>3</v>
      </c>
      <c r="U1678" s="0" t="n">
        <v>2</v>
      </c>
      <c r="V1678" s="0" t="inlineStr">
        <is>
          <t>계단식</t>
        </is>
      </c>
      <c r="W1678" s="0" t="inlineStr">
        <is>
          <t>111A</t>
        </is>
      </c>
      <c r="X1678" s="0" t="n">
        <v>19</v>
      </c>
      <c r="Y1678" s="0" t="n">
        <v>10</v>
      </c>
      <c r="Z1678" s="0" t="inlineStr">
        <is>
          <t>https://new.land.naver.com/complexes/102628?tab=detail&amp;rf=Y</t>
        </is>
      </c>
      <c r="AA1678" s="0" t="inlineStr">
        <is>
          <t>인천시 남동구 서창동 699</t>
        </is>
      </c>
      <c r="AB1678" s="0" t="inlineStr">
        <is>
          <t>인천시</t>
        </is>
      </c>
      <c r="AC1678" s="0" t="inlineStr">
        <is>
          <t>남동구</t>
        </is>
      </c>
      <c r="AD1678" s="0" t="inlineStr">
        <is>
          <t>서창동</t>
        </is>
      </c>
      <c r="AG1678" s="0" t="inlineStr">
        <is>
          <t>인천시 남동구 서창남순환로 190-15</t>
        </is>
      </c>
      <c r="AH1678" s="0" t="n">
        <v>0</v>
      </c>
      <c r="AI1678" s="0" t="n">
        <v>166</v>
      </c>
      <c r="AJ1678" s="0" t="n">
        <v>18</v>
      </c>
      <c r="AK1678" s="0" t="n">
        <v>1592</v>
      </c>
      <c r="AL1678" s="0" t="n">
        <v>1.33</v>
      </c>
    </row>
    <row r="1679">
      <c r="A1679" s="0" t="inlineStr">
        <is>
          <t>[서창동]</t>
        </is>
      </c>
      <c r="B1679" s="0" t="n">
        <v>102628</v>
      </c>
      <c r="C1679" s="0" t="n">
        <v>8</v>
      </c>
      <c r="D1679" s="0" t="inlineStr">
        <is>
          <t>서창퍼스트뷰</t>
        </is>
      </c>
      <c r="E1679" s="0" t="inlineStr">
        <is>
          <t>2012.06.</t>
        </is>
      </c>
      <c r="F1679" s="0" t="n">
        <v>1196</v>
      </c>
      <c r="G1679" s="0" t="n">
        <v>33.6</v>
      </c>
      <c r="H1679" s="0" t="n">
        <v>111.1</v>
      </c>
      <c r="I1679" s="0" t="n">
        <v>25.7</v>
      </c>
      <c r="J1679" s="0" t="n">
        <v>84.98999999999999</v>
      </c>
      <c r="K1679" s="0" t="n">
        <v>106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111C2</t>
        </is>
      </c>
      <c r="X1679" s="0" t="n">
        <v>19</v>
      </c>
      <c r="Y1679" s="0" t="n">
        <v>10</v>
      </c>
      <c r="Z1679" s="0" t="inlineStr">
        <is>
          <t>https://new.land.naver.com/complexes/102628?tab=detail&amp;rf=Y</t>
        </is>
      </c>
      <c r="AA1679" s="0" t="inlineStr">
        <is>
          <t>인천시 남동구 서창동 699</t>
        </is>
      </c>
      <c r="AB1679" s="0" t="inlineStr">
        <is>
          <t>인천시</t>
        </is>
      </c>
      <c r="AC1679" s="0" t="inlineStr">
        <is>
          <t>남동구</t>
        </is>
      </c>
      <c r="AD1679" s="0" t="inlineStr">
        <is>
          <t>서창동</t>
        </is>
      </c>
      <c r="AG1679" s="0" t="inlineStr">
        <is>
          <t>인천시 남동구 서창남순환로 190-15</t>
        </is>
      </c>
      <c r="AH1679" s="0" t="n">
        <v>0</v>
      </c>
      <c r="AI1679" s="0" t="n">
        <v>166</v>
      </c>
      <c r="AJ1679" s="0" t="n">
        <v>18</v>
      </c>
      <c r="AK1679" s="0" t="n">
        <v>1592</v>
      </c>
      <c r="AL1679" s="0" t="n">
        <v>1.33</v>
      </c>
    </row>
    <row r="1680">
      <c r="A1680" s="0" t="inlineStr">
        <is>
          <t>[서창동]</t>
        </is>
      </c>
      <c r="B1680" s="0" t="n">
        <v>102628</v>
      </c>
      <c r="C1680" s="0" t="n">
        <v>9</v>
      </c>
      <c r="D1680" s="0" t="inlineStr">
        <is>
          <t>서창퍼스트뷰</t>
        </is>
      </c>
      <c r="E1680" s="0" t="inlineStr">
        <is>
          <t>2012.06.</t>
        </is>
      </c>
      <c r="F1680" s="0" t="n">
        <v>1196</v>
      </c>
      <c r="G1680" s="0" t="n">
        <v>40.05</v>
      </c>
      <c r="H1680" s="0" t="n">
        <v>132.41</v>
      </c>
      <c r="I1680" s="0" t="n">
        <v>30.64</v>
      </c>
      <c r="J1680" s="0" t="n">
        <v>101.29</v>
      </c>
      <c r="K1680" s="0" t="n">
        <v>51</v>
      </c>
      <c r="T1680" s="0" t="n">
        <v>3</v>
      </c>
      <c r="U1680" s="0" t="n">
        <v>2</v>
      </c>
      <c r="V1680" s="0" t="inlineStr">
        <is>
          <t>계단식</t>
        </is>
      </c>
      <c r="W1680" s="0" t="inlineStr">
        <is>
          <t>132A2</t>
        </is>
      </c>
      <c r="X1680" s="0" t="n">
        <v>19</v>
      </c>
      <c r="Y1680" s="0" t="n">
        <v>10</v>
      </c>
      <c r="Z1680" s="0" t="inlineStr">
        <is>
          <t>https://new.land.naver.com/complexes/102628?tab=detail&amp;rf=Y</t>
        </is>
      </c>
      <c r="AA1680" s="0" t="inlineStr">
        <is>
          <t>인천시 남동구 서창동 699</t>
        </is>
      </c>
      <c r="AB1680" s="0" t="inlineStr">
        <is>
          <t>인천시</t>
        </is>
      </c>
      <c r="AC1680" s="0" t="inlineStr">
        <is>
          <t>남동구</t>
        </is>
      </c>
      <c r="AD1680" s="0" t="inlineStr">
        <is>
          <t>서창동</t>
        </is>
      </c>
      <c r="AG1680" s="0" t="inlineStr">
        <is>
          <t>인천시 남동구 서창남순환로 190-15</t>
        </is>
      </c>
      <c r="AH1680" s="0" t="n">
        <v>0</v>
      </c>
      <c r="AI1680" s="0" t="n">
        <v>166</v>
      </c>
      <c r="AJ1680" s="0" t="n">
        <v>18</v>
      </c>
      <c r="AK1680" s="0" t="n">
        <v>1592</v>
      </c>
      <c r="AL1680" s="0" t="n">
        <v>1.33</v>
      </c>
    </row>
    <row r="1681">
      <c r="A1681" s="0" t="inlineStr">
        <is>
          <t>[서창동]</t>
        </is>
      </c>
      <c r="B1681" s="0" t="n">
        <v>102628</v>
      </c>
      <c r="C1681" s="0" t="n">
        <v>10</v>
      </c>
      <c r="D1681" s="0" t="inlineStr">
        <is>
          <t>서창퍼스트뷰</t>
        </is>
      </c>
      <c r="E1681" s="0" t="inlineStr">
        <is>
          <t>2012.06.</t>
        </is>
      </c>
      <c r="F1681" s="0" t="n">
        <v>1196</v>
      </c>
      <c r="G1681" s="0" t="n">
        <v>40.04</v>
      </c>
      <c r="H1681" s="0" t="n">
        <v>132.39</v>
      </c>
      <c r="I1681" s="0" t="n">
        <v>30.63</v>
      </c>
      <c r="J1681" s="0" t="n">
        <v>101.27</v>
      </c>
      <c r="K1681" s="0" t="n">
        <v>33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132A1</t>
        </is>
      </c>
      <c r="X1681" s="0" t="n">
        <v>19</v>
      </c>
      <c r="Y1681" s="0" t="n">
        <v>10</v>
      </c>
      <c r="Z1681" s="0" t="inlineStr">
        <is>
          <t>https://new.land.naver.com/complexes/102628?tab=detail&amp;rf=Y</t>
        </is>
      </c>
      <c r="AA1681" s="0" t="inlineStr">
        <is>
          <t>인천시 남동구 서창동 699</t>
        </is>
      </c>
      <c r="AB1681" s="0" t="inlineStr">
        <is>
          <t>인천시</t>
        </is>
      </c>
      <c r="AC1681" s="0" t="inlineStr">
        <is>
          <t>남동구</t>
        </is>
      </c>
      <c r="AD1681" s="0" t="inlineStr">
        <is>
          <t>서창동</t>
        </is>
      </c>
      <c r="AG1681" s="0" t="inlineStr">
        <is>
          <t>인천시 남동구 서창남순환로 190-15</t>
        </is>
      </c>
      <c r="AH1681" s="0" t="n">
        <v>0</v>
      </c>
      <c r="AI1681" s="0" t="n">
        <v>166</v>
      </c>
      <c r="AJ1681" s="0" t="n">
        <v>18</v>
      </c>
      <c r="AK1681" s="0" t="n">
        <v>1592</v>
      </c>
      <c r="AL1681" s="0" t="n">
        <v>1.33</v>
      </c>
    </row>
    <row r="1682">
      <c r="A1682" s="0" t="inlineStr">
        <is>
          <t>[서창동]</t>
        </is>
      </c>
      <c r="B1682" s="0" t="n">
        <v>102628</v>
      </c>
      <c r="C1682" s="0" t="n">
        <v>11</v>
      </c>
      <c r="D1682" s="0" t="inlineStr">
        <is>
          <t>서창퍼스트뷰</t>
        </is>
      </c>
      <c r="E1682" s="0" t="inlineStr">
        <is>
          <t>2012.06.</t>
        </is>
      </c>
      <c r="F1682" s="0" t="n">
        <v>1196</v>
      </c>
      <c r="G1682" s="0" t="n">
        <v>40.3</v>
      </c>
      <c r="H1682" s="0" t="n">
        <v>133.24</v>
      </c>
      <c r="I1682" s="0" t="n">
        <v>30.83</v>
      </c>
      <c r="J1682" s="0" t="n">
        <v>101.92</v>
      </c>
      <c r="K1682" s="0" t="n">
        <v>76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133C</t>
        </is>
      </c>
      <c r="X1682" s="0" t="n">
        <v>19</v>
      </c>
      <c r="Y1682" s="0" t="n">
        <v>10</v>
      </c>
      <c r="Z1682" s="0" t="inlineStr">
        <is>
          <t>https://new.land.naver.com/complexes/102628?tab=detail&amp;rf=Y</t>
        </is>
      </c>
      <c r="AA1682" s="0" t="inlineStr">
        <is>
          <t>인천시 남동구 서창동 699</t>
        </is>
      </c>
      <c r="AB1682" s="0" t="inlineStr">
        <is>
          <t>인천시</t>
        </is>
      </c>
      <c r="AC1682" s="0" t="inlineStr">
        <is>
          <t>남동구</t>
        </is>
      </c>
      <c r="AD1682" s="0" t="inlineStr">
        <is>
          <t>서창동</t>
        </is>
      </c>
      <c r="AG1682" s="0" t="inlineStr">
        <is>
          <t>인천시 남동구 서창남순환로 190-15</t>
        </is>
      </c>
      <c r="AH1682" s="0" t="n">
        <v>0</v>
      </c>
      <c r="AI1682" s="0" t="n">
        <v>166</v>
      </c>
      <c r="AJ1682" s="0" t="n">
        <v>18</v>
      </c>
      <c r="AK1682" s="0" t="n">
        <v>1592</v>
      </c>
      <c r="AL1682" s="0" t="n">
        <v>1.33</v>
      </c>
    </row>
    <row r="1683">
      <c r="A1683" s="0" t="inlineStr">
        <is>
          <t>[서창동]</t>
        </is>
      </c>
      <c r="B1683" s="0" t="n">
        <v>102628</v>
      </c>
      <c r="C1683" s="0" t="n">
        <v>12</v>
      </c>
      <c r="D1683" s="0" t="inlineStr">
        <is>
          <t>서창퍼스트뷰</t>
        </is>
      </c>
      <c r="E1683" s="0" t="inlineStr">
        <is>
          <t>2012.06.</t>
        </is>
      </c>
      <c r="F1683" s="0" t="n">
        <v>1196</v>
      </c>
      <c r="G1683" s="0" t="n">
        <v>40.31</v>
      </c>
      <c r="H1683" s="0" t="n">
        <v>133.28</v>
      </c>
      <c r="I1683" s="0" t="n">
        <v>30.83</v>
      </c>
      <c r="J1683" s="0" t="n">
        <v>101.95</v>
      </c>
      <c r="K1683" s="0" t="n">
        <v>57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133B</t>
        </is>
      </c>
      <c r="X1683" s="0" t="n">
        <v>19</v>
      </c>
      <c r="Y1683" s="0" t="n">
        <v>10</v>
      </c>
      <c r="Z1683" s="0" t="inlineStr">
        <is>
          <t>https://new.land.naver.com/complexes/102628?tab=detail&amp;rf=Y</t>
        </is>
      </c>
      <c r="AA1683" s="0" t="inlineStr">
        <is>
          <t>인천시 남동구 서창동 699</t>
        </is>
      </c>
      <c r="AB1683" s="0" t="inlineStr">
        <is>
          <t>인천시</t>
        </is>
      </c>
      <c r="AC1683" s="0" t="inlineStr">
        <is>
          <t>남동구</t>
        </is>
      </c>
      <c r="AD1683" s="0" t="inlineStr">
        <is>
          <t>서창동</t>
        </is>
      </c>
      <c r="AG1683" s="0" t="inlineStr">
        <is>
          <t>인천시 남동구 서창남순환로 190-15</t>
        </is>
      </c>
      <c r="AH1683" s="0" t="n">
        <v>0</v>
      </c>
      <c r="AI1683" s="0" t="n">
        <v>166</v>
      </c>
      <c r="AJ1683" s="0" t="n">
        <v>18</v>
      </c>
      <c r="AK1683" s="0" t="n">
        <v>1592</v>
      </c>
      <c r="AL1683" s="0" t="n">
        <v>1.33</v>
      </c>
    </row>
    <row r="1684">
      <c r="A1684" s="0" t="inlineStr">
        <is>
          <t>[서창동]</t>
        </is>
      </c>
      <c r="B1684" s="0" t="n">
        <v>102628</v>
      </c>
      <c r="C1684" s="0" t="n">
        <v>13</v>
      </c>
      <c r="D1684" s="0" t="inlineStr">
        <is>
          <t>서창퍼스트뷰</t>
        </is>
      </c>
      <c r="E1684" s="0" t="inlineStr">
        <is>
          <t>2012.06.</t>
        </is>
      </c>
      <c r="F1684" s="0" t="n">
        <v>1196</v>
      </c>
      <c r="G1684" s="0" t="n">
        <v>40.29</v>
      </c>
      <c r="H1684" s="0" t="n">
        <v>133.22</v>
      </c>
      <c r="I1684" s="0" t="n">
        <v>30.82</v>
      </c>
      <c r="J1684" s="0" t="n">
        <v>101.91</v>
      </c>
      <c r="K1684" s="0" t="n">
        <v>48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133D</t>
        </is>
      </c>
      <c r="X1684" s="0" t="n">
        <v>19</v>
      </c>
      <c r="Y1684" s="0" t="n">
        <v>10</v>
      </c>
      <c r="Z1684" s="0" t="inlineStr">
        <is>
          <t>https://new.land.naver.com/complexes/102628?tab=detail&amp;rf=Y</t>
        </is>
      </c>
      <c r="AA1684" s="0" t="inlineStr">
        <is>
          <t>인천시 남동구 서창동 699</t>
        </is>
      </c>
      <c r="AB1684" s="0" t="inlineStr">
        <is>
          <t>인천시</t>
        </is>
      </c>
      <c r="AC1684" s="0" t="inlineStr">
        <is>
          <t>남동구</t>
        </is>
      </c>
      <c r="AD1684" s="0" t="inlineStr">
        <is>
          <t>서창동</t>
        </is>
      </c>
      <c r="AG1684" s="0" t="inlineStr">
        <is>
          <t>인천시 남동구 서창남순환로 190-15</t>
        </is>
      </c>
      <c r="AH1684" s="0" t="n">
        <v>0</v>
      </c>
      <c r="AI1684" s="0" t="n">
        <v>166</v>
      </c>
      <c r="AJ1684" s="0" t="n">
        <v>18</v>
      </c>
      <c r="AK1684" s="0" t="n">
        <v>1592</v>
      </c>
      <c r="AL1684" s="0" t="n">
        <v>1.33</v>
      </c>
    </row>
    <row r="1685">
      <c r="A1685" s="0" t="inlineStr">
        <is>
          <t>[서창동]</t>
        </is>
      </c>
      <c r="B1685" s="0" t="n">
        <v>102628</v>
      </c>
      <c r="C1685" s="0" t="n">
        <v>14</v>
      </c>
      <c r="D1685" s="0" t="inlineStr">
        <is>
          <t>서창퍼스트뷰</t>
        </is>
      </c>
      <c r="E1685" s="0" t="inlineStr">
        <is>
          <t>2012.06.</t>
        </is>
      </c>
      <c r="F1685" s="0" t="n">
        <v>1196</v>
      </c>
      <c r="G1685" s="0" t="n">
        <v>40.31</v>
      </c>
      <c r="H1685" s="0" t="n">
        <v>133.28</v>
      </c>
      <c r="I1685" s="0" t="n">
        <v>30.83</v>
      </c>
      <c r="J1685" s="0" t="n">
        <v>101.95</v>
      </c>
      <c r="K1685" s="0" t="n">
        <v>19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133BN</t>
        </is>
      </c>
      <c r="X1685" s="0" t="n">
        <v>19</v>
      </c>
      <c r="Y1685" s="0" t="n">
        <v>10</v>
      </c>
      <c r="Z1685" s="0" t="inlineStr">
        <is>
          <t>https://new.land.naver.com/complexes/102628?tab=detail&amp;rf=Y</t>
        </is>
      </c>
      <c r="AA1685" s="0" t="inlineStr">
        <is>
          <t>인천시 남동구 서창동 699</t>
        </is>
      </c>
      <c r="AB1685" s="0" t="inlineStr">
        <is>
          <t>인천시</t>
        </is>
      </c>
      <c r="AC1685" s="0" t="inlineStr">
        <is>
          <t>남동구</t>
        </is>
      </c>
      <c r="AD1685" s="0" t="inlineStr">
        <is>
          <t>서창동</t>
        </is>
      </c>
      <c r="AG1685" s="0" t="inlineStr">
        <is>
          <t>인천시 남동구 서창남순환로 190-15</t>
        </is>
      </c>
      <c r="AH1685" s="0" t="n">
        <v>0</v>
      </c>
      <c r="AI1685" s="0" t="n">
        <v>166</v>
      </c>
      <c r="AJ1685" s="0" t="n">
        <v>18</v>
      </c>
      <c r="AK1685" s="0" t="n">
        <v>1592</v>
      </c>
      <c r="AL1685" s="0" t="n">
        <v>1.33</v>
      </c>
    </row>
    <row r="1686">
      <c r="A1686" s="0" t="inlineStr">
        <is>
          <t>[서창동]</t>
        </is>
      </c>
      <c r="B1686" s="0" t="n">
        <v>102628</v>
      </c>
      <c r="C1686" s="0" t="n">
        <v>15</v>
      </c>
      <c r="D1686" s="0" t="inlineStr">
        <is>
          <t>서창퍼스트뷰</t>
        </is>
      </c>
      <c r="E1686" s="0" t="inlineStr">
        <is>
          <t>2012.06.</t>
        </is>
      </c>
      <c r="F1686" s="0" t="n">
        <v>1196</v>
      </c>
      <c r="G1686" s="0" t="n">
        <v>47.61</v>
      </c>
      <c r="H1686" s="0" t="n">
        <v>157.42</v>
      </c>
      <c r="I1686" s="0" t="n">
        <v>36.42</v>
      </c>
      <c r="J1686" s="0" t="n">
        <v>120.42</v>
      </c>
      <c r="K1686" s="0" t="n">
        <v>34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157AN</t>
        </is>
      </c>
      <c r="X1686" s="0" t="n">
        <v>19</v>
      </c>
      <c r="Y1686" s="0" t="n">
        <v>10</v>
      </c>
      <c r="Z1686" s="0" t="inlineStr">
        <is>
          <t>https://new.land.naver.com/complexes/102628?tab=detail&amp;rf=Y</t>
        </is>
      </c>
      <c r="AA1686" s="0" t="inlineStr">
        <is>
          <t>인천시 남동구 서창동 699</t>
        </is>
      </c>
      <c r="AB1686" s="0" t="inlineStr">
        <is>
          <t>인천시</t>
        </is>
      </c>
      <c r="AC1686" s="0" t="inlineStr">
        <is>
          <t>남동구</t>
        </is>
      </c>
      <c r="AD1686" s="0" t="inlineStr">
        <is>
          <t>서창동</t>
        </is>
      </c>
      <c r="AG1686" s="0" t="inlineStr">
        <is>
          <t>인천시 남동구 서창남순환로 190-15</t>
        </is>
      </c>
      <c r="AH1686" s="0" t="n">
        <v>0</v>
      </c>
      <c r="AI1686" s="0" t="n">
        <v>166</v>
      </c>
      <c r="AJ1686" s="0" t="n">
        <v>18</v>
      </c>
      <c r="AK1686" s="0" t="n">
        <v>1592</v>
      </c>
      <c r="AL1686" s="0" t="n">
        <v>1.33</v>
      </c>
    </row>
    <row r="1687">
      <c r="A1687" s="0" t="inlineStr">
        <is>
          <t>[서창동]</t>
        </is>
      </c>
      <c r="B1687" s="0" t="n">
        <v>102628</v>
      </c>
      <c r="C1687" s="0" t="n">
        <v>16</v>
      </c>
      <c r="D1687" s="0" t="inlineStr">
        <is>
          <t>서창퍼스트뷰</t>
        </is>
      </c>
      <c r="E1687" s="0" t="inlineStr">
        <is>
          <t>2012.06.</t>
        </is>
      </c>
      <c r="F1687" s="0" t="n">
        <v>1196</v>
      </c>
      <c r="G1687" s="0" t="n">
        <v>47.61</v>
      </c>
      <c r="H1687" s="0" t="n">
        <v>157.42</v>
      </c>
      <c r="I1687" s="0" t="n">
        <v>36.42</v>
      </c>
      <c r="J1687" s="0" t="n">
        <v>120.42</v>
      </c>
      <c r="K1687" s="0" t="n">
        <v>18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157A</t>
        </is>
      </c>
      <c r="X1687" s="0" t="n">
        <v>19</v>
      </c>
      <c r="Y1687" s="0" t="n">
        <v>10</v>
      </c>
      <c r="Z1687" s="0" t="inlineStr">
        <is>
          <t>https://new.land.naver.com/complexes/102628?tab=detail&amp;rf=Y</t>
        </is>
      </c>
      <c r="AA1687" s="0" t="inlineStr">
        <is>
          <t>인천시 남동구 서창동 699</t>
        </is>
      </c>
      <c r="AB1687" s="0" t="inlineStr">
        <is>
          <t>인천시</t>
        </is>
      </c>
      <c r="AC1687" s="0" t="inlineStr">
        <is>
          <t>남동구</t>
        </is>
      </c>
      <c r="AD1687" s="0" t="inlineStr">
        <is>
          <t>서창동</t>
        </is>
      </c>
      <c r="AG1687" s="0" t="inlineStr">
        <is>
          <t>인천시 남동구 서창남순환로 190-15</t>
        </is>
      </c>
      <c r="AH1687" s="0" t="n">
        <v>0</v>
      </c>
      <c r="AI1687" s="0" t="n">
        <v>166</v>
      </c>
      <c r="AJ1687" s="0" t="n">
        <v>18</v>
      </c>
      <c r="AK1687" s="0" t="n">
        <v>1592</v>
      </c>
      <c r="AL1687" s="0" t="n">
        <v>1.33</v>
      </c>
    </row>
    <row r="1688">
      <c r="A1688" s="0" t="inlineStr">
        <is>
          <t>[서창동]</t>
        </is>
      </c>
      <c r="B1688" s="0" t="n">
        <v>102628</v>
      </c>
      <c r="C1688" s="0" t="n">
        <v>17</v>
      </c>
      <c r="D1688" s="0" t="inlineStr">
        <is>
          <t>서창퍼스트뷰</t>
        </is>
      </c>
      <c r="E1688" s="0" t="inlineStr">
        <is>
          <t>2012.06.</t>
        </is>
      </c>
      <c r="F1688" s="0" t="n">
        <v>1196</v>
      </c>
      <c r="G1688" s="0" t="n">
        <v>47.83</v>
      </c>
      <c r="H1688" s="0" t="n">
        <v>158.14</v>
      </c>
      <c r="I1688" s="0" t="n">
        <v>36.59</v>
      </c>
      <c r="J1688" s="0" t="n">
        <v>120.97</v>
      </c>
      <c r="K1688" s="0" t="n">
        <v>73</v>
      </c>
      <c r="T1688" s="0" t="n">
        <v>4</v>
      </c>
      <c r="U1688" s="0" t="n">
        <v>2</v>
      </c>
      <c r="V1688" s="0" t="inlineStr">
        <is>
          <t>계단식</t>
        </is>
      </c>
      <c r="W1688" s="0" t="inlineStr">
        <is>
          <t>158B</t>
        </is>
      </c>
      <c r="X1688" s="0" t="n">
        <v>19</v>
      </c>
      <c r="Y1688" s="0" t="n">
        <v>10</v>
      </c>
      <c r="Z1688" s="0" t="inlineStr">
        <is>
          <t>https://new.land.naver.com/complexes/102628?tab=detail&amp;rf=Y</t>
        </is>
      </c>
      <c r="AA1688" s="0" t="inlineStr">
        <is>
          <t>인천시 남동구 서창동 699</t>
        </is>
      </c>
      <c r="AB1688" s="0" t="inlineStr">
        <is>
          <t>인천시</t>
        </is>
      </c>
      <c r="AC1688" s="0" t="inlineStr">
        <is>
          <t>남동구</t>
        </is>
      </c>
      <c r="AD1688" s="0" t="inlineStr">
        <is>
          <t>서창동</t>
        </is>
      </c>
      <c r="AG1688" s="0" t="inlineStr">
        <is>
          <t>인천시 남동구 서창남순환로 190-15</t>
        </is>
      </c>
      <c r="AH1688" s="0" t="n">
        <v>0</v>
      </c>
      <c r="AI1688" s="0" t="n">
        <v>166</v>
      </c>
      <c r="AJ1688" s="0" t="n">
        <v>18</v>
      </c>
      <c r="AK1688" s="0" t="n">
        <v>1592</v>
      </c>
      <c r="AL1688" s="0" t="n">
        <v>1.33</v>
      </c>
    </row>
    <row r="1689">
      <c r="A1689" s="0" t="inlineStr">
        <is>
          <t>[서창동]</t>
        </is>
      </c>
      <c r="B1689" s="0" t="n">
        <v>123510</v>
      </c>
      <c r="C1689" s="0" t="n">
        <v>1</v>
      </c>
      <c r="D1689" s="0" t="inlineStr">
        <is>
          <t>인천서창꿈에그린(민간임대)</t>
        </is>
      </c>
      <c r="E1689" s="0" t="inlineStr">
        <is>
          <t>2019.02.</t>
        </is>
      </c>
      <c r="F1689" s="0" t="n">
        <v>1212</v>
      </c>
      <c r="G1689" s="0" t="n">
        <v>28.31</v>
      </c>
      <c r="H1689" s="0" t="n">
        <v>93.61</v>
      </c>
      <c r="I1689" s="0" t="n">
        <v>22.67</v>
      </c>
      <c r="J1689" s="0" t="n">
        <v>74.97</v>
      </c>
      <c r="K1689" s="0" t="n">
        <v>248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93A</t>
        </is>
      </c>
      <c r="X1689" s="0" t="n">
        <v>25</v>
      </c>
      <c r="Y1689" s="0" t="n">
        <v>24</v>
      </c>
      <c r="Z1689" s="0" t="inlineStr">
        <is>
          <t>https://new.land.naver.com/complexes/123510?tab=detail&amp;rf=Y</t>
        </is>
      </c>
      <c r="AA1689" s="0" t="inlineStr">
        <is>
          <t>인천시 남동구 서창동 745</t>
        </is>
      </c>
      <c r="AB1689" s="0" t="inlineStr">
        <is>
          <t>인천시</t>
        </is>
      </c>
      <c r="AC1689" s="0" t="inlineStr">
        <is>
          <t>남동구</t>
        </is>
      </c>
      <c r="AD1689" s="0" t="inlineStr">
        <is>
          <t>서창동</t>
        </is>
      </c>
      <c r="AG1689" s="0" t="inlineStr">
        <is>
          <t>인천시 남동구 운연천로 11</t>
        </is>
      </c>
      <c r="AH1689" s="0" t="n">
        <v>1212</v>
      </c>
      <c r="AI1689" s="0" t="n">
        <v>166</v>
      </c>
      <c r="AJ1689" s="0" t="n">
        <v>14</v>
      </c>
      <c r="AK1689" s="0" t="n">
        <v>1400</v>
      </c>
      <c r="AL1689" s="0" t="n">
        <v>1.16</v>
      </c>
    </row>
    <row r="1690">
      <c r="A1690" s="0" t="inlineStr">
        <is>
          <t>[서창동]</t>
        </is>
      </c>
      <c r="B1690" s="0" t="n">
        <v>123510</v>
      </c>
      <c r="C1690" s="0" t="n">
        <v>2</v>
      </c>
      <c r="D1690" s="0" t="inlineStr">
        <is>
          <t>인천서창꿈에그린(민간임대)</t>
        </is>
      </c>
      <c r="E1690" s="0" t="inlineStr">
        <is>
          <t>2019.02.</t>
        </is>
      </c>
      <c r="F1690" s="0" t="n">
        <v>1212</v>
      </c>
      <c r="G1690" s="0" t="n">
        <v>28.32</v>
      </c>
      <c r="H1690" s="0" t="n">
        <v>93.63</v>
      </c>
      <c r="I1690" s="0" t="n">
        <v>22.68</v>
      </c>
      <c r="J1690" s="0" t="n">
        <v>74.98999999999999</v>
      </c>
      <c r="K1690" s="0" t="n">
        <v>100</v>
      </c>
      <c r="T1690" s="0" t="n">
        <v>3</v>
      </c>
      <c r="U1690" s="0" t="n">
        <v>2</v>
      </c>
      <c r="V1690" s="0" t="inlineStr">
        <is>
          <t>계단식</t>
        </is>
      </c>
      <c r="W1690" s="0" t="inlineStr">
        <is>
          <t>93B</t>
        </is>
      </c>
      <c r="X1690" s="0" t="n">
        <v>25</v>
      </c>
      <c r="Y1690" s="0" t="n">
        <v>24</v>
      </c>
      <c r="Z1690" s="0" t="inlineStr">
        <is>
          <t>https://new.land.naver.com/complexes/123510?tab=detail&amp;rf=Y</t>
        </is>
      </c>
      <c r="AA1690" s="0" t="inlineStr">
        <is>
          <t>인천시 남동구 서창동 745</t>
        </is>
      </c>
      <c r="AB1690" s="0" t="inlineStr">
        <is>
          <t>인천시</t>
        </is>
      </c>
      <c r="AC1690" s="0" t="inlineStr">
        <is>
          <t>남동구</t>
        </is>
      </c>
      <c r="AD1690" s="0" t="inlineStr">
        <is>
          <t>서창동</t>
        </is>
      </c>
      <c r="AG1690" s="0" t="inlineStr">
        <is>
          <t>인천시 남동구 운연천로 11</t>
        </is>
      </c>
      <c r="AH1690" s="0" t="n">
        <v>1212</v>
      </c>
      <c r="AI1690" s="0" t="n">
        <v>166</v>
      </c>
      <c r="AJ1690" s="0" t="n">
        <v>14</v>
      </c>
      <c r="AK1690" s="0" t="n">
        <v>1400</v>
      </c>
      <c r="AL1690" s="0" t="n">
        <v>1.16</v>
      </c>
    </row>
    <row r="1691">
      <c r="A1691" s="0" t="inlineStr">
        <is>
          <t>[서창동]</t>
        </is>
      </c>
      <c r="B1691" s="0" t="n">
        <v>123510</v>
      </c>
      <c r="C1691" s="0" t="n">
        <v>3</v>
      </c>
      <c r="D1691" s="0" t="inlineStr">
        <is>
          <t>인천서창꿈에그린(민간임대)</t>
        </is>
      </c>
      <c r="E1691" s="0" t="inlineStr">
        <is>
          <t>2019.02.</t>
        </is>
      </c>
      <c r="F1691" s="0" t="n">
        <v>1212</v>
      </c>
      <c r="G1691" s="0" t="n">
        <v>32.1</v>
      </c>
      <c r="H1691" s="0" t="n">
        <v>106.12</v>
      </c>
      <c r="I1691" s="0" t="n">
        <v>25.7</v>
      </c>
      <c r="J1691" s="0" t="n">
        <v>84.98999999999999</v>
      </c>
      <c r="K1691" s="0" t="n">
        <v>640</v>
      </c>
      <c r="T1691" s="0" t="n">
        <v>3</v>
      </c>
      <c r="U1691" s="0" t="n">
        <v>2</v>
      </c>
      <c r="V1691" s="0" t="inlineStr">
        <is>
          <t>계단식</t>
        </is>
      </c>
      <c r="W1691" s="0" t="inlineStr">
        <is>
          <t>106A</t>
        </is>
      </c>
      <c r="X1691" s="0" t="n">
        <v>25</v>
      </c>
      <c r="Y1691" s="0" t="n">
        <v>24</v>
      </c>
      <c r="Z1691" s="0" t="inlineStr">
        <is>
          <t>https://new.land.naver.com/complexes/123510?tab=detail&amp;rf=Y</t>
        </is>
      </c>
      <c r="AA1691" s="0" t="inlineStr">
        <is>
          <t>인천시 남동구 서창동 745</t>
        </is>
      </c>
      <c r="AB1691" s="0" t="inlineStr">
        <is>
          <t>인천시</t>
        </is>
      </c>
      <c r="AC1691" s="0" t="inlineStr">
        <is>
          <t>남동구</t>
        </is>
      </c>
      <c r="AD1691" s="0" t="inlineStr">
        <is>
          <t>서창동</t>
        </is>
      </c>
      <c r="AG1691" s="0" t="inlineStr">
        <is>
          <t>인천시 남동구 운연천로 11</t>
        </is>
      </c>
      <c r="AH1691" s="0" t="n">
        <v>1212</v>
      </c>
      <c r="AI1691" s="0" t="n">
        <v>166</v>
      </c>
      <c r="AJ1691" s="0" t="n">
        <v>14</v>
      </c>
      <c r="AK1691" s="0" t="n">
        <v>1400</v>
      </c>
      <c r="AL1691" s="0" t="n">
        <v>1.16</v>
      </c>
    </row>
    <row r="1692">
      <c r="A1692" s="0" t="inlineStr">
        <is>
          <t>[서창동]</t>
        </is>
      </c>
      <c r="B1692" s="0" t="n">
        <v>123510</v>
      </c>
      <c r="C1692" s="0" t="n">
        <v>4</v>
      </c>
      <c r="D1692" s="0" t="inlineStr">
        <is>
          <t>인천서창꿈에그린(민간임대)</t>
        </is>
      </c>
      <c r="E1692" s="0" t="inlineStr">
        <is>
          <t>2019.02.</t>
        </is>
      </c>
      <c r="F1692" s="0" t="n">
        <v>1212</v>
      </c>
      <c r="G1692" s="0" t="n">
        <v>32.08</v>
      </c>
      <c r="H1692" s="0" t="n">
        <v>106.06</v>
      </c>
      <c r="I1692" s="0" t="n">
        <v>25.69</v>
      </c>
      <c r="J1692" s="0" t="n">
        <v>84.94</v>
      </c>
      <c r="K1692" s="0" t="n">
        <v>224</v>
      </c>
      <c r="T1692" s="0" t="n">
        <v>3</v>
      </c>
      <c r="U1692" s="0" t="n">
        <v>2</v>
      </c>
      <c r="V1692" s="0" t="inlineStr">
        <is>
          <t>계단식</t>
        </is>
      </c>
      <c r="W1692" s="0" t="inlineStr">
        <is>
          <t>106B</t>
        </is>
      </c>
      <c r="X1692" s="0" t="n">
        <v>25</v>
      </c>
      <c r="Y1692" s="0" t="n">
        <v>24</v>
      </c>
      <c r="Z1692" s="0" t="inlineStr">
        <is>
          <t>https://new.land.naver.com/complexes/123510?tab=detail&amp;rf=Y</t>
        </is>
      </c>
      <c r="AA1692" s="0" t="inlineStr">
        <is>
          <t>인천시 남동구 서창동 745</t>
        </is>
      </c>
      <c r="AB1692" s="0" t="inlineStr">
        <is>
          <t>인천시</t>
        </is>
      </c>
      <c r="AC1692" s="0" t="inlineStr">
        <is>
          <t>남동구</t>
        </is>
      </c>
      <c r="AD1692" s="0" t="inlineStr">
        <is>
          <t>서창동</t>
        </is>
      </c>
      <c r="AG1692" s="0" t="inlineStr">
        <is>
          <t>인천시 남동구 운연천로 11</t>
        </is>
      </c>
      <c r="AH1692" s="0" t="n">
        <v>1212</v>
      </c>
      <c r="AI1692" s="0" t="n">
        <v>166</v>
      </c>
      <c r="AJ1692" s="0" t="n">
        <v>14</v>
      </c>
      <c r="AK1692" s="0" t="n">
        <v>1400</v>
      </c>
      <c r="AL1692" s="0" t="n">
        <v>1.16</v>
      </c>
    </row>
    <row r="1693">
      <c r="A1693" s="0" t="inlineStr">
        <is>
          <t>[서창동]</t>
        </is>
      </c>
      <c r="B1693" s="0" t="n">
        <v>145077</v>
      </c>
      <c r="C1693" s="0" t="n">
        <v>1</v>
      </c>
      <c r="D1693" s="0" t="inlineStr">
        <is>
          <t>LH청아안</t>
        </is>
      </c>
      <c r="E1693" s="0" t="inlineStr">
        <is>
          <t>2016.03.</t>
        </is>
      </c>
      <c r="F1693" s="0" t="n">
        <v>742</v>
      </c>
      <c r="G1693" s="0" t="n">
        <v>25.04</v>
      </c>
      <c r="H1693" s="0" t="n">
        <v>82.8</v>
      </c>
      <c r="I1693" s="0" t="n">
        <v>18.67</v>
      </c>
      <c r="J1693" s="0" t="n">
        <v>61.72</v>
      </c>
      <c r="K1693" s="0" t="n">
        <v>31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82AL</t>
        </is>
      </c>
      <c r="X1693" s="0" t="n">
        <v>20</v>
      </c>
      <c r="Y1693" s="0" t="n">
        <v>10</v>
      </c>
      <c r="Z1693" s="0" t="inlineStr">
        <is>
          <t>https://new.land.naver.com/complexes/145077?tab=detail&amp;rf=Y</t>
        </is>
      </c>
      <c r="AA1693" s="0" t="inlineStr">
        <is>
          <t>인천시 남동구 서창동 639</t>
        </is>
      </c>
      <c r="AB1693" s="0" t="inlineStr">
        <is>
          <t>인천시</t>
        </is>
      </c>
      <c r="AC1693" s="0" t="inlineStr">
        <is>
          <t>남동구</t>
        </is>
      </c>
      <c r="AD1693" s="0" t="inlineStr">
        <is>
          <t>서창동</t>
        </is>
      </c>
      <c r="AG1693" s="0" t="inlineStr">
        <is>
          <t>인천시 남동구 서창남순환로 110</t>
        </is>
      </c>
      <c r="AH1693" s="0" t="n">
        <v>665</v>
      </c>
      <c r="AI1693" s="0" t="n">
        <v>154</v>
      </c>
      <c r="AJ1693" s="0" t="n">
        <v>17</v>
      </c>
      <c r="AK1693" s="0" t="n">
        <v>852</v>
      </c>
      <c r="AL1693" s="0" t="n">
        <v>1.15</v>
      </c>
    </row>
    <row r="1694">
      <c r="A1694" s="0" t="inlineStr">
        <is>
          <t>[서창동]</t>
        </is>
      </c>
      <c r="B1694" s="0" t="n">
        <v>145077</v>
      </c>
      <c r="C1694" s="0" t="n">
        <v>2</v>
      </c>
      <c r="D1694" s="0" t="inlineStr">
        <is>
          <t>LH청아안</t>
        </is>
      </c>
      <c r="E1694" s="0" t="inlineStr">
        <is>
          <t>2016.03.</t>
        </is>
      </c>
      <c r="F1694" s="0" t="n">
        <v>742</v>
      </c>
      <c r="G1694" s="0" t="n">
        <v>30.41</v>
      </c>
      <c r="H1694" s="0" t="n">
        <v>100.54</v>
      </c>
      <c r="I1694" s="0" t="n">
        <v>22.66</v>
      </c>
      <c r="J1694" s="0" t="n">
        <v>74.94</v>
      </c>
      <c r="K1694" s="0" t="n">
        <v>13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100AH</t>
        </is>
      </c>
      <c r="X1694" s="0" t="n">
        <v>20</v>
      </c>
      <c r="Y1694" s="0" t="n">
        <v>10</v>
      </c>
      <c r="Z1694" s="0" t="inlineStr">
        <is>
          <t>https://new.land.naver.com/complexes/145077?tab=detail&amp;rf=Y</t>
        </is>
      </c>
      <c r="AA1694" s="0" t="inlineStr">
        <is>
          <t>인천시 남동구 서창동 639</t>
        </is>
      </c>
      <c r="AB1694" s="0" t="inlineStr">
        <is>
          <t>인천시</t>
        </is>
      </c>
      <c r="AC1694" s="0" t="inlineStr">
        <is>
          <t>남동구</t>
        </is>
      </c>
      <c r="AD1694" s="0" t="inlineStr">
        <is>
          <t>서창동</t>
        </is>
      </c>
      <c r="AG1694" s="0" t="inlineStr">
        <is>
          <t>인천시 남동구 서창남순환로 110</t>
        </is>
      </c>
      <c r="AH1694" s="0" t="n">
        <v>665</v>
      </c>
      <c r="AI1694" s="0" t="n">
        <v>154</v>
      </c>
      <c r="AJ1694" s="0" t="n">
        <v>17</v>
      </c>
      <c r="AK1694" s="0" t="n">
        <v>852</v>
      </c>
      <c r="AL1694" s="0" t="n">
        <v>1.15</v>
      </c>
    </row>
    <row r="1695">
      <c r="A1695" s="0" t="inlineStr">
        <is>
          <t>[서창동]</t>
        </is>
      </c>
      <c r="B1695" s="0" t="n">
        <v>145077</v>
      </c>
      <c r="C1695" s="0" t="n">
        <v>3</v>
      </c>
      <c r="D1695" s="0" t="inlineStr">
        <is>
          <t>LH청아안</t>
        </is>
      </c>
      <c r="E1695" s="0" t="inlineStr">
        <is>
          <t>2016.03.</t>
        </is>
      </c>
      <c r="F1695" s="0" t="n">
        <v>742</v>
      </c>
      <c r="G1695" s="0" t="n">
        <v>30.41</v>
      </c>
      <c r="H1695" s="0" t="n">
        <v>100.54</v>
      </c>
      <c r="I1695" s="0" t="n">
        <v>22.66</v>
      </c>
      <c r="J1695" s="0" t="n">
        <v>74.94</v>
      </c>
      <c r="K1695" s="0" t="n">
        <v>7</v>
      </c>
      <c r="T1695" s="0" t="n">
        <v>3</v>
      </c>
      <c r="U1695" s="0" t="n">
        <v>2</v>
      </c>
      <c r="V1695" s="0" t="inlineStr">
        <is>
          <t>계단식</t>
        </is>
      </c>
      <c r="W1695" s="0" t="inlineStr">
        <is>
          <t>100AL</t>
        </is>
      </c>
      <c r="X1695" s="0" t="n">
        <v>20</v>
      </c>
      <c r="Y1695" s="0" t="n">
        <v>10</v>
      </c>
      <c r="Z1695" s="0" t="inlineStr">
        <is>
          <t>https://new.land.naver.com/complexes/145077?tab=detail&amp;rf=Y</t>
        </is>
      </c>
      <c r="AA1695" s="0" t="inlineStr">
        <is>
          <t>인천시 남동구 서창동 639</t>
        </is>
      </c>
      <c r="AB1695" s="0" t="inlineStr">
        <is>
          <t>인천시</t>
        </is>
      </c>
      <c r="AC1695" s="0" t="inlineStr">
        <is>
          <t>남동구</t>
        </is>
      </c>
      <c r="AD1695" s="0" t="inlineStr">
        <is>
          <t>서창동</t>
        </is>
      </c>
      <c r="AG1695" s="0" t="inlineStr">
        <is>
          <t>인천시 남동구 서창남순환로 110</t>
        </is>
      </c>
      <c r="AH1695" s="0" t="n">
        <v>665</v>
      </c>
      <c r="AI1695" s="0" t="n">
        <v>154</v>
      </c>
      <c r="AJ1695" s="0" t="n">
        <v>17</v>
      </c>
      <c r="AK1695" s="0" t="n">
        <v>852</v>
      </c>
      <c r="AL1695" s="0" t="n">
        <v>1.15</v>
      </c>
    </row>
    <row r="1696">
      <c r="A1696" s="0" t="inlineStr">
        <is>
          <t>[서창동]</t>
        </is>
      </c>
      <c r="B1696" s="0" t="n">
        <v>145077</v>
      </c>
      <c r="C1696" s="0" t="n">
        <v>4</v>
      </c>
      <c r="D1696" s="0" t="inlineStr">
        <is>
          <t>LH청아안</t>
        </is>
      </c>
      <c r="E1696" s="0" t="inlineStr">
        <is>
          <t>2016.03.</t>
        </is>
      </c>
      <c r="F1696" s="0" t="n">
        <v>742</v>
      </c>
      <c r="G1696" s="0" t="n">
        <v>30.31</v>
      </c>
      <c r="H1696" s="0" t="n">
        <v>100.23</v>
      </c>
      <c r="I1696" s="0" t="n">
        <v>22.59</v>
      </c>
      <c r="J1696" s="0" t="n">
        <v>74.70999999999999</v>
      </c>
      <c r="K1696" s="0" t="n">
        <v>7</v>
      </c>
      <c r="T1696" s="0" t="n">
        <v>3</v>
      </c>
      <c r="U1696" s="0" t="n">
        <v>2</v>
      </c>
      <c r="V1696" s="0" t="inlineStr">
        <is>
          <t>계단식</t>
        </is>
      </c>
      <c r="W1696" s="0" t="inlineStr">
        <is>
          <t>100BH</t>
        </is>
      </c>
      <c r="X1696" s="0" t="n">
        <v>20</v>
      </c>
      <c r="Y1696" s="0" t="n">
        <v>10</v>
      </c>
      <c r="Z1696" s="0" t="inlineStr">
        <is>
          <t>https://new.land.naver.com/complexes/145077?tab=detail&amp;rf=Y</t>
        </is>
      </c>
      <c r="AA1696" s="0" t="inlineStr">
        <is>
          <t>인천시 남동구 서창동 639</t>
        </is>
      </c>
      <c r="AB1696" s="0" t="inlineStr">
        <is>
          <t>인천시</t>
        </is>
      </c>
      <c r="AC1696" s="0" t="inlineStr">
        <is>
          <t>남동구</t>
        </is>
      </c>
      <c r="AD1696" s="0" t="inlineStr">
        <is>
          <t>서창동</t>
        </is>
      </c>
      <c r="AG1696" s="0" t="inlineStr">
        <is>
          <t>인천시 남동구 서창남순환로 110</t>
        </is>
      </c>
      <c r="AH1696" s="0" t="n">
        <v>665</v>
      </c>
      <c r="AI1696" s="0" t="n">
        <v>154</v>
      </c>
      <c r="AJ1696" s="0" t="n">
        <v>17</v>
      </c>
      <c r="AK1696" s="0" t="n">
        <v>852</v>
      </c>
      <c r="AL1696" s="0" t="n">
        <v>1.15</v>
      </c>
    </row>
    <row r="1697">
      <c r="A1697" s="0" t="inlineStr">
        <is>
          <t>[서창동]</t>
        </is>
      </c>
      <c r="B1697" s="0" t="n">
        <v>145077</v>
      </c>
      <c r="C1697" s="0" t="n">
        <v>5</v>
      </c>
      <c r="D1697" s="0" t="inlineStr">
        <is>
          <t>LH청아안</t>
        </is>
      </c>
      <c r="E1697" s="0" t="inlineStr">
        <is>
          <t>2016.03.</t>
        </is>
      </c>
      <c r="F1697" s="0" t="n">
        <v>742</v>
      </c>
      <c r="G1697" s="0" t="n">
        <v>30.39</v>
      </c>
      <c r="H1697" s="0" t="n">
        <v>100.49</v>
      </c>
      <c r="I1697" s="0" t="n">
        <v>22.65</v>
      </c>
      <c r="J1697" s="0" t="n">
        <v>74.90000000000001</v>
      </c>
      <c r="K1697" s="0" t="n">
        <v>5</v>
      </c>
      <c r="T1697" s="0" t="n">
        <v>3</v>
      </c>
      <c r="U1697" s="0" t="n">
        <v>2</v>
      </c>
      <c r="V1697" s="0" t="inlineStr">
        <is>
          <t>계단식</t>
        </is>
      </c>
      <c r="W1697" s="0" t="inlineStr">
        <is>
          <t>100CH</t>
        </is>
      </c>
      <c r="X1697" s="0" t="n">
        <v>20</v>
      </c>
      <c r="Y1697" s="0" t="n">
        <v>10</v>
      </c>
      <c r="Z1697" s="0" t="inlineStr">
        <is>
          <t>https://new.land.naver.com/complexes/145077?tab=detail&amp;rf=Y</t>
        </is>
      </c>
      <c r="AA1697" s="0" t="inlineStr">
        <is>
          <t>인천시 남동구 서창동 639</t>
        </is>
      </c>
      <c r="AB1697" s="0" t="inlineStr">
        <is>
          <t>인천시</t>
        </is>
      </c>
      <c r="AC1697" s="0" t="inlineStr">
        <is>
          <t>남동구</t>
        </is>
      </c>
      <c r="AD1697" s="0" t="inlineStr">
        <is>
          <t>서창동</t>
        </is>
      </c>
      <c r="AG1697" s="0" t="inlineStr">
        <is>
          <t>인천시 남동구 서창남순환로 110</t>
        </is>
      </c>
      <c r="AH1697" s="0" t="n">
        <v>665</v>
      </c>
      <c r="AI1697" s="0" t="n">
        <v>154</v>
      </c>
      <c r="AJ1697" s="0" t="n">
        <v>17</v>
      </c>
      <c r="AK1697" s="0" t="n">
        <v>852</v>
      </c>
      <c r="AL1697" s="0" t="n">
        <v>1.15</v>
      </c>
    </row>
    <row r="1698">
      <c r="A1698" s="0" t="inlineStr">
        <is>
          <t>[서창동]</t>
        </is>
      </c>
      <c r="B1698" s="0" t="n">
        <v>145077</v>
      </c>
      <c r="C1698" s="0" t="n">
        <v>6</v>
      </c>
      <c r="D1698" s="0" t="inlineStr">
        <is>
          <t>LH청아안</t>
        </is>
      </c>
      <c r="E1698" s="0" t="inlineStr">
        <is>
          <t>2016.03.</t>
        </is>
      </c>
      <c r="F1698" s="0" t="n">
        <v>742</v>
      </c>
      <c r="G1698" s="0" t="n">
        <v>34.46</v>
      </c>
      <c r="H1698" s="0" t="n">
        <v>113.93</v>
      </c>
      <c r="I1698" s="0" t="n">
        <v>25.68</v>
      </c>
      <c r="J1698" s="0" t="n">
        <v>84.92</v>
      </c>
      <c r="K1698" s="0" t="n">
        <v>8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113AH</t>
        </is>
      </c>
      <c r="X1698" s="0" t="n">
        <v>20</v>
      </c>
      <c r="Y1698" s="0" t="n">
        <v>10</v>
      </c>
      <c r="Z1698" s="0" t="inlineStr">
        <is>
          <t>https://new.land.naver.com/complexes/145077?tab=detail&amp;rf=Y</t>
        </is>
      </c>
      <c r="AA1698" s="0" t="inlineStr">
        <is>
          <t>인천시 남동구 서창동 639</t>
        </is>
      </c>
      <c r="AB1698" s="0" t="inlineStr">
        <is>
          <t>인천시</t>
        </is>
      </c>
      <c r="AC1698" s="0" t="inlineStr">
        <is>
          <t>남동구</t>
        </is>
      </c>
      <c r="AD1698" s="0" t="inlineStr">
        <is>
          <t>서창동</t>
        </is>
      </c>
      <c r="AG1698" s="0" t="inlineStr">
        <is>
          <t>인천시 남동구 서창남순환로 110</t>
        </is>
      </c>
      <c r="AH1698" s="0" t="n">
        <v>665</v>
      </c>
      <c r="AI1698" s="0" t="n">
        <v>154</v>
      </c>
      <c r="AJ1698" s="0" t="n">
        <v>17</v>
      </c>
      <c r="AK1698" s="0" t="n">
        <v>852</v>
      </c>
      <c r="AL1698" s="0" t="n">
        <v>1.15</v>
      </c>
    </row>
    <row r="1699">
      <c r="A1699" s="0" t="inlineStr">
        <is>
          <t>[서창동]</t>
        </is>
      </c>
      <c r="B1699" s="0" t="n">
        <v>145077</v>
      </c>
      <c r="C1699" s="0" t="n">
        <v>7</v>
      </c>
      <c r="D1699" s="0" t="inlineStr">
        <is>
          <t>LH청아안</t>
        </is>
      </c>
      <c r="E1699" s="0" t="inlineStr">
        <is>
          <t>2016.03.</t>
        </is>
      </c>
      <c r="F1699" s="0" t="n">
        <v>742</v>
      </c>
      <c r="G1699" s="0" t="n">
        <v>34.47</v>
      </c>
      <c r="H1699" s="0" t="n">
        <v>113.98</v>
      </c>
      <c r="I1699" s="0" t="n">
        <v>25.68</v>
      </c>
      <c r="J1699" s="0" t="n">
        <v>84.92</v>
      </c>
      <c r="K1699" s="0" t="n">
        <v>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113AL</t>
        </is>
      </c>
      <c r="X1699" s="0" t="n">
        <v>20</v>
      </c>
      <c r="Y1699" s="0" t="n">
        <v>10</v>
      </c>
      <c r="Z1699" s="0" t="inlineStr">
        <is>
          <t>https://new.land.naver.com/complexes/145077?tab=detail&amp;rf=Y</t>
        </is>
      </c>
      <c r="AA1699" s="0" t="inlineStr">
        <is>
          <t>인천시 남동구 서창동 639</t>
        </is>
      </c>
      <c r="AB1699" s="0" t="inlineStr">
        <is>
          <t>인천시</t>
        </is>
      </c>
      <c r="AC1699" s="0" t="inlineStr">
        <is>
          <t>남동구</t>
        </is>
      </c>
      <c r="AD1699" s="0" t="inlineStr">
        <is>
          <t>서창동</t>
        </is>
      </c>
      <c r="AG1699" s="0" t="inlineStr">
        <is>
          <t>인천시 남동구 서창남순환로 110</t>
        </is>
      </c>
      <c r="AH1699" s="0" t="n">
        <v>665</v>
      </c>
      <c r="AI1699" s="0" t="n">
        <v>154</v>
      </c>
      <c r="AJ1699" s="0" t="n">
        <v>17</v>
      </c>
      <c r="AK1699" s="0" t="n">
        <v>852</v>
      </c>
      <c r="AL1699" s="0" t="n">
        <v>1.15</v>
      </c>
    </row>
    <row r="1700">
      <c r="A1700" s="0" t="inlineStr">
        <is>
          <t>[서창동]</t>
        </is>
      </c>
      <c r="B1700" s="0" t="n">
        <v>145077</v>
      </c>
      <c r="C1700" s="0" t="n">
        <v>8</v>
      </c>
      <c r="D1700" s="0" t="inlineStr">
        <is>
          <t>LH청아안</t>
        </is>
      </c>
      <c r="E1700" s="0" t="inlineStr">
        <is>
          <t>2016.03.</t>
        </is>
      </c>
      <c r="F1700" s="0" t="n">
        <v>742</v>
      </c>
      <c r="G1700" s="0" t="n">
        <v>34.37</v>
      </c>
      <c r="H1700" s="0" t="n">
        <v>113.64</v>
      </c>
      <c r="I1700" s="0" t="n">
        <v>25.62</v>
      </c>
      <c r="J1700" s="0" t="n">
        <v>84.7</v>
      </c>
      <c r="K1700" s="0" t="n">
        <v>2</v>
      </c>
      <c r="T1700" s="0" t="n">
        <v>3</v>
      </c>
      <c r="U1700" s="0" t="n">
        <v>2</v>
      </c>
      <c r="V1700" s="0" t="inlineStr">
        <is>
          <t>계단식</t>
        </is>
      </c>
      <c r="W1700" s="0" t="inlineStr">
        <is>
          <t>113BH</t>
        </is>
      </c>
      <c r="X1700" s="0" t="n">
        <v>20</v>
      </c>
      <c r="Y1700" s="0" t="n">
        <v>10</v>
      </c>
      <c r="Z1700" s="0" t="inlineStr">
        <is>
          <t>https://new.land.naver.com/complexes/145077?tab=detail&amp;rf=Y</t>
        </is>
      </c>
      <c r="AA1700" s="0" t="inlineStr">
        <is>
          <t>인천시 남동구 서창동 639</t>
        </is>
      </c>
      <c r="AB1700" s="0" t="inlineStr">
        <is>
          <t>인천시</t>
        </is>
      </c>
      <c r="AC1700" s="0" t="inlineStr">
        <is>
          <t>남동구</t>
        </is>
      </c>
      <c r="AD1700" s="0" t="inlineStr">
        <is>
          <t>서창동</t>
        </is>
      </c>
      <c r="AG1700" s="0" t="inlineStr">
        <is>
          <t>인천시 남동구 서창남순환로 110</t>
        </is>
      </c>
      <c r="AH1700" s="0" t="n">
        <v>665</v>
      </c>
      <c r="AI1700" s="0" t="n">
        <v>154</v>
      </c>
      <c r="AJ1700" s="0" t="n">
        <v>17</v>
      </c>
      <c r="AK1700" s="0" t="n">
        <v>852</v>
      </c>
      <c r="AL1700" s="0" t="n">
        <v>1.15</v>
      </c>
    </row>
    <row r="1701">
      <c r="A1701" s="0" t="inlineStr">
        <is>
          <t>[서창동]</t>
        </is>
      </c>
      <c r="B1701" s="0" t="n">
        <v>25410</v>
      </c>
      <c r="C1701" s="0" t="n">
        <v>1</v>
      </c>
      <c r="D1701" s="0" t="inlineStr">
        <is>
          <t>서해그랑블</t>
        </is>
      </c>
      <c r="E1701" s="0" t="inlineStr">
        <is>
          <t>2008.05.</t>
        </is>
      </c>
      <c r="F1701" s="0" t="n">
        <v>523</v>
      </c>
      <c r="G1701" s="0" t="n">
        <v>24.67</v>
      </c>
      <c r="H1701" s="0" t="n">
        <v>81.56999999999999</v>
      </c>
      <c r="I1701" s="0" t="n">
        <v>18.14</v>
      </c>
      <c r="J1701" s="0" t="n">
        <v>59.99</v>
      </c>
      <c r="K1701" s="0" t="n">
        <v>133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81A</t>
        </is>
      </c>
      <c r="X1701" s="0" t="n">
        <v>15</v>
      </c>
      <c r="Y1701" s="0" t="n">
        <v>8</v>
      </c>
      <c r="Z1701" s="0" t="inlineStr">
        <is>
          <t>https://new.land.naver.com/complexes/25410?tab=detail&amp;rf=Y</t>
        </is>
      </c>
      <c r="AA1701" s="0" t="inlineStr">
        <is>
          <t>인천시 남동구 서창동 540</t>
        </is>
      </c>
      <c r="AB1701" s="0" t="inlineStr">
        <is>
          <t>인천시</t>
        </is>
      </c>
      <c r="AC1701" s="0" t="inlineStr">
        <is>
          <t>남동구</t>
        </is>
      </c>
      <c r="AD1701" s="0" t="inlineStr">
        <is>
          <t>서창동</t>
        </is>
      </c>
      <c r="AG1701" s="0" t="inlineStr">
        <is>
          <t>인천시 남동구 독곡로48번길 9</t>
        </is>
      </c>
      <c r="AH1701" s="0" t="n">
        <v>0</v>
      </c>
      <c r="AI1701" s="0" t="n">
        <v>217</v>
      </c>
      <c r="AJ1701" s="0" t="n">
        <v>19</v>
      </c>
      <c r="AK1701" s="0" t="n">
        <v>592</v>
      </c>
      <c r="AL1701" s="0" t="n">
        <v>1.13</v>
      </c>
    </row>
    <row r="1702">
      <c r="A1702" s="0" t="inlineStr">
        <is>
          <t>[서창동]</t>
        </is>
      </c>
      <c r="B1702" s="0" t="n">
        <v>25410</v>
      </c>
      <c r="C1702" s="0" t="n">
        <v>2</v>
      </c>
      <c r="D1702" s="0" t="inlineStr">
        <is>
          <t>서해그랑블</t>
        </is>
      </c>
      <c r="E1702" s="0" t="inlineStr">
        <is>
          <t>2008.05.</t>
        </is>
      </c>
      <c r="F1702" s="0" t="n">
        <v>523</v>
      </c>
      <c r="G1702" s="0" t="n">
        <v>24.67</v>
      </c>
      <c r="H1702" s="0" t="n">
        <v>81.56999999999999</v>
      </c>
      <c r="I1702" s="0" t="n">
        <v>18.14</v>
      </c>
      <c r="J1702" s="0" t="n">
        <v>59.99</v>
      </c>
      <c r="K1702" s="0" t="n">
        <v>56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81B</t>
        </is>
      </c>
      <c r="X1702" s="0" t="n">
        <v>15</v>
      </c>
      <c r="Y1702" s="0" t="n">
        <v>8</v>
      </c>
      <c r="Z1702" s="0" t="inlineStr">
        <is>
          <t>https://new.land.naver.com/complexes/25410?tab=detail&amp;rf=Y</t>
        </is>
      </c>
      <c r="AA1702" s="0" t="inlineStr">
        <is>
          <t>인천시 남동구 서창동 540</t>
        </is>
      </c>
      <c r="AB1702" s="0" t="inlineStr">
        <is>
          <t>인천시</t>
        </is>
      </c>
      <c r="AC1702" s="0" t="inlineStr">
        <is>
          <t>남동구</t>
        </is>
      </c>
      <c r="AD1702" s="0" t="inlineStr">
        <is>
          <t>서창동</t>
        </is>
      </c>
      <c r="AG1702" s="0" t="inlineStr">
        <is>
          <t>인천시 남동구 독곡로48번길 9</t>
        </is>
      </c>
      <c r="AH1702" s="0" t="n">
        <v>0</v>
      </c>
      <c r="AI1702" s="0" t="n">
        <v>217</v>
      </c>
      <c r="AJ1702" s="0" t="n">
        <v>19</v>
      </c>
      <c r="AK1702" s="0" t="n">
        <v>592</v>
      </c>
      <c r="AL1702" s="0" t="n">
        <v>1.13</v>
      </c>
    </row>
    <row r="1703">
      <c r="A1703" s="0" t="inlineStr">
        <is>
          <t>[서창동]</t>
        </is>
      </c>
      <c r="B1703" s="0" t="n">
        <v>25410</v>
      </c>
      <c r="C1703" s="0" t="n">
        <v>3</v>
      </c>
      <c r="D1703" s="0" t="inlineStr">
        <is>
          <t>서해그랑블</t>
        </is>
      </c>
      <c r="E1703" s="0" t="inlineStr">
        <is>
          <t>2008.05.</t>
        </is>
      </c>
      <c r="F1703" s="0" t="n">
        <v>523</v>
      </c>
      <c r="G1703" s="0" t="n">
        <v>24.67</v>
      </c>
      <c r="H1703" s="0" t="n">
        <v>81.56</v>
      </c>
      <c r="I1703" s="0" t="n">
        <v>18.13</v>
      </c>
      <c r="J1703" s="0" t="n">
        <v>59.96</v>
      </c>
      <c r="K1703" s="0" t="n">
        <v>13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81C</t>
        </is>
      </c>
      <c r="X1703" s="0" t="n">
        <v>15</v>
      </c>
      <c r="Y1703" s="0" t="n">
        <v>8</v>
      </c>
      <c r="Z1703" s="0" t="inlineStr">
        <is>
          <t>https://new.land.naver.com/complexes/25410?tab=detail&amp;rf=Y</t>
        </is>
      </c>
      <c r="AA1703" s="0" t="inlineStr">
        <is>
          <t>인천시 남동구 서창동 540</t>
        </is>
      </c>
      <c r="AB1703" s="0" t="inlineStr">
        <is>
          <t>인천시</t>
        </is>
      </c>
      <c r="AC1703" s="0" t="inlineStr">
        <is>
          <t>남동구</t>
        </is>
      </c>
      <c r="AD1703" s="0" t="inlineStr">
        <is>
          <t>서창동</t>
        </is>
      </c>
      <c r="AG1703" s="0" t="inlineStr">
        <is>
          <t>인천시 남동구 독곡로48번길 9</t>
        </is>
      </c>
      <c r="AH1703" s="0" t="n">
        <v>0</v>
      </c>
      <c r="AI1703" s="0" t="n">
        <v>217</v>
      </c>
      <c r="AJ1703" s="0" t="n">
        <v>19</v>
      </c>
      <c r="AK1703" s="0" t="n">
        <v>592</v>
      </c>
      <c r="AL1703" s="0" t="n">
        <v>1.13</v>
      </c>
    </row>
    <row r="1704">
      <c r="A1704" s="0" t="inlineStr">
        <is>
          <t>[서창동]</t>
        </is>
      </c>
      <c r="B1704" s="0" t="n">
        <v>25410</v>
      </c>
      <c r="C1704" s="0" t="n">
        <v>4</v>
      </c>
      <c r="D1704" s="0" t="inlineStr">
        <is>
          <t>서해그랑블</t>
        </is>
      </c>
      <c r="E1704" s="0" t="inlineStr">
        <is>
          <t>2008.05.</t>
        </is>
      </c>
      <c r="F1704" s="0" t="n">
        <v>523</v>
      </c>
      <c r="G1704" s="0" t="n">
        <v>33.91</v>
      </c>
      <c r="H1704" s="0" t="n">
        <v>112.11</v>
      </c>
      <c r="I1704" s="0" t="n">
        <v>25.63</v>
      </c>
      <c r="J1704" s="0" t="n">
        <v>84.73999999999999</v>
      </c>
      <c r="K1704" s="0" t="n">
        <v>197</v>
      </c>
      <c r="T1704" s="0" t="n">
        <v>3</v>
      </c>
      <c r="U1704" s="0" t="n">
        <v>2</v>
      </c>
      <c r="V1704" s="0" t="inlineStr">
        <is>
          <t>계단식</t>
        </is>
      </c>
      <c r="W1704" s="0" t="n">
        <v>112</v>
      </c>
      <c r="X1704" s="0" t="n">
        <v>15</v>
      </c>
      <c r="Y1704" s="0" t="n">
        <v>8</v>
      </c>
      <c r="Z1704" s="0" t="inlineStr">
        <is>
          <t>https://new.land.naver.com/complexes/25410?tab=detail&amp;rf=Y</t>
        </is>
      </c>
      <c r="AA1704" s="0" t="inlineStr">
        <is>
          <t>인천시 남동구 서창동 540</t>
        </is>
      </c>
      <c r="AB1704" s="0" t="inlineStr">
        <is>
          <t>인천시</t>
        </is>
      </c>
      <c r="AC1704" s="0" t="inlineStr">
        <is>
          <t>남동구</t>
        </is>
      </c>
      <c r="AD1704" s="0" t="inlineStr">
        <is>
          <t>서창동</t>
        </is>
      </c>
      <c r="AG1704" s="0" t="inlineStr">
        <is>
          <t>인천시 남동구 독곡로48번길 9</t>
        </is>
      </c>
      <c r="AH1704" s="0" t="n">
        <v>0</v>
      </c>
      <c r="AI1704" s="0" t="n">
        <v>217</v>
      </c>
      <c r="AJ1704" s="0" t="n">
        <v>19</v>
      </c>
      <c r="AK1704" s="0" t="n">
        <v>592</v>
      </c>
      <c r="AL1704" s="0" t="n">
        <v>1.13</v>
      </c>
    </row>
    <row r="1705">
      <c r="A1705" s="0" t="inlineStr">
        <is>
          <t>[서창동]</t>
        </is>
      </c>
      <c r="B1705" s="0" t="n">
        <v>25410</v>
      </c>
      <c r="C1705" s="0" t="n">
        <v>5</v>
      </c>
      <c r="D1705" s="0" t="inlineStr">
        <is>
          <t>서해그랑블</t>
        </is>
      </c>
      <c r="E1705" s="0" t="inlineStr">
        <is>
          <t>2008.05.</t>
        </is>
      </c>
      <c r="F1705" s="0" t="n">
        <v>523</v>
      </c>
      <c r="G1705" s="0" t="n">
        <v>41.18</v>
      </c>
      <c r="H1705" s="0" t="n">
        <v>136.14</v>
      </c>
      <c r="I1705" s="0" t="n">
        <v>32.24</v>
      </c>
      <c r="J1705" s="0" t="n">
        <v>106.6</v>
      </c>
      <c r="K1705" s="0" t="n">
        <v>15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136D</t>
        </is>
      </c>
      <c r="X1705" s="0" t="n">
        <v>15</v>
      </c>
      <c r="Y1705" s="0" t="n">
        <v>8</v>
      </c>
      <c r="Z1705" s="0" t="inlineStr">
        <is>
          <t>https://new.land.naver.com/complexes/25410?tab=detail&amp;rf=Y</t>
        </is>
      </c>
      <c r="AA1705" s="0" t="inlineStr">
        <is>
          <t>인천시 남동구 서창동 540</t>
        </is>
      </c>
      <c r="AB1705" s="0" t="inlineStr">
        <is>
          <t>인천시</t>
        </is>
      </c>
      <c r="AC1705" s="0" t="inlineStr">
        <is>
          <t>남동구</t>
        </is>
      </c>
      <c r="AD1705" s="0" t="inlineStr">
        <is>
          <t>서창동</t>
        </is>
      </c>
      <c r="AG1705" s="0" t="inlineStr">
        <is>
          <t>인천시 남동구 독곡로48번길 9</t>
        </is>
      </c>
      <c r="AH1705" s="0" t="n">
        <v>0</v>
      </c>
      <c r="AI1705" s="0" t="n">
        <v>217</v>
      </c>
      <c r="AJ1705" s="0" t="n">
        <v>19</v>
      </c>
      <c r="AK1705" s="0" t="n">
        <v>592</v>
      </c>
      <c r="AL1705" s="0" t="n">
        <v>1.13</v>
      </c>
    </row>
    <row r="1706">
      <c r="A1706" s="0" t="inlineStr">
        <is>
          <t>[서창동]</t>
        </is>
      </c>
      <c r="B1706" s="0" t="n">
        <v>25410</v>
      </c>
      <c r="C1706" s="0" t="n">
        <v>6</v>
      </c>
      <c r="D1706" s="0" t="inlineStr">
        <is>
          <t>서해그랑블</t>
        </is>
      </c>
      <c r="E1706" s="0" t="inlineStr">
        <is>
          <t>2008.05.</t>
        </is>
      </c>
      <c r="F1706" s="0" t="n">
        <v>523</v>
      </c>
      <c r="G1706" s="0" t="n">
        <v>41.47</v>
      </c>
      <c r="H1706" s="0" t="n">
        <v>137.11</v>
      </c>
      <c r="I1706" s="0" t="n">
        <v>32.23</v>
      </c>
      <c r="J1706" s="0" t="n">
        <v>106.57</v>
      </c>
      <c r="K1706" s="0" t="n">
        <v>55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137A</t>
        </is>
      </c>
      <c r="X1706" s="0" t="n">
        <v>15</v>
      </c>
      <c r="Y1706" s="0" t="n">
        <v>8</v>
      </c>
      <c r="Z1706" s="0" t="inlineStr">
        <is>
          <t>https://new.land.naver.com/complexes/25410?tab=detail&amp;rf=Y</t>
        </is>
      </c>
      <c r="AA1706" s="0" t="inlineStr">
        <is>
          <t>인천시 남동구 서창동 540</t>
        </is>
      </c>
      <c r="AB1706" s="0" t="inlineStr">
        <is>
          <t>인천시</t>
        </is>
      </c>
      <c r="AC1706" s="0" t="inlineStr">
        <is>
          <t>남동구</t>
        </is>
      </c>
      <c r="AD1706" s="0" t="inlineStr">
        <is>
          <t>서창동</t>
        </is>
      </c>
      <c r="AG1706" s="0" t="inlineStr">
        <is>
          <t>인천시 남동구 독곡로48번길 9</t>
        </is>
      </c>
      <c r="AH1706" s="0" t="n">
        <v>0</v>
      </c>
      <c r="AI1706" s="0" t="n">
        <v>217</v>
      </c>
      <c r="AJ1706" s="0" t="n">
        <v>19</v>
      </c>
      <c r="AK1706" s="0" t="n">
        <v>592</v>
      </c>
      <c r="AL1706" s="0" t="n">
        <v>1.13</v>
      </c>
    </row>
    <row r="1707">
      <c r="A1707" s="0" t="inlineStr">
        <is>
          <t>[서창동]</t>
        </is>
      </c>
      <c r="B1707" s="0" t="n">
        <v>25410</v>
      </c>
      <c r="C1707" s="0" t="n">
        <v>7</v>
      </c>
      <c r="D1707" s="0" t="inlineStr">
        <is>
          <t>서해그랑블</t>
        </is>
      </c>
      <c r="E1707" s="0" t="inlineStr">
        <is>
          <t>2008.05.</t>
        </is>
      </c>
      <c r="F1707" s="0" t="n">
        <v>523</v>
      </c>
      <c r="G1707" s="0" t="n">
        <v>41.55</v>
      </c>
      <c r="H1707" s="0" t="n">
        <v>137.38</v>
      </c>
      <c r="I1707" s="0" t="n">
        <v>32.59</v>
      </c>
      <c r="J1707" s="0" t="n">
        <v>107.74</v>
      </c>
      <c r="K1707" s="0" t="n">
        <v>43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137B</t>
        </is>
      </c>
      <c r="X1707" s="0" t="n">
        <v>15</v>
      </c>
      <c r="Y1707" s="0" t="n">
        <v>8</v>
      </c>
      <c r="Z1707" s="0" t="inlineStr">
        <is>
          <t>https://new.land.naver.com/complexes/25410?tab=detail&amp;rf=Y</t>
        </is>
      </c>
      <c r="AA1707" s="0" t="inlineStr">
        <is>
          <t>인천시 남동구 서창동 540</t>
        </is>
      </c>
      <c r="AB1707" s="0" t="inlineStr">
        <is>
          <t>인천시</t>
        </is>
      </c>
      <c r="AC1707" s="0" t="inlineStr">
        <is>
          <t>남동구</t>
        </is>
      </c>
      <c r="AD1707" s="0" t="inlineStr">
        <is>
          <t>서창동</t>
        </is>
      </c>
      <c r="AG1707" s="0" t="inlineStr">
        <is>
          <t>인천시 남동구 독곡로48번길 9</t>
        </is>
      </c>
      <c r="AH1707" s="0" t="n">
        <v>0</v>
      </c>
      <c r="AI1707" s="0" t="n">
        <v>217</v>
      </c>
      <c r="AJ1707" s="0" t="n">
        <v>19</v>
      </c>
      <c r="AK1707" s="0" t="n">
        <v>592</v>
      </c>
      <c r="AL1707" s="0" t="n">
        <v>1.13</v>
      </c>
    </row>
    <row r="1708">
      <c r="A1708" s="0" t="inlineStr">
        <is>
          <t>[서창동]</t>
        </is>
      </c>
      <c r="B1708" s="0" t="n">
        <v>25410</v>
      </c>
      <c r="C1708" s="0" t="n">
        <v>8</v>
      </c>
      <c r="D1708" s="0" t="inlineStr">
        <is>
          <t>서해그랑블</t>
        </is>
      </c>
      <c r="E1708" s="0" t="inlineStr">
        <is>
          <t>2008.05.</t>
        </is>
      </c>
      <c r="F1708" s="0" t="n">
        <v>523</v>
      </c>
      <c r="G1708" s="0" t="n">
        <v>41.51</v>
      </c>
      <c r="H1708" s="0" t="n">
        <v>137.24</v>
      </c>
      <c r="I1708" s="0" t="n">
        <v>33.01</v>
      </c>
      <c r="J1708" s="0" t="n">
        <v>109.14</v>
      </c>
      <c r="K1708" s="0" t="n">
        <v>11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137C</t>
        </is>
      </c>
      <c r="X1708" s="0" t="n">
        <v>15</v>
      </c>
      <c r="Y1708" s="0" t="n">
        <v>8</v>
      </c>
      <c r="Z1708" s="0" t="inlineStr">
        <is>
          <t>https://new.land.naver.com/complexes/25410?tab=detail&amp;rf=Y</t>
        </is>
      </c>
      <c r="AA1708" s="0" t="inlineStr">
        <is>
          <t>인천시 남동구 서창동 540</t>
        </is>
      </c>
      <c r="AB1708" s="0" t="inlineStr">
        <is>
          <t>인천시</t>
        </is>
      </c>
      <c r="AC1708" s="0" t="inlineStr">
        <is>
          <t>남동구</t>
        </is>
      </c>
      <c r="AD1708" s="0" t="inlineStr">
        <is>
          <t>서창동</t>
        </is>
      </c>
      <c r="AG1708" s="0" t="inlineStr">
        <is>
          <t>인천시 남동구 독곡로48번길 9</t>
        </is>
      </c>
      <c r="AH1708" s="0" t="n">
        <v>0</v>
      </c>
      <c r="AI1708" s="0" t="n">
        <v>217</v>
      </c>
      <c r="AJ1708" s="0" t="n">
        <v>19</v>
      </c>
      <c r="AK1708" s="0" t="n">
        <v>592</v>
      </c>
      <c r="AL1708" s="0" t="n">
        <v>1.13</v>
      </c>
    </row>
    <row r="1709">
      <c r="A1709" s="0" t="inlineStr">
        <is>
          <t>[서창동]</t>
        </is>
      </c>
      <c r="B1709" s="0" t="n">
        <v>9819</v>
      </c>
      <c r="C1709" s="0" t="n">
        <v>1</v>
      </c>
      <c r="D1709" s="0" t="inlineStr">
        <is>
          <t>태평2차</t>
        </is>
      </c>
      <c r="E1709" s="0" t="inlineStr">
        <is>
          <t>1997.12.</t>
        </is>
      </c>
      <c r="F1709" s="0" t="n">
        <v>577</v>
      </c>
      <c r="G1709" s="0" t="n">
        <v>23.47</v>
      </c>
      <c r="H1709" s="0" t="n">
        <v>77.59999999999999</v>
      </c>
      <c r="I1709" s="0" t="n">
        <v>18.13</v>
      </c>
      <c r="J1709" s="0" t="n">
        <v>59.96</v>
      </c>
      <c r="K1709" s="0" t="n">
        <v>236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77</v>
      </c>
      <c r="X1709" s="0" t="n">
        <v>24</v>
      </c>
      <c r="Y1709" s="0" t="n">
        <v>17</v>
      </c>
      <c r="Z1709" s="0" t="inlineStr">
        <is>
          <t>https://new.land.naver.com/complexes/9819?tab=detail&amp;rf=Y</t>
        </is>
      </c>
      <c r="AA1709" s="0" t="inlineStr">
        <is>
          <t>인천시 남동구 서창동 538</t>
        </is>
      </c>
      <c r="AB1709" s="0" t="inlineStr">
        <is>
          <t>인천시</t>
        </is>
      </c>
      <c r="AC1709" s="0" t="inlineStr">
        <is>
          <t>남동구</t>
        </is>
      </c>
      <c r="AD1709" s="0" t="inlineStr">
        <is>
          <t>서창동</t>
        </is>
      </c>
      <c r="AG1709" s="0" t="inlineStr">
        <is>
          <t>인천시 남동구 장아산로 181</t>
        </is>
      </c>
      <c r="AH1709" s="0" t="n">
        <v>0</v>
      </c>
      <c r="AI1709" s="0" t="n">
        <v>0</v>
      </c>
      <c r="AJ1709" s="0" t="n">
        <v>0</v>
      </c>
      <c r="AK1709" s="0" t="n">
        <v>585</v>
      </c>
      <c r="AL1709" s="0" t="n">
        <v>1.01</v>
      </c>
    </row>
    <row r="1710">
      <c r="A1710" s="0" t="inlineStr">
        <is>
          <t>[서창동]</t>
        </is>
      </c>
      <c r="B1710" s="0" t="n">
        <v>9819</v>
      </c>
      <c r="C1710" s="0" t="n">
        <v>2</v>
      </c>
      <c r="D1710" s="0" t="inlineStr">
        <is>
          <t>태평2차</t>
        </is>
      </c>
      <c r="E1710" s="0" t="inlineStr">
        <is>
          <t>1997.12.</t>
        </is>
      </c>
      <c r="F1710" s="0" t="n">
        <v>577</v>
      </c>
      <c r="G1710" s="0" t="n">
        <v>28.34</v>
      </c>
      <c r="H1710" s="0" t="n">
        <v>93.7</v>
      </c>
      <c r="I1710" s="0" t="n">
        <v>21.9</v>
      </c>
      <c r="J1710" s="0" t="n">
        <v>72.40000000000001</v>
      </c>
      <c r="K1710" s="0" t="n">
        <v>74</v>
      </c>
      <c r="T1710" s="0" t="n">
        <v>3</v>
      </c>
      <c r="U1710" s="0" t="n">
        <v>1</v>
      </c>
      <c r="V1710" s="0" t="inlineStr">
        <is>
          <t>계단식</t>
        </is>
      </c>
      <c r="W1710" s="0" t="n">
        <v>93</v>
      </c>
      <c r="X1710" s="0" t="n">
        <v>24</v>
      </c>
      <c r="Y1710" s="0" t="n">
        <v>17</v>
      </c>
      <c r="Z1710" s="0" t="inlineStr">
        <is>
          <t>https://new.land.naver.com/complexes/9819?tab=detail&amp;rf=Y</t>
        </is>
      </c>
      <c r="AA1710" s="0" t="inlineStr">
        <is>
          <t>인천시 남동구 서창동 538</t>
        </is>
      </c>
      <c r="AB1710" s="0" t="inlineStr">
        <is>
          <t>인천시</t>
        </is>
      </c>
      <c r="AC1710" s="0" t="inlineStr">
        <is>
          <t>남동구</t>
        </is>
      </c>
      <c r="AD1710" s="0" t="inlineStr">
        <is>
          <t>서창동</t>
        </is>
      </c>
      <c r="AG1710" s="0" t="inlineStr">
        <is>
          <t>인천시 남동구 장아산로 181</t>
        </is>
      </c>
      <c r="AH1710" s="0" t="n">
        <v>0</v>
      </c>
      <c r="AI1710" s="0" t="n">
        <v>0</v>
      </c>
      <c r="AJ1710" s="0" t="n">
        <v>0</v>
      </c>
      <c r="AK1710" s="0" t="n">
        <v>585</v>
      </c>
      <c r="AL1710" s="0" t="n">
        <v>1.01</v>
      </c>
    </row>
    <row r="1711">
      <c r="A1711" s="0" t="inlineStr">
        <is>
          <t>[서창동]</t>
        </is>
      </c>
      <c r="B1711" s="0" t="n">
        <v>9819</v>
      </c>
      <c r="C1711" s="0" t="n">
        <v>3</v>
      </c>
      <c r="D1711" s="0" t="inlineStr">
        <is>
          <t>태평2차</t>
        </is>
      </c>
      <c r="E1711" s="0" t="inlineStr">
        <is>
          <t>1997.12.</t>
        </is>
      </c>
      <c r="F1711" s="0" t="n">
        <v>577</v>
      </c>
      <c r="G1711" s="0" t="n">
        <v>33.12</v>
      </c>
      <c r="H1711" s="0" t="n">
        <v>109.49</v>
      </c>
      <c r="I1711" s="0" t="n">
        <v>25.59</v>
      </c>
      <c r="J1711" s="0" t="n">
        <v>84.59999999999999</v>
      </c>
      <c r="K1711" s="0" t="n">
        <v>185</v>
      </c>
      <c r="T1711" s="0" t="n">
        <v>3</v>
      </c>
      <c r="U1711" s="0" t="n">
        <v>2</v>
      </c>
      <c r="V1711" s="0" t="inlineStr">
        <is>
          <t>계단식</t>
        </is>
      </c>
      <c r="W1711" s="0" t="n">
        <v>109</v>
      </c>
      <c r="X1711" s="0" t="n">
        <v>24</v>
      </c>
      <c r="Y1711" s="0" t="n">
        <v>17</v>
      </c>
      <c r="Z1711" s="0" t="inlineStr">
        <is>
          <t>https://new.land.naver.com/complexes/9819?tab=detail&amp;rf=Y</t>
        </is>
      </c>
      <c r="AA1711" s="0" t="inlineStr">
        <is>
          <t>인천시 남동구 서창동 538</t>
        </is>
      </c>
      <c r="AB1711" s="0" t="inlineStr">
        <is>
          <t>인천시</t>
        </is>
      </c>
      <c r="AC1711" s="0" t="inlineStr">
        <is>
          <t>남동구</t>
        </is>
      </c>
      <c r="AD1711" s="0" t="inlineStr">
        <is>
          <t>서창동</t>
        </is>
      </c>
      <c r="AG1711" s="0" t="inlineStr">
        <is>
          <t>인천시 남동구 장아산로 181</t>
        </is>
      </c>
      <c r="AH1711" s="0" t="n">
        <v>0</v>
      </c>
      <c r="AI1711" s="0" t="n">
        <v>0</v>
      </c>
      <c r="AJ1711" s="0" t="n">
        <v>0</v>
      </c>
      <c r="AK1711" s="0" t="n">
        <v>585</v>
      </c>
      <c r="AL1711" s="0" t="n">
        <v>1.01</v>
      </c>
    </row>
    <row r="1712">
      <c r="A1712" s="0" t="inlineStr">
        <is>
          <t>[서창동]</t>
        </is>
      </c>
      <c r="B1712" s="0" t="n">
        <v>9819</v>
      </c>
      <c r="C1712" s="0" t="n">
        <v>4</v>
      </c>
      <c r="D1712" s="0" t="inlineStr">
        <is>
          <t>태평2차</t>
        </is>
      </c>
      <c r="E1712" s="0" t="inlineStr">
        <is>
          <t>1997.12.</t>
        </is>
      </c>
      <c r="F1712" s="0" t="n">
        <v>577</v>
      </c>
      <c r="G1712" s="0" t="n">
        <v>43.69</v>
      </c>
      <c r="H1712" s="0" t="n">
        <v>144.44</v>
      </c>
      <c r="I1712" s="0" t="n">
        <v>33.75</v>
      </c>
      <c r="J1712" s="0" t="n">
        <v>111.6</v>
      </c>
      <c r="K1712" s="0" t="n">
        <v>44</v>
      </c>
      <c r="T1712" s="0" t="n">
        <v>4</v>
      </c>
      <c r="U1712" s="0" t="n">
        <v>2</v>
      </c>
      <c r="V1712" s="0" t="inlineStr">
        <is>
          <t>계단식</t>
        </is>
      </c>
      <c r="W1712" s="0" t="n">
        <v>144</v>
      </c>
      <c r="X1712" s="0" t="n">
        <v>24</v>
      </c>
      <c r="Y1712" s="0" t="n">
        <v>17</v>
      </c>
      <c r="Z1712" s="0" t="inlineStr">
        <is>
          <t>https://new.land.naver.com/complexes/9819?tab=detail&amp;rf=Y</t>
        </is>
      </c>
      <c r="AA1712" s="0" t="inlineStr">
        <is>
          <t>인천시 남동구 서창동 538</t>
        </is>
      </c>
      <c r="AB1712" s="0" t="inlineStr">
        <is>
          <t>인천시</t>
        </is>
      </c>
      <c r="AC1712" s="0" t="inlineStr">
        <is>
          <t>남동구</t>
        </is>
      </c>
      <c r="AD1712" s="0" t="inlineStr">
        <is>
          <t>서창동</t>
        </is>
      </c>
      <c r="AG1712" s="0" t="inlineStr">
        <is>
          <t>인천시 남동구 장아산로 181</t>
        </is>
      </c>
      <c r="AH1712" s="0" t="n">
        <v>0</v>
      </c>
      <c r="AI1712" s="0" t="n">
        <v>0</v>
      </c>
      <c r="AJ1712" s="0" t="n">
        <v>0</v>
      </c>
      <c r="AK1712" s="0" t="n">
        <v>585</v>
      </c>
      <c r="AL1712" s="0" t="n">
        <v>1.01</v>
      </c>
    </row>
    <row r="1713">
      <c r="A1713" s="0" t="inlineStr">
        <is>
          <t>[서창동]</t>
        </is>
      </c>
      <c r="B1713" s="0" t="n">
        <v>9819</v>
      </c>
      <c r="C1713" s="0" t="n">
        <v>5</v>
      </c>
      <c r="D1713" s="0" t="inlineStr">
        <is>
          <t>태평2차</t>
        </is>
      </c>
      <c r="E1713" s="0" t="inlineStr">
        <is>
          <t>1997.12.</t>
        </is>
      </c>
      <c r="F1713" s="0" t="n">
        <v>577</v>
      </c>
      <c r="G1713" s="0" t="n">
        <v>54.79</v>
      </c>
      <c r="H1713" s="0" t="n">
        <v>181.15</v>
      </c>
      <c r="I1713" s="0" t="n">
        <v>42.34</v>
      </c>
      <c r="J1713" s="0" t="n">
        <v>139.97</v>
      </c>
      <c r="K1713" s="0" t="n">
        <v>20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181</v>
      </c>
      <c r="X1713" s="0" t="n">
        <v>24</v>
      </c>
      <c r="Y1713" s="0" t="n">
        <v>17</v>
      </c>
      <c r="Z1713" s="0" t="inlineStr">
        <is>
          <t>https://new.land.naver.com/complexes/9819?tab=detail&amp;rf=Y</t>
        </is>
      </c>
      <c r="AA1713" s="0" t="inlineStr">
        <is>
          <t>인천시 남동구 서창동 538</t>
        </is>
      </c>
      <c r="AB1713" s="0" t="inlineStr">
        <is>
          <t>인천시</t>
        </is>
      </c>
      <c r="AC1713" s="0" t="inlineStr">
        <is>
          <t>남동구</t>
        </is>
      </c>
      <c r="AD1713" s="0" t="inlineStr">
        <is>
          <t>서창동</t>
        </is>
      </c>
      <c r="AG1713" s="0" t="inlineStr">
        <is>
          <t>인천시 남동구 장아산로 181</t>
        </is>
      </c>
      <c r="AH1713" s="0" t="n">
        <v>0</v>
      </c>
      <c r="AI1713" s="0" t="n">
        <v>0</v>
      </c>
      <c r="AJ1713" s="0" t="n">
        <v>0</v>
      </c>
      <c r="AK1713" s="0" t="n">
        <v>585</v>
      </c>
      <c r="AL1713" s="0" t="n">
        <v>1.01</v>
      </c>
    </row>
    <row r="1714">
      <c r="A1714" s="0" t="inlineStr">
        <is>
          <t>[서창동]</t>
        </is>
      </c>
      <c r="B1714" s="0" t="n">
        <v>9819</v>
      </c>
      <c r="C1714" s="0" t="n">
        <v>6</v>
      </c>
      <c r="D1714" s="0" t="inlineStr">
        <is>
          <t>태평2차</t>
        </is>
      </c>
      <c r="E1714" s="0" t="inlineStr">
        <is>
          <t>1997.12.</t>
        </is>
      </c>
      <c r="F1714" s="0" t="n">
        <v>577</v>
      </c>
      <c r="G1714" s="0" t="n">
        <v>63.69</v>
      </c>
      <c r="H1714" s="0" t="n">
        <v>210.55</v>
      </c>
      <c r="I1714" s="0" t="n">
        <v>49.21</v>
      </c>
      <c r="J1714" s="0" t="n">
        <v>162.68</v>
      </c>
      <c r="K1714" s="0" t="n">
        <v>18</v>
      </c>
      <c r="T1714" s="0" t="n">
        <v>5</v>
      </c>
      <c r="U1714" s="0" t="n">
        <v>2</v>
      </c>
      <c r="V1714" s="0" t="inlineStr">
        <is>
          <t>계단식</t>
        </is>
      </c>
      <c r="W1714" s="0" t="n">
        <v>210</v>
      </c>
      <c r="X1714" s="0" t="n">
        <v>24</v>
      </c>
      <c r="Y1714" s="0" t="n">
        <v>17</v>
      </c>
      <c r="Z1714" s="0" t="inlineStr">
        <is>
          <t>https://new.land.naver.com/complexes/9819?tab=detail&amp;rf=Y</t>
        </is>
      </c>
      <c r="AA1714" s="0" t="inlineStr">
        <is>
          <t>인천시 남동구 서창동 538</t>
        </is>
      </c>
      <c r="AB1714" s="0" t="inlineStr">
        <is>
          <t>인천시</t>
        </is>
      </c>
      <c r="AC1714" s="0" t="inlineStr">
        <is>
          <t>남동구</t>
        </is>
      </c>
      <c r="AD1714" s="0" t="inlineStr">
        <is>
          <t>서창동</t>
        </is>
      </c>
      <c r="AG1714" s="0" t="inlineStr">
        <is>
          <t>인천시 남동구 장아산로 181</t>
        </is>
      </c>
      <c r="AH1714" s="0" t="n">
        <v>0</v>
      </c>
      <c r="AI1714" s="0" t="n">
        <v>0</v>
      </c>
      <c r="AJ1714" s="0" t="n">
        <v>0</v>
      </c>
      <c r="AK1714" s="0" t="n">
        <v>585</v>
      </c>
      <c r="AL1714" s="0" t="n">
        <v>1.01</v>
      </c>
    </row>
    <row r="1715">
      <c r="A1715" s="0" t="inlineStr">
        <is>
          <t>[서창동]</t>
        </is>
      </c>
      <c r="B1715" s="0" t="n">
        <v>2321</v>
      </c>
      <c r="C1715" s="0" t="n">
        <v>1</v>
      </c>
      <c r="D1715" s="0" t="inlineStr">
        <is>
          <t>태평1차</t>
        </is>
      </c>
      <c r="E1715" s="0" t="inlineStr">
        <is>
          <t>1995.11.</t>
        </is>
      </c>
      <c r="F1715" s="0" t="n">
        <v>435</v>
      </c>
      <c r="G1715" s="0" t="n">
        <v>24.41</v>
      </c>
      <c r="H1715" s="0" t="n">
        <v>80.72</v>
      </c>
      <c r="I1715" s="0" t="n">
        <v>18.11</v>
      </c>
      <c r="J1715" s="0" t="n">
        <v>59.88</v>
      </c>
      <c r="K1715" s="0" t="n">
        <v>306</v>
      </c>
      <c r="T1715" s="0" t="n">
        <v>3</v>
      </c>
      <c r="U1715" s="0" t="n">
        <v>1</v>
      </c>
      <c r="V1715" s="0" t="inlineStr">
        <is>
          <t>계단식</t>
        </is>
      </c>
      <c r="W1715" s="0" t="n">
        <v>80</v>
      </c>
      <c r="X1715" s="0" t="n">
        <v>25</v>
      </c>
      <c r="Y1715" s="0" t="n">
        <v>11</v>
      </c>
      <c r="Z1715" s="0" t="inlineStr">
        <is>
          <t>https://new.land.naver.com/complexes/2321?tab=detail&amp;rf=Y</t>
        </is>
      </c>
      <c r="AA1715" s="0" t="inlineStr">
        <is>
          <t>인천시 남동구 서창동 537</t>
        </is>
      </c>
      <c r="AB1715" s="0" t="inlineStr">
        <is>
          <t>인천시</t>
        </is>
      </c>
      <c r="AC1715" s="0" t="inlineStr">
        <is>
          <t>남동구</t>
        </is>
      </c>
      <c r="AD1715" s="0" t="inlineStr">
        <is>
          <t>서창동</t>
        </is>
      </c>
      <c r="AG1715" s="0" t="inlineStr">
        <is>
          <t>인천시 남동구 장아산로128번길 22</t>
        </is>
      </c>
      <c r="AH1715" s="0" t="n">
        <v>0</v>
      </c>
      <c r="AI1715" s="0" t="n">
        <v>226</v>
      </c>
      <c r="AJ1715" s="0" t="n">
        <v>17</v>
      </c>
      <c r="AK1715" s="0" t="n">
        <v>455</v>
      </c>
      <c r="AL1715" s="0" t="n">
        <v>1.05</v>
      </c>
    </row>
    <row r="1716">
      <c r="A1716" s="0" t="inlineStr">
        <is>
          <t>[서창동]</t>
        </is>
      </c>
      <c r="B1716" s="0" t="n">
        <v>2321</v>
      </c>
      <c r="C1716" s="0" t="n">
        <v>2</v>
      </c>
      <c r="D1716" s="0" t="inlineStr">
        <is>
          <t>태평1차</t>
        </is>
      </c>
      <c r="E1716" s="0" t="inlineStr">
        <is>
          <t>1995.11.</t>
        </is>
      </c>
      <c r="F1716" s="0" t="n">
        <v>435</v>
      </c>
      <c r="G1716" s="0" t="n">
        <v>28.45</v>
      </c>
      <c r="H1716" s="0" t="n">
        <v>94.08</v>
      </c>
      <c r="I1716" s="0" t="n">
        <v>21.9</v>
      </c>
      <c r="J1716" s="0" t="n">
        <v>72.40000000000001</v>
      </c>
      <c r="K1716" s="0" t="n">
        <v>21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94</v>
      </c>
      <c r="X1716" s="0" t="n">
        <v>25</v>
      </c>
      <c r="Y1716" s="0" t="n">
        <v>11</v>
      </c>
      <c r="Z1716" s="0" t="inlineStr">
        <is>
          <t>https://new.land.naver.com/complexes/2321?tab=detail&amp;rf=Y</t>
        </is>
      </c>
      <c r="AA1716" s="0" t="inlineStr">
        <is>
          <t>인천시 남동구 서창동 537</t>
        </is>
      </c>
      <c r="AB1716" s="0" t="inlineStr">
        <is>
          <t>인천시</t>
        </is>
      </c>
      <c r="AC1716" s="0" t="inlineStr">
        <is>
          <t>남동구</t>
        </is>
      </c>
      <c r="AD1716" s="0" t="inlineStr">
        <is>
          <t>서창동</t>
        </is>
      </c>
      <c r="AG1716" s="0" t="inlineStr">
        <is>
          <t>인천시 남동구 장아산로128번길 22</t>
        </is>
      </c>
      <c r="AH1716" s="0" t="n">
        <v>0</v>
      </c>
      <c r="AI1716" s="0" t="n">
        <v>226</v>
      </c>
      <c r="AJ1716" s="0" t="n">
        <v>17</v>
      </c>
      <c r="AK1716" s="0" t="n">
        <v>455</v>
      </c>
      <c r="AL1716" s="0" t="n">
        <v>1.05</v>
      </c>
    </row>
    <row r="1717">
      <c r="A1717" s="0" t="inlineStr">
        <is>
          <t>[서창동]</t>
        </is>
      </c>
      <c r="B1717" s="0" t="n">
        <v>2321</v>
      </c>
      <c r="C1717" s="0" t="n">
        <v>3</v>
      </c>
      <c r="D1717" s="0" t="inlineStr">
        <is>
          <t>태평1차</t>
        </is>
      </c>
      <c r="E1717" s="0" t="inlineStr">
        <is>
          <t>1995.11.</t>
        </is>
      </c>
      <c r="F1717" s="0" t="n">
        <v>435</v>
      </c>
      <c r="G1717" s="0" t="n">
        <v>32.75</v>
      </c>
      <c r="H1717" s="0" t="n">
        <v>108.28</v>
      </c>
      <c r="I1717" s="0" t="n">
        <v>25.67</v>
      </c>
      <c r="J1717" s="0" t="n">
        <v>84.88</v>
      </c>
      <c r="K1717" s="0" t="n">
        <v>108</v>
      </c>
      <c r="T1717" s="0" t="n">
        <v>3</v>
      </c>
      <c r="U1717" s="0" t="n">
        <v>2</v>
      </c>
      <c r="V1717" s="0" t="inlineStr">
        <is>
          <t>계단식</t>
        </is>
      </c>
      <c r="W1717" s="0" t="n">
        <v>108</v>
      </c>
      <c r="X1717" s="0" t="n">
        <v>25</v>
      </c>
      <c r="Y1717" s="0" t="n">
        <v>11</v>
      </c>
      <c r="Z1717" s="0" t="inlineStr">
        <is>
          <t>https://new.land.naver.com/complexes/2321?tab=detail&amp;rf=Y</t>
        </is>
      </c>
      <c r="AA1717" s="0" t="inlineStr">
        <is>
          <t>인천시 남동구 서창동 537</t>
        </is>
      </c>
      <c r="AB1717" s="0" t="inlineStr">
        <is>
          <t>인천시</t>
        </is>
      </c>
      <c r="AC1717" s="0" t="inlineStr">
        <is>
          <t>남동구</t>
        </is>
      </c>
      <c r="AD1717" s="0" t="inlineStr">
        <is>
          <t>서창동</t>
        </is>
      </c>
      <c r="AG1717" s="0" t="inlineStr">
        <is>
          <t>인천시 남동구 장아산로128번길 22</t>
        </is>
      </c>
      <c r="AH1717" s="0" t="n">
        <v>0</v>
      </c>
      <c r="AI1717" s="0" t="n">
        <v>226</v>
      </c>
      <c r="AJ1717" s="0" t="n">
        <v>17</v>
      </c>
      <c r="AK1717" s="0" t="n">
        <v>455</v>
      </c>
      <c r="AL1717" s="0" t="n">
        <v>1.05</v>
      </c>
    </row>
    <row r="1718">
      <c r="A1718" s="0" t="inlineStr">
        <is>
          <t>[서창동]</t>
        </is>
      </c>
      <c r="B1718" s="0" t="n">
        <v>9971</v>
      </c>
      <c r="C1718" s="0" t="n">
        <v>1</v>
      </c>
      <c r="D1718" s="0" t="inlineStr">
        <is>
          <t>현대모닝사이드</t>
        </is>
      </c>
      <c r="E1718" s="0" t="inlineStr">
        <is>
          <t>2002.11.</t>
        </is>
      </c>
      <c r="F1718" s="0" t="n">
        <v>630</v>
      </c>
      <c r="G1718" s="0" t="n">
        <v>35.4</v>
      </c>
      <c r="H1718" s="0" t="n">
        <v>117.04</v>
      </c>
      <c r="I1718" s="0" t="n">
        <v>25.7</v>
      </c>
      <c r="J1718" s="0" t="n">
        <v>84.97</v>
      </c>
      <c r="K1718" s="0" t="n">
        <v>478</v>
      </c>
      <c r="T1718" s="0" t="n">
        <v>3</v>
      </c>
      <c r="U1718" s="0" t="n">
        <v>2</v>
      </c>
      <c r="V1718" s="0" t="inlineStr">
        <is>
          <t>계단식</t>
        </is>
      </c>
      <c r="W1718" s="0" t="n">
        <v>117</v>
      </c>
      <c r="X1718" s="0" t="n">
        <v>19</v>
      </c>
      <c r="Y1718" s="0" t="n">
        <v>14</v>
      </c>
      <c r="Z1718" s="0" t="inlineStr">
        <is>
          <t>https://new.land.naver.com/complexes/9971?tab=detail&amp;rf=Y</t>
        </is>
      </c>
      <c r="AA1718" s="0" t="inlineStr">
        <is>
          <t>인천시 남동구 서창동 545</t>
        </is>
      </c>
      <c r="AB1718" s="0" t="inlineStr">
        <is>
          <t>인천시</t>
        </is>
      </c>
      <c r="AC1718" s="0" t="inlineStr">
        <is>
          <t>남동구</t>
        </is>
      </c>
      <c r="AD1718" s="0" t="inlineStr">
        <is>
          <t>서창동</t>
        </is>
      </c>
      <c r="AG1718" s="0" t="inlineStr">
        <is>
          <t>인천시 남동구 매소홀로 1103</t>
        </is>
      </c>
      <c r="AH1718" s="0" t="n">
        <v>0</v>
      </c>
      <c r="AI1718" s="0" t="n">
        <v>271</v>
      </c>
      <c r="AJ1718" s="0" t="n">
        <v>18</v>
      </c>
      <c r="AK1718" s="0" t="n">
        <v>774</v>
      </c>
      <c r="AL1718" s="0" t="n">
        <v>1.23</v>
      </c>
    </row>
    <row r="1719">
      <c r="A1719" s="0" t="inlineStr">
        <is>
          <t>[서창동]</t>
        </is>
      </c>
      <c r="B1719" s="0" t="n">
        <v>9971</v>
      </c>
      <c r="C1719" s="0" t="n">
        <v>2</v>
      </c>
      <c r="D1719" s="0" t="inlineStr">
        <is>
          <t>현대모닝사이드</t>
        </is>
      </c>
      <c r="E1719" s="0" t="inlineStr">
        <is>
          <t>2002.11.</t>
        </is>
      </c>
      <c r="F1719" s="0" t="n">
        <v>630</v>
      </c>
      <c r="G1719" s="0" t="n">
        <v>47.66</v>
      </c>
      <c r="H1719" s="0" t="n">
        <v>157.58</v>
      </c>
      <c r="I1719" s="0" t="n">
        <v>35.52</v>
      </c>
      <c r="J1719" s="0" t="n">
        <v>117.45</v>
      </c>
      <c r="K1719" s="0" t="n">
        <v>76</v>
      </c>
      <c r="T1719" s="0" t="n">
        <v>4</v>
      </c>
      <c r="U1719" s="0" t="n">
        <v>2</v>
      </c>
      <c r="V1719" s="0" t="inlineStr">
        <is>
          <t>계단식</t>
        </is>
      </c>
      <c r="W1719" s="0" t="n">
        <v>157</v>
      </c>
      <c r="X1719" s="0" t="n">
        <v>19</v>
      </c>
      <c r="Y1719" s="0" t="n">
        <v>14</v>
      </c>
      <c r="Z1719" s="0" t="inlineStr">
        <is>
          <t>https://new.land.naver.com/complexes/9971?tab=detail&amp;rf=Y</t>
        </is>
      </c>
      <c r="AA1719" s="0" t="inlineStr">
        <is>
          <t>인천시 남동구 서창동 545</t>
        </is>
      </c>
      <c r="AB1719" s="0" t="inlineStr">
        <is>
          <t>인천시</t>
        </is>
      </c>
      <c r="AC1719" s="0" t="inlineStr">
        <is>
          <t>남동구</t>
        </is>
      </c>
      <c r="AD1719" s="0" t="inlineStr">
        <is>
          <t>서창동</t>
        </is>
      </c>
      <c r="AG1719" s="0" t="inlineStr">
        <is>
          <t>인천시 남동구 매소홀로 1103</t>
        </is>
      </c>
      <c r="AH1719" s="0" t="n">
        <v>0</v>
      </c>
      <c r="AI1719" s="0" t="n">
        <v>271</v>
      </c>
      <c r="AJ1719" s="0" t="n">
        <v>18</v>
      </c>
      <c r="AK1719" s="0" t="n">
        <v>774</v>
      </c>
      <c r="AL1719" s="0" t="n">
        <v>1.23</v>
      </c>
    </row>
    <row r="1720">
      <c r="A1720" s="0" t="inlineStr">
        <is>
          <t>[서창동]</t>
        </is>
      </c>
      <c r="B1720" s="0" t="n">
        <v>9971</v>
      </c>
      <c r="C1720" s="0" t="n">
        <v>3</v>
      </c>
      <c r="D1720" s="0" t="inlineStr">
        <is>
          <t>현대모닝사이드</t>
        </is>
      </c>
      <c r="E1720" s="0" t="inlineStr">
        <is>
          <t>2002.11.</t>
        </is>
      </c>
      <c r="F1720" s="0" t="n">
        <v>630</v>
      </c>
      <c r="G1720" s="0" t="n">
        <v>58.19</v>
      </c>
      <c r="H1720" s="0" t="n">
        <v>192.38</v>
      </c>
      <c r="I1720" s="0" t="n">
        <v>44.46</v>
      </c>
      <c r="J1720" s="0" t="n">
        <v>146.98</v>
      </c>
      <c r="K1720" s="0" t="n">
        <v>76</v>
      </c>
      <c r="T1720" s="0" t="n">
        <v>4</v>
      </c>
      <c r="U1720" s="0" t="n">
        <v>2</v>
      </c>
      <c r="V1720" s="0" t="inlineStr">
        <is>
          <t>계단식</t>
        </is>
      </c>
      <c r="W1720" s="0" t="n">
        <v>192</v>
      </c>
      <c r="X1720" s="0" t="n">
        <v>19</v>
      </c>
      <c r="Y1720" s="0" t="n">
        <v>14</v>
      </c>
      <c r="Z1720" s="0" t="inlineStr">
        <is>
          <t>https://new.land.naver.com/complexes/9971?tab=detail&amp;rf=Y</t>
        </is>
      </c>
      <c r="AA1720" s="0" t="inlineStr">
        <is>
          <t>인천시 남동구 서창동 545</t>
        </is>
      </c>
      <c r="AB1720" s="0" t="inlineStr">
        <is>
          <t>인천시</t>
        </is>
      </c>
      <c r="AC1720" s="0" t="inlineStr">
        <is>
          <t>남동구</t>
        </is>
      </c>
      <c r="AD1720" s="0" t="inlineStr">
        <is>
          <t>서창동</t>
        </is>
      </c>
      <c r="AG1720" s="0" t="inlineStr">
        <is>
          <t>인천시 남동구 매소홀로 1103</t>
        </is>
      </c>
      <c r="AH1720" s="0" t="n">
        <v>0</v>
      </c>
      <c r="AI1720" s="0" t="n">
        <v>271</v>
      </c>
      <c r="AJ1720" s="0" t="n">
        <v>18</v>
      </c>
      <c r="AK1720" s="0" t="n">
        <v>774</v>
      </c>
      <c r="AL1720" s="0" t="n">
        <v>1.23</v>
      </c>
    </row>
    <row r="1721">
      <c r="A1721" s="0" t="inlineStr">
        <is>
          <t>[서창동]</t>
        </is>
      </c>
      <c r="B1721" s="0" t="n">
        <v>110818</v>
      </c>
      <c r="C1721" s="0" t="n">
        <v>1</v>
      </c>
      <c r="D1721" s="0" t="inlineStr">
        <is>
          <t>청광플러스원</t>
        </is>
      </c>
      <c r="E1721" s="0" t="inlineStr">
        <is>
          <t>2017.09.</t>
        </is>
      </c>
      <c r="F1721" s="0" t="n">
        <v>582</v>
      </c>
      <c r="G1721" s="0" t="n">
        <v>33.92</v>
      </c>
      <c r="H1721" s="0" t="n">
        <v>112.14</v>
      </c>
      <c r="I1721" s="0" t="n">
        <v>25.7</v>
      </c>
      <c r="J1721" s="0" t="n">
        <v>84.98999999999999</v>
      </c>
      <c r="K1721" s="0" t="n">
        <v>485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112A</t>
        </is>
      </c>
      <c r="X1721" s="0" t="n">
        <v>25</v>
      </c>
      <c r="Y1721" s="0" t="n">
        <v>24</v>
      </c>
      <c r="Z1721" s="0" t="inlineStr">
        <is>
          <t>https://new.land.naver.com/complexes/110818?tab=detail&amp;rf=Y</t>
        </is>
      </c>
      <c r="AA1721" s="0" t="inlineStr">
        <is>
          <t>인천시 남동구 서창동 640</t>
        </is>
      </c>
      <c r="AB1721" s="0" t="inlineStr">
        <is>
          <t>인천시</t>
        </is>
      </c>
      <c r="AC1721" s="0" t="inlineStr">
        <is>
          <t>남동구</t>
        </is>
      </c>
      <c r="AD1721" s="0" t="inlineStr">
        <is>
          <t>서창동</t>
        </is>
      </c>
      <c r="AG1721" s="0" t="inlineStr">
        <is>
          <t>인천시 남동구 서창남순환로 82</t>
        </is>
      </c>
      <c r="AH1721" s="0" t="n">
        <v>0</v>
      </c>
      <c r="AI1721" s="0" t="n">
        <v>179</v>
      </c>
      <c r="AJ1721" s="0" t="n">
        <v>13</v>
      </c>
      <c r="AK1721" s="0" t="n">
        <v>667</v>
      </c>
      <c r="AL1721" s="0" t="n">
        <v>1.15</v>
      </c>
    </row>
    <row r="1722">
      <c r="A1722" s="0" t="inlineStr">
        <is>
          <t>[서창동]</t>
        </is>
      </c>
      <c r="B1722" s="0" t="n">
        <v>110818</v>
      </c>
      <c r="C1722" s="0" t="n">
        <v>2</v>
      </c>
      <c r="D1722" s="0" t="inlineStr">
        <is>
          <t>청광플러스원</t>
        </is>
      </c>
      <c r="E1722" s="0" t="inlineStr">
        <is>
          <t>2017.09.</t>
        </is>
      </c>
      <c r="F1722" s="0" t="n">
        <v>582</v>
      </c>
      <c r="G1722" s="0" t="n">
        <v>34.09</v>
      </c>
      <c r="H1722" s="0" t="n">
        <v>112.7</v>
      </c>
      <c r="I1722" s="0" t="n">
        <v>25.69</v>
      </c>
      <c r="J1722" s="0" t="n">
        <v>84.95</v>
      </c>
      <c r="K1722" s="0" t="n">
        <v>49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112C</t>
        </is>
      </c>
      <c r="X1722" s="0" t="n">
        <v>25</v>
      </c>
      <c r="Y1722" s="0" t="n">
        <v>24</v>
      </c>
      <c r="Z1722" s="0" t="inlineStr">
        <is>
          <t>https://new.land.naver.com/complexes/110818?tab=detail&amp;rf=Y</t>
        </is>
      </c>
      <c r="AA1722" s="0" t="inlineStr">
        <is>
          <t>인천시 남동구 서창동 640</t>
        </is>
      </c>
      <c r="AB1722" s="0" t="inlineStr">
        <is>
          <t>인천시</t>
        </is>
      </c>
      <c r="AC1722" s="0" t="inlineStr">
        <is>
          <t>남동구</t>
        </is>
      </c>
      <c r="AD1722" s="0" t="inlineStr">
        <is>
          <t>서창동</t>
        </is>
      </c>
      <c r="AG1722" s="0" t="inlineStr">
        <is>
          <t>인천시 남동구 서창남순환로 82</t>
        </is>
      </c>
      <c r="AH1722" s="0" t="n">
        <v>0</v>
      </c>
      <c r="AI1722" s="0" t="n">
        <v>179</v>
      </c>
      <c r="AJ1722" s="0" t="n">
        <v>13</v>
      </c>
      <c r="AK1722" s="0" t="n">
        <v>667</v>
      </c>
      <c r="AL1722" s="0" t="n">
        <v>1.15</v>
      </c>
    </row>
    <row r="1723">
      <c r="A1723" s="0" t="inlineStr">
        <is>
          <t>[서창동]</t>
        </is>
      </c>
      <c r="B1723" s="0" t="n">
        <v>110818</v>
      </c>
      <c r="C1723" s="0" t="n">
        <v>3</v>
      </c>
      <c r="D1723" s="0" t="inlineStr">
        <is>
          <t>청광플러스원</t>
        </is>
      </c>
      <c r="E1723" s="0" t="inlineStr">
        <is>
          <t>2017.09.</t>
        </is>
      </c>
      <c r="F1723" s="0" t="n">
        <v>582</v>
      </c>
      <c r="G1723" s="0" t="n">
        <v>34.11</v>
      </c>
      <c r="H1723" s="0" t="n">
        <v>112.79</v>
      </c>
      <c r="I1723" s="0" t="n">
        <v>25.7</v>
      </c>
      <c r="J1723" s="0" t="n">
        <v>84.98</v>
      </c>
      <c r="K1723" s="0" t="n">
        <v>48</v>
      </c>
      <c r="T1723" s="0" t="n">
        <v>3</v>
      </c>
      <c r="U1723" s="0" t="n">
        <v>2</v>
      </c>
      <c r="V1723" s="0" t="inlineStr">
        <is>
          <t>계단식</t>
        </is>
      </c>
      <c r="W1723" s="0" t="inlineStr">
        <is>
          <t>112B</t>
        </is>
      </c>
      <c r="X1723" s="0" t="n">
        <v>25</v>
      </c>
      <c r="Y1723" s="0" t="n">
        <v>24</v>
      </c>
      <c r="Z1723" s="0" t="inlineStr">
        <is>
          <t>https://new.land.naver.com/complexes/110818?tab=detail&amp;rf=Y</t>
        </is>
      </c>
      <c r="AA1723" s="0" t="inlineStr">
        <is>
          <t>인천시 남동구 서창동 640</t>
        </is>
      </c>
      <c r="AB1723" s="0" t="inlineStr">
        <is>
          <t>인천시</t>
        </is>
      </c>
      <c r="AC1723" s="0" t="inlineStr">
        <is>
          <t>남동구</t>
        </is>
      </c>
      <c r="AD1723" s="0" t="inlineStr">
        <is>
          <t>서창동</t>
        </is>
      </c>
      <c r="AG1723" s="0" t="inlineStr">
        <is>
          <t>인천시 남동구 서창남순환로 82</t>
        </is>
      </c>
      <c r="AH1723" s="0" t="n">
        <v>0</v>
      </c>
      <c r="AI1723" s="0" t="n">
        <v>179</v>
      </c>
      <c r="AJ1723" s="0" t="n">
        <v>13</v>
      </c>
      <c r="AK1723" s="0" t="n">
        <v>667</v>
      </c>
      <c r="AL1723" s="0" t="n">
        <v>1.15</v>
      </c>
    </row>
    <row r="1724">
      <c r="A1724" s="0" t="inlineStr">
        <is>
          <t>[서창동]</t>
        </is>
      </c>
      <c r="B1724" s="0" t="n">
        <v>104009</v>
      </c>
      <c r="C1724" s="0" t="n">
        <v>1</v>
      </c>
      <c r="D1724" s="0" t="inlineStr">
        <is>
          <t>서창센트라스</t>
        </is>
      </c>
      <c r="E1724" s="0" t="inlineStr">
        <is>
          <t>2014.03.</t>
        </is>
      </c>
      <c r="F1724" s="0" t="n">
        <v>566</v>
      </c>
      <c r="G1724" s="0" t="n">
        <v>30.63</v>
      </c>
      <c r="H1724" s="0" t="n">
        <v>101.27</v>
      </c>
      <c r="I1724" s="0" t="n">
        <v>22.66</v>
      </c>
      <c r="J1724" s="0" t="n">
        <v>74.91</v>
      </c>
      <c r="K1724" s="0" t="n">
        <v>146</v>
      </c>
      <c r="T1724" s="0" t="n">
        <v>3</v>
      </c>
      <c r="U1724" s="0" t="n">
        <v>2</v>
      </c>
      <c r="V1724" s="0" t="inlineStr">
        <is>
          <t>계단식</t>
        </is>
      </c>
      <c r="W1724" s="0" t="inlineStr">
        <is>
          <t>101A1</t>
        </is>
      </c>
      <c r="X1724" s="0" t="n">
        <v>25</v>
      </c>
      <c r="Y1724" s="0" t="n">
        <v>12</v>
      </c>
      <c r="Z1724" s="0" t="inlineStr">
        <is>
          <t>https://new.land.naver.com/complexes/104009?tab=detail&amp;rf=Y</t>
        </is>
      </c>
      <c r="AA1724" s="0" t="inlineStr">
        <is>
          <t>인천시 남동구 서창동 692</t>
        </is>
      </c>
      <c r="AB1724" s="0" t="inlineStr">
        <is>
          <t>인천시</t>
        </is>
      </c>
      <c r="AC1724" s="0" t="inlineStr">
        <is>
          <t>남동구</t>
        </is>
      </c>
      <c r="AD1724" s="0" t="inlineStr">
        <is>
          <t>서창동</t>
        </is>
      </c>
      <c r="AG1724" s="0" t="inlineStr">
        <is>
          <t>인천시 남동구 서창남순환로 201</t>
        </is>
      </c>
      <c r="AH1724" s="0" t="n">
        <v>0</v>
      </c>
      <c r="AI1724" s="0" t="n">
        <v>196</v>
      </c>
      <c r="AJ1724" s="0" t="n">
        <v>18</v>
      </c>
      <c r="AK1724" s="0" t="n">
        <v>656</v>
      </c>
      <c r="AL1724" s="0" t="n">
        <v>1.16</v>
      </c>
    </row>
    <row r="1725">
      <c r="A1725" s="0" t="inlineStr">
        <is>
          <t>[서창동]</t>
        </is>
      </c>
      <c r="B1725" s="0" t="n">
        <v>104009</v>
      </c>
      <c r="C1725" s="0" t="n">
        <v>2</v>
      </c>
      <c r="D1725" s="0" t="inlineStr">
        <is>
          <t>서창센트라스</t>
        </is>
      </c>
      <c r="E1725" s="0" t="inlineStr">
        <is>
          <t>2014.03.</t>
        </is>
      </c>
      <c r="F1725" s="0" t="n">
        <v>566</v>
      </c>
      <c r="G1725" s="0" t="n">
        <v>30.63</v>
      </c>
      <c r="H1725" s="0" t="n">
        <v>101.28</v>
      </c>
      <c r="I1725" s="0" t="n">
        <v>22.66</v>
      </c>
      <c r="J1725" s="0" t="n">
        <v>74.92</v>
      </c>
      <c r="K1725" s="0" t="n">
        <v>69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101A2</t>
        </is>
      </c>
      <c r="X1725" s="0" t="n">
        <v>25</v>
      </c>
      <c r="Y1725" s="0" t="n">
        <v>12</v>
      </c>
      <c r="Z1725" s="0" t="inlineStr">
        <is>
          <t>https://new.land.naver.com/complexes/104009?tab=detail&amp;rf=Y</t>
        </is>
      </c>
      <c r="AA1725" s="0" t="inlineStr">
        <is>
          <t>인천시 남동구 서창동 692</t>
        </is>
      </c>
      <c r="AB1725" s="0" t="inlineStr">
        <is>
          <t>인천시</t>
        </is>
      </c>
      <c r="AC1725" s="0" t="inlineStr">
        <is>
          <t>남동구</t>
        </is>
      </c>
      <c r="AD1725" s="0" t="inlineStr">
        <is>
          <t>서창동</t>
        </is>
      </c>
      <c r="AG1725" s="0" t="inlineStr">
        <is>
          <t>인천시 남동구 서창남순환로 201</t>
        </is>
      </c>
      <c r="AH1725" s="0" t="n">
        <v>0</v>
      </c>
      <c r="AI1725" s="0" t="n">
        <v>196</v>
      </c>
      <c r="AJ1725" s="0" t="n">
        <v>18</v>
      </c>
      <c r="AK1725" s="0" t="n">
        <v>656</v>
      </c>
      <c r="AL1725" s="0" t="n">
        <v>1.16</v>
      </c>
    </row>
    <row r="1726">
      <c r="A1726" s="0" t="inlineStr">
        <is>
          <t>[서창동]</t>
        </is>
      </c>
      <c r="B1726" s="0" t="n">
        <v>104009</v>
      </c>
      <c r="C1726" s="0" t="n">
        <v>3</v>
      </c>
      <c r="D1726" s="0" t="inlineStr">
        <is>
          <t>서창센트라스</t>
        </is>
      </c>
      <c r="E1726" s="0" t="inlineStr">
        <is>
          <t>2014.03.</t>
        </is>
      </c>
      <c r="F1726" s="0" t="n">
        <v>566</v>
      </c>
      <c r="G1726" s="0" t="n">
        <v>30.64</v>
      </c>
      <c r="H1726" s="0" t="n">
        <v>101.32</v>
      </c>
      <c r="I1726" s="0" t="n">
        <v>22.67</v>
      </c>
      <c r="J1726" s="0" t="n">
        <v>74.95</v>
      </c>
      <c r="K1726" s="0" t="n">
        <v>23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101B</t>
        </is>
      </c>
      <c r="X1726" s="0" t="n">
        <v>25</v>
      </c>
      <c r="Y1726" s="0" t="n">
        <v>12</v>
      </c>
      <c r="Z1726" s="0" t="inlineStr">
        <is>
          <t>https://new.land.naver.com/complexes/104009?tab=detail&amp;rf=Y</t>
        </is>
      </c>
      <c r="AA1726" s="0" t="inlineStr">
        <is>
          <t>인천시 남동구 서창동 692</t>
        </is>
      </c>
      <c r="AB1726" s="0" t="inlineStr">
        <is>
          <t>인천시</t>
        </is>
      </c>
      <c r="AC1726" s="0" t="inlineStr">
        <is>
          <t>남동구</t>
        </is>
      </c>
      <c r="AD1726" s="0" t="inlineStr">
        <is>
          <t>서창동</t>
        </is>
      </c>
      <c r="AG1726" s="0" t="inlineStr">
        <is>
          <t>인천시 남동구 서창남순환로 201</t>
        </is>
      </c>
      <c r="AH1726" s="0" t="n">
        <v>0</v>
      </c>
      <c r="AI1726" s="0" t="n">
        <v>196</v>
      </c>
      <c r="AJ1726" s="0" t="n">
        <v>18</v>
      </c>
      <c r="AK1726" s="0" t="n">
        <v>656</v>
      </c>
      <c r="AL1726" s="0" t="n">
        <v>1.16</v>
      </c>
    </row>
    <row r="1727">
      <c r="A1727" s="0" t="inlineStr">
        <is>
          <t>[서창동]</t>
        </is>
      </c>
      <c r="B1727" s="0" t="n">
        <v>104009</v>
      </c>
      <c r="C1727" s="0" t="n">
        <v>4</v>
      </c>
      <c r="D1727" s="0" t="inlineStr">
        <is>
          <t>서창센트라스</t>
        </is>
      </c>
      <c r="E1727" s="0" t="inlineStr">
        <is>
          <t>2014.03.</t>
        </is>
      </c>
      <c r="F1727" s="0" t="n">
        <v>566</v>
      </c>
      <c r="G1727" s="0" t="n">
        <v>34.74</v>
      </c>
      <c r="H1727" s="0" t="n">
        <v>114.85</v>
      </c>
      <c r="I1727" s="0" t="n">
        <v>25.7</v>
      </c>
      <c r="J1727" s="0" t="n">
        <v>84.95999999999999</v>
      </c>
      <c r="K1727" s="0" t="n">
        <v>121</v>
      </c>
      <c r="T1727" s="0" t="n">
        <v>3</v>
      </c>
      <c r="U1727" s="0" t="n">
        <v>2</v>
      </c>
      <c r="V1727" s="0" t="inlineStr">
        <is>
          <t>계단식</t>
        </is>
      </c>
      <c r="W1727" s="0" t="inlineStr">
        <is>
          <t>114A2</t>
        </is>
      </c>
      <c r="X1727" s="0" t="n">
        <v>25</v>
      </c>
      <c r="Y1727" s="0" t="n">
        <v>12</v>
      </c>
      <c r="Z1727" s="0" t="inlineStr">
        <is>
          <t>https://new.land.naver.com/complexes/104009?tab=detail&amp;rf=Y</t>
        </is>
      </c>
      <c r="AA1727" s="0" t="inlineStr">
        <is>
          <t>인천시 남동구 서창동 692</t>
        </is>
      </c>
      <c r="AB1727" s="0" t="inlineStr">
        <is>
          <t>인천시</t>
        </is>
      </c>
      <c r="AC1727" s="0" t="inlineStr">
        <is>
          <t>남동구</t>
        </is>
      </c>
      <c r="AD1727" s="0" t="inlineStr">
        <is>
          <t>서창동</t>
        </is>
      </c>
      <c r="AG1727" s="0" t="inlineStr">
        <is>
          <t>인천시 남동구 서창남순환로 201</t>
        </is>
      </c>
      <c r="AH1727" s="0" t="n">
        <v>0</v>
      </c>
      <c r="AI1727" s="0" t="n">
        <v>196</v>
      </c>
      <c r="AJ1727" s="0" t="n">
        <v>18</v>
      </c>
      <c r="AK1727" s="0" t="n">
        <v>656</v>
      </c>
      <c r="AL1727" s="0" t="n">
        <v>1.16</v>
      </c>
    </row>
    <row r="1728">
      <c r="A1728" s="0" t="inlineStr">
        <is>
          <t>[서창동]</t>
        </is>
      </c>
      <c r="B1728" s="0" t="n">
        <v>104009</v>
      </c>
      <c r="C1728" s="0" t="n">
        <v>5</v>
      </c>
      <c r="D1728" s="0" t="inlineStr">
        <is>
          <t>서창센트라스</t>
        </is>
      </c>
      <c r="E1728" s="0" t="inlineStr">
        <is>
          <t>2014.03.</t>
        </is>
      </c>
      <c r="F1728" s="0" t="n">
        <v>566</v>
      </c>
      <c r="G1728" s="0" t="n">
        <v>34.73</v>
      </c>
      <c r="H1728" s="0" t="n">
        <v>114.83</v>
      </c>
      <c r="I1728" s="0" t="n">
        <v>25.69</v>
      </c>
      <c r="J1728" s="0" t="n">
        <v>84.94</v>
      </c>
      <c r="K1728" s="0" t="n">
        <v>70</v>
      </c>
      <c r="T1728" s="0" t="n">
        <v>3</v>
      </c>
      <c r="U1728" s="0" t="n">
        <v>2</v>
      </c>
      <c r="V1728" s="0" t="inlineStr">
        <is>
          <t>계단식</t>
        </is>
      </c>
      <c r="W1728" s="0" t="inlineStr">
        <is>
          <t>114B2</t>
        </is>
      </c>
      <c r="X1728" s="0" t="n">
        <v>25</v>
      </c>
      <c r="Y1728" s="0" t="n">
        <v>12</v>
      </c>
      <c r="Z1728" s="0" t="inlineStr">
        <is>
          <t>https://new.land.naver.com/complexes/104009?tab=detail&amp;rf=Y</t>
        </is>
      </c>
      <c r="AA1728" s="0" t="inlineStr">
        <is>
          <t>인천시 남동구 서창동 692</t>
        </is>
      </c>
      <c r="AB1728" s="0" t="inlineStr">
        <is>
          <t>인천시</t>
        </is>
      </c>
      <c r="AC1728" s="0" t="inlineStr">
        <is>
          <t>남동구</t>
        </is>
      </c>
      <c r="AD1728" s="0" t="inlineStr">
        <is>
          <t>서창동</t>
        </is>
      </c>
      <c r="AG1728" s="0" t="inlineStr">
        <is>
          <t>인천시 남동구 서창남순환로 201</t>
        </is>
      </c>
      <c r="AH1728" s="0" t="n">
        <v>0</v>
      </c>
      <c r="AI1728" s="0" t="n">
        <v>196</v>
      </c>
      <c r="AJ1728" s="0" t="n">
        <v>18</v>
      </c>
      <c r="AK1728" s="0" t="n">
        <v>656</v>
      </c>
      <c r="AL1728" s="0" t="n">
        <v>1.16</v>
      </c>
    </row>
    <row r="1729">
      <c r="A1729" s="0" t="inlineStr">
        <is>
          <t>[서창동]</t>
        </is>
      </c>
      <c r="B1729" s="0" t="n">
        <v>104009</v>
      </c>
      <c r="C1729" s="0" t="n">
        <v>6</v>
      </c>
      <c r="D1729" s="0" t="inlineStr">
        <is>
          <t>서창센트라스</t>
        </is>
      </c>
      <c r="E1729" s="0" t="inlineStr">
        <is>
          <t>2014.03.</t>
        </is>
      </c>
      <c r="F1729" s="0" t="n">
        <v>566</v>
      </c>
      <c r="G1729" s="0" t="n">
        <v>34.72</v>
      </c>
      <c r="H1729" s="0" t="n">
        <v>114.8</v>
      </c>
      <c r="I1729" s="0" t="n">
        <v>25.68</v>
      </c>
      <c r="J1729" s="0" t="n">
        <v>84.92</v>
      </c>
      <c r="K1729" s="0" t="n">
        <v>52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114D</t>
        </is>
      </c>
      <c r="X1729" s="0" t="n">
        <v>25</v>
      </c>
      <c r="Y1729" s="0" t="n">
        <v>12</v>
      </c>
      <c r="Z1729" s="0" t="inlineStr">
        <is>
          <t>https://new.land.naver.com/complexes/104009?tab=detail&amp;rf=Y</t>
        </is>
      </c>
      <c r="AA1729" s="0" t="inlineStr">
        <is>
          <t>인천시 남동구 서창동 692</t>
        </is>
      </c>
      <c r="AB1729" s="0" t="inlineStr">
        <is>
          <t>인천시</t>
        </is>
      </c>
      <c r="AC1729" s="0" t="inlineStr">
        <is>
          <t>남동구</t>
        </is>
      </c>
      <c r="AD1729" s="0" t="inlineStr">
        <is>
          <t>서창동</t>
        </is>
      </c>
      <c r="AG1729" s="0" t="inlineStr">
        <is>
          <t>인천시 남동구 서창남순환로 201</t>
        </is>
      </c>
      <c r="AH1729" s="0" t="n">
        <v>0</v>
      </c>
      <c r="AI1729" s="0" t="n">
        <v>196</v>
      </c>
      <c r="AJ1729" s="0" t="n">
        <v>18</v>
      </c>
      <c r="AK1729" s="0" t="n">
        <v>656</v>
      </c>
      <c r="AL1729" s="0" t="n">
        <v>1.16</v>
      </c>
    </row>
    <row r="1730">
      <c r="A1730" s="0" t="inlineStr">
        <is>
          <t>[서창동]</t>
        </is>
      </c>
      <c r="B1730" s="0" t="n">
        <v>104009</v>
      </c>
      <c r="C1730" s="0" t="n">
        <v>7</v>
      </c>
      <c r="D1730" s="0" t="inlineStr">
        <is>
          <t>서창센트라스</t>
        </is>
      </c>
      <c r="E1730" s="0" t="inlineStr">
        <is>
          <t>2014.03.</t>
        </is>
      </c>
      <c r="F1730" s="0" t="n">
        <v>566</v>
      </c>
      <c r="G1730" s="0" t="n">
        <v>34.7</v>
      </c>
      <c r="H1730" s="0" t="n">
        <v>114.74</v>
      </c>
      <c r="I1730" s="0" t="n">
        <v>25.67</v>
      </c>
      <c r="J1730" s="0" t="n">
        <v>84.88</v>
      </c>
      <c r="K1730" s="0" t="n">
        <v>26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114A1</t>
        </is>
      </c>
      <c r="X1730" s="0" t="n">
        <v>25</v>
      </c>
      <c r="Y1730" s="0" t="n">
        <v>12</v>
      </c>
      <c r="Z1730" s="0" t="inlineStr">
        <is>
          <t>https://new.land.naver.com/complexes/104009?tab=detail&amp;rf=Y</t>
        </is>
      </c>
      <c r="AA1730" s="0" t="inlineStr">
        <is>
          <t>인천시 남동구 서창동 692</t>
        </is>
      </c>
      <c r="AB1730" s="0" t="inlineStr">
        <is>
          <t>인천시</t>
        </is>
      </c>
      <c r="AC1730" s="0" t="inlineStr">
        <is>
          <t>남동구</t>
        </is>
      </c>
      <c r="AD1730" s="0" t="inlineStr">
        <is>
          <t>서창동</t>
        </is>
      </c>
      <c r="AG1730" s="0" t="inlineStr">
        <is>
          <t>인천시 남동구 서창남순환로 201</t>
        </is>
      </c>
      <c r="AH1730" s="0" t="n">
        <v>0</v>
      </c>
      <c r="AI1730" s="0" t="n">
        <v>196</v>
      </c>
      <c r="AJ1730" s="0" t="n">
        <v>18</v>
      </c>
      <c r="AK1730" s="0" t="n">
        <v>656</v>
      </c>
      <c r="AL1730" s="0" t="n">
        <v>1.16</v>
      </c>
    </row>
    <row r="1731">
      <c r="A1731" s="0" t="inlineStr">
        <is>
          <t>[서창동]</t>
        </is>
      </c>
      <c r="B1731" s="0" t="n">
        <v>104009</v>
      </c>
      <c r="C1731" s="0" t="n">
        <v>8</v>
      </c>
      <c r="D1731" s="0" t="inlineStr">
        <is>
          <t>서창센트라스</t>
        </is>
      </c>
      <c r="E1731" s="0" t="inlineStr">
        <is>
          <t>2014.03.</t>
        </is>
      </c>
      <c r="F1731" s="0" t="n">
        <v>566</v>
      </c>
      <c r="G1731" s="0" t="n">
        <v>34.74</v>
      </c>
      <c r="H1731" s="0" t="n">
        <v>114.85</v>
      </c>
      <c r="I1731" s="0" t="n">
        <v>25.7</v>
      </c>
      <c r="J1731" s="0" t="n">
        <v>84.95999999999999</v>
      </c>
      <c r="K1731" s="0" t="n">
        <v>23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114A2N</t>
        </is>
      </c>
      <c r="X1731" s="0" t="n">
        <v>25</v>
      </c>
      <c r="Y1731" s="0" t="n">
        <v>12</v>
      </c>
      <c r="Z1731" s="0" t="inlineStr">
        <is>
          <t>https://new.land.naver.com/complexes/104009?tab=detail&amp;rf=Y</t>
        </is>
      </c>
      <c r="AA1731" s="0" t="inlineStr">
        <is>
          <t>인천시 남동구 서창동 692</t>
        </is>
      </c>
      <c r="AB1731" s="0" t="inlineStr">
        <is>
          <t>인천시</t>
        </is>
      </c>
      <c r="AC1731" s="0" t="inlineStr">
        <is>
          <t>남동구</t>
        </is>
      </c>
      <c r="AD1731" s="0" t="inlineStr">
        <is>
          <t>서창동</t>
        </is>
      </c>
      <c r="AG1731" s="0" t="inlineStr">
        <is>
          <t>인천시 남동구 서창남순환로 201</t>
        </is>
      </c>
      <c r="AH1731" s="0" t="n">
        <v>0</v>
      </c>
      <c r="AI1731" s="0" t="n">
        <v>196</v>
      </c>
      <c r="AJ1731" s="0" t="n">
        <v>18</v>
      </c>
      <c r="AK1731" s="0" t="n">
        <v>656</v>
      </c>
      <c r="AL1731" s="0" t="n">
        <v>1.16</v>
      </c>
    </row>
    <row r="1732">
      <c r="A1732" s="0" t="inlineStr">
        <is>
          <t>[서창동]</t>
        </is>
      </c>
      <c r="B1732" s="0" t="n">
        <v>104009</v>
      </c>
      <c r="C1732" s="0" t="n">
        <v>9</v>
      </c>
      <c r="D1732" s="0" t="inlineStr">
        <is>
          <t>서창센트라스</t>
        </is>
      </c>
      <c r="E1732" s="0" t="inlineStr">
        <is>
          <t>2014.03.</t>
        </is>
      </c>
      <c r="F1732" s="0" t="n">
        <v>566</v>
      </c>
      <c r="G1732" s="0" t="n">
        <v>34.75</v>
      </c>
      <c r="H1732" s="0" t="n">
        <v>114.89</v>
      </c>
      <c r="I1732" s="0" t="n">
        <v>25.7</v>
      </c>
      <c r="J1732" s="0" t="n">
        <v>84.98999999999999</v>
      </c>
      <c r="K1732" s="0" t="n">
        <v>20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114C</t>
        </is>
      </c>
      <c r="X1732" s="0" t="n">
        <v>25</v>
      </c>
      <c r="Y1732" s="0" t="n">
        <v>12</v>
      </c>
      <c r="Z1732" s="0" t="inlineStr">
        <is>
          <t>https://new.land.naver.com/complexes/104009?tab=detail&amp;rf=Y</t>
        </is>
      </c>
      <c r="AA1732" s="0" t="inlineStr">
        <is>
          <t>인천시 남동구 서창동 692</t>
        </is>
      </c>
      <c r="AB1732" s="0" t="inlineStr">
        <is>
          <t>인천시</t>
        </is>
      </c>
      <c r="AC1732" s="0" t="inlineStr">
        <is>
          <t>남동구</t>
        </is>
      </c>
      <c r="AD1732" s="0" t="inlineStr">
        <is>
          <t>서창동</t>
        </is>
      </c>
      <c r="AG1732" s="0" t="inlineStr">
        <is>
          <t>인천시 남동구 서창남순환로 201</t>
        </is>
      </c>
      <c r="AH1732" s="0" t="n">
        <v>0</v>
      </c>
      <c r="AI1732" s="0" t="n">
        <v>196</v>
      </c>
      <c r="AJ1732" s="0" t="n">
        <v>18</v>
      </c>
      <c r="AK1732" s="0" t="n">
        <v>656</v>
      </c>
      <c r="AL1732" s="0" t="n">
        <v>1.16</v>
      </c>
    </row>
    <row r="1733">
      <c r="A1733" s="0" t="inlineStr">
        <is>
          <t>[서창동]</t>
        </is>
      </c>
      <c r="B1733" s="0" t="n">
        <v>104009</v>
      </c>
      <c r="C1733" s="0" t="n">
        <v>10</v>
      </c>
      <c r="D1733" s="0" t="inlineStr">
        <is>
          <t>서창센트라스</t>
        </is>
      </c>
      <c r="E1733" s="0" t="inlineStr">
        <is>
          <t>2014.03.</t>
        </is>
      </c>
      <c r="F1733" s="0" t="n">
        <v>566</v>
      </c>
      <c r="G1733" s="0" t="n">
        <v>34.72</v>
      </c>
      <c r="H1733" s="0" t="n">
        <v>114.8</v>
      </c>
      <c r="I1733" s="0" t="n">
        <v>25.68</v>
      </c>
      <c r="J1733" s="0" t="n">
        <v>84.92</v>
      </c>
      <c r="K1733" s="0" t="n">
        <v>16</v>
      </c>
      <c r="T1733" s="0" t="n">
        <v>3</v>
      </c>
      <c r="U1733" s="0" t="n">
        <v>2</v>
      </c>
      <c r="V1733" s="0" t="inlineStr">
        <is>
          <t>계단식</t>
        </is>
      </c>
      <c r="W1733" s="0" t="inlineStr">
        <is>
          <t>114B1</t>
        </is>
      </c>
      <c r="X1733" s="0" t="n">
        <v>25</v>
      </c>
      <c r="Y1733" s="0" t="n">
        <v>12</v>
      </c>
      <c r="Z1733" s="0" t="inlineStr">
        <is>
          <t>https://new.land.naver.com/complexes/104009?tab=detail&amp;rf=Y</t>
        </is>
      </c>
      <c r="AA1733" s="0" t="inlineStr">
        <is>
          <t>인천시 남동구 서창동 692</t>
        </is>
      </c>
      <c r="AB1733" s="0" t="inlineStr">
        <is>
          <t>인천시</t>
        </is>
      </c>
      <c r="AC1733" s="0" t="inlineStr">
        <is>
          <t>남동구</t>
        </is>
      </c>
      <c r="AD1733" s="0" t="inlineStr">
        <is>
          <t>서창동</t>
        </is>
      </c>
      <c r="AG1733" s="0" t="inlineStr">
        <is>
          <t>인천시 남동구 서창남순환로 201</t>
        </is>
      </c>
      <c r="AH1733" s="0" t="n">
        <v>0</v>
      </c>
      <c r="AI1733" s="0" t="n">
        <v>196</v>
      </c>
      <c r="AJ1733" s="0" t="n">
        <v>18</v>
      </c>
      <c r="AK1733" s="0" t="n">
        <v>656</v>
      </c>
      <c r="AL1733" s="0" t="n">
        <v>1.16</v>
      </c>
    </row>
    <row r="1734">
      <c r="A1734" s="0" t="inlineStr">
        <is>
          <t>[서창동]</t>
        </is>
      </c>
      <c r="B1734" s="0" t="n">
        <v>110151</v>
      </c>
      <c r="C1734" s="0" t="n">
        <v>1</v>
      </c>
      <c r="D1734" s="0" t="inlineStr">
        <is>
          <t>이편한세상서창</t>
        </is>
      </c>
      <c r="E1734" s="0" t="inlineStr">
        <is>
          <t>2017.06.</t>
        </is>
      </c>
      <c r="F1734" s="0" t="n">
        <v>835</v>
      </c>
      <c r="G1734" s="0" t="n">
        <v>33.11</v>
      </c>
      <c r="H1734" s="0" t="n">
        <v>109.46</v>
      </c>
      <c r="I1734" s="0" t="n">
        <v>25.68</v>
      </c>
      <c r="J1734" s="0" t="n">
        <v>84.92</v>
      </c>
      <c r="K1734" s="0" t="n">
        <v>649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25</v>
      </c>
      <c r="Y1734" s="0" t="n">
        <v>20</v>
      </c>
      <c r="Z1734" s="0" t="inlineStr">
        <is>
          <t>https://new.land.naver.com/complexes/110151?tab=detail&amp;rf=Y</t>
        </is>
      </c>
      <c r="AA1734" s="0" t="inlineStr">
        <is>
          <t>인천시 남동구 서창동 685</t>
        </is>
      </c>
      <c r="AB1734" s="0" t="inlineStr">
        <is>
          <t>인천시</t>
        </is>
      </c>
      <c r="AC1734" s="0" t="inlineStr">
        <is>
          <t>남동구</t>
        </is>
      </c>
      <c r="AD1734" s="0" t="inlineStr">
        <is>
          <t>서창동</t>
        </is>
      </c>
      <c r="AG1734" s="0" t="inlineStr">
        <is>
          <t>인천시 남동구 서창남순환로 9</t>
        </is>
      </c>
      <c r="AH1734" s="0" t="n">
        <v>0</v>
      </c>
      <c r="AI1734" s="0" t="n">
        <v>187</v>
      </c>
      <c r="AJ1734" s="0" t="n">
        <v>15</v>
      </c>
      <c r="AK1734" s="0" t="n">
        <v>967</v>
      </c>
      <c r="AL1734" s="0" t="n">
        <v>1.16</v>
      </c>
    </row>
    <row r="1735">
      <c r="A1735" s="0" t="inlineStr">
        <is>
          <t>[서창동]</t>
        </is>
      </c>
      <c r="B1735" s="0" t="n">
        <v>110151</v>
      </c>
      <c r="C1735" s="0" t="n">
        <v>2</v>
      </c>
      <c r="D1735" s="0" t="inlineStr">
        <is>
          <t>이편한세상서창</t>
        </is>
      </c>
      <c r="E1735" s="0" t="inlineStr">
        <is>
          <t>2017.06.</t>
        </is>
      </c>
      <c r="F1735" s="0" t="n">
        <v>835</v>
      </c>
      <c r="G1735" s="0" t="n">
        <v>33.4</v>
      </c>
      <c r="H1735" s="0" t="n">
        <v>110.44</v>
      </c>
      <c r="I1735" s="0" t="n">
        <v>25.69</v>
      </c>
      <c r="J1735" s="0" t="n">
        <v>84.95</v>
      </c>
      <c r="K1735" s="0" t="n">
        <v>95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110C</t>
        </is>
      </c>
      <c r="X1735" s="0" t="n">
        <v>25</v>
      </c>
      <c r="Y1735" s="0" t="n">
        <v>20</v>
      </c>
      <c r="Z1735" s="0" t="inlineStr">
        <is>
          <t>https://new.land.naver.com/complexes/110151?tab=detail&amp;rf=Y</t>
        </is>
      </c>
      <c r="AA1735" s="0" t="inlineStr">
        <is>
          <t>인천시 남동구 서창동 685</t>
        </is>
      </c>
      <c r="AB1735" s="0" t="inlineStr">
        <is>
          <t>인천시</t>
        </is>
      </c>
      <c r="AC1735" s="0" t="inlineStr">
        <is>
          <t>남동구</t>
        </is>
      </c>
      <c r="AD1735" s="0" t="inlineStr">
        <is>
          <t>서창동</t>
        </is>
      </c>
      <c r="AG1735" s="0" t="inlineStr">
        <is>
          <t>인천시 남동구 서창남순환로 9</t>
        </is>
      </c>
      <c r="AH1735" s="0" t="n">
        <v>0</v>
      </c>
      <c r="AI1735" s="0" t="n">
        <v>187</v>
      </c>
      <c r="AJ1735" s="0" t="n">
        <v>15</v>
      </c>
      <c r="AK1735" s="0" t="n">
        <v>967</v>
      </c>
      <c r="AL1735" s="0" t="n">
        <v>1.16</v>
      </c>
    </row>
    <row r="1736">
      <c r="A1736" s="0" t="inlineStr">
        <is>
          <t>[서창동]</t>
        </is>
      </c>
      <c r="B1736" s="0" t="n">
        <v>110151</v>
      </c>
      <c r="C1736" s="0" t="n">
        <v>3</v>
      </c>
      <c r="D1736" s="0" t="inlineStr">
        <is>
          <t>이편한세상서창</t>
        </is>
      </c>
      <c r="E1736" s="0" t="inlineStr">
        <is>
          <t>2017.06.</t>
        </is>
      </c>
      <c r="F1736" s="0" t="n">
        <v>835</v>
      </c>
      <c r="G1736" s="0" t="n">
        <v>33.4</v>
      </c>
      <c r="H1736" s="0" t="n">
        <v>110.43</v>
      </c>
      <c r="I1736" s="0" t="n">
        <v>25.69</v>
      </c>
      <c r="J1736" s="0" t="n">
        <v>84.95</v>
      </c>
      <c r="K1736" s="0" t="n">
        <v>91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110B</t>
        </is>
      </c>
      <c r="X1736" s="0" t="n">
        <v>25</v>
      </c>
      <c r="Y1736" s="0" t="n">
        <v>20</v>
      </c>
      <c r="Z1736" s="0" t="inlineStr">
        <is>
          <t>https://new.land.naver.com/complexes/110151?tab=detail&amp;rf=Y</t>
        </is>
      </c>
      <c r="AA1736" s="0" t="inlineStr">
        <is>
          <t>인천시 남동구 서창동 685</t>
        </is>
      </c>
      <c r="AB1736" s="0" t="inlineStr">
        <is>
          <t>인천시</t>
        </is>
      </c>
      <c r="AC1736" s="0" t="inlineStr">
        <is>
          <t>남동구</t>
        </is>
      </c>
      <c r="AD1736" s="0" t="inlineStr">
        <is>
          <t>서창동</t>
        </is>
      </c>
      <c r="AG1736" s="0" t="inlineStr">
        <is>
          <t>인천시 남동구 서창남순환로 9</t>
        </is>
      </c>
      <c r="AH1736" s="0" t="n">
        <v>0</v>
      </c>
      <c r="AI1736" s="0" t="n">
        <v>187</v>
      </c>
      <c r="AJ1736" s="0" t="n">
        <v>15</v>
      </c>
      <c r="AK1736" s="0" t="n">
        <v>967</v>
      </c>
      <c r="AL1736" s="0" t="n">
        <v>1.16</v>
      </c>
    </row>
    <row r="1737">
      <c r="A1737" s="0" t="inlineStr">
        <is>
          <t>[서창동]</t>
        </is>
      </c>
      <c r="B1737" s="0" t="n">
        <v>23735</v>
      </c>
      <c r="C1737" s="0" t="n">
        <v>1</v>
      </c>
      <c r="D1737" s="0" t="inlineStr">
        <is>
          <t>임광그대가</t>
        </is>
      </c>
      <c r="E1737" s="0" t="inlineStr">
        <is>
          <t>2007.01.</t>
        </is>
      </c>
      <c r="F1737" s="0" t="n">
        <v>666</v>
      </c>
      <c r="G1737" s="0" t="n">
        <v>32.67</v>
      </c>
      <c r="H1737" s="0" t="n">
        <v>108</v>
      </c>
      <c r="I1737" s="0" t="n">
        <v>25.7</v>
      </c>
      <c r="J1737" s="0" t="n">
        <v>84.98999999999999</v>
      </c>
      <c r="K1737" s="0" t="n">
        <v>406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108</v>
      </c>
      <c r="X1737" s="0" t="n">
        <v>10</v>
      </c>
      <c r="Y1737" s="0" t="n">
        <v>10</v>
      </c>
      <c r="Z1737" s="0" t="inlineStr">
        <is>
          <t>https://new.land.naver.com/complexes/23735?tab=detail&amp;rf=Y</t>
        </is>
      </c>
      <c r="AA1737" s="0" t="inlineStr">
        <is>
          <t>인천시 남동구 서창동 560-2</t>
        </is>
      </c>
      <c r="AB1737" s="0" t="inlineStr">
        <is>
          <t>인천시</t>
        </is>
      </c>
      <c r="AC1737" s="0" t="inlineStr">
        <is>
          <t>남동구</t>
        </is>
      </c>
      <c r="AD1737" s="0" t="inlineStr">
        <is>
          <t>서창동</t>
        </is>
      </c>
      <c r="AG1737" s="0" t="inlineStr">
        <is>
          <t>인천시 남동구 장아산로 158</t>
        </is>
      </c>
      <c r="AH1737" s="0" t="n">
        <v>0</v>
      </c>
      <c r="AI1737" s="0" t="n">
        <v>149</v>
      </c>
      <c r="AJ1737" s="0" t="n">
        <v>19</v>
      </c>
      <c r="AK1737" s="0" t="n">
        <v>933</v>
      </c>
      <c r="AL1737" s="0" t="n">
        <v>1.4</v>
      </c>
    </row>
    <row r="1738">
      <c r="A1738" s="0" t="inlineStr">
        <is>
          <t>[서창동]</t>
        </is>
      </c>
      <c r="B1738" s="0" t="n">
        <v>23735</v>
      </c>
      <c r="C1738" s="0" t="n">
        <v>2</v>
      </c>
      <c r="D1738" s="0" t="inlineStr">
        <is>
          <t>임광그대가</t>
        </is>
      </c>
      <c r="E1738" s="0" t="inlineStr">
        <is>
          <t>2007.01.</t>
        </is>
      </c>
      <c r="F1738" s="0" t="n">
        <v>666</v>
      </c>
      <c r="G1738" s="0" t="n">
        <v>48.27</v>
      </c>
      <c r="H1738" s="0" t="n">
        <v>159.58</v>
      </c>
      <c r="I1738" s="0" t="n">
        <v>40.69</v>
      </c>
      <c r="J1738" s="0" t="n">
        <v>134.54</v>
      </c>
      <c r="K1738" s="0" t="n">
        <v>260</v>
      </c>
      <c r="T1738" s="0" t="n">
        <v>4</v>
      </c>
      <c r="U1738" s="0" t="n">
        <v>2</v>
      </c>
      <c r="V1738" s="0" t="inlineStr">
        <is>
          <t>계단식</t>
        </is>
      </c>
      <c r="W1738" s="0" t="n">
        <v>159</v>
      </c>
      <c r="X1738" s="0" t="n">
        <v>10</v>
      </c>
      <c r="Y1738" s="0" t="n">
        <v>10</v>
      </c>
      <c r="Z1738" s="0" t="inlineStr">
        <is>
          <t>https://new.land.naver.com/complexes/23735?tab=detail&amp;rf=Y</t>
        </is>
      </c>
      <c r="AA1738" s="0" t="inlineStr">
        <is>
          <t>인천시 남동구 서창동 560-2</t>
        </is>
      </c>
      <c r="AB1738" s="0" t="inlineStr">
        <is>
          <t>인천시</t>
        </is>
      </c>
      <c r="AC1738" s="0" t="inlineStr">
        <is>
          <t>남동구</t>
        </is>
      </c>
      <c r="AD1738" s="0" t="inlineStr">
        <is>
          <t>서창동</t>
        </is>
      </c>
      <c r="AG1738" s="0" t="inlineStr">
        <is>
          <t>인천시 남동구 장아산로 158</t>
        </is>
      </c>
      <c r="AH1738" s="0" t="n">
        <v>0</v>
      </c>
      <c r="AI1738" s="0" t="n">
        <v>149</v>
      </c>
      <c r="AJ1738" s="0" t="n">
        <v>19</v>
      </c>
      <c r="AK1738" s="0" t="n">
        <v>933</v>
      </c>
      <c r="AL1738" s="0" t="n">
        <v>1.4</v>
      </c>
    </row>
    <row r="1739">
      <c r="A1739" s="0" t="inlineStr">
        <is>
          <t>[서창동]</t>
        </is>
      </c>
      <c r="B1739" s="0" t="n">
        <v>111479</v>
      </c>
      <c r="C1739" s="0" t="n">
        <v>1</v>
      </c>
      <c r="D1739" s="0" t="inlineStr">
        <is>
          <t>서창센트럴푸르지오</t>
        </is>
      </c>
      <c r="E1739" s="0" t="inlineStr">
        <is>
          <t>2018.01.</t>
        </is>
      </c>
      <c r="F1739" s="0" t="n">
        <v>1160</v>
      </c>
      <c r="G1739" s="0" t="n">
        <v>30.17</v>
      </c>
      <c r="H1739" s="0" t="n">
        <v>99.76000000000001</v>
      </c>
      <c r="I1739" s="0" t="n">
        <v>22.68</v>
      </c>
      <c r="J1739" s="0" t="n">
        <v>74.98</v>
      </c>
      <c r="K1739" s="0" t="n">
        <v>478</v>
      </c>
      <c r="T1739" s="0" t="n">
        <v>3</v>
      </c>
      <c r="U1739" s="0" t="n">
        <v>2</v>
      </c>
      <c r="V1739" s="0" t="inlineStr">
        <is>
          <t>계단식</t>
        </is>
      </c>
      <c r="W1739" s="0" t="inlineStr">
        <is>
          <t>99A</t>
        </is>
      </c>
      <c r="X1739" s="0" t="n">
        <v>25</v>
      </c>
      <c r="Y1739" s="0" t="n">
        <v>22</v>
      </c>
      <c r="Z1739" s="0" t="inlineStr">
        <is>
          <t>https://new.land.naver.com/complexes/111479?tab=detail&amp;rf=Y</t>
        </is>
      </c>
      <c r="AA1739" s="0" t="inlineStr">
        <is>
          <t>인천시 남동구 서창동 682</t>
        </is>
      </c>
      <c r="AB1739" s="0" t="inlineStr">
        <is>
          <t>인천시</t>
        </is>
      </c>
      <c r="AC1739" s="0" t="inlineStr">
        <is>
          <t>남동구</t>
        </is>
      </c>
      <c r="AD1739" s="0" t="inlineStr">
        <is>
          <t>서창동</t>
        </is>
      </c>
      <c r="AG1739" s="0" t="inlineStr">
        <is>
          <t>인천시 남동구 서창남순환로 55</t>
        </is>
      </c>
      <c r="AH1739" s="0" t="n">
        <v>0</v>
      </c>
      <c r="AI1739" s="0" t="n">
        <v>186</v>
      </c>
      <c r="AJ1739" s="0" t="n">
        <v>13</v>
      </c>
      <c r="AK1739" s="0" t="n">
        <v>1375</v>
      </c>
      <c r="AL1739" s="0" t="n">
        <v>1.19</v>
      </c>
    </row>
    <row r="1740">
      <c r="A1740" s="0" t="inlineStr">
        <is>
          <t>[서창동]</t>
        </is>
      </c>
      <c r="B1740" s="0" t="n">
        <v>111479</v>
      </c>
      <c r="C1740" s="0" t="n">
        <v>2</v>
      </c>
      <c r="D1740" s="0" t="inlineStr">
        <is>
          <t>서창센트럴푸르지오</t>
        </is>
      </c>
      <c r="E1740" s="0" t="inlineStr">
        <is>
          <t>2018.01.</t>
        </is>
      </c>
      <c r="F1740" s="0" t="n">
        <v>1160</v>
      </c>
      <c r="G1740" s="0" t="n">
        <v>30.18</v>
      </c>
      <c r="H1740" s="0" t="n">
        <v>99.77</v>
      </c>
      <c r="I1740" s="0" t="n">
        <v>22.68</v>
      </c>
      <c r="J1740" s="0" t="n">
        <v>74.98999999999999</v>
      </c>
      <c r="K1740" s="0" t="n">
        <v>241</v>
      </c>
      <c r="T1740" s="0" t="n">
        <v>3</v>
      </c>
      <c r="U1740" s="0" t="n">
        <v>2</v>
      </c>
      <c r="V1740" s="0" t="inlineStr">
        <is>
          <t>계단식</t>
        </is>
      </c>
      <c r="W1740" s="0" t="inlineStr">
        <is>
          <t>99B</t>
        </is>
      </c>
      <c r="X1740" s="0" t="n">
        <v>25</v>
      </c>
      <c r="Y1740" s="0" t="n">
        <v>22</v>
      </c>
      <c r="Z1740" s="0" t="inlineStr">
        <is>
          <t>https://new.land.naver.com/complexes/111479?tab=detail&amp;rf=Y</t>
        </is>
      </c>
      <c r="AA1740" s="0" t="inlineStr">
        <is>
          <t>인천시 남동구 서창동 682</t>
        </is>
      </c>
      <c r="AB1740" s="0" t="inlineStr">
        <is>
          <t>인천시</t>
        </is>
      </c>
      <c r="AC1740" s="0" t="inlineStr">
        <is>
          <t>남동구</t>
        </is>
      </c>
      <c r="AD1740" s="0" t="inlineStr">
        <is>
          <t>서창동</t>
        </is>
      </c>
      <c r="AG1740" s="0" t="inlineStr">
        <is>
          <t>인천시 남동구 서창남순환로 55</t>
        </is>
      </c>
      <c r="AH1740" s="0" t="n">
        <v>0</v>
      </c>
      <c r="AI1740" s="0" t="n">
        <v>186</v>
      </c>
      <c r="AJ1740" s="0" t="n">
        <v>13</v>
      </c>
      <c r="AK1740" s="0" t="n">
        <v>1375</v>
      </c>
      <c r="AL1740" s="0" t="n">
        <v>1.19</v>
      </c>
    </row>
    <row r="1741">
      <c r="A1741" s="0" t="inlineStr">
        <is>
          <t>[서창동]</t>
        </is>
      </c>
      <c r="B1741" s="0" t="n">
        <v>111479</v>
      </c>
      <c r="C1741" s="0" t="n">
        <v>3</v>
      </c>
      <c r="D1741" s="0" t="inlineStr">
        <is>
          <t>서창센트럴푸르지오</t>
        </is>
      </c>
      <c r="E1741" s="0" t="inlineStr">
        <is>
          <t>2018.01.</t>
        </is>
      </c>
      <c r="F1741" s="0" t="n">
        <v>1160</v>
      </c>
      <c r="G1741" s="0" t="n">
        <v>34.2</v>
      </c>
      <c r="H1741" s="0" t="n">
        <v>113.07</v>
      </c>
      <c r="I1741" s="0" t="n">
        <v>25.7</v>
      </c>
      <c r="J1741" s="0" t="n">
        <v>84.98</v>
      </c>
      <c r="K1741" s="0" t="n">
        <v>441</v>
      </c>
      <c r="T1741" s="0" t="n">
        <v>3</v>
      </c>
      <c r="U1741" s="0" t="n">
        <v>2</v>
      </c>
      <c r="V1741" s="0" t="inlineStr">
        <is>
          <t>계단식</t>
        </is>
      </c>
      <c r="W1741" s="0" t="n">
        <v>113</v>
      </c>
      <c r="X1741" s="0" t="n">
        <v>25</v>
      </c>
      <c r="Y1741" s="0" t="n">
        <v>22</v>
      </c>
      <c r="Z1741" s="0" t="inlineStr">
        <is>
          <t>https://new.land.naver.com/complexes/111479?tab=detail&amp;rf=Y</t>
        </is>
      </c>
      <c r="AA1741" s="0" t="inlineStr">
        <is>
          <t>인천시 남동구 서창동 682</t>
        </is>
      </c>
      <c r="AB1741" s="0" t="inlineStr">
        <is>
          <t>인천시</t>
        </is>
      </c>
      <c r="AC1741" s="0" t="inlineStr">
        <is>
          <t>남동구</t>
        </is>
      </c>
      <c r="AD1741" s="0" t="inlineStr">
        <is>
          <t>서창동</t>
        </is>
      </c>
      <c r="AG1741" s="0" t="inlineStr">
        <is>
          <t>인천시 남동구 서창남순환로 55</t>
        </is>
      </c>
      <c r="AH1741" s="0" t="n">
        <v>0</v>
      </c>
      <c r="AI1741" s="0" t="n">
        <v>186</v>
      </c>
      <c r="AJ1741" s="0" t="n">
        <v>13</v>
      </c>
      <c r="AK1741" s="0" t="n">
        <v>1375</v>
      </c>
      <c r="AL1741" s="0" t="n">
        <v>1.19</v>
      </c>
    </row>
    <row r="1742">
      <c r="A1742" s="0" t="inlineStr">
        <is>
          <t>[서창동]</t>
        </is>
      </c>
      <c r="B1742" s="0" t="n">
        <v>26538</v>
      </c>
      <c r="C1742" s="0" t="n">
        <v>1</v>
      </c>
      <c r="D1742" s="0" t="inlineStr">
        <is>
          <t>서창자이</t>
        </is>
      </c>
      <c r="E1742" s="0" t="inlineStr">
        <is>
          <t>2008.12.</t>
        </is>
      </c>
      <c r="F1742" s="0" t="n">
        <v>500</v>
      </c>
      <c r="G1742" s="0" t="n">
        <v>34.25</v>
      </c>
      <c r="H1742" s="0" t="n">
        <v>113.25</v>
      </c>
      <c r="I1742" s="0" t="n">
        <v>25.64</v>
      </c>
      <c r="J1742" s="0" t="n">
        <v>84.79000000000001</v>
      </c>
      <c r="K1742" s="0" t="n">
        <v>140</v>
      </c>
      <c r="T1742" s="0" t="n">
        <v>3</v>
      </c>
      <c r="U1742" s="0" t="n">
        <v>2</v>
      </c>
      <c r="V1742" s="0" t="inlineStr">
        <is>
          <t>계단식</t>
        </is>
      </c>
      <c r="W1742" s="0" t="inlineStr">
        <is>
          <t>113A</t>
        </is>
      </c>
      <c r="X1742" s="0" t="n">
        <v>24</v>
      </c>
      <c r="Y1742" s="0" t="n">
        <v>18</v>
      </c>
      <c r="Z1742" s="0" t="inlineStr">
        <is>
          <t>https://new.land.naver.com/complexes/26538?tab=detail&amp;rf=Y</t>
        </is>
      </c>
      <c r="AA1742" s="0" t="inlineStr">
        <is>
          <t>인천시 남동구 서창동 561-1</t>
        </is>
      </c>
      <c r="AB1742" s="0" t="inlineStr">
        <is>
          <t>인천시</t>
        </is>
      </c>
      <c r="AC1742" s="0" t="inlineStr">
        <is>
          <t>남동구</t>
        </is>
      </c>
      <c r="AD1742" s="0" t="inlineStr">
        <is>
          <t>서창동</t>
        </is>
      </c>
      <c r="AG1742" s="0" t="inlineStr">
        <is>
          <t>인천시 남동구 장아산로 157</t>
        </is>
      </c>
      <c r="AH1742" s="0" t="n">
        <v>0</v>
      </c>
      <c r="AI1742" s="0" t="n">
        <v>219</v>
      </c>
      <c r="AJ1742" s="0" t="n">
        <v>16</v>
      </c>
      <c r="AK1742" s="0" t="n">
        <v>785</v>
      </c>
      <c r="AL1742" s="0" t="n">
        <v>1.57</v>
      </c>
    </row>
    <row r="1743">
      <c r="A1743" s="0" t="inlineStr">
        <is>
          <t>[서창동]</t>
        </is>
      </c>
      <c r="B1743" s="0" t="n">
        <v>26538</v>
      </c>
      <c r="C1743" s="0" t="n">
        <v>2</v>
      </c>
      <c r="D1743" s="0" t="inlineStr">
        <is>
          <t>서창자이</t>
        </is>
      </c>
      <c r="E1743" s="0" t="inlineStr">
        <is>
          <t>2008.12.</t>
        </is>
      </c>
      <c r="F1743" s="0" t="n">
        <v>500</v>
      </c>
      <c r="G1743" s="0" t="n">
        <v>34.25</v>
      </c>
      <c r="H1743" s="0" t="n">
        <v>113.25</v>
      </c>
      <c r="I1743" s="0" t="n">
        <v>25.64</v>
      </c>
      <c r="J1743" s="0" t="n">
        <v>84.79000000000001</v>
      </c>
      <c r="K1743" s="0" t="n">
        <v>60</v>
      </c>
      <c r="T1743" s="0" t="n">
        <v>3</v>
      </c>
      <c r="U1743" s="0" t="n">
        <v>2</v>
      </c>
      <c r="V1743" s="0" t="inlineStr">
        <is>
          <t>계단식</t>
        </is>
      </c>
      <c r="W1743" s="0" t="inlineStr">
        <is>
          <t>113B</t>
        </is>
      </c>
      <c r="X1743" s="0" t="n">
        <v>24</v>
      </c>
      <c r="Y1743" s="0" t="n">
        <v>18</v>
      </c>
      <c r="Z1743" s="0" t="inlineStr">
        <is>
          <t>https://new.land.naver.com/complexes/26538?tab=detail&amp;rf=Y</t>
        </is>
      </c>
      <c r="AA1743" s="0" t="inlineStr">
        <is>
          <t>인천시 남동구 서창동 561-1</t>
        </is>
      </c>
      <c r="AB1743" s="0" t="inlineStr">
        <is>
          <t>인천시</t>
        </is>
      </c>
      <c r="AC1743" s="0" t="inlineStr">
        <is>
          <t>남동구</t>
        </is>
      </c>
      <c r="AD1743" s="0" t="inlineStr">
        <is>
          <t>서창동</t>
        </is>
      </c>
      <c r="AG1743" s="0" t="inlineStr">
        <is>
          <t>인천시 남동구 장아산로 157</t>
        </is>
      </c>
      <c r="AH1743" s="0" t="n">
        <v>0</v>
      </c>
      <c r="AI1743" s="0" t="n">
        <v>219</v>
      </c>
      <c r="AJ1743" s="0" t="n">
        <v>16</v>
      </c>
      <c r="AK1743" s="0" t="n">
        <v>785</v>
      </c>
      <c r="AL1743" s="0" t="n">
        <v>1.57</v>
      </c>
    </row>
    <row r="1744">
      <c r="A1744" s="0" t="inlineStr">
        <is>
          <t>[서창동]</t>
        </is>
      </c>
      <c r="B1744" s="0" t="n">
        <v>26538</v>
      </c>
      <c r="C1744" s="0" t="n">
        <v>3</v>
      </c>
      <c r="D1744" s="0" t="inlineStr">
        <is>
          <t>서창자이</t>
        </is>
      </c>
      <c r="E1744" s="0" t="inlineStr">
        <is>
          <t>2008.12.</t>
        </is>
      </c>
      <c r="F1744" s="0" t="n">
        <v>500</v>
      </c>
      <c r="G1744" s="0" t="n">
        <v>45.83</v>
      </c>
      <c r="H1744" s="0" t="n">
        <v>151.52</v>
      </c>
      <c r="I1744" s="0" t="n">
        <v>36.02</v>
      </c>
      <c r="J1744" s="0" t="n">
        <v>119.08</v>
      </c>
      <c r="K1744" s="0" t="n">
        <v>86</v>
      </c>
      <c r="T1744" s="0" t="n">
        <v>4</v>
      </c>
      <c r="U1744" s="0" t="n">
        <v>2</v>
      </c>
      <c r="V1744" s="0" t="inlineStr">
        <is>
          <t>계단식</t>
        </is>
      </c>
      <c r="W1744" s="0" t="inlineStr">
        <is>
          <t>151A</t>
        </is>
      </c>
      <c r="X1744" s="0" t="n">
        <v>24</v>
      </c>
      <c r="Y1744" s="0" t="n">
        <v>18</v>
      </c>
      <c r="Z1744" s="0" t="inlineStr">
        <is>
          <t>https://new.land.naver.com/complexes/26538?tab=detail&amp;rf=Y</t>
        </is>
      </c>
      <c r="AA1744" s="0" t="inlineStr">
        <is>
          <t>인천시 남동구 서창동 561-1</t>
        </is>
      </c>
      <c r="AB1744" s="0" t="inlineStr">
        <is>
          <t>인천시</t>
        </is>
      </c>
      <c r="AC1744" s="0" t="inlineStr">
        <is>
          <t>남동구</t>
        </is>
      </c>
      <c r="AD1744" s="0" t="inlineStr">
        <is>
          <t>서창동</t>
        </is>
      </c>
      <c r="AG1744" s="0" t="inlineStr">
        <is>
          <t>인천시 남동구 장아산로 157</t>
        </is>
      </c>
      <c r="AH1744" s="0" t="n">
        <v>0</v>
      </c>
      <c r="AI1744" s="0" t="n">
        <v>219</v>
      </c>
      <c r="AJ1744" s="0" t="n">
        <v>16</v>
      </c>
      <c r="AK1744" s="0" t="n">
        <v>785</v>
      </c>
      <c r="AL1744" s="0" t="n">
        <v>1.57</v>
      </c>
    </row>
    <row r="1745">
      <c r="A1745" s="0" t="inlineStr">
        <is>
          <t>[서창동]</t>
        </is>
      </c>
      <c r="B1745" s="0" t="n">
        <v>26538</v>
      </c>
      <c r="C1745" s="0" t="n">
        <v>4</v>
      </c>
      <c r="D1745" s="0" t="inlineStr">
        <is>
          <t>서창자이</t>
        </is>
      </c>
      <c r="E1745" s="0" t="inlineStr">
        <is>
          <t>2008.12.</t>
        </is>
      </c>
      <c r="F1745" s="0" t="n">
        <v>500</v>
      </c>
      <c r="G1745" s="0" t="n">
        <v>45.85</v>
      </c>
      <c r="H1745" s="0" t="n">
        <v>151.58</v>
      </c>
      <c r="I1745" s="0" t="n">
        <v>36.27</v>
      </c>
      <c r="J1745" s="0" t="n">
        <v>119.91</v>
      </c>
      <c r="K1745" s="0" t="n">
        <v>72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151B</t>
        </is>
      </c>
      <c r="X1745" s="0" t="n">
        <v>24</v>
      </c>
      <c r="Y1745" s="0" t="n">
        <v>18</v>
      </c>
      <c r="Z1745" s="0" t="inlineStr">
        <is>
          <t>https://new.land.naver.com/complexes/26538?tab=detail&amp;rf=Y</t>
        </is>
      </c>
      <c r="AA1745" s="0" t="inlineStr">
        <is>
          <t>인천시 남동구 서창동 561-1</t>
        </is>
      </c>
      <c r="AB1745" s="0" t="inlineStr">
        <is>
          <t>인천시</t>
        </is>
      </c>
      <c r="AC1745" s="0" t="inlineStr">
        <is>
          <t>남동구</t>
        </is>
      </c>
      <c r="AD1745" s="0" t="inlineStr">
        <is>
          <t>서창동</t>
        </is>
      </c>
      <c r="AG1745" s="0" t="inlineStr">
        <is>
          <t>인천시 남동구 장아산로 157</t>
        </is>
      </c>
      <c r="AH1745" s="0" t="n">
        <v>0</v>
      </c>
      <c r="AI1745" s="0" t="n">
        <v>219</v>
      </c>
      <c r="AJ1745" s="0" t="n">
        <v>16</v>
      </c>
      <c r="AK1745" s="0" t="n">
        <v>785</v>
      </c>
      <c r="AL1745" s="0" t="n">
        <v>1.57</v>
      </c>
    </row>
    <row r="1746">
      <c r="A1746" s="0" t="inlineStr">
        <is>
          <t>[서창동]</t>
        </is>
      </c>
      <c r="B1746" s="0" t="n">
        <v>26538</v>
      </c>
      <c r="C1746" s="0" t="n">
        <v>5</v>
      </c>
      <c r="D1746" s="0" t="inlineStr">
        <is>
          <t>서창자이</t>
        </is>
      </c>
      <c r="E1746" s="0" t="inlineStr">
        <is>
          <t>2008.12.</t>
        </is>
      </c>
      <c r="F1746" s="0" t="n">
        <v>500</v>
      </c>
      <c r="G1746" s="0" t="n">
        <v>51.9</v>
      </c>
      <c r="H1746" s="0" t="n">
        <v>171.6</v>
      </c>
      <c r="I1746" s="0" t="n">
        <v>42.9</v>
      </c>
      <c r="J1746" s="0" t="n">
        <v>141.85</v>
      </c>
      <c r="K1746" s="0" t="n">
        <v>142</v>
      </c>
      <c r="T1746" s="0" t="n">
        <v>4</v>
      </c>
      <c r="U1746" s="0" t="n">
        <v>2</v>
      </c>
      <c r="V1746" s="0" t="inlineStr">
        <is>
          <t>복합식</t>
        </is>
      </c>
      <c r="W1746" s="0" t="n">
        <v>171</v>
      </c>
      <c r="X1746" s="0" t="n">
        <v>24</v>
      </c>
      <c r="Y1746" s="0" t="n">
        <v>18</v>
      </c>
      <c r="Z1746" s="0" t="inlineStr">
        <is>
          <t>https://new.land.naver.com/complexes/26538?tab=detail&amp;rf=Y</t>
        </is>
      </c>
      <c r="AA1746" s="0" t="inlineStr">
        <is>
          <t>인천시 남동구 서창동 561-1</t>
        </is>
      </c>
      <c r="AB1746" s="0" t="inlineStr">
        <is>
          <t>인천시</t>
        </is>
      </c>
      <c r="AC1746" s="0" t="inlineStr">
        <is>
          <t>남동구</t>
        </is>
      </c>
      <c r="AD1746" s="0" t="inlineStr">
        <is>
          <t>서창동</t>
        </is>
      </c>
      <c r="AG1746" s="0" t="inlineStr">
        <is>
          <t>인천시 남동구 장아산로 157</t>
        </is>
      </c>
      <c r="AH1746" s="0" t="n">
        <v>0</v>
      </c>
      <c r="AI1746" s="0" t="n">
        <v>219</v>
      </c>
      <c r="AJ1746" s="0" t="n">
        <v>16</v>
      </c>
      <c r="AK1746" s="0" t="n">
        <v>785</v>
      </c>
      <c r="AL1746" s="0" t="n">
        <v>1.57</v>
      </c>
    </row>
    <row r="1747">
      <c r="A1747" s="0" t="inlineStr">
        <is>
          <t>[장수동]</t>
        </is>
      </c>
      <c r="B1747" s="0" t="n">
        <v>101778</v>
      </c>
      <c r="C1747" s="0" t="n">
        <v>1</v>
      </c>
      <c r="D1747" s="0" t="inlineStr">
        <is>
          <t>장자마을한별렉스힐</t>
        </is>
      </c>
      <c r="E1747" s="0" t="inlineStr">
        <is>
          <t>2007.06.</t>
        </is>
      </c>
      <c r="F1747" s="0" t="n">
        <v>60</v>
      </c>
      <c r="G1747" s="0" t="n">
        <v>59.51</v>
      </c>
      <c r="H1747" s="0" t="n">
        <v>196.74</v>
      </c>
      <c r="I1747" s="0" t="n">
        <v>50.14</v>
      </c>
      <c r="J1747" s="0" t="n">
        <v>165.76</v>
      </c>
      <c r="K1747" s="0" t="n">
        <v>60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196</v>
      </c>
      <c r="X1747" s="0" t="n">
        <v>6</v>
      </c>
      <c r="Y1747" s="0" t="n">
        <v>6</v>
      </c>
      <c r="Z1747" s="0" t="inlineStr">
        <is>
          <t>https://new.land.naver.com/complexes/101778?tab=detail&amp;rf=Y</t>
        </is>
      </c>
      <c r="AA1747" s="0" t="inlineStr">
        <is>
          <t>인천시 남동구 장수동 774</t>
        </is>
      </c>
      <c r="AB1747" s="0" t="inlineStr">
        <is>
          <t>인천시</t>
        </is>
      </c>
      <c r="AC1747" s="0" t="inlineStr">
        <is>
          <t>남동구</t>
        </is>
      </c>
      <c r="AD1747" s="0" t="inlineStr">
        <is>
          <t>장수동</t>
        </is>
      </c>
      <c r="AG1747" s="0" t="inlineStr">
        <is>
          <t>인천시 남동구 장자북로 47</t>
        </is>
      </c>
      <c r="AH1747" s="0" t="n">
        <v>0</v>
      </c>
      <c r="AI1747" s="0" t="n">
        <v>156</v>
      </c>
      <c r="AJ1747" s="0" t="n">
        <v>33</v>
      </c>
      <c r="AK1747" s="0" t="n">
        <v>153</v>
      </c>
      <c r="AL1747" s="0" t="n">
        <v>2.55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9" sqref="A129:XFD1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간석동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한진</t>
        </is>
      </c>
      <c r="B6" s="16" t="inlineStr">
        <is>
          <t>'81.04.</t>
        </is>
      </c>
      <c r="C6" s="164" t="n">
        <v>600</v>
      </c>
      <c r="D6" s="161" t="n">
        <v>58.3</v>
      </c>
      <c r="E6" s="163" t="n">
        <v>18</v>
      </c>
      <c r="F6" s="161" t="n">
        <v>54.5</v>
      </c>
      <c r="G6" s="27" t="n">
        <v>16</v>
      </c>
      <c r="H6" s="164" t="n">
        <v>77</v>
      </c>
      <c r="I6" s="165" t="n">
        <v>32000</v>
      </c>
      <c r="J6" s="165" t="inlineStr">
        <is>
          <t>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inlineStr">
        <is>
          <t>58A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한진</t>
        </is>
      </c>
      <c r="B7" s="16" t="inlineStr">
        <is>
          <t>'81.04.</t>
        </is>
      </c>
      <c r="C7" s="164" t="n">
        <v>600</v>
      </c>
      <c r="D7" s="161" t="n">
        <v>58.8</v>
      </c>
      <c r="E7" s="163" t="n">
        <v>18</v>
      </c>
      <c r="F7" s="161" t="n">
        <v>54.8</v>
      </c>
      <c r="G7" s="27" t="n">
        <v>17</v>
      </c>
      <c r="H7" s="164" t="n">
        <v>11</v>
      </c>
      <c r="I7" s="165" t="n">
        <v>36000</v>
      </c>
      <c r="J7" s="165" t="inlineStr">
        <is>
          <t>9</t>
        </is>
      </c>
      <c r="K7" s="165" t="n">
        <v>17000</v>
      </c>
      <c r="L7" s="165" t="inlineStr">
        <is>
          <t>11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inlineStr">
        <is>
          <t>58D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한진</t>
        </is>
      </c>
      <c r="B8" s="16" t="inlineStr">
        <is>
          <t>'81.04.</t>
        </is>
      </c>
      <c r="C8" s="164" t="n">
        <v>600</v>
      </c>
      <c r="D8" s="161" t="n">
        <v>58.4</v>
      </c>
      <c r="E8" s="163" t="n">
        <v>18</v>
      </c>
      <c r="F8" s="161" t="n">
        <v>54.6</v>
      </c>
      <c r="G8" s="27" t="n">
        <v>17</v>
      </c>
      <c r="H8" s="164" t="n">
        <v>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inlineStr">
        <is>
          <t>58B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한진</t>
        </is>
      </c>
      <c r="B9" s="16" t="inlineStr">
        <is>
          <t>'81.04.</t>
        </is>
      </c>
      <c r="C9" s="164" t="n">
        <v>600</v>
      </c>
      <c r="D9" s="161" t="n">
        <v>58.7</v>
      </c>
      <c r="E9" s="163" t="n">
        <v>18</v>
      </c>
      <c r="F9" s="161" t="n">
        <v>54.7</v>
      </c>
      <c r="G9" s="27" t="n">
        <v>17</v>
      </c>
      <c r="H9" s="164" t="n">
        <v>1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inlineStr">
        <is>
          <t>58C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한진</t>
        </is>
      </c>
      <c r="B10" s="16" t="inlineStr">
        <is>
          <t>'81.04.</t>
        </is>
      </c>
      <c r="C10" s="164" t="n">
        <v>600</v>
      </c>
      <c r="D10" s="161" t="n">
        <v>64.40000000000001</v>
      </c>
      <c r="E10" s="163" t="n">
        <v>19</v>
      </c>
      <c r="F10" s="161" t="n">
        <v>60.1</v>
      </c>
      <c r="G10" s="27" t="n">
        <v>18</v>
      </c>
      <c r="H10" s="164" t="n">
        <v>36</v>
      </c>
      <c r="I10" s="165" t="n">
        <v>38000</v>
      </c>
      <c r="J10" s="165" t="inlineStr">
        <is>
          <t>10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n">
        <v>64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한진</t>
        </is>
      </c>
      <c r="B11" s="16" t="inlineStr">
        <is>
          <t>'81.04.</t>
        </is>
      </c>
      <c r="C11" s="164" t="n">
        <v>600</v>
      </c>
      <c r="D11" s="161" t="n">
        <v>64.59999999999999</v>
      </c>
      <c r="E11" s="163" t="n">
        <v>20</v>
      </c>
      <c r="F11" s="161" t="n">
        <v>60.2</v>
      </c>
      <c r="G11" s="27" t="n">
        <v>18</v>
      </c>
      <c r="H11" s="164" t="n">
        <v>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64A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한진</t>
        </is>
      </c>
      <c r="B12" s="16" t="inlineStr">
        <is>
          <t>'81.04.</t>
        </is>
      </c>
      <c r="C12" s="164" t="n">
        <v>600</v>
      </c>
      <c r="D12" s="161" t="n">
        <v>65.5</v>
      </c>
      <c r="E12" s="163" t="n">
        <v>20</v>
      </c>
      <c r="F12" s="161" t="n">
        <v>61.2</v>
      </c>
      <c r="G12" s="27" t="n">
        <v>19</v>
      </c>
      <c r="H12" s="164" t="n">
        <v>188</v>
      </c>
      <c r="I12" s="165" t="n">
        <v>32000</v>
      </c>
      <c r="J12" s="165" t="inlineStr">
        <is>
          <t>9</t>
        </is>
      </c>
      <c r="K12" s="165" t="n">
        <v>22000</v>
      </c>
      <c r="L12" s="165" t="inlineStr">
        <is>
          <t>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inlineStr">
        <is>
          <t>65D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한진</t>
        </is>
      </c>
      <c r="B13" s="16" t="inlineStr">
        <is>
          <t>'81.04.</t>
        </is>
      </c>
      <c r="C13" s="164" t="n">
        <v>600</v>
      </c>
      <c r="D13" s="161" t="n">
        <v>65.2</v>
      </c>
      <c r="E13" s="163" t="n">
        <v>20</v>
      </c>
      <c r="F13" s="161" t="n">
        <v>60.6</v>
      </c>
      <c r="G13" s="27" t="n">
        <v>18</v>
      </c>
      <c r="H13" s="164" t="n">
        <v>85</v>
      </c>
      <c r="I13" s="165" t="n">
        <v>34000</v>
      </c>
      <c r="J13" s="165" t="inlineStr">
        <is>
          <t>6</t>
        </is>
      </c>
      <c r="K13" s="165" t="n">
        <v>22000</v>
      </c>
      <c r="L13" s="165" t="inlineStr">
        <is>
          <t>5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inlineStr">
        <is>
          <t>65B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한진</t>
        </is>
      </c>
      <c r="B14" s="16" t="inlineStr">
        <is>
          <t>'81.04.</t>
        </is>
      </c>
      <c r="C14" s="164" t="n">
        <v>600</v>
      </c>
      <c r="D14" s="161" t="n">
        <v>65.90000000000001</v>
      </c>
      <c r="E14" s="163" t="n">
        <v>20</v>
      </c>
      <c r="F14" s="161" t="n">
        <v>61.4</v>
      </c>
      <c r="G14" s="27" t="n">
        <v>19</v>
      </c>
      <c r="H14" s="164" t="n">
        <v>32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inlineStr">
        <is>
          <t>65F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한진</t>
        </is>
      </c>
      <c r="B15" s="16" t="inlineStr">
        <is>
          <t>'81.04.</t>
        </is>
      </c>
      <c r="C15" s="164" t="n">
        <v>600</v>
      </c>
      <c r="D15" s="161" t="n">
        <v>65.5</v>
      </c>
      <c r="E15" s="163" t="n">
        <v>20</v>
      </c>
      <c r="F15" s="161" t="n">
        <v>61.2</v>
      </c>
      <c r="G15" s="27" t="n">
        <v>19</v>
      </c>
      <c r="H15" s="164" t="n">
        <v>18</v>
      </c>
      <c r="I15" s="165" t="n">
        <v>32000</v>
      </c>
      <c r="J15" s="165" t="inlineStr">
        <is>
          <t>9</t>
        </is>
      </c>
      <c r="K15" s="165" t="n">
        <v>22000</v>
      </c>
      <c r="L15" s="165" t="inlineStr">
        <is>
          <t>7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inlineStr">
        <is>
          <t>65E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한진</t>
        </is>
      </c>
      <c r="B16" s="16" t="inlineStr">
        <is>
          <t>'81.04.</t>
        </is>
      </c>
      <c r="C16" s="164" t="n">
        <v>600</v>
      </c>
      <c r="D16" s="161" t="n">
        <v>65.59999999999999</v>
      </c>
      <c r="E16" s="163" t="n">
        <v>20</v>
      </c>
      <c r="F16" s="161" t="n">
        <v>61</v>
      </c>
      <c r="G16" s="27" t="n">
        <v>18</v>
      </c>
      <c r="H16" s="164" t="n">
        <v>11</v>
      </c>
      <c r="I16" s="165" t="n"/>
      <c r="J16" s="165" t="n"/>
      <c r="K16" s="165" t="n">
        <v>22000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inlineStr">
        <is>
          <t>65C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한진</t>
        </is>
      </c>
      <c r="B17" s="16" t="inlineStr">
        <is>
          <t>'81.04.</t>
        </is>
      </c>
      <c r="C17" s="164" t="n">
        <v>600</v>
      </c>
      <c r="D17" s="161" t="n">
        <v>66</v>
      </c>
      <c r="E17" s="163" t="n">
        <v>20</v>
      </c>
      <c r="F17" s="161" t="n">
        <v>61.6</v>
      </c>
      <c r="G17" s="27" t="n">
        <v>19</v>
      </c>
      <c r="H17" s="164" t="n">
        <v>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복</t>
        </is>
      </c>
      <c r="T17" s="8" t="inlineStr">
        <is>
          <t>66G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한진</t>
        </is>
      </c>
      <c r="B18" s="16" t="inlineStr">
        <is>
          <t>'81.04.</t>
        </is>
      </c>
      <c r="C18" s="164" t="n">
        <v>600</v>
      </c>
      <c r="D18" s="161" t="n">
        <v>67.09999999999999</v>
      </c>
      <c r="E18" s="163" t="n">
        <v>20</v>
      </c>
      <c r="F18" s="161" t="n">
        <v>62.3</v>
      </c>
      <c r="G18" s="27" t="n">
        <v>19</v>
      </c>
      <c r="H18" s="164" t="n">
        <v>60</v>
      </c>
      <c r="I18" s="165" t="n">
        <v>34000</v>
      </c>
      <c r="J18" s="165" t="inlineStr">
        <is>
          <t>10</t>
        </is>
      </c>
      <c r="K18" s="165" t="n">
        <v>18000</v>
      </c>
      <c r="L18" s="165" t="inlineStr">
        <is>
          <t>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inlineStr">
        <is>
          <t>67H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한진</t>
        </is>
      </c>
      <c r="B19" s="16" t="inlineStr">
        <is>
          <t>'81.04.</t>
        </is>
      </c>
      <c r="C19" s="164" t="n">
        <v>600</v>
      </c>
      <c r="D19" s="161" t="n">
        <v>67.40000000000001</v>
      </c>
      <c r="E19" s="163" t="n">
        <v>20</v>
      </c>
      <c r="F19" s="161" t="n">
        <v>62.5</v>
      </c>
      <c r="G19" s="27" t="n">
        <v>19</v>
      </c>
      <c r="H19" s="164" t="n">
        <v>12</v>
      </c>
      <c r="I19" s="165" t="n">
        <v>40000</v>
      </c>
      <c r="J19" s="165" t="inlineStr">
        <is>
          <t>9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inlineStr">
        <is>
          <t>67I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한진</t>
        </is>
      </c>
      <c r="B20" s="16" t="inlineStr">
        <is>
          <t>'81.04.</t>
        </is>
      </c>
      <c r="C20" s="164" t="n">
        <v>600</v>
      </c>
      <c r="D20" s="161" t="n">
        <v>109.4</v>
      </c>
      <c r="E20" s="163" t="n">
        <v>33</v>
      </c>
      <c r="F20" s="161" t="n">
        <v>102.2</v>
      </c>
      <c r="G20" s="27" t="n">
        <v>31</v>
      </c>
      <c r="H20" s="164" t="n">
        <v>33</v>
      </c>
      <c r="I20" s="165" t="n">
        <v>52000</v>
      </c>
      <c r="J20" s="165" t="inlineStr">
        <is>
          <t>11</t>
        </is>
      </c>
      <c r="K20" s="165" t="n">
        <v>30000</v>
      </c>
      <c r="L20" s="165" t="inlineStr">
        <is>
          <t>11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1</v>
      </c>
      <c r="S20" s="113" t="inlineStr">
        <is>
          <t>복</t>
        </is>
      </c>
      <c r="T20" s="8" t="inlineStr">
        <is>
          <t>109A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한진</t>
        </is>
      </c>
      <c r="B21" s="16" t="inlineStr">
        <is>
          <t>'81.04.</t>
        </is>
      </c>
      <c r="C21" s="164" t="n">
        <v>600</v>
      </c>
      <c r="D21" s="161" t="n">
        <v>109.6</v>
      </c>
      <c r="E21" s="163" t="n">
        <v>33</v>
      </c>
      <c r="F21" s="161" t="n">
        <v>102.2</v>
      </c>
      <c r="G21" s="27" t="n">
        <v>31</v>
      </c>
      <c r="H21" s="164" t="n">
        <v>14</v>
      </c>
      <c r="I21" s="165" t="n">
        <v>59500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1</v>
      </c>
      <c r="S21" s="113" t="inlineStr">
        <is>
          <t>복</t>
        </is>
      </c>
      <c r="T21" s="8" t="inlineStr">
        <is>
          <t>109B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한진</t>
        </is>
      </c>
      <c r="B22" s="16" t="inlineStr">
        <is>
          <t>'81.04.</t>
        </is>
      </c>
      <c r="C22" s="164" t="n">
        <v>600</v>
      </c>
      <c r="D22" s="161" t="n">
        <v>109.7</v>
      </c>
      <c r="E22" s="163" t="n">
        <v>33</v>
      </c>
      <c r="F22" s="161" t="n">
        <v>102.3</v>
      </c>
      <c r="G22" s="27" t="n">
        <v>31</v>
      </c>
      <c r="H22" s="164" t="n">
        <v>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1</v>
      </c>
      <c r="S22" s="113" t="inlineStr">
        <is>
          <t>복</t>
        </is>
      </c>
      <c r="T22" s="8" t="inlineStr">
        <is>
          <t>109C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태화</t>
        </is>
      </c>
      <c r="B24" s="16" t="inlineStr">
        <is>
          <t>'94.10.</t>
        </is>
      </c>
      <c r="C24" s="164" t="n">
        <v>464</v>
      </c>
      <c r="D24" s="161" t="n">
        <v>78.5</v>
      </c>
      <c r="E24" s="163" t="n">
        <v>24</v>
      </c>
      <c r="F24" s="161" t="n">
        <v>59.9</v>
      </c>
      <c r="G24" s="27" t="n">
        <v>18</v>
      </c>
      <c r="H24" s="164" t="n">
        <v>186</v>
      </c>
      <c r="I24" s="165" t="n">
        <v>28000</v>
      </c>
      <c r="J24" s="165" t="inlineStr">
        <is>
          <t>12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78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태화</t>
        </is>
      </c>
      <c r="B25" s="16" t="inlineStr">
        <is>
          <t>'94.10.</t>
        </is>
      </c>
      <c r="C25" s="164" t="n">
        <v>464</v>
      </c>
      <c r="D25" s="161" t="n">
        <v>104.7</v>
      </c>
      <c r="E25" s="163" t="n">
        <v>32</v>
      </c>
      <c r="F25" s="161" t="n">
        <v>84.59999999999999</v>
      </c>
      <c r="G25" s="27" t="n">
        <v>26</v>
      </c>
      <c r="H25" s="164" t="n">
        <v>238</v>
      </c>
      <c r="I25" s="165" t="n">
        <v>34500</v>
      </c>
      <c r="J25" s="165" t="inlineStr">
        <is>
          <t>14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태화</t>
        </is>
      </c>
      <c r="B26" s="16" t="inlineStr">
        <is>
          <t>'94.10.</t>
        </is>
      </c>
      <c r="C26" s="164" t="n">
        <v>464</v>
      </c>
      <c r="D26" s="161" t="n">
        <v>148.3</v>
      </c>
      <c r="E26" s="163" t="n">
        <v>45</v>
      </c>
      <c r="F26" s="161" t="n">
        <v>124.5</v>
      </c>
      <c r="G26" s="27" t="n">
        <v>38</v>
      </c>
      <c r="H26" s="164" t="n">
        <v>40</v>
      </c>
      <c r="I26" s="165" t="n">
        <v>49000</v>
      </c>
      <c r="J26" s="165" t="inlineStr">
        <is>
          <t>7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영남</t>
        </is>
      </c>
      <c r="B28" s="16" t="inlineStr">
        <is>
          <t>'88.10.</t>
        </is>
      </c>
      <c r="C28" s="164" t="n">
        <v>282</v>
      </c>
      <c r="D28" s="161" t="n">
        <v>56.6</v>
      </c>
      <c r="E28" s="163" t="n">
        <v>17</v>
      </c>
      <c r="F28" s="161" t="n">
        <v>43.6</v>
      </c>
      <c r="G28" s="27" t="n">
        <v>13</v>
      </c>
      <c r="H28" s="164" t="n">
        <v>204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영남</t>
        </is>
      </c>
      <c r="B29" s="16" t="inlineStr">
        <is>
          <t>'88.10.</t>
        </is>
      </c>
      <c r="C29" s="164" t="n">
        <v>282</v>
      </c>
      <c r="D29" s="161" t="n">
        <v>68.7</v>
      </c>
      <c r="E29" s="163" t="n">
        <v>21</v>
      </c>
      <c r="F29" s="161" t="n">
        <v>54</v>
      </c>
      <c r="G29" s="27" t="n">
        <v>16</v>
      </c>
      <c r="H29" s="164" t="n">
        <v>72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68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영남</t>
        </is>
      </c>
      <c r="B30" s="16" t="inlineStr">
        <is>
          <t>'88.10.</t>
        </is>
      </c>
      <c r="C30" s="164" t="n">
        <v>282</v>
      </c>
      <c r="D30" s="161" t="n">
        <v>73</v>
      </c>
      <c r="E30" s="163" t="n">
        <v>22</v>
      </c>
      <c r="F30" s="161" t="n">
        <v>52.6</v>
      </c>
      <c r="G30" s="27" t="n">
        <v>16</v>
      </c>
      <c r="H30" s="164" t="n">
        <v>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극동</t>
        </is>
      </c>
      <c r="B32" s="16" t="inlineStr">
        <is>
          <t>'89.05.</t>
        </is>
      </c>
      <c r="C32" s="164" t="n">
        <v>760</v>
      </c>
      <c r="D32" s="161" t="n">
        <v>53.7</v>
      </c>
      <c r="E32" s="163" t="n">
        <v>16</v>
      </c>
      <c r="F32" s="161" t="n">
        <v>40.6</v>
      </c>
      <c r="G32" s="27" t="n">
        <v>12</v>
      </c>
      <c r="H32" s="164" t="n">
        <v>96</v>
      </c>
      <c r="I32" s="165" t="n">
        <v>36000</v>
      </c>
      <c r="J32" s="165" t="inlineStr">
        <is>
          <t>12</t>
        </is>
      </c>
      <c r="K32" s="165" t="n">
        <v>19000</v>
      </c>
      <c r="L32" s="165" t="inlineStr">
        <is>
          <t>10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복</t>
        </is>
      </c>
      <c r="T32" s="8" t="n">
        <v>53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</t>
        </is>
      </c>
      <c r="B33" s="16" t="inlineStr">
        <is>
          <t>'89.05.</t>
        </is>
      </c>
      <c r="C33" s="164" t="n">
        <v>760</v>
      </c>
      <c r="D33" s="161" t="n">
        <v>61.7</v>
      </c>
      <c r="E33" s="163" t="n">
        <v>19</v>
      </c>
      <c r="F33" s="161" t="n">
        <v>46.7</v>
      </c>
      <c r="G33" s="27" t="n">
        <v>14</v>
      </c>
      <c r="H33" s="164" t="n">
        <v>96</v>
      </c>
      <c r="I33" s="165" t="n">
        <v>49000</v>
      </c>
      <c r="J33" s="165" t="inlineStr">
        <is>
          <t>6</t>
        </is>
      </c>
      <c r="K33" s="165" t="n">
        <v>18000</v>
      </c>
      <c r="L33" s="165" t="inlineStr">
        <is>
          <t>12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n">
        <v>61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극동</t>
        </is>
      </c>
      <c r="B34" s="16" t="inlineStr">
        <is>
          <t>'89.05.</t>
        </is>
      </c>
      <c r="C34" s="164" t="n">
        <v>760</v>
      </c>
      <c r="D34" s="161" t="n">
        <v>64.8</v>
      </c>
      <c r="E34" s="163" t="n">
        <v>20</v>
      </c>
      <c r="F34" s="161" t="n">
        <v>50.9</v>
      </c>
      <c r="G34" s="27" t="n">
        <v>15</v>
      </c>
      <c r="H34" s="164" t="n">
        <v>148</v>
      </c>
      <c r="I34" s="165" t="n">
        <v>49000</v>
      </c>
      <c r="J34" s="165" t="inlineStr">
        <is>
          <t>9</t>
        </is>
      </c>
      <c r="K34" s="165" t="n">
        <v>21000</v>
      </c>
      <c r="L34" s="165" t="inlineStr">
        <is>
          <t>12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복</t>
        </is>
      </c>
      <c r="T34" s="8" t="n">
        <v>64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극동</t>
        </is>
      </c>
      <c r="B35" s="16" t="inlineStr">
        <is>
          <t>'89.05.</t>
        </is>
      </c>
      <c r="C35" s="164" t="n">
        <v>760</v>
      </c>
      <c r="D35" s="161" t="n">
        <v>71.7</v>
      </c>
      <c r="E35" s="163" t="n">
        <v>22</v>
      </c>
      <c r="F35" s="161" t="n">
        <v>56.4</v>
      </c>
      <c r="G35" s="27" t="n">
        <v>17</v>
      </c>
      <c r="H35" s="164" t="n">
        <v>148</v>
      </c>
      <c r="I35" s="165" t="n">
        <v>49000</v>
      </c>
      <c r="J35" s="165" t="inlineStr">
        <is>
          <t>5</t>
        </is>
      </c>
      <c r="K35" s="165" t="n">
        <v>21000</v>
      </c>
      <c r="L35" s="165" t="inlineStr">
        <is>
          <t>12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n">
        <v>71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극동</t>
        </is>
      </c>
      <c r="B36" s="16" t="inlineStr">
        <is>
          <t>'89.05.</t>
        </is>
      </c>
      <c r="C36" s="164" t="n">
        <v>760</v>
      </c>
      <c r="D36" s="161" t="n">
        <v>86</v>
      </c>
      <c r="E36" s="163" t="n">
        <v>26</v>
      </c>
      <c r="F36" s="161" t="n">
        <v>70.8</v>
      </c>
      <c r="G36" s="27" t="n">
        <v>21</v>
      </c>
      <c r="H36" s="164" t="n">
        <v>200</v>
      </c>
      <c r="I36" s="165" t="n">
        <v>58000</v>
      </c>
      <c r="J36" s="165" t="inlineStr">
        <is>
          <t>8</t>
        </is>
      </c>
      <c r="K36" s="165" t="n">
        <v>24000</v>
      </c>
      <c r="L36" s="165" t="inlineStr">
        <is>
          <t>8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86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극동</t>
        </is>
      </c>
      <c r="B37" s="16" t="inlineStr">
        <is>
          <t>'89.05.</t>
        </is>
      </c>
      <c r="C37" s="164" t="n">
        <v>760</v>
      </c>
      <c r="D37" s="161" t="n">
        <v>103.3</v>
      </c>
      <c r="E37" s="163" t="n">
        <v>31</v>
      </c>
      <c r="F37" s="161" t="n">
        <v>85</v>
      </c>
      <c r="G37" s="27" t="n">
        <v>26</v>
      </c>
      <c r="H37" s="164" t="n">
        <v>72</v>
      </c>
      <c r="I37" s="165" t="n"/>
      <c r="J37" s="165" t="n"/>
      <c r="K37" s="165" t="n">
        <v>35000</v>
      </c>
      <c r="L37" s="165" t="inlineStr">
        <is>
          <t>7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103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어울림마을</t>
        </is>
      </c>
      <c r="B39" s="16" t="inlineStr">
        <is>
          <t>'05.10.</t>
        </is>
      </c>
      <c r="C39" s="164" t="n">
        <v>1733</v>
      </c>
      <c r="D39" s="161" t="n">
        <v>77.7</v>
      </c>
      <c r="E39" s="163" t="n">
        <v>24</v>
      </c>
      <c r="F39" s="161" t="n">
        <v>59.9</v>
      </c>
      <c r="G39" s="27" t="n">
        <v>18</v>
      </c>
      <c r="H39" s="164" t="n">
        <v>160</v>
      </c>
      <c r="I39" s="165" t="n">
        <v>45000</v>
      </c>
      <c r="J39" s="165" t="inlineStr">
        <is>
          <t>고</t>
        </is>
      </c>
      <c r="K39" s="165" t="n">
        <v>28000</v>
      </c>
      <c r="L39" s="165" t="inlineStr">
        <is>
          <t>중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어울림마을</t>
        </is>
      </c>
      <c r="B40" s="16" t="inlineStr">
        <is>
          <t>'05.10.</t>
        </is>
      </c>
      <c r="C40" s="164" t="n">
        <v>1733</v>
      </c>
      <c r="D40" s="161" t="n">
        <v>102.4</v>
      </c>
      <c r="E40" s="163" t="n">
        <v>31</v>
      </c>
      <c r="F40" s="161" t="n">
        <v>78.90000000000001</v>
      </c>
      <c r="G40" s="27" t="n">
        <v>24</v>
      </c>
      <c r="H40" s="164" t="n">
        <v>72</v>
      </c>
      <c r="I40" s="165" t="n">
        <v>48000</v>
      </c>
      <c r="J40" s="165" t="inlineStr">
        <is>
          <t>14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102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어울림마을</t>
        </is>
      </c>
      <c r="B41" s="16" t="inlineStr">
        <is>
          <t>'05.10.</t>
        </is>
      </c>
      <c r="C41" s="164" t="n">
        <v>1733</v>
      </c>
      <c r="D41" s="161" t="n">
        <v>110.2</v>
      </c>
      <c r="E41" s="163" t="n">
        <v>33</v>
      </c>
      <c r="F41" s="161" t="n">
        <v>85</v>
      </c>
      <c r="G41" s="27" t="n">
        <v>26</v>
      </c>
      <c r="H41" s="164" t="n">
        <v>988</v>
      </c>
      <c r="I41" s="165" t="n">
        <v>45500</v>
      </c>
      <c r="J41" s="165" t="inlineStr">
        <is>
          <t>10</t>
        </is>
      </c>
      <c r="K41" s="165" t="n">
        <v>30000</v>
      </c>
      <c r="L41" s="165" t="inlineStr">
        <is>
          <t>21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110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어울림마을</t>
        </is>
      </c>
      <c r="B42" s="16" t="inlineStr">
        <is>
          <t>'05.10.</t>
        </is>
      </c>
      <c r="C42" s="164" t="n">
        <v>1733</v>
      </c>
      <c r="D42" s="161" t="n">
        <v>130.9</v>
      </c>
      <c r="E42" s="163" t="n">
        <v>40</v>
      </c>
      <c r="F42" s="161" t="n">
        <v>100.9</v>
      </c>
      <c r="G42" s="27" t="n">
        <v>31</v>
      </c>
      <c r="H42" s="164" t="n">
        <v>96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130B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어울림마을</t>
        </is>
      </c>
      <c r="B43" s="16" t="inlineStr">
        <is>
          <t>'05.10.</t>
        </is>
      </c>
      <c r="C43" s="164" t="n">
        <v>1733</v>
      </c>
      <c r="D43" s="161" t="n">
        <v>132</v>
      </c>
      <c r="E43" s="163" t="n">
        <v>40</v>
      </c>
      <c r="F43" s="161" t="n">
        <v>101.7</v>
      </c>
      <c r="G43" s="27" t="n">
        <v>31</v>
      </c>
      <c r="H43" s="164" t="n">
        <v>139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131A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어울림마을</t>
        </is>
      </c>
      <c r="B44" s="16" t="inlineStr">
        <is>
          <t>'05.10.</t>
        </is>
      </c>
      <c r="C44" s="164" t="n">
        <v>1733</v>
      </c>
      <c r="D44" s="161" t="n">
        <v>163.9</v>
      </c>
      <c r="E44" s="163" t="n">
        <v>50</v>
      </c>
      <c r="F44" s="161" t="n">
        <v>126.3</v>
      </c>
      <c r="G44" s="27" t="n">
        <v>38</v>
      </c>
      <c r="H44" s="164" t="n">
        <v>278</v>
      </c>
      <c r="I44" s="165" t="n">
        <v>60000</v>
      </c>
      <c r="J44" s="165" t="inlineStr">
        <is>
          <t>11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163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팬더</t>
        </is>
      </c>
      <c r="B46" s="16" t="inlineStr">
        <is>
          <t>'88.06.</t>
        </is>
      </c>
      <c r="C46" s="164" t="n">
        <v>246</v>
      </c>
      <c r="D46" s="161" t="n">
        <v>47.2</v>
      </c>
      <c r="E46" s="163" t="n">
        <v>14</v>
      </c>
      <c r="F46" s="161" t="n">
        <v>35.6</v>
      </c>
      <c r="G46" s="27" t="n">
        <v>11</v>
      </c>
      <c r="H46" s="164" t="n">
        <v>8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47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팬더</t>
        </is>
      </c>
      <c r="B47" s="16" t="inlineStr">
        <is>
          <t>'88.06.</t>
        </is>
      </c>
      <c r="C47" s="164" t="n">
        <v>246</v>
      </c>
      <c r="D47" s="161" t="n">
        <v>50.4</v>
      </c>
      <c r="E47" s="163" t="n">
        <v>15</v>
      </c>
      <c r="F47" s="161" t="n">
        <v>38.8</v>
      </c>
      <c r="G47" s="27" t="n">
        <v>12</v>
      </c>
      <c r="H47" s="164" t="n">
        <v>40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n">
        <v>50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팬더</t>
        </is>
      </c>
      <c r="B48" s="16" t="inlineStr">
        <is>
          <t>'88.06.</t>
        </is>
      </c>
      <c r="C48" s="164" t="n">
        <v>246</v>
      </c>
      <c r="D48" s="161" t="n">
        <v>52.9</v>
      </c>
      <c r="E48" s="163" t="n">
        <v>16</v>
      </c>
      <c r="F48" s="161" t="n">
        <v>42.6</v>
      </c>
      <c r="G48" s="27" t="n">
        <v>13</v>
      </c>
      <c r="H48" s="164" t="n">
        <v>102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n">
        <v>52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팬더</t>
        </is>
      </c>
      <c r="B49" s="16" t="inlineStr">
        <is>
          <t>'88.06.</t>
        </is>
      </c>
      <c r="C49" s="164" t="n">
        <v>246</v>
      </c>
      <c r="D49" s="161" t="n">
        <v>57.9</v>
      </c>
      <c r="E49" s="163" t="n">
        <v>18</v>
      </c>
      <c r="F49" s="161" t="n">
        <v>46.4</v>
      </c>
      <c r="G49" s="27" t="n">
        <v>14</v>
      </c>
      <c r="H49" s="164" t="n">
        <v>48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계</t>
        </is>
      </c>
      <c r="T49" s="8" t="n">
        <v>57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팬더</t>
        </is>
      </c>
      <c r="B50" s="16" t="inlineStr">
        <is>
          <t>'88.06.</t>
        </is>
      </c>
      <c r="C50" s="164" t="n">
        <v>246</v>
      </c>
      <c r="D50" s="161" t="n">
        <v>65.2</v>
      </c>
      <c r="E50" s="163" t="n">
        <v>20</v>
      </c>
      <c r="F50" s="161" t="n">
        <v>53.7</v>
      </c>
      <c r="G50" s="27" t="n">
        <v>16</v>
      </c>
      <c r="H50" s="164" t="n">
        <v>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65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신한</t>
        </is>
      </c>
      <c r="B52" s="16" t="inlineStr">
        <is>
          <t>'90.04.</t>
        </is>
      </c>
      <c r="C52" s="164" t="n">
        <v>216</v>
      </c>
      <c r="D52" s="161" t="n">
        <v>64.8</v>
      </c>
      <c r="E52" s="163" t="n">
        <v>20</v>
      </c>
      <c r="F52" s="161" t="n">
        <v>51.7</v>
      </c>
      <c r="G52" s="27" t="n">
        <v>16</v>
      </c>
      <c r="H52" s="164" t="n">
        <v>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계</t>
        </is>
      </c>
      <c r="T52" s="8" t="n">
        <v>64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신한</t>
        </is>
      </c>
      <c r="B53" s="16" t="inlineStr">
        <is>
          <t>'90.04.</t>
        </is>
      </c>
      <c r="C53" s="164" t="n">
        <v>216</v>
      </c>
      <c r="D53" s="161" t="n">
        <v>67.90000000000001</v>
      </c>
      <c r="E53" s="163" t="n">
        <v>21</v>
      </c>
      <c r="F53" s="161" t="n">
        <v>54.5</v>
      </c>
      <c r="G53" s="27" t="n">
        <v>16</v>
      </c>
      <c r="H53" s="164" t="n">
        <v>60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inlineStr">
        <is>
          <t>67A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신한</t>
        </is>
      </c>
      <c r="B54" s="16" t="inlineStr">
        <is>
          <t>'90.04.</t>
        </is>
      </c>
      <c r="C54" s="164" t="n">
        <v>216</v>
      </c>
      <c r="D54" s="161" t="n">
        <v>70</v>
      </c>
      <c r="E54" s="163" t="n">
        <v>21</v>
      </c>
      <c r="F54" s="161" t="n">
        <v>56.3</v>
      </c>
      <c r="G54" s="27" t="n">
        <v>17</v>
      </c>
      <c r="H54" s="164" t="n">
        <v>12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inlineStr">
        <is>
          <t>69B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신한</t>
        </is>
      </c>
      <c r="B55" s="16" t="inlineStr">
        <is>
          <t>'90.04.</t>
        </is>
      </c>
      <c r="C55" s="164" t="n">
        <v>216</v>
      </c>
      <c r="D55" s="161" t="n">
        <v>73.3</v>
      </c>
      <c r="E55" s="163" t="n">
        <v>22</v>
      </c>
      <c r="F55" s="161" t="n">
        <v>59.1</v>
      </c>
      <c r="G55" s="27" t="n">
        <v>18</v>
      </c>
      <c r="H55" s="164" t="n">
        <v>48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inlineStr">
        <is>
          <t>73A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신한</t>
        </is>
      </c>
      <c r="B56" s="16" t="inlineStr">
        <is>
          <t>'90.04.</t>
        </is>
      </c>
      <c r="C56" s="164" t="n">
        <v>216</v>
      </c>
      <c r="D56" s="161" t="n">
        <v>74.3</v>
      </c>
      <c r="E56" s="163" t="n">
        <v>22</v>
      </c>
      <c r="F56" s="161" t="n">
        <v>59.9</v>
      </c>
      <c r="G56" s="27" t="n">
        <v>18</v>
      </c>
      <c r="H56" s="164" t="n">
        <v>60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inlineStr">
        <is>
          <t>74B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신한</t>
        </is>
      </c>
      <c r="B57" s="16" t="inlineStr">
        <is>
          <t>'90.04.</t>
        </is>
      </c>
      <c r="C57" s="164" t="n">
        <v>216</v>
      </c>
      <c r="D57" s="161" t="n">
        <v>85</v>
      </c>
      <c r="E57" s="163" t="n">
        <v>26</v>
      </c>
      <c r="F57" s="161" t="n">
        <v>69.5</v>
      </c>
      <c r="G57" s="27" t="n">
        <v>21</v>
      </c>
      <c r="H57" s="164" t="n">
        <v>30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85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현대홈타운</t>
        </is>
      </c>
      <c r="B59" s="16" t="inlineStr">
        <is>
          <t>'03.04.</t>
        </is>
      </c>
      <c r="C59" s="164" t="n">
        <v>649</v>
      </c>
      <c r="D59" s="161" t="n">
        <v>90.7</v>
      </c>
      <c r="E59" s="163" t="n">
        <v>27</v>
      </c>
      <c r="F59" s="161" t="n">
        <v>76.3</v>
      </c>
      <c r="G59" s="27" t="n">
        <v>23</v>
      </c>
      <c r="H59" s="164" t="n">
        <v>19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90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현대홈타운</t>
        </is>
      </c>
      <c r="B60" s="16" t="inlineStr">
        <is>
          <t>'03.04.</t>
        </is>
      </c>
      <c r="C60" s="164" t="n">
        <v>649</v>
      </c>
      <c r="D60" s="161" t="n">
        <v>101.4</v>
      </c>
      <c r="E60" s="163" t="n">
        <v>31</v>
      </c>
      <c r="F60" s="161" t="n">
        <v>84.90000000000001</v>
      </c>
      <c r="G60" s="27" t="n">
        <v>26</v>
      </c>
      <c r="H60" s="164" t="n">
        <v>274</v>
      </c>
      <c r="I60" s="165" t="n">
        <v>55000</v>
      </c>
      <c r="J60" s="165" t="inlineStr">
        <is>
          <t>6</t>
        </is>
      </c>
      <c r="K60" s="165" t="n">
        <v>32000</v>
      </c>
      <c r="L60" s="165" t="inlineStr">
        <is>
          <t>15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101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현대홈타운</t>
        </is>
      </c>
      <c r="B61" s="16" t="inlineStr">
        <is>
          <t>'03.04.</t>
        </is>
      </c>
      <c r="C61" s="164" t="n">
        <v>649</v>
      </c>
      <c r="D61" s="161" t="n">
        <v>122.4</v>
      </c>
      <c r="E61" s="163" t="n">
        <v>37</v>
      </c>
      <c r="F61" s="161" t="n">
        <v>105.1</v>
      </c>
      <c r="G61" s="27" t="n">
        <v>32</v>
      </c>
      <c r="H61" s="164" t="n">
        <v>160</v>
      </c>
      <c r="I61" s="165" t="n">
        <v>55000</v>
      </c>
      <c r="J61" s="165" t="inlineStr">
        <is>
          <t>10</t>
        </is>
      </c>
      <c r="K61" s="165" t="n">
        <v>42000</v>
      </c>
      <c r="L61" s="165" t="inlineStr">
        <is>
          <t>9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122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현대홈타운</t>
        </is>
      </c>
      <c r="B62" s="16" t="inlineStr">
        <is>
          <t>'03.04.</t>
        </is>
      </c>
      <c r="C62" s="164" t="n">
        <v>649</v>
      </c>
      <c r="D62" s="161" t="n">
        <v>140.6</v>
      </c>
      <c r="E62" s="163" t="n">
        <v>43</v>
      </c>
      <c r="F62" s="161" t="n">
        <v>123.1</v>
      </c>
      <c r="G62" s="27" t="n">
        <v>37</v>
      </c>
      <c r="H62" s="164" t="n">
        <v>110</v>
      </c>
      <c r="I62" s="165" t="n">
        <v>59500</v>
      </c>
      <c r="J62" s="165" t="inlineStr">
        <is>
          <t>중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현대홈타운</t>
        </is>
      </c>
      <c r="B63" s="16" t="inlineStr">
        <is>
          <t>'03.04.</t>
        </is>
      </c>
      <c r="C63" s="164" t="n">
        <v>649</v>
      </c>
      <c r="D63" s="161" t="n">
        <v>159</v>
      </c>
      <c r="E63" s="163" t="n">
        <v>48</v>
      </c>
      <c r="F63" s="161" t="n">
        <v>142.1</v>
      </c>
      <c r="G63" s="27" t="n">
        <v>43</v>
      </c>
      <c r="H63" s="164" t="n">
        <v>86</v>
      </c>
      <c r="I63" s="165" t="n">
        <v>70000</v>
      </c>
      <c r="J63" s="165" t="inlineStr">
        <is>
          <t>10</t>
        </is>
      </c>
      <c r="K63" s="165" t="n">
        <v>40000</v>
      </c>
      <c r="L63" s="165" t="inlineStr">
        <is>
          <t>10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인천간석LH2단지</t>
        </is>
      </c>
      <c r="B65" s="16" t="inlineStr">
        <is>
          <t>'14.10.</t>
        </is>
      </c>
      <c r="C65" s="164" t="n">
        <v>792</v>
      </c>
      <c r="D65" s="161" t="n">
        <v>86.7</v>
      </c>
      <c r="E65" s="163" t="n">
        <v>26</v>
      </c>
      <c r="F65" s="161" t="n">
        <v>59.9</v>
      </c>
      <c r="G65" s="27" t="n">
        <v>18</v>
      </c>
      <c r="H65" s="164" t="n">
        <v>88</v>
      </c>
      <c r="I65" s="165" t="n">
        <v>47000</v>
      </c>
      <c r="J65" s="165" t="inlineStr">
        <is>
          <t>13</t>
        </is>
      </c>
      <c r="K65" s="165" t="n">
        <v>29000</v>
      </c>
      <c r="L65" s="165" t="inlineStr">
        <is>
          <t>9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86A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인천간석LH2단지</t>
        </is>
      </c>
      <c r="B66" s="16" t="inlineStr">
        <is>
          <t>'14.10.</t>
        </is>
      </c>
      <c r="C66" s="164" t="n">
        <v>792</v>
      </c>
      <c r="D66" s="161" t="n">
        <v>98.7</v>
      </c>
      <c r="E66" s="163" t="n">
        <v>30</v>
      </c>
      <c r="F66" s="161" t="n">
        <v>75</v>
      </c>
      <c r="G66" s="27" t="n">
        <v>23</v>
      </c>
      <c r="H66" s="164" t="n">
        <v>50</v>
      </c>
      <c r="I66" s="165" t="n">
        <v>46000</v>
      </c>
      <c r="J66" s="165" t="inlineStr">
        <is>
          <t>14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인천간석LH2단지</t>
        </is>
      </c>
      <c r="B67" s="16" t="inlineStr">
        <is>
          <t>'14.10.</t>
        </is>
      </c>
      <c r="C67" s="164" t="n">
        <v>792</v>
      </c>
      <c r="D67" s="161" t="n">
        <v>98.7</v>
      </c>
      <c r="E67" s="163" t="n">
        <v>30</v>
      </c>
      <c r="F67" s="161" t="n">
        <v>75</v>
      </c>
      <c r="G67" s="27" t="n">
        <v>23</v>
      </c>
      <c r="H67" s="164" t="n">
        <v>36</v>
      </c>
      <c r="I67" s="165" t="n">
        <v>46000</v>
      </c>
      <c r="J67" s="165" t="inlineStr">
        <is>
          <t>14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98C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인천간석LH2단지</t>
        </is>
      </c>
      <c r="B68" s="16" t="inlineStr">
        <is>
          <t>'14.10.</t>
        </is>
      </c>
      <c r="C68" s="164" t="n">
        <v>792</v>
      </c>
      <c r="D68" s="161" t="n">
        <v>98.40000000000001</v>
      </c>
      <c r="E68" s="163" t="n">
        <v>30</v>
      </c>
      <c r="F68" s="161" t="n">
        <v>74.7</v>
      </c>
      <c r="G68" s="27" t="n">
        <v>23</v>
      </c>
      <c r="H68" s="164" t="n">
        <v>18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98B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인천간석LH2단지</t>
        </is>
      </c>
      <c r="B69" s="16" t="inlineStr">
        <is>
          <t>'14.10.</t>
        </is>
      </c>
      <c r="C69" s="164" t="n">
        <v>792</v>
      </c>
      <c r="D69" s="161" t="n">
        <v>113.5</v>
      </c>
      <c r="E69" s="163" t="n">
        <v>34</v>
      </c>
      <c r="F69" s="161" t="n">
        <v>84.8</v>
      </c>
      <c r="G69" s="27" t="n">
        <v>26</v>
      </c>
      <c r="H69" s="164" t="n">
        <v>183</v>
      </c>
      <c r="I69" s="165" t="n">
        <v>50000</v>
      </c>
      <c r="J69" s="165" t="inlineStr">
        <is>
          <t>13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113A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인천간석LH2단지</t>
        </is>
      </c>
      <c r="B70" s="16" t="inlineStr">
        <is>
          <t>'14.10.</t>
        </is>
      </c>
      <c r="C70" s="164" t="n">
        <v>792</v>
      </c>
      <c r="D70" s="161" t="n">
        <v>115</v>
      </c>
      <c r="E70" s="163" t="n">
        <v>35</v>
      </c>
      <c r="F70" s="161" t="n">
        <v>84.90000000000001</v>
      </c>
      <c r="G70" s="27" t="n">
        <v>26</v>
      </c>
      <c r="H70" s="164" t="n">
        <v>162</v>
      </c>
      <c r="I70" s="165" t="n">
        <v>55000</v>
      </c>
      <c r="J70" s="165" t="inlineStr">
        <is>
          <t>28</t>
        </is>
      </c>
      <c r="K70" s="165" t="n">
        <v>29000</v>
      </c>
      <c r="L70" s="165" t="inlineStr">
        <is>
          <t>28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115C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인천간석LH2단지</t>
        </is>
      </c>
      <c r="B71" s="16" t="inlineStr">
        <is>
          <t>'14.10.</t>
        </is>
      </c>
      <c r="C71" s="164" t="n">
        <v>792</v>
      </c>
      <c r="D71" s="161" t="n">
        <v>115</v>
      </c>
      <c r="E71" s="163" t="n">
        <v>35</v>
      </c>
      <c r="F71" s="161" t="n">
        <v>84.90000000000001</v>
      </c>
      <c r="G71" s="27" t="n">
        <v>26</v>
      </c>
      <c r="H71" s="164" t="n">
        <v>128</v>
      </c>
      <c r="I71" s="165" t="n">
        <v>55000</v>
      </c>
      <c r="J71" s="165" t="inlineStr">
        <is>
          <t>28</t>
        </is>
      </c>
      <c r="K71" s="165" t="n">
        <v>29000</v>
      </c>
      <c r="L71" s="165" t="inlineStr">
        <is>
          <t>28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115D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인천간석LH2단지</t>
        </is>
      </c>
      <c r="B72" s="16" t="inlineStr">
        <is>
          <t>'14.10.</t>
        </is>
      </c>
      <c r="C72" s="164" t="n">
        <v>792</v>
      </c>
      <c r="D72" s="161" t="n">
        <v>115.3</v>
      </c>
      <c r="E72" s="163" t="n">
        <v>35</v>
      </c>
      <c r="F72" s="161" t="n">
        <v>85</v>
      </c>
      <c r="G72" s="27" t="n">
        <v>26</v>
      </c>
      <c r="H72" s="164" t="n">
        <v>101</v>
      </c>
      <c r="I72" s="165" t="n">
        <v>57000</v>
      </c>
      <c r="J72" s="165" t="inlineStr">
        <is>
          <t>21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115B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인천간석LH2단지</t>
        </is>
      </c>
      <c r="B73" s="16" t="inlineStr">
        <is>
          <t>'14.10.</t>
        </is>
      </c>
      <c r="C73" s="164" t="n">
        <v>792</v>
      </c>
      <c r="D73" s="161" t="n">
        <v>115</v>
      </c>
      <c r="E73" s="163" t="n">
        <v>35</v>
      </c>
      <c r="F73" s="161" t="n">
        <v>84.90000000000001</v>
      </c>
      <c r="G73" s="27" t="n">
        <v>26</v>
      </c>
      <c r="H73" s="164" t="n">
        <v>26</v>
      </c>
      <c r="I73" s="165" t="n">
        <v>55000</v>
      </c>
      <c r="J73" s="165" t="inlineStr">
        <is>
          <t>28</t>
        </is>
      </c>
      <c r="K73" s="165" t="n">
        <v>29000</v>
      </c>
      <c r="L73" s="165" t="inlineStr">
        <is>
          <t>28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115DN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현대</t>
        </is>
      </c>
      <c r="B75" s="16" t="inlineStr">
        <is>
          <t>'91.08.</t>
        </is>
      </c>
      <c r="C75" s="164" t="n">
        <v>390</v>
      </c>
      <c r="D75" s="161" t="n">
        <v>110.1</v>
      </c>
      <c r="E75" s="163" t="n">
        <v>33</v>
      </c>
      <c r="F75" s="161" t="n">
        <v>85</v>
      </c>
      <c r="G75" s="27" t="n">
        <v>26</v>
      </c>
      <c r="H75" s="164" t="n">
        <v>270</v>
      </c>
      <c r="I75" s="165" t="n">
        <v>40000</v>
      </c>
      <c r="J75" s="165" t="inlineStr">
        <is>
          <t>11</t>
        </is>
      </c>
      <c r="K75" s="165" t="n">
        <v>27000</v>
      </c>
      <c r="L75" s="165" t="inlineStr">
        <is>
          <t>13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110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현대</t>
        </is>
      </c>
      <c r="B76" s="16" t="inlineStr">
        <is>
          <t>'91.08.</t>
        </is>
      </c>
      <c r="C76" s="164" t="n">
        <v>390</v>
      </c>
      <c r="D76" s="161" t="n">
        <v>157.4</v>
      </c>
      <c r="E76" s="163" t="n">
        <v>48</v>
      </c>
      <c r="F76" s="161" t="n">
        <v>127</v>
      </c>
      <c r="G76" s="27" t="n">
        <v>38</v>
      </c>
      <c r="H76" s="164" t="n">
        <v>120</v>
      </c>
      <c r="I76" s="165" t="n">
        <v>48000</v>
      </c>
      <c r="J76" s="165" t="inlineStr">
        <is>
          <t>8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간석래미안자이</t>
        </is>
      </c>
      <c r="B78" s="16" t="inlineStr">
        <is>
          <t>'08.10.</t>
        </is>
      </c>
      <c r="C78" s="164" t="n">
        <v>2432</v>
      </c>
      <c r="D78" s="161" t="n">
        <v>79.7</v>
      </c>
      <c r="E78" s="163" t="n">
        <v>24</v>
      </c>
      <c r="F78" s="161" t="n">
        <v>59.9</v>
      </c>
      <c r="G78" s="27" t="n">
        <v>18</v>
      </c>
      <c r="H78" s="164" t="n">
        <v>487</v>
      </c>
      <c r="I78" s="165" t="n">
        <v>50000</v>
      </c>
      <c r="J78" s="165" t="inlineStr">
        <is>
          <t>6</t>
        </is>
      </c>
      <c r="K78" s="165" t="n">
        <v>31000</v>
      </c>
      <c r="L78" s="165" t="inlineStr">
        <is>
          <t>6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79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간석래미안자이</t>
        </is>
      </c>
      <c r="B79" s="16" t="inlineStr">
        <is>
          <t>'08.10.</t>
        </is>
      </c>
      <c r="C79" s="164" t="n">
        <v>2432</v>
      </c>
      <c r="D79" s="161" t="n">
        <v>111.2</v>
      </c>
      <c r="E79" s="163" t="n">
        <v>34</v>
      </c>
      <c r="F79" s="161" t="n">
        <v>85</v>
      </c>
      <c r="G79" s="27" t="n">
        <v>26</v>
      </c>
      <c r="H79" s="164" t="n">
        <v>324</v>
      </c>
      <c r="I79" s="165" t="n">
        <v>65000</v>
      </c>
      <c r="J79" s="165" t="inlineStr">
        <is>
          <t>고</t>
        </is>
      </c>
      <c r="K79" s="165" t="n">
        <v>43500</v>
      </c>
      <c r="L79" s="165" t="inlineStr">
        <is>
          <t>24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111B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간석래미안자이</t>
        </is>
      </c>
      <c r="B80" s="16" t="inlineStr">
        <is>
          <t>'08.10.</t>
        </is>
      </c>
      <c r="C80" s="164" t="n">
        <v>2432</v>
      </c>
      <c r="D80" s="161" t="n">
        <v>111.4</v>
      </c>
      <c r="E80" s="163" t="n">
        <v>34</v>
      </c>
      <c r="F80" s="161" t="n">
        <v>85</v>
      </c>
      <c r="G80" s="27" t="n">
        <v>26</v>
      </c>
      <c r="H80" s="164" t="n">
        <v>155</v>
      </c>
      <c r="I80" s="165" t="n"/>
      <c r="J80" s="165" t="n"/>
      <c r="K80" s="165" t="n">
        <v>45000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111A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간석래미안자이</t>
        </is>
      </c>
      <c r="B81" s="16" t="inlineStr">
        <is>
          <t>'08.10.</t>
        </is>
      </c>
      <c r="C81" s="164" t="n">
        <v>2432</v>
      </c>
      <c r="D81" s="161" t="n">
        <v>112.6</v>
      </c>
      <c r="E81" s="163" t="n">
        <v>34</v>
      </c>
      <c r="F81" s="161" t="n">
        <v>85</v>
      </c>
      <c r="G81" s="27" t="n">
        <v>26</v>
      </c>
      <c r="H81" s="164" t="n">
        <v>540</v>
      </c>
      <c r="I81" s="165" t="n">
        <v>61000</v>
      </c>
      <c r="J81" s="165" t="inlineStr">
        <is>
          <t>7</t>
        </is>
      </c>
      <c r="K81" s="165" t="n">
        <v>40000</v>
      </c>
      <c r="L81" s="165" t="inlineStr">
        <is>
          <t>15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112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간석래미안자이</t>
        </is>
      </c>
      <c r="B82" s="16" t="inlineStr">
        <is>
          <t>'08.10.</t>
        </is>
      </c>
      <c r="C82" s="164" t="n">
        <v>2432</v>
      </c>
      <c r="D82" s="161" t="n">
        <v>145.6</v>
      </c>
      <c r="E82" s="163" t="n">
        <v>44</v>
      </c>
      <c r="F82" s="161" t="n">
        <v>119.5</v>
      </c>
      <c r="G82" s="27" t="n">
        <v>36</v>
      </c>
      <c r="H82" s="164" t="n">
        <v>320</v>
      </c>
      <c r="I82" s="165" t="n">
        <v>75000</v>
      </c>
      <c r="J82" s="165" t="inlineStr">
        <is>
          <t>20</t>
        </is>
      </c>
      <c r="K82" s="165" t="n">
        <v>40000</v>
      </c>
      <c r="L82" s="165" t="inlineStr">
        <is>
          <t>10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145B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간석래미안자이</t>
        </is>
      </c>
      <c r="B83" s="16" t="inlineStr">
        <is>
          <t>'08.10.</t>
        </is>
      </c>
      <c r="C83" s="164" t="n">
        <v>2432</v>
      </c>
      <c r="D83" s="161" t="n">
        <v>148.1</v>
      </c>
      <c r="E83" s="163" t="n">
        <v>45</v>
      </c>
      <c r="F83" s="161" t="n">
        <v>119.4</v>
      </c>
      <c r="G83" s="27" t="n">
        <v>36</v>
      </c>
      <c r="H83" s="164" t="n">
        <v>312</v>
      </c>
      <c r="I83" s="165" t="n">
        <v>75000</v>
      </c>
      <c r="J83" s="165" t="inlineStr">
        <is>
          <t>5</t>
        </is>
      </c>
      <c r="K83" s="165" t="n">
        <v>59000</v>
      </c>
      <c r="L83" s="165" t="inlineStr">
        <is>
          <t>10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148A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간석래미안자이</t>
        </is>
      </c>
      <c r="B84" s="16" t="inlineStr">
        <is>
          <t>'08.10.</t>
        </is>
      </c>
      <c r="C84" s="164" t="n">
        <v>2432</v>
      </c>
      <c r="D84" s="161" t="n">
        <v>173.2</v>
      </c>
      <c r="E84" s="163" t="n">
        <v>52</v>
      </c>
      <c r="F84" s="161" t="n">
        <v>143.2</v>
      </c>
      <c r="G84" s="27" t="n">
        <v>43</v>
      </c>
      <c r="H84" s="164" t="n">
        <v>294</v>
      </c>
      <c r="I84" s="165" t="n">
        <v>88000</v>
      </c>
      <c r="J84" s="165" t="inlineStr">
        <is>
          <t>10</t>
        </is>
      </c>
      <c r="K84" s="165" t="n">
        <v>60000</v>
      </c>
      <c r="L84" s="165" t="inlineStr">
        <is>
          <t>5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n">
        <v>173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우성1차</t>
        </is>
      </c>
      <c r="B86" s="16" t="inlineStr">
        <is>
          <t>'90.07.</t>
        </is>
      </c>
      <c r="C86" s="164" t="n">
        <v>1050</v>
      </c>
      <c r="D86" s="161" t="n">
        <v>72</v>
      </c>
      <c r="E86" s="163" t="n">
        <v>22</v>
      </c>
      <c r="F86" s="161" t="n">
        <v>54.5</v>
      </c>
      <c r="G86" s="27" t="n">
        <v>16</v>
      </c>
      <c r="H86" s="164" t="n">
        <v>210</v>
      </c>
      <c r="I86" s="165" t="n">
        <v>28000</v>
      </c>
      <c r="J86" s="165" t="inlineStr">
        <is>
          <t>15</t>
        </is>
      </c>
      <c r="K86" s="165" t="n">
        <v>20000</v>
      </c>
      <c r="L86" s="165" t="inlineStr">
        <is>
          <t>13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복</t>
        </is>
      </c>
      <c r="T86" s="8" t="n">
        <v>71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우성1차</t>
        </is>
      </c>
      <c r="B87" s="16" t="inlineStr">
        <is>
          <t>'90.07.</t>
        </is>
      </c>
      <c r="C87" s="164" t="n">
        <v>1050</v>
      </c>
      <c r="D87" s="161" t="n">
        <v>88.8</v>
      </c>
      <c r="E87" s="163" t="n">
        <v>27</v>
      </c>
      <c r="F87" s="161" t="n">
        <v>72.90000000000001</v>
      </c>
      <c r="G87" s="27" t="n">
        <v>22</v>
      </c>
      <c r="H87" s="164" t="n">
        <v>390</v>
      </c>
      <c r="I87" s="165" t="n">
        <v>38000</v>
      </c>
      <c r="J87" s="165" t="inlineStr">
        <is>
          <t>13</t>
        </is>
      </c>
      <c r="K87" s="165" t="n">
        <v>25000</v>
      </c>
      <c r="L87" s="165" t="inlineStr">
        <is>
          <t>7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88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우성1차</t>
        </is>
      </c>
      <c r="B88" s="16" t="inlineStr">
        <is>
          <t>'90.07.</t>
        </is>
      </c>
      <c r="C88" s="164" t="n">
        <v>1050</v>
      </c>
      <c r="D88" s="161" t="n">
        <v>101.7</v>
      </c>
      <c r="E88" s="163" t="n">
        <v>31</v>
      </c>
      <c r="F88" s="161" t="n">
        <v>85</v>
      </c>
      <c r="G88" s="27" t="n">
        <v>26</v>
      </c>
      <c r="H88" s="164" t="n">
        <v>360</v>
      </c>
      <c r="I88" s="165" t="n">
        <v>40000</v>
      </c>
      <c r="J88" s="165" t="inlineStr">
        <is>
          <t>12</t>
        </is>
      </c>
      <c r="K88" s="165" t="n">
        <v>34000</v>
      </c>
      <c r="L88" s="165" t="inlineStr">
        <is>
          <t>12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101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우성1차</t>
        </is>
      </c>
      <c r="B89" s="16" t="inlineStr">
        <is>
          <t>'90.07.</t>
        </is>
      </c>
      <c r="C89" s="164" t="n">
        <v>1050</v>
      </c>
      <c r="D89" s="161" t="n">
        <v>128</v>
      </c>
      <c r="E89" s="163" t="n">
        <v>39</v>
      </c>
      <c r="F89" s="161" t="n">
        <v>109.3</v>
      </c>
      <c r="G89" s="27" t="n">
        <v>33</v>
      </c>
      <c r="H89" s="164" t="n">
        <v>90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128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다정한마을서해그랑블</t>
        </is>
      </c>
      <c r="B91" s="16" t="inlineStr">
        <is>
          <t>'04.08.</t>
        </is>
      </c>
      <c r="C91" s="164" t="n">
        <v>270</v>
      </c>
      <c r="D91" s="161" t="n">
        <v>77.09999999999999</v>
      </c>
      <c r="E91" s="163" t="n">
        <v>23</v>
      </c>
      <c r="F91" s="161" t="n">
        <v>59.9</v>
      </c>
      <c r="G91" s="27" t="n">
        <v>18</v>
      </c>
      <c r="H91" s="164" t="n">
        <v>73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n">
        <v>77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다정한마을서해그랑블</t>
        </is>
      </c>
      <c r="B92" s="16" t="inlineStr">
        <is>
          <t>'04.08.</t>
        </is>
      </c>
      <c r="C92" s="164" t="n">
        <v>270</v>
      </c>
      <c r="D92" s="161" t="n">
        <v>103.6</v>
      </c>
      <c r="E92" s="163" t="n">
        <v>31</v>
      </c>
      <c r="F92" s="161" t="n">
        <v>84.8</v>
      </c>
      <c r="G92" s="27" t="n">
        <v>26</v>
      </c>
      <c r="H92" s="164" t="n">
        <v>197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103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두진</t>
        </is>
      </c>
      <c r="B94" s="16" t="inlineStr">
        <is>
          <t>'94.12.</t>
        </is>
      </c>
      <c r="C94" s="164" t="n">
        <v>354</v>
      </c>
      <c r="D94" s="161" t="n">
        <v>82.5</v>
      </c>
      <c r="E94" s="163" t="n">
        <v>25</v>
      </c>
      <c r="F94" s="161" t="n">
        <v>59.4</v>
      </c>
      <c r="G94" s="27" t="n">
        <v>18</v>
      </c>
      <c r="H94" s="164" t="n">
        <v>138</v>
      </c>
      <c r="I94" s="165" t="n">
        <v>24000</v>
      </c>
      <c r="J94" s="165" t="inlineStr">
        <is>
          <t>10</t>
        </is>
      </c>
      <c r="K94" s="165" t="n">
        <v>20000</v>
      </c>
      <c r="L94" s="165" t="inlineStr">
        <is>
          <t>19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복</t>
        </is>
      </c>
      <c r="T94" s="8" t="n">
        <v>82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두진</t>
        </is>
      </c>
      <c r="B95" s="16" t="inlineStr">
        <is>
          <t>'94.12.</t>
        </is>
      </c>
      <c r="C95" s="164" t="n">
        <v>354</v>
      </c>
      <c r="D95" s="161" t="n">
        <v>95.90000000000001</v>
      </c>
      <c r="E95" s="163" t="n">
        <v>29</v>
      </c>
      <c r="F95" s="161" t="n">
        <v>76.7</v>
      </c>
      <c r="G95" s="27" t="n">
        <v>23</v>
      </c>
      <c r="H95" s="164" t="n">
        <v>78</v>
      </c>
      <c r="I95" s="165" t="n">
        <v>30000</v>
      </c>
      <c r="J95" s="165" t="inlineStr">
        <is>
          <t>11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95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두진</t>
        </is>
      </c>
      <c r="B96" s="16" t="inlineStr">
        <is>
          <t>'94.12.</t>
        </is>
      </c>
      <c r="C96" s="164" t="n">
        <v>354</v>
      </c>
      <c r="D96" s="161" t="n">
        <v>105</v>
      </c>
      <c r="E96" s="163" t="n">
        <v>32</v>
      </c>
      <c r="F96" s="161" t="n">
        <v>84.90000000000001</v>
      </c>
      <c r="G96" s="27" t="n">
        <v>26</v>
      </c>
      <c r="H96" s="164" t="n">
        <v>46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두진</t>
        </is>
      </c>
      <c r="B97" s="16" t="inlineStr">
        <is>
          <t>'94.12.</t>
        </is>
      </c>
      <c r="C97" s="164" t="n">
        <v>354</v>
      </c>
      <c r="D97" s="161" t="n">
        <v>105.1</v>
      </c>
      <c r="E97" s="163" t="n">
        <v>32</v>
      </c>
      <c r="F97" s="161" t="n">
        <v>85</v>
      </c>
      <c r="G97" s="27" t="n">
        <v>26</v>
      </c>
      <c r="H97" s="164" t="n">
        <v>92</v>
      </c>
      <c r="I97" s="165" t="n">
        <v>33000</v>
      </c>
      <c r="J97" s="165" t="inlineStr">
        <is>
          <t>13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105B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인천간석LH1단지</t>
        </is>
      </c>
      <c r="B99" s="16" t="inlineStr">
        <is>
          <t>'14.10.</t>
        </is>
      </c>
      <c r="C99" s="164" t="n">
        <v>587</v>
      </c>
      <c r="D99" s="161" t="n">
        <v>56.6</v>
      </c>
      <c r="E99" s="163" t="n">
        <v>17</v>
      </c>
      <c r="F99" s="161" t="n">
        <v>39.2</v>
      </c>
      <c r="G99" s="27" t="n">
        <v>12</v>
      </c>
      <c r="H99" s="164" t="n">
        <v>69</v>
      </c>
      <c r="I99" s="165" t="n">
        <v>26000</v>
      </c>
      <c r="J99" s="165" t="inlineStr">
        <is>
          <t>21</t>
        </is>
      </c>
      <c r="K99" s="165" t="n">
        <v>23000</v>
      </c>
      <c r="L99" s="165" t="inlineStr">
        <is>
          <t>16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inlineStr">
        <is>
          <t>56A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인천간석LH1단지</t>
        </is>
      </c>
      <c r="B100" s="16" t="inlineStr">
        <is>
          <t>'14.10.</t>
        </is>
      </c>
      <c r="C100" s="164" t="n">
        <v>587</v>
      </c>
      <c r="D100" s="161" t="n">
        <v>56.6</v>
      </c>
      <c r="E100" s="163" t="n">
        <v>17</v>
      </c>
      <c r="F100" s="161" t="n">
        <v>39.2</v>
      </c>
      <c r="G100" s="27" t="n">
        <v>12</v>
      </c>
      <c r="H100" s="164" t="n">
        <v>46</v>
      </c>
      <c r="I100" s="165" t="n">
        <v>26000</v>
      </c>
      <c r="J100" s="165" t="inlineStr">
        <is>
          <t>21</t>
        </is>
      </c>
      <c r="K100" s="165" t="n">
        <v>23000</v>
      </c>
      <c r="L100" s="165" t="inlineStr">
        <is>
          <t>16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inlineStr">
        <is>
          <t>56B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인천간석LH1단지</t>
        </is>
      </c>
      <c r="B101" s="16" t="inlineStr">
        <is>
          <t>'14.10.</t>
        </is>
      </c>
      <c r="C101" s="164" t="n">
        <v>587</v>
      </c>
      <c r="D101" s="161" t="n">
        <v>56.6</v>
      </c>
      <c r="E101" s="163" t="n">
        <v>17</v>
      </c>
      <c r="F101" s="161" t="n">
        <v>39.2</v>
      </c>
      <c r="G101" s="27" t="n">
        <v>12</v>
      </c>
      <c r="H101" s="164" t="n">
        <v>23</v>
      </c>
      <c r="I101" s="165" t="n">
        <v>26000</v>
      </c>
      <c r="J101" s="165" t="inlineStr">
        <is>
          <t>21</t>
        </is>
      </c>
      <c r="K101" s="165" t="n">
        <v>23000</v>
      </c>
      <c r="L101" s="165" t="inlineStr">
        <is>
          <t>16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2</v>
      </c>
      <c r="R101" s="113" t="n">
        <v>1</v>
      </c>
      <c r="S101" s="113" t="inlineStr">
        <is>
          <t>계</t>
        </is>
      </c>
      <c r="T101" s="8" t="inlineStr">
        <is>
          <t>56C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인천간석LH1단지</t>
        </is>
      </c>
      <c r="B102" s="16" t="inlineStr">
        <is>
          <t>'14.10.</t>
        </is>
      </c>
      <c r="C102" s="164" t="n">
        <v>587</v>
      </c>
      <c r="D102" s="161" t="n">
        <v>88.3</v>
      </c>
      <c r="E102" s="163" t="n">
        <v>27</v>
      </c>
      <c r="F102" s="161" t="n">
        <v>59.9</v>
      </c>
      <c r="G102" s="27" t="n">
        <v>18</v>
      </c>
      <c r="H102" s="164" t="n">
        <v>90</v>
      </c>
      <c r="I102" s="165" t="n">
        <v>45000</v>
      </c>
      <c r="J102" s="165" t="inlineStr">
        <is>
          <t>16</t>
        </is>
      </c>
      <c r="K102" s="165" t="n">
        <v>36000</v>
      </c>
      <c r="L102" s="165" t="inlineStr">
        <is>
          <t>20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88B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인천간석LH1단지</t>
        </is>
      </c>
      <c r="B103" s="16" t="inlineStr">
        <is>
          <t>'14.10.</t>
        </is>
      </c>
      <c r="C103" s="164" t="n">
        <v>587</v>
      </c>
      <c r="D103" s="161" t="n">
        <v>88.3</v>
      </c>
      <c r="E103" s="163" t="n">
        <v>27</v>
      </c>
      <c r="F103" s="161" t="n">
        <v>59.9</v>
      </c>
      <c r="G103" s="27" t="n">
        <v>18</v>
      </c>
      <c r="H103" s="164" t="n">
        <v>88</v>
      </c>
      <c r="I103" s="165" t="n">
        <v>45000</v>
      </c>
      <c r="J103" s="165" t="inlineStr">
        <is>
          <t>16</t>
        </is>
      </c>
      <c r="K103" s="165" t="n">
        <v>36000</v>
      </c>
      <c r="L103" s="165" t="inlineStr">
        <is>
          <t>20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88A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인천간석LH1단지</t>
        </is>
      </c>
      <c r="B104" s="16" t="inlineStr">
        <is>
          <t>'14.10.</t>
        </is>
      </c>
      <c r="C104" s="164" t="n">
        <v>587</v>
      </c>
      <c r="D104" s="161" t="n">
        <v>88.3</v>
      </c>
      <c r="E104" s="163" t="n">
        <v>27</v>
      </c>
      <c r="F104" s="161" t="n">
        <v>59.9</v>
      </c>
      <c r="G104" s="27" t="n">
        <v>18</v>
      </c>
      <c r="H104" s="164" t="n">
        <v>86</v>
      </c>
      <c r="I104" s="165" t="n">
        <v>45000</v>
      </c>
      <c r="J104" s="165" t="inlineStr">
        <is>
          <t>16</t>
        </is>
      </c>
      <c r="K104" s="165" t="n">
        <v>36000</v>
      </c>
      <c r="L104" s="165" t="inlineStr">
        <is>
          <t>20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88A-1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인천간석LH1단지</t>
        </is>
      </c>
      <c r="B105" s="16" t="inlineStr">
        <is>
          <t>'14.10.</t>
        </is>
      </c>
      <c r="C105" s="164" t="n">
        <v>587</v>
      </c>
      <c r="D105" s="161" t="n">
        <v>115.1</v>
      </c>
      <c r="E105" s="163" t="n">
        <v>35</v>
      </c>
      <c r="F105" s="161" t="n">
        <v>84.90000000000001</v>
      </c>
      <c r="G105" s="27" t="n">
        <v>26</v>
      </c>
      <c r="H105" s="164" t="n">
        <v>98</v>
      </c>
      <c r="I105" s="165" t="n">
        <v>57000</v>
      </c>
      <c r="J105" s="165" t="inlineStr">
        <is>
          <t>21</t>
        </is>
      </c>
      <c r="K105" s="165" t="n">
        <v>36000</v>
      </c>
      <c r="L105" s="165" t="inlineStr">
        <is>
          <t>중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115C-1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인천간석LH1단지</t>
        </is>
      </c>
      <c r="B106" s="16" t="inlineStr">
        <is>
          <t>'14.10.</t>
        </is>
      </c>
      <c r="C106" s="164" t="n">
        <v>587</v>
      </c>
      <c r="D106" s="161" t="n">
        <v>115.1</v>
      </c>
      <c r="E106" s="163" t="n">
        <v>35</v>
      </c>
      <c r="F106" s="161" t="n">
        <v>84.90000000000001</v>
      </c>
      <c r="G106" s="27" t="n">
        <v>26</v>
      </c>
      <c r="H106" s="164" t="n">
        <v>87</v>
      </c>
      <c r="I106" s="165" t="n">
        <v>57000</v>
      </c>
      <c r="J106" s="165" t="inlineStr">
        <is>
          <t>21</t>
        </is>
      </c>
      <c r="K106" s="165" t="n">
        <v>36000</v>
      </c>
      <c r="L106" s="165" t="inlineStr">
        <is>
          <t>중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115D-1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간석마을풍림아이원</t>
        </is>
      </c>
      <c r="B108" s="16" t="inlineStr">
        <is>
          <t>'04.09.</t>
        </is>
      </c>
      <c r="C108" s="164" t="n">
        <v>922</v>
      </c>
      <c r="D108" s="161" t="n">
        <v>74.5</v>
      </c>
      <c r="E108" s="163" t="n">
        <v>23</v>
      </c>
      <c r="F108" s="161" t="n">
        <v>59.9</v>
      </c>
      <c r="G108" s="27" t="n">
        <v>18</v>
      </c>
      <c r="H108" s="164" t="n">
        <v>334</v>
      </c>
      <c r="I108" s="165" t="n">
        <v>40000</v>
      </c>
      <c r="J108" s="165" t="inlineStr">
        <is>
          <t>16</t>
        </is>
      </c>
      <c r="K108" s="165" t="n">
        <v>29000</v>
      </c>
      <c r="L108" s="165" t="inlineStr">
        <is>
          <t>16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74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간석마을풍림아이원</t>
        </is>
      </c>
      <c r="B109" s="16" t="inlineStr">
        <is>
          <t>'04.09.</t>
        </is>
      </c>
      <c r="C109" s="164" t="n">
        <v>922</v>
      </c>
      <c r="D109" s="161" t="n">
        <v>109.9</v>
      </c>
      <c r="E109" s="163" t="n">
        <v>33</v>
      </c>
      <c r="F109" s="161" t="n">
        <v>85</v>
      </c>
      <c r="G109" s="27" t="n">
        <v>26</v>
      </c>
      <c r="H109" s="164" t="n">
        <v>488</v>
      </c>
      <c r="I109" s="165" t="n">
        <v>45000</v>
      </c>
      <c r="J109" s="165" t="inlineStr">
        <is>
          <t>14</t>
        </is>
      </c>
      <c r="K109" s="165" t="n">
        <v>32000</v>
      </c>
      <c r="L109" s="165" t="inlineStr">
        <is>
          <t>13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n">
        <v>109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간석마을풍림아이원</t>
        </is>
      </c>
      <c r="B110" s="16" t="inlineStr">
        <is>
          <t>'04.09.</t>
        </is>
      </c>
      <c r="C110" s="164" t="n">
        <v>922</v>
      </c>
      <c r="D110" s="161" t="n">
        <v>144.3</v>
      </c>
      <c r="E110" s="163" t="n">
        <v>44</v>
      </c>
      <c r="F110" s="161" t="n">
        <v>116.7</v>
      </c>
      <c r="G110" s="27" t="n">
        <v>35</v>
      </c>
      <c r="H110" s="164" t="n">
        <v>100</v>
      </c>
      <c r="I110" s="165" t="n">
        <v>63000</v>
      </c>
      <c r="J110" s="165" t="inlineStr">
        <is>
          <t>13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144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금호</t>
        </is>
      </c>
      <c r="B112" s="16" t="inlineStr">
        <is>
          <t>'87.09.</t>
        </is>
      </c>
      <c r="C112" s="164" t="n">
        <v>630</v>
      </c>
      <c r="D112" s="161" t="n">
        <v>54.8</v>
      </c>
      <c r="E112" s="163" t="n">
        <v>17</v>
      </c>
      <c r="F112" s="161" t="n">
        <v>43.1</v>
      </c>
      <c r="G112" s="27" t="n">
        <v>13</v>
      </c>
      <c r="H112" s="164" t="n">
        <v>150</v>
      </c>
      <c r="I112" s="165" t="n">
        <v>38000</v>
      </c>
      <c r="J112" s="165" t="inlineStr">
        <is>
          <t>15</t>
        </is>
      </c>
      <c r="K112" s="165" t="n">
        <v>20000</v>
      </c>
      <c r="L112" s="165" t="inlineStr">
        <is>
          <t>6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1</v>
      </c>
      <c r="R112" s="113" t="n">
        <v>1</v>
      </c>
      <c r="S112" s="113" t="inlineStr">
        <is>
          <t>계</t>
        </is>
      </c>
      <c r="T112" s="8" t="n">
        <v>54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금호</t>
        </is>
      </c>
      <c r="B113" s="16" t="inlineStr">
        <is>
          <t>'87.09.</t>
        </is>
      </c>
      <c r="C113" s="164" t="n">
        <v>630</v>
      </c>
      <c r="D113" s="161" t="n">
        <v>75.40000000000001</v>
      </c>
      <c r="E113" s="163" t="n">
        <v>23</v>
      </c>
      <c r="F113" s="161" t="n">
        <v>59.3</v>
      </c>
      <c r="G113" s="27" t="n">
        <v>18</v>
      </c>
      <c r="H113" s="164" t="n">
        <v>120</v>
      </c>
      <c r="I113" s="165" t="n">
        <v>43000</v>
      </c>
      <c r="J113" s="165" t="inlineStr">
        <is>
          <t>8</t>
        </is>
      </c>
      <c r="K113" s="165" t="n">
        <v>20000</v>
      </c>
      <c r="L113" s="165" t="inlineStr">
        <is>
          <t>12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2</v>
      </c>
      <c r="R113" s="113" t="n">
        <v>1</v>
      </c>
      <c r="S113" s="113" t="inlineStr">
        <is>
          <t>계</t>
        </is>
      </c>
      <c r="T113" s="8" t="n">
        <v>75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금호</t>
        </is>
      </c>
      <c r="B114" s="16" t="inlineStr">
        <is>
          <t>'87.09.</t>
        </is>
      </c>
      <c r="C114" s="164" t="n">
        <v>630</v>
      </c>
      <c r="D114" s="161" t="n">
        <v>92.90000000000001</v>
      </c>
      <c r="E114" s="163" t="n">
        <v>28</v>
      </c>
      <c r="F114" s="161" t="n">
        <v>77.2</v>
      </c>
      <c r="G114" s="27" t="n">
        <v>23</v>
      </c>
      <c r="H114" s="164" t="n">
        <v>180</v>
      </c>
      <c r="I114" s="165" t="n">
        <v>62000</v>
      </c>
      <c r="J114" s="165" t="inlineStr">
        <is>
          <t>11</t>
        </is>
      </c>
      <c r="K114" s="165" t="n">
        <v>31000</v>
      </c>
      <c r="L114" s="165" t="inlineStr">
        <is>
          <t>11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n">
        <v>92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금호</t>
        </is>
      </c>
      <c r="B115" s="16" t="inlineStr">
        <is>
          <t>'87.09.</t>
        </is>
      </c>
      <c r="C115" s="164" t="n">
        <v>630</v>
      </c>
      <c r="D115" s="161" t="n">
        <v>101.3</v>
      </c>
      <c r="E115" s="163" t="n">
        <v>31</v>
      </c>
      <c r="F115" s="161" t="n">
        <v>84.7</v>
      </c>
      <c r="G115" s="27" t="n">
        <v>26</v>
      </c>
      <c r="H115" s="164" t="n">
        <v>120</v>
      </c>
      <c r="I115" s="165" t="n">
        <v>55000</v>
      </c>
      <c r="J115" s="165" t="inlineStr">
        <is>
          <t>고</t>
        </is>
      </c>
      <c r="K115" s="165" t="n">
        <v>31000</v>
      </c>
      <c r="L115" s="165" t="inlineStr">
        <is>
          <t>중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n">
        <v>101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금호</t>
        </is>
      </c>
      <c r="B116" s="16" t="inlineStr">
        <is>
          <t>'87.09.</t>
        </is>
      </c>
      <c r="C116" s="164" t="n">
        <v>630</v>
      </c>
      <c r="D116" s="161" t="n">
        <v>117.3</v>
      </c>
      <c r="E116" s="163" t="n">
        <v>35</v>
      </c>
      <c r="F116" s="161" t="n">
        <v>99.09999999999999</v>
      </c>
      <c r="G116" s="27" t="n">
        <v>30</v>
      </c>
      <c r="H116" s="164" t="n">
        <v>60</v>
      </c>
      <c r="I116" s="165" t="n">
        <v>75000</v>
      </c>
      <c r="J116" s="165" t="inlineStr">
        <is>
          <t>12</t>
        </is>
      </c>
      <c r="K116" s="165" t="n">
        <v>35000</v>
      </c>
      <c r="L116" s="165" t="inlineStr">
        <is>
          <t>5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n">
        <v>117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간석신동아파밀리에명품</t>
        </is>
      </c>
      <c r="B118" s="16" t="inlineStr">
        <is>
          <t>'07.08.</t>
        </is>
      </c>
      <c r="C118" s="164" t="n">
        <v>715</v>
      </c>
      <c r="D118" s="161" t="n">
        <v>84.90000000000001</v>
      </c>
      <c r="E118" s="163" t="n">
        <v>26</v>
      </c>
      <c r="F118" s="161" t="n">
        <v>59.9</v>
      </c>
      <c r="G118" s="27" t="n">
        <v>18</v>
      </c>
      <c r="H118" s="164" t="n">
        <v>18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간석신동아파밀리에명품</t>
        </is>
      </c>
      <c r="B119" s="16" t="inlineStr">
        <is>
          <t>'07.08.</t>
        </is>
      </c>
      <c r="C119" s="164" t="n">
        <v>715</v>
      </c>
      <c r="D119" s="161" t="n">
        <v>85.59999999999999</v>
      </c>
      <c r="E119" s="163" t="n">
        <v>26</v>
      </c>
      <c r="F119" s="161" t="n">
        <v>59.9</v>
      </c>
      <c r="G119" s="27" t="n">
        <v>18</v>
      </c>
      <c r="H119" s="164" t="n">
        <v>125</v>
      </c>
      <c r="I119" s="165" t="n">
        <v>42000</v>
      </c>
      <c r="J119" s="165" t="inlineStr">
        <is>
          <t>19</t>
        </is>
      </c>
      <c r="K119" s="165" t="n">
        <v>30000</v>
      </c>
      <c r="L119" s="165" t="inlineStr">
        <is>
          <t>17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85B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간석신동아파밀리에명품</t>
        </is>
      </c>
      <c r="B120" s="16" t="inlineStr">
        <is>
          <t>'07.08.</t>
        </is>
      </c>
      <c r="C120" s="164" t="n">
        <v>715</v>
      </c>
      <c r="D120" s="161" t="n">
        <v>106.5</v>
      </c>
      <c r="E120" s="163" t="n">
        <v>32</v>
      </c>
      <c r="F120" s="161" t="n">
        <v>84.5</v>
      </c>
      <c r="G120" s="27" t="n">
        <v>26</v>
      </c>
      <c r="H120" s="164" t="n">
        <v>80</v>
      </c>
      <c r="I120" s="165" t="n">
        <v>43000</v>
      </c>
      <c r="J120" s="165" t="inlineStr">
        <is>
          <t>고</t>
        </is>
      </c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n">
        <v>106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간석신동아파밀리에명품</t>
        </is>
      </c>
      <c r="B121" s="16" t="inlineStr">
        <is>
          <t>'07.08.</t>
        </is>
      </c>
      <c r="C121" s="164" t="n">
        <v>715</v>
      </c>
      <c r="D121" s="161" t="n">
        <v>109.5</v>
      </c>
      <c r="E121" s="163" t="n">
        <v>33</v>
      </c>
      <c r="F121" s="161" t="n">
        <v>84.5</v>
      </c>
      <c r="G121" s="27" t="n">
        <v>26</v>
      </c>
      <c r="H121" s="164" t="n">
        <v>450</v>
      </c>
      <c r="I121" s="165" t="n">
        <v>41000</v>
      </c>
      <c r="J121" s="165" t="inlineStr">
        <is>
          <t>21</t>
        </is>
      </c>
      <c r="K121" s="165" t="n">
        <v>32000</v>
      </c>
      <c r="L121" s="165" t="inlineStr">
        <is>
          <t>5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n">
        <v>109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간석신동아파밀리에명품</t>
        </is>
      </c>
      <c r="B122" s="16" t="inlineStr">
        <is>
          <t>'07.08.</t>
        </is>
      </c>
      <c r="C122" s="164" t="n">
        <v>715</v>
      </c>
      <c r="D122" s="161" t="n">
        <v>141.9</v>
      </c>
      <c r="E122" s="163" t="n">
        <v>43</v>
      </c>
      <c r="F122" s="161" t="n">
        <v>106.9</v>
      </c>
      <c r="G122" s="27" t="n">
        <v>32</v>
      </c>
      <c r="H122" s="164" t="n">
        <v>42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141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간석한신더휴</t>
        </is>
      </c>
      <c r="B124" s="16" t="inlineStr">
        <is>
          <t>'19.01.</t>
        </is>
      </c>
      <c r="C124" s="164" t="n">
        <v>643</v>
      </c>
      <c r="D124" s="161" t="n">
        <v>80</v>
      </c>
      <c r="E124" s="163" t="n">
        <v>24</v>
      </c>
      <c r="F124" s="161" t="n">
        <v>59.6</v>
      </c>
      <c r="G124" s="27" t="n">
        <v>18</v>
      </c>
      <c r="H124" s="164" t="n">
        <v>42</v>
      </c>
      <c r="I124" s="165" t="n">
        <v>49000</v>
      </c>
      <c r="J124" s="165" t="inlineStr">
        <is>
          <t>17</t>
        </is>
      </c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80B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간석한신더휴</t>
        </is>
      </c>
      <c r="B125" s="16" t="inlineStr">
        <is>
          <t>'19.01.</t>
        </is>
      </c>
      <c r="C125" s="164" t="n">
        <v>643</v>
      </c>
      <c r="D125" s="161" t="n">
        <v>82.2</v>
      </c>
      <c r="E125" s="163" t="n">
        <v>25</v>
      </c>
      <c r="F125" s="161" t="n">
        <v>59.9</v>
      </c>
      <c r="G125" s="27" t="n">
        <v>18</v>
      </c>
      <c r="H125" s="164" t="n">
        <v>161</v>
      </c>
      <c r="I125" s="165" t="n">
        <v>48000</v>
      </c>
      <c r="J125" s="165" t="inlineStr">
        <is>
          <t>14</t>
        </is>
      </c>
      <c r="K125" s="165" t="n">
        <v>30000</v>
      </c>
      <c r="L125" s="165" t="inlineStr">
        <is>
          <t>고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82A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간석한신더휴</t>
        </is>
      </c>
      <c r="B126" s="16" t="inlineStr">
        <is>
          <t>'19.01.</t>
        </is>
      </c>
      <c r="C126" s="164" t="n">
        <v>643</v>
      </c>
      <c r="D126" s="161" t="n">
        <v>99.5</v>
      </c>
      <c r="E126" s="163" t="n">
        <v>30</v>
      </c>
      <c r="F126" s="161" t="n">
        <v>74.7</v>
      </c>
      <c r="G126" s="27" t="n">
        <v>23</v>
      </c>
      <c r="H126" s="164" t="n">
        <v>142</v>
      </c>
      <c r="I126" s="165" t="n">
        <v>53000</v>
      </c>
      <c r="J126" s="165" t="inlineStr">
        <is>
          <t>10</t>
        </is>
      </c>
      <c r="K126" s="165" t="n">
        <v>38000</v>
      </c>
      <c r="L126" s="165" t="inlineStr">
        <is>
          <t>11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99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간석한신더휴</t>
        </is>
      </c>
      <c r="B127" s="16" t="inlineStr">
        <is>
          <t>'19.01.</t>
        </is>
      </c>
      <c r="C127" s="164" t="n">
        <v>643</v>
      </c>
      <c r="D127" s="161" t="n">
        <v>112.4</v>
      </c>
      <c r="E127" s="163" t="n">
        <v>34</v>
      </c>
      <c r="F127" s="161" t="n">
        <v>84.90000000000001</v>
      </c>
      <c r="G127" s="27" t="n">
        <v>26</v>
      </c>
      <c r="H127" s="164" t="n">
        <v>193</v>
      </c>
      <c r="I127" s="165" t="n">
        <v>59000</v>
      </c>
      <c r="J127" s="165" t="inlineStr">
        <is>
          <t>10</t>
        </is>
      </c>
      <c r="K127" s="165" t="n">
        <v>36000</v>
      </c>
      <c r="L127" s="165" t="inlineStr">
        <is>
          <t>14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112B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간석한신더휴</t>
        </is>
      </c>
      <c r="B128" s="16" t="inlineStr">
        <is>
          <t>'19.01.</t>
        </is>
      </c>
      <c r="C128" s="164" t="n">
        <v>643</v>
      </c>
      <c r="D128" s="161" t="n">
        <v>112.3</v>
      </c>
      <c r="E128" s="163" t="n">
        <v>34</v>
      </c>
      <c r="F128" s="161" t="n">
        <v>84.8</v>
      </c>
      <c r="G128" s="27" t="n">
        <v>26</v>
      </c>
      <c r="H128" s="164" t="n">
        <v>65</v>
      </c>
      <c r="I128" s="165" t="n">
        <v>62000</v>
      </c>
      <c r="J128" s="165" t="inlineStr">
        <is>
          <t>17</t>
        </is>
      </c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112C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간석한신더휴</t>
        </is>
      </c>
      <c r="B129" s="16" t="inlineStr">
        <is>
          <t>'19.01.</t>
        </is>
      </c>
      <c r="C129" s="164" t="n">
        <v>643</v>
      </c>
      <c r="D129" s="161" t="n">
        <v>112.1</v>
      </c>
      <c r="E129" s="163" t="n">
        <v>34</v>
      </c>
      <c r="F129" s="161" t="n">
        <v>84.90000000000001</v>
      </c>
      <c r="G129" s="27" t="n">
        <v>26</v>
      </c>
      <c r="H129" s="164" t="n">
        <v>40</v>
      </c>
      <c r="I129" s="165" t="n">
        <v>73000</v>
      </c>
      <c r="J129" s="165" t="inlineStr">
        <is>
          <t>21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112A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105" dxfId="17">
      <formula>AV4="X"</formula>
    </cfRule>
    <cfRule type="expression" priority="2106" dxfId="16">
      <formula>AV4="후보"</formula>
    </cfRule>
  </conditionalFormatting>
  <conditionalFormatting sqref="AC1:AC2 AC4:AC6 N4:N5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N1:N2">
    <cfRule type="cellIs" priority="2100" operator="greaterThan" dxfId="13">
      <formula>0.9</formula>
    </cfRule>
    <cfRule type="cellIs" priority="2101" operator="greaterThan" dxfId="12">
      <formula>0.85</formula>
    </cfRule>
  </conditionalFormatting>
  <conditionalFormatting sqref="N6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E6">
    <cfRule type="expression" priority="2094" dxfId="3">
      <formula>AND(IF(OR($Q6=1,$Q6=2),1,0),IF($X6&lt;=20,1,0))</formula>
    </cfRule>
    <cfRule type="expression" priority="2095" dxfId="2">
      <formula>AND(IF($Q6=2,1,0),IF($X6&lt;30,1,0))</formula>
    </cfRule>
    <cfRule type="expression" priority="2096" dxfId="1">
      <formula>AND(IF($Q6=3,1,0),IF($X6&lt;30,1,0))</formula>
    </cfRule>
    <cfRule type="expression" priority="2097" dxfId="0">
      <formula>AND(IF($Q6=3,1,IF($Q6=4,1,0)),IF($F6&lt;=85,1,0))</formula>
    </cfRule>
  </conditionalFormatting>
  <conditionalFormatting sqref="X6">
    <cfRule type="expression" priority="2090" dxfId="3">
      <formula>AND(IF(OR($Q6=1,$Q6=2),1,0),IF($X6&lt;=20,1,0))</formula>
    </cfRule>
    <cfRule type="expression" priority="2091" dxfId="2">
      <formula>AND(IF($Q6=2,1,0),IF($X6&lt;30,1,0))</formula>
    </cfRule>
    <cfRule type="expression" priority="2092" dxfId="1">
      <formula>AND(IF($Q6=3,1,0),IF($X6&lt;30,1,0))</formula>
    </cfRule>
    <cfRule type="expression" priority="2093" dxfId="0">
      <formula>AND(IF($Q6=3,1,IF($Q6=4,1,0)),IF($F6&lt;=85,1,0))</formula>
    </cfRule>
  </conditionalFormatting>
  <conditionalFormatting sqref="AI6">
    <cfRule type="expression" priority="2086" dxfId="3">
      <formula>AND(IF(OR($Q6=1,$Q6=2),1,0),IF($X6&lt;=20,1,0))</formula>
    </cfRule>
    <cfRule type="expression" priority="2087" dxfId="2">
      <formula>AND(IF($Q6=2,1,0),IF($X6&lt;30,1,0))</formula>
    </cfRule>
    <cfRule type="expression" priority="2088" dxfId="1">
      <formula>AND(IF($Q6=3,1,0),IF($X6&lt;30,1,0))</formula>
    </cfRule>
    <cfRule type="expression" priority="2089" dxfId="0">
      <formula>AND(IF($Q6=3,1,IF($Q6=4,1,0)),IF($F6&lt;=85,1,0))</formula>
    </cfRule>
  </conditionalFormatting>
  <conditionalFormatting sqref="AV7">
    <cfRule type="expression" priority="2084" dxfId="17">
      <formula>AV7="X"</formula>
    </cfRule>
    <cfRule type="expression" priority="2085" dxfId="16">
      <formula>AV7="후보"</formula>
    </cfRule>
  </conditionalFormatting>
  <conditionalFormatting sqref="AC7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7">
    <cfRule type="expression" priority="2075" dxfId="3">
      <formula>AND(IF(OR($Q7=1,$Q7=2),1,0),IF($X7&lt;=20,1,0))</formula>
    </cfRule>
    <cfRule type="expression" priority="2076" dxfId="2">
      <formula>AND(IF($Q7=2,1,0),IF($X7&lt;30,1,0))</formula>
    </cfRule>
    <cfRule type="expression" priority="2077" dxfId="1">
      <formula>AND(IF($Q7=3,1,0),IF($X7&lt;30,1,0))</formula>
    </cfRule>
    <cfRule type="expression" priority="2078" dxfId="0">
      <formula>AND(IF($Q7=3,1,IF($Q7=4,1,0)),IF($F7&lt;=85,1,0))</formula>
    </cfRule>
  </conditionalFormatting>
  <conditionalFormatting sqref="X7">
    <cfRule type="expression" priority="2071" dxfId="3">
      <formula>AND(IF(OR($Q7=1,$Q7=2),1,0),IF($X7&lt;=20,1,0))</formula>
    </cfRule>
    <cfRule type="expression" priority="2072" dxfId="2">
      <formula>AND(IF($Q7=2,1,0),IF($X7&lt;30,1,0))</formula>
    </cfRule>
    <cfRule type="expression" priority="2073" dxfId="1">
      <formula>AND(IF($Q7=3,1,0),IF($X7&lt;30,1,0))</formula>
    </cfRule>
    <cfRule type="expression" priority="2074" dxfId="0">
      <formula>AND(IF($Q7=3,1,IF($Q7=4,1,0)),IF($F7&lt;=85,1,0))</formula>
    </cfRule>
  </conditionalFormatting>
  <conditionalFormatting sqref="AI7">
    <cfRule type="expression" priority="2067" dxfId="3">
      <formula>AND(IF(OR($Q7=1,$Q7=2),1,0),IF($X7&lt;=20,1,0))</formula>
    </cfRule>
    <cfRule type="expression" priority="2068" dxfId="2">
      <formula>AND(IF($Q7=2,1,0),IF($X7&lt;30,1,0))</formula>
    </cfRule>
    <cfRule type="expression" priority="2069" dxfId="1">
      <formula>AND(IF($Q7=3,1,0),IF($X7&lt;30,1,0))</formula>
    </cfRule>
    <cfRule type="expression" priority="2070" dxfId="0">
      <formula>AND(IF($Q7=3,1,IF($Q7=4,1,0)),IF($F7&lt;=85,1,0))</formula>
    </cfRule>
  </conditionalFormatting>
  <conditionalFormatting sqref="AV8">
    <cfRule type="expression" priority="2065" dxfId="17">
      <formula>AV8="X"</formula>
    </cfRule>
    <cfRule type="expression" priority="2066" dxfId="16">
      <formula>AV8="후보"</formula>
    </cfRule>
  </conditionalFormatting>
  <conditionalFormatting sqref="AC8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X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I8">
    <cfRule type="expression" priority="2048" dxfId="3">
      <formula>AND(IF(OR($Q8=1,$Q8=2),1,0),IF($X8&lt;=20,1,0))</formula>
    </cfRule>
    <cfRule type="expression" priority="2049" dxfId="2">
      <formula>AND(IF($Q8=2,1,0),IF($X8&lt;30,1,0))</formula>
    </cfRule>
    <cfRule type="expression" priority="2050" dxfId="1">
      <formula>AND(IF($Q8=3,1,0),IF($X8&lt;30,1,0))</formula>
    </cfRule>
    <cfRule type="expression" priority="2051" dxfId="0">
      <formula>AND(IF($Q8=3,1,IF($Q8=4,1,0)),IF($F8&lt;=85,1,0))</formula>
    </cfRule>
  </conditionalFormatting>
  <conditionalFormatting sqref="AV9">
    <cfRule type="expression" priority="2046" dxfId="17">
      <formula>AV9="X"</formula>
    </cfRule>
    <cfRule type="expression" priority="2047" dxfId="16">
      <formula>AV9="후보"</formula>
    </cfRule>
  </conditionalFormatting>
  <conditionalFormatting sqref="AC9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9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X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I9">
    <cfRule type="expression" priority="2029" dxfId="3">
      <formula>AND(IF(OR($Q9=1,$Q9=2),1,0),IF($X9&lt;=20,1,0))</formula>
    </cfRule>
    <cfRule type="expression" priority="2030" dxfId="2">
      <formula>AND(IF($Q9=2,1,0),IF($X9&lt;30,1,0))</formula>
    </cfRule>
    <cfRule type="expression" priority="2031" dxfId="1">
      <formula>AND(IF($Q9=3,1,0),IF($X9&lt;30,1,0))</formula>
    </cfRule>
    <cfRule type="expression" priority="2032" dxfId="0">
      <formula>AND(IF($Q9=3,1,IF($Q9=4,1,0)),IF($F9&lt;=85,1,0))</formula>
    </cfRule>
  </conditionalFormatting>
  <conditionalFormatting sqref="AV10">
    <cfRule type="expression" priority="2027" dxfId="17">
      <formula>AV10="X"</formula>
    </cfRule>
    <cfRule type="expression" priority="2028" dxfId="16">
      <formula>AV10="후보"</formula>
    </cfRule>
  </conditionalFormatting>
  <conditionalFormatting sqref="AC10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10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10">
    <cfRule type="expression" priority="2018" dxfId="3">
      <formula>AND(IF(OR($Q10=1,$Q10=2),1,0),IF($X10&lt;=20,1,0))</formula>
    </cfRule>
    <cfRule type="expression" priority="2019" dxfId="2">
      <formula>AND(IF($Q10=2,1,0),IF($X10&lt;30,1,0))</formula>
    </cfRule>
    <cfRule type="expression" priority="2020" dxfId="1">
      <formula>AND(IF($Q10=3,1,0),IF($X10&lt;30,1,0))</formula>
    </cfRule>
    <cfRule type="expression" priority="2021" dxfId="0">
      <formula>AND(IF($Q10=3,1,IF($Q10=4,1,0)),IF($F10&lt;=85,1,0))</formula>
    </cfRule>
  </conditionalFormatting>
  <conditionalFormatting sqref="X10">
    <cfRule type="expression" priority="2014" dxfId="3">
      <formula>AND(IF(OR($Q10=1,$Q10=2),1,0),IF($X10&lt;=20,1,0))</formula>
    </cfRule>
    <cfRule type="expression" priority="2015" dxfId="2">
      <formula>AND(IF($Q10=2,1,0),IF($X10&lt;30,1,0))</formula>
    </cfRule>
    <cfRule type="expression" priority="2016" dxfId="1">
      <formula>AND(IF($Q10=3,1,0),IF($X10&lt;30,1,0))</formula>
    </cfRule>
    <cfRule type="expression" priority="2017" dxfId="0">
      <formula>AND(IF($Q10=3,1,IF($Q10=4,1,0)),IF($F10&lt;=85,1,0))</formula>
    </cfRule>
  </conditionalFormatting>
  <conditionalFormatting sqref="AI10">
    <cfRule type="expression" priority="2010" dxfId="3">
      <formula>AND(IF(OR($Q10=1,$Q10=2),1,0),IF($X10&lt;=20,1,0))</formula>
    </cfRule>
    <cfRule type="expression" priority="2011" dxfId="2">
      <formula>AND(IF($Q10=2,1,0),IF($X10&lt;30,1,0))</formula>
    </cfRule>
    <cfRule type="expression" priority="2012" dxfId="1">
      <formula>AND(IF($Q10=3,1,0),IF($X10&lt;30,1,0))</formula>
    </cfRule>
    <cfRule type="expression" priority="2013" dxfId="0">
      <formula>AND(IF($Q10=3,1,IF($Q10=4,1,0)),IF($F10&lt;=85,1,0))</formula>
    </cfRule>
  </conditionalFormatting>
  <conditionalFormatting sqref="AV11">
    <cfRule type="expression" priority="2008" dxfId="17">
      <formula>AV11="X"</formula>
    </cfRule>
    <cfRule type="expression" priority="2009" dxfId="16">
      <formula>AV11="후보"</formula>
    </cfRule>
  </conditionalFormatting>
  <conditionalFormatting sqref="AC11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1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1">
    <cfRule type="expression" priority="1999" dxfId="3">
      <formula>AND(IF(OR($Q11=1,$Q11=2),1,0),IF($X11&lt;=20,1,0))</formula>
    </cfRule>
    <cfRule type="expression" priority="2000" dxfId="2">
      <formula>AND(IF($Q11=2,1,0),IF($X11&lt;30,1,0))</formula>
    </cfRule>
    <cfRule type="expression" priority="2001" dxfId="1">
      <formula>AND(IF($Q11=3,1,0),IF($X11&lt;30,1,0))</formula>
    </cfRule>
    <cfRule type="expression" priority="2002" dxfId="0">
      <formula>AND(IF($Q11=3,1,IF($Q11=4,1,0)),IF($F11&lt;=85,1,0))</formula>
    </cfRule>
  </conditionalFormatting>
  <conditionalFormatting sqref="X11">
    <cfRule type="expression" priority="1995" dxfId="3">
      <formula>AND(IF(OR($Q11=1,$Q11=2),1,0),IF($X11&lt;=20,1,0))</formula>
    </cfRule>
    <cfRule type="expression" priority="1996" dxfId="2">
      <formula>AND(IF($Q11=2,1,0),IF($X11&lt;30,1,0))</formula>
    </cfRule>
    <cfRule type="expression" priority="1997" dxfId="1">
      <formula>AND(IF($Q11=3,1,0),IF($X11&lt;30,1,0))</formula>
    </cfRule>
    <cfRule type="expression" priority="1998" dxfId="0">
      <formula>AND(IF($Q11=3,1,IF($Q11=4,1,0)),IF($F11&lt;=85,1,0))</formula>
    </cfRule>
  </conditionalFormatting>
  <conditionalFormatting sqref="AI11">
    <cfRule type="expression" priority="1991" dxfId="3">
      <formula>AND(IF(OR($Q11=1,$Q11=2),1,0),IF($X11&lt;=20,1,0))</formula>
    </cfRule>
    <cfRule type="expression" priority="1992" dxfId="2">
      <formula>AND(IF($Q11=2,1,0),IF($X11&lt;30,1,0))</formula>
    </cfRule>
    <cfRule type="expression" priority="1993" dxfId="1">
      <formula>AND(IF($Q11=3,1,0),IF($X11&lt;30,1,0))</formula>
    </cfRule>
    <cfRule type="expression" priority="1994" dxfId="0">
      <formula>AND(IF($Q11=3,1,IF($Q11=4,1,0)),IF($F11&lt;=85,1,0))</formula>
    </cfRule>
  </conditionalFormatting>
  <conditionalFormatting sqref="AV12">
    <cfRule type="expression" priority="1989" dxfId="17">
      <formula>AV12="X"</formula>
    </cfRule>
    <cfRule type="expression" priority="1990" dxfId="16">
      <formula>AV12="후보"</formula>
    </cfRule>
  </conditionalFormatting>
  <conditionalFormatting sqref="AC12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2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2">
    <cfRule type="expression" priority="1980" dxfId="3">
      <formula>AND(IF(OR($Q12=1,$Q12=2),1,0),IF($X12&lt;=20,1,0))</formula>
    </cfRule>
    <cfRule type="expression" priority="1981" dxfId="2">
      <formula>AND(IF($Q12=2,1,0),IF($X12&lt;30,1,0))</formula>
    </cfRule>
    <cfRule type="expression" priority="1982" dxfId="1">
      <formula>AND(IF($Q12=3,1,0),IF($X12&lt;30,1,0))</formula>
    </cfRule>
    <cfRule type="expression" priority="1983" dxfId="0">
      <formula>AND(IF($Q12=3,1,IF($Q12=4,1,0)),IF($F12&lt;=85,1,0))</formula>
    </cfRule>
  </conditionalFormatting>
  <conditionalFormatting sqref="X12">
    <cfRule type="expression" priority="1976" dxfId="3">
      <formula>AND(IF(OR($Q12=1,$Q12=2),1,0),IF($X12&lt;=20,1,0))</formula>
    </cfRule>
    <cfRule type="expression" priority="1977" dxfId="2">
      <formula>AND(IF($Q12=2,1,0),IF($X12&lt;30,1,0))</formula>
    </cfRule>
    <cfRule type="expression" priority="1978" dxfId="1">
      <formula>AND(IF($Q12=3,1,0),IF($X12&lt;30,1,0))</formula>
    </cfRule>
    <cfRule type="expression" priority="1979" dxfId="0">
      <formula>AND(IF($Q12=3,1,IF($Q12=4,1,0)),IF($F12&lt;=85,1,0))</formula>
    </cfRule>
  </conditionalFormatting>
  <conditionalFormatting sqref="AI12">
    <cfRule type="expression" priority="1972" dxfId="3">
      <formula>AND(IF(OR($Q12=1,$Q12=2),1,0),IF($X12&lt;=20,1,0))</formula>
    </cfRule>
    <cfRule type="expression" priority="1973" dxfId="2">
      <formula>AND(IF($Q12=2,1,0),IF($X12&lt;30,1,0))</formula>
    </cfRule>
    <cfRule type="expression" priority="1974" dxfId="1">
      <formula>AND(IF($Q12=3,1,0),IF($X12&lt;30,1,0))</formula>
    </cfRule>
    <cfRule type="expression" priority="1975" dxfId="0">
      <formula>AND(IF($Q12=3,1,IF($Q12=4,1,0)),IF($F12&lt;=85,1,0))</formula>
    </cfRule>
  </conditionalFormatting>
  <conditionalFormatting sqref="AV13">
    <cfRule type="expression" priority="1970" dxfId="17">
      <formula>AV13="X"</formula>
    </cfRule>
    <cfRule type="expression" priority="1971" dxfId="16">
      <formula>AV13="후보"</formula>
    </cfRule>
  </conditionalFormatting>
  <conditionalFormatting sqref="AC13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N13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E13">
    <cfRule type="expression" priority="1961" dxfId="3">
      <formula>AND(IF(OR($Q13=1,$Q13=2),1,0),IF($X13&lt;=20,1,0))</formula>
    </cfRule>
    <cfRule type="expression" priority="1962" dxfId="2">
      <formula>AND(IF($Q13=2,1,0),IF($X13&lt;30,1,0))</formula>
    </cfRule>
    <cfRule type="expression" priority="1963" dxfId="1">
      <formula>AND(IF($Q13=3,1,0),IF($X13&lt;30,1,0))</formula>
    </cfRule>
    <cfRule type="expression" priority="1964" dxfId="0">
      <formula>AND(IF($Q13=3,1,IF($Q13=4,1,0)),IF($F13&lt;=85,1,0))</formula>
    </cfRule>
  </conditionalFormatting>
  <conditionalFormatting sqref="X13">
    <cfRule type="expression" priority="1957" dxfId="3">
      <formula>AND(IF(OR($Q13=1,$Q13=2),1,0),IF($X13&lt;=20,1,0))</formula>
    </cfRule>
    <cfRule type="expression" priority="1958" dxfId="2">
      <formula>AND(IF($Q13=2,1,0),IF($X13&lt;30,1,0))</formula>
    </cfRule>
    <cfRule type="expression" priority="1959" dxfId="1">
      <formula>AND(IF($Q13=3,1,0),IF($X13&lt;30,1,0))</formula>
    </cfRule>
    <cfRule type="expression" priority="1960" dxfId="0">
      <formula>AND(IF($Q13=3,1,IF($Q13=4,1,0)),IF($F13&lt;=85,1,0))</formula>
    </cfRule>
  </conditionalFormatting>
  <conditionalFormatting sqref="AI13">
    <cfRule type="expression" priority="1953" dxfId="3">
      <formula>AND(IF(OR($Q13=1,$Q13=2),1,0),IF($X13&lt;=20,1,0))</formula>
    </cfRule>
    <cfRule type="expression" priority="1954" dxfId="2">
      <formula>AND(IF($Q13=2,1,0),IF($X13&lt;30,1,0))</formula>
    </cfRule>
    <cfRule type="expression" priority="1955" dxfId="1">
      <formula>AND(IF($Q13=3,1,0),IF($X13&lt;30,1,0))</formula>
    </cfRule>
    <cfRule type="expression" priority="1956" dxfId="0">
      <formula>AND(IF($Q13=3,1,IF($Q13=4,1,0)),IF($F13&lt;=85,1,0))</formula>
    </cfRule>
  </conditionalFormatting>
  <conditionalFormatting sqref="AV14">
    <cfRule type="expression" priority="1951" dxfId="17">
      <formula>AV14="X"</formula>
    </cfRule>
    <cfRule type="expression" priority="1952" dxfId="16">
      <formula>AV14="후보"</formula>
    </cfRule>
  </conditionalFormatting>
  <conditionalFormatting sqref="AC14">
    <cfRule type="cellIs" priority="1948" operator="greaterThan" dxfId="13">
      <formula>0.9</formula>
    </cfRule>
    <cfRule type="cellIs" priority="1949" operator="greaterThan" dxfId="12">
      <formula>0.85</formula>
    </cfRule>
  </conditionalFormatting>
  <conditionalFormatting sqref="N14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E14">
    <cfRule type="expression" priority="1942" dxfId="3">
      <formula>AND(IF(OR($Q14=1,$Q14=2),1,0),IF($X14&lt;=20,1,0))</formula>
    </cfRule>
    <cfRule type="expression" priority="1943" dxfId="2">
      <formula>AND(IF($Q14=2,1,0),IF($X14&lt;30,1,0))</formula>
    </cfRule>
    <cfRule type="expression" priority="1944" dxfId="1">
      <formula>AND(IF($Q14=3,1,0),IF($X14&lt;30,1,0))</formula>
    </cfRule>
    <cfRule type="expression" priority="1945" dxfId="0">
      <formula>AND(IF($Q14=3,1,IF($Q14=4,1,0)),IF($F14&lt;=85,1,0))</formula>
    </cfRule>
  </conditionalFormatting>
  <conditionalFormatting sqref="X14">
    <cfRule type="expression" priority="1938" dxfId="3">
      <formula>AND(IF(OR($Q14=1,$Q14=2),1,0),IF($X14&lt;=20,1,0))</formula>
    </cfRule>
    <cfRule type="expression" priority="1939" dxfId="2">
      <formula>AND(IF($Q14=2,1,0),IF($X14&lt;30,1,0))</formula>
    </cfRule>
    <cfRule type="expression" priority="1940" dxfId="1">
      <formula>AND(IF($Q14=3,1,0),IF($X14&lt;30,1,0))</formula>
    </cfRule>
    <cfRule type="expression" priority="1941" dxfId="0">
      <formula>AND(IF($Q14=3,1,IF($Q14=4,1,0)),IF($F14&lt;=85,1,0))</formula>
    </cfRule>
  </conditionalFormatting>
  <conditionalFormatting sqref="AI14">
    <cfRule type="expression" priority="1934" dxfId="3">
      <formula>AND(IF(OR($Q14=1,$Q14=2),1,0),IF($X14&lt;=20,1,0))</formula>
    </cfRule>
    <cfRule type="expression" priority="1935" dxfId="2">
      <formula>AND(IF($Q14=2,1,0),IF($X14&lt;30,1,0))</formula>
    </cfRule>
    <cfRule type="expression" priority="1936" dxfId="1">
      <formula>AND(IF($Q14=3,1,0),IF($X14&lt;30,1,0))</formula>
    </cfRule>
    <cfRule type="expression" priority="1937" dxfId="0">
      <formula>AND(IF($Q14=3,1,IF($Q14=4,1,0)),IF($F14&lt;=85,1,0))</formula>
    </cfRule>
  </conditionalFormatting>
  <conditionalFormatting sqref="AV15">
    <cfRule type="expression" priority="1932" dxfId="17">
      <formula>AV15="X"</formula>
    </cfRule>
    <cfRule type="expression" priority="1933" dxfId="16">
      <formula>AV15="후보"</formula>
    </cfRule>
  </conditionalFormatting>
  <conditionalFormatting sqref="AC15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15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15">
    <cfRule type="expression" priority="1923" dxfId="3">
      <formula>AND(IF(OR($Q15=1,$Q15=2),1,0),IF($X15&lt;=20,1,0))</formula>
    </cfRule>
    <cfRule type="expression" priority="1924" dxfId="2">
      <formula>AND(IF($Q15=2,1,0),IF($X15&lt;30,1,0))</formula>
    </cfRule>
    <cfRule type="expression" priority="1925" dxfId="1">
      <formula>AND(IF($Q15=3,1,0),IF($X15&lt;30,1,0))</formula>
    </cfRule>
    <cfRule type="expression" priority="1926" dxfId="0">
      <formula>AND(IF($Q15=3,1,IF($Q15=4,1,0)),IF($F15&lt;=85,1,0))</formula>
    </cfRule>
  </conditionalFormatting>
  <conditionalFormatting sqref="X15">
    <cfRule type="expression" priority="1919" dxfId="3">
      <formula>AND(IF(OR($Q15=1,$Q15=2),1,0),IF($X15&lt;=20,1,0))</formula>
    </cfRule>
    <cfRule type="expression" priority="1920" dxfId="2">
      <formula>AND(IF($Q15=2,1,0),IF($X15&lt;30,1,0))</formula>
    </cfRule>
    <cfRule type="expression" priority="1921" dxfId="1">
      <formula>AND(IF($Q15=3,1,0),IF($X15&lt;30,1,0))</formula>
    </cfRule>
    <cfRule type="expression" priority="1922" dxfId="0">
      <formula>AND(IF($Q15=3,1,IF($Q15=4,1,0)),IF($F15&lt;=85,1,0))</formula>
    </cfRule>
  </conditionalFormatting>
  <conditionalFormatting sqref="AI15">
    <cfRule type="expression" priority="1915" dxfId="3">
      <formula>AND(IF(OR($Q15=1,$Q15=2),1,0),IF($X15&lt;=20,1,0))</formula>
    </cfRule>
    <cfRule type="expression" priority="1916" dxfId="2">
      <formula>AND(IF($Q15=2,1,0),IF($X15&lt;30,1,0))</formula>
    </cfRule>
    <cfRule type="expression" priority="1917" dxfId="1">
      <formula>AND(IF($Q15=3,1,0),IF($X15&lt;30,1,0))</formula>
    </cfRule>
    <cfRule type="expression" priority="1918" dxfId="0">
      <formula>AND(IF($Q15=3,1,IF($Q15=4,1,0)),IF($F15&lt;=85,1,0))</formula>
    </cfRule>
  </conditionalFormatting>
  <conditionalFormatting sqref="AV16">
    <cfRule type="expression" priority="1913" dxfId="17">
      <formula>AV16="X"</formula>
    </cfRule>
    <cfRule type="expression" priority="1914" dxfId="16">
      <formula>AV16="후보"</formula>
    </cfRule>
  </conditionalFormatting>
  <conditionalFormatting sqref="AC16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16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16">
    <cfRule type="expression" priority="1904" dxfId="3">
      <formula>AND(IF(OR($Q16=1,$Q16=2),1,0),IF($X16&lt;=20,1,0))</formula>
    </cfRule>
    <cfRule type="expression" priority="1905" dxfId="2">
      <formula>AND(IF($Q16=2,1,0),IF($X16&lt;30,1,0))</formula>
    </cfRule>
    <cfRule type="expression" priority="1906" dxfId="1">
      <formula>AND(IF($Q16=3,1,0),IF($X16&lt;30,1,0))</formula>
    </cfRule>
    <cfRule type="expression" priority="1907" dxfId="0">
      <formula>AND(IF($Q16=3,1,IF($Q16=4,1,0)),IF($F16&lt;=85,1,0))</formula>
    </cfRule>
  </conditionalFormatting>
  <conditionalFormatting sqref="X16">
    <cfRule type="expression" priority="1900" dxfId="3">
      <formula>AND(IF(OR($Q16=1,$Q16=2),1,0),IF($X16&lt;=20,1,0))</formula>
    </cfRule>
    <cfRule type="expression" priority="1901" dxfId="2">
      <formula>AND(IF($Q16=2,1,0),IF($X16&lt;30,1,0))</formula>
    </cfRule>
    <cfRule type="expression" priority="1902" dxfId="1">
      <formula>AND(IF($Q16=3,1,0),IF($X16&lt;30,1,0))</formula>
    </cfRule>
    <cfRule type="expression" priority="1903" dxfId="0">
      <formula>AND(IF($Q16=3,1,IF($Q16=4,1,0)),IF($F16&lt;=85,1,0))</formula>
    </cfRule>
  </conditionalFormatting>
  <conditionalFormatting sqref="AI16">
    <cfRule type="expression" priority="1896" dxfId="3">
      <formula>AND(IF(OR($Q16=1,$Q16=2),1,0),IF($X16&lt;=20,1,0))</formula>
    </cfRule>
    <cfRule type="expression" priority="1897" dxfId="2">
      <formula>AND(IF($Q16=2,1,0),IF($X16&lt;30,1,0))</formula>
    </cfRule>
    <cfRule type="expression" priority="1898" dxfId="1">
      <formula>AND(IF($Q16=3,1,0),IF($X16&lt;30,1,0))</formula>
    </cfRule>
    <cfRule type="expression" priority="1899" dxfId="0">
      <formula>AND(IF($Q16=3,1,IF($Q16=4,1,0)),IF($F16&lt;=85,1,0))</formula>
    </cfRule>
  </conditionalFormatting>
  <conditionalFormatting sqref="AV17">
    <cfRule type="expression" priority="1894" dxfId="17">
      <formula>AV17="X"</formula>
    </cfRule>
    <cfRule type="expression" priority="1895" dxfId="16">
      <formula>AV17="후보"</formula>
    </cfRule>
  </conditionalFormatting>
  <conditionalFormatting sqref="AC17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N17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E17">
    <cfRule type="expression" priority="1885" dxfId="3">
      <formula>AND(IF(OR($Q17=1,$Q17=2),1,0),IF($X17&lt;=20,1,0))</formula>
    </cfRule>
    <cfRule type="expression" priority="1886" dxfId="2">
      <formula>AND(IF($Q17=2,1,0),IF($X17&lt;30,1,0))</formula>
    </cfRule>
    <cfRule type="expression" priority="1887" dxfId="1">
      <formula>AND(IF($Q17=3,1,0),IF($X17&lt;30,1,0))</formula>
    </cfRule>
    <cfRule type="expression" priority="1888" dxfId="0">
      <formula>AND(IF($Q17=3,1,IF($Q17=4,1,0)),IF($F17&lt;=85,1,0))</formula>
    </cfRule>
  </conditionalFormatting>
  <conditionalFormatting sqref="X17">
    <cfRule type="expression" priority="1881" dxfId="3">
      <formula>AND(IF(OR($Q17=1,$Q17=2),1,0),IF($X17&lt;=20,1,0))</formula>
    </cfRule>
    <cfRule type="expression" priority="1882" dxfId="2">
      <formula>AND(IF($Q17=2,1,0),IF($X17&lt;30,1,0))</formula>
    </cfRule>
    <cfRule type="expression" priority="1883" dxfId="1">
      <formula>AND(IF($Q17=3,1,0),IF($X17&lt;30,1,0))</formula>
    </cfRule>
    <cfRule type="expression" priority="1884" dxfId="0">
      <formula>AND(IF($Q17=3,1,IF($Q17=4,1,0)),IF($F17&lt;=85,1,0))</formula>
    </cfRule>
  </conditionalFormatting>
  <conditionalFormatting sqref="AI17">
    <cfRule type="expression" priority="1877" dxfId="3">
      <formula>AND(IF(OR($Q17=1,$Q17=2),1,0),IF($X17&lt;=20,1,0))</formula>
    </cfRule>
    <cfRule type="expression" priority="1878" dxfId="2">
      <formula>AND(IF($Q17=2,1,0),IF($X17&lt;30,1,0))</formula>
    </cfRule>
    <cfRule type="expression" priority="1879" dxfId="1">
      <formula>AND(IF($Q17=3,1,0),IF($X17&lt;30,1,0))</formula>
    </cfRule>
    <cfRule type="expression" priority="1880" dxfId="0">
      <formula>AND(IF($Q17=3,1,IF($Q17=4,1,0)),IF($F17&lt;=85,1,0))</formula>
    </cfRule>
  </conditionalFormatting>
  <conditionalFormatting sqref="AV18">
    <cfRule type="expression" priority="1875" dxfId="17">
      <formula>AV18="X"</formula>
    </cfRule>
    <cfRule type="expression" priority="1876" dxfId="16">
      <formula>AV18="후보"</formula>
    </cfRule>
  </conditionalFormatting>
  <conditionalFormatting sqref="AC18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N18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E18">
    <cfRule type="expression" priority="1866" dxfId="3">
      <formula>AND(IF(OR($Q18=1,$Q18=2),1,0),IF($X18&lt;=20,1,0))</formula>
    </cfRule>
    <cfRule type="expression" priority="1867" dxfId="2">
      <formula>AND(IF($Q18=2,1,0),IF($X18&lt;30,1,0))</formula>
    </cfRule>
    <cfRule type="expression" priority="1868" dxfId="1">
      <formula>AND(IF($Q18=3,1,0),IF($X18&lt;30,1,0))</formula>
    </cfRule>
    <cfRule type="expression" priority="1869" dxfId="0">
      <formula>AND(IF($Q18=3,1,IF($Q18=4,1,0)),IF($F18&lt;=85,1,0))</formula>
    </cfRule>
  </conditionalFormatting>
  <conditionalFormatting sqref="X18">
    <cfRule type="expression" priority="1862" dxfId="3">
      <formula>AND(IF(OR($Q18=1,$Q18=2),1,0),IF($X18&lt;=20,1,0))</formula>
    </cfRule>
    <cfRule type="expression" priority="1863" dxfId="2">
      <formula>AND(IF($Q18=2,1,0),IF($X18&lt;30,1,0))</formula>
    </cfRule>
    <cfRule type="expression" priority="1864" dxfId="1">
      <formula>AND(IF($Q18=3,1,0),IF($X18&lt;30,1,0))</formula>
    </cfRule>
    <cfRule type="expression" priority="1865" dxfId="0">
      <formula>AND(IF($Q18=3,1,IF($Q18=4,1,0)),IF($F18&lt;=85,1,0))</formula>
    </cfRule>
  </conditionalFormatting>
  <conditionalFormatting sqref="AI18">
    <cfRule type="expression" priority="1858" dxfId="3">
      <formula>AND(IF(OR($Q18=1,$Q18=2),1,0),IF($X18&lt;=20,1,0))</formula>
    </cfRule>
    <cfRule type="expression" priority="1859" dxfId="2">
      <formula>AND(IF($Q18=2,1,0),IF($X18&lt;30,1,0))</formula>
    </cfRule>
    <cfRule type="expression" priority="1860" dxfId="1">
      <formula>AND(IF($Q18=3,1,0),IF($X18&lt;30,1,0))</formula>
    </cfRule>
    <cfRule type="expression" priority="1861" dxfId="0">
      <formula>AND(IF($Q18=3,1,IF($Q18=4,1,0)),IF($F18&lt;=85,1,0))</formula>
    </cfRule>
  </conditionalFormatting>
  <conditionalFormatting sqref="AV19">
    <cfRule type="expression" priority="1856" dxfId="17">
      <formula>AV19="X"</formula>
    </cfRule>
    <cfRule type="expression" priority="1857" dxfId="16">
      <formula>AV19="후보"</formula>
    </cfRule>
  </conditionalFormatting>
  <conditionalFormatting sqref="AC19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19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19">
    <cfRule type="expression" priority="1847" dxfId="3">
      <formula>AND(IF(OR($Q19=1,$Q19=2),1,0),IF($X19&lt;=20,1,0))</formula>
    </cfRule>
    <cfRule type="expression" priority="1848" dxfId="2">
      <formula>AND(IF($Q19=2,1,0),IF($X19&lt;30,1,0))</formula>
    </cfRule>
    <cfRule type="expression" priority="1849" dxfId="1">
      <formula>AND(IF($Q19=3,1,0),IF($X19&lt;30,1,0))</formula>
    </cfRule>
    <cfRule type="expression" priority="1850" dxfId="0">
      <formula>AND(IF($Q19=3,1,IF($Q19=4,1,0)),IF($F19&lt;=85,1,0))</formula>
    </cfRule>
  </conditionalFormatting>
  <conditionalFormatting sqref="X19">
    <cfRule type="expression" priority="1843" dxfId="3">
      <formula>AND(IF(OR($Q19=1,$Q19=2),1,0),IF($X19&lt;=20,1,0))</formula>
    </cfRule>
    <cfRule type="expression" priority="1844" dxfId="2">
      <formula>AND(IF($Q19=2,1,0),IF($X19&lt;30,1,0))</formula>
    </cfRule>
    <cfRule type="expression" priority="1845" dxfId="1">
      <formula>AND(IF($Q19=3,1,0),IF($X19&lt;30,1,0))</formula>
    </cfRule>
    <cfRule type="expression" priority="1846" dxfId="0">
      <formula>AND(IF($Q19=3,1,IF($Q19=4,1,0)),IF($F19&lt;=85,1,0))</formula>
    </cfRule>
  </conditionalFormatting>
  <conditionalFormatting sqref="AI19">
    <cfRule type="expression" priority="1839" dxfId="3">
      <formula>AND(IF(OR($Q19=1,$Q19=2),1,0),IF($X19&lt;=20,1,0))</formula>
    </cfRule>
    <cfRule type="expression" priority="1840" dxfId="2">
      <formula>AND(IF($Q19=2,1,0),IF($X19&lt;30,1,0))</formula>
    </cfRule>
    <cfRule type="expression" priority="1841" dxfId="1">
      <formula>AND(IF($Q19=3,1,0),IF($X19&lt;30,1,0))</formula>
    </cfRule>
    <cfRule type="expression" priority="1842" dxfId="0">
      <formula>AND(IF($Q19=3,1,IF($Q19=4,1,0)),IF($F19&lt;=85,1,0))</formula>
    </cfRule>
  </conditionalFormatting>
  <conditionalFormatting sqref="AV20">
    <cfRule type="expression" priority="1837" dxfId="17">
      <formula>AV20="X"</formula>
    </cfRule>
    <cfRule type="expression" priority="1838" dxfId="16">
      <formula>AV20="후보"</formula>
    </cfRule>
  </conditionalFormatting>
  <conditionalFormatting sqref="AC20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20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20">
    <cfRule type="expression" priority="1828" dxfId="3">
      <formula>AND(IF(OR($Q20=1,$Q20=2),1,0),IF($X20&lt;=20,1,0))</formula>
    </cfRule>
    <cfRule type="expression" priority="1829" dxfId="2">
      <formula>AND(IF($Q20=2,1,0),IF($X20&lt;30,1,0))</formula>
    </cfRule>
    <cfRule type="expression" priority="1830" dxfId="1">
      <formula>AND(IF($Q20=3,1,0),IF($X20&lt;30,1,0))</formula>
    </cfRule>
    <cfRule type="expression" priority="1831" dxfId="0">
      <formula>AND(IF($Q20=3,1,IF($Q20=4,1,0)),IF($F20&lt;=85,1,0))</formula>
    </cfRule>
  </conditionalFormatting>
  <conditionalFormatting sqref="X20">
    <cfRule type="expression" priority="1824" dxfId="3">
      <formula>AND(IF(OR($Q20=1,$Q20=2),1,0),IF($X20&lt;=20,1,0))</formula>
    </cfRule>
    <cfRule type="expression" priority="1825" dxfId="2">
      <formula>AND(IF($Q20=2,1,0),IF($X20&lt;30,1,0))</formula>
    </cfRule>
    <cfRule type="expression" priority="1826" dxfId="1">
      <formula>AND(IF($Q20=3,1,0),IF($X20&lt;30,1,0))</formula>
    </cfRule>
    <cfRule type="expression" priority="1827" dxfId="0">
      <formula>AND(IF($Q20=3,1,IF($Q20=4,1,0)),IF($F20&lt;=85,1,0))</formula>
    </cfRule>
  </conditionalFormatting>
  <conditionalFormatting sqref="AI20">
    <cfRule type="expression" priority="1820" dxfId="3">
      <formula>AND(IF(OR($Q20=1,$Q20=2),1,0),IF($X20&lt;=20,1,0))</formula>
    </cfRule>
    <cfRule type="expression" priority="1821" dxfId="2">
      <formula>AND(IF($Q20=2,1,0),IF($X20&lt;30,1,0))</formula>
    </cfRule>
    <cfRule type="expression" priority="1822" dxfId="1">
      <formula>AND(IF($Q20=3,1,0),IF($X20&lt;30,1,0))</formula>
    </cfRule>
    <cfRule type="expression" priority="1823" dxfId="0">
      <formula>AND(IF($Q20=3,1,IF($Q20=4,1,0)),IF($F20&lt;=85,1,0))</formula>
    </cfRule>
  </conditionalFormatting>
  <conditionalFormatting sqref="AV21">
    <cfRule type="expression" priority="1818" dxfId="17">
      <formula>AV21="X"</formula>
    </cfRule>
    <cfRule type="expression" priority="1819" dxfId="16">
      <formula>AV21="후보"</formula>
    </cfRule>
  </conditionalFormatting>
  <conditionalFormatting sqref="AC21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1">
    <cfRule type="expression" priority="1809" dxfId="3">
      <formula>AND(IF(OR($Q21=1,$Q21=2),1,0),IF($X21&lt;=20,1,0))</formula>
    </cfRule>
    <cfRule type="expression" priority="1810" dxfId="2">
      <formula>AND(IF($Q21=2,1,0),IF($X21&lt;30,1,0))</formula>
    </cfRule>
    <cfRule type="expression" priority="1811" dxfId="1">
      <formula>AND(IF($Q21=3,1,0),IF($X21&lt;30,1,0))</formula>
    </cfRule>
    <cfRule type="expression" priority="1812" dxfId="0">
      <formula>AND(IF($Q21=3,1,IF($Q21=4,1,0)),IF($F21&lt;=85,1,0))</formula>
    </cfRule>
  </conditionalFormatting>
  <conditionalFormatting sqref="X21">
    <cfRule type="expression" priority="1805" dxfId="3">
      <formula>AND(IF(OR($Q21=1,$Q21=2),1,0),IF($X21&lt;=20,1,0))</formula>
    </cfRule>
    <cfRule type="expression" priority="1806" dxfId="2">
      <formula>AND(IF($Q21=2,1,0),IF($X21&lt;30,1,0))</formula>
    </cfRule>
    <cfRule type="expression" priority="1807" dxfId="1">
      <formula>AND(IF($Q21=3,1,0),IF($X21&lt;30,1,0))</formula>
    </cfRule>
    <cfRule type="expression" priority="1808" dxfId="0">
      <formula>AND(IF($Q21=3,1,IF($Q21=4,1,0)),IF($F21&lt;=85,1,0))</formula>
    </cfRule>
  </conditionalFormatting>
  <conditionalFormatting sqref="AI21">
    <cfRule type="expression" priority="1801" dxfId="3">
      <formula>AND(IF(OR($Q21=1,$Q21=2),1,0),IF($X21&lt;=20,1,0))</formula>
    </cfRule>
    <cfRule type="expression" priority="1802" dxfId="2">
      <formula>AND(IF($Q21=2,1,0),IF($X21&lt;30,1,0))</formula>
    </cfRule>
    <cfRule type="expression" priority="1803" dxfId="1">
      <formula>AND(IF($Q21=3,1,0),IF($X21&lt;30,1,0))</formula>
    </cfRule>
    <cfRule type="expression" priority="1804" dxfId="0">
      <formula>AND(IF($Q21=3,1,IF($Q21=4,1,0)),IF($F21&lt;=85,1,0))</formula>
    </cfRule>
  </conditionalFormatting>
  <conditionalFormatting sqref="AV22">
    <cfRule type="expression" priority="1799" dxfId="17">
      <formula>AV22="X"</formula>
    </cfRule>
    <cfRule type="expression" priority="1800" dxfId="16">
      <formula>AV22="후보"</formula>
    </cfRule>
  </conditionalFormatting>
  <conditionalFormatting sqref="AC22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22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22">
    <cfRule type="expression" priority="1790" dxfId="3">
      <formula>AND(IF(OR($Q22=1,$Q22=2),1,0),IF($X22&lt;=20,1,0))</formula>
    </cfRule>
    <cfRule type="expression" priority="1791" dxfId="2">
      <formula>AND(IF($Q22=2,1,0),IF($X22&lt;30,1,0))</formula>
    </cfRule>
    <cfRule type="expression" priority="1792" dxfId="1">
      <formula>AND(IF($Q22=3,1,0),IF($X22&lt;30,1,0))</formula>
    </cfRule>
    <cfRule type="expression" priority="1793" dxfId="0">
      <formula>AND(IF($Q22=3,1,IF($Q22=4,1,0)),IF($F22&lt;=85,1,0))</formula>
    </cfRule>
  </conditionalFormatting>
  <conditionalFormatting sqref="X22">
    <cfRule type="expression" priority="1786" dxfId="3">
      <formula>AND(IF(OR($Q22=1,$Q22=2),1,0),IF($X22&lt;=20,1,0))</formula>
    </cfRule>
    <cfRule type="expression" priority="1787" dxfId="2">
      <formula>AND(IF($Q22=2,1,0),IF($X22&lt;30,1,0))</formula>
    </cfRule>
    <cfRule type="expression" priority="1788" dxfId="1">
      <formula>AND(IF($Q22=3,1,0),IF($X22&lt;30,1,0))</formula>
    </cfRule>
    <cfRule type="expression" priority="1789" dxfId="0">
      <formula>AND(IF($Q22=3,1,IF($Q22=4,1,0)),IF($F22&lt;=85,1,0))</formula>
    </cfRule>
  </conditionalFormatting>
  <conditionalFormatting sqref="AI22">
    <cfRule type="expression" priority="1782" dxfId="3">
      <formula>AND(IF(OR($Q22=1,$Q22=2),1,0),IF($X22&lt;=20,1,0))</formula>
    </cfRule>
    <cfRule type="expression" priority="1783" dxfId="2">
      <formula>AND(IF($Q22=2,1,0),IF($X22&lt;30,1,0))</formula>
    </cfRule>
    <cfRule type="expression" priority="1784" dxfId="1">
      <formula>AND(IF($Q22=3,1,0),IF($X22&lt;30,1,0))</formula>
    </cfRule>
    <cfRule type="expression" priority="1785" dxfId="0">
      <formula>AND(IF($Q22=3,1,IF($Q22=4,1,0)),IF($F22&lt;=85,1,0))</formula>
    </cfRule>
  </conditionalFormatting>
  <conditionalFormatting sqref="AV23">
    <cfRule type="expression" priority="1780" dxfId="17">
      <formula>AV23="X"</formula>
    </cfRule>
    <cfRule type="expression" priority="1781" dxfId="16">
      <formula>AV23="후보"</formula>
    </cfRule>
  </conditionalFormatting>
  <conditionalFormatting sqref="AC23 N2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AV24">
    <cfRule type="expression" priority="1775" dxfId="17">
      <formula>AV24="X"</formula>
    </cfRule>
    <cfRule type="expression" priority="1776" dxfId="16">
      <formula>AV24="후보"</formula>
    </cfRule>
  </conditionalFormatting>
  <conditionalFormatting sqref="AC24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N24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E24">
    <cfRule type="expression" priority="1766" dxfId="3">
      <formula>AND(IF(OR($Q24=1,$Q24=2),1,0),IF($X24&lt;=20,1,0))</formula>
    </cfRule>
    <cfRule type="expression" priority="1767" dxfId="2">
      <formula>AND(IF($Q24=2,1,0),IF($X24&lt;30,1,0))</formula>
    </cfRule>
    <cfRule type="expression" priority="1768" dxfId="1">
      <formula>AND(IF($Q24=3,1,0),IF($X24&lt;30,1,0))</formula>
    </cfRule>
    <cfRule type="expression" priority="1769" dxfId="0">
      <formula>AND(IF($Q24=3,1,IF($Q24=4,1,0)),IF($F24&lt;=85,1,0))</formula>
    </cfRule>
  </conditionalFormatting>
  <conditionalFormatting sqref="X24">
    <cfRule type="expression" priority="1762" dxfId="3">
      <formula>AND(IF(OR($Q24=1,$Q24=2),1,0),IF($X24&lt;=20,1,0))</formula>
    </cfRule>
    <cfRule type="expression" priority="1763" dxfId="2">
      <formula>AND(IF($Q24=2,1,0),IF($X24&lt;30,1,0))</formula>
    </cfRule>
    <cfRule type="expression" priority="1764" dxfId="1">
      <formula>AND(IF($Q24=3,1,0),IF($X24&lt;30,1,0))</formula>
    </cfRule>
    <cfRule type="expression" priority="1765" dxfId="0">
      <formula>AND(IF($Q24=3,1,IF($Q24=4,1,0)),IF($F24&lt;=85,1,0))</formula>
    </cfRule>
  </conditionalFormatting>
  <conditionalFormatting sqref="AI24">
    <cfRule type="expression" priority="1758" dxfId="3">
      <formula>AND(IF(OR($Q24=1,$Q24=2),1,0),IF($X24&lt;=20,1,0))</formula>
    </cfRule>
    <cfRule type="expression" priority="1759" dxfId="2">
      <formula>AND(IF($Q24=2,1,0),IF($X24&lt;30,1,0))</formula>
    </cfRule>
    <cfRule type="expression" priority="1760" dxfId="1">
      <formula>AND(IF($Q24=3,1,0),IF($X24&lt;30,1,0))</formula>
    </cfRule>
    <cfRule type="expression" priority="1761" dxfId="0">
      <formula>AND(IF($Q24=3,1,IF($Q24=4,1,0)),IF($F24&lt;=85,1,0))</formula>
    </cfRule>
  </conditionalFormatting>
  <conditionalFormatting sqref="AV25">
    <cfRule type="expression" priority="1756" dxfId="17">
      <formula>AV25="X"</formula>
    </cfRule>
    <cfRule type="expression" priority="1757" dxfId="16">
      <formula>AV25="후보"</formula>
    </cfRule>
  </conditionalFormatting>
  <conditionalFormatting sqref="AC25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N2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E25">
    <cfRule type="expression" priority="1747" dxfId="3">
      <formula>AND(IF(OR($Q25=1,$Q25=2),1,0),IF($X25&lt;=20,1,0))</formula>
    </cfRule>
    <cfRule type="expression" priority="1748" dxfId="2">
      <formula>AND(IF($Q25=2,1,0),IF($X25&lt;30,1,0))</formula>
    </cfRule>
    <cfRule type="expression" priority="1749" dxfId="1">
      <formula>AND(IF($Q25=3,1,0),IF($X25&lt;30,1,0))</formula>
    </cfRule>
    <cfRule type="expression" priority="1750" dxfId="0">
      <formula>AND(IF($Q25=3,1,IF($Q25=4,1,0)),IF($F25&lt;=85,1,0))</formula>
    </cfRule>
  </conditionalFormatting>
  <conditionalFormatting sqref="X25">
    <cfRule type="expression" priority="1743" dxfId="3">
      <formula>AND(IF(OR($Q25=1,$Q25=2),1,0),IF($X25&lt;=20,1,0))</formula>
    </cfRule>
    <cfRule type="expression" priority="1744" dxfId="2">
      <formula>AND(IF($Q25=2,1,0),IF($X25&lt;30,1,0))</formula>
    </cfRule>
    <cfRule type="expression" priority="1745" dxfId="1">
      <formula>AND(IF($Q25=3,1,0),IF($X25&lt;30,1,0))</formula>
    </cfRule>
    <cfRule type="expression" priority="1746" dxfId="0">
      <formula>AND(IF($Q25=3,1,IF($Q25=4,1,0)),IF($F25&lt;=85,1,0))</formula>
    </cfRule>
  </conditionalFormatting>
  <conditionalFormatting sqref="AI25">
    <cfRule type="expression" priority="1739" dxfId="3">
      <formula>AND(IF(OR($Q25=1,$Q25=2),1,0),IF($X25&lt;=20,1,0))</formula>
    </cfRule>
    <cfRule type="expression" priority="1740" dxfId="2">
      <formula>AND(IF($Q25=2,1,0),IF($X25&lt;30,1,0))</formula>
    </cfRule>
    <cfRule type="expression" priority="1741" dxfId="1">
      <formula>AND(IF($Q25=3,1,0),IF($X25&lt;30,1,0))</formula>
    </cfRule>
    <cfRule type="expression" priority="1742" dxfId="0">
      <formula>AND(IF($Q25=3,1,IF($Q25=4,1,0)),IF($F25&lt;=85,1,0))</formula>
    </cfRule>
  </conditionalFormatting>
  <conditionalFormatting sqref="AV26">
    <cfRule type="expression" priority="1737" dxfId="17">
      <formula>AV26="X"</formula>
    </cfRule>
    <cfRule type="expression" priority="1738" dxfId="16">
      <formula>AV26="후보"</formula>
    </cfRule>
  </conditionalFormatting>
  <conditionalFormatting sqref="AC26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N26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E26">
    <cfRule type="expression" priority="1728" dxfId="3">
      <formula>AND(IF(OR($Q26=1,$Q26=2),1,0),IF($X26&lt;=20,1,0))</formula>
    </cfRule>
    <cfRule type="expression" priority="1729" dxfId="2">
      <formula>AND(IF($Q26=2,1,0),IF($X26&lt;30,1,0))</formula>
    </cfRule>
    <cfRule type="expression" priority="1730" dxfId="1">
      <formula>AND(IF($Q26=3,1,0),IF($X26&lt;30,1,0))</formula>
    </cfRule>
    <cfRule type="expression" priority="1731" dxfId="0">
      <formula>AND(IF($Q26=3,1,IF($Q26=4,1,0)),IF($F26&lt;=85,1,0))</formula>
    </cfRule>
  </conditionalFormatting>
  <conditionalFormatting sqref="X26">
    <cfRule type="expression" priority="1724" dxfId="3">
      <formula>AND(IF(OR($Q26=1,$Q26=2),1,0),IF($X26&lt;=20,1,0))</formula>
    </cfRule>
    <cfRule type="expression" priority="1725" dxfId="2">
      <formula>AND(IF($Q26=2,1,0),IF($X26&lt;30,1,0))</formula>
    </cfRule>
    <cfRule type="expression" priority="1726" dxfId="1">
      <formula>AND(IF($Q26=3,1,0),IF($X26&lt;30,1,0))</formula>
    </cfRule>
    <cfRule type="expression" priority="1727" dxfId="0">
      <formula>AND(IF($Q26=3,1,IF($Q26=4,1,0)),IF($F26&lt;=85,1,0))</formula>
    </cfRule>
  </conditionalFormatting>
  <conditionalFormatting sqref="AI26">
    <cfRule type="expression" priority="1720" dxfId="3">
      <formula>AND(IF(OR($Q26=1,$Q26=2),1,0),IF($X26&lt;=20,1,0))</formula>
    </cfRule>
    <cfRule type="expression" priority="1721" dxfId="2">
      <formula>AND(IF($Q26=2,1,0),IF($X26&lt;30,1,0))</formula>
    </cfRule>
    <cfRule type="expression" priority="1722" dxfId="1">
      <formula>AND(IF($Q26=3,1,0),IF($X26&lt;30,1,0))</formula>
    </cfRule>
    <cfRule type="expression" priority="1723" dxfId="0">
      <formula>AND(IF($Q26=3,1,IF($Q26=4,1,0)),IF($F26&lt;=85,1,0))</formula>
    </cfRule>
  </conditionalFormatting>
  <conditionalFormatting sqref="AV27">
    <cfRule type="expression" priority="1718" dxfId="17">
      <formula>AV27="X"</formula>
    </cfRule>
    <cfRule type="expression" priority="1719" dxfId="16">
      <formula>AV27="후보"</formula>
    </cfRule>
  </conditionalFormatting>
  <conditionalFormatting sqref="AC27 N27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AV28">
    <cfRule type="expression" priority="1713" dxfId="17">
      <formula>AV28="X"</formula>
    </cfRule>
    <cfRule type="expression" priority="1714" dxfId="16">
      <formula>AV28="후보"</formula>
    </cfRule>
  </conditionalFormatting>
  <conditionalFormatting sqref="AC2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28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28">
    <cfRule type="expression" priority="1704" dxfId="3">
      <formula>AND(IF(OR($Q28=1,$Q28=2),1,0),IF($X28&lt;=20,1,0))</formula>
    </cfRule>
    <cfRule type="expression" priority="1705" dxfId="2">
      <formula>AND(IF($Q28=2,1,0),IF($X28&lt;30,1,0))</formula>
    </cfRule>
    <cfRule type="expression" priority="1706" dxfId="1">
      <formula>AND(IF($Q28=3,1,0),IF($X28&lt;30,1,0))</formula>
    </cfRule>
    <cfRule type="expression" priority="1707" dxfId="0">
      <formula>AND(IF($Q28=3,1,IF($Q28=4,1,0)),IF($F28&lt;=85,1,0))</formula>
    </cfRule>
  </conditionalFormatting>
  <conditionalFormatting sqref="X28">
    <cfRule type="expression" priority="1700" dxfId="3">
      <formula>AND(IF(OR($Q28=1,$Q28=2),1,0),IF($X28&lt;=20,1,0))</formula>
    </cfRule>
    <cfRule type="expression" priority="1701" dxfId="2">
      <formula>AND(IF($Q28=2,1,0),IF($X28&lt;30,1,0))</formula>
    </cfRule>
    <cfRule type="expression" priority="1702" dxfId="1">
      <formula>AND(IF($Q28=3,1,0),IF($X28&lt;30,1,0))</formula>
    </cfRule>
    <cfRule type="expression" priority="1703" dxfId="0">
      <formula>AND(IF($Q28=3,1,IF($Q28=4,1,0)),IF($F28&lt;=85,1,0))</formula>
    </cfRule>
  </conditionalFormatting>
  <conditionalFormatting sqref="AI28">
    <cfRule type="expression" priority="1696" dxfId="3">
      <formula>AND(IF(OR($Q28=1,$Q28=2),1,0),IF($X28&lt;=20,1,0))</formula>
    </cfRule>
    <cfRule type="expression" priority="1697" dxfId="2">
      <formula>AND(IF($Q28=2,1,0),IF($X28&lt;30,1,0))</formula>
    </cfRule>
    <cfRule type="expression" priority="1698" dxfId="1">
      <formula>AND(IF($Q28=3,1,0),IF($X28&lt;30,1,0))</formula>
    </cfRule>
    <cfRule type="expression" priority="1699" dxfId="0">
      <formula>AND(IF($Q28=3,1,IF($Q28=4,1,0)),IF($F28&lt;=85,1,0))</formula>
    </cfRule>
  </conditionalFormatting>
  <conditionalFormatting sqref="AV29">
    <cfRule type="expression" priority="1694" dxfId="17">
      <formula>AV29="X"</formula>
    </cfRule>
    <cfRule type="expression" priority="1695" dxfId="16">
      <formula>AV29="후보"</formula>
    </cfRule>
  </conditionalFormatting>
  <conditionalFormatting sqref="AC2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N2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29">
    <cfRule type="expression" priority="1685" dxfId="3">
      <formula>AND(IF(OR($Q29=1,$Q29=2),1,0),IF($X29&lt;=20,1,0))</formula>
    </cfRule>
    <cfRule type="expression" priority="1686" dxfId="2">
      <formula>AND(IF($Q29=2,1,0),IF($X29&lt;30,1,0))</formula>
    </cfRule>
    <cfRule type="expression" priority="1687" dxfId="1">
      <formula>AND(IF($Q29=3,1,0),IF($X29&lt;30,1,0))</formula>
    </cfRule>
    <cfRule type="expression" priority="1688" dxfId="0">
      <formula>AND(IF($Q29=3,1,IF($Q29=4,1,0)),IF($F29&lt;=85,1,0))</formula>
    </cfRule>
  </conditionalFormatting>
  <conditionalFormatting sqref="X29">
    <cfRule type="expression" priority="1681" dxfId="3">
      <formula>AND(IF(OR($Q29=1,$Q29=2),1,0),IF($X29&lt;=20,1,0))</formula>
    </cfRule>
    <cfRule type="expression" priority="1682" dxfId="2">
      <formula>AND(IF($Q29=2,1,0),IF($X29&lt;30,1,0))</formula>
    </cfRule>
    <cfRule type="expression" priority="1683" dxfId="1">
      <formula>AND(IF($Q29=3,1,0),IF($X29&lt;30,1,0))</formula>
    </cfRule>
    <cfRule type="expression" priority="1684" dxfId="0">
      <formula>AND(IF($Q29=3,1,IF($Q29=4,1,0)),IF($F29&lt;=85,1,0))</formula>
    </cfRule>
  </conditionalFormatting>
  <conditionalFormatting sqref="AI29">
    <cfRule type="expression" priority="1677" dxfId="3">
      <formula>AND(IF(OR($Q29=1,$Q29=2),1,0),IF($X29&lt;=20,1,0))</formula>
    </cfRule>
    <cfRule type="expression" priority="1678" dxfId="2">
      <formula>AND(IF($Q29=2,1,0),IF($X29&lt;30,1,0))</formula>
    </cfRule>
    <cfRule type="expression" priority="1679" dxfId="1">
      <formula>AND(IF($Q29=3,1,0),IF($X29&lt;30,1,0))</formula>
    </cfRule>
    <cfRule type="expression" priority="1680" dxfId="0">
      <formula>AND(IF($Q29=3,1,IF($Q29=4,1,0)),IF($F29&lt;=85,1,0))</formula>
    </cfRule>
  </conditionalFormatting>
  <conditionalFormatting sqref="AV30">
    <cfRule type="expression" priority="1675" dxfId="17">
      <formula>AV30="X"</formula>
    </cfRule>
    <cfRule type="expression" priority="1676" dxfId="16">
      <formula>AV30="후보"</formula>
    </cfRule>
  </conditionalFormatting>
  <conditionalFormatting sqref="AC3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N30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E30">
    <cfRule type="expression" priority="1666" dxfId="3">
      <formula>AND(IF(OR($Q30=1,$Q30=2),1,0),IF($X30&lt;=20,1,0))</formula>
    </cfRule>
    <cfRule type="expression" priority="1667" dxfId="2">
      <formula>AND(IF($Q30=2,1,0),IF($X30&lt;30,1,0))</formula>
    </cfRule>
    <cfRule type="expression" priority="1668" dxfId="1">
      <formula>AND(IF($Q30=3,1,0),IF($X30&lt;30,1,0))</formula>
    </cfRule>
    <cfRule type="expression" priority="1669" dxfId="0">
      <formula>AND(IF($Q30=3,1,IF($Q30=4,1,0)),IF($F30&lt;=85,1,0))</formula>
    </cfRule>
  </conditionalFormatting>
  <conditionalFormatting sqref="X30">
    <cfRule type="expression" priority="1662" dxfId="3">
      <formula>AND(IF(OR($Q30=1,$Q30=2),1,0),IF($X30&lt;=20,1,0))</formula>
    </cfRule>
    <cfRule type="expression" priority="1663" dxfId="2">
      <formula>AND(IF($Q30=2,1,0),IF($X30&lt;30,1,0))</formula>
    </cfRule>
    <cfRule type="expression" priority="1664" dxfId="1">
      <formula>AND(IF($Q30=3,1,0),IF($X30&lt;30,1,0))</formula>
    </cfRule>
    <cfRule type="expression" priority="1665" dxfId="0">
      <formula>AND(IF($Q30=3,1,IF($Q30=4,1,0)),IF($F30&lt;=85,1,0))</formula>
    </cfRule>
  </conditionalFormatting>
  <conditionalFormatting sqref="AI30">
    <cfRule type="expression" priority="1658" dxfId="3">
      <formula>AND(IF(OR($Q30=1,$Q30=2),1,0),IF($X30&lt;=20,1,0))</formula>
    </cfRule>
    <cfRule type="expression" priority="1659" dxfId="2">
      <formula>AND(IF($Q30=2,1,0),IF($X30&lt;30,1,0))</formula>
    </cfRule>
    <cfRule type="expression" priority="1660" dxfId="1">
      <formula>AND(IF($Q30=3,1,0),IF($X30&lt;30,1,0))</formula>
    </cfRule>
    <cfRule type="expression" priority="1661" dxfId="0">
      <formula>AND(IF($Q30=3,1,IF($Q30=4,1,0)),IF($F30&lt;=85,1,0))</formula>
    </cfRule>
  </conditionalFormatting>
  <conditionalFormatting sqref="AV31">
    <cfRule type="expression" priority="1656" dxfId="17">
      <formula>AV31="X"</formula>
    </cfRule>
    <cfRule type="expression" priority="1657" dxfId="16">
      <formula>AV31="후보"</formula>
    </cfRule>
  </conditionalFormatting>
  <conditionalFormatting sqref="AC31 N3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AV32">
    <cfRule type="expression" priority="1651" dxfId="17">
      <formula>AV32="X"</formula>
    </cfRule>
    <cfRule type="expression" priority="1652" dxfId="16">
      <formula>AV32="후보"</formula>
    </cfRule>
  </conditionalFormatting>
  <conditionalFormatting sqref="AC3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2">
    <cfRule type="expression" priority="1642" dxfId="3">
      <formula>AND(IF(OR($Q32=1,$Q32=2),1,0),IF($X32&lt;=20,1,0))</formula>
    </cfRule>
    <cfRule type="expression" priority="1643" dxfId="2">
      <formula>AND(IF($Q32=2,1,0),IF($X32&lt;30,1,0))</formula>
    </cfRule>
    <cfRule type="expression" priority="1644" dxfId="1">
      <formula>AND(IF($Q32=3,1,0),IF($X32&lt;30,1,0))</formula>
    </cfRule>
    <cfRule type="expression" priority="1645" dxfId="0">
      <formula>AND(IF($Q32=3,1,IF($Q32=4,1,0)),IF($F32&lt;=85,1,0))</formula>
    </cfRule>
  </conditionalFormatting>
  <conditionalFormatting sqref="X32">
    <cfRule type="expression" priority="1638" dxfId="3">
      <formula>AND(IF(OR($Q32=1,$Q32=2),1,0),IF($X32&lt;=20,1,0))</formula>
    </cfRule>
    <cfRule type="expression" priority="1639" dxfId="2">
      <formula>AND(IF($Q32=2,1,0),IF($X32&lt;30,1,0))</formula>
    </cfRule>
    <cfRule type="expression" priority="1640" dxfId="1">
      <formula>AND(IF($Q32=3,1,0),IF($X32&lt;30,1,0))</formula>
    </cfRule>
    <cfRule type="expression" priority="1641" dxfId="0">
      <formula>AND(IF($Q32=3,1,IF($Q32=4,1,0)),IF($F32&lt;=85,1,0))</formula>
    </cfRule>
  </conditionalFormatting>
  <conditionalFormatting sqref="AI32">
    <cfRule type="expression" priority="1634" dxfId="3">
      <formula>AND(IF(OR($Q32=1,$Q32=2),1,0),IF($X32&lt;=20,1,0))</formula>
    </cfRule>
    <cfRule type="expression" priority="1635" dxfId="2">
      <formula>AND(IF($Q32=2,1,0),IF($X32&lt;30,1,0))</formula>
    </cfRule>
    <cfRule type="expression" priority="1636" dxfId="1">
      <formula>AND(IF($Q32=3,1,0),IF($X32&lt;30,1,0))</formula>
    </cfRule>
    <cfRule type="expression" priority="1637" dxfId="0">
      <formula>AND(IF($Q32=3,1,IF($Q32=4,1,0)),IF($F32&lt;=85,1,0))</formula>
    </cfRule>
  </conditionalFormatting>
  <conditionalFormatting sqref="AV33">
    <cfRule type="expression" priority="1632" dxfId="17">
      <formula>AV33="X"</formula>
    </cfRule>
    <cfRule type="expression" priority="1633" dxfId="16">
      <formula>AV33="후보"</formula>
    </cfRule>
  </conditionalFormatting>
  <conditionalFormatting sqref="AC3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3">
    <cfRule type="expression" priority="1623" dxfId="3">
      <formula>AND(IF(OR($Q33=1,$Q33=2),1,0),IF($X33&lt;=20,1,0))</formula>
    </cfRule>
    <cfRule type="expression" priority="1624" dxfId="2">
      <formula>AND(IF($Q33=2,1,0),IF($X33&lt;30,1,0))</formula>
    </cfRule>
    <cfRule type="expression" priority="1625" dxfId="1">
      <formula>AND(IF($Q33=3,1,0),IF($X33&lt;30,1,0))</formula>
    </cfRule>
    <cfRule type="expression" priority="1626" dxfId="0">
      <formula>AND(IF($Q33=3,1,IF($Q33=4,1,0)),IF($F33&lt;=85,1,0))</formula>
    </cfRule>
  </conditionalFormatting>
  <conditionalFormatting sqref="X33">
    <cfRule type="expression" priority="1619" dxfId="3">
      <formula>AND(IF(OR($Q33=1,$Q33=2),1,0),IF($X33&lt;=20,1,0))</formula>
    </cfRule>
    <cfRule type="expression" priority="1620" dxfId="2">
      <formula>AND(IF($Q33=2,1,0),IF($X33&lt;30,1,0))</formula>
    </cfRule>
    <cfRule type="expression" priority="1621" dxfId="1">
      <formula>AND(IF($Q33=3,1,0),IF($X33&lt;30,1,0))</formula>
    </cfRule>
    <cfRule type="expression" priority="1622" dxfId="0">
      <formula>AND(IF($Q33=3,1,IF($Q33=4,1,0)),IF($F33&lt;=85,1,0))</formula>
    </cfRule>
  </conditionalFormatting>
  <conditionalFormatting sqref="AI33">
    <cfRule type="expression" priority="1615" dxfId="3">
      <formula>AND(IF(OR($Q33=1,$Q33=2),1,0),IF($X33&lt;=20,1,0))</formula>
    </cfRule>
    <cfRule type="expression" priority="1616" dxfId="2">
      <formula>AND(IF($Q33=2,1,0),IF($X33&lt;30,1,0))</formula>
    </cfRule>
    <cfRule type="expression" priority="1617" dxfId="1">
      <formula>AND(IF($Q33=3,1,0),IF($X33&lt;30,1,0))</formula>
    </cfRule>
    <cfRule type="expression" priority="1618" dxfId="0">
      <formula>AND(IF($Q33=3,1,IF($Q33=4,1,0)),IF($F33&lt;=85,1,0))</formula>
    </cfRule>
  </conditionalFormatting>
  <conditionalFormatting sqref="AV34">
    <cfRule type="expression" priority="1613" dxfId="17">
      <formula>AV34="X"</formula>
    </cfRule>
    <cfRule type="expression" priority="1614" dxfId="16">
      <formula>AV34="후보"</formula>
    </cfRule>
  </conditionalFormatting>
  <conditionalFormatting sqref="AC3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4">
    <cfRule type="expression" priority="1604" dxfId="3">
      <formula>AND(IF(OR($Q34=1,$Q34=2),1,0),IF($X34&lt;=20,1,0))</formula>
    </cfRule>
    <cfRule type="expression" priority="1605" dxfId="2">
      <formula>AND(IF($Q34=2,1,0),IF($X34&lt;30,1,0))</formula>
    </cfRule>
    <cfRule type="expression" priority="1606" dxfId="1">
      <formula>AND(IF($Q34=3,1,0),IF($X34&lt;30,1,0))</formula>
    </cfRule>
    <cfRule type="expression" priority="1607" dxfId="0">
      <formula>AND(IF($Q34=3,1,IF($Q34=4,1,0)),IF($F34&lt;=85,1,0))</formula>
    </cfRule>
  </conditionalFormatting>
  <conditionalFormatting sqref="X34">
    <cfRule type="expression" priority="1600" dxfId="3">
      <formula>AND(IF(OR($Q34=1,$Q34=2),1,0),IF($X34&lt;=20,1,0))</formula>
    </cfRule>
    <cfRule type="expression" priority="1601" dxfId="2">
      <formula>AND(IF($Q34=2,1,0),IF($X34&lt;30,1,0))</formula>
    </cfRule>
    <cfRule type="expression" priority="1602" dxfId="1">
      <formula>AND(IF($Q34=3,1,0),IF($X34&lt;30,1,0))</formula>
    </cfRule>
    <cfRule type="expression" priority="1603" dxfId="0">
      <formula>AND(IF($Q34=3,1,IF($Q34=4,1,0)),IF($F34&lt;=85,1,0))</formula>
    </cfRule>
  </conditionalFormatting>
  <conditionalFormatting sqref="AI34">
    <cfRule type="expression" priority="1596" dxfId="3">
      <formula>AND(IF(OR($Q34=1,$Q34=2),1,0),IF($X34&lt;=20,1,0))</formula>
    </cfRule>
    <cfRule type="expression" priority="1597" dxfId="2">
      <formula>AND(IF($Q34=2,1,0),IF($X34&lt;30,1,0))</formula>
    </cfRule>
    <cfRule type="expression" priority="1598" dxfId="1">
      <formula>AND(IF($Q34=3,1,0),IF($X34&lt;30,1,0))</formula>
    </cfRule>
    <cfRule type="expression" priority="1599" dxfId="0">
      <formula>AND(IF($Q34=3,1,IF($Q34=4,1,0)),IF($F34&lt;=85,1,0))</formula>
    </cfRule>
  </conditionalFormatting>
  <conditionalFormatting sqref="AV35">
    <cfRule type="expression" priority="1594" dxfId="17">
      <formula>AV35="X"</formula>
    </cfRule>
    <cfRule type="expression" priority="1595" dxfId="16">
      <formula>AV35="후보"</formula>
    </cfRule>
  </conditionalFormatting>
  <conditionalFormatting sqref="AC3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35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35">
    <cfRule type="expression" priority="1585" dxfId="3">
      <formula>AND(IF(OR($Q35=1,$Q35=2),1,0),IF($X35&lt;=20,1,0))</formula>
    </cfRule>
    <cfRule type="expression" priority="1586" dxfId="2">
      <formula>AND(IF($Q35=2,1,0),IF($X35&lt;30,1,0))</formula>
    </cfRule>
    <cfRule type="expression" priority="1587" dxfId="1">
      <formula>AND(IF($Q35=3,1,0),IF($X35&lt;30,1,0))</formula>
    </cfRule>
    <cfRule type="expression" priority="1588" dxfId="0">
      <formula>AND(IF($Q35=3,1,IF($Q35=4,1,0)),IF($F35&lt;=85,1,0))</formula>
    </cfRule>
  </conditionalFormatting>
  <conditionalFormatting sqref="X35">
    <cfRule type="expression" priority="1581" dxfId="3">
      <formula>AND(IF(OR($Q35=1,$Q35=2),1,0),IF($X35&lt;=20,1,0))</formula>
    </cfRule>
    <cfRule type="expression" priority="1582" dxfId="2">
      <formula>AND(IF($Q35=2,1,0),IF($X35&lt;30,1,0))</formula>
    </cfRule>
    <cfRule type="expression" priority="1583" dxfId="1">
      <formula>AND(IF($Q35=3,1,0),IF($X35&lt;30,1,0))</formula>
    </cfRule>
    <cfRule type="expression" priority="1584" dxfId="0">
      <formula>AND(IF($Q35=3,1,IF($Q35=4,1,0)),IF($F35&lt;=85,1,0))</formula>
    </cfRule>
  </conditionalFormatting>
  <conditionalFormatting sqref="AI35">
    <cfRule type="expression" priority="1577" dxfId="3">
      <formula>AND(IF(OR($Q35=1,$Q35=2),1,0),IF($X35&lt;=20,1,0))</formula>
    </cfRule>
    <cfRule type="expression" priority="1578" dxfId="2">
      <formula>AND(IF($Q35=2,1,0),IF($X35&lt;30,1,0))</formula>
    </cfRule>
    <cfRule type="expression" priority="1579" dxfId="1">
      <formula>AND(IF($Q35=3,1,0),IF($X35&lt;30,1,0))</formula>
    </cfRule>
    <cfRule type="expression" priority="1580" dxfId="0">
      <formula>AND(IF($Q35=3,1,IF($Q35=4,1,0)),IF($F35&lt;=85,1,0))</formula>
    </cfRule>
  </conditionalFormatting>
  <conditionalFormatting sqref="AV36">
    <cfRule type="expression" priority="1575" dxfId="17">
      <formula>AV36="X"</formula>
    </cfRule>
    <cfRule type="expression" priority="1576" dxfId="16">
      <formula>AV36="후보"</formula>
    </cfRule>
  </conditionalFormatting>
  <conditionalFormatting sqref="AC3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36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36">
    <cfRule type="expression" priority="1566" dxfId="3">
      <formula>AND(IF(OR($Q36=1,$Q36=2),1,0),IF($X36&lt;=20,1,0))</formula>
    </cfRule>
    <cfRule type="expression" priority="1567" dxfId="2">
      <formula>AND(IF($Q36=2,1,0),IF($X36&lt;30,1,0))</formula>
    </cfRule>
    <cfRule type="expression" priority="1568" dxfId="1">
      <formula>AND(IF($Q36=3,1,0),IF($X36&lt;30,1,0))</formula>
    </cfRule>
    <cfRule type="expression" priority="1569" dxfId="0">
      <formula>AND(IF($Q36=3,1,IF($Q36=4,1,0)),IF($F36&lt;=85,1,0))</formula>
    </cfRule>
  </conditionalFormatting>
  <conditionalFormatting sqref="X36">
    <cfRule type="expression" priority="1562" dxfId="3">
      <formula>AND(IF(OR($Q36=1,$Q36=2),1,0),IF($X36&lt;=20,1,0))</formula>
    </cfRule>
    <cfRule type="expression" priority="1563" dxfId="2">
      <formula>AND(IF($Q36=2,1,0),IF($X36&lt;30,1,0))</formula>
    </cfRule>
    <cfRule type="expression" priority="1564" dxfId="1">
      <formula>AND(IF($Q36=3,1,0),IF($X36&lt;30,1,0))</formula>
    </cfRule>
    <cfRule type="expression" priority="1565" dxfId="0">
      <formula>AND(IF($Q36=3,1,IF($Q36=4,1,0)),IF($F36&lt;=85,1,0))</formula>
    </cfRule>
  </conditionalFormatting>
  <conditionalFormatting sqref="AI36">
    <cfRule type="expression" priority="1558" dxfId="3">
      <formula>AND(IF(OR($Q36=1,$Q36=2),1,0),IF($X36&lt;=20,1,0))</formula>
    </cfRule>
    <cfRule type="expression" priority="1559" dxfId="2">
      <formula>AND(IF($Q36=2,1,0),IF($X36&lt;30,1,0))</formula>
    </cfRule>
    <cfRule type="expression" priority="1560" dxfId="1">
      <formula>AND(IF($Q36=3,1,0),IF($X36&lt;30,1,0))</formula>
    </cfRule>
    <cfRule type="expression" priority="1561" dxfId="0">
      <formula>AND(IF($Q36=3,1,IF($Q36=4,1,0)),IF($F36&lt;=85,1,0))</formula>
    </cfRule>
  </conditionalFormatting>
  <conditionalFormatting sqref="AV37">
    <cfRule type="expression" priority="1556" dxfId="17">
      <formula>AV37="X"</formula>
    </cfRule>
    <cfRule type="expression" priority="1557" dxfId="16">
      <formula>AV37="후보"</formula>
    </cfRule>
  </conditionalFormatting>
  <conditionalFormatting sqref="AC3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37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37">
    <cfRule type="expression" priority="1547" dxfId="3">
      <formula>AND(IF(OR($Q37=1,$Q37=2),1,0),IF($X37&lt;=20,1,0))</formula>
    </cfRule>
    <cfRule type="expression" priority="1548" dxfId="2">
      <formula>AND(IF($Q37=2,1,0),IF($X37&lt;30,1,0))</formula>
    </cfRule>
    <cfRule type="expression" priority="1549" dxfId="1">
      <formula>AND(IF($Q37=3,1,0),IF($X37&lt;30,1,0))</formula>
    </cfRule>
    <cfRule type="expression" priority="1550" dxfId="0">
      <formula>AND(IF($Q37=3,1,IF($Q37=4,1,0)),IF($F37&lt;=85,1,0))</formula>
    </cfRule>
  </conditionalFormatting>
  <conditionalFormatting sqref="X37">
    <cfRule type="expression" priority="1543" dxfId="3">
      <formula>AND(IF(OR($Q37=1,$Q37=2),1,0),IF($X37&lt;=20,1,0))</formula>
    </cfRule>
    <cfRule type="expression" priority="1544" dxfId="2">
      <formula>AND(IF($Q37=2,1,0),IF($X37&lt;30,1,0))</formula>
    </cfRule>
    <cfRule type="expression" priority="1545" dxfId="1">
      <formula>AND(IF($Q37=3,1,0),IF($X37&lt;30,1,0))</formula>
    </cfRule>
    <cfRule type="expression" priority="1546" dxfId="0">
      <formula>AND(IF($Q37=3,1,IF($Q37=4,1,0)),IF($F37&lt;=85,1,0))</formula>
    </cfRule>
  </conditionalFormatting>
  <conditionalFormatting sqref="AI37">
    <cfRule type="expression" priority="1539" dxfId="3">
      <formula>AND(IF(OR($Q37=1,$Q37=2),1,0),IF($X37&lt;=20,1,0))</formula>
    </cfRule>
    <cfRule type="expression" priority="1540" dxfId="2">
      <formula>AND(IF($Q37=2,1,0),IF($X37&lt;30,1,0))</formula>
    </cfRule>
    <cfRule type="expression" priority="1541" dxfId="1">
      <formula>AND(IF($Q37=3,1,0),IF($X37&lt;30,1,0))</formula>
    </cfRule>
    <cfRule type="expression" priority="1542" dxfId="0">
      <formula>AND(IF($Q37=3,1,IF($Q37=4,1,0)),IF($F37&lt;=85,1,0))</formula>
    </cfRule>
  </conditionalFormatting>
  <conditionalFormatting sqref="AV38">
    <cfRule type="expression" priority="1537" dxfId="17">
      <formula>AV38="X"</formula>
    </cfRule>
    <cfRule type="expression" priority="1538" dxfId="16">
      <formula>AV38="후보"</formula>
    </cfRule>
  </conditionalFormatting>
  <conditionalFormatting sqref="AC38 N3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AV39">
    <cfRule type="expression" priority="1532" dxfId="17">
      <formula>AV39="X"</formula>
    </cfRule>
    <cfRule type="expression" priority="1533" dxfId="16">
      <formula>AV39="후보"</formula>
    </cfRule>
  </conditionalFormatting>
  <conditionalFormatting sqref="AC3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3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E39">
    <cfRule type="expression" priority="1523" dxfId="3">
      <formula>AND(IF(OR($Q39=1,$Q39=2),1,0),IF($X39&lt;=20,1,0))</formula>
    </cfRule>
    <cfRule type="expression" priority="1524" dxfId="2">
      <formula>AND(IF($Q39=2,1,0),IF($X39&lt;30,1,0))</formula>
    </cfRule>
    <cfRule type="expression" priority="1525" dxfId="1">
      <formula>AND(IF($Q39=3,1,0),IF($X39&lt;30,1,0))</formula>
    </cfRule>
    <cfRule type="expression" priority="1526" dxfId="0">
      <formula>AND(IF($Q39=3,1,IF($Q39=4,1,0)),IF($F39&lt;=85,1,0))</formula>
    </cfRule>
  </conditionalFormatting>
  <conditionalFormatting sqref="X39">
    <cfRule type="expression" priority="1519" dxfId="3">
      <formula>AND(IF(OR($Q39=1,$Q39=2),1,0),IF($X39&lt;=20,1,0))</formula>
    </cfRule>
    <cfRule type="expression" priority="1520" dxfId="2">
      <formula>AND(IF($Q39=2,1,0),IF($X39&lt;30,1,0))</formula>
    </cfRule>
    <cfRule type="expression" priority="1521" dxfId="1">
      <formula>AND(IF($Q39=3,1,0),IF($X39&lt;30,1,0))</formula>
    </cfRule>
    <cfRule type="expression" priority="1522" dxfId="0">
      <formula>AND(IF($Q39=3,1,IF($Q39=4,1,0)),IF($F39&lt;=85,1,0))</formula>
    </cfRule>
  </conditionalFormatting>
  <conditionalFormatting sqref="AI39">
    <cfRule type="expression" priority="1515" dxfId="3">
      <formula>AND(IF(OR($Q39=1,$Q39=2),1,0),IF($X39&lt;=20,1,0))</formula>
    </cfRule>
    <cfRule type="expression" priority="1516" dxfId="2">
      <formula>AND(IF($Q39=2,1,0),IF($X39&lt;30,1,0))</formula>
    </cfRule>
    <cfRule type="expression" priority="1517" dxfId="1">
      <formula>AND(IF($Q39=3,1,0),IF($X39&lt;30,1,0))</formula>
    </cfRule>
    <cfRule type="expression" priority="1518" dxfId="0">
      <formula>AND(IF($Q39=3,1,IF($Q39=4,1,0)),IF($F39&lt;=85,1,0))</formula>
    </cfRule>
  </conditionalFormatting>
  <conditionalFormatting sqref="AV40">
    <cfRule type="expression" priority="1513" dxfId="17">
      <formula>AV40="X"</formula>
    </cfRule>
    <cfRule type="expression" priority="1514" dxfId="16">
      <formula>AV40="후보"</formula>
    </cfRule>
  </conditionalFormatting>
  <conditionalFormatting sqref="AC4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4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40">
    <cfRule type="expression" priority="1504" dxfId="3">
      <formula>AND(IF(OR($Q40=1,$Q40=2),1,0),IF($X40&lt;=20,1,0))</formula>
    </cfRule>
    <cfRule type="expression" priority="1505" dxfId="2">
      <formula>AND(IF($Q40=2,1,0),IF($X40&lt;30,1,0))</formula>
    </cfRule>
    <cfRule type="expression" priority="1506" dxfId="1">
      <formula>AND(IF($Q40=3,1,0),IF($X40&lt;30,1,0))</formula>
    </cfRule>
    <cfRule type="expression" priority="1507" dxfId="0">
      <formula>AND(IF($Q40=3,1,IF($Q40=4,1,0)),IF($F40&lt;=85,1,0))</formula>
    </cfRule>
  </conditionalFormatting>
  <conditionalFormatting sqref="X40">
    <cfRule type="expression" priority="1500" dxfId="3">
      <formula>AND(IF(OR($Q40=1,$Q40=2),1,0),IF($X40&lt;=20,1,0))</formula>
    </cfRule>
    <cfRule type="expression" priority="1501" dxfId="2">
      <formula>AND(IF($Q40=2,1,0),IF($X40&lt;30,1,0))</formula>
    </cfRule>
    <cfRule type="expression" priority="1502" dxfId="1">
      <formula>AND(IF($Q40=3,1,0),IF($X40&lt;30,1,0))</formula>
    </cfRule>
    <cfRule type="expression" priority="1503" dxfId="0">
      <formula>AND(IF($Q40=3,1,IF($Q40=4,1,0)),IF($F40&lt;=85,1,0))</formula>
    </cfRule>
  </conditionalFormatting>
  <conditionalFormatting sqref="AI40">
    <cfRule type="expression" priority="1496" dxfId="3">
      <formula>AND(IF(OR($Q40=1,$Q40=2),1,0),IF($X40&lt;=20,1,0))</formula>
    </cfRule>
    <cfRule type="expression" priority="1497" dxfId="2">
      <formula>AND(IF($Q40=2,1,0),IF($X40&lt;30,1,0))</formula>
    </cfRule>
    <cfRule type="expression" priority="1498" dxfId="1">
      <formula>AND(IF($Q40=3,1,0),IF($X40&lt;30,1,0))</formula>
    </cfRule>
    <cfRule type="expression" priority="1499" dxfId="0">
      <formula>AND(IF($Q40=3,1,IF($Q40=4,1,0)),IF($F40&lt;=85,1,0))</formula>
    </cfRule>
  </conditionalFormatting>
  <conditionalFormatting sqref="AV41">
    <cfRule type="expression" priority="1494" dxfId="17">
      <formula>AV41="X"</formula>
    </cfRule>
    <cfRule type="expression" priority="1495" dxfId="16">
      <formula>AV41="후보"</formula>
    </cfRule>
  </conditionalFormatting>
  <conditionalFormatting sqref="AC4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1">
    <cfRule type="expression" priority="1485" dxfId="3">
      <formula>AND(IF(OR($Q41=1,$Q41=2),1,0),IF($X41&lt;=20,1,0))</formula>
    </cfRule>
    <cfRule type="expression" priority="1486" dxfId="2">
      <formula>AND(IF($Q41=2,1,0),IF($X41&lt;30,1,0))</formula>
    </cfRule>
    <cfRule type="expression" priority="1487" dxfId="1">
      <formula>AND(IF($Q41=3,1,0),IF($X41&lt;30,1,0))</formula>
    </cfRule>
    <cfRule type="expression" priority="1488" dxfId="0">
      <formula>AND(IF($Q41=3,1,IF($Q41=4,1,0)),IF($F41&lt;=85,1,0))</formula>
    </cfRule>
  </conditionalFormatting>
  <conditionalFormatting sqref="X41">
    <cfRule type="expression" priority="1481" dxfId="3">
      <formula>AND(IF(OR($Q41=1,$Q41=2),1,0),IF($X41&lt;=20,1,0))</formula>
    </cfRule>
    <cfRule type="expression" priority="1482" dxfId="2">
      <formula>AND(IF($Q41=2,1,0),IF($X41&lt;30,1,0))</formula>
    </cfRule>
    <cfRule type="expression" priority="1483" dxfId="1">
      <formula>AND(IF($Q41=3,1,0),IF($X41&lt;30,1,0))</formula>
    </cfRule>
    <cfRule type="expression" priority="1484" dxfId="0">
      <formula>AND(IF($Q41=3,1,IF($Q41=4,1,0)),IF($F41&lt;=85,1,0))</formula>
    </cfRule>
  </conditionalFormatting>
  <conditionalFormatting sqref="AI41">
    <cfRule type="expression" priority="1477" dxfId="3">
      <formula>AND(IF(OR($Q41=1,$Q41=2),1,0),IF($X41&lt;=20,1,0))</formula>
    </cfRule>
    <cfRule type="expression" priority="1478" dxfId="2">
      <formula>AND(IF($Q41=2,1,0),IF($X41&lt;30,1,0))</formula>
    </cfRule>
    <cfRule type="expression" priority="1479" dxfId="1">
      <formula>AND(IF($Q41=3,1,0),IF($X41&lt;30,1,0))</formula>
    </cfRule>
    <cfRule type="expression" priority="1480" dxfId="0">
      <formula>AND(IF($Q41=3,1,IF($Q41=4,1,0)),IF($F41&lt;=85,1,0))</formula>
    </cfRule>
  </conditionalFormatting>
  <conditionalFormatting sqref="AV42">
    <cfRule type="expression" priority="1475" dxfId="17">
      <formula>AV42="X"</formula>
    </cfRule>
    <cfRule type="expression" priority="1476" dxfId="16">
      <formula>AV42="후보"</formula>
    </cfRule>
  </conditionalFormatting>
  <conditionalFormatting sqref="AC4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4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42">
    <cfRule type="expression" priority="1466" dxfId="3">
      <formula>AND(IF(OR($Q42=1,$Q42=2),1,0),IF($X42&lt;=20,1,0))</formula>
    </cfRule>
    <cfRule type="expression" priority="1467" dxfId="2">
      <formula>AND(IF($Q42=2,1,0),IF($X42&lt;30,1,0))</formula>
    </cfRule>
    <cfRule type="expression" priority="1468" dxfId="1">
      <formula>AND(IF($Q42=3,1,0),IF($X42&lt;30,1,0))</formula>
    </cfRule>
    <cfRule type="expression" priority="1469" dxfId="0">
      <formula>AND(IF($Q42=3,1,IF($Q42=4,1,0)),IF($F42&lt;=85,1,0))</formula>
    </cfRule>
  </conditionalFormatting>
  <conditionalFormatting sqref="X42">
    <cfRule type="expression" priority="1462" dxfId="3">
      <formula>AND(IF(OR($Q42=1,$Q42=2),1,0),IF($X42&lt;=20,1,0))</formula>
    </cfRule>
    <cfRule type="expression" priority="1463" dxfId="2">
      <formula>AND(IF($Q42=2,1,0),IF($X42&lt;30,1,0))</formula>
    </cfRule>
    <cfRule type="expression" priority="1464" dxfId="1">
      <formula>AND(IF($Q42=3,1,0),IF($X42&lt;30,1,0))</formula>
    </cfRule>
    <cfRule type="expression" priority="1465" dxfId="0">
      <formula>AND(IF($Q42=3,1,IF($Q42=4,1,0)),IF($F42&lt;=85,1,0))</formula>
    </cfRule>
  </conditionalFormatting>
  <conditionalFormatting sqref="AI42">
    <cfRule type="expression" priority="1458" dxfId="3">
      <formula>AND(IF(OR($Q42=1,$Q42=2),1,0),IF($X42&lt;=20,1,0))</formula>
    </cfRule>
    <cfRule type="expression" priority="1459" dxfId="2">
      <formula>AND(IF($Q42=2,1,0),IF($X42&lt;30,1,0))</formula>
    </cfRule>
    <cfRule type="expression" priority="1460" dxfId="1">
      <formula>AND(IF($Q42=3,1,0),IF($X42&lt;30,1,0))</formula>
    </cfRule>
    <cfRule type="expression" priority="1461" dxfId="0">
      <formula>AND(IF($Q42=3,1,IF($Q42=4,1,0)),IF($F42&lt;=85,1,0))</formula>
    </cfRule>
  </conditionalFormatting>
  <conditionalFormatting sqref="AV43">
    <cfRule type="expression" priority="1456" dxfId="17">
      <formula>AV43="X"</formula>
    </cfRule>
    <cfRule type="expression" priority="1457" dxfId="16">
      <formula>AV43="후보"</formula>
    </cfRule>
  </conditionalFormatting>
  <conditionalFormatting sqref="AC4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4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43">
    <cfRule type="expression" priority="1447" dxfId="3">
      <formula>AND(IF(OR($Q43=1,$Q43=2),1,0),IF($X43&lt;=20,1,0))</formula>
    </cfRule>
    <cfRule type="expression" priority="1448" dxfId="2">
      <formula>AND(IF($Q43=2,1,0),IF($X43&lt;30,1,0))</formula>
    </cfRule>
    <cfRule type="expression" priority="1449" dxfId="1">
      <formula>AND(IF($Q43=3,1,0),IF($X43&lt;30,1,0))</formula>
    </cfRule>
    <cfRule type="expression" priority="1450" dxfId="0">
      <formula>AND(IF($Q43=3,1,IF($Q43=4,1,0)),IF($F43&lt;=85,1,0))</formula>
    </cfRule>
  </conditionalFormatting>
  <conditionalFormatting sqref="X43">
    <cfRule type="expression" priority="1443" dxfId="3">
      <formula>AND(IF(OR($Q43=1,$Q43=2),1,0),IF($X43&lt;=20,1,0))</formula>
    </cfRule>
    <cfRule type="expression" priority="1444" dxfId="2">
      <formula>AND(IF($Q43=2,1,0),IF($X43&lt;30,1,0))</formula>
    </cfRule>
    <cfRule type="expression" priority="1445" dxfId="1">
      <formula>AND(IF($Q43=3,1,0),IF($X43&lt;30,1,0))</formula>
    </cfRule>
    <cfRule type="expression" priority="1446" dxfId="0">
      <formula>AND(IF($Q43=3,1,IF($Q43=4,1,0)),IF($F43&lt;=85,1,0))</formula>
    </cfRule>
  </conditionalFormatting>
  <conditionalFormatting sqref="AI43">
    <cfRule type="expression" priority="1439" dxfId="3">
      <formula>AND(IF(OR($Q43=1,$Q43=2),1,0),IF($X43&lt;=20,1,0))</formula>
    </cfRule>
    <cfRule type="expression" priority="1440" dxfId="2">
      <formula>AND(IF($Q43=2,1,0),IF($X43&lt;30,1,0))</formula>
    </cfRule>
    <cfRule type="expression" priority="1441" dxfId="1">
      <formula>AND(IF($Q43=3,1,0),IF($X43&lt;30,1,0))</formula>
    </cfRule>
    <cfRule type="expression" priority="1442" dxfId="0">
      <formula>AND(IF($Q43=3,1,IF($Q43=4,1,0)),IF($F43&lt;=85,1,0))</formula>
    </cfRule>
  </conditionalFormatting>
  <conditionalFormatting sqref="AV44">
    <cfRule type="expression" priority="1437" dxfId="17">
      <formula>AV44="X"</formula>
    </cfRule>
    <cfRule type="expression" priority="1438" dxfId="16">
      <formula>AV44="후보"</formula>
    </cfRule>
  </conditionalFormatting>
  <conditionalFormatting sqref="AC4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4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44">
    <cfRule type="expression" priority="1428" dxfId="3">
      <formula>AND(IF(OR($Q44=1,$Q44=2),1,0),IF($X44&lt;=20,1,0))</formula>
    </cfRule>
    <cfRule type="expression" priority="1429" dxfId="2">
      <formula>AND(IF($Q44=2,1,0),IF($X44&lt;30,1,0))</formula>
    </cfRule>
    <cfRule type="expression" priority="1430" dxfId="1">
      <formula>AND(IF($Q44=3,1,0),IF($X44&lt;30,1,0))</formula>
    </cfRule>
    <cfRule type="expression" priority="1431" dxfId="0">
      <formula>AND(IF($Q44=3,1,IF($Q44=4,1,0)),IF($F44&lt;=85,1,0))</formula>
    </cfRule>
  </conditionalFormatting>
  <conditionalFormatting sqref="X44">
    <cfRule type="expression" priority="1424" dxfId="3">
      <formula>AND(IF(OR($Q44=1,$Q44=2),1,0),IF($X44&lt;=20,1,0))</formula>
    </cfRule>
    <cfRule type="expression" priority="1425" dxfId="2">
      <formula>AND(IF($Q44=2,1,0),IF($X44&lt;30,1,0))</formula>
    </cfRule>
    <cfRule type="expression" priority="1426" dxfId="1">
      <formula>AND(IF($Q44=3,1,0),IF($X44&lt;30,1,0))</formula>
    </cfRule>
    <cfRule type="expression" priority="1427" dxfId="0">
      <formula>AND(IF($Q44=3,1,IF($Q44=4,1,0)),IF($F44&lt;=85,1,0))</formula>
    </cfRule>
  </conditionalFormatting>
  <conditionalFormatting sqref="AI44">
    <cfRule type="expression" priority="1420" dxfId="3">
      <formula>AND(IF(OR($Q44=1,$Q44=2),1,0),IF($X44&lt;=20,1,0))</formula>
    </cfRule>
    <cfRule type="expression" priority="1421" dxfId="2">
      <formula>AND(IF($Q44=2,1,0),IF($X44&lt;30,1,0))</formula>
    </cfRule>
    <cfRule type="expression" priority="1422" dxfId="1">
      <formula>AND(IF($Q44=3,1,0),IF($X44&lt;30,1,0))</formula>
    </cfRule>
    <cfRule type="expression" priority="1423" dxfId="0">
      <formula>AND(IF($Q44=3,1,IF($Q44=4,1,0)),IF($F44&lt;=85,1,0))</formula>
    </cfRule>
  </conditionalFormatting>
  <conditionalFormatting sqref="AV45">
    <cfRule type="expression" priority="1418" dxfId="17">
      <formula>AV45="X"</formula>
    </cfRule>
    <cfRule type="expression" priority="1419" dxfId="16">
      <formula>AV45="후보"</formula>
    </cfRule>
  </conditionalFormatting>
  <conditionalFormatting sqref="AC45 N4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46">
    <cfRule type="expression" priority="1413" dxfId="17">
      <formula>AV46="X"</formula>
    </cfRule>
    <cfRule type="expression" priority="1414" dxfId="16">
      <formula>AV46="후보"</formula>
    </cfRule>
  </conditionalFormatting>
  <conditionalFormatting sqref="AC46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46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46">
    <cfRule type="expression" priority="1404" dxfId="3">
      <formula>AND(IF(OR($Q46=1,$Q46=2),1,0),IF($X46&lt;=20,1,0))</formula>
    </cfRule>
    <cfRule type="expression" priority="1405" dxfId="2">
      <formula>AND(IF($Q46=2,1,0),IF($X46&lt;30,1,0))</formula>
    </cfRule>
    <cfRule type="expression" priority="1406" dxfId="1">
      <formula>AND(IF($Q46=3,1,0),IF($X46&lt;30,1,0))</formula>
    </cfRule>
    <cfRule type="expression" priority="1407" dxfId="0">
      <formula>AND(IF($Q46=3,1,IF($Q46=4,1,0)),IF($F46&lt;=85,1,0))</formula>
    </cfRule>
  </conditionalFormatting>
  <conditionalFormatting sqref="X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AI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V47">
    <cfRule type="expression" priority="1394" dxfId="17">
      <formula>AV47="X"</formula>
    </cfRule>
    <cfRule type="expression" priority="1395" dxfId="16">
      <formula>AV47="후보"</formula>
    </cfRule>
  </conditionalFormatting>
  <conditionalFormatting sqref="AC4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47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47">
    <cfRule type="expression" priority="1385" dxfId="3">
      <formula>AND(IF(OR($Q47=1,$Q47=2),1,0),IF($X47&lt;=20,1,0))</formula>
    </cfRule>
    <cfRule type="expression" priority="1386" dxfId="2">
      <formula>AND(IF($Q47=2,1,0),IF($X47&lt;30,1,0))</formula>
    </cfRule>
    <cfRule type="expression" priority="1387" dxfId="1">
      <formula>AND(IF($Q47=3,1,0),IF($X47&lt;30,1,0))</formula>
    </cfRule>
    <cfRule type="expression" priority="1388" dxfId="0">
      <formula>AND(IF($Q47=3,1,IF($Q47=4,1,0)),IF($F47&lt;=85,1,0))</formula>
    </cfRule>
  </conditionalFormatting>
  <conditionalFormatting sqref="X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AI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V48">
    <cfRule type="expression" priority="1375" dxfId="17">
      <formula>AV48="X"</formula>
    </cfRule>
    <cfRule type="expression" priority="1376" dxfId="16">
      <formula>AV48="후보"</formula>
    </cfRule>
  </conditionalFormatting>
  <conditionalFormatting sqref="AC4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48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48">
    <cfRule type="expression" priority="1366" dxfId="3">
      <formula>AND(IF(OR($Q48=1,$Q48=2),1,0),IF($X48&lt;=20,1,0))</formula>
    </cfRule>
    <cfRule type="expression" priority="1367" dxfId="2">
      <formula>AND(IF($Q48=2,1,0),IF($X48&lt;30,1,0))</formula>
    </cfRule>
    <cfRule type="expression" priority="1368" dxfId="1">
      <formula>AND(IF($Q48=3,1,0),IF($X48&lt;30,1,0))</formula>
    </cfRule>
    <cfRule type="expression" priority="1369" dxfId="0">
      <formula>AND(IF($Q48=3,1,IF($Q48=4,1,0)),IF($F48&lt;=85,1,0))</formula>
    </cfRule>
  </conditionalFormatting>
  <conditionalFormatting sqref="X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AI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V49">
    <cfRule type="expression" priority="1356" dxfId="17">
      <formula>AV49="X"</formula>
    </cfRule>
    <cfRule type="expression" priority="1357" dxfId="16">
      <formula>AV49="후보"</formula>
    </cfRule>
  </conditionalFormatting>
  <conditionalFormatting sqref="AC4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49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49">
    <cfRule type="expression" priority="1347" dxfId="3">
      <formula>AND(IF(OR($Q49=1,$Q49=2),1,0),IF($X49&lt;=20,1,0))</formula>
    </cfRule>
    <cfRule type="expression" priority="1348" dxfId="2">
      <formula>AND(IF($Q49=2,1,0),IF($X49&lt;30,1,0))</formula>
    </cfRule>
    <cfRule type="expression" priority="1349" dxfId="1">
      <formula>AND(IF($Q49=3,1,0),IF($X49&lt;30,1,0))</formula>
    </cfRule>
    <cfRule type="expression" priority="1350" dxfId="0">
      <formula>AND(IF($Q49=3,1,IF($Q49=4,1,0)),IF($F49&lt;=85,1,0))</formula>
    </cfRule>
  </conditionalFormatting>
  <conditionalFormatting sqref="X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AI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V50">
    <cfRule type="expression" priority="1337" dxfId="17">
      <formula>AV50="X"</formula>
    </cfRule>
    <cfRule type="expression" priority="1338" dxfId="16">
      <formula>AV50="후보"</formula>
    </cfRule>
  </conditionalFormatting>
  <conditionalFormatting sqref="AC5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5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50">
    <cfRule type="expression" priority="1328" dxfId="3">
      <formula>AND(IF(OR($Q50=1,$Q50=2),1,0),IF($X50&lt;=20,1,0))</formula>
    </cfRule>
    <cfRule type="expression" priority="1329" dxfId="2">
      <formula>AND(IF($Q50=2,1,0),IF($X50&lt;30,1,0))</formula>
    </cfRule>
    <cfRule type="expression" priority="1330" dxfId="1">
      <formula>AND(IF($Q50=3,1,0),IF($X50&lt;30,1,0))</formula>
    </cfRule>
    <cfRule type="expression" priority="1331" dxfId="0">
      <formula>AND(IF($Q50=3,1,IF($Q50=4,1,0)),IF($F50&lt;=85,1,0))</formula>
    </cfRule>
  </conditionalFormatting>
  <conditionalFormatting sqref="X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AI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V51">
    <cfRule type="expression" priority="1318" dxfId="17">
      <formula>AV51="X"</formula>
    </cfRule>
    <cfRule type="expression" priority="1319" dxfId="16">
      <formula>AV51="후보"</formula>
    </cfRule>
  </conditionalFormatting>
  <conditionalFormatting sqref="AC51 N5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AV52">
    <cfRule type="expression" priority="1313" dxfId="17">
      <formula>AV52="X"</formula>
    </cfRule>
    <cfRule type="expression" priority="1314" dxfId="16">
      <formula>AV52="후보"</formula>
    </cfRule>
  </conditionalFormatting>
  <conditionalFormatting sqref="AC52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2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2">
    <cfRule type="expression" priority="1304" dxfId="3">
      <formula>AND(IF(OR($Q52=1,$Q52=2),1,0),IF($X52&lt;=20,1,0))</formula>
    </cfRule>
    <cfRule type="expression" priority="1305" dxfId="2">
      <formula>AND(IF($Q52=2,1,0),IF($X52&lt;30,1,0))</formula>
    </cfRule>
    <cfRule type="expression" priority="1306" dxfId="1">
      <formula>AND(IF($Q52=3,1,0),IF($X52&lt;30,1,0))</formula>
    </cfRule>
    <cfRule type="expression" priority="1307" dxfId="0">
      <formula>AND(IF($Q52=3,1,IF($Q52=4,1,0)),IF($F52&lt;=85,1,0))</formula>
    </cfRule>
  </conditionalFormatting>
  <conditionalFormatting sqref="X52">
    <cfRule type="expression" priority="1300" dxfId="3">
      <formula>AND(IF(OR($Q52=1,$Q52=2),1,0),IF($X52&lt;=20,1,0))</formula>
    </cfRule>
    <cfRule type="expression" priority="1301" dxfId="2">
      <formula>AND(IF($Q52=2,1,0),IF($X52&lt;30,1,0))</formula>
    </cfRule>
    <cfRule type="expression" priority="1302" dxfId="1">
      <formula>AND(IF($Q52=3,1,0),IF($X52&lt;30,1,0))</formula>
    </cfRule>
    <cfRule type="expression" priority="1303" dxfId="0">
      <formula>AND(IF($Q52=3,1,IF($Q52=4,1,0)),IF($F52&lt;=85,1,0))</formula>
    </cfRule>
  </conditionalFormatting>
  <conditionalFormatting sqref="AI52">
    <cfRule type="expression" priority="1296" dxfId="3">
      <formula>AND(IF(OR($Q52=1,$Q52=2),1,0),IF($X52&lt;=20,1,0))</formula>
    </cfRule>
    <cfRule type="expression" priority="1297" dxfId="2">
      <formula>AND(IF($Q52=2,1,0),IF($X52&lt;30,1,0))</formula>
    </cfRule>
    <cfRule type="expression" priority="1298" dxfId="1">
      <formula>AND(IF($Q52=3,1,0),IF($X52&lt;30,1,0))</formula>
    </cfRule>
    <cfRule type="expression" priority="1299" dxfId="0">
      <formula>AND(IF($Q52=3,1,IF($Q52=4,1,0)),IF($F52&lt;=85,1,0))</formula>
    </cfRule>
  </conditionalFormatting>
  <conditionalFormatting sqref="AV53">
    <cfRule type="expression" priority="1294" dxfId="17">
      <formula>AV53="X"</formula>
    </cfRule>
    <cfRule type="expression" priority="1295" dxfId="16">
      <formula>AV53="후보"</formula>
    </cfRule>
  </conditionalFormatting>
  <conditionalFormatting sqref="AC5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3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3">
    <cfRule type="expression" priority="1285" dxfId="3">
      <formula>AND(IF(OR($Q53=1,$Q53=2),1,0),IF($X53&lt;=20,1,0))</formula>
    </cfRule>
    <cfRule type="expression" priority="1286" dxfId="2">
      <formula>AND(IF($Q53=2,1,0),IF($X53&lt;30,1,0))</formula>
    </cfRule>
    <cfRule type="expression" priority="1287" dxfId="1">
      <formula>AND(IF($Q53=3,1,0),IF($X53&lt;30,1,0))</formula>
    </cfRule>
    <cfRule type="expression" priority="1288" dxfId="0">
      <formula>AND(IF($Q53=3,1,IF($Q53=4,1,0)),IF($F53&lt;=85,1,0))</formula>
    </cfRule>
  </conditionalFormatting>
  <conditionalFormatting sqref="X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AI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V54">
    <cfRule type="expression" priority="1275" dxfId="17">
      <formula>AV54="X"</formula>
    </cfRule>
    <cfRule type="expression" priority="1276" dxfId="16">
      <formula>AV54="후보"</formula>
    </cfRule>
  </conditionalFormatting>
  <conditionalFormatting sqref="AC5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4">
    <cfRule type="expression" priority="1266" dxfId="3">
      <formula>AND(IF(OR($Q54=1,$Q54=2),1,0),IF($X54&lt;=20,1,0))</formula>
    </cfRule>
    <cfRule type="expression" priority="1267" dxfId="2">
      <formula>AND(IF($Q54=2,1,0),IF($X54&lt;30,1,0))</formula>
    </cfRule>
    <cfRule type="expression" priority="1268" dxfId="1">
      <formula>AND(IF($Q54=3,1,0),IF($X54&lt;30,1,0))</formula>
    </cfRule>
    <cfRule type="expression" priority="1269" dxfId="0">
      <formula>AND(IF($Q54=3,1,IF($Q54=4,1,0)),IF($F54&lt;=85,1,0))</formula>
    </cfRule>
  </conditionalFormatting>
  <conditionalFormatting sqref="X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AI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V55">
    <cfRule type="expression" priority="1256" dxfId="17">
      <formula>AV55="X"</formula>
    </cfRule>
    <cfRule type="expression" priority="1257" dxfId="16">
      <formula>AV55="후보"</formula>
    </cfRule>
  </conditionalFormatting>
  <conditionalFormatting sqref="AC5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5">
    <cfRule type="expression" priority="1247" dxfId="3">
      <formula>AND(IF(OR($Q55=1,$Q55=2),1,0),IF($X55&lt;=20,1,0))</formula>
    </cfRule>
    <cfRule type="expression" priority="1248" dxfId="2">
      <formula>AND(IF($Q55=2,1,0),IF($X55&lt;30,1,0))</formula>
    </cfRule>
    <cfRule type="expression" priority="1249" dxfId="1">
      <formula>AND(IF($Q55=3,1,0),IF($X55&lt;30,1,0))</formula>
    </cfRule>
    <cfRule type="expression" priority="1250" dxfId="0">
      <formula>AND(IF($Q55=3,1,IF($Q55=4,1,0)),IF($F55&lt;=85,1,0))</formula>
    </cfRule>
  </conditionalFormatting>
  <conditionalFormatting sqref="X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AI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V56">
    <cfRule type="expression" priority="1237" dxfId="17">
      <formula>AV56="X"</formula>
    </cfRule>
    <cfRule type="expression" priority="1238" dxfId="16">
      <formula>AV56="후보"</formula>
    </cfRule>
  </conditionalFormatting>
  <conditionalFormatting sqref="AC5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5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56">
    <cfRule type="expression" priority="1228" dxfId="3">
      <formula>AND(IF(OR($Q56=1,$Q56=2),1,0),IF($X56&lt;=20,1,0))</formula>
    </cfRule>
    <cfRule type="expression" priority="1229" dxfId="2">
      <formula>AND(IF($Q56=2,1,0),IF($X56&lt;30,1,0))</formula>
    </cfRule>
    <cfRule type="expression" priority="1230" dxfId="1">
      <formula>AND(IF($Q56=3,1,0),IF($X56&lt;30,1,0))</formula>
    </cfRule>
    <cfRule type="expression" priority="1231" dxfId="0">
      <formula>AND(IF($Q56=3,1,IF($Q56=4,1,0)),IF($F56&lt;=85,1,0))</formula>
    </cfRule>
  </conditionalFormatting>
  <conditionalFormatting sqref="X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AI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V57">
    <cfRule type="expression" priority="1218" dxfId="17">
      <formula>AV57="X"</formula>
    </cfRule>
    <cfRule type="expression" priority="1219" dxfId="16">
      <formula>AV57="후보"</formula>
    </cfRule>
  </conditionalFormatting>
  <conditionalFormatting sqref="AC5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5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57">
    <cfRule type="expression" priority="1209" dxfId="3">
      <formula>AND(IF(OR($Q57=1,$Q57=2),1,0),IF($X57&lt;=20,1,0))</formula>
    </cfRule>
    <cfRule type="expression" priority="1210" dxfId="2">
      <formula>AND(IF($Q57=2,1,0),IF($X57&lt;30,1,0))</formula>
    </cfRule>
    <cfRule type="expression" priority="1211" dxfId="1">
      <formula>AND(IF($Q57=3,1,0),IF($X57&lt;30,1,0))</formula>
    </cfRule>
    <cfRule type="expression" priority="1212" dxfId="0">
      <formula>AND(IF($Q57=3,1,IF($Q57=4,1,0)),IF($F57&lt;=85,1,0))</formula>
    </cfRule>
  </conditionalFormatting>
  <conditionalFormatting sqref="X57">
    <cfRule type="expression" priority="1205" dxfId="3">
      <formula>AND(IF(OR($Q57=1,$Q57=2),1,0),IF($X57&lt;=20,1,0))</formula>
    </cfRule>
    <cfRule type="expression" priority="1206" dxfId="2">
      <formula>AND(IF($Q57=2,1,0),IF($X57&lt;30,1,0))</formula>
    </cfRule>
    <cfRule type="expression" priority="1207" dxfId="1">
      <formula>AND(IF($Q57=3,1,0),IF($X57&lt;30,1,0))</formula>
    </cfRule>
    <cfRule type="expression" priority="1208" dxfId="0">
      <formula>AND(IF($Q57=3,1,IF($Q57=4,1,0)),IF($F57&lt;=85,1,0))</formula>
    </cfRule>
  </conditionalFormatting>
  <conditionalFormatting sqref="AI57">
    <cfRule type="expression" priority="1201" dxfId="3">
      <formula>AND(IF(OR($Q57=1,$Q57=2),1,0),IF($X57&lt;=20,1,0))</formula>
    </cfRule>
    <cfRule type="expression" priority="1202" dxfId="2">
      <formula>AND(IF($Q57=2,1,0),IF($X57&lt;30,1,0))</formula>
    </cfRule>
    <cfRule type="expression" priority="1203" dxfId="1">
      <formula>AND(IF($Q57=3,1,0),IF($X57&lt;30,1,0))</formula>
    </cfRule>
    <cfRule type="expression" priority="1204" dxfId="0">
      <formula>AND(IF($Q57=3,1,IF($Q57=4,1,0)),IF($F57&lt;=85,1,0))</formula>
    </cfRule>
  </conditionalFormatting>
  <conditionalFormatting sqref="AV58">
    <cfRule type="expression" priority="1199" dxfId="17">
      <formula>AV58="X"</formula>
    </cfRule>
    <cfRule type="expression" priority="1200" dxfId="16">
      <formula>AV58="후보"</formula>
    </cfRule>
  </conditionalFormatting>
  <conditionalFormatting sqref="AC58 N5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AV59">
    <cfRule type="expression" priority="1194" dxfId="17">
      <formula>AV59="X"</formula>
    </cfRule>
    <cfRule type="expression" priority="1195" dxfId="16">
      <formula>AV59="후보"</formula>
    </cfRule>
  </conditionalFormatting>
  <conditionalFormatting sqref="AC59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59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59">
    <cfRule type="expression" priority="1185" dxfId="3">
      <formula>AND(IF(OR($Q59=1,$Q59=2),1,0),IF($X59&lt;=20,1,0))</formula>
    </cfRule>
    <cfRule type="expression" priority="1186" dxfId="2">
      <formula>AND(IF($Q59=2,1,0),IF($X59&lt;30,1,0))</formula>
    </cfRule>
    <cfRule type="expression" priority="1187" dxfId="1">
      <formula>AND(IF($Q59=3,1,0),IF($X59&lt;30,1,0))</formula>
    </cfRule>
    <cfRule type="expression" priority="1188" dxfId="0">
      <formula>AND(IF($Q59=3,1,IF($Q59=4,1,0)),IF($F59&lt;=85,1,0))</formula>
    </cfRule>
  </conditionalFormatting>
  <conditionalFormatting sqref="X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AI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V60">
    <cfRule type="expression" priority="1175" dxfId="17">
      <formula>AV60="X"</formula>
    </cfRule>
    <cfRule type="expression" priority="1176" dxfId="16">
      <formula>AV60="후보"</formula>
    </cfRule>
  </conditionalFormatting>
  <conditionalFormatting sqref="AC6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6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60">
    <cfRule type="expression" priority="1166" dxfId="3">
      <formula>AND(IF(OR($Q60=1,$Q60=2),1,0),IF($X60&lt;=20,1,0))</formula>
    </cfRule>
    <cfRule type="expression" priority="1167" dxfId="2">
      <formula>AND(IF($Q60=2,1,0),IF($X60&lt;30,1,0))</formula>
    </cfRule>
    <cfRule type="expression" priority="1168" dxfId="1">
      <formula>AND(IF($Q60=3,1,0),IF($X60&lt;30,1,0))</formula>
    </cfRule>
    <cfRule type="expression" priority="1169" dxfId="0">
      <formula>AND(IF($Q60=3,1,IF($Q60=4,1,0)),IF($F60&lt;=85,1,0))</formula>
    </cfRule>
  </conditionalFormatting>
  <conditionalFormatting sqref="X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AI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V61">
    <cfRule type="expression" priority="1156" dxfId="17">
      <formula>AV61="X"</formula>
    </cfRule>
    <cfRule type="expression" priority="1157" dxfId="16">
      <formula>AV61="후보"</formula>
    </cfRule>
  </conditionalFormatting>
  <conditionalFormatting sqref="AC6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6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61">
    <cfRule type="expression" priority="1147" dxfId="3">
      <formula>AND(IF(OR($Q61=1,$Q61=2),1,0),IF($X61&lt;=20,1,0))</formula>
    </cfRule>
    <cfRule type="expression" priority="1148" dxfId="2">
      <formula>AND(IF($Q61=2,1,0),IF($X61&lt;30,1,0))</formula>
    </cfRule>
    <cfRule type="expression" priority="1149" dxfId="1">
      <formula>AND(IF($Q61=3,1,0),IF($X61&lt;30,1,0))</formula>
    </cfRule>
    <cfRule type="expression" priority="1150" dxfId="0">
      <formula>AND(IF($Q61=3,1,IF($Q61=4,1,0)),IF($F61&lt;=85,1,0))</formula>
    </cfRule>
  </conditionalFormatting>
  <conditionalFormatting sqref="X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AI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V62">
    <cfRule type="expression" priority="1137" dxfId="17">
      <formula>AV62="X"</formula>
    </cfRule>
    <cfRule type="expression" priority="1138" dxfId="16">
      <formula>AV62="후보"</formula>
    </cfRule>
  </conditionalFormatting>
  <conditionalFormatting sqref="AC6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6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62">
    <cfRule type="expression" priority="1128" dxfId="3">
      <formula>AND(IF(OR($Q62=1,$Q62=2),1,0),IF($X62&lt;=20,1,0))</formula>
    </cfRule>
    <cfRule type="expression" priority="1129" dxfId="2">
      <formula>AND(IF($Q62=2,1,0),IF($X62&lt;30,1,0))</formula>
    </cfRule>
    <cfRule type="expression" priority="1130" dxfId="1">
      <formula>AND(IF($Q62=3,1,0),IF($X62&lt;30,1,0))</formula>
    </cfRule>
    <cfRule type="expression" priority="1131" dxfId="0">
      <formula>AND(IF($Q62=3,1,IF($Q62=4,1,0)),IF($F62&lt;=85,1,0))</formula>
    </cfRule>
  </conditionalFormatting>
  <conditionalFormatting sqref="X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AI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V63">
    <cfRule type="expression" priority="1118" dxfId="17">
      <formula>AV63="X"</formula>
    </cfRule>
    <cfRule type="expression" priority="1119" dxfId="16">
      <formula>AV63="후보"</formula>
    </cfRule>
  </conditionalFormatting>
  <conditionalFormatting sqref="AC6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3">
    <cfRule type="expression" priority="1109" dxfId="3">
      <formula>AND(IF(OR($Q63=1,$Q63=2),1,0),IF($X63&lt;=20,1,0))</formula>
    </cfRule>
    <cfRule type="expression" priority="1110" dxfId="2">
      <formula>AND(IF($Q63=2,1,0),IF($X63&lt;30,1,0))</formula>
    </cfRule>
    <cfRule type="expression" priority="1111" dxfId="1">
      <formula>AND(IF($Q63=3,1,0),IF($X63&lt;30,1,0))</formula>
    </cfRule>
    <cfRule type="expression" priority="1112" dxfId="0">
      <formula>AND(IF($Q63=3,1,IF($Q63=4,1,0)),IF($F63&lt;=85,1,0))</formula>
    </cfRule>
  </conditionalFormatting>
  <conditionalFormatting sqref="X63">
    <cfRule type="expression" priority="1105" dxfId="3">
      <formula>AND(IF(OR($Q63=1,$Q63=2),1,0),IF($X63&lt;=20,1,0))</formula>
    </cfRule>
    <cfRule type="expression" priority="1106" dxfId="2">
      <formula>AND(IF($Q63=2,1,0),IF($X63&lt;30,1,0))</formula>
    </cfRule>
    <cfRule type="expression" priority="1107" dxfId="1">
      <formula>AND(IF($Q63=3,1,0),IF($X63&lt;30,1,0))</formula>
    </cfRule>
    <cfRule type="expression" priority="1108" dxfId="0">
      <formula>AND(IF($Q63=3,1,IF($Q63=4,1,0)),IF($F63&lt;=85,1,0))</formula>
    </cfRule>
  </conditionalFormatting>
  <conditionalFormatting sqref="AI63">
    <cfRule type="expression" priority="1101" dxfId="3">
      <formula>AND(IF(OR($Q63=1,$Q63=2),1,0),IF($X63&lt;=20,1,0))</formula>
    </cfRule>
    <cfRule type="expression" priority="1102" dxfId="2">
      <formula>AND(IF($Q63=2,1,0),IF($X63&lt;30,1,0))</formula>
    </cfRule>
    <cfRule type="expression" priority="1103" dxfId="1">
      <formula>AND(IF($Q63=3,1,0),IF($X63&lt;30,1,0))</formula>
    </cfRule>
    <cfRule type="expression" priority="1104" dxfId="0">
      <formula>AND(IF($Q63=3,1,IF($Q63=4,1,0)),IF($F63&lt;=85,1,0))</formula>
    </cfRule>
  </conditionalFormatting>
  <conditionalFormatting sqref="AV64">
    <cfRule type="expression" priority="1099" dxfId="17">
      <formula>AV64="X"</formula>
    </cfRule>
    <cfRule type="expression" priority="1100" dxfId="16">
      <formula>AV64="후보"</formula>
    </cfRule>
  </conditionalFormatting>
  <conditionalFormatting sqref="AC64 N6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65">
    <cfRule type="expression" priority="1094" dxfId="17">
      <formula>AV65="X"</formula>
    </cfRule>
    <cfRule type="expression" priority="1095" dxfId="16">
      <formula>AV65="후보"</formula>
    </cfRule>
  </conditionalFormatting>
  <conditionalFormatting sqref="AC6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5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5">
    <cfRule type="expression" priority="1085" dxfId="3">
      <formula>AND(IF(OR($Q65=1,$Q65=2),1,0),IF($X65&lt;=20,1,0))</formula>
    </cfRule>
    <cfRule type="expression" priority="1086" dxfId="2">
      <formula>AND(IF($Q65=2,1,0),IF($X65&lt;30,1,0))</formula>
    </cfRule>
    <cfRule type="expression" priority="1087" dxfId="1">
      <formula>AND(IF($Q65=3,1,0),IF($X65&lt;30,1,0))</formula>
    </cfRule>
    <cfRule type="expression" priority="1088" dxfId="0">
      <formula>AND(IF($Q65=3,1,IF($Q65=4,1,0)),IF($F65&lt;=85,1,0))</formula>
    </cfRule>
  </conditionalFormatting>
  <conditionalFormatting sqref="X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AI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V66">
    <cfRule type="expression" priority="1075" dxfId="17">
      <formula>AV66="X"</formula>
    </cfRule>
    <cfRule type="expression" priority="1076" dxfId="16">
      <formula>AV66="후보"</formula>
    </cfRule>
  </conditionalFormatting>
  <conditionalFormatting sqref="AC66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66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66">
    <cfRule type="expression" priority="1066" dxfId="3">
      <formula>AND(IF(OR($Q66=1,$Q66=2),1,0),IF($X66&lt;=20,1,0))</formula>
    </cfRule>
    <cfRule type="expression" priority="1067" dxfId="2">
      <formula>AND(IF($Q66=2,1,0),IF($X66&lt;30,1,0))</formula>
    </cfRule>
    <cfRule type="expression" priority="1068" dxfId="1">
      <formula>AND(IF($Q66=3,1,0),IF($X66&lt;30,1,0))</formula>
    </cfRule>
    <cfRule type="expression" priority="1069" dxfId="0">
      <formula>AND(IF($Q66=3,1,IF($Q66=4,1,0)),IF($F66&lt;=85,1,0))</formula>
    </cfRule>
  </conditionalFormatting>
  <conditionalFormatting sqref="X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AI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V67">
    <cfRule type="expression" priority="1056" dxfId="17">
      <formula>AV67="X"</formula>
    </cfRule>
    <cfRule type="expression" priority="1057" dxfId="16">
      <formula>AV67="후보"</formula>
    </cfRule>
  </conditionalFormatting>
  <conditionalFormatting sqref="AC6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6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67">
    <cfRule type="expression" priority="1047" dxfId="3">
      <formula>AND(IF(OR($Q67=1,$Q67=2),1,0),IF($X67&lt;=20,1,0))</formula>
    </cfRule>
    <cfRule type="expression" priority="1048" dxfId="2">
      <formula>AND(IF($Q67=2,1,0),IF($X67&lt;30,1,0))</formula>
    </cfRule>
    <cfRule type="expression" priority="1049" dxfId="1">
      <formula>AND(IF($Q67=3,1,0),IF($X67&lt;30,1,0))</formula>
    </cfRule>
    <cfRule type="expression" priority="1050" dxfId="0">
      <formula>AND(IF($Q67=3,1,IF($Q67=4,1,0)),IF($F67&lt;=85,1,0))</formula>
    </cfRule>
  </conditionalFormatting>
  <conditionalFormatting sqref="X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AI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V68">
    <cfRule type="expression" priority="1037" dxfId="17">
      <formula>AV68="X"</formula>
    </cfRule>
    <cfRule type="expression" priority="1038" dxfId="16">
      <formula>AV68="후보"</formula>
    </cfRule>
  </conditionalFormatting>
  <conditionalFormatting sqref="AC6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6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68">
    <cfRule type="expression" priority="1028" dxfId="3">
      <formula>AND(IF(OR($Q68=1,$Q68=2),1,0),IF($X68&lt;=20,1,0))</formula>
    </cfRule>
    <cfRule type="expression" priority="1029" dxfId="2">
      <formula>AND(IF($Q68=2,1,0),IF($X68&lt;30,1,0))</formula>
    </cfRule>
    <cfRule type="expression" priority="1030" dxfId="1">
      <formula>AND(IF($Q68=3,1,0),IF($X68&lt;30,1,0))</formula>
    </cfRule>
    <cfRule type="expression" priority="1031" dxfId="0">
      <formula>AND(IF($Q68=3,1,IF($Q68=4,1,0)),IF($F68&lt;=85,1,0))</formula>
    </cfRule>
  </conditionalFormatting>
  <conditionalFormatting sqref="X68">
    <cfRule type="expression" priority="1024" dxfId="3">
      <formula>AND(IF(OR($Q68=1,$Q68=2),1,0),IF($X68&lt;=20,1,0))</formula>
    </cfRule>
    <cfRule type="expression" priority="1025" dxfId="2">
      <formula>AND(IF($Q68=2,1,0),IF($X68&lt;30,1,0))</formula>
    </cfRule>
    <cfRule type="expression" priority="1026" dxfId="1">
      <formula>AND(IF($Q68=3,1,0),IF($X68&lt;30,1,0))</formula>
    </cfRule>
    <cfRule type="expression" priority="1027" dxfId="0">
      <formula>AND(IF($Q68=3,1,IF($Q68=4,1,0)),IF($F68&lt;=85,1,0))</formula>
    </cfRule>
  </conditionalFormatting>
  <conditionalFormatting sqref="AI68">
    <cfRule type="expression" priority="1020" dxfId="3">
      <formula>AND(IF(OR($Q68=1,$Q68=2),1,0),IF($X68&lt;=20,1,0))</formula>
    </cfRule>
    <cfRule type="expression" priority="1021" dxfId="2">
      <formula>AND(IF($Q68=2,1,0),IF($X68&lt;30,1,0))</formula>
    </cfRule>
    <cfRule type="expression" priority="1022" dxfId="1">
      <formula>AND(IF($Q68=3,1,0),IF($X68&lt;30,1,0))</formula>
    </cfRule>
    <cfRule type="expression" priority="1023" dxfId="0">
      <formula>AND(IF($Q68=3,1,IF($Q68=4,1,0)),IF($F68&lt;=85,1,0))</formula>
    </cfRule>
  </conditionalFormatting>
  <conditionalFormatting sqref="AV69">
    <cfRule type="expression" priority="1018" dxfId="17">
      <formula>AV69="X"</formula>
    </cfRule>
    <cfRule type="expression" priority="1019" dxfId="16">
      <formula>AV69="후보"</formula>
    </cfRule>
  </conditionalFormatting>
  <conditionalFormatting sqref="AC6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9">
    <cfRule type="expression" priority="1009" dxfId="3">
      <formula>AND(IF(OR($Q69=1,$Q69=2),1,0),IF($X69&lt;=20,1,0))</formula>
    </cfRule>
    <cfRule type="expression" priority="1010" dxfId="2">
      <formula>AND(IF($Q69=2,1,0),IF($X69&lt;30,1,0))</formula>
    </cfRule>
    <cfRule type="expression" priority="1011" dxfId="1">
      <formula>AND(IF($Q69=3,1,0),IF($X69&lt;30,1,0))</formula>
    </cfRule>
    <cfRule type="expression" priority="1012" dxfId="0">
      <formula>AND(IF($Q69=3,1,IF($Q69=4,1,0)),IF($F69&lt;=85,1,0))</formula>
    </cfRule>
  </conditionalFormatting>
  <conditionalFormatting sqref="X69">
    <cfRule type="expression" priority="1005" dxfId="3">
      <formula>AND(IF(OR($Q69=1,$Q69=2),1,0),IF($X69&lt;=20,1,0))</formula>
    </cfRule>
    <cfRule type="expression" priority="1006" dxfId="2">
      <formula>AND(IF($Q69=2,1,0),IF($X69&lt;30,1,0))</formula>
    </cfRule>
    <cfRule type="expression" priority="1007" dxfId="1">
      <formula>AND(IF($Q69=3,1,0),IF($X69&lt;30,1,0))</formula>
    </cfRule>
    <cfRule type="expression" priority="1008" dxfId="0">
      <formula>AND(IF($Q69=3,1,IF($Q69=4,1,0)),IF($F69&lt;=85,1,0))</formula>
    </cfRule>
  </conditionalFormatting>
  <conditionalFormatting sqref="AI69">
    <cfRule type="expression" priority="1001" dxfId="3">
      <formula>AND(IF(OR($Q69=1,$Q69=2),1,0),IF($X69&lt;=20,1,0))</formula>
    </cfRule>
    <cfRule type="expression" priority="1002" dxfId="2">
      <formula>AND(IF($Q69=2,1,0),IF($X69&lt;30,1,0))</formula>
    </cfRule>
    <cfRule type="expression" priority="1003" dxfId="1">
      <formula>AND(IF($Q69=3,1,0),IF($X69&lt;30,1,0))</formula>
    </cfRule>
    <cfRule type="expression" priority="1004" dxfId="0">
      <formula>AND(IF($Q69=3,1,IF($Q69=4,1,0)),IF($F69&lt;=85,1,0))</formula>
    </cfRule>
  </conditionalFormatting>
  <conditionalFormatting sqref="AV70">
    <cfRule type="expression" priority="999" dxfId="17">
      <formula>AV70="X"</formula>
    </cfRule>
    <cfRule type="expression" priority="1000" dxfId="16">
      <formula>AV70="후보"</formula>
    </cfRule>
  </conditionalFormatting>
  <conditionalFormatting sqref="AC7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70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70">
    <cfRule type="expression" priority="990" dxfId="3">
      <formula>AND(IF(OR($Q70=1,$Q70=2),1,0),IF($X70&lt;=20,1,0))</formula>
    </cfRule>
    <cfRule type="expression" priority="991" dxfId="2">
      <formula>AND(IF($Q70=2,1,0),IF($X70&lt;30,1,0))</formula>
    </cfRule>
    <cfRule type="expression" priority="992" dxfId="1">
      <formula>AND(IF($Q70=3,1,0),IF($X70&lt;30,1,0))</formula>
    </cfRule>
    <cfRule type="expression" priority="993" dxfId="0">
      <formula>AND(IF($Q70=3,1,IF($Q70=4,1,0)),IF($F70&lt;=85,1,0))</formula>
    </cfRule>
  </conditionalFormatting>
  <conditionalFormatting sqref="X70">
    <cfRule type="expression" priority="986" dxfId="3">
      <formula>AND(IF(OR($Q70=1,$Q70=2),1,0),IF($X70&lt;=20,1,0))</formula>
    </cfRule>
    <cfRule type="expression" priority="987" dxfId="2">
      <formula>AND(IF($Q70=2,1,0),IF($X70&lt;30,1,0))</formula>
    </cfRule>
    <cfRule type="expression" priority="988" dxfId="1">
      <formula>AND(IF($Q70=3,1,0),IF($X70&lt;30,1,0))</formula>
    </cfRule>
    <cfRule type="expression" priority="989" dxfId="0">
      <formula>AND(IF($Q70=3,1,IF($Q70=4,1,0)),IF($F70&lt;=85,1,0))</formula>
    </cfRule>
  </conditionalFormatting>
  <conditionalFormatting sqref="AI70">
    <cfRule type="expression" priority="982" dxfId="3">
      <formula>AND(IF(OR($Q70=1,$Q70=2),1,0),IF($X70&lt;=20,1,0))</formula>
    </cfRule>
    <cfRule type="expression" priority="983" dxfId="2">
      <formula>AND(IF($Q70=2,1,0),IF($X70&lt;30,1,0))</formula>
    </cfRule>
    <cfRule type="expression" priority="984" dxfId="1">
      <formula>AND(IF($Q70=3,1,0),IF($X70&lt;30,1,0))</formula>
    </cfRule>
    <cfRule type="expression" priority="985" dxfId="0">
      <formula>AND(IF($Q70=3,1,IF($Q70=4,1,0)),IF($F70&lt;=85,1,0))</formula>
    </cfRule>
  </conditionalFormatting>
  <conditionalFormatting sqref="AV71">
    <cfRule type="expression" priority="980" dxfId="17">
      <formula>AV71="X"</formula>
    </cfRule>
    <cfRule type="expression" priority="981" dxfId="16">
      <formula>AV71="후보"</formula>
    </cfRule>
  </conditionalFormatting>
  <conditionalFormatting sqref="AC71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71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71">
    <cfRule type="expression" priority="971" dxfId="3">
      <formula>AND(IF(OR($Q71=1,$Q71=2),1,0),IF($X71&lt;=20,1,0))</formula>
    </cfRule>
    <cfRule type="expression" priority="972" dxfId="2">
      <formula>AND(IF($Q71=2,1,0),IF($X71&lt;30,1,0))</formula>
    </cfRule>
    <cfRule type="expression" priority="973" dxfId="1">
      <formula>AND(IF($Q71=3,1,0),IF($X71&lt;30,1,0))</formula>
    </cfRule>
    <cfRule type="expression" priority="974" dxfId="0">
      <formula>AND(IF($Q71=3,1,IF($Q71=4,1,0)),IF($F71&lt;=85,1,0))</formula>
    </cfRule>
  </conditionalFormatting>
  <conditionalFormatting sqref="X71">
    <cfRule type="expression" priority="967" dxfId="3">
      <formula>AND(IF(OR($Q71=1,$Q71=2),1,0),IF($X71&lt;=20,1,0))</formula>
    </cfRule>
    <cfRule type="expression" priority="968" dxfId="2">
      <formula>AND(IF($Q71=2,1,0),IF($X71&lt;30,1,0))</formula>
    </cfRule>
    <cfRule type="expression" priority="969" dxfId="1">
      <formula>AND(IF($Q71=3,1,0),IF($X71&lt;30,1,0))</formula>
    </cfRule>
    <cfRule type="expression" priority="970" dxfId="0">
      <formula>AND(IF($Q71=3,1,IF($Q71=4,1,0)),IF($F71&lt;=85,1,0))</formula>
    </cfRule>
  </conditionalFormatting>
  <conditionalFormatting sqref="AI71">
    <cfRule type="expression" priority="963" dxfId="3">
      <formula>AND(IF(OR($Q71=1,$Q71=2),1,0),IF($X71&lt;=20,1,0))</formula>
    </cfRule>
    <cfRule type="expression" priority="964" dxfId="2">
      <formula>AND(IF($Q71=2,1,0),IF($X71&lt;30,1,0))</formula>
    </cfRule>
    <cfRule type="expression" priority="965" dxfId="1">
      <formula>AND(IF($Q71=3,1,0),IF($X71&lt;30,1,0))</formula>
    </cfRule>
    <cfRule type="expression" priority="966" dxfId="0">
      <formula>AND(IF($Q71=3,1,IF($Q71=4,1,0)),IF($F71&lt;=85,1,0))</formula>
    </cfRule>
  </conditionalFormatting>
  <conditionalFormatting sqref="AV72">
    <cfRule type="expression" priority="961" dxfId="17">
      <formula>AV72="X"</formula>
    </cfRule>
    <cfRule type="expression" priority="962" dxfId="16">
      <formula>AV72="후보"</formula>
    </cfRule>
  </conditionalFormatting>
  <conditionalFormatting sqref="AC7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7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72">
    <cfRule type="expression" priority="952" dxfId="3">
      <formula>AND(IF(OR($Q72=1,$Q72=2),1,0),IF($X72&lt;=20,1,0))</formula>
    </cfRule>
    <cfRule type="expression" priority="953" dxfId="2">
      <formula>AND(IF($Q72=2,1,0),IF($X72&lt;30,1,0))</formula>
    </cfRule>
    <cfRule type="expression" priority="954" dxfId="1">
      <formula>AND(IF($Q72=3,1,0),IF($X72&lt;30,1,0))</formula>
    </cfRule>
    <cfRule type="expression" priority="955" dxfId="0">
      <formula>AND(IF($Q72=3,1,IF($Q72=4,1,0)),IF($F72&lt;=85,1,0))</formula>
    </cfRule>
  </conditionalFormatting>
  <conditionalFormatting sqref="X72">
    <cfRule type="expression" priority="948" dxfId="3">
      <formula>AND(IF(OR($Q72=1,$Q72=2),1,0),IF($X72&lt;=20,1,0))</formula>
    </cfRule>
    <cfRule type="expression" priority="949" dxfId="2">
      <formula>AND(IF($Q72=2,1,0),IF($X72&lt;30,1,0))</formula>
    </cfRule>
    <cfRule type="expression" priority="950" dxfId="1">
      <formula>AND(IF($Q72=3,1,0),IF($X72&lt;30,1,0))</formula>
    </cfRule>
    <cfRule type="expression" priority="951" dxfId="0">
      <formula>AND(IF($Q72=3,1,IF($Q72=4,1,0)),IF($F72&lt;=85,1,0))</formula>
    </cfRule>
  </conditionalFormatting>
  <conditionalFormatting sqref="AI72">
    <cfRule type="expression" priority="944" dxfId="3">
      <formula>AND(IF(OR($Q72=1,$Q72=2),1,0),IF($X72&lt;=20,1,0))</formula>
    </cfRule>
    <cfRule type="expression" priority="945" dxfId="2">
      <formula>AND(IF($Q72=2,1,0),IF($X72&lt;30,1,0))</formula>
    </cfRule>
    <cfRule type="expression" priority="946" dxfId="1">
      <formula>AND(IF($Q72=3,1,0),IF($X72&lt;30,1,0))</formula>
    </cfRule>
    <cfRule type="expression" priority="947" dxfId="0">
      <formula>AND(IF($Q72=3,1,IF($Q72=4,1,0)),IF($F72&lt;=85,1,0))</formula>
    </cfRule>
  </conditionalFormatting>
  <conditionalFormatting sqref="AV73">
    <cfRule type="expression" priority="942" dxfId="17">
      <formula>AV73="X"</formula>
    </cfRule>
    <cfRule type="expression" priority="943" dxfId="16">
      <formula>AV73="후보"</formula>
    </cfRule>
  </conditionalFormatting>
  <conditionalFormatting sqref="AC7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7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73">
    <cfRule type="expression" priority="933" dxfId="3">
      <formula>AND(IF(OR($Q73=1,$Q73=2),1,0),IF($X73&lt;=20,1,0))</formula>
    </cfRule>
    <cfRule type="expression" priority="934" dxfId="2">
      <formula>AND(IF($Q73=2,1,0),IF($X73&lt;30,1,0))</formula>
    </cfRule>
    <cfRule type="expression" priority="935" dxfId="1">
      <formula>AND(IF($Q73=3,1,0),IF($X73&lt;30,1,0))</formula>
    </cfRule>
    <cfRule type="expression" priority="936" dxfId="0">
      <formula>AND(IF($Q73=3,1,IF($Q73=4,1,0)),IF($F73&lt;=85,1,0))</formula>
    </cfRule>
  </conditionalFormatting>
  <conditionalFormatting sqref="X73">
    <cfRule type="expression" priority="929" dxfId="3">
      <formula>AND(IF(OR($Q73=1,$Q73=2),1,0),IF($X73&lt;=20,1,0))</formula>
    </cfRule>
    <cfRule type="expression" priority="930" dxfId="2">
      <formula>AND(IF($Q73=2,1,0),IF($X73&lt;30,1,0))</formula>
    </cfRule>
    <cfRule type="expression" priority="931" dxfId="1">
      <formula>AND(IF($Q73=3,1,0),IF($X73&lt;30,1,0))</formula>
    </cfRule>
    <cfRule type="expression" priority="932" dxfId="0">
      <formula>AND(IF($Q73=3,1,IF($Q73=4,1,0)),IF($F73&lt;=85,1,0))</formula>
    </cfRule>
  </conditionalFormatting>
  <conditionalFormatting sqref="AI73">
    <cfRule type="expression" priority="925" dxfId="3">
      <formula>AND(IF(OR($Q73=1,$Q73=2),1,0),IF($X73&lt;=20,1,0))</formula>
    </cfRule>
    <cfRule type="expression" priority="926" dxfId="2">
      <formula>AND(IF($Q73=2,1,0),IF($X73&lt;30,1,0))</formula>
    </cfRule>
    <cfRule type="expression" priority="927" dxfId="1">
      <formula>AND(IF($Q73=3,1,0),IF($X73&lt;30,1,0))</formula>
    </cfRule>
    <cfRule type="expression" priority="928" dxfId="0">
      <formula>AND(IF($Q73=3,1,IF($Q73=4,1,0)),IF($F73&lt;=85,1,0))</formula>
    </cfRule>
  </conditionalFormatting>
  <conditionalFormatting sqref="AV74">
    <cfRule type="expression" priority="923" dxfId="17">
      <formula>AV74="X"</formula>
    </cfRule>
    <cfRule type="expression" priority="924" dxfId="16">
      <formula>AV74="후보"</formula>
    </cfRule>
  </conditionalFormatting>
  <conditionalFormatting sqref="AC74 N7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75">
    <cfRule type="expression" priority="918" dxfId="17">
      <formula>AV75="X"</formula>
    </cfRule>
    <cfRule type="expression" priority="919" dxfId="16">
      <formula>AV75="후보"</formula>
    </cfRule>
  </conditionalFormatting>
  <conditionalFormatting sqref="AC7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7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75">
    <cfRule type="expression" priority="909" dxfId="3">
      <formula>AND(IF(OR($Q75=1,$Q75=2),1,0),IF($X75&lt;=20,1,0))</formula>
    </cfRule>
    <cfRule type="expression" priority="910" dxfId="2">
      <formula>AND(IF($Q75=2,1,0),IF($X75&lt;30,1,0))</formula>
    </cfRule>
    <cfRule type="expression" priority="911" dxfId="1">
      <formula>AND(IF($Q75=3,1,0),IF($X75&lt;30,1,0))</formula>
    </cfRule>
    <cfRule type="expression" priority="912" dxfId="0">
      <formula>AND(IF($Q75=3,1,IF($Q75=4,1,0)),IF($F75&lt;=85,1,0))</formula>
    </cfRule>
  </conditionalFormatting>
  <conditionalFormatting sqref="X75">
    <cfRule type="expression" priority="905" dxfId="3">
      <formula>AND(IF(OR($Q75=1,$Q75=2),1,0),IF($X75&lt;=20,1,0))</formula>
    </cfRule>
    <cfRule type="expression" priority="906" dxfId="2">
      <formula>AND(IF($Q75=2,1,0),IF($X75&lt;30,1,0))</formula>
    </cfRule>
    <cfRule type="expression" priority="907" dxfId="1">
      <formula>AND(IF($Q75=3,1,0),IF($X75&lt;30,1,0))</formula>
    </cfRule>
    <cfRule type="expression" priority="908" dxfId="0">
      <formula>AND(IF($Q75=3,1,IF($Q75=4,1,0)),IF($F75&lt;=85,1,0))</formula>
    </cfRule>
  </conditionalFormatting>
  <conditionalFormatting sqref="AI75">
    <cfRule type="expression" priority="901" dxfId="3">
      <formula>AND(IF(OR($Q75=1,$Q75=2),1,0),IF($X75&lt;=20,1,0))</formula>
    </cfRule>
    <cfRule type="expression" priority="902" dxfId="2">
      <formula>AND(IF($Q75=2,1,0),IF($X75&lt;30,1,0))</formula>
    </cfRule>
    <cfRule type="expression" priority="903" dxfId="1">
      <formula>AND(IF($Q75=3,1,0),IF($X75&lt;30,1,0))</formula>
    </cfRule>
    <cfRule type="expression" priority="904" dxfId="0">
      <formula>AND(IF($Q75=3,1,IF($Q75=4,1,0)),IF($F75&lt;=85,1,0))</formula>
    </cfRule>
  </conditionalFormatting>
  <conditionalFormatting sqref="AV76">
    <cfRule type="expression" priority="899" dxfId="17">
      <formula>AV76="X"</formula>
    </cfRule>
    <cfRule type="expression" priority="900" dxfId="16">
      <formula>AV76="후보"</formula>
    </cfRule>
  </conditionalFormatting>
  <conditionalFormatting sqref="AC7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7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76">
    <cfRule type="expression" priority="890" dxfId="3">
      <formula>AND(IF(OR($Q76=1,$Q76=2),1,0),IF($X76&lt;=20,1,0))</formula>
    </cfRule>
    <cfRule type="expression" priority="891" dxfId="2">
      <formula>AND(IF($Q76=2,1,0),IF($X76&lt;30,1,0))</formula>
    </cfRule>
    <cfRule type="expression" priority="892" dxfId="1">
      <formula>AND(IF($Q76=3,1,0),IF($X76&lt;30,1,0))</formula>
    </cfRule>
    <cfRule type="expression" priority="893" dxfId="0">
      <formula>AND(IF($Q76=3,1,IF($Q76=4,1,0)),IF($F76&lt;=85,1,0))</formula>
    </cfRule>
  </conditionalFormatting>
  <conditionalFormatting sqref="X76">
    <cfRule type="expression" priority="886" dxfId="3">
      <formula>AND(IF(OR($Q76=1,$Q76=2),1,0),IF($X76&lt;=20,1,0))</formula>
    </cfRule>
    <cfRule type="expression" priority="887" dxfId="2">
      <formula>AND(IF($Q76=2,1,0),IF($X76&lt;30,1,0))</formula>
    </cfRule>
    <cfRule type="expression" priority="888" dxfId="1">
      <formula>AND(IF($Q76=3,1,0),IF($X76&lt;30,1,0))</formula>
    </cfRule>
    <cfRule type="expression" priority="889" dxfId="0">
      <formula>AND(IF($Q76=3,1,IF($Q76=4,1,0)),IF($F76&lt;=85,1,0))</formula>
    </cfRule>
  </conditionalFormatting>
  <conditionalFormatting sqref="AI76">
    <cfRule type="expression" priority="882" dxfId="3">
      <formula>AND(IF(OR($Q76=1,$Q76=2),1,0),IF($X76&lt;=20,1,0))</formula>
    </cfRule>
    <cfRule type="expression" priority="883" dxfId="2">
      <formula>AND(IF($Q76=2,1,0),IF($X76&lt;30,1,0))</formula>
    </cfRule>
    <cfRule type="expression" priority="884" dxfId="1">
      <formula>AND(IF($Q76=3,1,0),IF($X76&lt;30,1,0))</formula>
    </cfRule>
    <cfRule type="expression" priority="885" dxfId="0">
      <formula>AND(IF($Q76=3,1,IF($Q76=4,1,0)),IF($F76&lt;=85,1,0))</formula>
    </cfRule>
  </conditionalFormatting>
  <conditionalFormatting sqref="AV77">
    <cfRule type="expression" priority="880" dxfId="17">
      <formula>AV77="X"</formula>
    </cfRule>
    <cfRule type="expression" priority="881" dxfId="16">
      <formula>AV77="후보"</formula>
    </cfRule>
  </conditionalFormatting>
  <conditionalFormatting sqref="AC77 N7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78">
    <cfRule type="expression" priority="875" dxfId="17">
      <formula>AV78="X"</formula>
    </cfRule>
    <cfRule type="expression" priority="876" dxfId="16">
      <formula>AV78="후보"</formula>
    </cfRule>
  </conditionalFormatting>
  <conditionalFormatting sqref="AC78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78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78">
    <cfRule type="expression" priority="866" dxfId="3">
      <formula>AND(IF(OR($Q78=1,$Q78=2),1,0),IF($X78&lt;=20,1,0))</formula>
    </cfRule>
    <cfRule type="expression" priority="867" dxfId="2">
      <formula>AND(IF($Q78=2,1,0),IF($X78&lt;30,1,0))</formula>
    </cfRule>
    <cfRule type="expression" priority="868" dxfId="1">
      <formula>AND(IF($Q78=3,1,0),IF($X78&lt;30,1,0))</formula>
    </cfRule>
    <cfRule type="expression" priority="869" dxfId="0">
      <formula>AND(IF($Q78=3,1,IF($Q78=4,1,0)),IF($F78&lt;=85,1,0))</formula>
    </cfRule>
  </conditionalFormatting>
  <conditionalFormatting sqref="X78">
    <cfRule type="expression" priority="862" dxfId="3">
      <formula>AND(IF(OR($Q78=1,$Q78=2),1,0),IF($X78&lt;=20,1,0))</formula>
    </cfRule>
    <cfRule type="expression" priority="863" dxfId="2">
      <formula>AND(IF($Q78=2,1,0),IF($X78&lt;30,1,0))</formula>
    </cfRule>
    <cfRule type="expression" priority="864" dxfId="1">
      <formula>AND(IF($Q78=3,1,0),IF($X78&lt;30,1,0))</formula>
    </cfRule>
    <cfRule type="expression" priority="865" dxfId="0">
      <formula>AND(IF($Q78=3,1,IF($Q78=4,1,0)),IF($F78&lt;=85,1,0))</formula>
    </cfRule>
  </conditionalFormatting>
  <conditionalFormatting sqref="AI78">
    <cfRule type="expression" priority="858" dxfId="3">
      <formula>AND(IF(OR($Q78=1,$Q78=2),1,0),IF($X78&lt;=20,1,0))</formula>
    </cfRule>
    <cfRule type="expression" priority="859" dxfId="2">
      <formula>AND(IF($Q78=2,1,0),IF($X78&lt;30,1,0))</formula>
    </cfRule>
    <cfRule type="expression" priority="860" dxfId="1">
      <formula>AND(IF($Q78=3,1,0),IF($X78&lt;30,1,0))</formula>
    </cfRule>
    <cfRule type="expression" priority="861" dxfId="0">
      <formula>AND(IF($Q78=3,1,IF($Q78=4,1,0)),IF($F78&lt;=85,1,0))</formula>
    </cfRule>
  </conditionalFormatting>
  <conditionalFormatting sqref="AV79">
    <cfRule type="expression" priority="856" dxfId="17">
      <formula>AV79="X"</formula>
    </cfRule>
    <cfRule type="expression" priority="857" dxfId="16">
      <formula>AV79="후보"</formula>
    </cfRule>
  </conditionalFormatting>
  <conditionalFormatting sqref="AC79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79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79">
    <cfRule type="expression" priority="847" dxfId="3">
      <formula>AND(IF(OR($Q79=1,$Q79=2),1,0),IF($X79&lt;=20,1,0))</formula>
    </cfRule>
    <cfRule type="expression" priority="848" dxfId="2">
      <formula>AND(IF($Q79=2,1,0),IF($X79&lt;30,1,0))</formula>
    </cfRule>
    <cfRule type="expression" priority="849" dxfId="1">
      <formula>AND(IF($Q79=3,1,0),IF($X79&lt;30,1,0))</formula>
    </cfRule>
    <cfRule type="expression" priority="850" dxfId="0">
      <formula>AND(IF($Q79=3,1,IF($Q79=4,1,0)),IF($F79&lt;=85,1,0))</formula>
    </cfRule>
  </conditionalFormatting>
  <conditionalFormatting sqref="X79">
    <cfRule type="expression" priority="843" dxfId="3">
      <formula>AND(IF(OR($Q79=1,$Q79=2),1,0),IF($X79&lt;=20,1,0))</formula>
    </cfRule>
    <cfRule type="expression" priority="844" dxfId="2">
      <formula>AND(IF($Q79=2,1,0),IF($X79&lt;30,1,0))</formula>
    </cfRule>
    <cfRule type="expression" priority="845" dxfId="1">
      <formula>AND(IF($Q79=3,1,0),IF($X79&lt;30,1,0))</formula>
    </cfRule>
    <cfRule type="expression" priority="846" dxfId="0">
      <formula>AND(IF($Q79=3,1,IF($Q79=4,1,0)),IF($F79&lt;=85,1,0))</formula>
    </cfRule>
  </conditionalFormatting>
  <conditionalFormatting sqref="AI79">
    <cfRule type="expression" priority="839" dxfId="3">
      <formula>AND(IF(OR($Q79=1,$Q79=2),1,0),IF($X79&lt;=20,1,0))</formula>
    </cfRule>
    <cfRule type="expression" priority="840" dxfId="2">
      <formula>AND(IF($Q79=2,1,0),IF($X79&lt;30,1,0))</formula>
    </cfRule>
    <cfRule type="expression" priority="841" dxfId="1">
      <formula>AND(IF($Q79=3,1,0),IF($X79&lt;30,1,0))</formula>
    </cfRule>
    <cfRule type="expression" priority="842" dxfId="0">
      <formula>AND(IF($Q79=3,1,IF($Q79=4,1,0)),IF($F79&lt;=85,1,0))</formula>
    </cfRule>
  </conditionalFormatting>
  <conditionalFormatting sqref="AV80">
    <cfRule type="expression" priority="837" dxfId="17">
      <formula>AV80="X"</formula>
    </cfRule>
    <cfRule type="expression" priority="838" dxfId="16">
      <formula>AV80="후보"</formula>
    </cfRule>
  </conditionalFormatting>
  <conditionalFormatting sqref="AC8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8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80">
    <cfRule type="expression" priority="828" dxfId="3">
      <formula>AND(IF(OR($Q80=1,$Q80=2),1,0),IF($X80&lt;=20,1,0))</formula>
    </cfRule>
    <cfRule type="expression" priority="829" dxfId="2">
      <formula>AND(IF($Q80=2,1,0),IF($X80&lt;30,1,0))</formula>
    </cfRule>
    <cfRule type="expression" priority="830" dxfId="1">
      <formula>AND(IF($Q80=3,1,0),IF($X80&lt;30,1,0))</formula>
    </cfRule>
    <cfRule type="expression" priority="831" dxfId="0">
      <formula>AND(IF($Q80=3,1,IF($Q80=4,1,0)),IF($F80&lt;=85,1,0))</formula>
    </cfRule>
  </conditionalFormatting>
  <conditionalFormatting sqref="X80">
    <cfRule type="expression" priority="824" dxfId="3">
      <formula>AND(IF(OR($Q80=1,$Q80=2),1,0),IF($X80&lt;=20,1,0))</formula>
    </cfRule>
    <cfRule type="expression" priority="825" dxfId="2">
      <formula>AND(IF($Q80=2,1,0),IF($X80&lt;30,1,0))</formula>
    </cfRule>
    <cfRule type="expression" priority="826" dxfId="1">
      <formula>AND(IF($Q80=3,1,0),IF($X80&lt;30,1,0))</formula>
    </cfRule>
    <cfRule type="expression" priority="827" dxfId="0">
      <formula>AND(IF($Q80=3,1,IF($Q80=4,1,0)),IF($F80&lt;=85,1,0))</formula>
    </cfRule>
  </conditionalFormatting>
  <conditionalFormatting sqref="AI80">
    <cfRule type="expression" priority="820" dxfId="3">
      <formula>AND(IF(OR($Q80=1,$Q80=2),1,0),IF($X80&lt;=20,1,0))</formula>
    </cfRule>
    <cfRule type="expression" priority="821" dxfId="2">
      <formula>AND(IF($Q80=2,1,0),IF($X80&lt;30,1,0))</formula>
    </cfRule>
    <cfRule type="expression" priority="822" dxfId="1">
      <formula>AND(IF($Q80=3,1,0),IF($X80&lt;30,1,0))</formula>
    </cfRule>
    <cfRule type="expression" priority="823" dxfId="0">
      <formula>AND(IF($Q80=3,1,IF($Q80=4,1,0)),IF($F80&lt;=85,1,0))</formula>
    </cfRule>
  </conditionalFormatting>
  <conditionalFormatting sqref="AV81">
    <cfRule type="expression" priority="818" dxfId="17">
      <formula>AV81="X"</formula>
    </cfRule>
    <cfRule type="expression" priority="819" dxfId="16">
      <formula>AV81="후보"</formula>
    </cfRule>
  </conditionalFormatting>
  <conditionalFormatting sqref="AC8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8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81">
    <cfRule type="expression" priority="809" dxfId="3">
      <formula>AND(IF(OR($Q81=1,$Q81=2),1,0),IF($X81&lt;=20,1,0))</formula>
    </cfRule>
    <cfRule type="expression" priority="810" dxfId="2">
      <formula>AND(IF($Q81=2,1,0),IF($X81&lt;30,1,0))</formula>
    </cfRule>
    <cfRule type="expression" priority="811" dxfId="1">
      <formula>AND(IF($Q81=3,1,0),IF($X81&lt;30,1,0))</formula>
    </cfRule>
    <cfRule type="expression" priority="812" dxfId="0">
      <formula>AND(IF($Q81=3,1,IF($Q81=4,1,0)),IF($F81&lt;=85,1,0))</formula>
    </cfRule>
  </conditionalFormatting>
  <conditionalFormatting sqref="X81">
    <cfRule type="expression" priority="805" dxfId="3">
      <formula>AND(IF(OR($Q81=1,$Q81=2),1,0),IF($X81&lt;=20,1,0))</formula>
    </cfRule>
    <cfRule type="expression" priority="806" dxfId="2">
      <formula>AND(IF($Q81=2,1,0),IF($X81&lt;30,1,0))</formula>
    </cfRule>
    <cfRule type="expression" priority="807" dxfId="1">
      <formula>AND(IF($Q81=3,1,0),IF($X81&lt;30,1,0))</formula>
    </cfRule>
    <cfRule type="expression" priority="808" dxfId="0">
      <formula>AND(IF($Q81=3,1,IF($Q81=4,1,0)),IF($F81&lt;=85,1,0))</formula>
    </cfRule>
  </conditionalFormatting>
  <conditionalFormatting sqref="AI81">
    <cfRule type="expression" priority="801" dxfId="3">
      <formula>AND(IF(OR($Q81=1,$Q81=2),1,0),IF($X81&lt;=20,1,0))</formula>
    </cfRule>
    <cfRule type="expression" priority="802" dxfId="2">
      <formula>AND(IF($Q81=2,1,0),IF($X81&lt;30,1,0))</formula>
    </cfRule>
    <cfRule type="expression" priority="803" dxfId="1">
      <formula>AND(IF($Q81=3,1,0),IF($X81&lt;30,1,0))</formula>
    </cfRule>
    <cfRule type="expression" priority="804" dxfId="0">
      <formula>AND(IF($Q81=3,1,IF($Q81=4,1,0)),IF($F81&lt;=85,1,0))</formula>
    </cfRule>
  </conditionalFormatting>
  <conditionalFormatting sqref="AV82">
    <cfRule type="expression" priority="799" dxfId="17">
      <formula>AV82="X"</formula>
    </cfRule>
    <cfRule type="expression" priority="800" dxfId="16">
      <formula>AV82="후보"</formula>
    </cfRule>
  </conditionalFormatting>
  <conditionalFormatting sqref="AC8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8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82">
    <cfRule type="expression" priority="790" dxfId="3">
      <formula>AND(IF(OR($Q82=1,$Q82=2),1,0),IF($X82&lt;=20,1,0))</formula>
    </cfRule>
    <cfRule type="expression" priority="791" dxfId="2">
      <formula>AND(IF($Q82=2,1,0),IF($X82&lt;30,1,0))</formula>
    </cfRule>
    <cfRule type="expression" priority="792" dxfId="1">
      <formula>AND(IF($Q82=3,1,0),IF($X82&lt;30,1,0))</formula>
    </cfRule>
    <cfRule type="expression" priority="793" dxfId="0">
      <formula>AND(IF($Q82=3,1,IF($Q82=4,1,0)),IF($F82&lt;=85,1,0))</formula>
    </cfRule>
  </conditionalFormatting>
  <conditionalFormatting sqref="X82">
    <cfRule type="expression" priority="786" dxfId="3">
      <formula>AND(IF(OR($Q82=1,$Q82=2),1,0),IF($X82&lt;=20,1,0))</formula>
    </cfRule>
    <cfRule type="expression" priority="787" dxfId="2">
      <formula>AND(IF($Q82=2,1,0),IF($X82&lt;30,1,0))</formula>
    </cfRule>
    <cfRule type="expression" priority="788" dxfId="1">
      <formula>AND(IF($Q82=3,1,0),IF($X82&lt;30,1,0))</formula>
    </cfRule>
    <cfRule type="expression" priority="789" dxfId="0">
      <formula>AND(IF($Q82=3,1,IF($Q82=4,1,0)),IF($F82&lt;=85,1,0))</formula>
    </cfRule>
  </conditionalFormatting>
  <conditionalFormatting sqref="AI82">
    <cfRule type="expression" priority="782" dxfId="3">
      <formula>AND(IF(OR($Q82=1,$Q82=2),1,0),IF($X82&lt;=20,1,0))</formula>
    </cfRule>
    <cfRule type="expression" priority="783" dxfId="2">
      <formula>AND(IF($Q82=2,1,0),IF($X82&lt;30,1,0))</formula>
    </cfRule>
    <cfRule type="expression" priority="784" dxfId="1">
      <formula>AND(IF($Q82=3,1,0),IF($X82&lt;30,1,0))</formula>
    </cfRule>
    <cfRule type="expression" priority="785" dxfId="0">
      <formula>AND(IF($Q82=3,1,IF($Q82=4,1,0)),IF($F82&lt;=85,1,0))</formula>
    </cfRule>
  </conditionalFormatting>
  <conditionalFormatting sqref="AV83">
    <cfRule type="expression" priority="780" dxfId="17">
      <formula>AV83="X"</formula>
    </cfRule>
    <cfRule type="expression" priority="781" dxfId="16">
      <formula>AV83="후보"</formula>
    </cfRule>
  </conditionalFormatting>
  <conditionalFormatting sqref="AC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8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83">
    <cfRule type="expression" priority="771" dxfId="3">
      <formula>AND(IF(OR($Q83=1,$Q83=2),1,0),IF($X83&lt;=20,1,0))</formula>
    </cfRule>
    <cfRule type="expression" priority="772" dxfId="2">
      <formula>AND(IF($Q83=2,1,0),IF($X83&lt;30,1,0))</formula>
    </cfRule>
    <cfRule type="expression" priority="773" dxfId="1">
      <formula>AND(IF($Q83=3,1,0),IF($X83&lt;30,1,0))</formula>
    </cfRule>
    <cfRule type="expression" priority="774" dxfId="0">
      <formula>AND(IF($Q83=3,1,IF($Q83=4,1,0)),IF($F83&lt;=85,1,0))</formula>
    </cfRule>
  </conditionalFormatting>
  <conditionalFormatting sqref="X83">
    <cfRule type="expression" priority="767" dxfId="3">
      <formula>AND(IF(OR($Q83=1,$Q83=2),1,0),IF($X83&lt;=20,1,0))</formula>
    </cfRule>
    <cfRule type="expression" priority="768" dxfId="2">
      <formula>AND(IF($Q83=2,1,0),IF($X83&lt;30,1,0))</formula>
    </cfRule>
    <cfRule type="expression" priority="769" dxfId="1">
      <formula>AND(IF($Q83=3,1,0),IF($X83&lt;30,1,0))</formula>
    </cfRule>
    <cfRule type="expression" priority="770" dxfId="0">
      <formula>AND(IF($Q83=3,1,IF($Q83=4,1,0)),IF($F83&lt;=85,1,0))</formula>
    </cfRule>
  </conditionalFormatting>
  <conditionalFormatting sqref="AI83">
    <cfRule type="expression" priority="763" dxfId="3">
      <formula>AND(IF(OR($Q83=1,$Q83=2),1,0),IF($X83&lt;=20,1,0))</formula>
    </cfRule>
    <cfRule type="expression" priority="764" dxfId="2">
      <formula>AND(IF($Q83=2,1,0),IF($X83&lt;30,1,0))</formula>
    </cfRule>
    <cfRule type="expression" priority="765" dxfId="1">
      <formula>AND(IF($Q83=3,1,0),IF($X83&lt;30,1,0))</formula>
    </cfRule>
    <cfRule type="expression" priority="766" dxfId="0">
      <formula>AND(IF($Q83=3,1,IF($Q83=4,1,0)),IF($F83&lt;=85,1,0))</formula>
    </cfRule>
  </conditionalFormatting>
  <conditionalFormatting sqref="AV84">
    <cfRule type="expression" priority="761" dxfId="17">
      <formula>AV84="X"</formula>
    </cfRule>
    <cfRule type="expression" priority="762" dxfId="16">
      <formula>AV84="후보"</formula>
    </cfRule>
  </conditionalFormatting>
  <conditionalFormatting sqref="AC8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8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84">
    <cfRule type="expression" priority="752" dxfId="3">
      <formula>AND(IF(OR($Q84=1,$Q84=2),1,0),IF($X84&lt;=20,1,0))</formula>
    </cfRule>
    <cfRule type="expression" priority="753" dxfId="2">
      <formula>AND(IF($Q84=2,1,0),IF($X84&lt;30,1,0))</formula>
    </cfRule>
    <cfRule type="expression" priority="754" dxfId="1">
      <formula>AND(IF($Q84=3,1,0),IF($X84&lt;30,1,0))</formula>
    </cfRule>
    <cfRule type="expression" priority="755" dxfId="0">
      <formula>AND(IF($Q84=3,1,IF($Q84=4,1,0)),IF($F84&lt;=85,1,0))</formula>
    </cfRule>
  </conditionalFormatting>
  <conditionalFormatting sqref="X84">
    <cfRule type="expression" priority="748" dxfId="3">
      <formula>AND(IF(OR($Q84=1,$Q84=2),1,0),IF($X84&lt;=20,1,0))</formula>
    </cfRule>
    <cfRule type="expression" priority="749" dxfId="2">
      <formula>AND(IF($Q84=2,1,0),IF($X84&lt;30,1,0))</formula>
    </cfRule>
    <cfRule type="expression" priority="750" dxfId="1">
      <formula>AND(IF($Q84=3,1,0),IF($X84&lt;30,1,0))</formula>
    </cfRule>
    <cfRule type="expression" priority="751" dxfId="0">
      <formula>AND(IF($Q84=3,1,IF($Q84=4,1,0)),IF($F84&lt;=85,1,0))</formula>
    </cfRule>
  </conditionalFormatting>
  <conditionalFormatting sqref="AI84">
    <cfRule type="expression" priority="744" dxfId="3">
      <formula>AND(IF(OR($Q84=1,$Q84=2),1,0),IF($X84&lt;=20,1,0))</formula>
    </cfRule>
    <cfRule type="expression" priority="745" dxfId="2">
      <formula>AND(IF($Q84=2,1,0),IF($X84&lt;30,1,0))</formula>
    </cfRule>
    <cfRule type="expression" priority="746" dxfId="1">
      <formula>AND(IF($Q84=3,1,0),IF($X84&lt;30,1,0))</formula>
    </cfRule>
    <cfRule type="expression" priority="747" dxfId="0">
      <formula>AND(IF($Q84=3,1,IF($Q84=4,1,0)),IF($F84&lt;=85,1,0))</formula>
    </cfRule>
  </conditionalFormatting>
  <conditionalFormatting sqref="AV85">
    <cfRule type="expression" priority="742" dxfId="17">
      <formula>AV85="X"</formula>
    </cfRule>
    <cfRule type="expression" priority="743" dxfId="16">
      <formula>AV85="후보"</formula>
    </cfRule>
  </conditionalFormatting>
  <conditionalFormatting sqref="AC85 N8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86">
    <cfRule type="expression" priority="737" dxfId="17">
      <formula>AV86="X"</formula>
    </cfRule>
    <cfRule type="expression" priority="738" dxfId="16">
      <formula>AV86="후보"</formula>
    </cfRule>
  </conditionalFormatting>
  <conditionalFormatting sqref="AC8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8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86">
    <cfRule type="expression" priority="728" dxfId="3">
      <formula>AND(IF(OR($Q86=1,$Q86=2),1,0),IF($X86&lt;=20,1,0))</formula>
    </cfRule>
    <cfRule type="expression" priority="729" dxfId="2">
      <formula>AND(IF($Q86=2,1,0),IF($X86&lt;30,1,0))</formula>
    </cfRule>
    <cfRule type="expression" priority="730" dxfId="1">
      <formula>AND(IF($Q86=3,1,0),IF($X86&lt;30,1,0))</formula>
    </cfRule>
    <cfRule type="expression" priority="731" dxfId="0">
      <formula>AND(IF($Q86=3,1,IF($Q86=4,1,0)),IF($F86&lt;=85,1,0))</formula>
    </cfRule>
  </conditionalFormatting>
  <conditionalFormatting sqref="X86">
    <cfRule type="expression" priority="724" dxfId="3">
      <formula>AND(IF(OR($Q86=1,$Q86=2),1,0),IF($X86&lt;=20,1,0))</formula>
    </cfRule>
    <cfRule type="expression" priority="725" dxfId="2">
      <formula>AND(IF($Q86=2,1,0),IF($X86&lt;30,1,0))</formula>
    </cfRule>
    <cfRule type="expression" priority="726" dxfId="1">
      <formula>AND(IF($Q86=3,1,0),IF($X86&lt;30,1,0))</formula>
    </cfRule>
    <cfRule type="expression" priority="727" dxfId="0">
      <formula>AND(IF($Q86=3,1,IF($Q86=4,1,0)),IF($F86&lt;=85,1,0))</formula>
    </cfRule>
  </conditionalFormatting>
  <conditionalFormatting sqref="AI86">
    <cfRule type="expression" priority="720" dxfId="3">
      <formula>AND(IF(OR($Q86=1,$Q86=2),1,0),IF($X86&lt;=20,1,0))</formula>
    </cfRule>
    <cfRule type="expression" priority="721" dxfId="2">
      <formula>AND(IF($Q86=2,1,0),IF($X86&lt;30,1,0))</formula>
    </cfRule>
    <cfRule type="expression" priority="722" dxfId="1">
      <formula>AND(IF($Q86=3,1,0),IF($X86&lt;30,1,0))</formula>
    </cfRule>
    <cfRule type="expression" priority="723" dxfId="0">
      <formula>AND(IF($Q86=3,1,IF($Q86=4,1,0)),IF($F86&lt;=85,1,0))</formula>
    </cfRule>
  </conditionalFormatting>
  <conditionalFormatting sqref="AV87">
    <cfRule type="expression" priority="718" dxfId="17">
      <formula>AV87="X"</formula>
    </cfRule>
    <cfRule type="expression" priority="719" dxfId="16">
      <formula>AV87="후보"</formula>
    </cfRule>
  </conditionalFormatting>
  <conditionalFormatting sqref="AC8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8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7">
    <cfRule type="expression" priority="709" dxfId="3">
      <formula>AND(IF(OR($Q87=1,$Q87=2),1,0),IF($X87&lt;=20,1,0))</formula>
    </cfRule>
    <cfRule type="expression" priority="710" dxfId="2">
      <formula>AND(IF($Q87=2,1,0),IF($X87&lt;30,1,0))</formula>
    </cfRule>
    <cfRule type="expression" priority="711" dxfId="1">
      <formula>AND(IF($Q87=3,1,0),IF($X87&lt;30,1,0))</formula>
    </cfRule>
    <cfRule type="expression" priority="712" dxfId="0">
      <formula>AND(IF($Q87=3,1,IF($Q87=4,1,0)),IF($F87&lt;=85,1,0))</formula>
    </cfRule>
  </conditionalFormatting>
  <conditionalFormatting sqref="X87">
    <cfRule type="expression" priority="705" dxfId="3">
      <formula>AND(IF(OR($Q87=1,$Q87=2),1,0),IF($X87&lt;=20,1,0))</formula>
    </cfRule>
    <cfRule type="expression" priority="706" dxfId="2">
      <formula>AND(IF($Q87=2,1,0),IF($X87&lt;30,1,0))</formula>
    </cfRule>
    <cfRule type="expression" priority="707" dxfId="1">
      <formula>AND(IF($Q87=3,1,0),IF($X87&lt;30,1,0))</formula>
    </cfRule>
    <cfRule type="expression" priority="708" dxfId="0">
      <formula>AND(IF($Q87=3,1,IF($Q87=4,1,0)),IF($F87&lt;=85,1,0))</formula>
    </cfRule>
  </conditionalFormatting>
  <conditionalFormatting sqref="AI87">
    <cfRule type="expression" priority="701" dxfId="3">
      <formula>AND(IF(OR($Q87=1,$Q87=2),1,0),IF($X87&lt;=20,1,0))</formula>
    </cfRule>
    <cfRule type="expression" priority="702" dxfId="2">
      <formula>AND(IF($Q87=2,1,0),IF($X87&lt;30,1,0))</formula>
    </cfRule>
    <cfRule type="expression" priority="703" dxfId="1">
      <formula>AND(IF($Q87=3,1,0),IF($X87&lt;30,1,0))</formula>
    </cfRule>
    <cfRule type="expression" priority="704" dxfId="0">
      <formula>AND(IF($Q87=3,1,IF($Q87=4,1,0)),IF($F87&lt;=85,1,0))</formula>
    </cfRule>
  </conditionalFormatting>
  <conditionalFormatting sqref="AV88">
    <cfRule type="expression" priority="699" dxfId="17">
      <formula>AV88="X"</formula>
    </cfRule>
    <cfRule type="expression" priority="700" dxfId="16">
      <formula>AV88="후보"</formula>
    </cfRule>
  </conditionalFormatting>
  <conditionalFormatting sqref="AC8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8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88">
    <cfRule type="expression" priority="690" dxfId="3">
      <formula>AND(IF(OR($Q88=1,$Q88=2),1,0),IF($X88&lt;=20,1,0))</formula>
    </cfRule>
    <cfRule type="expression" priority="691" dxfId="2">
      <formula>AND(IF($Q88=2,1,0),IF($X88&lt;30,1,0))</formula>
    </cfRule>
    <cfRule type="expression" priority="692" dxfId="1">
      <formula>AND(IF($Q88=3,1,0),IF($X88&lt;30,1,0))</formula>
    </cfRule>
    <cfRule type="expression" priority="693" dxfId="0">
      <formula>AND(IF($Q88=3,1,IF($Q88=4,1,0)),IF($F88&lt;=85,1,0))</formula>
    </cfRule>
  </conditionalFormatting>
  <conditionalFormatting sqref="X88">
    <cfRule type="expression" priority="686" dxfId="3">
      <formula>AND(IF(OR($Q88=1,$Q88=2),1,0),IF($X88&lt;=20,1,0))</formula>
    </cfRule>
    <cfRule type="expression" priority="687" dxfId="2">
      <formula>AND(IF($Q88=2,1,0),IF($X88&lt;30,1,0))</formula>
    </cfRule>
    <cfRule type="expression" priority="688" dxfId="1">
      <formula>AND(IF($Q88=3,1,0),IF($X88&lt;30,1,0))</formula>
    </cfRule>
    <cfRule type="expression" priority="689" dxfId="0">
      <formula>AND(IF($Q88=3,1,IF($Q88=4,1,0)),IF($F88&lt;=85,1,0))</formula>
    </cfRule>
  </conditionalFormatting>
  <conditionalFormatting sqref="AI88">
    <cfRule type="expression" priority="682" dxfId="3">
      <formula>AND(IF(OR($Q88=1,$Q88=2),1,0),IF($X88&lt;=20,1,0))</formula>
    </cfRule>
    <cfRule type="expression" priority="683" dxfId="2">
      <formula>AND(IF($Q88=2,1,0),IF($X88&lt;30,1,0))</formula>
    </cfRule>
    <cfRule type="expression" priority="684" dxfId="1">
      <formula>AND(IF($Q88=3,1,0),IF($X88&lt;30,1,0))</formula>
    </cfRule>
    <cfRule type="expression" priority="685" dxfId="0">
      <formula>AND(IF($Q88=3,1,IF($Q88=4,1,0)),IF($F88&lt;=85,1,0))</formula>
    </cfRule>
  </conditionalFormatting>
  <conditionalFormatting sqref="AV89">
    <cfRule type="expression" priority="680" dxfId="17">
      <formula>AV89="X"</formula>
    </cfRule>
    <cfRule type="expression" priority="681" dxfId="16">
      <formula>AV89="후보"</formula>
    </cfRule>
  </conditionalFormatting>
  <conditionalFormatting sqref="AC8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X89">
    <cfRule type="expression" priority="667" dxfId="3">
      <formula>AND(IF(OR($Q89=1,$Q89=2),1,0),IF($X89&lt;=20,1,0))</formula>
    </cfRule>
    <cfRule type="expression" priority="668" dxfId="2">
      <formula>AND(IF($Q89=2,1,0),IF($X89&lt;30,1,0))</formula>
    </cfRule>
    <cfRule type="expression" priority="669" dxfId="1">
      <formula>AND(IF($Q89=3,1,0),IF($X89&lt;30,1,0))</formula>
    </cfRule>
    <cfRule type="expression" priority="670" dxfId="0">
      <formula>AND(IF($Q89=3,1,IF($Q89=4,1,0)),IF($F89&lt;=85,1,0))</formula>
    </cfRule>
  </conditionalFormatting>
  <conditionalFormatting sqref="AI89">
    <cfRule type="expression" priority="663" dxfId="3">
      <formula>AND(IF(OR($Q89=1,$Q89=2),1,0),IF($X89&lt;=20,1,0))</formula>
    </cfRule>
    <cfRule type="expression" priority="664" dxfId="2">
      <formula>AND(IF($Q89=2,1,0),IF($X89&lt;30,1,0))</formula>
    </cfRule>
    <cfRule type="expression" priority="665" dxfId="1">
      <formula>AND(IF($Q89=3,1,0),IF($X89&lt;30,1,0))</formula>
    </cfRule>
    <cfRule type="expression" priority="666" dxfId="0">
      <formula>AND(IF($Q89=3,1,IF($Q89=4,1,0)),IF($F89&lt;=85,1,0))</formula>
    </cfRule>
  </conditionalFormatting>
  <conditionalFormatting sqref="AV90">
    <cfRule type="expression" priority="661" dxfId="17">
      <formula>AV90="X"</formula>
    </cfRule>
    <cfRule type="expression" priority="662" dxfId="16">
      <formula>AV90="후보"</formula>
    </cfRule>
  </conditionalFormatting>
  <conditionalFormatting sqref="AC90 N9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91">
    <cfRule type="expression" priority="656" dxfId="17">
      <formula>AV91="X"</formula>
    </cfRule>
    <cfRule type="expression" priority="657" dxfId="16">
      <formula>AV91="후보"</formula>
    </cfRule>
  </conditionalFormatting>
  <conditionalFormatting sqref="AC9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9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91">
    <cfRule type="expression" priority="647" dxfId="3">
      <formula>AND(IF(OR($Q91=1,$Q91=2),1,0),IF($X91&lt;=20,1,0))</formula>
    </cfRule>
    <cfRule type="expression" priority="648" dxfId="2">
      <formula>AND(IF($Q91=2,1,0),IF($X91&lt;30,1,0))</formula>
    </cfRule>
    <cfRule type="expression" priority="649" dxfId="1">
      <formula>AND(IF($Q91=3,1,0),IF($X91&lt;30,1,0))</formula>
    </cfRule>
    <cfRule type="expression" priority="650" dxfId="0">
      <formula>AND(IF($Q91=3,1,IF($Q91=4,1,0)),IF($F91&lt;=85,1,0))</formula>
    </cfRule>
  </conditionalFormatting>
  <conditionalFormatting sqref="X91">
    <cfRule type="expression" priority="643" dxfId="3">
      <formula>AND(IF(OR($Q91=1,$Q91=2),1,0),IF($X91&lt;=20,1,0))</formula>
    </cfRule>
    <cfRule type="expression" priority="644" dxfId="2">
      <formula>AND(IF($Q91=2,1,0),IF($X91&lt;30,1,0))</formula>
    </cfRule>
    <cfRule type="expression" priority="645" dxfId="1">
      <formula>AND(IF($Q91=3,1,0),IF($X91&lt;30,1,0))</formula>
    </cfRule>
    <cfRule type="expression" priority="646" dxfId="0">
      <formula>AND(IF($Q91=3,1,IF($Q91=4,1,0)),IF($F91&lt;=85,1,0))</formula>
    </cfRule>
  </conditionalFormatting>
  <conditionalFormatting sqref="AI91">
    <cfRule type="expression" priority="639" dxfId="3">
      <formula>AND(IF(OR($Q91=1,$Q91=2),1,0),IF($X91&lt;=20,1,0))</formula>
    </cfRule>
    <cfRule type="expression" priority="640" dxfId="2">
      <formula>AND(IF($Q91=2,1,0),IF($X91&lt;30,1,0))</formula>
    </cfRule>
    <cfRule type="expression" priority="641" dxfId="1">
      <formula>AND(IF($Q91=3,1,0),IF($X91&lt;30,1,0))</formula>
    </cfRule>
    <cfRule type="expression" priority="642" dxfId="0">
      <formula>AND(IF($Q91=3,1,IF($Q91=4,1,0)),IF($F91&lt;=85,1,0))</formula>
    </cfRule>
  </conditionalFormatting>
  <conditionalFormatting sqref="AV92">
    <cfRule type="expression" priority="637" dxfId="17">
      <formula>AV92="X"</formula>
    </cfRule>
    <cfRule type="expression" priority="638" dxfId="16">
      <formula>AV92="후보"</formula>
    </cfRule>
  </conditionalFormatting>
  <conditionalFormatting sqref="AC9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9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92">
    <cfRule type="expression" priority="628" dxfId="3">
      <formula>AND(IF(OR($Q92=1,$Q92=2),1,0),IF($X92&lt;=20,1,0))</formula>
    </cfRule>
    <cfRule type="expression" priority="629" dxfId="2">
      <formula>AND(IF($Q92=2,1,0),IF($X92&lt;30,1,0))</formula>
    </cfRule>
    <cfRule type="expression" priority="630" dxfId="1">
      <formula>AND(IF($Q92=3,1,0),IF($X92&lt;30,1,0))</formula>
    </cfRule>
    <cfRule type="expression" priority="631" dxfId="0">
      <formula>AND(IF($Q92=3,1,IF($Q92=4,1,0)),IF($F92&lt;=85,1,0))</formula>
    </cfRule>
  </conditionalFormatting>
  <conditionalFormatting sqref="X92">
    <cfRule type="expression" priority="624" dxfId="3">
      <formula>AND(IF(OR($Q92=1,$Q92=2),1,0),IF($X92&lt;=20,1,0))</formula>
    </cfRule>
    <cfRule type="expression" priority="625" dxfId="2">
      <formula>AND(IF($Q92=2,1,0),IF($X92&lt;30,1,0))</formula>
    </cfRule>
    <cfRule type="expression" priority="626" dxfId="1">
      <formula>AND(IF($Q92=3,1,0),IF($X92&lt;30,1,0))</formula>
    </cfRule>
    <cfRule type="expression" priority="627" dxfId="0">
      <formula>AND(IF($Q92=3,1,IF($Q92=4,1,0)),IF($F92&lt;=85,1,0))</formula>
    </cfRule>
  </conditionalFormatting>
  <conditionalFormatting sqref="AI92">
    <cfRule type="expression" priority="620" dxfId="3">
      <formula>AND(IF(OR($Q92=1,$Q92=2),1,0),IF($X92&lt;=20,1,0))</formula>
    </cfRule>
    <cfRule type="expression" priority="621" dxfId="2">
      <formula>AND(IF($Q92=2,1,0),IF($X92&lt;30,1,0))</formula>
    </cfRule>
    <cfRule type="expression" priority="622" dxfId="1">
      <formula>AND(IF($Q92=3,1,0),IF($X92&lt;30,1,0))</formula>
    </cfRule>
    <cfRule type="expression" priority="623" dxfId="0">
      <formula>AND(IF($Q92=3,1,IF($Q92=4,1,0)),IF($F92&lt;=85,1,0))</formula>
    </cfRule>
  </conditionalFormatting>
  <conditionalFormatting sqref="AV93">
    <cfRule type="expression" priority="618" dxfId="17">
      <formula>AV93="X"</formula>
    </cfRule>
    <cfRule type="expression" priority="619" dxfId="16">
      <formula>AV93="후보"</formula>
    </cfRule>
  </conditionalFormatting>
  <conditionalFormatting sqref="AC93 N9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94">
    <cfRule type="expression" priority="613" dxfId="17">
      <formula>AV94="X"</formula>
    </cfRule>
    <cfRule type="expression" priority="614" dxfId="16">
      <formula>AV94="후보"</formula>
    </cfRule>
  </conditionalFormatting>
  <conditionalFormatting sqref="AC9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4">
    <cfRule type="expression" priority="604" dxfId="3">
      <formula>AND(IF(OR($Q94=1,$Q94=2),1,0),IF($X94&lt;=20,1,0))</formula>
    </cfRule>
    <cfRule type="expression" priority="605" dxfId="2">
      <formula>AND(IF($Q94=2,1,0),IF($X94&lt;30,1,0))</formula>
    </cfRule>
    <cfRule type="expression" priority="606" dxfId="1">
      <formula>AND(IF($Q94=3,1,0),IF($X94&lt;30,1,0))</formula>
    </cfRule>
    <cfRule type="expression" priority="607" dxfId="0">
      <formula>AND(IF($Q94=3,1,IF($Q94=4,1,0)),IF($F94&lt;=85,1,0))</formula>
    </cfRule>
  </conditionalFormatting>
  <conditionalFormatting sqref="X94">
    <cfRule type="expression" priority="600" dxfId="3">
      <formula>AND(IF(OR($Q94=1,$Q94=2),1,0),IF($X94&lt;=20,1,0))</formula>
    </cfRule>
    <cfRule type="expression" priority="601" dxfId="2">
      <formula>AND(IF($Q94=2,1,0),IF($X94&lt;30,1,0))</formula>
    </cfRule>
    <cfRule type="expression" priority="602" dxfId="1">
      <formula>AND(IF($Q94=3,1,0),IF($X94&lt;30,1,0))</formula>
    </cfRule>
    <cfRule type="expression" priority="603" dxfId="0">
      <formula>AND(IF($Q94=3,1,IF($Q94=4,1,0)),IF($F94&lt;=85,1,0))</formula>
    </cfRule>
  </conditionalFormatting>
  <conditionalFormatting sqref="AI94">
    <cfRule type="expression" priority="596" dxfId="3">
      <formula>AND(IF(OR($Q94=1,$Q94=2),1,0),IF($X94&lt;=20,1,0))</formula>
    </cfRule>
    <cfRule type="expression" priority="597" dxfId="2">
      <formula>AND(IF($Q94=2,1,0),IF($X94&lt;30,1,0))</formula>
    </cfRule>
    <cfRule type="expression" priority="598" dxfId="1">
      <formula>AND(IF($Q94=3,1,0),IF($X94&lt;30,1,0))</formula>
    </cfRule>
    <cfRule type="expression" priority="599" dxfId="0">
      <formula>AND(IF($Q94=3,1,IF($Q94=4,1,0)),IF($F94&lt;=85,1,0))</formula>
    </cfRule>
  </conditionalFormatting>
  <conditionalFormatting sqref="AV95">
    <cfRule type="expression" priority="594" dxfId="17">
      <formula>AV95="X"</formula>
    </cfRule>
    <cfRule type="expression" priority="595" dxfId="16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7">
      <formula>AV96="X"</formula>
    </cfRule>
    <cfRule type="expression" priority="576" dxfId="16">
      <formula>AV96="후보"</formula>
    </cfRule>
  </conditionalFormatting>
  <conditionalFormatting sqref="AC9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6">
    <cfRule type="expression" priority="566" dxfId="3">
      <formula>AND(IF(OR($Q96=1,$Q96=2),1,0),IF($X96&lt;=20,1,0))</formula>
    </cfRule>
    <cfRule type="expression" priority="567" dxfId="2">
      <formula>AND(IF($Q96=2,1,0),IF($X96&lt;30,1,0))</formula>
    </cfRule>
    <cfRule type="expression" priority="568" dxfId="1">
      <formula>AND(IF($Q96=3,1,0),IF($X96&lt;30,1,0))</formula>
    </cfRule>
    <cfRule type="expression" priority="569" dxfId="0">
      <formula>AND(IF($Q96=3,1,IF($Q96=4,1,0)),IF($F96&lt;=85,1,0))</formula>
    </cfRule>
  </conditionalFormatting>
  <conditionalFormatting sqref="X96">
    <cfRule type="expression" priority="562" dxfId="3">
      <formula>AND(IF(OR($Q96=1,$Q96=2),1,0),IF($X96&lt;=20,1,0))</formula>
    </cfRule>
    <cfRule type="expression" priority="563" dxfId="2">
      <formula>AND(IF($Q96=2,1,0),IF($X96&lt;30,1,0))</formula>
    </cfRule>
    <cfRule type="expression" priority="564" dxfId="1">
      <formula>AND(IF($Q96=3,1,0),IF($X96&lt;30,1,0))</formula>
    </cfRule>
    <cfRule type="expression" priority="565" dxfId="0">
      <formula>AND(IF($Q96=3,1,IF($Q96=4,1,0)),IF($F96&lt;=85,1,0))</formula>
    </cfRule>
  </conditionalFormatting>
  <conditionalFormatting sqref="AI96">
    <cfRule type="expression" priority="558" dxfId="3">
      <formula>AND(IF(OR($Q96=1,$Q96=2),1,0),IF($X96&lt;=20,1,0))</formula>
    </cfRule>
    <cfRule type="expression" priority="559" dxfId="2">
      <formula>AND(IF($Q96=2,1,0),IF($X96&lt;30,1,0))</formula>
    </cfRule>
    <cfRule type="expression" priority="560" dxfId="1">
      <formula>AND(IF($Q96=3,1,0),IF($X96&lt;30,1,0))</formula>
    </cfRule>
    <cfRule type="expression" priority="561" dxfId="0">
      <formula>AND(IF($Q96=3,1,IF($Q96=4,1,0)),IF($F96&lt;=85,1,0))</formula>
    </cfRule>
  </conditionalFormatting>
  <conditionalFormatting sqref="AV97">
    <cfRule type="expression" priority="556" dxfId="17">
      <formula>AV97="X"</formula>
    </cfRule>
    <cfRule type="expression" priority="557" dxfId="16">
      <formula>AV97="후보"</formula>
    </cfRule>
  </conditionalFormatting>
  <conditionalFormatting sqref="AC9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9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97">
    <cfRule type="expression" priority="547" dxfId="3">
      <formula>AND(IF(OR($Q97=1,$Q97=2),1,0),IF($X97&lt;=20,1,0))</formula>
    </cfRule>
    <cfRule type="expression" priority="548" dxfId="2">
      <formula>AND(IF($Q97=2,1,0),IF($X97&lt;30,1,0))</formula>
    </cfRule>
    <cfRule type="expression" priority="549" dxfId="1">
      <formula>AND(IF($Q97=3,1,0),IF($X97&lt;30,1,0))</formula>
    </cfRule>
    <cfRule type="expression" priority="550" dxfId="0">
      <formula>AND(IF($Q97=3,1,IF($Q97=4,1,0)),IF($F97&lt;=85,1,0))</formula>
    </cfRule>
  </conditionalFormatting>
  <conditionalFormatting sqref="X97">
    <cfRule type="expression" priority="543" dxfId="3">
      <formula>AND(IF(OR($Q97=1,$Q97=2),1,0),IF($X97&lt;=20,1,0))</formula>
    </cfRule>
    <cfRule type="expression" priority="544" dxfId="2">
      <formula>AND(IF($Q97=2,1,0),IF($X97&lt;30,1,0))</formula>
    </cfRule>
    <cfRule type="expression" priority="545" dxfId="1">
      <formula>AND(IF($Q97=3,1,0),IF($X97&lt;30,1,0))</formula>
    </cfRule>
    <cfRule type="expression" priority="546" dxfId="0">
      <formula>AND(IF($Q97=3,1,IF($Q97=4,1,0)),IF($F97&lt;=85,1,0))</formula>
    </cfRule>
  </conditionalFormatting>
  <conditionalFormatting sqref="AI97">
    <cfRule type="expression" priority="539" dxfId="3">
      <formula>AND(IF(OR($Q97=1,$Q97=2),1,0),IF($X97&lt;=20,1,0))</formula>
    </cfRule>
    <cfRule type="expression" priority="540" dxfId="2">
      <formula>AND(IF($Q97=2,1,0),IF($X97&lt;30,1,0))</formula>
    </cfRule>
    <cfRule type="expression" priority="541" dxfId="1">
      <formula>AND(IF($Q97=3,1,0),IF($X97&lt;30,1,0))</formula>
    </cfRule>
    <cfRule type="expression" priority="542" dxfId="0">
      <formula>AND(IF($Q97=3,1,IF($Q97=4,1,0)),IF($F97&lt;=85,1,0))</formula>
    </cfRule>
  </conditionalFormatting>
  <conditionalFormatting sqref="AV98">
    <cfRule type="expression" priority="537" dxfId="17">
      <formula>AV98="X"</formula>
    </cfRule>
    <cfRule type="expression" priority="538" dxfId="16">
      <formula>AV98="후보"</formula>
    </cfRule>
  </conditionalFormatting>
  <conditionalFormatting sqref="AC98 N9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99">
    <cfRule type="expression" priority="532" dxfId="17">
      <formula>AV99="X"</formula>
    </cfRule>
    <cfRule type="expression" priority="533" dxfId="16">
      <formula>AV99="후보"</formula>
    </cfRule>
  </conditionalFormatting>
  <conditionalFormatting sqref="AC9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X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I99">
    <cfRule type="expression" priority="515" dxfId="3">
      <formula>AND(IF(OR($Q99=1,$Q99=2),1,0),IF($X99&lt;=20,1,0))</formula>
    </cfRule>
    <cfRule type="expression" priority="516" dxfId="2">
      <formula>AND(IF($Q99=2,1,0),IF($X99&lt;30,1,0))</formula>
    </cfRule>
    <cfRule type="expression" priority="517" dxfId="1">
      <formula>AND(IF($Q99=3,1,0),IF($X99&lt;30,1,0))</formula>
    </cfRule>
    <cfRule type="expression" priority="518" dxfId="0">
      <formula>AND(IF($Q99=3,1,IF($Q99=4,1,0)),IF($F99&lt;=85,1,0))</formula>
    </cfRule>
  </conditionalFormatting>
  <conditionalFormatting sqref="AV100">
    <cfRule type="expression" priority="513" dxfId="17">
      <formula>AV100="X"</formula>
    </cfRule>
    <cfRule type="expression" priority="514" dxfId="16">
      <formula>AV100="후보"</formula>
    </cfRule>
  </conditionalFormatting>
  <conditionalFormatting sqref="AC10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0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X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I100">
    <cfRule type="expression" priority="496" dxfId="3">
      <formula>AND(IF(OR($Q100=1,$Q100=2),1,0),IF($X100&lt;=20,1,0))</formula>
    </cfRule>
    <cfRule type="expression" priority="497" dxfId="2">
      <formula>AND(IF($Q100=2,1,0),IF($X100&lt;30,1,0))</formula>
    </cfRule>
    <cfRule type="expression" priority="498" dxfId="1">
      <formula>AND(IF($Q100=3,1,0),IF($X100&lt;30,1,0))</formula>
    </cfRule>
    <cfRule type="expression" priority="499" dxfId="0">
      <formula>AND(IF($Q100=3,1,IF($Q100=4,1,0)),IF($F100&lt;=85,1,0))</formula>
    </cfRule>
  </conditionalFormatting>
  <conditionalFormatting sqref="AV101">
    <cfRule type="expression" priority="494" dxfId="17">
      <formula>AV101="X"</formula>
    </cfRule>
    <cfRule type="expression" priority="495" dxfId="16">
      <formula>AV101="후보"</formula>
    </cfRule>
  </conditionalFormatting>
  <conditionalFormatting sqref="AC10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X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I101">
    <cfRule type="expression" priority="477" dxfId="3">
      <formula>AND(IF(OR($Q101=1,$Q101=2),1,0),IF($X101&lt;=20,1,0))</formula>
    </cfRule>
    <cfRule type="expression" priority="478" dxfId="2">
      <formula>AND(IF($Q101=2,1,0),IF($X101&lt;30,1,0))</formula>
    </cfRule>
    <cfRule type="expression" priority="479" dxfId="1">
      <formula>AND(IF($Q101=3,1,0),IF($X101&lt;30,1,0))</formula>
    </cfRule>
    <cfRule type="expression" priority="480" dxfId="0">
      <formula>AND(IF($Q101=3,1,IF($Q101=4,1,0)),IF($F101&lt;=85,1,0))</formula>
    </cfRule>
  </conditionalFormatting>
  <conditionalFormatting sqref="AV102">
    <cfRule type="expression" priority="475" dxfId="17">
      <formula>AV102="X"</formula>
    </cfRule>
    <cfRule type="expression" priority="476" dxfId="16">
      <formula>AV102="후보"</formula>
    </cfRule>
  </conditionalFormatting>
  <conditionalFormatting sqref="AC10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0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X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I102">
    <cfRule type="expression" priority="458" dxfId="3">
      <formula>AND(IF(OR($Q102=1,$Q102=2),1,0),IF($X102&lt;=20,1,0))</formula>
    </cfRule>
    <cfRule type="expression" priority="459" dxfId="2">
      <formula>AND(IF($Q102=2,1,0),IF($X102&lt;30,1,0))</formula>
    </cfRule>
    <cfRule type="expression" priority="460" dxfId="1">
      <formula>AND(IF($Q102=3,1,0),IF($X102&lt;30,1,0))</formula>
    </cfRule>
    <cfRule type="expression" priority="461" dxfId="0">
      <formula>AND(IF($Q102=3,1,IF($Q102=4,1,0)),IF($F102&lt;=85,1,0))</formula>
    </cfRule>
  </conditionalFormatting>
  <conditionalFormatting sqref="AV103">
    <cfRule type="expression" priority="456" dxfId="17">
      <formula>AV103="X"</formula>
    </cfRule>
    <cfRule type="expression" priority="457" dxfId="16">
      <formula>AV103="후보"</formula>
    </cfRule>
  </conditionalFormatting>
  <conditionalFormatting sqref="AC10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X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I103">
    <cfRule type="expression" priority="439" dxfId="3">
      <formula>AND(IF(OR($Q103=1,$Q103=2),1,0),IF($X103&lt;=20,1,0))</formula>
    </cfRule>
    <cfRule type="expression" priority="440" dxfId="2">
      <formula>AND(IF($Q103=2,1,0),IF($X103&lt;30,1,0))</formula>
    </cfRule>
    <cfRule type="expression" priority="441" dxfId="1">
      <formula>AND(IF($Q103=3,1,0),IF($X103&lt;30,1,0))</formula>
    </cfRule>
    <cfRule type="expression" priority="442" dxfId="0">
      <formula>AND(IF($Q103=3,1,IF($Q103=4,1,0)),IF($F103&lt;=85,1,0))</formula>
    </cfRule>
  </conditionalFormatting>
  <conditionalFormatting sqref="AV104">
    <cfRule type="expression" priority="437" dxfId="17">
      <formula>AV104="X"</formula>
    </cfRule>
    <cfRule type="expression" priority="438" dxfId="16">
      <formula>AV104="후보"</formula>
    </cfRule>
  </conditionalFormatting>
  <conditionalFormatting sqref="AC10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0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X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I104">
    <cfRule type="expression" priority="420" dxfId="3">
      <formula>AND(IF(OR($Q104=1,$Q104=2),1,0),IF($X104&lt;=20,1,0))</formula>
    </cfRule>
    <cfRule type="expression" priority="421" dxfId="2">
      <formula>AND(IF($Q104=2,1,0),IF($X104&lt;30,1,0))</formula>
    </cfRule>
    <cfRule type="expression" priority="422" dxfId="1">
      <formula>AND(IF($Q104=3,1,0),IF($X104&lt;30,1,0))</formula>
    </cfRule>
    <cfRule type="expression" priority="423" dxfId="0">
      <formula>AND(IF($Q104=3,1,IF($Q104=4,1,0)),IF($F104&lt;=85,1,0))</formula>
    </cfRule>
  </conditionalFormatting>
  <conditionalFormatting sqref="AV105">
    <cfRule type="expression" priority="418" dxfId="17">
      <formula>AV105="X"</formula>
    </cfRule>
    <cfRule type="expression" priority="419" dxfId="16">
      <formula>AV105="후보"</formula>
    </cfRule>
  </conditionalFormatting>
  <conditionalFormatting sqref="AC10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X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I105">
    <cfRule type="expression" priority="401" dxfId="3">
      <formula>AND(IF(OR($Q105=1,$Q105=2),1,0),IF($X105&lt;=20,1,0))</formula>
    </cfRule>
    <cfRule type="expression" priority="402" dxfId="2">
      <formula>AND(IF($Q105=2,1,0),IF($X105&lt;30,1,0))</formula>
    </cfRule>
    <cfRule type="expression" priority="403" dxfId="1">
      <formula>AND(IF($Q105=3,1,0),IF($X105&lt;30,1,0))</formula>
    </cfRule>
    <cfRule type="expression" priority="404" dxfId="0">
      <formula>AND(IF($Q105=3,1,IF($Q105=4,1,0)),IF($F105&lt;=85,1,0))</formula>
    </cfRule>
  </conditionalFormatting>
  <conditionalFormatting sqref="AV106">
    <cfRule type="expression" priority="399" dxfId="17">
      <formula>AV106="X"</formula>
    </cfRule>
    <cfRule type="expression" priority="400" dxfId="16">
      <formula>AV106="후보"</formula>
    </cfRule>
  </conditionalFormatting>
  <conditionalFormatting sqref="AC10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0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X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I106">
    <cfRule type="expression" priority="382" dxfId="3">
      <formula>AND(IF(OR($Q106=1,$Q106=2),1,0),IF($X106&lt;=20,1,0))</formula>
    </cfRule>
    <cfRule type="expression" priority="383" dxfId="2">
      <formula>AND(IF($Q106=2,1,0),IF($X106&lt;30,1,0))</formula>
    </cfRule>
    <cfRule type="expression" priority="384" dxfId="1">
      <formula>AND(IF($Q106=3,1,0),IF($X106&lt;30,1,0))</formula>
    </cfRule>
    <cfRule type="expression" priority="385" dxfId="0">
      <formula>AND(IF($Q106=3,1,IF($Q106=4,1,0)),IF($F106&lt;=85,1,0))</formula>
    </cfRule>
  </conditionalFormatting>
  <conditionalFormatting sqref="AV107">
    <cfRule type="expression" priority="380" dxfId="17">
      <formula>AV107="X"</formula>
    </cfRule>
    <cfRule type="expression" priority="381" dxfId="16">
      <formula>AV107="후보"</formula>
    </cfRule>
  </conditionalFormatting>
  <conditionalFormatting sqref="AC107 N10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108">
    <cfRule type="expression" priority="375" dxfId="17">
      <formula>AV108="X"</formula>
    </cfRule>
    <cfRule type="expression" priority="376" dxfId="16">
      <formula>AV108="후보"</formula>
    </cfRule>
  </conditionalFormatting>
  <conditionalFormatting sqref="AC10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8">
    <cfRule type="expression" priority="366" dxfId="3">
      <formula>AND(IF(OR($Q108=1,$Q108=2),1,0),IF($X108&lt;=20,1,0))</formula>
    </cfRule>
    <cfRule type="expression" priority="367" dxfId="2">
      <formula>AND(IF($Q108=2,1,0),IF($X108&lt;30,1,0))</formula>
    </cfRule>
    <cfRule type="expression" priority="368" dxfId="1">
      <formula>AND(IF($Q108=3,1,0),IF($X108&lt;30,1,0))</formula>
    </cfRule>
    <cfRule type="expression" priority="369" dxfId="0">
      <formula>AND(IF($Q108=3,1,IF($Q108=4,1,0)),IF($F108&lt;=85,1,0))</formula>
    </cfRule>
  </conditionalFormatting>
  <conditionalFormatting sqref="X108">
    <cfRule type="expression" priority="362" dxfId="3">
      <formula>AND(IF(OR($Q108=1,$Q108=2),1,0),IF($X108&lt;=20,1,0))</formula>
    </cfRule>
    <cfRule type="expression" priority="363" dxfId="2">
      <formula>AND(IF($Q108=2,1,0),IF($X108&lt;30,1,0))</formula>
    </cfRule>
    <cfRule type="expression" priority="364" dxfId="1">
      <formula>AND(IF($Q108=3,1,0),IF($X108&lt;30,1,0))</formula>
    </cfRule>
    <cfRule type="expression" priority="365" dxfId="0">
      <formula>AND(IF($Q108=3,1,IF($Q108=4,1,0)),IF($F108&lt;=85,1,0))</formula>
    </cfRule>
  </conditionalFormatting>
  <conditionalFormatting sqref="AI108">
    <cfRule type="expression" priority="358" dxfId="3">
      <formula>AND(IF(OR($Q108=1,$Q108=2),1,0),IF($X108&lt;=20,1,0))</formula>
    </cfRule>
    <cfRule type="expression" priority="359" dxfId="2">
      <formula>AND(IF($Q108=2,1,0),IF($X108&lt;30,1,0))</formula>
    </cfRule>
    <cfRule type="expression" priority="360" dxfId="1">
      <formula>AND(IF($Q108=3,1,0),IF($X108&lt;30,1,0))</formula>
    </cfRule>
    <cfRule type="expression" priority="361" dxfId="0">
      <formula>AND(IF($Q108=3,1,IF($Q108=4,1,0)),IF($F108&lt;=85,1,0))</formula>
    </cfRule>
  </conditionalFormatting>
  <conditionalFormatting sqref="AV109">
    <cfRule type="expression" priority="356" dxfId="17">
      <formula>AV109="X"</formula>
    </cfRule>
    <cfRule type="expression" priority="357" dxfId="16">
      <formula>AV109="후보"</formula>
    </cfRule>
  </conditionalFormatting>
  <conditionalFormatting sqref="AC10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0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09">
    <cfRule type="expression" priority="347" dxfId="3">
      <formula>AND(IF(OR($Q109=1,$Q109=2),1,0),IF($X109&lt;=20,1,0))</formula>
    </cfRule>
    <cfRule type="expression" priority="348" dxfId="2">
      <formula>AND(IF($Q109=2,1,0),IF($X109&lt;30,1,0))</formula>
    </cfRule>
    <cfRule type="expression" priority="349" dxfId="1">
      <formula>AND(IF($Q109=3,1,0),IF($X109&lt;30,1,0))</formula>
    </cfRule>
    <cfRule type="expression" priority="350" dxfId="0">
      <formula>AND(IF($Q109=3,1,IF($Q109=4,1,0)),IF($F109&lt;=85,1,0))</formula>
    </cfRule>
  </conditionalFormatting>
  <conditionalFormatting sqref="X109">
    <cfRule type="expression" priority="343" dxfId="3">
      <formula>AND(IF(OR($Q109=1,$Q109=2),1,0),IF($X109&lt;=20,1,0))</formula>
    </cfRule>
    <cfRule type="expression" priority="344" dxfId="2">
      <formula>AND(IF($Q109=2,1,0),IF($X109&lt;30,1,0))</formula>
    </cfRule>
    <cfRule type="expression" priority="345" dxfId="1">
      <formula>AND(IF($Q109=3,1,0),IF($X109&lt;30,1,0))</formula>
    </cfRule>
    <cfRule type="expression" priority="346" dxfId="0">
      <formula>AND(IF($Q109=3,1,IF($Q109=4,1,0)),IF($F109&lt;=85,1,0))</formula>
    </cfRule>
  </conditionalFormatting>
  <conditionalFormatting sqref="AI109">
    <cfRule type="expression" priority="339" dxfId="3">
      <formula>AND(IF(OR($Q109=1,$Q109=2),1,0),IF($X109&lt;=20,1,0))</formula>
    </cfRule>
    <cfRule type="expression" priority="340" dxfId="2">
      <formula>AND(IF($Q109=2,1,0),IF($X109&lt;30,1,0))</formula>
    </cfRule>
    <cfRule type="expression" priority="341" dxfId="1">
      <formula>AND(IF($Q109=3,1,0),IF($X109&lt;30,1,0))</formula>
    </cfRule>
    <cfRule type="expression" priority="342" dxfId="0">
      <formula>AND(IF($Q109=3,1,IF($Q109=4,1,0)),IF($F109&lt;=85,1,0))</formula>
    </cfRule>
  </conditionalFormatting>
  <conditionalFormatting sqref="AV110">
    <cfRule type="expression" priority="337" dxfId="17">
      <formula>AV110="X"</formula>
    </cfRule>
    <cfRule type="expression" priority="338" dxfId="16">
      <formula>AV110="후보"</formula>
    </cfRule>
  </conditionalFormatting>
  <conditionalFormatting sqref="AC11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0">
    <cfRule type="expression" priority="328" dxfId="3">
      <formula>AND(IF(OR($Q110=1,$Q110=2),1,0),IF($X110&lt;=20,1,0))</formula>
    </cfRule>
    <cfRule type="expression" priority="329" dxfId="2">
      <formula>AND(IF($Q110=2,1,0),IF($X110&lt;30,1,0))</formula>
    </cfRule>
    <cfRule type="expression" priority="330" dxfId="1">
      <formula>AND(IF($Q110=3,1,0),IF($X110&lt;30,1,0))</formula>
    </cfRule>
    <cfRule type="expression" priority="331" dxfId="0">
      <formula>AND(IF($Q110=3,1,IF($Q110=4,1,0)),IF($F110&lt;=85,1,0))</formula>
    </cfRule>
  </conditionalFormatting>
  <conditionalFormatting sqref="X110">
    <cfRule type="expression" priority="324" dxfId="3">
      <formula>AND(IF(OR($Q110=1,$Q110=2),1,0),IF($X110&lt;=20,1,0))</formula>
    </cfRule>
    <cfRule type="expression" priority="325" dxfId="2">
      <formula>AND(IF($Q110=2,1,0),IF($X110&lt;30,1,0))</formula>
    </cfRule>
    <cfRule type="expression" priority="326" dxfId="1">
      <formula>AND(IF($Q110=3,1,0),IF($X110&lt;30,1,0))</formula>
    </cfRule>
    <cfRule type="expression" priority="327" dxfId="0">
      <formula>AND(IF($Q110=3,1,IF($Q110=4,1,0)),IF($F110&lt;=85,1,0))</formula>
    </cfRule>
  </conditionalFormatting>
  <conditionalFormatting sqref="AI110">
    <cfRule type="expression" priority="320" dxfId="3">
      <formula>AND(IF(OR($Q110=1,$Q110=2),1,0),IF($X110&lt;=20,1,0))</formula>
    </cfRule>
    <cfRule type="expression" priority="321" dxfId="2">
      <formula>AND(IF($Q110=2,1,0),IF($X110&lt;30,1,0))</formula>
    </cfRule>
    <cfRule type="expression" priority="322" dxfId="1">
      <formula>AND(IF($Q110=3,1,0),IF($X110&lt;30,1,0))</formula>
    </cfRule>
    <cfRule type="expression" priority="323" dxfId="0">
      <formula>AND(IF($Q110=3,1,IF($Q110=4,1,0)),IF($F110&lt;=85,1,0))</formula>
    </cfRule>
  </conditionalFormatting>
  <conditionalFormatting sqref="AV111">
    <cfRule type="expression" priority="318" dxfId="17">
      <formula>AV111="X"</formula>
    </cfRule>
    <cfRule type="expression" priority="319" dxfId="16">
      <formula>AV111="후보"</formula>
    </cfRule>
  </conditionalFormatting>
  <conditionalFormatting sqref="AC111 N1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12">
    <cfRule type="expression" priority="313" dxfId="17">
      <formula>AV112="X"</formula>
    </cfRule>
    <cfRule type="expression" priority="314" dxfId="16">
      <formula>AV112="후보"</formula>
    </cfRule>
  </conditionalFormatting>
  <conditionalFormatting sqref="AC11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2">
    <cfRule type="expression" priority="304" dxfId="3">
      <formula>AND(IF(OR($Q112=1,$Q112=2),1,0),IF($X112&lt;=20,1,0))</formula>
    </cfRule>
    <cfRule type="expression" priority="305" dxfId="2">
      <formula>AND(IF($Q112=2,1,0),IF($X112&lt;30,1,0))</formula>
    </cfRule>
    <cfRule type="expression" priority="306" dxfId="1">
      <formula>AND(IF($Q112=3,1,0),IF($X112&lt;30,1,0))</formula>
    </cfRule>
    <cfRule type="expression" priority="307" dxfId="0">
      <formula>AND(IF($Q112=3,1,IF($Q112=4,1,0)),IF($F112&lt;=85,1,0))</formula>
    </cfRule>
  </conditionalFormatting>
  <conditionalFormatting sqref="X112">
    <cfRule type="expression" priority="300" dxfId="3">
      <formula>AND(IF(OR($Q112=1,$Q112=2),1,0),IF($X112&lt;=20,1,0))</formula>
    </cfRule>
    <cfRule type="expression" priority="301" dxfId="2">
      <formula>AND(IF($Q112=2,1,0),IF($X112&lt;30,1,0))</formula>
    </cfRule>
    <cfRule type="expression" priority="302" dxfId="1">
      <formula>AND(IF($Q112=3,1,0),IF($X112&lt;30,1,0))</formula>
    </cfRule>
    <cfRule type="expression" priority="303" dxfId="0">
      <formula>AND(IF($Q112=3,1,IF($Q112=4,1,0)),IF($F112&lt;=85,1,0))</formula>
    </cfRule>
  </conditionalFormatting>
  <conditionalFormatting sqref="AI112">
    <cfRule type="expression" priority="296" dxfId="3">
      <formula>AND(IF(OR($Q112=1,$Q112=2),1,0),IF($X112&lt;=20,1,0))</formula>
    </cfRule>
    <cfRule type="expression" priority="297" dxfId="2">
      <formula>AND(IF($Q112=2,1,0),IF($X112&lt;30,1,0))</formula>
    </cfRule>
    <cfRule type="expression" priority="298" dxfId="1">
      <formula>AND(IF($Q112=3,1,0),IF($X112&lt;30,1,0))</formula>
    </cfRule>
    <cfRule type="expression" priority="299" dxfId="0">
      <formula>AND(IF($Q112=3,1,IF($Q112=4,1,0)),IF($F112&lt;=85,1,0))</formula>
    </cfRule>
  </conditionalFormatting>
  <conditionalFormatting sqref="AV113">
    <cfRule type="expression" priority="294" dxfId="17">
      <formula>AV113="X"</formula>
    </cfRule>
    <cfRule type="expression" priority="295" dxfId="16">
      <formula>AV113="후보"</formula>
    </cfRule>
  </conditionalFormatting>
  <conditionalFormatting sqref="AC11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3">
    <cfRule type="expression" priority="285" dxfId="3">
      <formula>AND(IF(OR($Q113=1,$Q113=2),1,0),IF($X113&lt;=20,1,0))</formula>
    </cfRule>
    <cfRule type="expression" priority="286" dxfId="2">
      <formula>AND(IF($Q113=2,1,0),IF($X113&lt;30,1,0))</formula>
    </cfRule>
    <cfRule type="expression" priority="287" dxfId="1">
      <formula>AND(IF($Q113=3,1,0),IF($X113&lt;30,1,0))</formula>
    </cfRule>
    <cfRule type="expression" priority="288" dxfId="0">
      <formula>AND(IF($Q113=3,1,IF($Q113=4,1,0)),IF($F113&lt;=85,1,0))</formula>
    </cfRule>
  </conditionalFormatting>
  <conditionalFormatting sqref="X113">
    <cfRule type="expression" priority="281" dxfId="3">
      <formula>AND(IF(OR($Q113=1,$Q113=2),1,0),IF($X113&lt;=20,1,0))</formula>
    </cfRule>
    <cfRule type="expression" priority="282" dxfId="2">
      <formula>AND(IF($Q113=2,1,0),IF($X113&lt;30,1,0))</formula>
    </cfRule>
    <cfRule type="expression" priority="283" dxfId="1">
      <formula>AND(IF($Q113=3,1,0),IF($X113&lt;30,1,0))</formula>
    </cfRule>
    <cfRule type="expression" priority="284" dxfId="0">
      <formula>AND(IF($Q113=3,1,IF($Q113=4,1,0)),IF($F113&lt;=85,1,0))</formula>
    </cfRule>
  </conditionalFormatting>
  <conditionalFormatting sqref="AI113">
    <cfRule type="expression" priority="277" dxfId="3">
      <formula>AND(IF(OR($Q113=1,$Q113=2),1,0),IF($X113&lt;=20,1,0))</formula>
    </cfRule>
    <cfRule type="expression" priority="278" dxfId="2">
      <formula>AND(IF($Q113=2,1,0),IF($X113&lt;30,1,0))</formula>
    </cfRule>
    <cfRule type="expression" priority="279" dxfId="1">
      <formula>AND(IF($Q113=3,1,0),IF($X113&lt;30,1,0))</formula>
    </cfRule>
    <cfRule type="expression" priority="280" dxfId="0">
      <formula>AND(IF($Q113=3,1,IF($Q113=4,1,0)),IF($F113&lt;=85,1,0))</formula>
    </cfRule>
  </conditionalFormatting>
  <conditionalFormatting sqref="AV114">
    <cfRule type="expression" priority="275" dxfId="17">
      <formula>AV114="X"</formula>
    </cfRule>
    <cfRule type="expression" priority="276" dxfId="16">
      <formula>AV114="후보"</formula>
    </cfRule>
  </conditionalFormatting>
  <conditionalFormatting sqref="AC11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1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14">
    <cfRule type="expression" priority="266" dxfId="3">
      <formula>AND(IF(OR($Q114=1,$Q114=2),1,0),IF($X114&lt;=20,1,0))</formula>
    </cfRule>
    <cfRule type="expression" priority="267" dxfId="2">
      <formula>AND(IF($Q114=2,1,0),IF($X114&lt;30,1,0))</formula>
    </cfRule>
    <cfRule type="expression" priority="268" dxfId="1">
      <formula>AND(IF($Q114=3,1,0),IF($X114&lt;30,1,0))</formula>
    </cfRule>
    <cfRule type="expression" priority="269" dxfId="0">
      <formula>AND(IF($Q114=3,1,IF($Q114=4,1,0)),IF($F114&lt;=85,1,0))</formula>
    </cfRule>
  </conditionalFormatting>
  <conditionalFormatting sqref="X114">
    <cfRule type="expression" priority="262" dxfId="3">
      <formula>AND(IF(OR($Q114=1,$Q114=2),1,0),IF($X114&lt;=20,1,0))</formula>
    </cfRule>
    <cfRule type="expression" priority="263" dxfId="2">
      <formula>AND(IF($Q114=2,1,0),IF($X114&lt;30,1,0))</formula>
    </cfRule>
    <cfRule type="expression" priority="264" dxfId="1">
      <formula>AND(IF($Q114=3,1,0),IF($X114&lt;30,1,0))</formula>
    </cfRule>
    <cfRule type="expression" priority="265" dxfId="0">
      <formula>AND(IF($Q114=3,1,IF($Q114=4,1,0)),IF($F114&lt;=85,1,0))</formula>
    </cfRule>
  </conditionalFormatting>
  <conditionalFormatting sqref="AI114">
    <cfRule type="expression" priority="258" dxfId="3">
      <formula>AND(IF(OR($Q114=1,$Q114=2),1,0),IF($X114&lt;=20,1,0))</formula>
    </cfRule>
    <cfRule type="expression" priority="259" dxfId="2">
      <formula>AND(IF($Q114=2,1,0),IF($X114&lt;30,1,0))</formula>
    </cfRule>
    <cfRule type="expression" priority="260" dxfId="1">
      <formula>AND(IF($Q114=3,1,0),IF($X114&lt;30,1,0))</formula>
    </cfRule>
    <cfRule type="expression" priority="261" dxfId="0">
      <formula>AND(IF($Q114=3,1,IF($Q114=4,1,0)),IF($F114&lt;=85,1,0))</formula>
    </cfRule>
  </conditionalFormatting>
  <conditionalFormatting sqref="AV115">
    <cfRule type="expression" priority="256" dxfId="17">
      <formula>AV115="X"</formula>
    </cfRule>
    <cfRule type="expression" priority="257" dxfId="16">
      <formula>AV115="후보"</formula>
    </cfRule>
  </conditionalFormatting>
  <conditionalFormatting sqref="AC1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5">
    <cfRule type="expression" priority="247" dxfId="3">
      <formula>AND(IF(OR($Q115=1,$Q115=2),1,0),IF($X115&lt;=20,1,0))</formula>
    </cfRule>
    <cfRule type="expression" priority="248" dxfId="2">
      <formula>AND(IF($Q115=2,1,0),IF($X115&lt;30,1,0))</formula>
    </cfRule>
    <cfRule type="expression" priority="249" dxfId="1">
      <formula>AND(IF($Q115=3,1,0),IF($X115&lt;30,1,0))</formula>
    </cfRule>
    <cfRule type="expression" priority="250" dxfId="0">
      <formula>AND(IF($Q115=3,1,IF($Q115=4,1,0)),IF($F115&lt;=85,1,0))</formula>
    </cfRule>
  </conditionalFormatting>
  <conditionalFormatting sqref="X115">
    <cfRule type="expression" priority="243" dxfId="3">
      <formula>AND(IF(OR($Q115=1,$Q115=2),1,0),IF($X115&lt;=20,1,0))</formula>
    </cfRule>
    <cfRule type="expression" priority="244" dxfId="2">
      <formula>AND(IF($Q115=2,1,0),IF($X115&lt;30,1,0))</formula>
    </cfRule>
    <cfRule type="expression" priority="245" dxfId="1">
      <formula>AND(IF($Q115=3,1,0),IF($X115&lt;30,1,0))</formula>
    </cfRule>
    <cfRule type="expression" priority="246" dxfId="0">
      <formula>AND(IF($Q115=3,1,IF($Q115=4,1,0)),IF($F115&lt;=85,1,0))</formula>
    </cfRule>
  </conditionalFormatting>
  <conditionalFormatting sqref="AI115">
    <cfRule type="expression" priority="239" dxfId="3">
      <formula>AND(IF(OR($Q115=1,$Q115=2),1,0),IF($X115&lt;=20,1,0))</formula>
    </cfRule>
    <cfRule type="expression" priority="240" dxfId="2">
      <formula>AND(IF($Q115=2,1,0),IF($X115&lt;30,1,0))</formula>
    </cfRule>
    <cfRule type="expression" priority="241" dxfId="1">
      <formula>AND(IF($Q115=3,1,0),IF($X115&lt;30,1,0))</formula>
    </cfRule>
    <cfRule type="expression" priority="242" dxfId="0">
      <formula>AND(IF($Q115=3,1,IF($Q115=4,1,0)),IF($F115&lt;=85,1,0))</formula>
    </cfRule>
  </conditionalFormatting>
  <conditionalFormatting sqref="AV116">
    <cfRule type="expression" priority="237" dxfId="17">
      <formula>AV116="X"</formula>
    </cfRule>
    <cfRule type="expression" priority="238" dxfId="16">
      <formula>AV116="후보"</formula>
    </cfRule>
  </conditionalFormatting>
  <conditionalFormatting sqref="AC11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6">
    <cfRule type="expression" priority="228" dxfId="3">
      <formula>AND(IF(OR($Q116=1,$Q116=2),1,0),IF($X116&lt;=20,1,0))</formula>
    </cfRule>
    <cfRule type="expression" priority="229" dxfId="2">
      <formula>AND(IF($Q116=2,1,0),IF($X116&lt;30,1,0))</formula>
    </cfRule>
    <cfRule type="expression" priority="230" dxfId="1">
      <formula>AND(IF($Q116=3,1,0),IF($X116&lt;30,1,0))</formula>
    </cfRule>
    <cfRule type="expression" priority="231" dxfId="0">
      <formula>AND(IF($Q116=3,1,IF($Q116=4,1,0)),IF($F116&lt;=85,1,0))</formula>
    </cfRule>
  </conditionalFormatting>
  <conditionalFormatting sqref="X116">
    <cfRule type="expression" priority="224" dxfId="3">
      <formula>AND(IF(OR($Q116=1,$Q116=2),1,0),IF($X116&lt;=20,1,0))</formula>
    </cfRule>
    <cfRule type="expression" priority="225" dxfId="2">
      <formula>AND(IF($Q116=2,1,0),IF($X116&lt;30,1,0))</formula>
    </cfRule>
    <cfRule type="expression" priority="226" dxfId="1">
      <formula>AND(IF($Q116=3,1,0),IF($X116&lt;30,1,0))</formula>
    </cfRule>
    <cfRule type="expression" priority="227" dxfId="0">
      <formula>AND(IF($Q116=3,1,IF($Q116=4,1,0)),IF($F116&lt;=85,1,0))</formula>
    </cfRule>
  </conditionalFormatting>
  <conditionalFormatting sqref="AI116">
    <cfRule type="expression" priority="220" dxfId="3">
      <formula>AND(IF(OR($Q116=1,$Q116=2),1,0),IF($X116&lt;=20,1,0))</formula>
    </cfRule>
    <cfRule type="expression" priority="221" dxfId="2">
      <formula>AND(IF($Q116=2,1,0),IF($X116&lt;30,1,0))</formula>
    </cfRule>
    <cfRule type="expression" priority="222" dxfId="1">
      <formula>AND(IF($Q116=3,1,0),IF($X116&lt;30,1,0))</formula>
    </cfRule>
    <cfRule type="expression" priority="223" dxfId="0">
      <formula>AND(IF($Q116=3,1,IF($Q116=4,1,0)),IF($F116&lt;=85,1,0))</formula>
    </cfRule>
  </conditionalFormatting>
  <conditionalFormatting sqref="AV117">
    <cfRule type="expression" priority="218" dxfId="17">
      <formula>AV117="X"</formula>
    </cfRule>
    <cfRule type="expression" priority="219" dxfId="16">
      <formula>AV117="후보"</formula>
    </cfRule>
  </conditionalFormatting>
  <conditionalFormatting sqref="AC117 N1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18">
    <cfRule type="expression" priority="213" dxfId="17">
      <formula>AV118="X"</formula>
    </cfRule>
    <cfRule type="expression" priority="214" dxfId="16">
      <formula>AV118="후보"</formula>
    </cfRule>
  </conditionalFormatting>
  <conditionalFormatting sqref="AC11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8">
    <cfRule type="expression" priority="204" dxfId="3">
      <formula>AND(IF(OR($Q118=1,$Q118=2),1,0),IF($X118&lt;=20,1,0))</formula>
    </cfRule>
    <cfRule type="expression" priority="205" dxfId="2">
      <formula>AND(IF($Q118=2,1,0),IF($X118&lt;30,1,0))</formula>
    </cfRule>
    <cfRule type="expression" priority="206" dxfId="1">
      <formula>AND(IF($Q118=3,1,0),IF($X118&lt;30,1,0))</formula>
    </cfRule>
    <cfRule type="expression" priority="207" dxfId="0">
      <formula>AND(IF($Q118=3,1,IF($Q118=4,1,0)),IF($F118&lt;=85,1,0))</formula>
    </cfRule>
  </conditionalFormatting>
  <conditionalFormatting sqref="X118">
    <cfRule type="expression" priority="200" dxfId="3">
      <formula>AND(IF(OR($Q118=1,$Q118=2),1,0),IF($X118&lt;=20,1,0))</formula>
    </cfRule>
    <cfRule type="expression" priority="201" dxfId="2">
      <formula>AND(IF($Q118=2,1,0),IF($X118&lt;30,1,0))</formula>
    </cfRule>
    <cfRule type="expression" priority="202" dxfId="1">
      <formula>AND(IF($Q118=3,1,0),IF($X118&lt;30,1,0))</formula>
    </cfRule>
    <cfRule type="expression" priority="203" dxfId="0">
      <formula>AND(IF($Q118=3,1,IF($Q118=4,1,0)),IF($F118&lt;=85,1,0))</formula>
    </cfRule>
  </conditionalFormatting>
  <conditionalFormatting sqref="AI118">
    <cfRule type="expression" priority="196" dxfId="3">
      <formula>AND(IF(OR($Q118=1,$Q118=2),1,0),IF($X118&lt;=20,1,0))</formula>
    </cfRule>
    <cfRule type="expression" priority="197" dxfId="2">
      <formula>AND(IF($Q118=2,1,0),IF($X118&lt;30,1,0))</formula>
    </cfRule>
    <cfRule type="expression" priority="198" dxfId="1">
      <formula>AND(IF($Q118=3,1,0),IF($X118&lt;30,1,0))</formula>
    </cfRule>
    <cfRule type="expression" priority="199" dxfId="0">
      <formula>AND(IF($Q118=3,1,IF($Q118=4,1,0)),IF($F118&lt;=85,1,0))</formula>
    </cfRule>
  </conditionalFormatting>
  <conditionalFormatting sqref="AV119">
    <cfRule type="expression" priority="194" dxfId="17">
      <formula>AV119="X"</formula>
    </cfRule>
    <cfRule type="expression" priority="195" dxfId="16">
      <formula>AV119="후보"</formula>
    </cfRule>
  </conditionalFormatting>
  <conditionalFormatting sqref="AC1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9">
    <cfRule type="expression" priority="185" dxfId="3">
      <formula>AND(IF(OR($Q119=1,$Q119=2),1,0),IF($X119&lt;=20,1,0))</formula>
    </cfRule>
    <cfRule type="expression" priority="186" dxfId="2">
      <formula>AND(IF($Q119=2,1,0),IF($X119&lt;30,1,0))</formula>
    </cfRule>
    <cfRule type="expression" priority="187" dxfId="1">
      <formula>AND(IF($Q119=3,1,0),IF($X119&lt;30,1,0))</formula>
    </cfRule>
    <cfRule type="expression" priority="188" dxfId="0">
      <formula>AND(IF($Q119=3,1,IF($Q119=4,1,0)),IF($F119&lt;=85,1,0))</formula>
    </cfRule>
  </conditionalFormatting>
  <conditionalFormatting sqref="X119">
    <cfRule type="expression" priority="181" dxfId="3">
      <formula>AND(IF(OR($Q119=1,$Q119=2),1,0),IF($X119&lt;=20,1,0))</formula>
    </cfRule>
    <cfRule type="expression" priority="182" dxfId="2">
      <formula>AND(IF($Q119=2,1,0),IF($X119&lt;30,1,0))</formula>
    </cfRule>
    <cfRule type="expression" priority="183" dxfId="1">
      <formula>AND(IF($Q119=3,1,0),IF($X119&lt;30,1,0))</formula>
    </cfRule>
    <cfRule type="expression" priority="184" dxfId="0">
      <formula>AND(IF($Q119=3,1,IF($Q119=4,1,0)),IF($F119&lt;=85,1,0))</formula>
    </cfRule>
  </conditionalFormatting>
  <conditionalFormatting sqref="AI119">
    <cfRule type="expression" priority="177" dxfId="3">
      <formula>AND(IF(OR($Q119=1,$Q119=2),1,0),IF($X119&lt;=20,1,0))</formula>
    </cfRule>
    <cfRule type="expression" priority="178" dxfId="2">
      <formula>AND(IF($Q119=2,1,0),IF($X119&lt;30,1,0))</formula>
    </cfRule>
    <cfRule type="expression" priority="179" dxfId="1">
      <formula>AND(IF($Q119=3,1,0),IF($X119&lt;30,1,0))</formula>
    </cfRule>
    <cfRule type="expression" priority="180" dxfId="0">
      <formula>AND(IF($Q119=3,1,IF($Q119=4,1,0)),IF($F119&lt;=85,1,0))</formula>
    </cfRule>
  </conditionalFormatting>
  <conditionalFormatting sqref="AV120">
    <cfRule type="expression" priority="175" dxfId="17">
      <formula>AV120="X"</formula>
    </cfRule>
    <cfRule type="expression" priority="176" dxfId="16">
      <formula>AV120="후보"</formula>
    </cfRule>
  </conditionalFormatting>
  <conditionalFormatting sqref="AC12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17">
      <formula>AV121="X"</formula>
    </cfRule>
    <cfRule type="expression" priority="157" dxfId="16">
      <formula>AV121="후보"</formula>
    </cfRule>
  </conditionalFormatting>
  <conditionalFormatting sqref="AC1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17">
      <formula>AV122="X"</formula>
    </cfRule>
    <cfRule type="expression" priority="138" dxfId="16">
      <formula>AV122="후보"</formula>
    </cfRule>
  </conditionalFormatting>
  <conditionalFormatting sqref="AC1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2">
    <cfRule type="expression" priority="128" dxfId="3">
      <formula>AND(IF(OR($Q122=1,$Q122=2),1,0),IF($X122&lt;=20,1,0))</formula>
    </cfRule>
    <cfRule type="expression" priority="129" dxfId="2">
      <formula>AND(IF($Q122=2,1,0),IF($X122&lt;30,1,0))</formula>
    </cfRule>
    <cfRule type="expression" priority="130" dxfId="1">
      <formula>AND(IF($Q122=3,1,0),IF($X122&lt;30,1,0))</formula>
    </cfRule>
    <cfRule type="expression" priority="131" dxfId="0">
      <formula>AND(IF($Q122=3,1,IF($Q122=4,1,0)),IF($F122&lt;=85,1,0))</formula>
    </cfRule>
  </conditionalFormatting>
  <conditionalFormatting sqref="X122">
    <cfRule type="expression" priority="124" dxfId="3">
      <formula>AND(IF(OR($Q122=1,$Q122=2),1,0),IF($X122&lt;=20,1,0))</formula>
    </cfRule>
    <cfRule type="expression" priority="125" dxfId="2">
      <formula>AND(IF($Q122=2,1,0),IF($X122&lt;30,1,0))</formula>
    </cfRule>
    <cfRule type="expression" priority="126" dxfId="1">
      <formula>AND(IF($Q122=3,1,0),IF($X122&lt;30,1,0))</formula>
    </cfRule>
    <cfRule type="expression" priority="127" dxfId="0">
      <formula>AND(IF($Q122=3,1,IF($Q122=4,1,0)),IF($F122&lt;=85,1,0))</formula>
    </cfRule>
  </conditionalFormatting>
  <conditionalFormatting sqref="AI122">
    <cfRule type="expression" priority="120" dxfId="3">
      <formula>AND(IF(OR($Q122=1,$Q122=2),1,0),IF($X122&lt;=20,1,0))</formula>
    </cfRule>
    <cfRule type="expression" priority="121" dxfId="2">
      <formula>AND(IF($Q122=2,1,0),IF($X122&lt;30,1,0))</formula>
    </cfRule>
    <cfRule type="expression" priority="122" dxfId="1">
      <formula>AND(IF($Q122=3,1,0),IF($X122&lt;30,1,0))</formula>
    </cfRule>
    <cfRule type="expression" priority="123" dxfId="0">
      <formula>AND(IF($Q122=3,1,IF($Q122=4,1,0)),IF($F122&lt;=85,1,0))</formula>
    </cfRule>
  </conditionalFormatting>
  <conditionalFormatting sqref="AV123">
    <cfRule type="expression" priority="118" dxfId="17">
      <formula>AV123="X"</formula>
    </cfRule>
    <cfRule type="expression" priority="119" dxfId="16">
      <formula>AV123="후보"</formula>
    </cfRule>
  </conditionalFormatting>
  <conditionalFormatting sqref="AC123 N12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4">
    <cfRule type="expression" priority="113" dxfId="17">
      <formula>AV124="X"</formula>
    </cfRule>
    <cfRule type="expression" priority="114" dxfId="16">
      <formula>AV124="후보"</formula>
    </cfRule>
  </conditionalFormatting>
  <conditionalFormatting sqref="AC1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17">
      <formula>AV125="X"</formula>
    </cfRule>
    <cfRule type="expression" priority="95" dxfId="16">
      <formula>AV125="후보"</formula>
    </cfRule>
  </conditionalFormatting>
  <conditionalFormatting sqref="AC1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17">
      <formula>AV126="X"</formula>
    </cfRule>
    <cfRule type="expression" priority="76" dxfId="16">
      <formula>AV126="후보"</formula>
    </cfRule>
  </conditionalFormatting>
  <conditionalFormatting sqref="AC1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17">
      <formula>AV127="X"</formula>
    </cfRule>
    <cfRule type="expression" priority="57" dxfId="16">
      <formula>AV127="후보"</formula>
    </cfRule>
  </conditionalFormatting>
  <conditionalFormatting sqref="AC1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17">
      <formula>AV128="X"</formula>
    </cfRule>
    <cfRule type="expression" priority="38" dxfId="16">
      <formula>AV128="후보"</formula>
    </cfRule>
  </conditionalFormatting>
  <conditionalFormatting sqref="AC1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17">
      <formula>AV129="X"</formula>
    </cfRule>
    <cfRule type="expression" priority="19" dxfId="16">
      <formula>AV129="후보"</formula>
    </cfRule>
  </conditionalFormatting>
  <conditionalFormatting sqref="AC1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구월아시아드선수촌6단지</t>
        </is>
      </c>
      <c r="B6" s="16" t="inlineStr">
        <is>
          <t>'15.06.</t>
        </is>
      </c>
      <c r="C6" s="164" t="n">
        <v>602</v>
      </c>
      <c r="D6" s="161" t="n">
        <v>101.2</v>
      </c>
      <c r="E6" s="163" t="n">
        <v>31</v>
      </c>
      <c r="F6" s="161" t="n">
        <v>74.90000000000001</v>
      </c>
      <c r="G6" s="27" t="n">
        <v>23</v>
      </c>
      <c r="H6" s="164" t="n">
        <v>287</v>
      </c>
      <c r="I6" s="165" t="n">
        <v>50000</v>
      </c>
      <c r="J6" s="165" t="inlineStr">
        <is>
          <t>15</t>
        </is>
      </c>
      <c r="K6" s="165" t="n">
        <v>40000</v>
      </c>
      <c r="L6" s="165" t="inlineStr">
        <is>
          <t>18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구월아시아드선수촌6단지</t>
        </is>
      </c>
      <c r="B7" s="16" t="inlineStr">
        <is>
          <t>'15.06.</t>
        </is>
      </c>
      <c r="C7" s="164" t="n">
        <v>602</v>
      </c>
      <c r="D7" s="161" t="n">
        <v>101.6</v>
      </c>
      <c r="E7" s="163" t="n">
        <v>31</v>
      </c>
      <c r="F7" s="161" t="n">
        <v>74.90000000000001</v>
      </c>
      <c r="G7" s="27" t="n">
        <v>23</v>
      </c>
      <c r="H7" s="164" t="n">
        <v>63</v>
      </c>
      <c r="I7" s="165" t="n">
        <v>57000</v>
      </c>
      <c r="J7" s="165" t="inlineStr">
        <is>
          <t>6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101C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구월아시아드선수촌6단지</t>
        </is>
      </c>
      <c r="B8" s="16" t="inlineStr">
        <is>
          <t>'15.06.</t>
        </is>
      </c>
      <c r="C8" s="164" t="n">
        <v>602</v>
      </c>
      <c r="D8" s="161" t="n">
        <v>114.4</v>
      </c>
      <c r="E8" s="163" t="n">
        <v>35</v>
      </c>
      <c r="F8" s="161" t="n">
        <v>85</v>
      </c>
      <c r="G8" s="27" t="n">
        <v>26</v>
      </c>
      <c r="H8" s="164" t="n">
        <v>84</v>
      </c>
      <c r="I8" s="165" t="n">
        <v>62000</v>
      </c>
      <c r="J8" s="165" t="inlineStr">
        <is>
          <t>5</t>
        </is>
      </c>
      <c r="K8" s="165" t="n">
        <v>45000</v>
      </c>
      <c r="L8" s="165" t="inlineStr">
        <is>
          <t>20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구월아시아드선수촌6단지</t>
        </is>
      </c>
      <c r="B9" s="16" t="inlineStr">
        <is>
          <t>'15.06.</t>
        </is>
      </c>
      <c r="C9" s="164" t="n">
        <v>602</v>
      </c>
      <c r="D9" s="161" t="n">
        <v>114.9</v>
      </c>
      <c r="E9" s="163" t="n">
        <v>35</v>
      </c>
      <c r="F9" s="161" t="n">
        <v>85</v>
      </c>
      <c r="G9" s="27" t="n">
        <v>26</v>
      </c>
      <c r="H9" s="164" t="n">
        <v>53</v>
      </c>
      <c r="I9" s="165" t="n">
        <v>60000</v>
      </c>
      <c r="J9" s="165" t="inlineStr">
        <is>
          <t>14</t>
        </is>
      </c>
      <c r="K9" s="165" t="n">
        <v>45000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구월아시아드선수촌6단지</t>
        </is>
      </c>
      <c r="B10" s="16" t="inlineStr">
        <is>
          <t>'15.06.</t>
        </is>
      </c>
      <c r="C10" s="164" t="n">
        <v>602</v>
      </c>
      <c r="D10" s="161" t="n">
        <v>115.1</v>
      </c>
      <c r="E10" s="163" t="n">
        <v>35</v>
      </c>
      <c r="F10" s="161" t="n">
        <v>85</v>
      </c>
      <c r="G10" s="27" t="n">
        <v>26</v>
      </c>
      <c r="H10" s="164" t="n">
        <v>115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구월아시아드선수촌1단지</t>
        </is>
      </c>
      <c r="B12" s="16" t="inlineStr">
        <is>
          <t>'15.06.</t>
        </is>
      </c>
      <c r="C12" s="164" t="n">
        <v>511</v>
      </c>
      <c r="D12" s="161" t="n">
        <v>73.8</v>
      </c>
      <c r="E12" s="163" t="n">
        <v>22</v>
      </c>
      <c r="F12" s="161" t="n">
        <v>52</v>
      </c>
      <c r="G12" s="27" t="n">
        <v>16</v>
      </c>
      <c r="H12" s="164" t="n">
        <v>121</v>
      </c>
      <c r="I12" s="165" t="n">
        <v>39000</v>
      </c>
      <c r="J12" s="165" t="inlineStr">
        <is>
          <t>10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73A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구월아시아드선수촌1단지</t>
        </is>
      </c>
      <c r="B13" s="16" t="inlineStr">
        <is>
          <t>'15.06.</t>
        </is>
      </c>
      <c r="C13" s="164" t="n">
        <v>511</v>
      </c>
      <c r="D13" s="161" t="n">
        <v>73.40000000000001</v>
      </c>
      <c r="E13" s="163" t="n">
        <v>22</v>
      </c>
      <c r="F13" s="161" t="n">
        <v>51.6</v>
      </c>
      <c r="G13" s="27" t="n">
        <v>16</v>
      </c>
      <c r="H13" s="164" t="n">
        <v>50</v>
      </c>
      <c r="I13" s="165" t="n">
        <v>40000</v>
      </c>
      <c r="J13" s="165" t="inlineStr">
        <is>
          <t>8</t>
        </is>
      </c>
      <c r="K13" s="165" t="n">
        <v>34000</v>
      </c>
      <c r="L13" s="165" t="inlineStr">
        <is>
          <t>10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73B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구월아시아드선수촌1단지</t>
        </is>
      </c>
      <c r="B14" s="16" t="inlineStr">
        <is>
          <t>'15.06.</t>
        </is>
      </c>
      <c r="C14" s="164" t="n">
        <v>511</v>
      </c>
      <c r="D14" s="161" t="n">
        <v>85.40000000000001</v>
      </c>
      <c r="E14" s="163" t="n">
        <v>26</v>
      </c>
      <c r="F14" s="161" t="n">
        <v>59.6</v>
      </c>
      <c r="G14" s="27" t="n">
        <v>18</v>
      </c>
      <c r="H14" s="164" t="n">
        <v>142</v>
      </c>
      <c r="I14" s="165" t="n">
        <v>47000</v>
      </c>
      <c r="J14" s="165" t="inlineStr">
        <is>
          <t>13</t>
        </is>
      </c>
      <c r="K14" s="165" t="n">
        <v>40000</v>
      </c>
      <c r="L14" s="165" t="inlineStr">
        <is>
          <t>13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85A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구월아시아드선수촌1단지</t>
        </is>
      </c>
      <c r="B15" s="16" t="inlineStr">
        <is>
          <t>'15.06.</t>
        </is>
      </c>
      <c r="C15" s="164" t="n">
        <v>511</v>
      </c>
      <c r="D15" s="161" t="n">
        <v>85.59999999999999</v>
      </c>
      <c r="E15" s="163" t="n">
        <v>26</v>
      </c>
      <c r="F15" s="161" t="n">
        <v>60</v>
      </c>
      <c r="G15" s="27" t="n">
        <v>18</v>
      </c>
      <c r="H15" s="164" t="n">
        <v>103</v>
      </c>
      <c r="I15" s="165" t="n">
        <v>45000</v>
      </c>
      <c r="J15" s="165" t="inlineStr">
        <is>
          <t>16</t>
        </is>
      </c>
      <c r="K15" s="165" t="n">
        <v>38000</v>
      </c>
      <c r="L15" s="165" t="inlineStr">
        <is>
          <t>16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구월아시아드선수촌8단지</t>
        </is>
      </c>
      <c r="B17" s="16" t="inlineStr">
        <is>
          <t>'15.06.</t>
        </is>
      </c>
      <c r="C17" s="164" t="n">
        <v>768</v>
      </c>
      <c r="D17" s="161" t="n">
        <v>100.5</v>
      </c>
      <c r="E17" s="163" t="n">
        <v>30</v>
      </c>
      <c r="F17" s="161" t="n">
        <v>74.90000000000001</v>
      </c>
      <c r="G17" s="27" t="n">
        <v>23</v>
      </c>
      <c r="H17" s="164" t="n">
        <v>349</v>
      </c>
      <c r="I17" s="165" t="n">
        <v>58000</v>
      </c>
      <c r="J17" s="165" t="inlineStr">
        <is>
          <t>15</t>
        </is>
      </c>
      <c r="K17" s="165" t="n">
        <v>40000</v>
      </c>
      <c r="L17" s="165" t="inlineStr">
        <is>
          <t>10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100A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구월아시아드선수촌8단지</t>
        </is>
      </c>
      <c r="B18" s="16" t="inlineStr">
        <is>
          <t>'15.06.</t>
        </is>
      </c>
      <c r="C18" s="164" t="n">
        <v>768</v>
      </c>
      <c r="D18" s="161" t="n">
        <v>100.5</v>
      </c>
      <c r="E18" s="163" t="n">
        <v>30</v>
      </c>
      <c r="F18" s="161" t="n">
        <v>74.90000000000001</v>
      </c>
      <c r="G18" s="27" t="n">
        <v>23</v>
      </c>
      <c r="H18" s="164" t="n">
        <v>119</v>
      </c>
      <c r="I18" s="165" t="n">
        <v>58000</v>
      </c>
      <c r="J18" s="165" t="inlineStr">
        <is>
          <t>15</t>
        </is>
      </c>
      <c r="K18" s="165" t="n">
        <v>40000</v>
      </c>
      <c r="L18" s="165" t="inlineStr">
        <is>
          <t>10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100F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구월아시아드선수촌8단지</t>
        </is>
      </c>
      <c r="B19" s="16" t="inlineStr">
        <is>
          <t>'15.06.</t>
        </is>
      </c>
      <c r="C19" s="164" t="n">
        <v>768</v>
      </c>
      <c r="D19" s="161" t="n">
        <v>100.9</v>
      </c>
      <c r="E19" s="163" t="n">
        <v>31</v>
      </c>
      <c r="F19" s="161" t="n">
        <v>74.90000000000001</v>
      </c>
      <c r="G19" s="27" t="n">
        <v>23</v>
      </c>
      <c r="H19" s="164" t="n">
        <v>53</v>
      </c>
      <c r="I19" s="165" t="n">
        <v>51000</v>
      </c>
      <c r="J19" s="165" t="inlineStr">
        <is>
          <t>13</t>
        </is>
      </c>
      <c r="K19" s="165" t="n">
        <v>38000</v>
      </c>
      <c r="L19" s="165" t="inlineStr">
        <is>
          <t>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100C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구월아시아드선수촌8단지</t>
        </is>
      </c>
      <c r="B20" s="16" t="inlineStr">
        <is>
          <t>'15.06.</t>
        </is>
      </c>
      <c r="C20" s="164" t="n">
        <v>768</v>
      </c>
      <c r="D20" s="161" t="n">
        <v>100.3</v>
      </c>
      <c r="E20" s="163" t="n">
        <v>30</v>
      </c>
      <c r="F20" s="161" t="n">
        <v>75</v>
      </c>
      <c r="G20" s="27" t="n">
        <v>23</v>
      </c>
      <c r="H20" s="164" t="n">
        <v>19</v>
      </c>
      <c r="I20" s="165" t="n">
        <v>50000</v>
      </c>
      <c r="J20" s="165" t="inlineStr">
        <is>
          <t>9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100B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구월아시아드선수촌8단지</t>
        </is>
      </c>
      <c r="B21" s="16" t="inlineStr">
        <is>
          <t>'15.06.</t>
        </is>
      </c>
      <c r="C21" s="164" t="n">
        <v>768</v>
      </c>
      <c r="D21" s="161" t="n">
        <v>113.4</v>
      </c>
      <c r="E21" s="163" t="n">
        <v>34</v>
      </c>
      <c r="F21" s="161" t="n">
        <v>84.90000000000001</v>
      </c>
      <c r="G21" s="27" t="n">
        <v>26</v>
      </c>
      <c r="H21" s="164" t="n">
        <v>58</v>
      </c>
      <c r="I21" s="165" t="n">
        <v>60000</v>
      </c>
      <c r="J21" s="165" t="inlineStr">
        <is>
          <t>29</t>
        </is>
      </c>
      <c r="K21" s="165" t="n">
        <v>38000</v>
      </c>
      <c r="L21" s="165" t="inlineStr">
        <is>
          <t>9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113E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구월아시아드선수촌8단지</t>
        </is>
      </c>
      <c r="B22" s="16" t="inlineStr">
        <is>
          <t>'15.06.</t>
        </is>
      </c>
      <c r="C22" s="164" t="n">
        <v>768</v>
      </c>
      <c r="D22" s="161" t="n">
        <v>114.2</v>
      </c>
      <c r="E22" s="163" t="n">
        <v>35</v>
      </c>
      <c r="F22" s="161" t="n">
        <v>85</v>
      </c>
      <c r="G22" s="27" t="n">
        <v>26</v>
      </c>
      <c r="H22" s="164" t="n">
        <v>170</v>
      </c>
      <c r="I22" s="165" t="n">
        <v>54000</v>
      </c>
      <c r="J22" s="165" t="inlineStr">
        <is>
          <t>13</t>
        </is>
      </c>
      <c r="K22" s="165" t="n">
        <v>42000</v>
      </c>
      <c r="L22" s="165" t="inlineStr">
        <is>
          <t>22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구월아시아드선수촌5단지</t>
        </is>
      </c>
      <c r="B24" s="16" t="inlineStr">
        <is>
          <t>'15.06.</t>
        </is>
      </c>
      <c r="C24" s="164" t="n">
        <v>782</v>
      </c>
      <c r="D24" s="161" t="n">
        <v>99.90000000000001</v>
      </c>
      <c r="E24" s="163" t="n">
        <v>30</v>
      </c>
      <c r="F24" s="161" t="n">
        <v>74.90000000000001</v>
      </c>
      <c r="G24" s="27" t="n">
        <v>23</v>
      </c>
      <c r="H24" s="164" t="n">
        <v>116</v>
      </c>
      <c r="I24" s="165" t="n">
        <v>48000</v>
      </c>
      <c r="J24" s="165" t="inlineStr">
        <is>
          <t>5</t>
        </is>
      </c>
      <c r="K24" s="165" t="n">
        <v>40000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구월아시아드선수촌5단지</t>
        </is>
      </c>
      <c r="B25" s="16" t="inlineStr">
        <is>
          <t>'15.06.</t>
        </is>
      </c>
      <c r="C25" s="164" t="n">
        <v>782</v>
      </c>
      <c r="D25" s="161" t="n">
        <v>100.2</v>
      </c>
      <c r="E25" s="163" t="n">
        <v>30</v>
      </c>
      <c r="F25" s="161" t="n">
        <v>74.90000000000001</v>
      </c>
      <c r="G25" s="27" t="n">
        <v>23</v>
      </c>
      <c r="H25" s="164" t="n">
        <v>251</v>
      </c>
      <c r="I25" s="165" t="n">
        <v>51000</v>
      </c>
      <c r="J25" s="165" t="inlineStr">
        <is>
          <t>13</t>
        </is>
      </c>
      <c r="K25" s="165" t="n">
        <v>40000</v>
      </c>
      <c r="L25" s="165" t="inlineStr">
        <is>
          <t>13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구월아시아드선수촌5단지</t>
        </is>
      </c>
      <c r="B26" s="16" t="inlineStr">
        <is>
          <t>'15.06.</t>
        </is>
      </c>
      <c r="C26" s="164" t="n">
        <v>782</v>
      </c>
      <c r="D26" s="161" t="n">
        <v>100.2</v>
      </c>
      <c r="E26" s="163" t="n">
        <v>30</v>
      </c>
      <c r="F26" s="161" t="n">
        <v>74.90000000000001</v>
      </c>
      <c r="G26" s="27" t="n">
        <v>23</v>
      </c>
      <c r="H26" s="164" t="n">
        <v>27</v>
      </c>
      <c r="I26" s="165" t="n">
        <v>51000</v>
      </c>
      <c r="J26" s="165" t="inlineStr">
        <is>
          <t>13</t>
        </is>
      </c>
      <c r="K26" s="165" t="n">
        <v>40000</v>
      </c>
      <c r="L26" s="165" t="inlineStr">
        <is>
          <t>13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100CN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구월아시아드선수촌5단지</t>
        </is>
      </c>
      <c r="B27" s="16" t="inlineStr">
        <is>
          <t>'15.06.</t>
        </is>
      </c>
      <c r="C27" s="164" t="n">
        <v>782</v>
      </c>
      <c r="D27" s="161" t="n">
        <v>101.2</v>
      </c>
      <c r="E27" s="163" t="n">
        <v>31</v>
      </c>
      <c r="F27" s="161" t="n">
        <v>74.90000000000001</v>
      </c>
      <c r="G27" s="27" t="n">
        <v>23</v>
      </c>
      <c r="H27" s="164" t="n">
        <v>133</v>
      </c>
      <c r="I27" s="165" t="n">
        <v>55000</v>
      </c>
      <c r="J27" s="165" t="inlineStr">
        <is>
          <t>7</t>
        </is>
      </c>
      <c r="K27" s="165" t="n">
        <v>40000</v>
      </c>
      <c r="L27" s="165" t="inlineStr">
        <is>
          <t>19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101E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구월아시아드선수촌5단지</t>
        </is>
      </c>
      <c r="B28" s="16" t="inlineStr">
        <is>
          <t>'15.06.</t>
        </is>
      </c>
      <c r="C28" s="164" t="n">
        <v>782</v>
      </c>
      <c r="D28" s="161" t="n">
        <v>113.4</v>
      </c>
      <c r="E28" s="163" t="n">
        <v>34</v>
      </c>
      <c r="F28" s="161" t="n">
        <v>85</v>
      </c>
      <c r="G28" s="27" t="n">
        <v>26</v>
      </c>
      <c r="H28" s="164" t="n">
        <v>116</v>
      </c>
      <c r="I28" s="165" t="n">
        <v>55000</v>
      </c>
      <c r="J28" s="165" t="inlineStr">
        <is>
          <t>6</t>
        </is>
      </c>
      <c r="K28" s="165" t="n">
        <v>41000</v>
      </c>
      <c r="L28" s="165" t="inlineStr">
        <is>
          <t>15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구월아시아드선수촌5단지</t>
        </is>
      </c>
      <c r="B29" s="16" t="inlineStr">
        <is>
          <t>'15.06.</t>
        </is>
      </c>
      <c r="C29" s="164" t="n">
        <v>782</v>
      </c>
      <c r="D29" s="161" t="n">
        <v>113.7</v>
      </c>
      <c r="E29" s="163" t="n">
        <v>34</v>
      </c>
      <c r="F29" s="161" t="n">
        <v>84.90000000000001</v>
      </c>
      <c r="G29" s="27" t="n">
        <v>26</v>
      </c>
      <c r="H29" s="164" t="n">
        <v>112</v>
      </c>
      <c r="I29" s="165" t="n">
        <v>61000</v>
      </c>
      <c r="J29" s="165" t="inlineStr">
        <is>
          <t>8</t>
        </is>
      </c>
      <c r="K29" s="165" t="n">
        <v>41000</v>
      </c>
      <c r="L29" s="165" t="inlineStr">
        <is>
          <t>17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113D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구월아시아드선수촌5단지</t>
        </is>
      </c>
      <c r="B30" s="16" t="inlineStr">
        <is>
          <t>'15.06.</t>
        </is>
      </c>
      <c r="C30" s="164" t="n">
        <v>782</v>
      </c>
      <c r="D30" s="161" t="n">
        <v>113.7</v>
      </c>
      <c r="E30" s="163" t="n">
        <v>34</v>
      </c>
      <c r="F30" s="161" t="n">
        <v>84.90000000000001</v>
      </c>
      <c r="G30" s="27" t="n">
        <v>26</v>
      </c>
      <c r="H30" s="164" t="n">
        <v>27</v>
      </c>
      <c r="I30" s="165" t="n">
        <v>61000</v>
      </c>
      <c r="J30" s="165" t="inlineStr">
        <is>
          <t>8</t>
        </is>
      </c>
      <c r="K30" s="165" t="n">
        <v>41000</v>
      </c>
      <c r="L30" s="165" t="inlineStr">
        <is>
          <t>17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113DN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구월아시아드선수촌센트럴자이</t>
        </is>
      </c>
      <c r="B32" s="16" t="inlineStr">
        <is>
          <t>'15.06.</t>
        </is>
      </c>
      <c r="C32" s="164" t="n">
        <v>850</v>
      </c>
      <c r="D32" s="161" t="n">
        <v>112.9</v>
      </c>
      <c r="E32" s="163" t="n">
        <v>34</v>
      </c>
      <c r="F32" s="161" t="n">
        <v>84.8</v>
      </c>
      <c r="G32" s="27" t="n">
        <v>26</v>
      </c>
      <c r="H32" s="164" t="n">
        <v>55</v>
      </c>
      <c r="I32" s="165" t="n">
        <v>80000</v>
      </c>
      <c r="J32" s="165" t="inlineStr">
        <is>
          <t>28</t>
        </is>
      </c>
      <c r="K32" s="165" t="n">
        <v>49000</v>
      </c>
      <c r="L32" s="165" t="inlineStr">
        <is>
          <t>18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구월아시아드선수촌센트럴자이</t>
        </is>
      </c>
      <c r="B33" s="16" t="inlineStr">
        <is>
          <t>'15.06.</t>
        </is>
      </c>
      <c r="C33" s="164" t="n">
        <v>850</v>
      </c>
      <c r="D33" s="161" t="n">
        <v>113.2</v>
      </c>
      <c r="E33" s="163" t="n">
        <v>34</v>
      </c>
      <c r="F33" s="161" t="n">
        <v>84.90000000000001</v>
      </c>
      <c r="G33" s="27" t="n">
        <v>26</v>
      </c>
      <c r="H33" s="164" t="n">
        <v>110</v>
      </c>
      <c r="I33" s="165" t="n">
        <v>75000</v>
      </c>
      <c r="J33" s="165" t="inlineStr">
        <is>
          <t>6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구월아시아드선수촌센트럴자이</t>
        </is>
      </c>
      <c r="B34" s="16" t="inlineStr">
        <is>
          <t>'15.06.</t>
        </is>
      </c>
      <c r="C34" s="164" t="n">
        <v>850</v>
      </c>
      <c r="D34" s="161" t="n">
        <v>113.5</v>
      </c>
      <c r="E34" s="163" t="n">
        <v>34</v>
      </c>
      <c r="F34" s="161" t="n">
        <v>84.90000000000001</v>
      </c>
      <c r="G34" s="27" t="n">
        <v>26</v>
      </c>
      <c r="H34" s="164" t="n">
        <v>85</v>
      </c>
      <c r="I34" s="165" t="n">
        <v>80000</v>
      </c>
      <c r="J34" s="165" t="inlineStr">
        <is>
          <t>24</t>
        </is>
      </c>
      <c r="K34" s="165" t="n">
        <v>50000</v>
      </c>
      <c r="L34" s="165" t="inlineStr">
        <is>
          <t>고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구월아시아드선수촌센트럴자이</t>
        </is>
      </c>
      <c r="B35" s="16" t="inlineStr">
        <is>
          <t>'15.06.</t>
        </is>
      </c>
      <c r="C35" s="164" t="n">
        <v>850</v>
      </c>
      <c r="D35" s="161" t="n">
        <v>113.5</v>
      </c>
      <c r="E35" s="163" t="n">
        <v>34</v>
      </c>
      <c r="F35" s="161" t="n">
        <v>84.90000000000001</v>
      </c>
      <c r="G35" s="27" t="n">
        <v>26</v>
      </c>
      <c r="H35" s="164" t="n">
        <v>29</v>
      </c>
      <c r="I35" s="165" t="n">
        <v>80000</v>
      </c>
      <c r="J35" s="165" t="inlineStr">
        <is>
          <t>24</t>
        </is>
      </c>
      <c r="K35" s="165" t="n">
        <v>50000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113D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구월아시아드선수촌센트럴자이</t>
        </is>
      </c>
      <c r="B36" s="16" t="inlineStr">
        <is>
          <t>'15.06.</t>
        </is>
      </c>
      <c r="C36" s="164" t="n">
        <v>850</v>
      </c>
      <c r="D36" s="161" t="n">
        <v>132.3</v>
      </c>
      <c r="E36" s="163" t="n">
        <v>40</v>
      </c>
      <c r="F36" s="161" t="n">
        <v>101.9</v>
      </c>
      <c r="G36" s="27" t="n">
        <v>31</v>
      </c>
      <c r="H36" s="164" t="n">
        <v>285</v>
      </c>
      <c r="I36" s="165" t="n">
        <v>83000</v>
      </c>
      <c r="J36" s="165" t="inlineStr">
        <is>
          <t>15</t>
        </is>
      </c>
      <c r="K36" s="165" t="n">
        <v>45000</v>
      </c>
      <c r="L36" s="165" t="inlineStr">
        <is>
          <t>15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132A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구월아시아드선수촌센트럴자이</t>
        </is>
      </c>
      <c r="B37" s="16" t="inlineStr">
        <is>
          <t>'15.06.</t>
        </is>
      </c>
      <c r="C37" s="164" t="n">
        <v>850</v>
      </c>
      <c r="D37" s="161" t="n">
        <v>133.7</v>
      </c>
      <c r="E37" s="163" t="n">
        <v>40</v>
      </c>
      <c r="F37" s="161" t="n">
        <v>101.9</v>
      </c>
      <c r="G37" s="27" t="n">
        <v>31</v>
      </c>
      <c r="H37" s="164" t="n">
        <v>143</v>
      </c>
      <c r="I37" s="165" t="n">
        <v>85000</v>
      </c>
      <c r="J37" s="165" t="inlineStr">
        <is>
          <t>17</t>
        </is>
      </c>
      <c r="K37" s="165" t="n">
        <v>59000</v>
      </c>
      <c r="L37" s="165" t="inlineStr">
        <is>
          <t>6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133B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구월아시아드선수촌센트럴자이</t>
        </is>
      </c>
      <c r="B38" s="16" t="inlineStr">
        <is>
          <t>'15.06.</t>
        </is>
      </c>
      <c r="C38" s="164" t="n">
        <v>850</v>
      </c>
      <c r="D38" s="161" t="n">
        <v>133.7</v>
      </c>
      <c r="E38" s="163" t="n">
        <v>40</v>
      </c>
      <c r="F38" s="161" t="n">
        <v>102</v>
      </c>
      <c r="G38" s="27" t="n">
        <v>31</v>
      </c>
      <c r="H38" s="164" t="n">
        <v>114</v>
      </c>
      <c r="I38" s="165" t="n">
        <v>79000</v>
      </c>
      <c r="J38" s="165" t="inlineStr">
        <is>
          <t>29</t>
        </is>
      </c>
      <c r="K38" s="165" t="n">
        <v>60000</v>
      </c>
      <c r="L38" s="165" t="inlineStr">
        <is>
          <t>14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구월아시아드선수촌센트럴자이</t>
        </is>
      </c>
      <c r="B39" s="16" t="inlineStr">
        <is>
          <t>'15.06.</t>
        </is>
      </c>
      <c r="C39" s="164" t="n">
        <v>850</v>
      </c>
      <c r="D39" s="161" t="n">
        <v>133.7</v>
      </c>
      <c r="E39" s="163" t="n">
        <v>40</v>
      </c>
      <c r="F39" s="161" t="n">
        <v>102</v>
      </c>
      <c r="G39" s="27" t="n">
        <v>31</v>
      </c>
      <c r="H39" s="164" t="n">
        <v>29</v>
      </c>
      <c r="I39" s="165" t="n">
        <v>79000</v>
      </c>
      <c r="J39" s="165" t="inlineStr">
        <is>
          <t>29</t>
        </is>
      </c>
      <c r="K39" s="165" t="n">
        <v>60000</v>
      </c>
      <c r="L39" s="165" t="inlineStr">
        <is>
          <t>14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133D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구월힐스테이트3단지</t>
        </is>
      </c>
      <c r="B41" s="16" t="inlineStr">
        <is>
          <t>'07.08.</t>
        </is>
      </c>
      <c r="C41" s="164" t="n">
        <v>474</v>
      </c>
      <c r="D41" s="161" t="n">
        <v>111.7</v>
      </c>
      <c r="E41" s="163" t="n">
        <v>34</v>
      </c>
      <c r="F41" s="161" t="n">
        <v>83.90000000000001</v>
      </c>
      <c r="G41" s="27" t="n">
        <v>25</v>
      </c>
      <c r="H41" s="164" t="n">
        <v>63</v>
      </c>
      <c r="I41" s="165" t="n">
        <v>50000</v>
      </c>
      <c r="J41" s="165" t="inlineStr">
        <is>
          <t>17</t>
        </is>
      </c>
      <c r="K41" s="165" t="n">
        <v>40000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111A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구월힐스테이트3단지</t>
        </is>
      </c>
      <c r="B42" s="16" t="inlineStr">
        <is>
          <t>'07.08.</t>
        </is>
      </c>
      <c r="C42" s="164" t="n">
        <v>474</v>
      </c>
      <c r="D42" s="161" t="n">
        <v>111.7</v>
      </c>
      <c r="E42" s="163" t="n">
        <v>34</v>
      </c>
      <c r="F42" s="161" t="n">
        <v>83.90000000000001</v>
      </c>
      <c r="G42" s="27" t="n">
        <v>25</v>
      </c>
      <c r="H42" s="164" t="n">
        <v>56</v>
      </c>
      <c r="I42" s="165" t="n">
        <v>50000</v>
      </c>
      <c r="J42" s="165" t="inlineStr">
        <is>
          <t>17</t>
        </is>
      </c>
      <c r="K42" s="165" t="n">
        <v>40000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111B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구월힐스테이트3단지</t>
        </is>
      </c>
      <c r="B43" s="16" t="inlineStr">
        <is>
          <t>'07.08.</t>
        </is>
      </c>
      <c r="C43" s="164" t="n">
        <v>474</v>
      </c>
      <c r="D43" s="161" t="n">
        <v>112.1</v>
      </c>
      <c r="E43" s="163" t="n">
        <v>34</v>
      </c>
      <c r="F43" s="161" t="n">
        <v>84</v>
      </c>
      <c r="G43" s="27" t="n">
        <v>25</v>
      </c>
      <c r="H43" s="164" t="n">
        <v>131</v>
      </c>
      <c r="I43" s="165" t="n">
        <v>58000</v>
      </c>
      <c r="J43" s="165" t="inlineStr">
        <is>
          <t>고</t>
        </is>
      </c>
      <c r="K43" s="165" t="n">
        <v>36000</v>
      </c>
      <c r="L43" s="165" t="inlineStr">
        <is>
          <t>10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112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구월힐스테이트3단지</t>
        </is>
      </c>
      <c r="B44" s="16" t="inlineStr">
        <is>
          <t>'07.08.</t>
        </is>
      </c>
      <c r="C44" s="164" t="n">
        <v>474</v>
      </c>
      <c r="D44" s="161" t="n">
        <v>114.5</v>
      </c>
      <c r="E44" s="163" t="n">
        <v>35</v>
      </c>
      <c r="F44" s="161" t="n">
        <v>84.8</v>
      </c>
      <c r="G44" s="27" t="n">
        <v>26</v>
      </c>
      <c r="H44" s="164" t="n">
        <v>224</v>
      </c>
      <c r="I44" s="165" t="n">
        <v>56000</v>
      </c>
      <c r="J44" s="165" t="inlineStr">
        <is>
          <t>13</t>
        </is>
      </c>
      <c r="K44" s="165" t="n">
        <v>38000</v>
      </c>
      <c r="L44" s="165" t="inlineStr">
        <is>
          <t>13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114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신영구월지웰시티푸르지오</t>
        </is>
      </c>
      <c r="B46" s="16" t="inlineStr">
        <is>
          <t>'20.12.</t>
        </is>
      </c>
      <c r="C46" s="164" t="n">
        <v>376</v>
      </c>
      <c r="D46" s="161" t="n">
        <v>103.4</v>
      </c>
      <c r="E46" s="163" t="n">
        <v>31</v>
      </c>
      <c r="F46" s="161" t="n">
        <v>75.40000000000001</v>
      </c>
      <c r="G46" s="27" t="n">
        <v>23</v>
      </c>
      <c r="H46" s="164" t="n">
        <v>26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신영구월지웰시티푸르지오</t>
        </is>
      </c>
      <c r="B47" s="16" t="inlineStr">
        <is>
          <t>'20.12.</t>
        </is>
      </c>
      <c r="C47" s="164" t="n">
        <v>376</v>
      </c>
      <c r="D47" s="161" t="n">
        <v>116.3</v>
      </c>
      <c r="E47" s="163" t="n">
        <v>35</v>
      </c>
      <c r="F47" s="161" t="n">
        <v>84.90000000000001</v>
      </c>
      <c r="G47" s="27" t="n">
        <v>26</v>
      </c>
      <c r="H47" s="164" t="n">
        <v>76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116C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신영구월지웰시티푸르지오</t>
        </is>
      </c>
      <c r="B48" s="16" t="inlineStr">
        <is>
          <t>'20.12.</t>
        </is>
      </c>
      <c r="C48" s="164" t="n">
        <v>376</v>
      </c>
      <c r="D48" s="161" t="n">
        <v>117</v>
      </c>
      <c r="E48" s="163" t="n">
        <v>35</v>
      </c>
      <c r="F48" s="161" t="n">
        <v>84.90000000000001</v>
      </c>
      <c r="G48" s="27" t="n">
        <v>26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116D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신영구월지웰시티푸르지오</t>
        </is>
      </c>
      <c r="B49" s="16" t="inlineStr">
        <is>
          <t>'20.12.</t>
        </is>
      </c>
      <c r="C49" s="164" t="n">
        <v>376</v>
      </c>
      <c r="D49" s="161" t="n">
        <v>117.9</v>
      </c>
      <c r="E49" s="163" t="n">
        <v>36</v>
      </c>
      <c r="F49" s="161" t="n">
        <v>84.90000000000001</v>
      </c>
      <c r="G49" s="27" t="n">
        <v>26</v>
      </c>
      <c r="H49" s="164" t="n">
        <v>110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117A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신영구월지웰시티푸르지오</t>
        </is>
      </c>
      <c r="B50" s="16" t="inlineStr">
        <is>
          <t>'20.12.</t>
        </is>
      </c>
      <c r="C50" s="164" t="n">
        <v>376</v>
      </c>
      <c r="D50" s="161" t="n">
        <v>117.3</v>
      </c>
      <c r="E50" s="163" t="n">
        <v>35</v>
      </c>
      <c r="F50" s="161" t="n">
        <v>84.90000000000001</v>
      </c>
      <c r="G50" s="27" t="n">
        <v>26</v>
      </c>
      <c r="H50" s="164" t="n">
        <v>39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신영구월지웰시티푸르지오</t>
        </is>
      </c>
      <c r="B51" s="16" t="inlineStr">
        <is>
          <t>'20.12.</t>
        </is>
      </c>
      <c r="C51" s="164" t="n">
        <v>376</v>
      </c>
      <c r="D51" s="161" t="n">
        <v>131.1</v>
      </c>
      <c r="E51" s="163" t="n">
        <v>40</v>
      </c>
      <c r="F51" s="161" t="n">
        <v>96</v>
      </c>
      <c r="G51" s="27" t="n">
        <v>29</v>
      </c>
      <c r="H51" s="164" t="n">
        <v>52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구월힐스테이트,롯데캐슬골드1단지</t>
        </is>
      </c>
      <c r="B53" s="16" t="inlineStr">
        <is>
          <t>'07.08.</t>
        </is>
      </c>
      <c r="C53" s="164" t="n">
        <v>5076</v>
      </c>
      <c r="D53" s="161" t="n">
        <v>66</v>
      </c>
      <c r="E53" s="163" t="n">
        <v>20</v>
      </c>
      <c r="F53" s="161" t="n">
        <v>46.9</v>
      </c>
      <c r="G53" s="27" t="n">
        <v>14</v>
      </c>
      <c r="H53" s="164" t="n">
        <v>8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n">
        <v>65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구월힐스테이트,롯데캐슬골드1단지</t>
        </is>
      </c>
      <c r="B54" s="16" t="inlineStr">
        <is>
          <t>'07.08.</t>
        </is>
      </c>
      <c r="C54" s="164" t="n">
        <v>5076</v>
      </c>
      <c r="D54" s="161" t="n">
        <v>88</v>
      </c>
      <c r="E54" s="163" t="n">
        <v>27</v>
      </c>
      <c r="F54" s="161" t="n">
        <v>59.9</v>
      </c>
      <c r="G54" s="27" t="n">
        <v>18</v>
      </c>
      <c r="H54" s="164" t="n">
        <v>449</v>
      </c>
      <c r="I54" s="165" t="n">
        <v>47000</v>
      </c>
      <c r="J54" s="165" t="inlineStr">
        <is>
          <t>21</t>
        </is>
      </c>
      <c r="K54" s="165" t="n">
        <v>35000</v>
      </c>
      <c r="L54" s="165" t="inlineStr">
        <is>
          <t>18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n">
        <v>87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구월힐스테이트,롯데캐슬골드1단지</t>
        </is>
      </c>
      <c r="B55" s="16" t="inlineStr">
        <is>
          <t>'07.08.</t>
        </is>
      </c>
      <c r="C55" s="164" t="n">
        <v>5076</v>
      </c>
      <c r="D55" s="161" t="n">
        <v>104.6</v>
      </c>
      <c r="E55" s="163" t="n">
        <v>32</v>
      </c>
      <c r="F55" s="161" t="n">
        <v>75.3</v>
      </c>
      <c r="G55" s="27" t="n">
        <v>23</v>
      </c>
      <c r="H55" s="164" t="n">
        <v>643</v>
      </c>
      <c r="I55" s="165" t="n">
        <v>49000</v>
      </c>
      <c r="J55" s="165" t="inlineStr">
        <is>
          <t>12</t>
        </is>
      </c>
      <c r="K55" s="165" t="n">
        <v>36000</v>
      </c>
      <c r="L55" s="165" t="inlineStr">
        <is>
          <t>27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104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구월힐스테이트,롯데캐슬골드1단지</t>
        </is>
      </c>
      <c r="B56" s="16" t="inlineStr">
        <is>
          <t>'07.08.</t>
        </is>
      </c>
      <c r="C56" s="164" t="n">
        <v>5076</v>
      </c>
      <c r="D56" s="161" t="n">
        <v>111.6</v>
      </c>
      <c r="E56" s="163" t="n">
        <v>34</v>
      </c>
      <c r="F56" s="161" t="n">
        <v>84</v>
      </c>
      <c r="G56" s="27" t="n">
        <v>25</v>
      </c>
      <c r="H56" s="164" t="n">
        <v>484</v>
      </c>
      <c r="I56" s="165" t="n">
        <v>53000</v>
      </c>
      <c r="J56" s="165" t="inlineStr">
        <is>
          <t>5</t>
        </is>
      </c>
      <c r="K56" s="165" t="n">
        <v>30000</v>
      </c>
      <c r="L56" s="165" t="inlineStr">
        <is>
          <t>19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111A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구월힐스테이트,롯데캐슬골드1단지</t>
        </is>
      </c>
      <c r="B57" s="16" t="inlineStr">
        <is>
          <t>'07.08.</t>
        </is>
      </c>
      <c r="C57" s="164" t="n">
        <v>5076</v>
      </c>
      <c r="D57" s="161" t="n">
        <v>111.2</v>
      </c>
      <c r="E57" s="163" t="n">
        <v>34</v>
      </c>
      <c r="F57" s="161" t="n">
        <v>83.90000000000001</v>
      </c>
      <c r="G57" s="27" t="n">
        <v>25</v>
      </c>
      <c r="H57" s="164" t="n">
        <v>433</v>
      </c>
      <c r="I57" s="165" t="n">
        <v>50000</v>
      </c>
      <c r="J57" s="165" t="inlineStr">
        <is>
          <t>16</t>
        </is>
      </c>
      <c r="K57" s="165" t="n">
        <v>33000</v>
      </c>
      <c r="L57" s="165" t="inlineStr">
        <is>
          <t>18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111B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구월힐스테이트,롯데캐슬골드1단지</t>
        </is>
      </c>
      <c r="B58" s="16" t="inlineStr">
        <is>
          <t>'07.08.</t>
        </is>
      </c>
      <c r="C58" s="164" t="n">
        <v>5076</v>
      </c>
      <c r="D58" s="161" t="n">
        <v>111.2</v>
      </c>
      <c r="E58" s="163" t="n">
        <v>34</v>
      </c>
      <c r="F58" s="161" t="n">
        <v>83.90000000000001</v>
      </c>
      <c r="G58" s="27" t="n">
        <v>25</v>
      </c>
      <c r="H58" s="164" t="n">
        <v>68</v>
      </c>
      <c r="I58" s="165" t="n">
        <v>50000</v>
      </c>
      <c r="J58" s="165" t="inlineStr">
        <is>
          <t>16</t>
        </is>
      </c>
      <c r="K58" s="165" t="n">
        <v>33000</v>
      </c>
      <c r="L58" s="165" t="inlineStr">
        <is>
          <t>18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111E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구월힐스테이트,롯데캐슬골드1단지</t>
        </is>
      </c>
      <c r="B59" s="16" t="inlineStr">
        <is>
          <t>'07.08.</t>
        </is>
      </c>
      <c r="C59" s="164" t="n">
        <v>5076</v>
      </c>
      <c r="D59" s="161" t="n">
        <v>114.7</v>
      </c>
      <c r="E59" s="163" t="n">
        <v>35</v>
      </c>
      <c r="F59" s="161" t="n">
        <v>84.8</v>
      </c>
      <c r="G59" s="27" t="n">
        <v>26</v>
      </c>
      <c r="H59" s="164" t="n">
        <v>746</v>
      </c>
      <c r="I59" s="165" t="n">
        <v>51000</v>
      </c>
      <c r="J59" s="165" t="inlineStr">
        <is>
          <t>7</t>
        </is>
      </c>
      <c r="K59" s="165" t="n">
        <v>37000</v>
      </c>
      <c r="L59" s="165" t="inlineStr">
        <is>
          <t>22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114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구월힐스테이트,롯데캐슬골드1단지</t>
        </is>
      </c>
      <c r="B60" s="16" t="inlineStr">
        <is>
          <t>'07.08.</t>
        </is>
      </c>
      <c r="C60" s="164" t="n">
        <v>5076</v>
      </c>
      <c r="D60" s="161" t="n">
        <v>114.8</v>
      </c>
      <c r="E60" s="163" t="n">
        <v>35</v>
      </c>
      <c r="F60" s="161" t="n">
        <v>83.8</v>
      </c>
      <c r="G60" s="27" t="n">
        <v>25</v>
      </c>
      <c r="H60" s="164" t="n">
        <v>348</v>
      </c>
      <c r="I60" s="165" t="n">
        <v>52000</v>
      </c>
      <c r="J60" s="165" t="inlineStr">
        <is>
          <t>8</t>
        </is>
      </c>
      <c r="K60" s="165" t="n">
        <v>33000</v>
      </c>
      <c r="L60" s="165" t="inlineStr">
        <is>
          <t>29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114C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구월힐스테이트,롯데캐슬골드1단지</t>
        </is>
      </c>
      <c r="B61" s="16" t="inlineStr">
        <is>
          <t>'07.08.</t>
        </is>
      </c>
      <c r="C61" s="164" t="n">
        <v>5076</v>
      </c>
      <c r="D61" s="161" t="n">
        <v>114.1</v>
      </c>
      <c r="E61" s="163" t="n">
        <v>35</v>
      </c>
      <c r="F61" s="161" t="n">
        <v>83.90000000000001</v>
      </c>
      <c r="G61" s="27" t="n">
        <v>25</v>
      </c>
      <c r="H61" s="164" t="n">
        <v>348</v>
      </c>
      <c r="I61" s="165" t="n">
        <v>52000</v>
      </c>
      <c r="J61" s="165" t="inlineStr">
        <is>
          <t>32</t>
        </is>
      </c>
      <c r="K61" s="165" t="n">
        <v>30000</v>
      </c>
      <c r="L61" s="165" t="inlineStr">
        <is>
          <t>16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114D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구월힐스테이트,롯데캐슬골드1단지</t>
        </is>
      </c>
      <c r="B62" s="16" t="inlineStr">
        <is>
          <t>'07.08.</t>
        </is>
      </c>
      <c r="C62" s="164" t="n">
        <v>5076</v>
      </c>
      <c r="D62" s="161" t="n">
        <v>147.7</v>
      </c>
      <c r="E62" s="163" t="n">
        <v>45</v>
      </c>
      <c r="F62" s="161" t="n">
        <v>115.7</v>
      </c>
      <c r="G62" s="27" t="n">
        <v>35</v>
      </c>
      <c r="H62" s="164" t="n">
        <v>1093</v>
      </c>
      <c r="I62" s="165" t="n">
        <v>62000</v>
      </c>
      <c r="J62" s="165" t="inlineStr">
        <is>
          <t>9</t>
        </is>
      </c>
      <c r="K62" s="165" t="n">
        <v>40000</v>
      </c>
      <c r="L62" s="165" t="inlineStr">
        <is>
          <t>15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147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구월힐스테이트,롯데캐슬골드1단지</t>
        </is>
      </c>
      <c r="B63" s="16" t="inlineStr">
        <is>
          <t>'07.08.</t>
        </is>
      </c>
      <c r="C63" s="164" t="n">
        <v>5076</v>
      </c>
      <c r="D63" s="161" t="n">
        <v>168.1</v>
      </c>
      <c r="E63" s="163" t="n">
        <v>51</v>
      </c>
      <c r="F63" s="161" t="n">
        <v>133.8</v>
      </c>
      <c r="G63" s="27" t="n">
        <v>40</v>
      </c>
      <c r="H63" s="164" t="n">
        <v>356</v>
      </c>
      <c r="I63" s="165" t="n">
        <v>68000</v>
      </c>
      <c r="J63" s="165" t="inlineStr">
        <is>
          <t>5</t>
        </is>
      </c>
      <c r="K63" s="165" t="n">
        <v>45000</v>
      </c>
      <c r="L63" s="165" t="inlineStr">
        <is>
          <t>14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168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롯데캐슬골드2단지</t>
        </is>
      </c>
      <c r="B65" s="16" t="inlineStr">
        <is>
          <t>'07.08.</t>
        </is>
      </c>
      <c r="C65" s="164" t="n">
        <v>3384</v>
      </c>
      <c r="D65" s="161" t="n">
        <v>66</v>
      </c>
      <c r="E65" s="163" t="n">
        <v>20</v>
      </c>
      <c r="F65" s="161" t="n">
        <v>46.9</v>
      </c>
      <c r="G65" s="27" t="n">
        <v>14</v>
      </c>
      <c r="H65" s="164" t="n">
        <v>88</v>
      </c>
      <c r="I65" s="165" t="n">
        <v>39000</v>
      </c>
      <c r="J65" s="165" t="inlineStr">
        <is>
          <t>21</t>
        </is>
      </c>
      <c r="K65" s="165" t="n">
        <v>31000</v>
      </c>
      <c r="L65" s="165" t="inlineStr">
        <is>
          <t>17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n">
        <v>65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롯데캐슬골드2단지</t>
        </is>
      </c>
      <c r="B66" s="16" t="inlineStr">
        <is>
          <t>'07.08.</t>
        </is>
      </c>
      <c r="C66" s="164" t="n">
        <v>3384</v>
      </c>
      <c r="D66" s="161" t="n">
        <v>87.8</v>
      </c>
      <c r="E66" s="163" t="n">
        <v>27</v>
      </c>
      <c r="F66" s="161" t="n">
        <v>59.9</v>
      </c>
      <c r="G66" s="27" t="n">
        <v>18</v>
      </c>
      <c r="H66" s="164" t="n">
        <v>184</v>
      </c>
      <c r="I66" s="165" t="n">
        <v>48000</v>
      </c>
      <c r="J66" s="165" t="inlineStr">
        <is>
          <t>19</t>
        </is>
      </c>
      <c r="K66" s="165" t="n">
        <v>28000</v>
      </c>
      <c r="L66" s="165" t="inlineStr">
        <is>
          <t>19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87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롯데캐슬골드2단지</t>
        </is>
      </c>
      <c r="B67" s="16" t="inlineStr">
        <is>
          <t>'07.08.</t>
        </is>
      </c>
      <c r="C67" s="164" t="n">
        <v>3384</v>
      </c>
      <c r="D67" s="161" t="n">
        <v>104.4</v>
      </c>
      <c r="E67" s="163" t="n">
        <v>32</v>
      </c>
      <c r="F67" s="161" t="n">
        <v>75.3</v>
      </c>
      <c r="G67" s="27" t="n">
        <v>23</v>
      </c>
      <c r="H67" s="164" t="n">
        <v>159</v>
      </c>
      <c r="I67" s="165" t="n">
        <v>50000</v>
      </c>
      <c r="J67" s="165" t="inlineStr">
        <is>
          <t>9</t>
        </is>
      </c>
      <c r="K67" s="165" t="n">
        <v>35000</v>
      </c>
      <c r="L67" s="165" t="inlineStr">
        <is>
          <t>16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104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롯데캐슬골드2단지</t>
        </is>
      </c>
      <c r="B68" s="16" t="inlineStr">
        <is>
          <t>'07.08.</t>
        </is>
      </c>
      <c r="C68" s="164" t="n">
        <v>3384</v>
      </c>
      <c r="D68" s="161" t="n">
        <v>111.6</v>
      </c>
      <c r="E68" s="163" t="n">
        <v>34</v>
      </c>
      <c r="F68" s="161" t="n">
        <v>84</v>
      </c>
      <c r="G68" s="27" t="n">
        <v>25</v>
      </c>
      <c r="H68" s="164" t="n">
        <v>550</v>
      </c>
      <c r="I68" s="165" t="n">
        <v>52000</v>
      </c>
      <c r="J68" s="165" t="inlineStr">
        <is>
          <t>25</t>
        </is>
      </c>
      <c r="K68" s="165" t="n">
        <v>38000</v>
      </c>
      <c r="L68" s="165" t="inlineStr">
        <is>
          <t>6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롯데캐슬골드2단지</t>
        </is>
      </c>
      <c r="B69" s="16" t="inlineStr">
        <is>
          <t>'07.08.</t>
        </is>
      </c>
      <c r="C69" s="164" t="n">
        <v>3384</v>
      </c>
      <c r="D69" s="161" t="n">
        <v>111.3</v>
      </c>
      <c r="E69" s="163" t="n">
        <v>34</v>
      </c>
      <c r="F69" s="161" t="n">
        <v>83.90000000000001</v>
      </c>
      <c r="G69" s="27" t="n">
        <v>25</v>
      </c>
      <c r="H69" s="164" t="n">
        <v>450</v>
      </c>
      <c r="I69" s="165" t="n">
        <v>50000</v>
      </c>
      <c r="J69" s="165" t="inlineStr">
        <is>
          <t>23</t>
        </is>
      </c>
      <c r="K69" s="165" t="n">
        <v>31000</v>
      </c>
      <c r="L69" s="165" t="inlineStr">
        <is>
          <t>18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롯데캐슬골드2단지</t>
        </is>
      </c>
      <c r="B70" s="16" t="inlineStr">
        <is>
          <t>'07.08.</t>
        </is>
      </c>
      <c r="C70" s="164" t="n">
        <v>3384</v>
      </c>
      <c r="D70" s="161" t="n">
        <v>111.3</v>
      </c>
      <c r="E70" s="163" t="n">
        <v>34</v>
      </c>
      <c r="F70" s="161" t="n">
        <v>83.90000000000001</v>
      </c>
      <c r="G70" s="27" t="n">
        <v>25</v>
      </c>
      <c r="H70" s="164" t="n">
        <v>86</v>
      </c>
      <c r="I70" s="165" t="n">
        <v>50000</v>
      </c>
      <c r="J70" s="165" t="inlineStr">
        <is>
          <t>23</t>
        </is>
      </c>
      <c r="K70" s="165" t="n">
        <v>31000</v>
      </c>
      <c r="L70" s="165" t="inlineStr">
        <is>
          <t>18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111E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롯데캐슬골드2단지</t>
        </is>
      </c>
      <c r="B71" s="16" t="inlineStr">
        <is>
          <t>'07.08.</t>
        </is>
      </c>
      <c r="C71" s="164" t="n">
        <v>3384</v>
      </c>
      <c r="D71" s="161" t="n">
        <v>113.9</v>
      </c>
      <c r="E71" s="163" t="n">
        <v>34</v>
      </c>
      <c r="F71" s="161" t="n">
        <v>83.90000000000001</v>
      </c>
      <c r="G71" s="27" t="n">
        <v>25</v>
      </c>
      <c r="H71" s="164" t="n">
        <v>344</v>
      </c>
      <c r="I71" s="165" t="n">
        <v>53000</v>
      </c>
      <c r="J71" s="165" t="inlineStr">
        <is>
          <t>13</t>
        </is>
      </c>
      <c r="K71" s="165" t="n">
        <v>29700</v>
      </c>
      <c r="L71" s="165" t="inlineStr">
        <is>
          <t>21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113D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롯데캐슬골드2단지</t>
        </is>
      </c>
      <c r="B72" s="16" t="inlineStr">
        <is>
          <t>'07.08.</t>
        </is>
      </c>
      <c r="C72" s="164" t="n">
        <v>3384</v>
      </c>
      <c r="D72" s="161" t="n">
        <v>115</v>
      </c>
      <c r="E72" s="163" t="n">
        <v>35</v>
      </c>
      <c r="F72" s="161" t="n">
        <v>84.8</v>
      </c>
      <c r="G72" s="27" t="n">
        <v>26</v>
      </c>
      <c r="H72" s="164" t="n">
        <v>353</v>
      </c>
      <c r="I72" s="165" t="n">
        <v>60000</v>
      </c>
      <c r="J72" s="165" t="inlineStr">
        <is>
          <t>14</t>
        </is>
      </c>
      <c r="K72" s="165" t="n">
        <v>45000</v>
      </c>
      <c r="L72" s="165" t="inlineStr">
        <is>
          <t>7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114F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롯데캐슬골드2단지</t>
        </is>
      </c>
      <c r="B73" s="16" t="inlineStr">
        <is>
          <t>'07.08.</t>
        </is>
      </c>
      <c r="C73" s="164" t="n">
        <v>3384</v>
      </c>
      <c r="D73" s="161" t="n">
        <v>114.6</v>
      </c>
      <c r="E73" s="163" t="n">
        <v>35</v>
      </c>
      <c r="F73" s="161" t="n">
        <v>83.8</v>
      </c>
      <c r="G73" s="27" t="n">
        <v>25</v>
      </c>
      <c r="H73" s="164" t="n">
        <v>352</v>
      </c>
      <c r="I73" s="165" t="n">
        <v>55000</v>
      </c>
      <c r="J73" s="165" t="inlineStr">
        <is>
          <t>12</t>
        </is>
      </c>
      <c r="K73" s="165" t="n">
        <v>33000</v>
      </c>
      <c r="L73" s="165" t="inlineStr">
        <is>
          <t>14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114C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롯데캐슬골드2단지</t>
        </is>
      </c>
      <c r="B74" s="16" t="inlineStr">
        <is>
          <t>'07.08.</t>
        </is>
      </c>
      <c r="C74" s="164" t="n">
        <v>3384</v>
      </c>
      <c r="D74" s="161" t="n">
        <v>147.4</v>
      </c>
      <c r="E74" s="163" t="n">
        <v>45</v>
      </c>
      <c r="F74" s="161" t="n">
        <v>115.7</v>
      </c>
      <c r="G74" s="27" t="n">
        <v>35</v>
      </c>
      <c r="H74" s="164" t="n">
        <v>761</v>
      </c>
      <c r="I74" s="165" t="n">
        <v>63000</v>
      </c>
      <c r="J74" s="165" t="inlineStr">
        <is>
          <t>14</t>
        </is>
      </c>
      <c r="K74" s="165" t="n">
        <v>40000</v>
      </c>
      <c r="L74" s="165" t="inlineStr">
        <is>
          <t>6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n">
        <v>147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롯데캐슬골드2단지</t>
        </is>
      </c>
      <c r="B75" s="16" t="inlineStr">
        <is>
          <t>'07.08.</t>
        </is>
      </c>
      <c r="C75" s="164" t="n">
        <v>3384</v>
      </c>
      <c r="D75" s="161" t="n">
        <v>167.7</v>
      </c>
      <c r="E75" s="163" t="n">
        <v>51</v>
      </c>
      <c r="F75" s="161" t="n">
        <v>133.8</v>
      </c>
      <c r="G75" s="27" t="n">
        <v>40</v>
      </c>
      <c r="H75" s="164" t="n">
        <v>57</v>
      </c>
      <c r="I75" s="165" t="n">
        <v>90000</v>
      </c>
      <c r="J75" s="165" t="inlineStr">
        <is>
          <t>25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n">
        <v>167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구월아시아드선수촌2단지</t>
        </is>
      </c>
      <c r="B77" s="16" t="inlineStr">
        <is>
          <t>'15.06.</t>
        </is>
      </c>
      <c r="C77" s="164" t="n">
        <v>636</v>
      </c>
      <c r="D77" s="161" t="n">
        <v>73.7</v>
      </c>
      <c r="E77" s="163" t="n">
        <v>22</v>
      </c>
      <c r="F77" s="161" t="n">
        <v>51.6</v>
      </c>
      <c r="G77" s="27" t="n">
        <v>16</v>
      </c>
      <c r="H77" s="164" t="n">
        <v>154</v>
      </c>
      <c r="I77" s="165" t="n">
        <v>37000</v>
      </c>
      <c r="J77" s="165" t="inlineStr">
        <is>
          <t>고</t>
        </is>
      </c>
      <c r="K77" s="165" t="n">
        <v>30000</v>
      </c>
      <c r="L77" s="165" t="inlineStr">
        <is>
          <t>10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inlineStr">
        <is>
          <t>73B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구월아시아드선수촌2단지</t>
        </is>
      </c>
      <c r="B78" s="16" t="inlineStr">
        <is>
          <t>'15.06.</t>
        </is>
      </c>
      <c r="C78" s="164" t="n">
        <v>636</v>
      </c>
      <c r="D78" s="161" t="n">
        <v>74.3</v>
      </c>
      <c r="E78" s="163" t="n">
        <v>22</v>
      </c>
      <c r="F78" s="161" t="n">
        <v>52</v>
      </c>
      <c r="G78" s="27" t="n">
        <v>16</v>
      </c>
      <c r="H78" s="164" t="n">
        <v>112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inlineStr">
        <is>
          <t>74A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구월아시아드선수촌2단지</t>
        </is>
      </c>
      <c r="B79" s="16" t="inlineStr">
        <is>
          <t>'15.06.</t>
        </is>
      </c>
      <c r="C79" s="164" t="n">
        <v>636</v>
      </c>
      <c r="D79" s="161" t="n">
        <v>85.8</v>
      </c>
      <c r="E79" s="163" t="n">
        <v>26</v>
      </c>
      <c r="F79" s="161" t="n">
        <v>59.6</v>
      </c>
      <c r="G79" s="27" t="n">
        <v>18</v>
      </c>
      <c r="H79" s="164" t="n">
        <v>224</v>
      </c>
      <c r="I79" s="165" t="n">
        <v>48000</v>
      </c>
      <c r="J79" s="165" t="inlineStr">
        <is>
          <t>22</t>
        </is>
      </c>
      <c r="K79" s="165" t="n">
        <v>36000</v>
      </c>
      <c r="L79" s="165" t="inlineStr">
        <is>
          <t>25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85A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구월아시아드선수촌2단지</t>
        </is>
      </c>
      <c r="B80" s="16" t="inlineStr">
        <is>
          <t>'15.06.</t>
        </is>
      </c>
      <c r="C80" s="164" t="n">
        <v>636</v>
      </c>
      <c r="D80" s="161" t="n">
        <v>85.90000000000001</v>
      </c>
      <c r="E80" s="163" t="n">
        <v>26</v>
      </c>
      <c r="F80" s="161" t="n">
        <v>60</v>
      </c>
      <c r="G80" s="27" t="n">
        <v>18</v>
      </c>
      <c r="H80" s="164" t="n">
        <v>146</v>
      </c>
      <c r="I80" s="165" t="n">
        <v>48000</v>
      </c>
      <c r="J80" s="165" t="inlineStr">
        <is>
          <t>15</t>
        </is>
      </c>
      <c r="K80" s="165" t="n">
        <v>36000</v>
      </c>
      <c r="L80" s="165" t="inlineStr">
        <is>
          <t>26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85B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동아</t>
        </is>
      </c>
      <c r="B82" s="16" t="inlineStr">
        <is>
          <t>'91.10.</t>
        </is>
      </c>
      <c r="C82" s="164" t="n">
        <v>486</v>
      </c>
      <c r="D82" s="161" t="n">
        <v>97.59999999999999</v>
      </c>
      <c r="E82" s="163" t="n">
        <v>30</v>
      </c>
      <c r="F82" s="161" t="n">
        <v>85</v>
      </c>
      <c r="G82" s="27" t="n">
        <v>26</v>
      </c>
      <c r="H82" s="164" t="n">
        <v>150</v>
      </c>
      <c r="I82" s="165" t="n">
        <v>41000</v>
      </c>
      <c r="J82" s="165" t="inlineStr">
        <is>
          <t>6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97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동아</t>
        </is>
      </c>
      <c r="B83" s="16" t="inlineStr">
        <is>
          <t>'91.10.</t>
        </is>
      </c>
      <c r="C83" s="164" t="n">
        <v>486</v>
      </c>
      <c r="D83" s="161" t="n">
        <v>99.59999999999999</v>
      </c>
      <c r="E83" s="163" t="n">
        <v>30</v>
      </c>
      <c r="F83" s="161" t="n">
        <v>83.5</v>
      </c>
      <c r="G83" s="27" t="n">
        <v>25</v>
      </c>
      <c r="H83" s="164" t="n">
        <v>145</v>
      </c>
      <c r="I83" s="165" t="n">
        <v>40000</v>
      </c>
      <c r="J83" s="165" t="inlineStr">
        <is>
          <t>5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99A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동아</t>
        </is>
      </c>
      <c r="B84" s="16" t="inlineStr">
        <is>
          <t>'91.10.</t>
        </is>
      </c>
      <c r="C84" s="164" t="n">
        <v>486</v>
      </c>
      <c r="D84" s="161" t="n">
        <v>99.90000000000001</v>
      </c>
      <c r="E84" s="163" t="n">
        <v>30</v>
      </c>
      <c r="F84" s="161" t="n">
        <v>84.90000000000001</v>
      </c>
      <c r="G84" s="27" t="n">
        <v>26</v>
      </c>
      <c r="H84" s="164" t="n">
        <v>13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99B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동아</t>
        </is>
      </c>
      <c r="B85" s="16" t="inlineStr">
        <is>
          <t>'91.10.</t>
        </is>
      </c>
      <c r="C85" s="164" t="n">
        <v>486</v>
      </c>
      <c r="D85" s="161" t="n">
        <v>133.3</v>
      </c>
      <c r="E85" s="163" t="n">
        <v>40</v>
      </c>
      <c r="F85" s="161" t="n">
        <v>113.2</v>
      </c>
      <c r="G85" s="27" t="n">
        <v>34</v>
      </c>
      <c r="H85" s="164" t="n">
        <v>43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133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동아</t>
        </is>
      </c>
      <c r="B86" s="16" t="inlineStr">
        <is>
          <t>'91.10.</t>
        </is>
      </c>
      <c r="C86" s="164" t="n">
        <v>486</v>
      </c>
      <c r="D86" s="161" t="n">
        <v>151</v>
      </c>
      <c r="E86" s="163" t="n">
        <v>46</v>
      </c>
      <c r="F86" s="161" t="n">
        <v>126.7</v>
      </c>
      <c r="G86" s="27" t="n">
        <v>38</v>
      </c>
      <c r="H86" s="164" t="n">
        <v>30</v>
      </c>
      <c r="I86" s="165" t="n">
        <v>59000</v>
      </c>
      <c r="J86" s="165" t="inlineStr">
        <is>
          <t>6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151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동아</t>
        </is>
      </c>
      <c r="B87" s="16" t="inlineStr">
        <is>
          <t>'91.10.</t>
        </is>
      </c>
      <c r="C87" s="164" t="n">
        <v>486</v>
      </c>
      <c r="D87" s="161" t="n">
        <v>170.3</v>
      </c>
      <c r="E87" s="163" t="n">
        <v>52</v>
      </c>
      <c r="F87" s="161" t="n">
        <v>148.2</v>
      </c>
      <c r="G87" s="27" t="n">
        <v>45</v>
      </c>
      <c r="H87" s="164" t="n">
        <v>90</v>
      </c>
      <c r="I87" s="165" t="n">
        <v>55000</v>
      </c>
      <c r="J87" s="165" t="inlineStr">
        <is>
          <t>6</t>
        </is>
      </c>
      <c r="K87" s="165" t="n">
        <v>39000</v>
      </c>
      <c r="L87" s="165" t="inlineStr">
        <is>
          <t>6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170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동아</t>
        </is>
      </c>
      <c r="B88" s="16" t="inlineStr">
        <is>
          <t>'91.10.</t>
        </is>
      </c>
      <c r="C88" s="164" t="n">
        <v>486</v>
      </c>
      <c r="D88" s="161" t="n">
        <v>188.1</v>
      </c>
      <c r="E88" s="163" t="n">
        <v>57</v>
      </c>
      <c r="F88" s="161" t="n">
        <v>157.8</v>
      </c>
      <c r="G88" s="27" t="n">
        <v>48</v>
      </c>
      <c r="H88" s="164" t="n">
        <v>15</v>
      </c>
      <c r="I88" s="165" t="n">
        <v>89000</v>
      </c>
      <c r="J88" s="165" t="inlineStr">
        <is>
          <t>중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5</v>
      </c>
      <c r="R88" s="113" t="n">
        <v>2</v>
      </c>
      <c r="S88" s="113" t="inlineStr">
        <is>
          <t>계</t>
        </is>
      </c>
      <c r="T88" s="8" t="n">
        <v>188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구월유승한내들퍼스티지</t>
        </is>
      </c>
      <c r="B90" s="16" t="inlineStr">
        <is>
          <t>'16.12.</t>
        </is>
      </c>
      <c r="C90" s="164" t="n">
        <v>860</v>
      </c>
      <c r="D90" s="161" t="n">
        <v>98.40000000000001</v>
      </c>
      <c r="E90" s="163" t="n">
        <v>30</v>
      </c>
      <c r="F90" s="161" t="n">
        <v>74.40000000000001</v>
      </c>
      <c r="G90" s="27" t="n">
        <v>22</v>
      </c>
      <c r="H90" s="164" t="n">
        <v>86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98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구월유승한내들퍼스티지</t>
        </is>
      </c>
      <c r="B91" s="16" t="inlineStr">
        <is>
          <t>'16.12.</t>
        </is>
      </c>
      <c r="C91" s="164" t="n">
        <v>860</v>
      </c>
      <c r="D91" s="161" t="n">
        <v>110.1</v>
      </c>
      <c r="E91" s="163" t="n">
        <v>33</v>
      </c>
      <c r="F91" s="161" t="n">
        <v>84.3</v>
      </c>
      <c r="G91" s="27" t="n">
        <v>26</v>
      </c>
      <c r="H91" s="164" t="n">
        <v>401</v>
      </c>
      <c r="I91" s="165" t="n">
        <v>60000</v>
      </c>
      <c r="J91" s="165" t="inlineStr">
        <is>
          <t>7</t>
        </is>
      </c>
      <c r="K91" s="165" t="n">
        <v>42000</v>
      </c>
      <c r="L91" s="165" t="inlineStr">
        <is>
          <t>18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구월유승한내들퍼스티지</t>
        </is>
      </c>
      <c r="B92" s="16" t="inlineStr">
        <is>
          <t>'16.12.</t>
        </is>
      </c>
      <c r="C92" s="164" t="n">
        <v>860</v>
      </c>
      <c r="D92" s="161" t="n">
        <v>111.1</v>
      </c>
      <c r="E92" s="163" t="n">
        <v>34</v>
      </c>
      <c r="F92" s="161" t="n">
        <v>84.3</v>
      </c>
      <c r="G92" s="27" t="n">
        <v>25</v>
      </c>
      <c r="H92" s="164" t="n">
        <v>115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111B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구월유승한내들퍼스티지</t>
        </is>
      </c>
      <c r="B93" s="16" t="inlineStr">
        <is>
          <t>'16.12.</t>
        </is>
      </c>
      <c r="C93" s="164" t="n">
        <v>860</v>
      </c>
      <c r="D93" s="161" t="n">
        <v>119.8</v>
      </c>
      <c r="E93" s="163" t="n">
        <v>36</v>
      </c>
      <c r="F93" s="161" t="n">
        <v>94</v>
      </c>
      <c r="G93" s="27" t="n">
        <v>28</v>
      </c>
      <c r="H93" s="164" t="n">
        <v>246</v>
      </c>
      <c r="I93" s="165" t="n">
        <v>70000</v>
      </c>
      <c r="J93" s="165" t="inlineStr">
        <is>
          <t>11</t>
        </is>
      </c>
      <c r="K93" s="165" t="n">
        <v>45000</v>
      </c>
      <c r="L93" s="165" t="inlineStr">
        <is>
          <t>중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n">
        <v>119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구월유승한내들퍼스티지</t>
        </is>
      </c>
      <c r="B94" s="16" t="inlineStr">
        <is>
          <t>'16.12.</t>
        </is>
      </c>
      <c r="C94" s="164" t="n">
        <v>860</v>
      </c>
      <c r="D94" s="161" t="n">
        <v>157.4</v>
      </c>
      <c r="E94" s="163" t="n">
        <v>48</v>
      </c>
      <c r="F94" s="161" t="n">
        <v>121.8</v>
      </c>
      <c r="G94" s="27" t="n">
        <v>37</v>
      </c>
      <c r="H94" s="164" t="n">
        <v>8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3</v>
      </c>
      <c r="S94" s="113" t="inlineStr">
        <is>
          <t>계</t>
        </is>
      </c>
      <c r="T94" s="8" t="n">
        <v>157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구월유승한내들퍼스티지</t>
        </is>
      </c>
      <c r="B95" s="16" t="inlineStr">
        <is>
          <t>'16.12.</t>
        </is>
      </c>
      <c r="C95" s="164" t="n">
        <v>860</v>
      </c>
      <c r="D95" s="161" t="n">
        <v>163.6</v>
      </c>
      <c r="E95" s="163" t="n">
        <v>49</v>
      </c>
      <c r="F95" s="161" t="n">
        <v>124</v>
      </c>
      <c r="G95" s="27" t="n">
        <v>38</v>
      </c>
      <c r="H95" s="164" t="n">
        <v>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163B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구월유승한내들퍼스티지</t>
        </is>
      </c>
      <c r="B96" s="16" t="inlineStr">
        <is>
          <t>'16.12.</t>
        </is>
      </c>
      <c r="C96" s="164" t="n">
        <v>860</v>
      </c>
      <c r="D96" s="161" t="n">
        <v>164.8</v>
      </c>
      <c r="E96" s="163" t="n">
        <v>50</v>
      </c>
      <c r="F96" s="161" t="n">
        <v>124</v>
      </c>
      <c r="G96" s="27" t="n">
        <v>38</v>
      </c>
      <c r="H96" s="164" t="n">
        <v>3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164A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1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2" t="n"/>
      <c r="P97" s="162" t="n"/>
      <c r="Q97" s="163" t="n"/>
      <c r="R97" s="163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0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구월팬더</t>
        </is>
      </c>
      <c r="B98" s="16" t="inlineStr">
        <is>
          <t>'91.12.</t>
        </is>
      </c>
      <c r="C98" s="164" t="n">
        <v>946</v>
      </c>
      <c r="D98" s="161" t="n">
        <v>91.7</v>
      </c>
      <c r="E98" s="163" t="n">
        <v>28</v>
      </c>
      <c r="F98" s="161" t="n">
        <v>77.09999999999999</v>
      </c>
      <c r="G98" s="27" t="n">
        <v>23</v>
      </c>
      <c r="H98" s="164" t="n">
        <v>60</v>
      </c>
      <c r="I98" s="165" t="n">
        <v>39000</v>
      </c>
      <c r="J98" s="165" t="inlineStr">
        <is>
          <t>10</t>
        </is>
      </c>
      <c r="K98" s="165" t="n">
        <v>28000</v>
      </c>
      <c r="L98" s="165" t="inlineStr">
        <is>
          <t>10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계</t>
        </is>
      </c>
      <c r="T98" s="8" t="inlineStr">
        <is>
          <t>91A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구월팬더</t>
        </is>
      </c>
      <c r="B99" s="16" t="inlineStr">
        <is>
          <t>'91.12.</t>
        </is>
      </c>
      <c r="C99" s="164" t="n">
        <v>946</v>
      </c>
      <c r="D99" s="161" t="n">
        <v>92.90000000000001</v>
      </c>
      <c r="E99" s="163" t="n">
        <v>28</v>
      </c>
      <c r="F99" s="161" t="n">
        <v>77.8</v>
      </c>
      <c r="G99" s="27" t="n">
        <v>24</v>
      </c>
      <c r="H99" s="164" t="n">
        <v>180</v>
      </c>
      <c r="I99" s="165" t="n">
        <v>38000</v>
      </c>
      <c r="J99" s="165" t="inlineStr">
        <is>
          <t>6</t>
        </is>
      </c>
      <c r="K99" s="165" t="n">
        <v>23000</v>
      </c>
      <c r="L99" s="165" t="inlineStr">
        <is>
          <t>고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1</v>
      </c>
      <c r="S99" s="113" t="inlineStr">
        <is>
          <t>계</t>
        </is>
      </c>
      <c r="T99" s="8" t="inlineStr">
        <is>
          <t>92B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구월팬더</t>
        </is>
      </c>
      <c r="B100" s="16" t="inlineStr">
        <is>
          <t>'91.12.</t>
        </is>
      </c>
      <c r="C100" s="164" t="n">
        <v>946</v>
      </c>
      <c r="D100" s="161" t="n">
        <v>100.5</v>
      </c>
      <c r="E100" s="163" t="n">
        <v>30</v>
      </c>
      <c r="F100" s="161" t="n">
        <v>84.90000000000001</v>
      </c>
      <c r="G100" s="27" t="n">
        <v>26</v>
      </c>
      <c r="H100" s="164" t="n">
        <v>706</v>
      </c>
      <c r="I100" s="165" t="n">
        <v>39000</v>
      </c>
      <c r="J100" s="165" t="inlineStr">
        <is>
          <t>14</t>
        </is>
      </c>
      <c r="K100" s="165" t="n">
        <v>29000</v>
      </c>
      <c r="L100" s="165" t="inlineStr">
        <is>
          <t>13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신세계</t>
        </is>
      </c>
      <c r="B102" s="16" t="inlineStr">
        <is>
          <t>'80.05.</t>
        </is>
      </c>
      <c r="C102" s="164" t="n">
        <v>700</v>
      </c>
      <c r="D102" s="161" t="n">
        <v>79.09999999999999</v>
      </c>
      <c r="E102" s="163" t="n">
        <v>24</v>
      </c>
      <c r="F102" s="161" t="n">
        <v>73.59999999999999</v>
      </c>
      <c r="G102" s="27" t="n">
        <v>22</v>
      </c>
      <c r="H102" s="164" t="n">
        <v>210</v>
      </c>
      <c r="I102" s="165" t="n">
        <v>38000</v>
      </c>
      <c r="J102" s="165" t="inlineStr">
        <is>
          <t>11</t>
        </is>
      </c>
      <c r="K102" s="165" t="n">
        <v>20000</v>
      </c>
      <c r="L102" s="165" t="inlineStr">
        <is>
          <t>5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79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신세계</t>
        </is>
      </c>
      <c r="B103" s="16" t="inlineStr">
        <is>
          <t>'80.05.</t>
        </is>
      </c>
      <c r="C103" s="164" t="n">
        <v>700</v>
      </c>
      <c r="D103" s="161" t="n">
        <v>90.90000000000001</v>
      </c>
      <c r="E103" s="163" t="n">
        <v>27</v>
      </c>
      <c r="F103" s="161" t="n">
        <v>85.40000000000001</v>
      </c>
      <c r="G103" s="27" t="n">
        <v>26</v>
      </c>
      <c r="H103" s="164" t="n">
        <v>245</v>
      </c>
      <c r="I103" s="165" t="n">
        <v>40000</v>
      </c>
      <c r="J103" s="165" t="inlineStr">
        <is>
          <t>10</t>
        </is>
      </c>
      <c r="K103" s="165" t="n">
        <v>20000</v>
      </c>
      <c r="L103" s="165" t="inlineStr">
        <is>
          <t>고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inlineStr">
        <is>
          <t>90A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신세계</t>
        </is>
      </c>
      <c r="B104" s="16" t="inlineStr">
        <is>
          <t>'80.05.</t>
        </is>
      </c>
      <c r="C104" s="164" t="n">
        <v>700</v>
      </c>
      <c r="D104" s="161" t="n">
        <v>92.40000000000001</v>
      </c>
      <c r="E104" s="163" t="n">
        <v>28</v>
      </c>
      <c r="F104" s="161" t="n">
        <v>88.7</v>
      </c>
      <c r="G104" s="27" t="n">
        <v>27</v>
      </c>
      <c r="H104" s="164" t="n">
        <v>194</v>
      </c>
      <c r="I104" s="165" t="n">
        <v>39000</v>
      </c>
      <c r="J104" s="165" t="inlineStr">
        <is>
          <t>5</t>
        </is>
      </c>
      <c r="K104" s="165" t="n">
        <v>22000</v>
      </c>
      <c r="L104" s="165" t="inlineStr">
        <is>
          <t>13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1</v>
      </c>
      <c r="S104" s="113" t="inlineStr">
        <is>
          <t>복</t>
        </is>
      </c>
      <c r="T104" s="8" t="inlineStr">
        <is>
          <t>92B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신세계</t>
        </is>
      </c>
      <c r="B105" s="16" t="inlineStr">
        <is>
          <t>'80.05.</t>
        </is>
      </c>
      <c r="C105" s="164" t="n">
        <v>700</v>
      </c>
      <c r="D105" s="161" t="n">
        <v>92.40000000000001</v>
      </c>
      <c r="E105" s="163" t="n">
        <v>28</v>
      </c>
      <c r="F105" s="161" t="n">
        <v>66</v>
      </c>
      <c r="G105" s="27" t="n">
        <v>20</v>
      </c>
      <c r="H105" s="164" t="n">
        <v>10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92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신세계</t>
        </is>
      </c>
      <c r="B106" s="16" t="inlineStr">
        <is>
          <t>'80.05.</t>
        </is>
      </c>
      <c r="C106" s="164" t="n">
        <v>700</v>
      </c>
      <c r="D106" s="161" t="n">
        <v>112.3</v>
      </c>
      <c r="E106" s="163" t="n">
        <v>34</v>
      </c>
      <c r="F106" s="161" t="n">
        <v>103.6</v>
      </c>
      <c r="G106" s="27" t="n">
        <v>31</v>
      </c>
      <c r="H106" s="164" t="n">
        <v>41</v>
      </c>
      <c r="I106" s="165" t="n">
        <v>45000</v>
      </c>
      <c r="J106" s="165" t="inlineStr">
        <is>
          <t>중</t>
        </is>
      </c>
      <c r="K106" s="165" t="n">
        <v>27000</v>
      </c>
      <c r="L106" s="165" t="inlineStr">
        <is>
          <t>10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1</v>
      </c>
      <c r="S106" s="113" t="inlineStr">
        <is>
          <t>복</t>
        </is>
      </c>
      <c r="T106" s="8" t="n">
        <v>112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</sheetData>
  <mergeCells count="1">
    <mergeCell ref="AJ1:AN1"/>
  </mergeCells>
  <conditionalFormatting sqref="AV4:AV6">
    <cfRule type="expression" priority="1738" dxfId="17">
      <formula>AV4="X"</formula>
    </cfRule>
    <cfRule type="expression" priority="1739" dxfId="16">
      <formula>AV4="후보"</formula>
    </cfRule>
  </conditionalFormatting>
  <conditionalFormatting sqref="AC1:AC2 AC4:AC6 N4:N5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1:N2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N6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E6">
    <cfRule type="expression" priority="1727" dxfId="3">
      <formula>AND(IF(OR($Q6=1,$Q6=2),1,0),IF($X6&lt;=20,1,0))</formula>
    </cfRule>
    <cfRule type="expression" priority="1728" dxfId="2">
      <formula>AND(IF($Q6=2,1,0),IF($X6&lt;30,1,0))</formula>
    </cfRule>
    <cfRule type="expression" priority="1729" dxfId="1">
      <formula>AND(IF($Q6=3,1,0),IF($X6&lt;30,1,0))</formula>
    </cfRule>
    <cfRule type="expression" priority="1730" dxfId="0">
      <formula>AND(IF($Q6=3,1,IF($Q6=4,1,0)),IF($F6&lt;=85,1,0))</formula>
    </cfRule>
  </conditionalFormatting>
  <conditionalFormatting sqref="X6">
    <cfRule type="expression" priority="1723" dxfId="3">
      <formula>AND(IF(OR($Q6=1,$Q6=2),1,0),IF($X6&lt;=20,1,0))</formula>
    </cfRule>
    <cfRule type="expression" priority="1724" dxfId="2">
      <formula>AND(IF($Q6=2,1,0),IF($X6&lt;30,1,0))</formula>
    </cfRule>
    <cfRule type="expression" priority="1725" dxfId="1">
      <formula>AND(IF($Q6=3,1,0),IF($X6&lt;30,1,0))</formula>
    </cfRule>
    <cfRule type="expression" priority="1726" dxfId="0">
      <formula>AND(IF($Q6=3,1,IF($Q6=4,1,0)),IF($F6&lt;=85,1,0))</formula>
    </cfRule>
  </conditionalFormatting>
  <conditionalFormatting sqref="AI6">
    <cfRule type="expression" priority="1719" dxfId="3">
      <formula>AND(IF(OR($Q6=1,$Q6=2),1,0),IF($X6&lt;=20,1,0))</formula>
    </cfRule>
    <cfRule type="expression" priority="1720" dxfId="2">
      <formula>AND(IF($Q6=2,1,0),IF($X6&lt;30,1,0))</formula>
    </cfRule>
    <cfRule type="expression" priority="1721" dxfId="1">
      <formula>AND(IF($Q6=3,1,0),IF($X6&lt;30,1,0))</formula>
    </cfRule>
    <cfRule type="expression" priority="1722" dxfId="0">
      <formula>AND(IF($Q6=3,1,IF($Q6=4,1,0)),IF($F6&lt;=85,1,0))</formula>
    </cfRule>
  </conditionalFormatting>
  <conditionalFormatting sqref="AV7">
    <cfRule type="expression" priority="1717" dxfId="17">
      <formula>AV7="X"</formula>
    </cfRule>
    <cfRule type="expression" priority="1718" dxfId="16">
      <formula>AV7="후보"</formula>
    </cfRule>
  </conditionalFormatting>
  <conditionalFormatting sqref="AC7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N7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E7">
    <cfRule type="expression" priority="1708" dxfId="3">
      <formula>AND(IF(OR($Q7=1,$Q7=2),1,0),IF($X7&lt;=20,1,0))</formula>
    </cfRule>
    <cfRule type="expression" priority="1709" dxfId="2">
      <formula>AND(IF($Q7=2,1,0),IF($X7&lt;30,1,0))</formula>
    </cfRule>
    <cfRule type="expression" priority="1710" dxfId="1">
      <formula>AND(IF($Q7=3,1,0),IF($X7&lt;30,1,0))</formula>
    </cfRule>
    <cfRule type="expression" priority="1711" dxfId="0">
      <formula>AND(IF($Q7=3,1,IF($Q7=4,1,0)),IF($F7&lt;=85,1,0))</formula>
    </cfRule>
  </conditionalFormatting>
  <conditionalFormatting sqref="X7">
    <cfRule type="expression" priority="1704" dxfId="3">
      <formula>AND(IF(OR($Q7=1,$Q7=2),1,0),IF($X7&lt;=20,1,0))</formula>
    </cfRule>
    <cfRule type="expression" priority="1705" dxfId="2">
      <formula>AND(IF($Q7=2,1,0),IF($X7&lt;30,1,0))</formula>
    </cfRule>
    <cfRule type="expression" priority="1706" dxfId="1">
      <formula>AND(IF($Q7=3,1,0),IF($X7&lt;30,1,0))</formula>
    </cfRule>
    <cfRule type="expression" priority="1707" dxfId="0">
      <formula>AND(IF($Q7=3,1,IF($Q7=4,1,0)),IF($F7&lt;=85,1,0))</formula>
    </cfRule>
  </conditionalFormatting>
  <conditionalFormatting sqref="AI7">
    <cfRule type="expression" priority="1700" dxfId="3">
      <formula>AND(IF(OR($Q7=1,$Q7=2),1,0),IF($X7&lt;=20,1,0))</formula>
    </cfRule>
    <cfRule type="expression" priority="1701" dxfId="2">
      <formula>AND(IF($Q7=2,1,0),IF($X7&lt;30,1,0))</formula>
    </cfRule>
    <cfRule type="expression" priority="1702" dxfId="1">
      <formula>AND(IF($Q7=3,1,0),IF($X7&lt;30,1,0))</formula>
    </cfRule>
    <cfRule type="expression" priority="1703" dxfId="0">
      <formula>AND(IF($Q7=3,1,IF($Q7=4,1,0)),IF($F7&lt;=85,1,0))</formula>
    </cfRule>
  </conditionalFormatting>
  <conditionalFormatting sqref="AV8">
    <cfRule type="expression" priority="1698" dxfId="17">
      <formula>AV8="X"</formula>
    </cfRule>
    <cfRule type="expression" priority="1699" dxfId="16">
      <formula>AV8="후보"</formula>
    </cfRule>
  </conditionalFormatting>
  <conditionalFormatting sqref="AC8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N8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E8">
    <cfRule type="expression" priority="1689" dxfId="3">
      <formula>AND(IF(OR($Q8=1,$Q8=2),1,0),IF($X8&lt;=20,1,0))</formula>
    </cfRule>
    <cfRule type="expression" priority="1690" dxfId="2">
      <formula>AND(IF($Q8=2,1,0),IF($X8&lt;30,1,0))</formula>
    </cfRule>
    <cfRule type="expression" priority="1691" dxfId="1">
      <formula>AND(IF($Q8=3,1,0),IF($X8&lt;30,1,0))</formula>
    </cfRule>
    <cfRule type="expression" priority="1692" dxfId="0">
      <formula>AND(IF($Q8=3,1,IF($Q8=4,1,0)),IF($F8&lt;=85,1,0))</formula>
    </cfRule>
  </conditionalFormatting>
  <conditionalFormatting sqref="X8">
    <cfRule type="expression" priority="1685" dxfId="3">
      <formula>AND(IF(OR($Q8=1,$Q8=2),1,0),IF($X8&lt;=20,1,0))</formula>
    </cfRule>
    <cfRule type="expression" priority="1686" dxfId="2">
      <formula>AND(IF($Q8=2,1,0),IF($X8&lt;30,1,0))</formula>
    </cfRule>
    <cfRule type="expression" priority="1687" dxfId="1">
      <formula>AND(IF($Q8=3,1,0),IF($X8&lt;30,1,0))</formula>
    </cfRule>
    <cfRule type="expression" priority="1688" dxfId="0">
      <formula>AND(IF($Q8=3,1,IF($Q8=4,1,0)),IF($F8&lt;=85,1,0))</formula>
    </cfRule>
  </conditionalFormatting>
  <conditionalFormatting sqref="AI8">
    <cfRule type="expression" priority="1681" dxfId="3">
      <formula>AND(IF(OR($Q8=1,$Q8=2),1,0),IF($X8&lt;=20,1,0))</formula>
    </cfRule>
    <cfRule type="expression" priority="1682" dxfId="2">
      <formula>AND(IF($Q8=2,1,0),IF($X8&lt;30,1,0))</formula>
    </cfRule>
    <cfRule type="expression" priority="1683" dxfId="1">
      <formula>AND(IF($Q8=3,1,0),IF($X8&lt;30,1,0))</formula>
    </cfRule>
    <cfRule type="expression" priority="1684" dxfId="0">
      <formula>AND(IF($Q8=3,1,IF($Q8=4,1,0)),IF($F8&lt;=85,1,0))</formula>
    </cfRule>
  </conditionalFormatting>
  <conditionalFormatting sqref="AV9">
    <cfRule type="expression" priority="1679" dxfId="17">
      <formula>AV9="X"</formula>
    </cfRule>
    <cfRule type="expression" priority="1680" dxfId="16">
      <formula>AV9="후보"</formula>
    </cfRule>
  </conditionalFormatting>
  <conditionalFormatting sqref="AC9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N9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E9">
    <cfRule type="expression" priority="1670" dxfId="3">
      <formula>AND(IF(OR($Q9=1,$Q9=2),1,0),IF($X9&lt;=20,1,0))</formula>
    </cfRule>
    <cfRule type="expression" priority="1671" dxfId="2">
      <formula>AND(IF($Q9=2,1,0),IF($X9&lt;30,1,0))</formula>
    </cfRule>
    <cfRule type="expression" priority="1672" dxfId="1">
      <formula>AND(IF($Q9=3,1,0),IF($X9&lt;30,1,0))</formula>
    </cfRule>
    <cfRule type="expression" priority="1673" dxfId="0">
      <formula>AND(IF($Q9=3,1,IF($Q9=4,1,0)),IF($F9&lt;=85,1,0))</formula>
    </cfRule>
  </conditionalFormatting>
  <conditionalFormatting sqref="X9">
    <cfRule type="expression" priority="1666" dxfId="3">
      <formula>AND(IF(OR($Q9=1,$Q9=2),1,0),IF($X9&lt;=20,1,0))</formula>
    </cfRule>
    <cfRule type="expression" priority="1667" dxfId="2">
      <formula>AND(IF($Q9=2,1,0),IF($X9&lt;30,1,0))</formula>
    </cfRule>
    <cfRule type="expression" priority="1668" dxfId="1">
      <formula>AND(IF($Q9=3,1,0),IF($X9&lt;30,1,0))</formula>
    </cfRule>
    <cfRule type="expression" priority="1669" dxfId="0">
      <formula>AND(IF($Q9=3,1,IF($Q9=4,1,0)),IF($F9&lt;=85,1,0))</formula>
    </cfRule>
  </conditionalFormatting>
  <conditionalFormatting sqref="AI9">
    <cfRule type="expression" priority="1662" dxfId="3">
      <formula>AND(IF(OR($Q9=1,$Q9=2),1,0),IF($X9&lt;=20,1,0))</formula>
    </cfRule>
    <cfRule type="expression" priority="1663" dxfId="2">
      <formula>AND(IF($Q9=2,1,0),IF($X9&lt;30,1,0))</formula>
    </cfRule>
    <cfRule type="expression" priority="1664" dxfId="1">
      <formula>AND(IF($Q9=3,1,0),IF($X9&lt;30,1,0))</formula>
    </cfRule>
    <cfRule type="expression" priority="1665" dxfId="0">
      <formula>AND(IF($Q9=3,1,IF($Q9=4,1,0)),IF($F9&lt;=85,1,0))</formula>
    </cfRule>
  </conditionalFormatting>
  <conditionalFormatting sqref="AV10">
    <cfRule type="expression" priority="1660" dxfId="17">
      <formula>AV10="X"</formula>
    </cfRule>
    <cfRule type="expression" priority="1661" dxfId="16">
      <formula>AV10="후보"</formula>
    </cfRule>
  </conditionalFormatting>
  <conditionalFormatting sqref="AC10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N10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E10">
    <cfRule type="expression" priority="1651" dxfId="3">
      <formula>AND(IF(OR($Q10=1,$Q10=2),1,0),IF($X10&lt;=20,1,0))</formula>
    </cfRule>
    <cfRule type="expression" priority="1652" dxfId="2">
      <formula>AND(IF($Q10=2,1,0),IF($X10&lt;30,1,0))</formula>
    </cfRule>
    <cfRule type="expression" priority="1653" dxfId="1">
      <formula>AND(IF($Q10=3,1,0),IF($X10&lt;30,1,0))</formula>
    </cfRule>
    <cfRule type="expression" priority="1654" dxfId="0">
      <formula>AND(IF($Q10=3,1,IF($Q10=4,1,0)),IF($F10&lt;=85,1,0))</formula>
    </cfRule>
  </conditionalFormatting>
  <conditionalFormatting sqref="X10">
    <cfRule type="expression" priority="1647" dxfId="3">
      <formula>AND(IF(OR($Q10=1,$Q10=2),1,0),IF($X10&lt;=20,1,0))</formula>
    </cfRule>
    <cfRule type="expression" priority="1648" dxfId="2">
      <formula>AND(IF($Q10=2,1,0),IF($X10&lt;30,1,0))</formula>
    </cfRule>
    <cfRule type="expression" priority="1649" dxfId="1">
      <formula>AND(IF($Q10=3,1,0),IF($X10&lt;30,1,0))</formula>
    </cfRule>
    <cfRule type="expression" priority="1650" dxfId="0">
      <formula>AND(IF($Q10=3,1,IF($Q10=4,1,0)),IF($F10&lt;=85,1,0))</formula>
    </cfRule>
  </conditionalFormatting>
  <conditionalFormatting sqref="AI10">
    <cfRule type="expression" priority="1643" dxfId="3">
      <formula>AND(IF(OR($Q10=1,$Q10=2),1,0),IF($X10&lt;=20,1,0))</formula>
    </cfRule>
    <cfRule type="expression" priority="1644" dxfId="2">
      <formula>AND(IF($Q10=2,1,0),IF($X10&lt;30,1,0))</formula>
    </cfRule>
    <cfRule type="expression" priority="1645" dxfId="1">
      <formula>AND(IF($Q10=3,1,0),IF($X10&lt;30,1,0))</formula>
    </cfRule>
    <cfRule type="expression" priority="1646" dxfId="0">
      <formula>AND(IF($Q10=3,1,IF($Q10=4,1,0)),IF($F10&lt;=85,1,0))</formula>
    </cfRule>
  </conditionalFormatting>
  <conditionalFormatting sqref="AV11">
    <cfRule type="expression" priority="1641" dxfId="17">
      <formula>AV11="X"</formula>
    </cfRule>
    <cfRule type="expression" priority="1642" dxfId="16">
      <formula>AV11="후보"</formula>
    </cfRule>
  </conditionalFormatting>
  <conditionalFormatting sqref="AC11 N11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AV12">
    <cfRule type="expression" priority="1636" dxfId="17">
      <formula>AV12="X"</formula>
    </cfRule>
    <cfRule type="expression" priority="1637" dxfId="16">
      <formula>AV12="후보"</formula>
    </cfRule>
  </conditionalFormatting>
  <conditionalFormatting sqref="AC12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2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E12">
    <cfRule type="expression" priority="1627" dxfId="3">
      <formula>AND(IF(OR($Q12=1,$Q12=2),1,0),IF($X12&lt;=20,1,0))</formula>
    </cfRule>
    <cfRule type="expression" priority="1628" dxfId="2">
      <formula>AND(IF($Q12=2,1,0),IF($X12&lt;30,1,0))</formula>
    </cfRule>
    <cfRule type="expression" priority="1629" dxfId="1">
      <formula>AND(IF($Q12=3,1,0),IF($X12&lt;30,1,0))</formula>
    </cfRule>
    <cfRule type="expression" priority="1630" dxfId="0">
      <formula>AND(IF($Q12=3,1,IF($Q12=4,1,0)),IF($F12&lt;=85,1,0))</formula>
    </cfRule>
  </conditionalFormatting>
  <conditionalFormatting sqref="X12">
    <cfRule type="expression" priority="1623" dxfId="3">
      <formula>AND(IF(OR($Q12=1,$Q12=2),1,0),IF($X12&lt;=20,1,0))</formula>
    </cfRule>
    <cfRule type="expression" priority="1624" dxfId="2">
      <formula>AND(IF($Q12=2,1,0),IF($X12&lt;30,1,0))</formula>
    </cfRule>
    <cfRule type="expression" priority="1625" dxfId="1">
      <formula>AND(IF($Q12=3,1,0),IF($X12&lt;30,1,0))</formula>
    </cfRule>
    <cfRule type="expression" priority="1626" dxfId="0">
      <formula>AND(IF($Q12=3,1,IF($Q12=4,1,0)),IF($F12&lt;=85,1,0))</formula>
    </cfRule>
  </conditionalFormatting>
  <conditionalFormatting sqref="AI12">
    <cfRule type="expression" priority="1619" dxfId="3">
      <formula>AND(IF(OR($Q12=1,$Q12=2),1,0),IF($X12&lt;=20,1,0))</formula>
    </cfRule>
    <cfRule type="expression" priority="1620" dxfId="2">
      <formula>AND(IF($Q12=2,1,0),IF($X12&lt;30,1,0))</formula>
    </cfRule>
    <cfRule type="expression" priority="1621" dxfId="1">
      <formula>AND(IF($Q12=3,1,0),IF($X12&lt;30,1,0))</formula>
    </cfRule>
    <cfRule type="expression" priority="1622" dxfId="0">
      <formula>AND(IF($Q12=3,1,IF($Q12=4,1,0)),IF($F12&lt;=85,1,0))</formula>
    </cfRule>
  </conditionalFormatting>
  <conditionalFormatting sqref="AV13">
    <cfRule type="expression" priority="1617" dxfId="17">
      <formula>AV13="X"</formula>
    </cfRule>
    <cfRule type="expression" priority="1618" dxfId="16">
      <formula>AV13="후보"</formula>
    </cfRule>
  </conditionalFormatting>
  <conditionalFormatting sqref="AC13">
    <cfRule type="cellIs" priority="1614" operator="greaterThan" dxfId="13">
      <formula>0.9</formula>
    </cfRule>
    <cfRule type="cellIs" priority="1615" operator="greaterThan" dxfId="12">
      <formula>0.85</formula>
    </cfRule>
  </conditionalFormatting>
  <conditionalFormatting sqref="N13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E13">
    <cfRule type="expression" priority="1608" dxfId="3">
      <formula>AND(IF(OR($Q13=1,$Q13=2),1,0),IF($X13&lt;=20,1,0))</formula>
    </cfRule>
    <cfRule type="expression" priority="1609" dxfId="2">
      <formula>AND(IF($Q13=2,1,0),IF($X13&lt;30,1,0))</formula>
    </cfRule>
    <cfRule type="expression" priority="1610" dxfId="1">
      <formula>AND(IF($Q13=3,1,0),IF($X13&lt;30,1,0))</formula>
    </cfRule>
    <cfRule type="expression" priority="1611" dxfId="0">
      <formula>AND(IF($Q13=3,1,IF($Q13=4,1,0)),IF($F13&lt;=85,1,0))</formula>
    </cfRule>
  </conditionalFormatting>
  <conditionalFormatting sqref="X13">
    <cfRule type="expression" priority="1604" dxfId="3">
      <formula>AND(IF(OR($Q13=1,$Q13=2),1,0),IF($X13&lt;=20,1,0))</formula>
    </cfRule>
    <cfRule type="expression" priority="1605" dxfId="2">
      <formula>AND(IF($Q13=2,1,0),IF($X13&lt;30,1,0))</formula>
    </cfRule>
    <cfRule type="expression" priority="1606" dxfId="1">
      <formula>AND(IF($Q13=3,1,0),IF($X13&lt;30,1,0))</formula>
    </cfRule>
    <cfRule type="expression" priority="1607" dxfId="0">
      <formula>AND(IF($Q13=3,1,IF($Q13=4,1,0)),IF($F13&lt;=85,1,0))</formula>
    </cfRule>
  </conditionalFormatting>
  <conditionalFormatting sqref="AI13">
    <cfRule type="expression" priority="1600" dxfId="3">
      <formula>AND(IF(OR($Q13=1,$Q13=2),1,0),IF($X13&lt;=20,1,0))</formula>
    </cfRule>
    <cfRule type="expression" priority="1601" dxfId="2">
      <formula>AND(IF($Q13=2,1,0),IF($X13&lt;30,1,0))</formula>
    </cfRule>
    <cfRule type="expression" priority="1602" dxfId="1">
      <formula>AND(IF($Q13=3,1,0),IF($X13&lt;30,1,0))</formula>
    </cfRule>
    <cfRule type="expression" priority="1603" dxfId="0">
      <formula>AND(IF($Q13=3,1,IF($Q13=4,1,0)),IF($F13&lt;=85,1,0))</formula>
    </cfRule>
  </conditionalFormatting>
  <conditionalFormatting sqref="AV14">
    <cfRule type="expression" priority="1598" dxfId="17">
      <formula>AV14="X"</formula>
    </cfRule>
    <cfRule type="expression" priority="1599" dxfId="16">
      <formula>AV14="후보"</formula>
    </cfRule>
  </conditionalFormatting>
  <conditionalFormatting sqref="AC14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N14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E14">
    <cfRule type="expression" priority="1589" dxfId="3">
      <formula>AND(IF(OR($Q14=1,$Q14=2),1,0),IF($X14&lt;=20,1,0))</formula>
    </cfRule>
    <cfRule type="expression" priority="1590" dxfId="2">
      <formula>AND(IF($Q14=2,1,0),IF($X14&lt;30,1,0))</formula>
    </cfRule>
    <cfRule type="expression" priority="1591" dxfId="1">
      <formula>AND(IF($Q14=3,1,0),IF($X14&lt;30,1,0))</formula>
    </cfRule>
    <cfRule type="expression" priority="1592" dxfId="0">
      <formula>AND(IF($Q14=3,1,IF($Q14=4,1,0)),IF($F14&lt;=85,1,0))</formula>
    </cfRule>
  </conditionalFormatting>
  <conditionalFormatting sqref="X14">
    <cfRule type="expression" priority="1585" dxfId="3">
      <formula>AND(IF(OR($Q14=1,$Q14=2),1,0),IF($X14&lt;=20,1,0))</formula>
    </cfRule>
    <cfRule type="expression" priority="1586" dxfId="2">
      <formula>AND(IF($Q14=2,1,0),IF($X14&lt;30,1,0))</formula>
    </cfRule>
    <cfRule type="expression" priority="1587" dxfId="1">
      <formula>AND(IF($Q14=3,1,0),IF($X14&lt;30,1,0))</formula>
    </cfRule>
    <cfRule type="expression" priority="1588" dxfId="0">
      <formula>AND(IF($Q14=3,1,IF($Q14=4,1,0)),IF($F14&lt;=85,1,0))</formula>
    </cfRule>
  </conditionalFormatting>
  <conditionalFormatting sqref="AI14">
    <cfRule type="expression" priority="1581" dxfId="3">
      <formula>AND(IF(OR($Q14=1,$Q14=2),1,0),IF($X14&lt;=20,1,0))</formula>
    </cfRule>
    <cfRule type="expression" priority="1582" dxfId="2">
      <formula>AND(IF($Q14=2,1,0),IF($X14&lt;30,1,0))</formula>
    </cfRule>
    <cfRule type="expression" priority="1583" dxfId="1">
      <formula>AND(IF($Q14=3,1,0),IF($X14&lt;30,1,0))</formula>
    </cfRule>
    <cfRule type="expression" priority="1584" dxfId="0">
      <formula>AND(IF($Q14=3,1,IF($Q14=4,1,0)),IF($F14&lt;=85,1,0))</formula>
    </cfRule>
  </conditionalFormatting>
  <conditionalFormatting sqref="AV15">
    <cfRule type="expression" priority="1579" dxfId="17">
      <formula>AV15="X"</formula>
    </cfRule>
    <cfRule type="expression" priority="1580" dxfId="16">
      <formula>AV15="후보"</formula>
    </cfRule>
  </conditionalFormatting>
  <conditionalFormatting sqref="AC15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N15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E15">
    <cfRule type="expression" priority="1570" dxfId="3">
      <formula>AND(IF(OR($Q15=1,$Q15=2),1,0),IF($X15&lt;=20,1,0))</formula>
    </cfRule>
    <cfRule type="expression" priority="1571" dxfId="2">
      <formula>AND(IF($Q15=2,1,0),IF($X15&lt;30,1,0))</formula>
    </cfRule>
    <cfRule type="expression" priority="1572" dxfId="1">
      <formula>AND(IF($Q15=3,1,0),IF($X15&lt;30,1,0))</formula>
    </cfRule>
    <cfRule type="expression" priority="1573" dxfId="0">
      <formula>AND(IF($Q15=3,1,IF($Q15=4,1,0)),IF($F15&lt;=85,1,0))</formula>
    </cfRule>
  </conditionalFormatting>
  <conditionalFormatting sqref="X15">
    <cfRule type="expression" priority="1566" dxfId="3">
      <formula>AND(IF(OR($Q15=1,$Q15=2),1,0),IF($X15&lt;=20,1,0))</formula>
    </cfRule>
    <cfRule type="expression" priority="1567" dxfId="2">
      <formula>AND(IF($Q15=2,1,0),IF($X15&lt;30,1,0))</formula>
    </cfRule>
    <cfRule type="expression" priority="1568" dxfId="1">
      <formula>AND(IF($Q15=3,1,0),IF($X15&lt;30,1,0))</formula>
    </cfRule>
    <cfRule type="expression" priority="1569" dxfId="0">
      <formula>AND(IF($Q15=3,1,IF($Q15=4,1,0)),IF($F15&lt;=85,1,0))</formula>
    </cfRule>
  </conditionalFormatting>
  <conditionalFormatting sqref="AI15">
    <cfRule type="expression" priority="1562" dxfId="3">
      <formula>AND(IF(OR($Q15=1,$Q15=2),1,0),IF($X15&lt;=20,1,0))</formula>
    </cfRule>
    <cfRule type="expression" priority="1563" dxfId="2">
      <formula>AND(IF($Q15=2,1,0),IF($X15&lt;30,1,0))</formula>
    </cfRule>
    <cfRule type="expression" priority="1564" dxfId="1">
      <formula>AND(IF($Q15=3,1,0),IF($X15&lt;30,1,0))</formula>
    </cfRule>
    <cfRule type="expression" priority="1565" dxfId="0">
      <formula>AND(IF($Q15=3,1,IF($Q15=4,1,0)),IF($F15&lt;=85,1,0))</formula>
    </cfRule>
  </conditionalFormatting>
  <conditionalFormatting sqref="AV16">
    <cfRule type="expression" priority="1560" dxfId="17">
      <formula>AV16="X"</formula>
    </cfRule>
    <cfRule type="expression" priority="1561" dxfId="16">
      <formula>AV16="후보"</formula>
    </cfRule>
  </conditionalFormatting>
  <conditionalFormatting sqref="AC16 N16">
    <cfRule type="cellIs" priority="1557" operator="greaterThan" dxfId="13">
      <formula>0.9</formula>
    </cfRule>
    <cfRule type="cellIs" priority="1558" operator="greaterThan" dxfId="12">
      <formula>0.85</formula>
    </cfRule>
  </conditionalFormatting>
  <conditionalFormatting sqref="AV17">
    <cfRule type="expression" priority="1555" dxfId="17">
      <formula>AV17="X"</formula>
    </cfRule>
    <cfRule type="expression" priority="1556" dxfId="16">
      <formula>AV17="후보"</formula>
    </cfRule>
  </conditionalFormatting>
  <conditionalFormatting sqref="AC17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E17">
    <cfRule type="expression" priority="1546" dxfId="3">
      <formula>AND(IF(OR($Q17=1,$Q17=2),1,0),IF($X17&lt;=20,1,0))</formula>
    </cfRule>
    <cfRule type="expression" priority="1547" dxfId="2">
      <formula>AND(IF($Q17=2,1,0),IF($X17&lt;30,1,0))</formula>
    </cfRule>
    <cfRule type="expression" priority="1548" dxfId="1">
      <formula>AND(IF($Q17=3,1,0),IF($X17&lt;30,1,0))</formula>
    </cfRule>
    <cfRule type="expression" priority="1549" dxfId="0">
      <formula>AND(IF($Q17=3,1,IF($Q17=4,1,0)),IF($F17&lt;=85,1,0))</formula>
    </cfRule>
  </conditionalFormatting>
  <conditionalFormatting sqref="X17">
    <cfRule type="expression" priority="1542" dxfId="3">
      <formula>AND(IF(OR($Q17=1,$Q17=2),1,0),IF($X17&lt;=20,1,0))</formula>
    </cfRule>
    <cfRule type="expression" priority="1543" dxfId="2">
      <formula>AND(IF($Q17=2,1,0),IF($X17&lt;30,1,0))</formula>
    </cfRule>
    <cfRule type="expression" priority="1544" dxfId="1">
      <formula>AND(IF($Q17=3,1,0),IF($X17&lt;30,1,0))</formula>
    </cfRule>
    <cfRule type="expression" priority="1545" dxfId="0">
      <formula>AND(IF($Q17=3,1,IF($Q17=4,1,0)),IF($F17&lt;=85,1,0))</formula>
    </cfRule>
  </conditionalFormatting>
  <conditionalFormatting sqref="AI17">
    <cfRule type="expression" priority="1538" dxfId="3">
      <formula>AND(IF(OR($Q17=1,$Q17=2),1,0),IF($X17&lt;=20,1,0))</formula>
    </cfRule>
    <cfRule type="expression" priority="1539" dxfId="2">
      <formula>AND(IF($Q17=2,1,0),IF($X17&lt;30,1,0))</formula>
    </cfRule>
    <cfRule type="expression" priority="1540" dxfId="1">
      <formula>AND(IF($Q17=3,1,0),IF($X17&lt;30,1,0))</formula>
    </cfRule>
    <cfRule type="expression" priority="1541" dxfId="0">
      <formula>AND(IF($Q17=3,1,IF($Q17=4,1,0)),IF($F17&lt;=85,1,0))</formula>
    </cfRule>
  </conditionalFormatting>
  <conditionalFormatting sqref="AV18">
    <cfRule type="expression" priority="1536" dxfId="17">
      <formula>AV18="X"</formula>
    </cfRule>
    <cfRule type="expression" priority="1537" dxfId="16">
      <formula>AV18="후보"</formula>
    </cfRule>
  </conditionalFormatting>
  <conditionalFormatting sqref="AC18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18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18">
    <cfRule type="expression" priority="1527" dxfId="3">
      <formula>AND(IF(OR($Q18=1,$Q18=2),1,0),IF($X18&lt;=20,1,0))</formula>
    </cfRule>
    <cfRule type="expression" priority="1528" dxfId="2">
      <formula>AND(IF($Q18=2,1,0),IF($X18&lt;30,1,0))</formula>
    </cfRule>
    <cfRule type="expression" priority="1529" dxfId="1">
      <formula>AND(IF($Q18=3,1,0),IF($X18&lt;30,1,0))</formula>
    </cfRule>
    <cfRule type="expression" priority="1530" dxfId="0">
      <formula>AND(IF($Q18=3,1,IF($Q18=4,1,0)),IF($F18&lt;=85,1,0))</formula>
    </cfRule>
  </conditionalFormatting>
  <conditionalFormatting sqref="X18">
    <cfRule type="expression" priority="1523" dxfId="3">
      <formula>AND(IF(OR($Q18=1,$Q18=2),1,0),IF($X18&lt;=20,1,0))</formula>
    </cfRule>
    <cfRule type="expression" priority="1524" dxfId="2">
      <formula>AND(IF($Q18=2,1,0),IF($X18&lt;30,1,0))</formula>
    </cfRule>
    <cfRule type="expression" priority="1525" dxfId="1">
      <formula>AND(IF($Q18=3,1,0),IF($X18&lt;30,1,0))</formula>
    </cfRule>
    <cfRule type="expression" priority="1526" dxfId="0">
      <formula>AND(IF($Q18=3,1,IF($Q18=4,1,0)),IF($F18&lt;=85,1,0))</formula>
    </cfRule>
  </conditionalFormatting>
  <conditionalFormatting sqref="AI18">
    <cfRule type="expression" priority="1519" dxfId="3">
      <formula>AND(IF(OR($Q18=1,$Q18=2),1,0),IF($X18&lt;=20,1,0))</formula>
    </cfRule>
    <cfRule type="expression" priority="1520" dxfId="2">
      <formula>AND(IF($Q18=2,1,0),IF($X18&lt;30,1,0))</formula>
    </cfRule>
    <cfRule type="expression" priority="1521" dxfId="1">
      <formula>AND(IF($Q18=3,1,0),IF($X18&lt;30,1,0))</formula>
    </cfRule>
    <cfRule type="expression" priority="1522" dxfId="0">
      <formula>AND(IF($Q18=3,1,IF($Q18=4,1,0)),IF($F18&lt;=85,1,0))</formula>
    </cfRule>
  </conditionalFormatting>
  <conditionalFormatting sqref="AV19">
    <cfRule type="expression" priority="1517" dxfId="17">
      <formula>AV19="X"</formula>
    </cfRule>
    <cfRule type="expression" priority="1518" dxfId="16">
      <formula>AV19="후보"</formula>
    </cfRule>
  </conditionalFormatting>
  <conditionalFormatting sqref="AC19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N19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E19">
    <cfRule type="expression" priority="1508" dxfId="3">
      <formula>AND(IF(OR($Q19=1,$Q19=2),1,0),IF($X19&lt;=20,1,0))</formula>
    </cfRule>
    <cfRule type="expression" priority="1509" dxfId="2">
      <formula>AND(IF($Q19=2,1,0),IF($X19&lt;30,1,0))</formula>
    </cfRule>
    <cfRule type="expression" priority="1510" dxfId="1">
      <formula>AND(IF($Q19=3,1,0),IF($X19&lt;30,1,0))</formula>
    </cfRule>
    <cfRule type="expression" priority="1511" dxfId="0">
      <formula>AND(IF($Q19=3,1,IF($Q19=4,1,0)),IF($F19&lt;=85,1,0))</formula>
    </cfRule>
  </conditionalFormatting>
  <conditionalFormatting sqref="X19">
    <cfRule type="expression" priority="1504" dxfId="3">
      <formula>AND(IF(OR($Q19=1,$Q19=2),1,0),IF($X19&lt;=20,1,0))</formula>
    </cfRule>
    <cfRule type="expression" priority="1505" dxfId="2">
      <formula>AND(IF($Q19=2,1,0),IF($X19&lt;30,1,0))</formula>
    </cfRule>
    <cfRule type="expression" priority="1506" dxfId="1">
      <formula>AND(IF($Q19=3,1,0),IF($X19&lt;30,1,0))</formula>
    </cfRule>
    <cfRule type="expression" priority="1507" dxfId="0">
      <formula>AND(IF($Q19=3,1,IF($Q19=4,1,0)),IF($F19&lt;=85,1,0))</formula>
    </cfRule>
  </conditionalFormatting>
  <conditionalFormatting sqref="AI19">
    <cfRule type="expression" priority="1500" dxfId="3">
      <formula>AND(IF(OR($Q19=1,$Q19=2),1,0),IF($X19&lt;=20,1,0))</formula>
    </cfRule>
    <cfRule type="expression" priority="1501" dxfId="2">
      <formula>AND(IF($Q19=2,1,0),IF($X19&lt;30,1,0))</formula>
    </cfRule>
    <cfRule type="expression" priority="1502" dxfId="1">
      <formula>AND(IF($Q19=3,1,0),IF($X19&lt;30,1,0))</formula>
    </cfRule>
    <cfRule type="expression" priority="1503" dxfId="0">
      <formula>AND(IF($Q19=3,1,IF($Q19=4,1,0)),IF($F19&lt;=85,1,0))</formula>
    </cfRule>
  </conditionalFormatting>
  <conditionalFormatting sqref="AV20">
    <cfRule type="expression" priority="1498" dxfId="17">
      <formula>AV20="X"</formula>
    </cfRule>
    <cfRule type="expression" priority="1499" dxfId="16">
      <formula>AV20="후보"</formula>
    </cfRule>
  </conditionalFormatting>
  <conditionalFormatting sqref="AC20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N20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E20">
    <cfRule type="expression" priority="1489" dxfId="3">
      <formula>AND(IF(OR($Q20=1,$Q20=2),1,0),IF($X20&lt;=20,1,0))</formula>
    </cfRule>
    <cfRule type="expression" priority="1490" dxfId="2">
      <formula>AND(IF($Q20=2,1,0),IF($X20&lt;30,1,0))</formula>
    </cfRule>
    <cfRule type="expression" priority="1491" dxfId="1">
      <formula>AND(IF($Q20=3,1,0),IF($X20&lt;30,1,0))</formula>
    </cfRule>
    <cfRule type="expression" priority="1492" dxfId="0">
      <formula>AND(IF($Q20=3,1,IF($Q20=4,1,0)),IF($F20&lt;=85,1,0))</formula>
    </cfRule>
  </conditionalFormatting>
  <conditionalFormatting sqref="X20">
    <cfRule type="expression" priority="1485" dxfId="3">
      <formula>AND(IF(OR($Q20=1,$Q20=2),1,0),IF($X20&lt;=20,1,0))</formula>
    </cfRule>
    <cfRule type="expression" priority="1486" dxfId="2">
      <formula>AND(IF($Q20=2,1,0),IF($X20&lt;30,1,0))</formula>
    </cfRule>
    <cfRule type="expression" priority="1487" dxfId="1">
      <formula>AND(IF($Q20=3,1,0),IF($X20&lt;30,1,0))</formula>
    </cfRule>
    <cfRule type="expression" priority="1488" dxfId="0">
      <formula>AND(IF($Q20=3,1,IF($Q20=4,1,0)),IF($F20&lt;=85,1,0))</formula>
    </cfRule>
  </conditionalFormatting>
  <conditionalFormatting sqref="AI20">
    <cfRule type="expression" priority="1481" dxfId="3">
      <formula>AND(IF(OR($Q20=1,$Q20=2),1,0),IF($X20&lt;=20,1,0))</formula>
    </cfRule>
    <cfRule type="expression" priority="1482" dxfId="2">
      <formula>AND(IF($Q20=2,1,0),IF($X20&lt;30,1,0))</formula>
    </cfRule>
    <cfRule type="expression" priority="1483" dxfId="1">
      <formula>AND(IF($Q20=3,1,0),IF($X20&lt;30,1,0))</formula>
    </cfRule>
    <cfRule type="expression" priority="1484" dxfId="0">
      <formula>AND(IF($Q20=3,1,IF($Q20=4,1,0)),IF($F20&lt;=85,1,0))</formula>
    </cfRule>
  </conditionalFormatting>
  <conditionalFormatting sqref="AV21">
    <cfRule type="expression" priority="1479" dxfId="17">
      <formula>AV21="X"</formula>
    </cfRule>
    <cfRule type="expression" priority="1480" dxfId="16">
      <formula>AV21="후보"</formula>
    </cfRule>
  </conditionalFormatting>
  <conditionalFormatting sqref="AC21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N21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E21">
    <cfRule type="expression" priority="1470" dxfId="3">
      <formula>AND(IF(OR($Q21=1,$Q21=2),1,0),IF($X21&lt;=20,1,0))</formula>
    </cfRule>
    <cfRule type="expression" priority="1471" dxfId="2">
      <formula>AND(IF($Q21=2,1,0),IF($X21&lt;30,1,0))</formula>
    </cfRule>
    <cfRule type="expression" priority="1472" dxfId="1">
      <formula>AND(IF($Q21=3,1,0),IF($X21&lt;30,1,0))</formula>
    </cfRule>
    <cfRule type="expression" priority="1473" dxfId="0">
      <formula>AND(IF($Q21=3,1,IF($Q21=4,1,0)),IF($F21&lt;=85,1,0))</formula>
    </cfRule>
  </conditionalFormatting>
  <conditionalFormatting sqref="X21">
    <cfRule type="expression" priority="1466" dxfId="3">
      <formula>AND(IF(OR($Q21=1,$Q21=2),1,0),IF($X21&lt;=20,1,0))</formula>
    </cfRule>
    <cfRule type="expression" priority="1467" dxfId="2">
      <formula>AND(IF($Q21=2,1,0),IF($X21&lt;30,1,0))</formula>
    </cfRule>
    <cfRule type="expression" priority="1468" dxfId="1">
      <formula>AND(IF($Q21=3,1,0),IF($X21&lt;30,1,0))</formula>
    </cfRule>
    <cfRule type="expression" priority="1469" dxfId="0">
      <formula>AND(IF($Q21=3,1,IF($Q21=4,1,0)),IF($F21&lt;=85,1,0))</formula>
    </cfRule>
  </conditionalFormatting>
  <conditionalFormatting sqref="AI21">
    <cfRule type="expression" priority="1462" dxfId="3">
      <formula>AND(IF(OR($Q21=1,$Q21=2),1,0),IF($X21&lt;=20,1,0))</formula>
    </cfRule>
    <cfRule type="expression" priority="1463" dxfId="2">
      <formula>AND(IF($Q21=2,1,0),IF($X21&lt;30,1,0))</formula>
    </cfRule>
    <cfRule type="expression" priority="1464" dxfId="1">
      <formula>AND(IF($Q21=3,1,0),IF($X21&lt;30,1,0))</formula>
    </cfRule>
    <cfRule type="expression" priority="1465" dxfId="0">
      <formula>AND(IF($Q21=3,1,IF($Q21=4,1,0)),IF($F21&lt;=85,1,0))</formula>
    </cfRule>
  </conditionalFormatting>
  <conditionalFormatting sqref="AV22">
    <cfRule type="expression" priority="1460" dxfId="17">
      <formula>AV22="X"</formula>
    </cfRule>
    <cfRule type="expression" priority="1461" dxfId="16">
      <formula>AV22="후보"</formula>
    </cfRule>
  </conditionalFormatting>
  <conditionalFormatting sqref="AC22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2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22">
    <cfRule type="expression" priority="1451" dxfId="3">
      <formula>AND(IF(OR($Q22=1,$Q22=2),1,0),IF($X22&lt;=20,1,0))</formula>
    </cfRule>
    <cfRule type="expression" priority="1452" dxfId="2">
      <formula>AND(IF($Q22=2,1,0),IF($X22&lt;30,1,0))</formula>
    </cfRule>
    <cfRule type="expression" priority="1453" dxfId="1">
      <formula>AND(IF($Q22=3,1,0),IF($X22&lt;30,1,0))</formula>
    </cfRule>
    <cfRule type="expression" priority="1454" dxfId="0">
      <formula>AND(IF($Q22=3,1,IF($Q22=4,1,0)),IF($F22&lt;=85,1,0))</formula>
    </cfRule>
  </conditionalFormatting>
  <conditionalFormatting sqref="X22">
    <cfRule type="expression" priority="1447" dxfId="3">
      <formula>AND(IF(OR($Q22=1,$Q22=2),1,0),IF($X22&lt;=20,1,0))</formula>
    </cfRule>
    <cfRule type="expression" priority="1448" dxfId="2">
      <formula>AND(IF($Q22=2,1,0),IF($X22&lt;30,1,0))</formula>
    </cfRule>
    <cfRule type="expression" priority="1449" dxfId="1">
      <formula>AND(IF($Q22=3,1,0),IF($X22&lt;30,1,0))</formula>
    </cfRule>
    <cfRule type="expression" priority="1450" dxfId="0">
      <formula>AND(IF($Q22=3,1,IF($Q22=4,1,0)),IF($F22&lt;=85,1,0))</formula>
    </cfRule>
  </conditionalFormatting>
  <conditionalFormatting sqref="AI22">
    <cfRule type="expression" priority="1443" dxfId="3">
      <formula>AND(IF(OR($Q22=1,$Q22=2),1,0),IF($X22&lt;=20,1,0))</formula>
    </cfRule>
    <cfRule type="expression" priority="1444" dxfId="2">
      <formula>AND(IF($Q22=2,1,0),IF($X22&lt;30,1,0))</formula>
    </cfRule>
    <cfRule type="expression" priority="1445" dxfId="1">
      <formula>AND(IF($Q22=3,1,0),IF($X22&lt;30,1,0))</formula>
    </cfRule>
    <cfRule type="expression" priority="1446" dxfId="0">
      <formula>AND(IF($Q22=3,1,IF($Q22=4,1,0)),IF($F22&lt;=85,1,0))</formula>
    </cfRule>
  </conditionalFormatting>
  <conditionalFormatting sqref="AV23">
    <cfRule type="expression" priority="1441" dxfId="17">
      <formula>AV23="X"</formula>
    </cfRule>
    <cfRule type="expression" priority="1442" dxfId="16">
      <formula>AV23="후보"</formula>
    </cfRule>
  </conditionalFormatting>
  <conditionalFormatting sqref="AC23 N23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AV24">
    <cfRule type="expression" priority="1436" dxfId="17">
      <formula>AV24="X"</formula>
    </cfRule>
    <cfRule type="expression" priority="1437" dxfId="16">
      <formula>AV24="후보"</formula>
    </cfRule>
  </conditionalFormatting>
  <conditionalFormatting sqref="AC24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2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24">
    <cfRule type="expression" priority="1427" dxfId="3">
      <formula>AND(IF(OR($Q24=1,$Q24=2),1,0),IF($X24&lt;=20,1,0))</formula>
    </cfRule>
    <cfRule type="expression" priority="1428" dxfId="2">
      <formula>AND(IF($Q24=2,1,0),IF($X24&lt;30,1,0))</formula>
    </cfRule>
    <cfRule type="expression" priority="1429" dxfId="1">
      <formula>AND(IF($Q24=3,1,0),IF($X24&lt;30,1,0))</formula>
    </cfRule>
    <cfRule type="expression" priority="1430" dxfId="0">
      <formula>AND(IF($Q24=3,1,IF($Q24=4,1,0)),IF($F24&lt;=85,1,0))</formula>
    </cfRule>
  </conditionalFormatting>
  <conditionalFormatting sqref="X24">
    <cfRule type="expression" priority="1423" dxfId="3">
      <formula>AND(IF(OR($Q24=1,$Q24=2),1,0),IF($X24&lt;=20,1,0))</formula>
    </cfRule>
    <cfRule type="expression" priority="1424" dxfId="2">
      <formula>AND(IF($Q24=2,1,0),IF($X24&lt;30,1,0))</formula>
    </cfRule>
    <cfRule type="expression" priority="1425" dxfId="1">
      <formula>AND(IF($Q24=3,1,0),IF($X24&lt;30,1,0))</formula>
    </cfRule>
    <cfRule type="expression" priority="1426" dxfId="0">
      <formula>AND(IF($Q24=3,1,IF($Q24=4,1,0)),IF($F24&lt;=85,1,0))</formula>
    </cfRule>
  </conditionalFormatting>
  <conditionalFormatting sqref="AI24">
    <cfRule type="expression" priority="1419" dxfId="3">
      <formula>AND(IF(OR($Q24=1,$Q24=2),1,0),IF($X24&lt;=20,1,0))</formula>
    </cfRule>
    <cfRule type="expression" priority="1420" dxfId="2">
      <formula>AND(IF($Q24=2,1,0),IF($X24&lt;30,1,0))</formula>
    </cfRule>
    <cfRule type="expression" priority="1421" dxfId="1">
      <formula>AND(IF($Q24=3,1,0),IF($X24&lt;30,1,0))</formula>
    </cfRule>
    <cfRule type="expression" priority="1422" dxfId="0">
      <formula>AND(IF($Q24=3,1,IF($Q24=4,1,0)),IF($F24&lt;=85,1,0))</formula>
    </cfRule>
  </conditionalFormatting>
  <conditionalFormatting sqref="AV25">
    <cfRule type="expression" priority="1417" dxfId="17">
      <formula>AV25="X"</formula>
    </cfRule>
    <cfRule type="expression" priority="1418" dxfId="16">
      <formula>AV25="후보"</formula>
    </cfRule>
  </conditionalFormatting>
  <conditionalFormatting sqref="AC25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2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25">
    <cfRule type="expression" priority="1408" dxfId="3">
      <formula>AND(IF(OR($Q25=1,$Q25=2),1,0),IF($X25&lt;=20,1,0))</formula>
    </cfRule>
    <cfRule type="expression" priority="1409" dxfId="2">
      <formula>AND(IF($Q25=2,1,0),IF($X25&lt;30,1,0))</formula>
    </cfRule>
    <cfRule type="expression" priority="1410" dxfId="1">
      <formula>AND(IF($Q25=3,1,0),IF($X25&lt;30,1,0))</formula>
    </cfRule>
    <cfRule type="expression" priority="1411" dxfId="0">
      <formula>AND(IF($Q25=3,1,IF($Q25=4,1,0)),IF($F25&lt;=85,1,0))</formula>
    </cfRule>
  </conditionalFormatting>
  <conditionalFormatting sqref="X25">
    <cfRule type="expression" priority="1404" dxfId="3">
      <formula>AND(IF(OR($Q25=1,$Q25=2),1,0),IF($X25&lt;=20,1,0))</formula>
    </cfRule>
    <cfRule type="expression" priority="1405" dxfId="2">
      <formula>AND(IF($Q25=2,1,0),IF($X25&lt;30,1,0))</formula>
    </cfRule>
    <cfRule type="expression" priority="1406" dxfId="1">
      <formula>AND(IF($Q25=3,1,0),IF($X25&lt;30,1,0))</formula>
    </cfRule>
    <cfRule type="expression" priority="1407" dxfId="0">
      <formula>AND(IF($Q25=3,1,IF($Q25=4,1,0)),IF($F25&lt;=85,1,0))</formula>
    </cfRule>
  </conditionalFormatting>
  <conditionalFormatting sqref="AI25">
    <cfRule type="expression" priority="1400" dxfId="3">
      <formula>AND(IF(OR($Q25=1,$Q25=2),1,0),IF($X25&lt;=20,1,0))</formula>
    </cfRule>
    <cfRule type="expression" priority="1401" dxfId="2">
      <formula>AND(IF($Q25=2,1,0),IF($X25&lt;30,1,0))</formula>
    </cfRule>
    <cfRule type="expression" priority="1402" dxfId="1">
      <formula>AND(IF($Q25=3,1,0),IF($X25&lt;30,1,0))</formula>
    </cfRule>
    <cfRule type="expression" priority="1403" dxfId="0">
      <formula>AND(IF($Q25=3,1,IF($Q25=4,1,0)),IF($F25&lt;=85,1,0))</formula>
    </cfRule>
  </conditionalFormatting>
  <conditionalFormatting sqref="AV26">
    <cfRule type="expression" priority="1398" dxfId="17">
      <formula>AV26="X"</formula>
    </cfRule>
    <cfRule type="expression" priority="1399" dxfId="16">
      <formula>AV26="후보"</formula>
    </cfRule>
  </conditionalFormatting>
  <conditionalFormatting sqref="AC26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2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26">
    <cfRule type="expression" priority="1389" dxfId="3">
      <formula>AND(IF(OR($Q26=1,$Q26=2),1,0),IF($X26&lt;=20,1,0))</formula>
    </cfRule>
    <cfRule type="expression" priority="1390" dxfId="2">
      <formula>AND(IF($Q26=2,1,0),IF($X26&lt;30,1,0))</formula>
    </cfRule>
    <cfRule type="expression" priority="1391" dxfId="1">
      <formula>AND(IF($Q26=3,1,0),IF($X26&lt;30,1,0))</formula>
    </cfRule>
    <cfRule type="expression" priority="1392" dxfId="0">
      <formula>AND(IF($Q26=3,1,IF($Q26=4,1,0)),IF($F26&lt;=85,1,0))</formula>
    </cfRule>
  </conditionalFormatting>
  <conditionalFormatting sqref="X26">
    <cfRule type="expression" priority="1385" dxfId="3">
      <formula>AND(IF(OR($Q26=1,$Q26=2),1,0),IF($X26&lt;=20,1,0))</formula>
    </cfRule>
    <cfRule type="expression" priority="1386" dxfId="2">
      <formula>AND(IF($Q26=2,1,0),IF($X26&lt;30,1,0))</formula>
    </cfRule>
    <cfRule type="expression" priority="1387" dxfId="1">
      <formula>AND(IF($Q26=3,1,0),IF($X26&lt;30,1,0))</formula>
    </cfRule>
    <cfRule type="expression" priority="1388" dxfId="0">
      <formula>AND(IF($Q26=3,1,IF($Q26=4,1,0)),IF($F26&lt;=85,1,0))</formula>
    </cfRule>
  </conditionalFormatting>
  <conditionalFormatting sqref="AI26">
    <cfRule type="expression" priority="1381" dxfId="3">
      <formula>AND(IF(OR($Q26=1,$Q26=2),1,0),IF($X26&lt;=20,1,0))</formula>
    </cfRule>
    <cfRule type="expression" priority="1382" dxfId="2">
      <formula>AND(IF($Q26=2,1,0),IF($X26&lt;30,1,0))</formula>
    </cfRule>
    <cfRule type="expression" priority="1383" dxfId="1">
      <formula>AND(IF($Q26=3,1,0),IF($X26&lt;30,1,0))</formula>
    </cfRule>
    <cfRule type="expression" priority="1384" dxfId="0">
      <formula>AND(IF($Q26=3,1,IF($Q26=4,1,0)),IF($F26&lt;=85,1,0))</formula>
    </cfRule>
  </conditionalFormatting>
  <conditionalFormatting sqref="AV27">
    <cfRule type="expression" priority="1379" dxfId="17">
      <formula>AV27="X"</formula>
    </cfRule>
    <cfRule type="expression" priority="1380" dxfId="16">
      <formula>AV27="후보"</formula>
    </cfRule>
  </conditionalFormatting>
  <conditionalFormatting sqref="AC27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27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27">
    <cfRule type="expression" priority="1370" dxfId="3">
      <formula>AND(IF(OR($Q27=1,$Q27=2),1,0),IF($X27&lt;=20,1,0))</formula>
    </cfRule>
    <cfRule type="expression" priority="1371" dxfId="2">
      <formula>AND(IF($Q27=2,1,0),IF($X27&lt;30,1,0))</formula>
    </cfRule>
    <cfRule type="expression" priority="1372" dxfId="1">
      <formula>AND(IF($Q27=3,1,0),IF($X27&lt;30,1,0))</formula>
    </cfRule>
    <cfRule type="expression" priority="1373" dxfId="0">
      <formula>AND(IF($Q27=3,1,IF($Q27=4,1,0)),IF($F27&lt;=85,1,0))</formula>
    </cfRule>
  </conditionalFormatting>
  <conditionalFormatting sqref="X27">
    <cfRule type="expression" priority="1366" dxfId="3">
      <formula>AND(IF(OR($Q27=1,$Q27=2),1,0),IF($X27&lt;=20,1,0))</formula>
    </cfRule>
    <cfRule type="expression" priority="1367" dxfId="2">
      <formula>AND(IF($Q27=2,1,0),IF($X27&lt;30,1,0))</formula>
    </cfRule>
    <cfRule type="expression" priority="1368" dxfId="1">
      <formula>AND(IF($Q27=3,1,0),IF($X27&lt;30,1,0))</formula>
    </cfRule>
    <cfRule type="expression" priority="1369" dxfId="0">
      <formula>AND(IF($Q27=3,1,IF($Q27=4,1,0)),IF($F27&lt;=85,1,0))</formula>
    </cfRule>
  </conditionalFormatting>
  <conditionalFormatting sqref="AI27">
    <cfRule type="expression" priority="1362" dxfId="3">
      <formula>AND(IF(OR($Q27=1,$Q27=2),1,0),IF($X27&lt;=20,1,0))</formula>
    </cfRule>
    <cfRule type="expression" priority="1363" dxfId="2">
      <formula>AND(IF($Q27=2,1,0),IF($X27&lt;30,1,0))</formula>
    </cfRule>
    <cfRule type="expression" priority="1364" dxfId="1">
      <formula>AND(IF($Q27=3,1,0),IF($X27&lt;30,1,0))</formula>
    </cfRule>
    <cfRule type="expression" priority="1365" dxfId="0">
      <formula>AND(IF($Q27=3,1,IF($Q27=4,1,0)),IF($F27&lt;=85,1,0))</formula>
    </cfRule>
  </conditionalFormatting>
  <conditionalFormatting sqref="AV28">
    <cfRule type="expression" priority="1360" dxfId="17">
      <formula>AV28="X"</formula>
    </cfRule>
    <cfRule type="expression" priority="1361" dxfId="16">
      <formula>AV28="후보"</formula>
    </cfRule>
  </conditionalFormatting>
  <conditionalFormatting sqref="AC28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28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28">
    <cfRule type="expression" priority="1351" dxfId="3">
      <formula>AND(IF(OR($Q28=1,$Q28=2),1,0),IF($X28&lt;=20,1,0))</formula>
    </cfRule>
    <cfRule type="expression" priority="1352" dxfId="2">
      <formula>AND(IF($Q28=2,1,0),IF($X28&lt;30,1,0))</formula>
    </cfRule>
    <cfRule type="expression" priority="1353" dxfId="1">
      <formula>AND(IF($Q28=3,1,0),IF($X28&lt;30,1,0))</formula>
    </cfRule>
    <cfRule type="expression" priority="1354" dxfId="0">
      <formula>AND(IF($Q28=3,1,IF($Q28=4,1,0)),IF($F28&lt;=85,1,0))</formula>
    </cfRule>
  </conditionalFormatting>
  <conditionalFormatting sqref="X28">
    <cfRule type="expression" priority="1347" dxfId="3">
      <formula>AND(IF(OR($Q28=1,$Q28=2),1,0),IF($X28&lt;=20,1,0))</formula>
    </cfRule>
    <cfRule type="expression" priority="1348" dxfId="2">
      <formula>AND(IF($Q28=2,1,0),IF($X28&lt;30,1,0))</formula>
    </cfRule>
    <cfRule type="expression" priority="1349" dxfId="1">
      <formula>AND(IF($Q28=3,1,0),IF($X28&lt;30,1,0))</formula>
    </cfRule>
    <cfRule type="expression" priority="1350" dxfId="0">
      <formula>AND(IF($Q28=3,1,IF($Q28=4,1,0)),IF($F28&lt;=85,1,0))</formula>
    </cfRule>
  </conditionalFormatting>
  <conditionalFormatting sqref="AI28">
    <cfRule type="expression" priority="1343" dxfId="3">
      <formula>AND(IF(OR($Q28=1,$Q28=2),1,0),IF($X28&lt;=20,1,0))</formula>
    </cfRule>
    <cfRule type="expression" priority="1344" dxfId="2">
      <formula>AND(IF($Q28=2,1,0),IF($X28&lt;30,1,0))</formula>
    </cfRule>
    <cfRule type="expression" priority="1345" dxfId="1">
      <formula>AND(IF($Q28=3,1,0),IF($X28&lt;30,1,0))</formula>
    </cfRule>
    <cfRule type="expression" priority="1346" dxfId="0">
      <formula>AND(IF($Q28=3,1,IF($Q28=4,1,0)),IF($F28&lt;=85,1,0))</formula>
    </cfRule>
  </conditionalFormatting>
  <conditionalFormatting sqref="AV29">
    <cfRule type="expression" priority="1341" dxfId="17">
      <formula>AV29="X"</formula>
    </cfRule>
    <cfRule type="expression" priority="1342" dxfId="16">
      <formula>AV29="후보"</formula>
    </cfRule>
  </conditionalFormatting>
  <conditionalFormatting sqref="AC29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29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29">
    <cfRule type="expression" priority="1332" dxfId="3">
      <formula>AND(IF(OR($Q29=1,$Q29=2),1,0),IF($X29&lt;=20,1,0))</formula>
    </cfRule>
    <cfRule type="expression" priority="1333" dxfId="2">
      <formula>AND(IF($Q29=2,1,0),IF($X29&lt;30,1,0))</formula>
    </cfRule>
    <cfRule type="expression" priority="1334" dxfId="1">
      <formula>AND(IF($Q29=3,1,0),IF($X29&lt;30,1,0))</formula>
    </cfRule>
    <cfRule type="expression" priority="1335" dxfId="0">
      <formula>AND(IF($Q29=3,1,IF($Q29=4,1,0)),IF($F29&lt;=85,1,0))</formula>
    </cfRule>
  </conditionalFormatting>
  <conditionalFormatting sqref="X29">
    <cfRule type="expression" priority="1328" dxfId="3">
      <formula>AND(IF(OR($Q29=1,$Q29=2),1,0),IF($X29&lt;=20,1,0))</formula>
    </cfRule>
    <cfRule type="expression" priority="1329" dxfId="2">
      <formula>AND(IF($Q29=2,1,0),IF($X29&lt;30,1,0))</formula>
    </cfRule>
    <cfRule type="expression" priority="1330" dxfId="1">
      <formula>AND(IF($Q29=3,1,0),IF($X29&lt;30,1,0))</formula>
    </cfRule>
    <cfRule type="expression" priority="1331" dxfId="0">
      <formula>AND(IF($Q29=3,1,IF($Q29=4,1,0)),IF($F29&lt;=85,1,0))</formula>
    </cfRule>
  </conditionalFormatting>
  <conditionalFormatting sqref="AI29">
    <cfRule type="expression" priority="1324" dxfId="3">
      <formula>AND(IF(OR($Q29=1,$Q29=2),1,0),IF($X29&lt;=20,1,0))</formula>
    </cfRule>
    <cfRule type="expression" priority="1325" dxfId="2">
      <formula>AND(IF($Q29=2,1,0),IF($X29&lt;30,1,0))</formula>
    </cfRule>
    <cfRule type="expression" priority="1326" dxfId="1">
      <formula>AND(IF($Q29=3,1,0),IF($X29&lt;30,1,0))</formula>
    </cfRule>
    <cfRule type="expression" priority="1327" dxfId="0">
      <formula>AND(IF($Q29=3,1,IF($Q29=4,1,0)),IF($F29&lt;=85,1,0))</formula>
    </cfRule>
  </conditionalFormatting>
  <conditionalFormatting sqref="AV30">
    <cfRule type="expression" priority="1322" dxfId="17">
      <formula>AV30="X"</formula>
    </cfRule>
    <cfRule type="expression" priority="1323" dxfId="16">
      <formula>AV30="후보"</formula>
    </cfRule>
  </conditionalFormatting>
  <conditionalFormatting sqref="AC30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0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0">
    <cfRule type="expression" priority="1313" dxfId="3">
      <formula>AND(IF(OR($Q30=1,$Q30=2),1,0),IF($X30&lt;=20,1,0))</formula>
    </cfRule>
    <cfRule type="expression" priority="1314" dxfId="2">
      <formula>AND(IF($Q30=2,1,0),IF($X30&lt;30,1,0))</formula>
    </cfRule>
    <cfRule type="expression" priority="1315" dxfId="1">
      <formula>AND(IF($Q30=3,1,0),IF($X30&lt;30,1,0))</formula>
    </cfRule>
    <cfRule type="expression" priority="1316" dxfId="0">
      <formula>AND(IF($Q30=3,1,IF($Q30=4,1,0)),IF($F30&lt;=85,1,0))</formula>
    </cfRule>
  </conditionalFormatting>
  <conditionalFormatting sqref="X30">
    <cfRule type="expression" priority="1309" dxfId="3">
      <formula>AND(IF(OR($Q30=1,$Q30=2),1,0),IF($X30&lt;=20,1,0))</formula>
    </cfRule>
    <cfRule type="expression" priority="1310" dxfId="2">
      <formula>AND(IF($Q30=2,1,0),IF($X30&lt;30,1,0))</formula>
    </cfRule>
    <cfRule type="expression" priority="1311" dxfId="1">
      <formula>AND(IF($Q30=3,1,0),IF($X30&lt;30,1,0))</formula>
    </cfRule>
    <cfRule type="expression" priority="1312" dxfId="0">
      <formula>AND(IF($Q30=3,1,IF($Q30=4,1,0)),IF($F30&lt;=85,1,0))</formula>
    </cfRule>
  </conditionalFormatting>
  <conditionalFormatting sqref="AI30">
    <cfRule type="expression" priority="1305" dxfId="3">
      <formula>AND(IF(OR($Q30=1,$Q30=2),1,0),IF($X30&lt;=20,1,0))</formula>
    </cfRule>
    <cfRule type="expression" priority="1306" dxfId="2">
      <formula>AND(IF($Q30=2,1,0),IF($X30&lt;30,1,0))</formula>
    </cfRule>
    <cfRule type="expression" priority="1307" dxfId="1">
      <formula>AND(IF($Q30=3,1,0),IF($X30&lt;30,1,0))</formula>
    </cfRule>
    <cfRule type="expression" priority="1308" dxfId="0">
      <formula>AND(IF($Q30=3,1,IF($Q30=4,1,0)),IF($F30&lt;=85,1,0))</formula>
    </cfRule>
  </conditionalFormatting>
  <conditionalFormatting sqref="AV31">
    <cfRule type="expression" priority="1303" dxfId="17">
      <formula>AV31="X"</formula>
    </cfRule>
    <cfRule type="expression" priority="1304" dxfId="16">
      <formula>AV31="후보"</formula>
    </cfRule>
  </conditionalFormatting>
  <conditionalFormatting sqref="AC31 N31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AV32">
    <cfRule type="expression" priority="1298" dxfId="17">
      <formula>AV32="X"</formula>
    </cfRule>
    <cfRule type="expression" priority="1299" dxfId="16">
      <formula>AV32="후보"</formula>
    </cfRule>
  </conditionalFormatting>
  <conditionalFormatting sqref="AC32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3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32">
    <cfRule type="expression" priority="1289" dxfId="3">
      <formula>AND(IF(OR($Q32=1,$Q32=2),1,0),IF($X32&lt;=20,1,0))</formula>
    </cfRule>
    <cfRule type="expression" priority="1290" dxfId="2">
      <formula>AND(IF($Q32=2,1,0),IF($X32&lt;30,1,0))</formula>
    </cfRule>
    <cfRule type="expression" priority="1291" dxfId="1">
      <formula>AND(IF($Q32=3,1,0),IF($X32&lt;30,1,0))</formula>
    </cfRule>
    <cfRule type="expression" priority="1292" dxfId="0">
      <formula>AND(IF($Q32=3,1,IF($Q32=4,1,0)),IF($F32&lt;=85,1,0))</formula>
    </cfRule>
  </conditionalFormatting>
  <conditionalFormatting sqref="X32">
    <cfRule type="expression" priority="1285" dxfId="3">
      <formula>AND(IF(OR($Q32=1,$Q32=2),1,0),IF($X32&lt;=20,1,0))</formula>
    </cfRule>
    <cfRule type="expression" priority="1286" dxfId="2">
      <formula>AND(IF($Q32=2,1,0),IF($X32&lt;30,1,0))</formula>
    </cfRule>
    <cfRule type="expression" priority="1287" dxfId="1">
      <formula>AND(IF($Q32=3,1,0),IF($X32&lt;30,1,0))</formula>
    </cfRule>
    <cfRule type="expression" priority="1288" dxfId="0">
      <formula>AND(IF($Q32=3,1,IF($Q32=4,1,0)),IF($F32&lt;=85,1,0))</formula>
    </cfRule>
  </conditionalFormatting>
  <conditionalFormatting sqref="AI32">
    <cfRule type="expression" priority="1281" dxfId="3">
      <formula>AND(IF(OR($Q32=1,$Q32=2),1,0),IF($X32&lt;=20,1,0))</formula>
    </cfRule>
    <cfRule type="expression" priority="1282" dxfId="2">
      <formula>AND(IF($Q32=2,1,0),IF($X32&lt;30,1,0))</formula>
    </cfRule>
    <cfRule type="expression" priority="1283" dxfId="1">
      <formula>AND(IF($Q32=3,1,0),IF($X32&lt;30,1,0))</formula>
    </cfRule>
    <cfRule type="expression" priority="1284" dxfId="0">
      <formula>AND(IF($Q32=3,1,IF($Q32=4,1,0)),IF($F32&lt;=85,1,0))</formula>
    </cfRule>
  </conditionalFormatting>
  <conditionalFormatting sqref="AV33">
    <cfRule type="expression" priority="1279" dxfId="17">
      <formula>AV33="X"</formula>
    </cfRule>
    <cfRule type="expression" priority="1280" dxfId="16">
      <formula>AV33="후보"</formula>
    </cfRule>
  </conditionalFormatting>
  <conditionalFormatting sqref="AC33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33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33">
    <cfRule type="expression" priority="1270" dxfId="3">
      <formula>AND(IF(OR($Q33=1,$Q33=2),1,0),IF($X33&lt;=20,1,0))</formula>
    </cfRule>
    <cfRule type="expression" priority="1271" dxfId="2">
      <formula>AND(IF($Q33=2,1,0),IF($X33&lt;30,1,0))</formula>
    </cfRule>
    <cfRule type="expression" priority="1272" dxfId="1">
      <formula>AND(IF($Q33=3,1,0),IF($X33&lt;30,1,0))</formula>
    </cfRule>
    <cfRule type="expression" priority="1273" dxfId="0">
      <formula>AND(IF($Q33=3,1,IF($Q33=4,1,0)),IF($F33&lt;=85,1,0))</formula>
    </cfRule>
  </conditionalFormatting>
  <conditionalFormatting sqref="X33">
    <cfRule type="expression" priority="1266" dxfId="3">
      <formula>AND(IF(OR($Q33=1,$Q33=2),1,0),IF($X33&lt;=20,1,0))</formula>
    </cfRule>
    <cfRule type="expression" priority="1267" dxfId="2">
      <formula>AND(IF($Q33=2,1,0),IF($X33&lt;30,1,0))</formula>
    </cfRule>
    <cfRule type="expression" priority="1268" dxfId="1">
      <formula>AND(IF($Q33=3,1,0),IF($X33&lt;30,1,0))</formula>
    </cfRule>
    <cfRule type="expression" priority="1269" dxfId="0">
      <formula>AND(IF($Q33=3,1,IF($Q33=4,1,0)),IF($F33&lt;=85,1,0))</formula>
    </cfRule>
  </conditionalFormatting>
  <conditionalFormatting sqref="AI33">
    <cfRule type="expression" priority="1262" dxfId="3">
      <formula>AND(IF(OR($Q33=1,$Q33=2),1,0),IF($X33&lt;=20,1,0))</formula>
    </cfRule>
    <cfRule type="expression" priority="1263" dxfId="2">
      <formula>AND(IF($Q33=2,1,0),IF($X33&lt;30,1,0))</formula>
    </cfRule>
    <cfRule type="expression" priority="1264" dxfId="1">
      <formula>AND(IF($Q33=3,1,0),IF($X33&lt;30,1,0))</formula>
    </cfRule>
    <cfRule type="expression" priority="1265" dxfId="0">
      <formula>AND(IF($Q33=3,1,IF($Q33=4,1,0)),IF($F33&lt;=85,1,0))</formula>
    </cfRule>
  </conditionalFormatting>
  <conditionalFormatting sqref="AV34">
    <cfRule type="expression" priority="1260" dxfId="17">
      <formula>AV34="X"</formula>
    </cfRule>
    <cfRule type="expression" priority="1261" dxfId="16">
      <formula>AV34="후보"</formula>
    </cfRule>
  </conditionalFormatting>
  <conditionalFormatting sqref="AC3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4">
    <cfRule type="expression" priority="1251" dxfId="3">
      <formula>AND(IF(OR($Q34=1,$Q34=2),1,0),IF($X34&lt;=20,1,0))</formula>
    </cfRule>
    <cfRule type="expression" priority="1252" dxfId="2">
      <formula>AND(IF($Q34=2,1,0),IF($X34&lt;30,1,0))</formula>
    </cfRule>
    <cfRule type="expression" priority="1253" dxfId="1">
      <formula>AND(IF($Q34=3,1,0),IF($X34&lt;30,1,0))</formula>
    </cfRule>
    <cfRule type="expression" priority="1254" dxfId="0">
      <formula>AND(IF($Q34=3,1,IF($Q34=4,1,0)),IF($F34&lt;=85,1,0))</formula>
    </cfRule>
  </conditionalFormatting>
  <conditionalFormatting sqref="X34">
    <cfRule type="expression" priority="1247" dxfId="3">
      <formula>AND(IF(OR($Q34=1,$Q34=2),1,0),IF($X34&lt;=20,1,0))</formula>
    </cfRule>
    <cfRule type="expression" priority="1248" dxfId="2">
      <formula>AND(IF($Q34=2,1,0),IF($X34&lt;30,1,0))</formula>
    </cfRule>
    <cfRule type="expression" priority="1249" dxfId="1">
      <formula>AND(IF($Q34=3,1,0),IF($X34&lt;30,1,0))</formula>
    </cfRule>
    <cfRule type="expression" priority="1250" dxfId="0">
      <formula>AND(IF($Q34=3,1,IF($Q34=4,1,0)),IF($F34&lt;=85,1,0))</formula>
    </cfRule>
  </conditionalFormatting>
  <conditionalFormatting sqref="AI34">
    <cfRule type="expression" priority="1243" dxfId="3">
      <formula>AND(IF(OR($Q34=1,$Q34=2),1,0),IF($X34&lt;=20,1,0))</formula>
    </cfRule>
    <cfRule type="expression" priority="1244" dxfId="2">
      <formula>AND(IF($Q34=2,1,0),IF($X34&lt;30,1,0))</formula>
    </cfRule>
    <cfRule type="expression" priority="1245" dxfId="1">
      <formula>AND(IF($Q34=3,1,0),IF($X34&lt;30,1,0))</formula>
    </cfRule>
    <cfRule type="expression" priority="1246" dxfId="0">
      <formula>AND(IF($Q34=3,1,IF($Q34=4,1,0)),IF($F34&lt;=85,1,0))</formula>
    </cfRule>
  </conditionalFormatting>
  <conditionalFormatting sqref="AV35">
    <cfRule type="expression" priority="1241" dxfId="17">
      <formula>AV35="X"</formula>
    </cfRule>
    <cfRule type="expression" priority="1242" dxfId="16">
      <formula>AV35="후보"</formula>
    </cfRule>
  </conditionalFormatting>
  <conditionalFormatting sqref="AC35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5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5">
    <cfRule type="expression" priority="1232" dxfId="3">
      <formula>AND(IF(OR($Q35=1,$Q35=2),1,0),IF($X35&lt;=20,1,0))</formula>
    </cfRule>
    <cfRule type="expression" priority="1233" dxfId="2">
      <formula>AND(IF($Q35=2,1,0),IF($X35&lt;30,1,0))</formula>
    </cfRule>
    <cfRule type="expression" priority="1234" dxfId="1">
      <formula>AND(IF($Q35=3,1,0),IF($X35&lt;30,1,0))</formula>
    </cfRule>
    <cfRule type="expression" priority="1235" dxfId="0">
      <formula>AND(IF($Q35=3,1,IF($Q35=4,1,0)),IF($F35&lt;=85,1,0))</formula>
    </cfRule>
  </conditionalFormatting>
  <conditionalFormatting sqref="X35">
    <cfRule type="expression" priority="1228" dxfId="3">
      <formula>AND(IF(OR($Q35=1,$Q35=2),1,0),IF($X35&lt;=20,1,0))</formula>
    </cfRule>
    <cfRule type="expression" priority="1229" dxfId="2">
      <formula>AND(IF($Q35=2,1,0),IF($X35&lt;30,1,0))</formula>
    </cfRule>
    <cfRule type="expression" priority="1230" dxfId="1">
      <formula>AND(IF($Q35=3,1,0),IF($X35&lt;30,1,0))</formula>
    </cfRule>
    <cfRule type="expression" priority="1231" dxfId="0">
      <formula>AND(IF($Q35=3,1,IF($Q35=4,1,0)),IF($F35&lt;=85,1,0))</formula>
    </cfRule>
  </conditionalFormatting>
  <conditionalFormatting sqref="AI35">
    <cfRule type="expression" priority="1224" dxfId="3">
      <formula>AND(IF(OR($Q35=1,$Q35=2),1,0),IF($X35&lt;=20,1,0))</formula>
    </cfRule>
    <cfRule type="expression" priority="1225" dxfId="2">
      <formula>AND(IF($Q35=2,1,0),IF($X35&lt;30,1,0))</formula>
    </cfRule>
    <cfRule type="expression" priority="1226" dxfId="1">
      <formula>AND(IF($Q35=3,1,0),IF($X35&lt;30,1,0))</formula>
    </cfRule>
    <cfRule type="expression" priority="1227" dxfId="0">
      <formula>AND(IF($Q35=3,1,IF($Q35=4,1,0)),IF($F35&lt;=85,1,0))</formula>
    </cfRule>
  </conditionalFormatting>
  <conditionalFormatting sqref="AV36">
    <cfRule type="expression" priority="1222" dxfId="17">
      <formula>AV36="X"</formula>
    </cfRule>
    <cfRule type="expression" priority="1223" dxfId="16">
      <formula>AV36="후보"</formula>
    </cfRule>
  </conditionalFormatting>
  <conditionalFormatting sqref="AC3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6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6">
    <cfRule type="expression" priority="1213" dxfId="3">
      <formula>AND(IF(OR($Q36=1,$Q36=2),1,0),IF($X36&lt;=20,1,0))</formula>
    </cfRule>
    <cfRule type="expression" priority="1214" dxfId="2">
      <formula>AND(IF($Q36=2,1,0),IF($X36&lt;30,1,0))</formula>
    </cfRule>
    <cfRule type="expression" priority="1215" dxfId="1">
      <formula>AND(IF($Q36=3,1,0),IF($X36&lt;30,1,0))</formula>
    </cfRule>
    <cfRule type="expression" priority="1216" dxfId="0">
      <formula>AND(IF($Q36=3,1,IF($Q36=4,1,0)),IF($F36&lt;=85,1,0))</formula>
    </cfRule>
  </conditionalFormatting>
  <conditionalFormatting sqref="X36">
    <cfRule type="expression" priority="1209" dxfId="3">
      <formula>AND(IF(OR($Q36=1,$Q36=2),1,0),IF($X36&lt;=20,1,0))</formula>
    </cfRule>
    <cfRule type="expression" priority="1210" dxfId="2">
      <formula>AND(IF($Q36=2,1,0),IF($X36&lt;30,1,0))</formula>
    </cfRule>
    <cfRule type="expression" priority="1211" dxfId="1">
      <formula>AND(IF($Q36=3,1,0),IF($X36&lt;30,1,0))</formula>
    </cfRule>
    <cfRule type="expression" priority="1212" dxfId="0">
      <formula>AND(IF($Q36=3,1,IF($Q36=4,1,0)),IF($F36&lt;=85,1,0))</formula>
    </cfRule>
  </conditionalFormatting>
  <conditionalFormatting sqref="AI36">
    <cfRule type="expression" priority="1205" dxfId="3">
      <formula>AND(IF(OR($Q36=1,$Q36=2),1,0),IF($X36&lt;=20,1,0))</formula>
    </cfRule>
    <cfRule type="expression" priority="1206" dxfId="2">
      <formula>AND(IF($Q36=2,1,0),IF($X36&lt;30,1,0))</formula>
    </cfRule>
    <cfRule type="expression" priority="1207" dxfId="1">
      <formula>AND(IF($Q36=3,1,0),IF($X36&lt;30,1,0))</formula>
    </cfRule>
    <cfRule type="expression" priority="1208" dxfId="0">
      <formula>AND(IF($Q36=3,1,IF($Q36=4,1,0)),IF($F36&lt;=85,1,0))</formula>
    </cfRule>
  </conditionalFormatting>
  <conditionalFormatting sqref="AV37">
    <cfRule type="expression" priority="1203" dxfId="17">
      <formula>AV37="X"</formula>
    </cfRule>
    <cfRule type="expression" priority="1204" dxfId="16">
      <formula>AV37="후보"</formula>
    </cfRule>
  </conditionalFormatting>
  <conditionalFormatting sqref="AC37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37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37">
    <cfRule type="expression" priority="1194" dxfId="3">
      <formula>AND(IF(OR($Q37=1,$Q37=2),1,0),IF($X37&lt;=20,1,0))</formula>
    </cfRule>
    <cfRule type="expression" priority="1195" dxfId="2">
      <formula>AND(IF($Q37=2,1,0),IF($X37&lt;30,1,0))</formula>
    </cfRule>
    <cfRule type="expression" priority="1196" dxfId="1">
      <formula>AND(IF($Q37=3,1,0),IF($X37&lt;30,1,0))</formula>
    </cfRule>
    <cfRule type="expression" priority="1197" dxfId="0">
      <formula>AND(IF($Q37=3,1,IF($Q37=4,1,0)),IF($F37&lt;=85,1,0))</formula>
    </cfRule>
  </conditionalFormatting>
  <conditionalFormatting sqref="X37">
    <cfRule type="expression" priority="1190" dxfId="3">
      <formula>AND(IF(OR($Q37=1,$Q37=2),1,0),IF($X37&lt;=20,1,0))</formula>
    </cfRule>
    <cfRule type="expression" priority="1191" dxfId="2">
      <formula>AND(IF($Q37=2,1,0),IF($X37&lt;30,1,0))</formula>
    </cfRule>
    <cfRule type="expression" priority="1192" dxfId="1">
      <formula>AND(IF($Q37=3,1,0),IF($X37&lt;30,1,0))</formula>
    </cfRule>
    <cfRule type="expression" priority="1193" dxfId="0">
      <formula>AND(IF($Q37=3,1,IF($Q37=4,1,0)),IF($F37&lt;=85,1,0))</formula>
    </cfRule>
  </conditionalFormatting>
  <conditionalFormatting sqref="AI37">
    <cfRule type="expression" priority="1186" dxfId="3">
      <formula>AND(IF(OR($Q37=1,$Q37=2),1,0),IF($X37&lt;=20,1,0))</formula>
    </cfRule>
    <cfRule type="expression" priority="1187" dxfId="2">
      <formula>AND(IF($Q37=2,1,0),IF($X37&lt;30,1,0))</formula>
    </cfRule>
    <cfRule type="expression" priority="1188" dxfId="1">
      <formula>AND(IF($Q37=3,1,0),IF($X37&lt;30,1,0))</formula>
    </cfRule>
    <cfRule type="expression" priority="1189" dxfId="0">
      <formula>AND(IF($Q37=3,1,IF($Q37=4,1,0)),IF($F37&lt;=85,1,0))</formula>
    </cfRule>
  </conditionalFormatting>
  <conditionalFormatting sqref="AV38">
    <cfRule type="expression" priority="1184" dxfId="17">
      <formula>AV38="X"</formula>
    </cfRule>
    <cfRule type="expression" priority="1185" dxfId="16">
      <formula>AV38="후보"</formula>
    </cfRule>
  </conditionalFormatting>
  <conditionalFormatting sqref="AC38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38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38">
    <cfRule type="expression" priority="1175" dxfId="3">
      <formula>AND(IF(OR($Q38=1,$Q38=2),1,0),IF($X38&lt;=20,1,0))</formula>
    </cfRule>
    <cfRule type="expression" priority="1176" dxfId="2">
      <formula>AND(IF($Q38=2,1,0),IF($X38&lt;30,1,0))</formula>
    </cfRule>
    <cfRule type="expression" priority="1177" dxfId="1">
      <formula>AND(IF($Q38=3,1,0),IF($X38&lt;30,1,0))</formula>
    </cfRule>
    <cfRule type="expression" priority="1178" dxfId="0">
      <formula>AND(IF($Q38=3,1,IF($Q38=4,1,0)),IF($F38&lt;=85,1,0))</formula>
    </cfRule>
  </conditionalFormatting>
  <conditionalFormatting sqref="X38">
    <cfRule type="expression" priority="1171" dxfId="3">
      <formula>AND(IF(OR($Q38=1,$Q38=2),1,0),IF($X38&lt;=20,1,0))</formula>
    </cfRule>
    <cfRule type="expression" priority="1172" dxfId="2">
      <formula>AND(IF($Q38=2,1,0),IF($X38&lt;30,1,0))</formula>
    </cfRule>
    <cfRule type="expression" priority="1173" dxfId="1">
      <formula>AND(IF($Q38=3,1,0),IF($X38&lt;30,1,0))</formula>
    </cfRule>
    <cfRule type="expression" priority="1174" dxfId="0">
      <formula>AND(IF($Q38=3,1,IF($Q38=4,1,0)),IF($F38&lt;=85,1,0))</formula>
    </cfRule>
  </conditionalFormatting>
  <conditionalFormatting sqref="AI38">
    <cfRule type="expression" priority="1167" dxfId="3">
      <formula>AND(IF(OR($Q38=1,$Q38=2),1,0),IF($X38&lt;=20,1,0))</formula>
    </cfRule>
    <cfRule type="expression" priority="1168" dxfId="2">
      <formula>AND(IF($Q38=2,1,0),IF($X38&lt;30,1,0))</formula>
    </cfRule>
    <cfRule type="expression" priority="1169" dxfId="1">
      <formula>AND(IF($Q38=3,1,0),IF($X38&lt;30,1,0))</formula>
    </cfRule>
    <cfRule type="expression" priority="1170" dxfId="0">
      <formula>AND(IF($Q38=3,1,IF($Q38=4,1,0)),IF($F38&lt;=85,1,0))</formula>
    </cfRule>
  </conditionalFormatting>
  <conditionalFormatting sqref="AV39">
    <cfRule type="expression" priority="1165" dxfId="17">
      <formula>AV39="X"</formula>
    </cfRule>
    <cfRule type="expression" priority="1166" dxfId="16">
      <formula>AV39="후보"</formula>
    </cfRule>
  </conditionalFormatting>
  <conditionalFormatting sqref="AC39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39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39">
    <cfRule type="expression" priority="1156" dxfId="3">
      <formula>AND(IF(OR($Q39=1,$Q39=2),1,0),IF($X39&lt;=20,1,0))</formula>
    </cfRule>
    <cfRule type="expression" priority="1157" dxfId="2">
      <formula>AND(IF($Q39=2,1,0),IF($X39&lt;30,1,0))</formula>
    </cfRule>
    <cfRule type="expression" priority="1158" dxfId="1">
      <formula>AND(IF($Q39=3,1,0),IF($X39&lt;30,1,0))</formula>
    </cfRule>
    <cfRule type="expression" priority="1159" dxfId="0">
      <formula>AND(IF($Q39=3,1,IF($Q39=4,1,0)),IF($F39&lt;=85,1,0))</formula>
    </cfRule>
  </conditionalFormatting>
  <conditionalFormatting sqref="X39">
    <cfRule type="expression" priority="1152" dxfId="3">
      <formula>AND(IF(OR($Q39=1,$Q39=2),1,0),IF($X39&lt;=20,1,0))</formula>
    </cfRule>
    <cfRule type="expression" priority="1153" dxfId="2">
      <formula>AND(IF($Q39=2,1,0),IF($X39&lt;30,1,0))</formula>
    </cfRule>
    <cfRule type="expression" priority="1154" dxfId="1">
      <formula>AND(IF($Q39=3,1,0),IF($X39&lt;30,1,0))</formula>
    </cfRule>
    <cfRule type="expression" priority="1155" dxfId="0">
      <formula>AND(IF($Q39=3,1,IF($Q39=4,1,0)),IF($F39&lt;=85,1,0))</formula>
    </cfRule>
  </conditionalFormatting>
  <conditionalFormatting sqref="AI39">
    <cfRule type="expression" priority="1148" dxfId="3">
      <formula>AND(IF(OR($Q39=1,$Q39=2),1,0),IF($X39&lt;=20,1,0))</formula>
    </cfRule>
    <cfRule type="expression" priority="1149" dxfId="2">
      <formula>AND(IF($Q39=2,1,0),IF($X39&lt;30,1,0))</formula>
    </cfRule>
    <cfRule type="expression" priority="1150" dxfId="1">
      <formula>AND(IF($Q39=3,1,0),IF($X39&lt;30,1,0))</formula>
    </cfRule>
    <cfRule type="expression" priority="1151" dxfId="0">
      <formula>AND(IF($Q39=3,1,IF($Q39=4,1,0)),IF($F39&lt;=85,1,0))</formula>
    </cfRule>
  </conditionalFormatting>
  <conditionalFormatting sqref="AV40">
    <cfRule type="expression" priority="1146" dxfId="17">
      <formula>AV40="X"</formula>
    </cfRule>
    <cfRule type="expression" priority="1147" dxfId="16">
      <formula>AV40="후보"</formula>
    </cfRule>
  </conditionalFormatting>
  <conditionalFormatting sqref="AC40 N40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AV41">
    <cfRule type="expression" priority="1141" dxfId="17">
      <formula>AV41="X"</formula>
    </cfRule>
    <cfRule type="expression" priority="1142" dxfId="16">
      <formula>AV41="후보"</formula>
    </cfRule>
  </conditionalFormatting>
  <conditionalFormatting sqref="AC41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1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1">
    <cfRule type="expression" priority="1132" dxfId="3">
      <formula>AND(IF(OR($Q41=1,$Q41=2),1,0),IF($X41&lt;=20,1,0))</formula>
    </cfRule>
    <cfRule type="expression" priority="1133" dxfId="2">
      <formula>AND(IF($Q41=2,1,0),IF($X41&lt;30,1,0))</formula>
    </cfRule>
    <cfRule type="expression" priority="1134" dxfId="1">
      <formula>AND(IF($Q41=3,1,0),IF($X41&lt;30,1,0))</formula>
    </cfRule>
    <cfRule type="expression" priority="1135" dxfId="0">
      <formula>AND(IF($Q41=3,1,IF($Q41=4,1,0)),IF($F41&lt;=85,1,0))</formula>
    </cfRule>
  </conditionalFormatting>
  <conditionalFormatting sqref="X41">
    <cfRule type="expression" priority="1128" dxfId="3">
      <formula>AND(IF(OR($Q41=1,$Q41=2),1,0),IF($X41&lt;=20,1,0))</formula>
    </cfRule>
    <cfRule type="expression" priority="1129" dxfId="2">
      <formula>AND(IF($Q41=2,1,0),IF($X41&lt;30,1,0))</formula>
    </cfRule>
    <cfRule type="expression" priority="1130" dxfId="1">
      <formula>AND(IF($Q41=3,1,0),IF($X41&lt;30,1,0))</formula>
    </cfRule>
    <cfRule type="expression" priority="1131" dxfId="0">
      <formula>AND(IF($Q41=3,1,IF($Q41=4,1,0)),IF($F41&lt;=85,1,0))</formula>
    </cfRule>
  </conditionalFormatting>
  <conditionalFormatting sqref="AI41">
    <cfRule type="expression" priority="1124" dxfId="3">
      <formula>AND(IF(OR($Q41=1,$Q41=2),1,0),IF($X41&lt;=20,1,0))</formula>
    </cfRule>
    <cfRule type="expression" priority="1125" dxfId="2">
      <formula>AND(IF($Q41=2,1,0),IF($X41&lt;30,1,0))</formula>
    </cfRule>
    <cfRule type="expression" priority="1126" dxfId="1">
      <formula>AND(IF($Q41=3,1,0),IF($X41&lt;30,1,0))</formula>
    </cfRule>
    <cfRule type="expression" priority="1127" dxfId="0">
      <formula>AND(IF($Q41=3,1,IF($Q41=4,1,0)),IF($F41&lt;=85,1,0))</formula>
    </cfRule>
  </conditionalFormatting>
  <conditionalFormatting sqref="AV42">
    <cfRule type="expression" priority="1122" dxfId="17">
      <formula>AV42="X"</formula>
    </cfRule>
    <cfRule type="expression" priority="1123" dxfId="16">
      <formula>AV42="후보"</formula>
    </cfRule>
  </conditionalFormatting>
  <conditionalFormatting sqref="AC42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2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2">
    <cfRule type="expression" priority="1113" dxfId="3">
      <formula>AND(IF(OR($Q42=1,$Q42=2),1,0),IF($X42&lt;=20,1,0))</formula>
    </cfRule>
    <cfRule type="expression" priority="1114" dxfId="2">
      <formula>AND(IF($Q42=2,1,0),IF($X42&lt;30,1,0))</formula>
    </cfRule>
    <cfRule type="expression" priority="1115" dxfId="1">
      <formula>AND(IF($Q42=3,1,0),IF($X42&lt;30,1,0))</formula>
    </cfRule>
    <cfRule type="expression" priority="1116" dxfId="0">
      <formula>AND(IF($Q42=3,1,IF($Q42=4,1,0)),IF($F42&lt;=85,1,0))</formula>
    </cfRule>
  </conditionalFormatting>
  <conditionalFormatting sqref="X42">
    <cfRule type="expression" priority="1109" dxfId="3">
      <formula>AND(IF(OR($Q42=1,$Q42=2),1,0),IF($X42&lt;=20,1,0))</formula>
    </cfRule>
    <cfRule type="expression" priority="1110" dxfId="2">
      <formula>AND(IF($Q42=2,1,0),IF($X42&lt;30,1,0))</formula>
    </cfRule>
    <cfRule type="expression" priority="1111" dxfId="1">
      <formula>AND(IF($Q42=3,1,0),IF($X42&lt;30,1,0))</formula>
    </cfRule>
    <cfRule type="expression" priority="1112" dxfId="0">
      <formula>AND(IF($Q42=3,1,IF($Q42=4,1,0)),IF($F42&lt;=85,1,0))</formula>
    </cfRule>
  </conditionalFormatting>
  <conditionalFormatting sqref="AI42">
    <cfRule type="expression" priority="1105" dxfId="3">
      <formula>AND(IF(OR($Q42=1,$Q42=2),1,0),IF($X42&lt;=20,1,0))</formula>
    </cfRule>
    <cfRule type="expression" priority="1106" dxfId="2">
      <formula>AND(IF($Q42=2,1,0),IF($X42&lt;30,1,0))</formula>
    </cfRule>
    <cfRule type="expression" priority="1107" dxfId="1">
      <formula>AND(IF($Q42=3,1,0),IF($X42&lt;30,1,0))</formula>
    </cfRule>
    <cfRule type="expression" priority="1108" dxfId="0">
      <formula>AND(IF($Q42=3,1,IF($Q42=4,1,0)),IF($F42&lt;=85,1,0))</formula>
    </cfRule>
  </conditionalFormatting>
  <conditionalFormatting sqref="AV43">
    <cfRule type="expression" priority="1103" dxfId="17">
      <formula>AV43="X"</formula>
    </cfRule>
    <cfRule type="expression" priority="1104" dxfId="16">
      <formula>AV43="후보"</formula>
    </cfRule>
  </conditionalFormatting>
  <conditionalFormatting sqref="AC43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3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3">
    <cfRule type="expression" priority="1094" dxfId="3">
      <formula>AND(IF(OR($Q43=1,$Q43=2),1,0),IF($X43&lt;=20,1,0))</formula>
    </cfRule>
    <cfRule type="expression" priority="1095" dxfId="2">
      <formula>AND(IF($Q43=2,1,0),IF($X43&lt;30,1,0))</formula>
    </cfRule>
    <cfRule type="expression" priority="1096" dxfId="1">
      <formula>AND(IF($Q43=3,1,0),IF($X43&lt;30,1,0))</formula>
    </cfRule>
    <cfRule type="expression" priority="1097" dxfId="0">
      <formula>AND(IF($Q43=3,1,IF($Q43=4,1,0)),IF($F43&lt;=85,1,0))</formula>
    </cfRule>
  </conditionalFormatting>
  <conditionalFormatting sqref="X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AI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V44">
    <cfRule type="expression" priority="1084" dxfId="17">
      <formula>AV44="X"</formula>
    </cfRule>
    <cfRule type="expression" priority="1085" dxfId="16">
      <formula>AV44="후보"</formula>
    </cfRule>
  </conditionalFormatting>
  <conditionalFormatting sqref="AC44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4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4">
    <cfRule type="expression" priority="1075" dxfId="3">
      <formula>AND(IF(OR($Q44=1,$Q44=2),1,0),IF($X44&lt;=20,1,0))</formula>
    </cfRule>
    <cfRule type="expression" priority="1076" dxfId="2">
      <formula>AND(IF($Q44=2,1,0),IF($X44&lt;30,1,0))</formula>
    </cfRule>
    <cfRule type="expression" priority="1077" dxfId="1">
      <formula>AND(IF($Q44=3,1,0),IF($X44&lt;30,1,0))</formula>
    </cfRule>
    <cfRule type="expression" priority="1078" dxfId="0">
      <formula>AND(IF($Q44=3,1,IF($Q44=4,1,0)),IF($F44&lt;=85,1,0))</formula>
    </cfRule>
  </conditionalFormatting>
  <conditionalFormatting sqref="X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AI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V45">
    <cfRule type="expression" priority="1065" dxfId="17">
      <formula>AV45="X"</formula>
    </cfRule>
    <cfRule type="expression" priority="1066" dxfId="16">
      <formula>AV45="후보"</formula>
    </cfRule>
  </conditionalFormatting>
  <conditionalFormatting sqref="AC45 N45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AV46">
    <cfRule type="expression" priority="1060" dxfId="17">
      <formula>AV46="X"</formula>
    </cfRule>
    <cfRule type="expression" priority="1061" dxfId="16">
      <formula>AV46="후보"</formula>
    </cfRule>
  </conditionalFormatting>
  <conditionalFormatting sqref="AC4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46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46">
    <cfRule type="expression" priority="1051" dxfId="3">
      <formula>AND(IF(OR($Q46=1,$Q46=2),1,0),IF($X46&lt;=20,1,0))</formula>
    </cfRule>
    <cfRule type="expression" priority="1052" dxfId="2">
      <formula>AND(IF($Q46=2,1,0),IF($X46&lt;30,1,0))</formula>
    </cfRule>
    <cfRule type="expression" priority="1053" dxfId="1">
      <formula>AND(IF($Q46=3,1,0),IF($X46&lt;30,1,0))</formula>
    </cfRule>
    <cfRule type="expression" priority="1054" dxfId="0">
      <formula>AND(IF($Q46=3,1,IF($Q46=4,1,0)),IF($F46&lt;=85,1,0))</formula>
    </cfRule>
  </conditionalFormatting>
  <conditionalFormatting sqref="X46">
    <cfRule type="expression" priority="1047" dxfId="3">
      <formula>AND(IF(OR($Q46=1,$Q46=2),1,0),IF($X46&lt;=20,1,0))</formula>
    </cfRule>
    <cfRule type="expression" priority="1048" dxfId="2">
      <formula>AND(IF($Q46=2,1,0),IF($X46&lt;30,1,0))</formula>
    </cfRule>
    <cfRule type="expression" priority="1049" dxfId="1">
      <formula>AND(IF($Q46=3,1,0),IF($X46&lt;30,1,0))</formula>
    </cfRule>
    <cfRule type="expression" priority="1050" dxfId="0">
      <formula>AND(IF($Q46=3,1,IF($Q46=4,1,0)),IF($F46&lt;=85,1,0))</formula>
    </cfRule>
  </conditionalFormatting>
  <conditionalFormatting sqref="AI46">
    <cfRule type="expression" priority="1043" dxfId="3">
      <formula>AND(IF(OR($Q46=1,$Q46=2),1,0),IF($X46&lt;=20,1,0))</formula>
    </cfRule>
    <cfRule type="expression" priority="1044" dxfId="2">
      <formula>AND(IF($Q46=2,1,0),IF($X46&lt;30,1,0))</formula>
    </cfRule>
    <cfRule type="expression" priority="1045" dxfId="1">
      <formula>AND(IF($Q46=3,1,0),IF($X46&lt;30,1,0))</formula>
    </cfRule>
    <cfRule type="expression" priority="1046" dxfId="0">
      <formula>AND(IF($Q46=3,1,IF($Q46=4,1,0)),IF($F46&lt;=85,1,0))</formula>
    </cfRule>
  </conditionalFormatting>
  <conditionalFormatting sqref="AV47">
    <cfRule type="expression" priority="1041" dxfId="17">
      <formula>AV47="X"</formula>
    </cfRule>
    <cfRule type="expression" priority="1042" dxfId="16">
      <formula>AV47="후보"</formula>
    </cfRule>
  </conditionalFormatting>
  <conditionalFormatting sqref="AC47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47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47">
    <cfRule type="expression" priority="1032" dxfId="3">
      <formula>AND(IF(OR($Q47=1,$Q47=2),1,0),IF($X47&lt;=20,1,0))</formula>
    </cfRule>
    <cfRule type="expression" priority="1033" dxfId="2">
      <formula>AND(IF($Q47=2,1,0),IF($X47&lt;30,1,0))</formula>
    </cfRule>
    <cfRule type="expression" priority="1034" dxfId="1">
      <formula>AND(IF($Q47=3,1,0),IF($X47&lt;30,1,0))</formula>
    </cfRule>
    <cfRule type="expression" priority="1035" dxfId="0">
      <formula>AND(IF($Q47=3,1,IF($Q47=4,1,0)),IF($F47&lt;=85,1,0))</formula>
    </cfRule>
  </conditionalFormatting>
  <conditionalFormatting sqref="X47">
    <cfRule type="expression" priority="1028" dxfId="3">
      <formula>AND(IF(OR($Q47=1,$Q47=2),1,0),IF($X47&lt;=20,1,0))</formula>
    </cfRule>
    <cfRule type="expression" priority="1029" dxfId="2">
      <formula>AND(IF($Q47=2,1,0),IF($X47&lt;30,1,0))</formula>
    </cfRule>
    <cfRule type="expression" priority="1030" dxfId="1">
      <formula>AND(IF($Q47=3,1,0),IF($X47&lt;30,1,0))</formula>
    </cfRule>
    <cfRule type="expression" priority="1031" dxfId="0">
      <formula>AND(IF($Q47=3,1,IF($Q47=4,1,0)),IF($F47&lt;=85,1,0))</formula>
    </cfRule>
  </conditionalFormatting>
  <conditionalFormatting sqref="AI47">
    <cfRule type="expression" priority="1024" dxfId="3">
      <formula>AND(IF(OR($Q47=1,$Q47=2),1,0),IF($X47&lt;=20,1,0))</formula>
    </cfRule>
    <cfRule type="expression" priority="1025" dxfId="2">
      <formula>AND(IF($Q47=2,1,0),IF($X47&lt;30,1,0))</formula>
    </cfRule>
    <cfRule type="expression" priority="1026" dxfId="1">
      <formula>AND(IF($Q47=3,1,0),IF($X47&lt;30,1,0))</formula>
    </cfRule>
    <cfRule type="expression" priority="1027" dxfId="0">
      <formula>AND(IF($Q47=3,1,IF($Q47=4,1,0)),IF($F47&lt;=85,1,0))</formula>
    </cfRule>
  </conditionalFormatting>
  <conditionalFormatting sqref="AV48">
    <cfRule type="expression" priority="1022" dxfId="17">
      <formula>AV48="X"</formula>
    </cfRule>
    <cfRule type="expression" priority="1023" dxfId="16">
      <formula>AV48="후보"</formula>
    </cfRule>
  </conditionalFormatting>
  <conditionalFormatting sqref="AC48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48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48">
    <cfRule type="expression" priority="1013" dxfId="3">
      <formula>AND(IF(OR($Q48=1,$Q48=2),1,0),IF($X48&lt;=20,1,0))</formula>
    </cfRule>
    <cfRule type="expression" priority="1014" dxfId="2">
      <formula>AND(IF($Q48=2,1,0),IF($X48&lt;30,1,0))</formula>
    </cfRule>
    <cfRule type="expression" priority="1015" dxfId="1">
      <formula>AND(IF($Q48=3,1,0),IF($X48&lt;30,1,0))</formula>
    </cfRule>
    <cfRule type="expression" priority="1016" dxfId="0">
      <formula>AND(IF($Q48=3,1,IF($Q48=4,1,0)),IF($F48&lt;=85,1,0))</formula>
    </cfRule>
  </conditionalFormatting>
  <conditionalFormatting sqref="X48">
    <cfRule type="expression" priority="1009" dxfId="3">
      <formula>AND(IF(OR($Q48=1,$Q48=2),1,0),IF($X48&lt;=20,1,0))</formula>
    </cfRule>
    <cfRule type="expression" priority="1010" dxfId="2">
      <formula>AND(IF($Q48=2,1,0),IF($X48&lt;30,1,0))</formula>
    </cfRule>
    <cfRule type="expression" priority="1011" dxfId="1">
      <formula>AND(IF($Q48=3,1,0),IF($X48&lt;30,1,0))</formula>
    </cfRule>
    <cfRule type="expression" priority="1012" dxfId="0">
      <formula>AND(IF($Q48=3,1,IF($Q48=4,1,0)),IF($F48&lt;=85,1,0))</formula>
    </cfRule>
  </conditionalFormatting>
  <conditionalFormatting sqref="AI48">
    <cfRule type="expression" priority="1005" dxfId="3">
      <formula>AND(IF(OR($Q48=1,$Q48=2),1,0),IF($X48&lt;=20,1,0))</formula>
    </cfRule>
    <cfRule type="expression" priority="1006" dxfId="2">
      <formula>AND(IF($Q48=2,1,0),IF($X48&lt;30,1,0))</formula>
    </cfRule>
    <cfRule type="expression" priority="1007" dxfId="1">
      <formula>AND(IF($Q48=3,1,0),IF($X48&lt;30,1,0))</formula>
    </cfRule>
    <cfRule type="expression" priority="1008" dxfId="0">
      <formula>AND(IF($Q48=3,1,IF($Q48=4,1,0)),IF($F48&lt;=85,1,0))</formula>
    </cfRule>
  </conditionalFormatting>
  <conditionalFormatting sqref="AV49">
    <cfRule type="expression" priority="1003" dxfId="17">
      <formula>AV49="X"</formula>
    </cfRule>
    <cfRule type="expression" priority="1004" dxfId="16">
      <formula>AV49="후보"</formula>
    </cfRule>
  </conditionalFormatting>
  <conditionalFormatting sqref="AC49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49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49">
    <cfRule type="expression" priority="994" dxfId="3">
      <formula>AND(IF(OR($Q49=1,$Q49=2),1,0),IF($X49&lt;=20,1,0))</formula>
    </cfRule>
    <cfRule type="expression" priority="995" dxfId="2">
      <formula>AND(IF($Q49=2,1,0),IF($X49&lt;30,1,0))</formula>
    </cfRule>
    <cfRule type="expression" priority="996" dxfId="1">
      <formula>AND(IF($Q49=3,1,0),IF($X49&lt;30,1,0))</formula>
    </cfRule>
    <cfRule type="expression" priority="997" dxfId="0">
      <formula>AND(IF($Q49=3,1,IF($Q49=4,1,0)),IF($F49&lt;=85,1,0))</formula>
    </cfRule>
  </conditionalFormatting>
  <conditionalFormatting sqref="X49">
    <cfRule type="expression" priority="990" dxfId="3">
      <formula>AND(IF(OR($Q49=1,$Q49=2),1,0),IF($X49&lt;=20,1,0))</formula>
    </cfRule>
    <cfRule type="expression" priority="991" dxfId="2">
      <formula>AND(IF($Q49=2,1,0),IF($X49&lt;30,1,0))</formula>
    </cfRule>
    <cfRule type="expression" priority="992" dxfId="1">
      <formula>AND(IF($Q49=3,1,0),IF($X49&lt;30,1,0))</formula>
    </cfRule>
    <cfRule type="expression" priority="993" dxfId="0">
      <formula>AND(IF($Q49=3,1,IF($Q49=4,1,0)),IF($F49&lt;=85,1,0))</formula>
    </cfRule>
  </conditionalFormatting>
  <conditionalFormatting sqref="AI49">
    <cfRule type="expression" priority="986" dxfId="3">
      <formula>AND(IF(OR($Q49=1,$Q49=2),1,0),IF($X49&lt;=20,1,0))</formula>
    </cfRule>
    <cfRule type="expression" priority="987" dxfId="2">
      <formula>AND(IF($Q49=2,1,0),IF($X49&lt;30,1,0))</formula>
    </cfRule>
    <cfRule type="expression" priority="988" dxfId="1">
      <formula>AND(IF($Q49=3,1,0),IF($X49&lt;30,1,0))</formula>
    </cfRule>
    <cfRule type="expression" priority="989" dxfId="0">
      <formula>AND(IF($Q49=3,1,IF($Q49=4,1,0)),IF($F49&lt;=85,1,0))</formula>
    </cfRule>
  </conditionalFormatting>
  <conditionalFormatting sqref="AV50">
    <cfRule type="expression" priority="984" dxfId="17">
      <formula>AV50="X"</formula>
    </cfRule>
    <cfRule type="expression" priority="985" dxfId="16">
      <formula>AV50="후보"</formula>
    </cfRule>
  </conditionalFormatting>
  <conditionalFormatting sqref="AC50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0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0">
    <cfRule type="expression" priority="975" dxfId="3">
      <formula>AND(IF(OR($Q50=1,$Q50=2),1,0),IF($X50&lt;=20,1,0))</formula>
    </cfRule>
    <cfRule type="expression" priority="976" dxfId="2">
      <formula>AND(IF($Q50=2,1,0),IF($X50&lt;30,1,0))</formula>
    </cfRule>
    <cfRule type="expression" priority="977" dxfId="1">
      <formula>AND(IF($Q50=3,1,0),IF($X50&lt;30,1,0))</formula>
    </cfRule>
    <cfRule type="expression" priority="978" dxfId="0">
      <formula>AND(IF($Q50=3,1,IF($Q50=4,1,0)),IF($F50&lt;=85,1,0))</formula>
    </cfRule>
  </conditionalFormatting>
  <conditionalFormatting sqref="X50">
    <cfRule type="expression" priority="971" dxfId="3">
      <formula>AND(IF(OR($Q50=1,$Q50=2),1,0),IF($X50&lt;=20,1,0))</formula>
    </cfRule>
    <cfRule type="expression" priority="972" dxfId="2">
      <formula>AND(IF($Q50=2,1,0),IF($X50&lt;30,1,0))</formula>
    </cfRule>
    <cfRule type="expression" priority="973" dxfId="1">
      <formula>AND(IF($Q50=3,1,0),IF($X50&lt;30,1,0))</formula>
    </cfRule>
    <cfRule type="expression" priority="974" dxfId="0">
      <formula>AND(IF($Q50=3,1,IF($Q50=4,1,0)),IF($F50&lt;=85,1,0))</formula>
    </cfRule>
  </conditionalFormatting>
  <conditionalFormatting sqref="AI50">
    <cfRule type="expression" priority="967" dxfId="3">
      <formula>AND(IF(OR($Q50=1,$Q50=2),1,0),IF($X50&lt;=20,1,0))</formula>
    </cfRule>
    <cfRule type="expression" priority="968" dxfId="2">
      <formula>AND(IF($Q50=2,1,0),IF($X50&lt;30,1,0))</formula>
    </cfRule>
    <cfRule type="expression" priority="969" dxfId="1">
      <formula>AND(IF($Q50=3,1,0),IF($X50&lt;30,1,0))</formula>
    </cfRule>
    <cfRule type="expression" priority="970" dxfId="0">
      <formula>AND(IF($Q50=3,1,IF($Q50=4,1,0)),IF($F50&lt;=85,1,0))</formula>
    </cfRule>
  </conditionalFormatting>
  <conditionalFormatting sqref="AV51">
    <cfRule type="expression" priority="965" dxfId="17">
      <formula>AV51="X"</formula>
    </cfRule>
    <cfRule type="expression" priority="966" dxfId="16">
      <formula>AV51="후보"</formula>
    </cfRule>
  </conditionalFormatting>
  <conditionalFormatting sqref="AC51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1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1">
    <cfRule type="expression" priority="956" dxfId="3">
      <formula>AND(IF(OR($Q51=1,$Q51=2),1,0),IF($X51&lt;=20,1,0))</formula>
    </cfRule>
    <cfRule type="expression" priority="957" dxfId="2">
      <formula>AND(IF($Q51=2,1,0),IF($X51&lt;30,1,0))</formula>
    </cfRule>
    <cfRule type="expression" priority="958" dxfId="1">
      <formula>AND(IF($Q51=3,1,0),IF($X51&lt;30,1,0))</formula>
    </cfRule>
    <cfRule type="expression" priority="959" dxfId="0">
      <formula>AND(IF($Q51=3,1,IF($Q51=4,1,0)),IF($F51&lt;=85,1,0))</formula>
    </cfRule>
  </conditionalFormatting>
  <conditionalFormatting sqref="X51">
    <cfRule type="expression" priority="952" dxfId="3">
      <formula>AND(IF(OR($Q51=1,$Q51=2),1,0),IF($X51&lt;=20,1,0))</formula>
    </cfRule>
    <cfRule type="expression" priority="953" dxfId="2">
      <formula>AND(IF($Q51=2,1,0),IF($X51&lt;30,1,0))</formula>
    </cfRule>
    <cfRule type="expression" priority="954" dxfId="1">
      <formula>AND(IF($Q51=3,1,0),IF($X51&lt;30,1,0))</formula>
    </cfRule>
    <cfRule type="expression" priority="955" dxfId="0">
      <formula>AND(IF($Q51=3,1,IF($Q51=4,1,0)),IF($F51&lt;=85,1,0))</formula>
    </cfRule>
  </conditionalFormatting>
  <conditionalFormatting sqref="AI51">
    <cfRule type="expression" priority="948" dxfId="3">
      <formula>AND(IF(OR($Q51=1,$Q51=2),1,0),IF($X51&lt;=20,1,0))</formula>
    </cfRule>
    <cfRule type="expression" priority="949" dxfId="2">
      <formula>AND(IF($Q51=2,1,0),IF($X51&lt;30,1,0))</formula>
    </cfRule>
    <cfRule type="expression" priority="950" dxfId="1">
      <formula>AND(IF($Q51=3,1,0),IF($X51&lt;30,1,0))</formula>
    </cfRule>
    <cfRule type="expression" priority="951" dxfId="0">
      <formula>AND(IF($Q51=3,1,IF($Q51=4,1,0)),IF($F51&lt;=85,1,0))</formula>
    </cfRule>
  </conditionalFormatting>
  <conditionalFormatting sqref="AV52">
    <cfRule type="expression" priority="946" dxfId="17">
      <formula>AV52="X"</formula>
    </cfRule>
    <cfRule type="expression" priority="947" dxfId="16">
      <formula>AV52="후보"</formula>
    </cfRule>
  </conditionalFormatting>
  <conditionalFormatting sqref="AC52 N52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53">
    <cfRule type="expression" priority="941" dxfId="17">
      <formula>AV53="X"</formula>
    </cfRule>
    <cfRule type="expression" priority="942" dxfId="16">
      <formula>AV53="후보"</formula>
    </cfRule>
  </conditionalFormatting>
  <conditionalFormatting sqref="AC5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5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53">
    <cfRule type="expression" priority="932" dxfId="3">
      <formula>AND(IF(OR($Q53=1,$Q53=2),1,0),IF($X53&lt;=20,1,0))</formula>
    </cfRule>
    <cfRule type="expression" priority="933" dxfId="2">
      <formula>AND(IF($Q53=2,1,0),IF($X53&lt;30,1,0))</formula>
    </cfRule>
    <cfRule type="expression" priority="934" dxfId="1">
      <formula>AND(IF($Q53=3,1,0),IF($X53&lt;30,1,0))</formula>
    </cfRule>
    <cfRule type="expression" priority="935" dxfId="0">
      <formula>AND(IF($Q53=3,1,IF($Q53=4,1,0)),IF($F53&lt;=85,1,0))</formula>
    </cfRule>
  </conditionalFormatting>
  <conditionalFormatting sqref="X53">
    <cfRule type="expression" priority="928" dxfId="3">
      <formula>AND(IF(OR($Q53=1,$Q53=2),1,0),IF($X53&lt;=20,1,0))</formula>
    </cfRule>
    <cfRule type="expression" priority="929" dxfId="2">
      <formula>AND(IF($Q53=2,1,0),IF($X53&lt;30,1,0))</formula>
    </cfRule>
    <cfRule type="expression" priority="930" dxfId="1">
      <formula>AND(IF($Q53=3,1,0),IF($X53&lt;30,1,0))</formula>
    </cfRule>
    <cfRule type="expression" priority="931" dxfId="0">
      <formula>AND(IF($Q53=3,1,IF($Q53=4,1,0)),IF($F53&lt;=85,1,0))</formula>
    </cfRule>
  </conditionalFormatting>
  <conditionalFormatting sqref="AI53">
    <cfRule type="expression" priority="924" dxfId="3">
      <formula>AND(IF(OR($Q53=1,$Q53=2),1,0),IF($X53&lt;=20,1,0))</formula>
    </cfRule>
    <cfRule type="expression" priority="925" dxfId="2">
      <formula>AND(IF($Q53=2,1,0),IF($X53&lt;30,1,0))</formula>
    </cfRule>
    <cfRule type="expression" priority="926" dxfId="1">
      <formula>AND(IF($Q53=3,1,0),IF($X53&lt;30,1,0))</formula>
    </cfRule>
    <cfRule type="expression" priority="927" dxfId="0">
      <formula>AND(IF($Q53=3,1,IF($Q53=4,1,0)),IF($F53&lt;=85,1,0))</formula>
    </cfRule>
  </conditionalFormatting>
  <conditionalFormatting sqref="AV54">
    <cfRule type="expression" priority="922" dxfId="17">
      <formula>AV54="X"</formula>
    </cfRule>
    <cfRule type="expression" priority="923" dxfId="16">
      <formula>AV54="후보"</formula>
    </cfRule>
  </conditionalFormatting>
  <conditionalFormatting sqref="AC5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4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4">
    <cfRule type="expression" priority="913" dxfId="3">
      <formula>AND(IF(OR($Q54=1,$Q54=2),1,0),IF($X54&lt;=20,1,0))</formula>
    </cfRule>
    <cfRule type="expression" priority="914" dxfId="2">
      <formula>AND(IF($Q54=2,1,0),IF($X54&lt;30,1,0))</formula>
    </cfRule>
    <cfRule type="expression" priority="915" dxfId="1">
      <formula>AND(IF($Q54=3,1,0),IF($X54&lt;30,1,0))</formula>
    </cfRule>
    <cfRule type="expression" priority="916" dxfId="0">
      <formula>AND(IF($Q54=3,1,IF($Q54=4,1,0)),IF($F54&lt;=85,1,0))</formula>
    </cfRule>
  </conditionalFormatting>
  <conditionalFormatting sqref="X54">
    <cfRule type="expression" priority="909" dxfId="3">
      <formula>AND(IF(OR($Q54=1,$Q54=2),1,0),IF($X54&lt;=20,1,0))</formula>
    </cfRule>
    <cfRule type="expression" priority="910" dxfId="2">
      <formula>AND(IF($Q54=2,1,0),IF($X54&lt;30,1,0))</formula>
    </cfRule>
    <cfRule type="expression" priority="911" dxfId="1">
      <formula>AND(IF($Q54=3,1,0),IF($X54&lt;30,1,0))</formula>
    </cfRule>
    <cfRule type="expression" priority="912" dxfId="0">
      <formula>AND(IF($Q54=3,1,IF($Q54=4,1,0)),IF($F54&lt;=85,1,0))</formula>
    </cfRule>
  </conditionalFormatting>
  <conditionalFormatting sqref="AI54">
    <cfRule type="expression" priority="905" dxfId="3">
      <formula>AND(IF(OR($Q54=1,$Q54=2),1,0),IF($X54&lt;=20,1,0))</formula>
    </cfRule>
    <cfRule type="expression" priority="906" dxfId="2">
      <formula>AND(IF($Q54=2,1,0),IF($X54&lt;30,1,0))</formula>
    </cfRule>
    <cfRule type="expression" priority="907" dxfId="1">
      <formula>AND(IF($Q54=3,1,0),IF($X54&lt;30,1,0))</formula>
    </cfRule>
    <cfRule type="expression" priority="908" dxfId="0">
      <formula>AND(IF($Q54=3,1,IF($Q54=4,1,0)),IF($F54&lt;=85,1,0))</formula>
    </cfRule>
  </conditionalFormatting>
  <conditionalFormatting sqref="AV55">
    <cfRule type="expression" priority="903" dxfId="17">
      <formula>AV55="X"</formula>
    </cfRule>
    <cfRule type="expression" priority="904" dxfId="16">
      <formula>AV55="후보"</formula>
    </cfRule>
  </conditionalFormatting>
  <conditionalFormatting sqref="AC55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5">
    <cfRule type="expression" priority="894" dxfId="3">
      <formula>AND(IF(OR($Q55=1,$Q55=2),1,0),IF($X55&lt;=20,1,0))</formula>
    </cfRule>
    <cfRule type="expression" priority="895" dxfId="2">
      <formula>AND(IF($Q55=2,1,0),IF($X55&lt;30,1,0))</formula>
    </cfRule>
    <cfRule type="expression" priority="896" dxfId="1">
      <formula>AND(IF($Q55=3,1,0),IF($X55&lt;30,1,0))</formula>
    </cfRule>
    <cfRule type="expression" priority="897" dxfId="0">
      <formula>AND(IF($Q55=3,1,IF($Q55=4,1,0)),IF($F55&lt;=85,1,0))</formula>
    </cfRule>
  </conditionalFormatting>
  <conditionalFormatting sqref="X55">
    <cfRule type="expression" priority="890" dxfId="3">
      <formula>AND(IF(OR($Q55=1,$Q55=2),1,0),IF($X55&lt;=20,1,0))</formula>
    </cfRule>
    <cfRule type="expression" priority="891" dxfId="2">
      <formula>AND(IF($Q55=2,1,0),IF($X55&lt;30,1,0))</formula>
    </cfRule>
    <cfRule type="expression" priority="892" dxfId="1">
      <formula>AND(IF($Q55=3,1,0),IF($X55&lt;30,1,0))</formula>
    </cfRule>
    <cfRule type="expression" priority="893" dxfId="0">
      <formula>AND(IF($Q55=3,1,IF($Q55=4,1,0)),IF($F55&lt;=85,1,0))</formula>
    </cfRule>
  </conditionalFormatting>
  <conditionalFormatting sqref="AI55">
    <cfRule type="expression" priority="886" dxfId="3">
      <formula>AND(IF(OR($Q55=1,$Q55=2),1,0),IF($X55&lt;=20,1,0))</formula>
    </cfRule>
    <cfRule type="expression" priority="887" dxfId="2">
      <formula>AND(IF($Q55=2,1,0),IF($X55&lt;30,1,0))</formula>
    </cfRule>
    <cfRule type="expression" priority="888" dxfId="1">
      <formula>AND(IF($Q55=3,1,0),IF($X55&lt;30,1,0))</formula>
    </cfRule>
    <cfRule type="expression" priority="889" dxfId="0">
      <formula>AND(IF($Q55=3,1,IF($Q55=4,1,0)),IF($F55&lt;=85,1,0))</formula>
    </cfRule>
  </conditionalFormatting>
  <conditionalFormatting sqref="AV56">
    <cfRule type="expression" priority="884" dxfId="17">
      <formula>AV56="X"</formula>
    </cfRule>
    <cfRule type="expression" priority="885" dxfId="16">
      <formula>AV56="후보"</formula>
    </cfRule>
  </conditionalFormatting>
  <conditionalFormatting sqref="AC56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6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6">
    <cfRule type="expression" priority="875" dxfId="3">
      <formula>AND(IF(OR($Q56=1,$Q56=2),1,0),IF($X56&lt;=20,1,0))</formula>
    </cfRule>
    <cfRule type="expression" priority="876" dxfId="2">
      <formula>AND(IF($Q56=2,1,0),IF($X56&lt;30,1,0))</formula>
    </cfRule>
    <cfRule type="expression" priority="877" dxfId="1">
      <formula>AND(IF($Q56=3,1,0),IF($X56&lt;30,1,0))</formula>
    </cfRule>
    <cfRule type="expression" priority="878" dxfId="0">
      <formula>AND(IF($Q56=3,1,IF($Q56=4,1,0)),IF($F56&lt;=85,1,0))</formula>
    </cfRule>
  </conditionalFormatting>
  <conditionalFormatting sqref="X56">
    <cfRule type="expression" priority="871" dxfId="3">
      <formula>AND(IF(OR($Q56=1,$Q56=2),1,0),IF($X56&lt;=20,1,0))</formula>
    </cfRule>
    <cfRule type="expression" priority="872" dxfId="2">
      <formula>AND(IF($Q56=2,1,0),IF($X56&lt;30,1,0))</formula>
    </cfRule>
    <cfRule type="expression" priority="873" dxfId="1">
      <formula>AND(IF($Q56=3,1,0),IF($X56&lt;30,1,0))</formula>
    </cfRule>
    <cfRule type="expression" priority="874" dxfId="0">
      <formula>AND(IF($Q56=3,1,IF($Q56=4,1,0)),IF($F56&lt;=85,1,0))</formula>
    </cfRule>
  </conditionalFormatting>
  <conditionalFormatting sqref="AI56">
    <cfRule type="expression" priority="867" dxfId="3">
      <formula>AND(IF(OR($Q56=1,$Q56=2),1,0),IF($X56&lt;=20,1,0))</formula>
    </cfRule>
    <cfRule type="expression" priority="868" dxfId="2">
      <formula>AND(IF($Q56=2,1,0),IF($X56&lt;30,1,0))</formula>
    </cfRule>
    <cfRule type="expression" priority="869" dxfId="1">
      <formula>AND(IF($Q56=3,1,0),IF($X56&lt;30,1,0))</formula>
    </cfRule>
    <cfRule type="expression" priority="870" dxfId="0">
      <formula>AND(IF($Q56=3,1,IF($Q56=4,1,0)),IF($F56&lt;=85,1,0))</formula>
    </cfRule>
  </conditionalFormatting>
  <conditionalFormatting sqref="AV57">
    <cfRule type="expression" priority="865" dxfId="17">
      <formula>AV57="X"</formula>
    </cfRule>
    <cfRule type="expression" priority="866" dxfId="16">
      <formula>AV57="후보"</formula>
    </cfRule>
  </conditionalFormatting>
  <conditionalFormatting sqref="AC57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57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57">
    <cfRule type="expression" priority="856" dxfId="3">
      <formula>AND(IF(OR($Q57=1,$Q57=2),1,0),IF($X57&lt;=20,1,0))</formula>
    </cfRule>
    <cfRule type="expression" priority="857" dxfId="2">
      <formula>AND(IF($Q57=2,1,0),IF($X57&lt;30,1,0))</formula>
    </cfRule>
    <cfRule type="expression" priority="858" dxfId="1">
      <formula>AND(IF($Q57=3,1,0),IF($X57&lt;30,1,0))</formula>
    </cfRule>
    <cfRule type="expression" priority="859" dxfId="0">
      <formula>AND(IF($Q57=3,1,IF($Q57=4,1,0)),IF($F57&lt;=85,1,0))</formula>
    </cfRule>
  </conditionalFormatting>
  <conditionalFormatting sqref="X57">
    <cfRule type="expression" priority="852" dxfId="3">
      <formula>AND(IF(OR($Q57=1,$Q57=2),1,0),IF($X57&lt;=20,1,0))</formula>
    </cfRule>
    <cfRule type="expression" priority="853" dxfId="2">
      <formula>AND(IF($Q57=2,1,0),IF($X57&lt;30,1,0))</formula>
    </cfRule>
    <cfRule type="expression" priority="854" dxfId="1">
      <formula>AND(IF($Q57=3,1,0),IF($X57&lt;30,1,0))</formula>
    </cfRule>
    <cfRule type="expression" priority="855" dxfId="0">
      <formula>AND(IF($Q57=3,1,IF($Q57=4,1,0)),IF($F57&lt;=85,1,0))</formula>
    </cfRule>
  </conditionalFormatting>
  <conditionalFormatting sqref="AI57">
    <cfRule type="expression" priority="848" dxfId="3">
      <formula>AND(IF(OR($Q57=1,$Q57=2),1,0),IF($X57&lt;=20,1,0))</formula>
    </cfRule>
    <cfRule type="expression" priority="849" dxfId="2">
      <formula>AND(IF($Q57=2,1,0),IF($X57&lt;30,1,0))</formula>
    </cfRule>
    <cfRule type="expression" priority="850" dxfId="1">
      <formula>AND(IF($Q57=3,1,0),IF($X57&lt;30,1,0))</formula>
    </cfRule>
    <cfRule type="expression" priority="851" dxfId="0">
      <formula>AND(IF($Q57=3,1,IF($Q57=4,1,0)),IF($F57&lt;=85,1,0))</formula>
    </cfRule>
  </conditionalFormatting>
  <conditionalFormatting sqref="AV58">
    <cfRule type="expression" priority="846" dxfId="17">
      <formula>AV58="X"</formula>
    </cfRule>
    <cfRule type="expression" priority="847" dxfId="16">
      <formula>AV58="후보"</formula>
    </cfRule>
  </conditionalFormatting>
  <conditionalFormatting sqref="AC58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5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58">
    <cfRule type="expression" priority="837" dxfId="3">
      <formula>AND(IF(OR($Q58=1,$Q58=2),1,0),IF($X58&lt;=20,1,0))</formula>
    </cfRule>
    <cfRule type="expression" priority="838" dxfId="2">
      <formula>AND(IF($Q58=2,1,0),IF($X58&lt;30,1,0))</formula>
    </cfRule>
    <cfRule type="expression" priority="839" dxfId="1">
      <formula>AND(IF($Q58=3,1,0),IF($X58&lt;30,1,0))</formula>
    </cfRule>
    <cfRule type="expression" priority="840" dxfId="0">
      <formula>AND(IF($Q58=3,1,IF($Q58=4,1,0)),IF($F58&lt;=85,1,0))</formula>
    </cfRule>
  </conditionalFormatting>
  <conditionalFormatting sqref="X58">
    <cfRule type="expression" priority="833" dxfId="3">
      <formula>AND(IF(OR($Q58=1,$Q58=2),1,0),IF($X58&lt;=20,1,0))</formula>
    </cfRule>
    <cfRule type="expression" priority="834" dxfId="2">
      <formula>AND(IF($Q58=2,1,0),IF($X58&lt;30,1,0))</formula>
    </cfRule>
    <cfRule type="expression" priority="835" dxfId="1">
      <formula>AND(IF($Q58=3,1,0),IF($X58&lt;30,1,0))</formula>
    </cfRule>
    <cfRule type="expression" priority="836" dxfId="0">
      <formula>AND(IF($Q58=3,1,IF($Q58=4,1,0)),IF($F58&lt;=85,1,0))</formula>
    </cfRule>
  </conditionalFormatting>
  <conditionalFormatting sqref="AI58">
    <cfRule type="expression" priority="829" dxfId="3">
      <formula>AND(IF(OR($Q58=1,$Q58=2),1,0),IF($X58&lt;=20,1,0))</formula>
    </cfRule>
    <cfRule type="expression" priority="830" dxfId="2">
      <formula>AND(IF($Q58=2,1,0),IF($X58&lt;30,1,0))</formula>
    </cfRule>
    <cfRule type="expression" priority="831" dxfId="1">
      <formula>AND(IF($Q58=3,1,0),IF($X58&lt;30,1,0))</formula>
    </cfRule>
    <cfRule type="expression" priority="832" dxfId="0">
      <formula>AND(IF($Q58=3,1,IF($Q58=4,1,0)),IF($F58&lt;=85,1,0))</formula>
    </cfRule>
  </conditionalFormatting>
  <conditionalFormatting sqref="AV59">
    <cfRule type="expression" priority="827" dxfId="17">
      <formula>AV59="X"</formula>
    </cfRule>
    <cfRule type="expression" priority="828" dxfId="16">
      <formula>AV59="후보"</formula>
    </cfRule>
  </conditionalFormatting>
  <conditionalFormatting sqref="AC59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59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59">
    <cfRule type="expression" priority="818" dxfId="3">
      <formula>AND(IF(OR($Q59=1,$Q59=2),1,0),IF($X59&lt;=20,1,0))</formula>
    </cfRule>
    <cfRule type="expression" priority="819" dxfId="2">
      <formula>AND(IF($Q59=2,1,0),IF($X59&lt;30,1,0))</formula>
    </cfRule>
    <cfRule type="expression" priority="820" dxfId="1">
      <formula>AND(IF($Q59=3,1,0),IF($X59&lt;30,1,0))</formula>
    </cfRule>
    <cfRule type="expression" priority="821" dxfId="0">
      <formula>AND(IF($Q59=3,1,IF($Q59=4,1,0)),IF($F59&lt;=85,1,0))</formula>
    </cfRule>
  </conditionalFormatting>
  <conditionalFormatting sqref="X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AI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V60">
    <cfRule type="expression" priority="808" dxfId="17">
      <formula>AV60="X"</formula>
    </cfRule>
    <cfRule type="expression" priority="809" dxfId="16">
      <formula>AV60="후보"</formula>
    </cfRule>
  </conditionalFormatting>
  <conditionalFormatting sqref="AC6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60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60">
    <cfRule type="expression" priority="799" dxfId="3">
      <formula>AND(IF(OR($Q60=1,$Q60=2),1,0),IF($X60&lt;=20,1,0))</formula>
    </cfRule>
    <cfRule type="expression" priority="800" dxfId="2">
      <formula>AND(IF($Q60=2,1,0),IF($X60&lt;30,1,0))</formula>
    </cfRule>
    <cfRule type="expression" priority="801" dxfId="1">
      <formula>AND(IF($Q60=3,1,0),IF($X60&lt;30,1,0))</formula>
    </cfRule>
    <cfRule type="expression" priority="802" dxfId="0">
      <formula>AND(IF($Q60=3,1,IF($Q60=4,1,0)),IF($F60&lt;=85,1,0))</formula>
    </cfRule>
  </conditionalFormatting>
  <conditionalFormatting sqref="X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AI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V61">
    <cfRule type="expression" priority="789" dxfId="17">
      <formula>AV61="X"</formula>
    </cfRule>
    <cfRule type="expression" priority="790" dxfId="16">
      <formula>AV61="후보"</formula>
    </cfRule>
  </conditionalFormatting>
  <conditionalFormatting sqref="AC61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61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61">
    <cfRule type="expression" priority="780" dxfId="3">
      <formula>AND(IF(OR($Q61=1,$Q61=2),1,0),IF($X61&lt;=20,1,0))</formula>
    </cfRule>
    <cfRule type="expression" priority="781" dxfId="2">
      <formula>AND(IF($Q61=2,1,0),IF($X61&lt;30,1,0))</formula>
    </cfRule>
    <cfRule type="expression" priority="782" dxfId="1">
      <formula>AND(IF($Q61=3,1,0),IF($X61&lt;30,1,0))</formula>
    </cfRule>
    <cfRule type="expression" priority="783" dxfId="0">
      <formula>AND(IF($Q61=3,1,IF($Q61=4,1,0)),IF($F61&lt;=85,1,0))</formula>
    </cfRule>
  </conditionalFormatting>
  <conditionalFormatting sqref="X61">
    <cfRule type="expression" priority="776" dxfId="3">
      <formula>AND(IF(OR($Q61=1,$Q61=2),1,0),IF($X61&lt;=20,1,0))</formula>
    </cfRule>
    <cfRule type="expression" priority="777" dxfId="2">
      <formula>AND(IF($Q61=2,1,0),IF($X61&lt;30,1,0))</formula>
    </cfRule>
    <cfRule type="expression" priority="778" dxfId="1">
      <formula>AND(IF($Q61=3,1,0),IF($X61&lt;30,1,0))</formula>
    </cfRule>
    <cfRule type="expression" priority="779" dxfId="0">
      <formula>AND(IF($Q61=3,1,IF($Q61=4,1,0)),IF($F61&lt;=85,1,0))</formula>
    </cfRule>
  </conditionalFormatting>
  <conditionalFormatting sqref="AI61">
    <cfRule type="expression" priority="772" dxfId="3">
      <formula>AND(IF(OR($Q61=1,$Q61=2),1,0),IF($X61&lt;=20,1,0))</formula>
    </cfRule>
    <cfRule type="expression" priority="773" dxfId="2">
      <formula>AND(IF($Q61=2,1,0),IF($X61&lt;30,1,0))</formula>
    </cfRule>
    <cfRule type="expression" priority="774" dxfId="1">
      <formula>AND(IF($Q61=3,1,0),IF($X61&lt;30,1,0))</formula>
    </cfRule>
    <cfRule type="expression" priority="775" dxfId="0">
      <formula>AND(IF($Q61=3,1,IF($Q61=4,1,0)),IF($F61&lt;=85,1,0))</formula>
    </cfRule>
  </conditionalFormatting>
  <conditionalFormatting sqref="AV62">
    <cfRule type="expression" priority="770" dxfId="17">
      <formula>AV62="X"</formula>
    </cfRule>
    <cfRule type="expression" priority="771" dxfId="16">
      <formula>AV62="후보"</formula>
    </cfRule>
  </conditionalFormatting>
  <conditionalFormatting sqref="AC62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62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62">
    <cfRule type="expression" priority="761" dxfId="3">
      <formula>AND(IF(OR($Q62=1,$Q62=2),1,0),IF($X62&lt;=20,1,0))</formula>
    </cfRule>
    <cfRule type="expression" priority="762" dxfId="2">
      <formula>AND(IF($Q62=2,1,0),IF($X62&lt;30,1,0))</formula>
    </cfRule>
    <cfRule type="expression" priority="763" dxfId="1">
      <formula>AND(IF($Q62=3,1,0),IF($X62&lt;30,1,0))</formula>
    </cfRule>
    <cfRule type="expression" priority="764" dxfId="0">
      <formula>AND(IF($Q62=3,1,IF($Q62=4,1,0)),IF($F62&lt;=85,1,0))</formula>
    </cfRule>
  </conditionalFormatting>
  <conditionalFormatting sqref="X62">
    <cfRule type="expression" priority="757" dxfId="3">
      <formula>AND(IF(OR($Q62=1,$Q62=2),1,0),IF($X62&lt;=20,1,0))</formula>
    </cfRule>
    <cfRule type="expression" priority="758" dxfId="2">
      <formula>AND(IF($Q62=2,1,0),IF($X62&lt;30,1,0))</formula>
    </cfRule>
    <cfRule type="expression" priority="759" dxfId="1">
      <formula>AND(IF($Q62=3,1,0),IF($X62&lt;30,1,0))</formula>
    </cfRule>
    <cfRule type="expression" priority="760" dxfId="0">
      <formula>AND(IF($Q62=3,1,IF($Q62=4,1,0)),IF($F62&lt;=85,1,0))</formula>
    </cfRule>
  </conditionalFormatting>
  <conditionalFormatting sqref="AI62">
    <cfRule type="expression" priority="753" dxfId="3">
      <formula>AND(IF(OR($Q62=1,$Q62=2),1,0),IF($X62&lt;=20,1,0))</formula>
    </cfRule>
    <cfRule type="expression" priority="754" dxfId="2">
      <formula>AND(IF($Q62=2,1,0),IF($X62&lt;30,1,0))</formula>
    </cfRule>
    <cfRule type="expression" priority="755" dxfId="1">
      <formula>AND(IF($Q62=3,1,0),IF($X62&lt;30,1,0))</formula>
    </cfRule>
    <cfRule type="expression" priority="756" dxfId="0">
      <formula>AND(IF($Q62=3,1,IF($Q62=4,1,0)),IF($F62&lt;=85,1,0))</formula>
    </cfRule>
  </conditionalFormatting>
  <conditionalFormatting sqref="AV63">
    <cfRule type="expression" priority="751" dxfId="17">
      <formula>AV63="X"</formula>
    </cfRule>
    <cfRule type="expression" priority="752" dxfId="16">
      <formula>AV63="후보"</formula>
    </cfRule>
  </conditionalFormatting>
  <conditionalFormatting sqref="AC6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6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63">
    <cfRule type="expression" priority="742" dxfId="3">
      <formula>AND(IF(OR($Q63=1,$Q63=2),1,0),IF($X63&lt;=20,1,0))</formula>
    </cfRule>
    <cfRule type="expression" priority="743" dxfId="2">
      <formula>AND(IF($Q63=2,1,0),IF($X63&lt;30,1,0))</formula>
    </cfRule>
    <cfRule type="expression" priority="744" dxfId="1">
      <formula>AND(IF($Q63=3,1,0),IF($X63&lt;30,1,0))</formula>
    </cfRule>
    <cfRule type="expression" priority="745" dxfId="0">
      <formula>AND(IF($Q63=3,1,IF($Q63=4,1,0)),IF($F63&lt;=85,1,0))</formula>
    </cfRule>
  </conditionalFormatting>
  <conditionalFormatting sqref="X63">
    <cfRule type="expression" priority="738" dxfId="3">
      <formula>AND(IF(OR($Q63=1,$Q63=2),1,0),IF($X63&lt;=20,1,0))</formula>
    </cfRule>
    <cfRule type="expression" priority="739" dxfId="2">
      <formula>AND(IF($Q63=2,1,0),IF($X63&lt;30,1,0))</formula>
    </cfRule>
    <cfRule type="expression" priority="740" dxfId="1">
      <formula>AND(IF($Q63=3,1,0),IF($X63&lt;30,1,0))</formula>
    </cfRule>
    <cfRule type="expression" priority="741" dxfId="0">
      <formula>AND(IF($Q63=3,1,IF($Q63=4,1,0)),IF($F63&lt;=85,1,0))</formula>
    </cfRule>
  </conditionalFormatting>
  <conditionalFormatting sqref="AI63">
    <cfRule type="expression" priority="734" dxfId="3">
      <formula>AND(IF(OR($Q63=1,$Q63=2),1,0),IF($X63&lt;=20,1,0))</formula>
    </cfRule>
    <cfRule type="expression" priority="735" dxfId="2">
      <formula>AND(IF($Q63=2,1,0),IF($X63&lt;30,1,0))</formula>
    </cfRule>
    <cfRule type="expression" priority="736" dxfId="1">
      <formula>AND(IF($Q63=3,1,0),IF($X63&lt;30,1,0))</formula>
    </cfRule>
    <cfRule type="expression" priority="737" dxfId="0">
      <formula>AND(IF($Q63=3,1,IF($Q63=4,1,0)),IF($F63&lt;=85,1,0))</formula>
    </cfRule>
  </conditionalFormatting>
  <conditionalFormatting sqref="AV64">
    <cfRule type="expression" priority="732" dxfId="17">
      <formula>AV64="X"</formula>
    </cfRule>
    <cfRule type="expression" priority="733" dxfId="16">
      <formula>AV64="후보"</formula>
    </cfRule>
  </conditionalFormatting>
  <conditionalFormatting sqref="AC64 N6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AV65">
    <cfRule type="expression" priority="727" dxfId="17">
      <formula>AV65="X"</formula>
    </cfRule>
    <cfRule type="expression" priority="728" dxfId="16">
      <formula>AV65="후보"</formula>
    </cfRule>
  </conditionalFormatting>
  <conditionalFormatting sqref="AC65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5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5">
    <cfRule type="expression" priority="718" dxfId="3">
      <formula>AND(IF(OR($Q65=1,$Q65=2),1,0),IF($X65&lt;=20,1,0))</formula>
    </cfRule>
    <cfRule type="expression" priority="719" dxfId="2">
      <formula>AND(IF($Q65=2,1,0),IF($X65&lt;30,1,0))</formula>
    </cfRule>
    <cfRule type="expression" priority="720" dxfId="1">
      <formula>AND(IF($Q65=3,1,0),IF($X65&lt;30,1,0))</formula>
    </cfRule>
    <cfRule type="expression" priority="721" dxfId="0">
      <formula>AND(IF($Q65=3,1,IF($Q65=4,1,0)),IF($F65&lt;=85,1,0))</formula>
    </cfRule>
  </conditionalFormatting>
  <conditionalFormatting sqref="X65">
    <cfRule type="expression" priority="714" dxfId="3">
      <formula>AND(IF(OR($Q65=1,$Q65=2),1,0),IF($X65&lt;=20,1,0))</formula>
    </cfRule>
    <cfRule type="expression" priority="715" dxfId="2">
      <formula>AND(IF($Q65=2,1,0),IF($X65&lt;30,1,0))</formula>
    </cfRule>
    <cfRule type="expression" priority="716" dxfId="1">
      <formula>AND(IF($Q65=3,1,0),IF($X65&lt;30,1,0))</formula>
    </cfRule>
    <cfRule type="expression" priority="717" dxfId="0">
      <formula>AND(IF($Q65=3,1,IF($Q65=4,1,0)),IF($F65&lt;=85,1,0))</formula>
    </cfRule>
  </conditionalFormatting>
  <conditionalFormatting sqref="AI65">
    <cfRule type="expression" priority="710" dxfId="3">
      <formula>AND(IF(OR($Q65=1,$Q65=2),1,0),IF($X65&lt;=20,1,0))</formula>
    </cfRule>
    <cfRule type="expression" priority="711" dxfId="2">
      <formula>AND(IF($Q65=2,1,0),IF($X65&lt;30,1,0))</formula>
    </cfRule>
    <cfRule type="expression" priority="712" dxfId="1">
      <formula>AND(IF($Q65=3,1,0),IF($X65&lt;30,1,0))</formula>
    </cfRule>
    <cfRule type="expression" priority="713" dxfId="0">
      <formula>AND(IF($Q65=3,1,IF($Q65=4,1,0)),IF($F65&lt;=85,1,0))</formula>
    </cfRule>
  </conditionalFormatting>
  <conditionalFormatting sqref="AV66">
    <cfRule type="expression" priority="708" dxfId="17">
      <formula>AV66="X"</formula>
    </cfRule>
    <cfRule type="expression" priority="709" dxfId="16">
      <formula>AV66="후보"</formula>
    </cfRule>
  </conditionalFormatting>
  <conditionalFormatting sqref="AC6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6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66">
    <cfRule type="expression" priority="699" dxfId="3">
      <formula>AND(IF(OR($Q66=1,$Q66=2),1,0),IF($X66&lt;=20,1,0))</formula>
    </cfRule>
    <cfRule type="expression" priority="700" dxfId="2">
      <formula>AND(IF($Q66=2,1,0),IF($X66&lt;30,1,0))</formula>
    </cfRule>
    <cfRule type="expression" priority="701" dxfId="1">
      <formula>AND(IF($Q66=3,1,0),IF($X66&lt;30,1,0))</formula>
    </cfRule>
    <cfRule type="expression" priority="702" dxfId="0">
      <formula>AND(IF($Q66=3,1,IF($Q66=4,1,0)),IF($F66&lt;=85,1,0))</formula>
    </cfRule>
  </conditionalFormatting>
  <conditionalFormatting sqref="X66">
    <cfRule type="expression" priority="695" dxfId="3">
      <formula>AND(IF(OR($Q66=1,$Q66=2),1,0),IF($X66&lt;=20,1,0))</formula>
    </cfRule>
    <cfRule type="expression" priority="696" dxfId="2">
      <formula>AND(IF($Q66=2,1,0),IF($X66&lt;30,1,0))</formula>
    </cfRule>
    <cfRule type="expression" priority="697" dxfId="1">
      <formula>AND(IF($Q66=3,1,0),IF($X66&lt;30,1,0))</formula>
    </cfRule>
    <cfRule type="expression" priority="698" dxfId="0">
      <formula>AND(IF($Q66=3,1,IF($Q66=4,1,0)),IF($F66&lt;=85,1,0))</formula>
    </cfRule>
  </conditionalFormatting>
  <conditionalFormatting sqref="AI66">
    <cfRule type="expression" priority="691" dxfId="3">
      <formula>AND(IF(OR($Q66=1,$Q66=2),1,0),IF($X66&lt;=20,1,0))</formula>
    </cfRule>
    <cfRule type="expression" priority="692" dxfId="2">
      <formula>AND(IF($Q66=2,1,0),IF($X66&lt;30,1,0))</formula>
    </cfRule>
    <cfRule type="expression" priority="693" dxfId="1">
      <formula>AND(IF($Q66=3,1,0),IF($X66&lt;30,1,0))</formula>
    </cfRule>
    <cfRule type="expression" priority="694" dxfId="0">
      <formula>AND(IF($Q66=3,1,IF($Q66=4,1,0)),IF($F66&lt;=85,1,0))</formula>
    </cfRule>
  </conditionalFormatting>
  <conditionalFormatting sqref="AV67">
    <cfRule type="expression" priority="689" dxfId="17">
      <formula>AV67="X"</formula>
    </cfRule>
    <cfRule type="expression" priority="690" dxfId="16">
      <formula>AV67="후보"</formula>
    </cfRule>
  </conditionalFormatting>
  <conditionalFormatting sqref="AC6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6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67">
    <cfRule type="expression" priority="680" dxfId="3">
      <formula>AND(IF(OR($Q67=1,$Q67=2),1,0),IF($X67&lt;=20,1,0))</formula>
    </cfRule>
    <cfRule type="expression" priority="681" dxfId="2">
      <formula>AND(IF($Q67=2,1,0),IF($X67&lt;30,1,0))</formula>
    </cfRule>
    <cfRule type="expression" priority="682" dxfId="1">
      <formula>AND(IF($Q67=3,1,0),IF($X67&lt;30,1,0))</formula>
    </cfRule>
    <cfRule type="expression" priority="683" dxfId="0">
      <formula>AND(IF($Q67=3,1,IF($Q67=4,1,0)),IF($F67&lt;=85,1,0))</formula>
    </cfRule>
  </conditionalFormatting>
  <conditionalFormatting sqref="X67">
    <cfRule type="expression" priority="676" dxfId="3">
      <formula>AND(IF(OR($Q67=1,$Q67=2),1,0),IF($X67&lt;=20,1,0))</formula>
    </cfRule>
    <cfRule type="expression" priority="677" dxfId="2">
      <formula>AND(IF($Q67=2,1,0),IF($X67&lt;30,1,0))</formula>
    </cfRule>
    <cfRule type="expression" priority="678" dxfId="1">
      <formula>AND(IF($Q67=3,1,0),IF($X67&lt;30,1,0))</formula>
    </cfRule>
    <cfRule type="expression" priority="679" dxfId="0">
      <formula>AND(IF($Q67=3,1,IF($Q67=4,1,0)),IF($F67&lt;=85,1,0))</formula>
    </cfRule>
  </conditionalFormatting>
  <conditionalFormatting sqref="AI67">
    <cfRule type="expression" priority="672" dxfId="3">
      <formula>AND(IF(OR($Q67=1,$Q67=2),1,0),IF($X67&lt;=20,1,0))</formula>
    </cfRule>
    <cfRule type="expression" priority="673" dxfId="2">
      <formula>AND(IF($Q67=2,1,0),IF($X67&lt;30,1,0))</formula>
    </cfRule>
    <cfRule type="expression" priority="674" dxfId="1">
      <formula>AND(IF($Q67=3,1,0),IF($X67&lt;30,1,0))</formula>
    </cfRule>
    <cfRule type="expression" priority="675" dxfId="0">
      <formula>AND(IF($Q67=3,1,IF($Q67=4,1,0)),IF($F67&lt;=85,1,0))</formula>
    </cfRule>
  </conditionalFormatting>
  <conditionalFormatting sqref="AV68">
    <cfRule type="expression" priority="670" dxfId="17">
      <formula>AV68="X"</formula>
    </cfRule>
    <cfRule type="expression" priority="671" dxfId="16">
      <formula>AV68="후보"</formula>
    </cfRule>
  </conditionalFormatting>
  <conditionalFormatting sqref="AC6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6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68">
    <cfRule type="expression" priority="661" dxfId="3">
      <formula>AND(IF(OR($Q68=1,$Q68=2),1,0),IF($X68&lt;=20,1,0))</formula>
    </cfRule>
    <cfRule type="expression" priority="662" dxfId="2">
      <formula>AND(IF($Q68=2,1,0),IF($X68&lt;30,1,0))</formula>
    </cfRule>
    <cfRule type="expression" priority="663" dxfId="1">
      <formula>AND(IF($Q68=3,1,0),IF($X68&lt;30,1,0))</formula>
    </cfRule>
    <cfRule type="expression" priority="664" dxfId="0">
      <formula>AND(IF($Q68=3,1,IF($Q68=4,1,0)),IF($F68&lt;=85,1,0))</formula>
    </cfRule>
  </conditionalFormatting>
  <conditionalFormatting sqref="X68">
    <cfRule type="expression" priority="657" dxfId="3">
      <formula>AND(IF(OR($Q68=1,$Q68=2),1,0),IF($X68&lt;=20,1,0))</formula>
    </cfRule>
    <cfRule type="expression" priority="658" dxfId="2">
      <formula>AND(IF($Q68=2,1,0),IF($X68&lt;30,1,0))</formula>
    </cfRule>
    <cfRule type="expression" priority="659" dxfId="1">
      <formula>AND(IF($Q68=3,1,0),IF($X68&lt;30,1,0))</formula>
    </cfRule>
    <cfRule type="expression" priority="660" dxfId="0">
      <formula>AND(IF($Q68=3,1,IF($Q68=4,1,0)),IF($F68&lt;=85,1,0))</formula>
    </cfRule>
  </conditionalFormatting>
  <conditionalFormatting sqref="AI68">
    <cfRule type="expression" priority="653" dxfId="3">
      <formula>AND(IF(OR($Q68=1,$Q68=2),1,0),IF($X68&lt;=20,1,0))</formula>
    </cfRule>
    <cfRule type="expression" priority="654" dxfId="2">
      <formula>AND(IF($Q68=2,1,0),IF($X68&lt;30,1,0))</formula>
    </cfRule>
    <cfRule type="expression" priority="655" dxfId="1">
      <formula>AND(IF($Q68=3,1,0),IF($X68&lt;30,1,0))</formula>
    </cfRule>
    <cfRule type="expression" priority="656" dxfId="0">
      <formula>AND(IF($Q68=3,1,IF($Q68=4,1,0)),IF($F68&lt;=85,1,0))</formula>
    </cfRule>
  </conditionalFormatting>
  <conditionalFormatting sqref="AV69">
    <cfRule type="expression" priority="651" dxfId="17">
      <formula>AV69="X"</formula>
    </cfRule>
    <cfRule type="expression" priority="652" dxfId="16">
      <formula>AV69="후보"</formula>
    </cfRule>
  </conditionalFormatting>
  <conditionalFormatting sqref="AC6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6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69">
    <cfRule type="expression" priority="642" dxfId="3">
      <formula>AND(IF(OR($Q69=1,$Q69=2),1,0),IF($X69&lt;=20,1,0))</formula>
    </cfRule>
    <cfRule type="expression" priority="643" dxfId="2">
      <formula>AND(IF($Q69=2,1,0),IF($X69&lt;30,1,0))</formula>
    </cfRule>
    <cfRule type="expression" priority="644" dxfId="1">
      <formula>AND(IF($Q69=3,1,0),IF($X69&lt;30,1,0))</formula>
    </cfRule>
    <cfRule type="expression" priority="645" dxfId="0">
      <formula>AND(IF($Q69=3,1,IF($Q69=4,1,0)),IF($F69&lt;=85,1,0))</formula>
    </cfRule>
  </conditionalFormatting>
  <conditionalFormatting sqref="X69">
    <cfRule type="expression" priority="638" dxfId="3">
      <formula>AND(IF(OR($Q69=1,$Q69=2),1,0),IF($X69&lt;=20,1,0))</formula>
    </cfRule>
    <cfRule type="expression" priority="639" dxfId="2">
      <formula>AND(IF($Q69=2,1,0),IF($X69&lt;30,1,0))</formula>
    </cfRule>
    <cfRule type="expression" priority="640" dxfId="1">
      <formula>AND(IF($Q69=3,1,0),IF($X69&lt;30,1,0))</formula>
    </cfRule>
    <cfRule type="expression" priority="641" dxfId="0">
      <formula>AND(IF($Q69=3,1,IF($Q69=4,1,0)),IF($F69&lt;=85,1,0))</formula>
    </cfRule>
  </conditionalFormatting>
  <conditionalFormatting sqref="AI69">
    <cfRule type="expression" priority="634" dxfId="3">
      <formula>AND(IF(OR($Q69=1,$Q69=2),1,0),IF($X69&lt;=20,1,0))</formula>
    </cfRule>
    <cfRule type="expression" priority="635" dxfId="2">
      <formula>AND(IF($Q69=2,1,0),IF($X69&lt;30,1,0))</formula>
    </cfRule>
    <cfRule type="expression" priority="636" dxfId="1">
      <formula>AND(IF($Q69=3,1,0),IF($X69&lt;30,1,0))</formula>
    </cfRule>
    <cfRule type="expression" priority="637" dxfId="0">
      <formula>AND(IF($Q69=3,1,IF($Q69=4,1,0)),IF($F69&lt;=85,1,0))</formula>
    </cfRule>
  </conditionalFormatting>
  <conditionalFormatting sqref="AV70">
    <cfRule type="expression" priority="632" dxfId="17">
      <formula>AV70="X"</formula>
    </cfRule>
    <cfRule type="expression" priority="633" dxfId="16">
      <formula>AV70="후보"</formula>
    </cfRule>
  </conditionalFormatting>
  <conditionalFormatting sqref="AC7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7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70">
    <cfRule type="expression" priority="623" dxfId="3">
      <formula>AND(IF(OR($Q70=1,$Q70=2),1,0),IF($X70&lt;=20,1,0))</formula>
    </cfRule>
    <cfRule type="expression" priority="624" dxfId="2">
      <formula>AND(IF($Q70=2,1,0),IF($X70&lt;30,1,0))</formula>
    </cfRule>
    <cfRule type="expression" priority="625" dxfId="1">
      <formula>AND(IF($Q70=3,1,0),IF($X70&lt;30,1,0))</formula>
    </cfRule>
    <cfRule type="expression" priority="626" dxfId="0">
      <formula>AND(IF($Q70=3,1,IF($Q70=4,1,0)),IF($F70&lt;=85,1,0))</formula>
    </cfRule>
  </conditionalFormatting>
  <conditionalFormatting sqref="X70">
    <cfRule type="expression" priority="619" dxfId="3">
      <formula>AND(IF(OR($Q70=1,$Q70=2),1,0),IF($X70&lt;=20,1,0))</formula>
    </cfRule>
    <cfRule type="expression" priority="620" dxfId="2">
      <formula>AND(IF($Q70=2,1,0),IF($X70&lt;30,1,0))</formula>
    </cfRule>
    <cfRule type="expression" priority="621" dxfId="1">
      <formula>AND(IF($Q70=3,1,0),IF($X70&lt;30,1,0))</formula>
    </cfRule>
    <cfRule type="expression" priority="622" dxfId="0">
      <formula>AND(IF($Q70=3,1,IF($Q70=4,1,0)),IF($F70&lt;=85,1,0))</formula>
    </cfRule>
  </conditionalFormatting>
  <conditionalFormatting sqref="AI70">
    <cfRule type="expression" priority="615" dxfId="3">
      <formula>AND(IF(OR($Q70=1,$Q70=2),1,0),IF($X70&lt;=20,1,0))</formula>
    </cfRule>
    <cfRule type="expression" priority="616" dxfId="2">
      <formula>AND(IF($Q70=2,1,0),IF($X70&lt;30,1,0))</formula>
    </cfRule>
    <cfRule type="expression" priority="617" dxfId="1">
      <formula>AND(IF($Q70=3,1,0),IF($X70&lt;30,1,0))</formula>
    </cfRule>
    <cfRule type="expression" priority="618" dxfId="0">
      <formula>AND(IF($Q70=3,1,IF($Q70=4,1,0)),IF($F70&lt;=85,1,0))</formula>
    </cfRule>
  </conditionalFormatting>
  <conditionalFormatting sqref="AV71">
    <cfRule type="expression" priority="613" dxfId="17">
      <formula>AV71="X"</formula>
    </cfRule>
    <cfRule type="expression" priority="614" dxfId="16">
      <formula>AV71="후보"</formula>
    </cfRule>
  </conditionalFormatting>
  <conditionalFormatting sqref="AC7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7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71">
    <cfRule type="expression" priority="604" dxfId="3">
      <formula>AND(IF(OR($Q71=1,$Q71=2),1,0),IF($X71&lt;=20,1,0))</formula>
    </cfRule>
    <cfRule type="expression" priority="605" dxfId="2">
      <formula>AND(IF($Q71=2,1,0),IF($X71&lt;30,1,0))</formula>
    </cfRule>
    <cfRule type="expression" priority="606" dxfId="1">
      <formula>AND(IF($Q71=3,1,0),IF($X71&lt;30,1,0))</formula>
    </cfRule>
    <cfRule type="expression" priority="607" dxfId="0">
      <formula>AND(IF($Q71=3,1,IF($Q71=4,1,0)),IF($F71&lt;=85,1,0))</formula>
    </cfRule>
  </conditionalFormatting>
  <conditionalFormatting sqref="X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AI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V72">
    <cfRule type="expression" priority="594" dxfId="17">
      <formula>AV72="X"</formula>
    </cfRule>
    <cfRule type="expression" priority="595" dxfId="16">
      <formula>AV72="후보"</formula>
    </cfRule>
  </conditionalFormatting>
  <conditionalFormatting sqref="AC7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7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72">
    <cfRule type="expression" priority="585" dxfId="3">
      <formula>AND(IF(OR($Q72=1,$Q72=2),1,0),IF($X72&lt;=20,1,0))</formula>
    </cfRule>
    <cfRule type="expression" priority="586" dxfId="2">
      <formula>AND(IF($Q72=2,1,0),IF($X72&lt;30,1,0))</formula>
    </cfRule>
    <cfRule type="expression" priority="587" dxfId="1">
      <formula>AND(IF($Q72=3,1,0),IF($X72&lt;30,1,0))</formula>
    </cfRule>
    <cfRule type="expression" priority="588" dxfId="0">
      <formula>AND(IF($Q72=3,1,IF($Q72=4,1,0)),IF($F72&lt;=85,1,0))</formula>
    </cfRule>
  </conditionalFormatting>
  <conditionalFormatting sqref="X72">
    <cfRule type="expression" priority="581" dxfId="3">
      <formula>AND(IF(OR($Q72=1,$Q72=2),1,0),IF($X72&lt;=20,1,0))</formula>
    </cfRule>
    <cfRule type="expression" priority="582" dxfId="2">
      <formula>AND(IF($Q72=2,1,0),IF($X72&lt;30,1,0))</formula>
    </cfRule>
    <cfRule type="expression" priority="583" dxfId="1">
      <formula>AND(IF($Q72=3,1,0),IF($X72&lt;30,1,0))</formula>
    </cfRule>
    <cfRule type="expression" priority="584" dxfId="0">
      <formula>AND(IF($Q72=3,1,IF($Q72=4,1,0)),IF($F72&lt;=85,1,0))</formula>
    </cfRule>
  </conditionalFormatting>
  <conditionalFormatting sqref="AI72">
    <cfRule type="expression" priority="577" dxfId="3">
      <formula>AND(IF(OR($Q72=1,$Q72=2),1,0),IF($X72&lt;=20,1,0))</formula>
    </cfRule>
    <cfRule type="expression" priority="578" dxfId="2">
      <formula>AND(IF($Q72=2,1,0),IF($X72&lt;30,1,0))</formula>
    </cfRule>
    <cfRule type="expression" priority="579" dxfId="1">
      <formula>AND(IF($Q72=3,1,0),IF($X72&lt;30,1,0))</formula>
    </cfRule>
    <cfRule type="expression" priority="580" dxfId="0">
      <formula>AND(IF($Q72=3,1,IF($Q72=4,1,0)),IF($F72&lt;=85,1,0))</formula>
    </cfRule>
  </conditionalFormatting>
  <conditionalFormatting sqref="AV73">
    <cfRule type="expression" priority="575" dxfId="17">
      <formula>AV73="X"</formula>
    </cfRule>
    <cfRule type="expression" priority="576" dxfId="16">
      <formula>AV73="후보"</formula>
    </cfRule>
  </conditionalFormatting>
  <conditionalFormatting sqref="AC7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3">
    <cfRule type="expression" priority="566" dxfId="3">
      <formula>AND(IF(OR($Q73=1,$Q73=2),1,0),IF($X73&lt;=20,1,0))</formula>
    </cfRule>
    <cfRule type="expression" priority="567" dxfId="2">
      <formula>AND(IF($Q73=2,1,0),IF($X73&lt;30,1,0))</formula>
    </cfRule>
    <cfRule type="expression" priority="568" dxfId="1">
      <formula>AND(IF($Q73=3,1,0),IF($X73&lt;30,1,0))</formula>
    </cfRule>
    <cfRule type="expression" priority="569" dxfId="0">
      <formula>AND(IF($Q73=3,1,IF($Q73=4,1,0)),IF($F73&lt;=85,1,0))</formula>
    </cfRule>
  </conditionalFormatting>
  <conditionalFormatting sqref="X73">
    <cfRule type="expression" priority="562" dxfId="3">
      <formula>AND(IF(OR($Q73=1,$Q73=2),1,0),IF($X73&lt;=20,1,0))</formula>
    </cfRule>
    <cfRule type="expression" priority="563" dxfId="2">
      <formula>AND(IF($Q73=2,1,0),IF($X73&lt;30,1,0))</formula>
    </cfRule>
    <cfRule type="expression" priority="564" dxfId="1">
      <formula>AND(IF($Q73=3,1,0),IF($X73&lt;30,1,0))</formula>
    </cfRule>
    <cfRule type="expression" priority="565" dxfId="0">
      <formula>AND(IF($Q73=3,1,IF($Q73=4,1,0)),IF($F73&lt;=85,1,0))</formula>
    </cfRule>
  </conditionalFormatting>
  <conditionalFormatting sqref="AI73">
    <cfRule type="expression" priority="558" dxfId="3">
      <formula>AND(IF(OR($Q73=1,$Q73=2),1,0),IF($X73&lt;=20,1,0))</formula>
    </cfRule>
    <cfRule type="expression" priority="559" dxfId="2">
      <formula>AND(IF($Q73=2,1,0),IF($X73&lt;30,1,0))</formula>
    </cfRule>
    <cfRule type="expression" priority="560" dxfId="1">
      <formula>AND(IF($Q73=3,1,0),IF($X73&lt;30,1,0))</formula>
    </cfRule>
    <cfRule type="expression" priority="561" dxfId="0">
      <formula>AND(IF($Q73=3,1,IF($Q73=4,1,0)),IF($F73&lt;=85,1,0))</formula>
    </cfRule>
  </conditionalFormatting>
  <conditionalFormatting sqref="AV74">
    <cfRule type="expression" priority="556" dxfId="17">
      <formula>AV74="X"</formula>
    </cfRule>
    <cfRule type="expression" priority="557" dxfId="16">
      <formula>AV74="후보"</formula>
    </cfRule>
  </conditionalFormatting>
  <conditionalFormatting sqref="AC7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74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74">
    <cfRule type="expression" priority="547" dxfId="3">
      <formula>AND(IF(OR($Q74=1,$Q74=2),1,0),IF($X74&lt;=20,1,0))</formula>
    </cfRule>
    <cfRule type="expression" priority="548" dxfId="2">
      <formula>AND(IF($Q74=2,1,0),IF($X74&lt;30,1,0))</formula>
    </cfRule>
    <cfRule type="expression" priority="549" dxfId="1">
      <formula>AND(IF($Q74=3,1,0),IF($X74&lt;30,1,0))</formula>
    </cfRule>
    <cfRule type="expression" priority="550" dxfId="0">
      <formula>AND(IF($Q74=3,1,IF($Q74=4,1,0)),IF($F74&lt;=85,1,0))</formula>
    </cfRule>
  </conditionalFormatting>
  <conditionalFormatting sqref="X74">
    <cfRule type="expression" priority="543" dxfId="3">
      <formula>AND(IF(OR($Q74=1,$Q74=2),1,0),IF($X74&lt;=20,1,0))</formula>
    </cfRule>
    <cfRule type="expression" priority="544" dxfId="2">
      <formula>AND(IF($Q74=2,1,0),IF($X74&lt;30,1,0))</formula>
    </cfRule>
    <cfRule type="expression" priority="545" dxfId="1">
      <formula>AND(IF($Q74=3,1,0),IF($X74&lt;30,1,0))</formula>
    </cfRule>
    <cfRule type="expression" priority="546" dxfId="0">
      <formula>AND(IF($Q74=3,1,IF($Q74=4,1,0)),IF($F74&lt;=85,1,0))</formula>
    </cfRule>
  </conditionalFormatting>
  <conditionalFormatting sqref="AI74">
    <cfRule type="expression" priority="539" dxfId="3">
      <formula>AND(IF(OR($Q74=1,$Q74=2),1,0),IF($X74&lt;=20,1,0))</formula>
    </cfRule>
    <cfRule type="expression" priority="540" dxfId="2">
      <formula>AND(IF($Q74=2,1,0),IF($X74&lt;30,1,0))</formula>
    </cfRule>
    <cfRule type="expression" priority="541" dxfId="1">
      <formula>AND(IF($Q74=3,1,0),IF($X74&lt;30,1,0))</formula>
    </cfRule>
    <cfRule type="expression" priority="542" dxfId="0">
      <formula>AND(IF($Q74=3,1,IF($Q74=4,1,0)),IF($F74&lt;=85,1,0))</formula>
    </cfRule>
  </conditionalFormatting>
  <conditionalFormatting sqref="AV75">
    <cfRule type="expression" priority="537" dxfId="17">
      <formula>AV75="X"</formula>
    </cfRule>
    <cfRule type="expression" priority="538" dxfId="16">
      <formula>AV75="후보"</formula>
    </cfRule>
  </conditionalFormatting>
  <conditionalFormatting sqref="AC7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5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5">
    <cfRule type="expression" priority="528" dxfId="3">
      <formula>AND(IF(OR($Q75=1,$Q75=2),1,0),IF($X75&lt;=20,1,0))</formula>
    </cfRule>
    <cfRule type="expression" priority="529" dxfId="2">
      <formula>AND(IF($Q75=2,1,0),IF($X75&lt;30,1,0))</formula>
    </cfRule>
    <cfRule type="expression" priority="530" dxfId="1">
      <formula>AND(IF($Q75=3,1,0),IF($X75&lt;30,1,0))</formula>
    </cfRule>
    <cfRule type="expression" priority="531" dxfId="0">
      <formula>AND(IF($Q75=3,1,IF($Q75=4,1,0)),IF($F75&lt;=85,1,0))</formula>
    </cfRule>
  </conditionalFormatting>
  <conditionalFormatting sqref="X75">
    <cfRule type="expression" priority="524" dxfId="3">
      <formula>AND(IF(OR($Q75=1,$Q75=2),1,0),IF($X75&lt;=20,1,0))</formula>
    </cfRule>
    <cfRule type="expression" priority="525" dxfId="2">
      <formula>AND(IF($Q75=2,1,0),IF($X75&lt;30,1,0))</formula>
    </cfRule>
    <cfRule type="expression" priority="526" dxfId="1">
      <formula>AND(IF($Q75=3,1,0),IF($X75&lt;30,1,0))</formula>
    </cfRule>
    <cfRule type="expression" priority="527" dxfId="0">
      <formula>AND(IF($Q75=3,1,IF($Q75=4,1,0)),IF($F75&lt;=85,1,0))</formula>
    </cfRule>
  </conditionalFormatting>
  <conditionalFormatting sqref="AI75">
    <cfRule type="expression" priority="520" dxfId="3">
      <formula>AND(IF(OR($Q75=1,$Q75=2),1,0),IF($X75&lt;=20,1,0))</formula>
    </cfRule>
    <cfRule type="expression" priority="521" dxfId="2">
      <formula>AND(IF($Q75=2,1,0),IF($X75&lt;30,1,0))</formula>
    </cfRule>
    <cfRule type="expression" priority="522" dxfId="1">
      <formula>AND(IF($Q75=3,1,0),IF($X75&lt;30,1,0))</formula>
    </cfRule>
    <cfRule type="expression" priority="523" dxfId="0">
      <formula>AND(IF($Q75=3,1,IF($Q75=4,1,0)),IF($F75&lt;=85,1,0))</formula>
    </cfRule>
  </conditionalFormatting>
  <conditionalFormatting sqref="AV76">
    <cfRule type="expression" priority="518" dxfId="17">
      <formula>AV76="X"</formula>
    </cfRule>
    <cfRule type="expression" priority="519" dxfId="16">
      <formula>AV76="후보"</formula>
    </cfRule>
  </conditionalFormatting>
  <conditionalFormatting sqref="AC76 N7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77">
    <cfRule type="expression" priority="513" dxfId="17">
      <formula>AV77="X"</formula>
    </cfRule>
    <cfRule type="expression" priority="514" dxfId="16">
      <formula>AV77="후보"</formula>
    </cfRule>
  </conditionalFormatting>
  <conditionalFormatting sqref="AC7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7">
    <cfRule type="expression" priority="504" dxfId="3">
      <formula>AND(IF(OR($Q77=1,$Q77=2),1,0),IF($X77&lt;=20,1,0))</formula>
    </cfRule>
    <cfRule type="expression" priority="505" dxfId="2">
      <formula>AND(IF($Q77=2,1,0),IF($X77&lt;30,1,0))</formula>
    </cfRule>
    <cfRule type="expression" priority="506" dxfId="1">
      <formula>AND(IF($Q77=3,1,0),IF($X77&lt;30,1,0))</formula>
    </cfRule>
    <cfRule type="expression" priority="507" dxfId="0">
      <formula>AND(IF($Q77=3,1,IF($Q77=4,1,0)),IF($F77&lt;=85,1,0))</formula>
    </cfRule>
  </conditionalFormatting>
  <conditionalFormatting sqref="X77">
    <cfRule type="expression" priority="500" dxfId="3">
      <formula>AND(IF(OR($Q77=1,$Q77=2),1,0),IF($X77&lt;=20,1,0))</formula>
    </cfRule>
    <cfRule type="expression" priority="501" dxfId="2">
      <formula>AND(IF($Q77=2,1,0),IF($X77&lt;30,1,0))</formula>
    </cfRule>
    <cfRule type="expression" priority="502" dxfId="1">
      <formula>AND(IF($Q77=3,1,0),IF($X77&lt;30,1,0))</formula>
    </cfRule>
    <cfRule type="expression" priority="503" dxfId="0">
      <formula>AND(IF($Q77=3,1,IF($Q77=4,1,0)),IF($F77&lt;=85,1,0))</formula>
    </cfRule>
  </conditionalFormatting>
  <conditionalFormatting sqref="AI77">
    <cfRule type="expression" priority="496" dxfId="3">
      <formula>AND(IF(OR($Q77=1,$Q77=2),1,0),IF($X77&lt;=20,1,0))</formula>
    </cfRule>
    <cfRule type="expression" priority="497" dxfId="2">
      <formula>AND(IF($Q77=2,1,0),IF($X77&lt;30,1,0))</formula>
    </cfRule>
    <cfRule type="expression" priority="498" dxfId="1">
      <formula>AND(IF($Q77=3,1,0),IF($X77&lt;30,1,0))</formula>
    </cfRule>
    <cfRule type="expression" priority="499" dxfId="0">
      <formula>AND(IF($Q77=3,1,IF($Q77=4,1,0)),IF($F77&lt;=85,1,0))</formula>
    </cfRule>
  </conditionalFormatting>
  <conditionalFormatting sqref="AV78">
    <cfRule type="expression" priority="494" dxfId="17">
      <formula>AV78="X"</formula>
    </cfRule>
    <cfRule type="expression" priority="495" dxfId="16">
      <formula>AV78="후보"</formula>
    </cfRule>
  </conditionalFormatting>
  <conditionalFormatting sqref="AC7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8">
    <cfRule type="expression" priority="485" dxfId="3">
      <formula>AND(IF(OR($Q78=1,$Q78=2),1,0),IF($X78&lt;=20,1,0))</formula>
    </cfRule>
    <cfRule type="expression" priority="486" dxfId="2">
      <formula>AND(IF($Q78=2,1,0),IF($X78&lt;30,1,0))</formula>
    </cfRule>
    <cfRule type="expression" priority="487" dxfId="1">
      <formula>AND(IF($Q78=3,1,0),IF($X78&lt;30,1,0))</formula>
    </cfRule>
    <cfRule type="expression" priority="488" dxfId="0">
      <formula>AND(IF($Q78=3,1,IF($Q78=4,1,0)),IF($F78&lt;=85,1,0))</formula>
    </cfRule>
  </conditionalFormatting>
  <conditionalFormatting sqref="X78">
    <cfRule type="expression" priority="481" dxfId="3">
      <formula>AND(IF(OR($Q78=1,$Q78=2),1,0),IF($X78&lt;=20,1,0))</formula>
    </cfRule>
    <cfRule type="expression" priority="482" dxfId="2">
      <formula>AND(IF($Q78=2,1,0),IF($X78&lt;30,1,0))</formula>
    </cfRule>
    <cfRule type="expression" priority="483" dxfId="1">
      <formula>AND(IF($Q78=3,1,0),IF($X78&lt;30,1,0))</formula>
    </cfRule>
    <cfRule type="expression" priority="484" dxfId="0">
      <formula>AND(IF($Q78=3,1,IF($Q78=4,1,0)),IF($F78&lt;=85,1,0))</formula>
    </cfRule>
  </conditionalFormatting>
  <conditionalFormatting sqref="AI78">
    <cfRule type="expression" priority="477" dxfId="3">
      <formula>AND(IF(OR($Q78=1,$Q78=2),1,0),IF($X78&lt;=20,1,0))</formula>
    </cfRule>
    <cfRule type="expression" priority="478" dxfId="2">
      <formula>AND(IF($Q78=2,1,0),IF($X78&lt;30,1,0))</formula>
    </cfRule>
    <cfRule type="expression" priority="479" dxfId="1">
      <formula>AND(IF($Q78=3,1,0),IF($X78&lt;30,1,0))</formula>
    </cfRule>
    <cfRule type="expression" priority="480" dxfId="0">
      <formula>AND(IF($Q78=3,1,IF($Q78=4,1,0)),IF($F78&lt;=85,1,0))</formula>
    </cfRule>
  </conditionalFormatting>
  <conditionalFormatting sqref="AV79">
    <cfRule type="expression" priority="475" dxfId="17">
      <formula>AV79="X"</formula>
    </cfRule>
    <cfRule type="expression" priority="476" dxfId="16">
      <formula>AV79="후보"</formula>
    </cfRule>
  </conditionalFormatting>
  <conditionalFormatting sqref="AC7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9">
    <cfRule type="expression" priority="466" dxfId="3">
      <formula>AND(IF(OR($Q79=1,$Q79=2),1,0),IF($X79&lt;=20,1,0))</formula>
    </cfRule>
    <cfRule type="expression" priority="467" dxfId="2">
      <formula>AND(IF($Q79=2,1,0),IF($X79&lt;30,1,0))</formula>
    </cfRule>
    <cfRule type="expression" priority="468" dxfId="1">
      <formula>AND(IF($Q79=3,1,0),IF($X79&lt;30,1,0))</formula>
    </cfRule>
    <cfRule type="expression" priority="469" dxfId="0">
      <formula>AND(IF($Q79=3,1,IF($Q79=4,1,0)),IF($F79&lt;=85,1,0))</formula>
    </cfRule>
  </conditionalFormatting>
  <conditionalFormatting sqref="X79">
    <cfRule type="expression" priority="462" dxfId="3">
      <formula>AND(IF(OR($Q79=1,$Q79=2),1,0),IF($X79&lt;=20,1,0))</formula>
    </cfRule>
    <cfRule type="expression" priority="463" dxfId="2">
      <formula>AND(IF($Q79=2,1,0),IF($X79&lt;30,1,0))</formula>
    </cfRule>
    <cfRule type="expression" priority="464" dxfId="1">
      <formula>AND(IF($Q79=3,1,0),IF($X79&lt;30,1,0))</formula>
    </cfRule>
    <cfRule type="expression" priority="465" dxfId="0">
      <formula>AND(IF($Q79=3,1,IF($Q79=4,1,0)),IF($F79&lt;=85,1,0))</formula>
    </cfRule>
  </conditionalFormatting>
  <conditionalFormatting sqref="AI79">
    <cfRule type="expression" priority="458" dxfId="3">
      <formula>AND(IF(OR($Q79=1,$Q79=2),1,0),IF($X79&lt;=20,1,0))</formula>
    </cfRule>
    <cfRule type="expression" priority="459" dxfId="2">
      <formula>AND(IF($Q79=2,1,0),IF($X79&lt;30,1,0))</formula>
    </cfRule>
    <cfRule type="expression" priority="460" dxfId="1">
      <formula>AND(IF($Q79=3,1,0),IF($X79&lt;30,1,0))</formula>
    </cfRule>
    <cfRule type="expression" priority="461" dxfId="0">
      <formula>AND(IF($Q79=3,1,IF($Q79=4,1,0)),IF($F79&lt;=85,1,0))</formula>
    </cfRule>
  </conditionalFormatting>
  <conditionalFormatting sqref="AV80">
    <cfRule type="expression" priority="456" dxfId="17">
      <formula>AV80="X"</formula>
    </cfRule>
    <cfRule type="expression" priority="457" dxfId="16">
      <formula>AV80="후보"</formula>
    </cfRule>
  </conditionalFormatting>
  <conditionalFormatting sqref="AC8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8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80">
    <cfRule type="expression" priority="447" dxfId="3">
      <formula>AND(IF(OR($Q80=1,$Q80=2),1,0),IF($X80&lt;=20,1,0))</formula>
    </cfRule>
    <cfRule type="expression" priority="448" dxfId="2">
      <formula>AND(IF($Q80=2,1,0),IF($X80&lt;30,1,0))</formula>
    </cfRule>
    <cfRule type="expression" priority="449" dxfId="1">
      <formula>AND(IF($Q80=3,1,0),IF($X80&lt;30,1,0))</formula>
    </cfRule>
    <cfRule type="expression" priority="450" dxfId="0">
      <formula>AND(IF($Q80=3,1,IF($Q80=4,1,0)),IF($F80&lt;=85,1,0))</formula>
    </cfRule>
  </conditionalFormatting>
  <conditionalFormatting sqref="X80">
    <cfRule type="expression" priority="443" dxfId="3">
      <formula>AND(IF(OR($Q80=1,$Q80=2),1,0),IF($X80&lt;=20,1,0))</formula>
    </cfRule>
    <cfRule type="expression" priority="444" dxfId="2">
      <formula>AND(IF($Q80=2,1,0),IF($X80&lt;30,1,0))</formula>
    </cfRule>
    <cfRule type="expression" priority="445" dxfId="1">
      <formula>AND(IF($Q80=3,1,0),IF($X80&lt;30,1,0))</formula>
    </cfRule>
    <cfRule type="expression" priority="446" dxfId="0">
      <formula>AND(IF($Q80=3,1,IF($Q80=4,1,0)),IF($F80&lt;=85,1,0))</formula>
    </cfRule>
  </conditionalFormatting>
  <conditionalFormatting sqref="AI80">
    <cfRule type="expression" priority="439" dxfId="3">
      <formula>AND(IF(OR($Q80=1,$Q80=2),1,0),IF($X80&lt;=20,1,0))</formula>
    </cfRule>
    <cfRule type="expression" priority="440" dxfId="2">
      <formula>AND(IF($Q80=2,1,0),IF($X80&lt;30,1,0))</formula>
    </cfRule>
    <cfRule type="expression" priority="441" dxfId="1">
      <formula>AND(IF($Q80=3,1,0),IF($X80&lt;30,1,0))</formula>
    </cfRule>
    <cfRule type="expression" priority="442" dxfId="0">
      <formula>AND(IF($Q80=3,1,IF($Q80=4,1,0)),IF($F80&lt;=85,1,0))</formula>
    </cfRule>
  </conditionalFormatting>
  <conditionalFormatting sqref="AV81">
    <cfRule type="expression" priority="437" dxfId="17">
      <formula>AV81="X"</formula>
    </cfRule>
    <cfRule type="expression" priority="438" dxfId="16">
      <formula>AV81="후보"</formula>
    </cfRule>
  </conditionalFormatting>
  <conditionalFormatting sqref="AC81 N8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82">
    <cfRule type="expression" priority="432" dxfId="17">
      <formula>AV82="X"</formula>
    </cfRule>
    <cfRule type="expression" priority="433" dxfId="16">
      <formula>AV82="후보"</formula>
    </cfRule>
  </conditionalFormatting>
  <conditionalFormatting sqref="AC8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2">
    <cfRule type="expression" priority="423" dxfId="3">
      <formula>AND(IF(OR($Q82=1,$Q82=2),1,0),IF($X82&lt;=20,1,0))</formula>
    </cfRule>
    <cfRule type="expression" priority="424" dxfId="2">
      <formula>AND(IF($Q82=2,1,0),IF($X82&lt;30,1,0))</formula>
    </cfRule>
    <cfRule type="expression" priority="425" dxfId="1">
      <formula>AND(IF($Q82=3,1,0),IF($X82&lt;30,1,0))</formula>
    </cfRule>
    <cfRule type="expression" priority="426" dxfId="0">
      <formula>AND(IF($Q82=3,1,IF($Q82=4,1,0)),IF($F82&lt;=85,1,0))</formula>
    </cfRule>
  </conditionalFormatting>
  <conditionalFormatting sqref="X82">
    <cfRule type="expression" priority="419" dxfId="3">
      <formula>AND(IF(OR($Q82=1,$Q82=2),1,0),IF($X82&lt;=20,1,0))</formula>
    </cfRule>
    <cfRule type="expression" priority="420" dxfId="2">
      <formula>AND(IF($Q82=2,1,0),IF($X82&lt;30,1,0))</formula>
    </cfRule>
    <cfRule type="expression" priority="421" dxfId="1">
      <formula>AND(IF($Q82=3,1,0),IF($X82&lt;30,1,0))</formula>
    </cfRule>
    <cfRule type="expression" priority="422" dxfId="0">
      <formula>AND(IF($Q82=3,1,IF($Q82=4,1,0)),IF($F82&lt;=85,1,0))</formula>
    </cfRule>
  </conditionalFormatting>
  <conditionalFormatting sqref="AI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AV83">
    <cfRule type="expression" priority="413" dxfId="17">
      <formula>AV83="X"</formula>
    </cfRule>
    <cfRule type="expression" priority="414" dxfId="16">
      <formula>AV83="후보"</formula>
    </cfRule>
  </conditionalFormatting>
  <conditionalFormatting sqref="AC8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8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83">
    <cfRule type="expression" priority="404" dxfId="3">
      <formula>AND(IF(OR($Q83=1,$Q83=2),1,0),IF($X83&lt;=20,1,0))</formula>
    </cfRule>
    <cfRule type="expression" priority="405" dxfId="2">
      <formula>AND(IF($Q83=2,1,0),IF($X83&lt;30,1,0))</formula>
    </cfRule>
    <cfRule type="expression" priority="406" dxfId="1">
      <formula>AND(IF($Q83=3,1,0),IF($X83&lt;30,1,0))</formula>
    </cfRule>
    <cfRule type="expression" priority="407" dxfId="0">
      <formula>AND(IF($Q83=3,1,IF($Q83=4,1,0)),IF($F83&lt;=85,1,0))</formula>
    </cfRule>
  </conditionalFormatting>
  <conditionalFormatting sqref="X83">
    <cfRule type="expression" priority="400" dxfId="3">
      <formula>AND(IF(OR($Q83=1,$Q83=2),1,0),IF($X83&lt;=20,1,0))</formula>
    </cfRule>
    <cfRule type="expression" priority="401" dxfId="2">
      <formula>AND(IF($Q83=2,1,0),IF($X83&lt;30,1,0))</formula>
    </cfRule>
    <cfRule type="expression" priority="402" dxfId="1">
      <formula>AND(IF($Q83=3,1,0),IF($X83&lt;30,1,0))</formula>
    </cfRule>
    <cfRule type="expression" priority="403" dxfId="0">
      <formula>AND(IF($Q83=3,1,IF($Q83=4,1,0)),IF($F83&lt;=85,1,0))</formula>
    </cfRule>
  </conditionalFormatting>
  <conditionalFormatting sqref="AI83">
    <cfRule type="expression" priority="396" dxfId="3">
      <formula>AND(IF(OR($Q83=1,$Q83=2),1,0),IF($X83&lt;=20,1,0))</formula>
    </cfRule>
    <cfRule type="expression" priority="397" dxfId="2">
      <formula>AND(IF($Q83=2,1,0),IF($X83&lt;30,1,0))</formula>
    </cfRule>
    <cfRule type="expression" priority="398" dxfId="1">
      <formula>AND(IF($Q83=3,1,0),IF($X83&lt;30,1,0))</formula>
    </cfRule>
    <cfRule type="expression" priority="399" dxfId="0">
      <formula>AND(IF($Q83=3,1,IF($Q83=4,1,0)),IF($F83&lt;=85,1,0))</formula>
    </cfRule>
  </conditionalFormatting>
  <conditionalFormatting sqref="AV84">
    <cfRule type="expression" priority="394" dxfId="17">
      <formula>AV84="X"</formula>
    </cfRule>
    <cfRule type="expression" priority="395" dxfId="16">
      <formula>AV84="후보"</formula>
    </cfRule>
  </conditionalFormatting>
  <conditionalFormatting sqref="AC8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4">
    <cfRule type="expression" priority="385" dxfId="3">
      <formula>AND(IF(OR($Q84=1,$Q84=2),1,0),IF($X84&lt;=20,1,0))</formula>
    </cfRule>
    <cfRule type="expression" priority="386" dxfId="2">
      <formula>AND(IF($Q84=2,1,0),IF($X84&lt;30,1,0))</formula>
    </cfRule>
    <cfRule type="expression" priority="387" dxfId="1">
      <formula>AND(IF($Q84=3,1,0),IF($X84&lt;30,1,0))</formula>
    </cfRule>
    <cfRule type="expression" priority="388" dxfId="0">
      <formula>AND(IF($Q84=3,1,IF($Q84=4,1,0)),IF($F84&lt;=85,1,0))</formula>
    </cfRule>
  </conditionalFormatting>
  <conditionalFormatting sqref="X84">
    <cfRule type="expression" priority="381" dxfId="3">
      <formula>AND(IF(OR($Q84=1,$Q84=2),1,0),IF($X84&lt;=20,1,0))</formula>
    </cfRule>
    <cfRule type="expression" priority="382" dxfId="2">
      <formula>AND(IF($Q84=2,1,0),IF($X84&lt;30,1,0))</formula>
    </cfRule>
    <cfRule type="expression" priority="383" dxfId="1">
      <formula>AND(IF($Q84=3,1,0),IF($X84&lt;30,1,0))</formula>
    </cfRule>
    <cfRule type="expression" priority="384" dxfId="0">
      <formula>AND(IF($Q84=3,1,IF($Q84=4,1,0)),IF($F84&lt;=85,1,0))</formula>
    </cfRule>
  </conditionalFormatting>
  <conditionalFormatting sqref="AI84">
    <cfRule type="expression" priority="377" dxfId="3">
      <formula>AND(IF(OR($Q84=1,$Q84=2),1,0),IF($X84&lt;=20,1,0))</formula>
    </cfRule>
    <cfRule type="expression" priority="378" dxfId="2">
      <formula>AND(IF($Q84=2,1,0),IF($X84&lt;30,1,0))</formula>
    </cfRule>
    <cfRule type="expression" priority="379" dxfId="1">
      <formula>AND(IF($Q84=3,1,0),IF($X84&lt;30,1,0))</formula>
    </cfRule>
    <cfRule type="expression" priority="380" dxfId="0">
      <formula>AND(IF($Q84=3,1,IF($Q84=4,1,0)),IF($F84&lt;=85,1,0))</formula>
    </cfRule>
  </conditionalFormatting>
  <conditionalFormatting sqref="AV85">
    <cfRule type="expression" priority="375" dxfId="17">
      <formula>AV85="X"</formula>
    </cfRule>
    <cfRule type="expression" priority="376" dxfId="16">
      <formula>AV85="후보"</formula>
    </cfRule>
  </conditionalFormatting>
  <conditionalFormatting sqref="AC8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5">
    <cfRule type="expression" priority="366" dxfId="3">
      <formula>AND(IF(OR($Q85=1,$Q85=2),1,0),IF($X85&lt;=20,1,0))</formula>
    </cfRule>
    <cfRule type="expression" priority="367" dxfId="2">
      <formula>AND(IF($Q85=2,1,0),IF($X85&lt;30,1,0))</formula>
    </cfRule>
    <cfRule type="expression" priority="368" dxfId="1">
      <formula>AND(IF($Q85=3,1,0),IF($X85&lt;30,1,0))</formula>
    </cfRule>
    <cfRule type="expression" priority="369" dxfId="0">
      <formula>AND(IF($Q85=3,1,IF($Q85=4,1,0)),IF($F85&lt;=85,1,0))</formula>
    </cfRule>
  </conditionalFormatting>
  <conditionalFormatting sqref="X85">
    <cfRule type="expression" priority="362" dxfId="3">
      <formula>AND(IF(OR($Q85=1,$Q85=2),1,0),IF($X85&lt;=20,1,0))</formula>
    </cfRule>
    <cfRule type="expression" priority="363" dxfId="2">
      <formula>AND(IF($Q85=2,1,0),IF($X85&lt;30,1,0))</formula>
    </cfRule>
    <cfRule type="expression" priority="364" dxfId="1">
      <formula>AND(IF($Q85=3,1,0),IF($X85&lt;30,1,0))</formula>
    </cfRule>
    <cfRule type="expression" priority="365" dxfId="0">
      <formula>AND(IF($Q85=3,1,IF($Q85=4,1,0)),IF($F85&lt;=85,1,0))</formula>
    </cfRule>
  </conditionalFormatting>
  <conditionalFormatting sqref="AI85">
    <cfRule type="expression" priority="358" dxfId="3">
      <formula>AND(IF(OR($Q85=1,$Q85=2),1,0),IF($X85&lt;=20,1,0))</formula>
    </cfRule>
    <cfRule type="expression" priority="359" dxfId="2">
      <formula>AND(IF($Q85=2,1,0),IF($X85&lt;30,1,0))</formula>
    </cfRule>
    <cfRule type="expression" priority="360" dxfId="1">
      <formula>AND(IF($Q85=3,1,0),IF($X85&lt;30,1,0))</formula>
    </cfRule>
    <cfRule type="expression" priority="361" dxfId="0">
      <formula>AND(IF($Q85=3,1,IF($Q85=4,1,0)),IF($F85&lt;=85,1,0))</formula>
    </cfRule>
  </conditionalFormatting>
  <conditionalFormatting sqref="AV86">
    <cfRule type="expression" priority="356" dxfId="17">
      <formula>AV86="X"</formula>
    </cfRule>
    <cfRule type="expression" priority="357" dxfId="16">
      <formula>AV86="후보"</formula>
    </cfRule>
  </conditionalFormatting>
  <conditionalFormatting sqref="AC8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6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6">
    <cfRule type="expression" priority="347" dxfId="3">
      <formula>AND(IF(OR($Q86=1,$Q86=2),1,0),IF($X86&lt;=20,1,0))</formula>
    </cfRule>
    <cfRule type="expression" priority="348" dxfId="2">
      <formula>AND(IF($Q86=2,1,0),IF($X86&lt;30,1,0))</formula>
    </cfRule>
    <cfRule type="expression" priority="349" dxfId="1">
      <formula>AND(IF($Q86=3,1,0),IF($X86&lt;30,1,0))</formula>
    </cfRule>
    <cfRule type="expression" priority="350" dxfId="0">
      <formula>AND(IF($Q86=3,1,IF($Q86=4,1,0)),IF($F86&lt;=85,1,0))</formula>
    </cfRule>
  </conditionalFormatting>
  <conditionalFormatting sqref="X86">
    <cfRule type="expression" priority="343" dxfId="3">
      <formula>AND(IF(OR($Q86=1,$Q86=2),1,0),IF($X86&lt;=20,1,0))</formula>
    </cfRule>
    <cfRule type="expression" priority="344" dxfId="2">
      <formula>AND(IF($Q86=2,1,0),IF($X86&lt;30,1,0))</formula>
    </cfRule>
    <cfRule type="expression" priority="345" dxfId="1">
      <formula>AND(IF($Q86=3,1,0),IF($X86&lt;30,1,0))</formula>
    </cfRule>
    <cfRule type="expression" priority="346" dxfId="0">
      <formula>AND(IF($Q86=3,1,IF($Q86=4,1,0)),IF($F86&lt;=85,1,0))</formula>
    </cfRule>
  </conditionalFormatting>
  <conditionalFormatting sqref="AI86">
    <cfRule type="expression" priority="339" dxfId="3">
      <formula>AND(IF(OR($Q86=1,$Q86=2),1,0),IF($X86&lt;=20,1,0))</formula>
    </cfRule>
    <cfRule type="expression" priority="340" dxfId="2">
      <formula>AND(IF($Q86=2,1,0),IF($X86&lt;30,1,0))</formula>
    </cfRule>
    <cfRule type="expression" priority="341" dxfId="1">
      <formula>AND(IF($Q86=3,1,0),IF($X86&lt;30,1,0))</formula>
    </cfRule>
    <cfRule type="expression" priority="342" dxfId="0">
      <formula>AND(IF($Q86=3,1,IF($Q86=4,1,0)),IF($F86&lt;=85,1,0))</formula>
    </cfRule>
  </conditionalFormatting>
  <conditionalFormatting sqref="AV87">
    <cfRule type="expression" priority="337" dxfId="17">
      <formula>AV87="X"</formula>
    </cfRule>
    <cfRule type="expression" priority="338" dxfId="16">
      <formula>AV87="후보"</formula>
    </cfRule>
  </conditionalFormatting>
  <conditionalFormatting sqref="AC87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7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7">
    <cfRule type="expression" priority="328" dxfId="3">
      <formula>AND(IF(OR($Q87=1,$Q87=2),1,0),IF($X87&lt;=20,1,0))</formula>
    </cfRule>
    <cfRule type="expression" priority="329" dxfId="2">
      <formula>AND(IF($Q87=2,1,0),IF($X87&lt;30,1,0))</formula>
    </cfRule>
    <cfRule type="expression" priority="330" dxfId="1">
      <formula>AND(IF($Q87=3,1,0),IF($X87&lt;30,1,0))</formula>
    </cfRule>
    <cfRule type="expression" priority="331" dxfId="0">
      <formula>AND(IF($Q87=3,1,IF($Q87=4,1,0)),IF($F87&lt;=85,1,0))</formula>
    </cfRule>
  </conditionalFormatting>
  <conditionalFormatting sqref="X87">
    <cfRule type="expression" priority="324" dxfId="3">
      <formula>AND(IF(OR($Q87=1,$Q87=2),1,0),IF($X87&lt;=20,1,0))</formula>
    </cfRule>
    <cfRule type="expression" priority="325" dxfId="2">
      <formula>AND(IF($Q87=2,1,0),IF($X87&lt;30,1,0))</formula>
    </cfRule>
    <cfRule type="expression" priority="326" dxfId="1">
      <formula>AND(IF($Q87=3,1,0),IF($X87&lt;30,1,0))</formula>
    </cfRule>
    <cfRule type="expression" priority="327" dxfId="0">
      <formula>AND(IF($Q87=3,1,IF($Q87=4,1,0)),IF($F87&lt;=85,1,0))</formula>
    </cfRule>
  </conditionalFormatting>
  <conditionalFormatting sqref="AI87">
    <cfRule type="expression" priority="320" dxfId="3">
      <formula>AND(IF(OR($Q87=1,$Q87=2),1,0),IF($X87&lt;=20,1,0))</formula>
    </cfRule>
    <cfRule type="expression" priority="321" dxfId="2">
      <formula>AND(IF($Q87=2,1,0),IF($X87&lt;30,1,0))</formula>
    </cfRule>
    <cfRule type="expression" priority="322" dxfId="1">
      <formula>AND(IF($Q87=3,1,0),IF($X87&lt;30,1,0))</formula>
    </cfRule>
    <cfRule type="expression" priority="323" dxfId="0">
      <formula>AND(IF($Q87=3,1,IF($Q87=4,1,0)),IF($F87&lt;=85,1,0))</formula>
    </cfRule>
  </conditionalFormatting>
  <conditionalFormatting sqref="AV88">
    <cfRule type="expression" priority="318" dxfId="17">
      <formula>AV88="X"</formula>
    </cfRule>
    <cfRule type="expression" priority="319" dxfId="16">
      <formula>AV88="후보"</formula>
    </cfRule>
  </conditionalFormatting>
  <conditionalFormatting sqref="AC8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8">
    <cfRule type="expression" priority="309" dxfId="3">
      <formula>AND(IF(OR($Q88=1,$Q88=2),1,0),IF($X88&lt;=20,1,0))</formula>
    </cfRule>
    <cfRule type="expression" priority="310" dxfId="2">
      <formula>AND(IF($Q88=2,1,0),IF($X88&lt;30,1,0))</formula>
    </cfRule>
    <cfRule type="expression" priority="311" dxfId="1">
      <formula>AND(IF($Q88=3,1,0),IF($X88&lt;30,1,0))</formula>
    </cfRule>
    <cfRule type="expression" priority="312" dxfId="0">
      <formula>AND(IF($Q88=3,1,IF($Q88=4,1,0)),IF($F88&lt;=85,1,0))</formula>
    </cfRule>
  </conditionalFormatting>
  <conditionalFormatting sqref="X88">
    <cfRule type="expression" priority="305" dxfId="3">
      <formula>AND(IF(OR($Q88=1,$Q88=2),1,0),IF($X88&lt;=20,1,0))</formula>
    </cfRule>
    <cfRule type="expression" priority="306" dxfId="2">
      <formula>AND(IF($Q88=2,1,0),IF($X88&lt;30,1,0))</formula>
    </cfRule>
    <cfRule type="expression" priority="307" dxfId="1">
      <formula>AND(IF($Q88=3,1,0),IF($X88&lt;30,1,0))</formula>
    </cfRule>
    <cfRule type="expression" priority="308" dxfId="0">
      <formula>AND(IF($Q88=3,1,IF($Q88=4,1,0)),IF($F88&lt;=85,1,0))</formula>
    </cfRule>
  </conditionalFormatting>
  <conditionalFormatting sqref="AI88">
    <cfRule type="expression" priority="301" dxfId="3">
      <formula>AND(IF(OR($Q88=1,$Q88=2),1,0),IF($X88&lt;=20,1,0))</formula>
    </cfRule>
    <cfRule type="expression" priority="302" dxfId="2">
      <formula>AND(IF($Q88=2,1,0),IF($X88&lt;30,1,0))</formula>
    </cfRule>
    <cfRule type="expression" priority="303" dxfId="1">
      <formula>AND(IF($Q88=3,1,0),IF($X88&lt;30,1,0))</formula>
    </cfRule>
    <cfRule type="expression" priority="304" dxfId="0">
      <formula>AND(IF($Q88=3,1,IF($Q88=4,1,0)),IF($F88&lt;=85,1,0))</formula>
    </cfRule>
  </conditionalFormatting>
  <conditionalFormatting sqref="AV89">
    <cfRule type="expression" priority="299" dxfId="17">
      <formula>AV89="X"</formula>
    </cfRule>
    <cfRule type="expression" priority="300" dxfId="16">
      <formula>AV89="후보"</formula>
    </cfRule>
  </conditionalFormatting>
  <conditionalFormatting sqref="AC89 N8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90">
    <cfRule type="expression" priority="294" dxfId="17">
      <formula>AV90="X"</formula>
    </cfRule>
    <cfRule type="expression" priority="295" dxfId="16">
      <formula>AV90="후보"</formula>
    </cfRule>
  </conditionalFormatting>
  <conditionalFormatting sqref="AC9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9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90">
    <cfRule type="expression" priority="285" dxfId="3">
      <formula>AND(IF(OR($Q90=1,$Q90=2),1,0),IF($X90&lt;=20,1,0))</formula>
    </cfRule>
    <cfRule type="expression" priority="286" dxfId="2">
      <formula>AND(IF($Q90=2,1,0),IF($X90&lt;30,1,0))</formula>
    </cfRule>
    <cfRule type="expression" priority="287" dxfId="1">
      <formula>AND(IF($Q90=3,1,0),IF($X90&lt;30,1,0))</formula>
    </cfRule>
    <cfRule type="expression" priority="288" dxfId="0">
      <formula>AND(IF($Q90=3,1,IF($Q90=4,1,0)),IF($F90&lt;=85,1,0))</formula>
    </cfRule>
  </conditionalFormatting>
  <conditionalFormatting sqref="X90">
    <cfRule type="expression" priority="281" dxfId="3">
      <formula>AND(IF(OR($Q90=1,$Q90=2),1,0),IF($X90&lt;=20,1,0))</formula>
    </cfRule>
    <cfRule type="expression" priority="282" dxfId="2">
      <formula>AND(IF($Q90=2,1,0),IF($X90&lt;30,1,0))</formula>
    </cfRule>
    <cfRule type="expression" priority="283" dxfId="1">
      <formula>AND(IF($Q90=3,1,0),IF($X90&lt;30,1,0))</formula>
    </cfRule>
    <cfRule type="expression" priority="284" dxfId="0">
      <formula>AND(IF($Q90=3,1,IF($Q90=4,1,0)),IF($F90&lt;=85,1,0))</formula>
    </cfRule>
  </conditionalFormatting>
  <conditionalFormatting sqref="AI90">
    <cfRule type="expression" priority="277" dxfId="3">
      <formula>AND(IF(OR($Q90=1,$Q90=2),1,0),IF($X90&lt;=20,1,0))</formula>
    </cfRule>
    <cfRule type="expression" priority="278" dxfId="2">
      <formula>AND(IF($Q90=2,1,0),IF($X90&lt;30,1,0))</formula>
    </cfRule>
    <cfRule type="expression" priority="279" dxfId="1">
      <formula>AND(IF($Q90=3,1,0),IF($X90&lt;30,1,0))</formula>
    </cfRule>
    <cfRule type="expression" priority="280" dxfId="0">
      <formula>AND(IF($Q90=3,1,IF($Q90=4,1,0)),IF($F90&lt;=85,1,0))</formula>
    </cfRule>
  </conditionalFormatting>
  <conditionalFormatting sqref="AV91">
    <cfRule type="expression" priority="275" dxfId="17">
      <formula>AV91="X"</formula>
    </cfRule>
    <cfRule type="expression" priority="276" dxfId="16">
      <formula>AV91="후보"</formula>
    </cfRule>
  </conditionalFormatting>
  <conditionalFormatting sqref="AC9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9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91">
    <cfRule type="expression" priority="266" dxfId="3">
      <formula>AND(IF(OR($Q91=1,$Q91=2),1,0),IF($X91&lt;=20,1,0))</formula>
    </cfRule>
    <cfRule type="expression" priority="267" dxfId="2">
      <formula>AND(IF($Q91=2,1,0),IF($X91&lt;30,1,0))</formula>
    </cfRule>
    <cfRule type="expression" priority="268" dxfId="1">
      <formula>AND(IF($Q91=3,1,0),IF($X91&lt;30,1,0))</formula>
    </cfRule>
    <cfRule type="expression" priority="269" dxfId="0">
      <formula>AND(IF($Q91=3,1,IF($Q91=4,1,0)),IF($F91&lt;=85,1,0))</formula>
    </cfRule>
  </conditionalFormatting>
  <conditionalFormatting sqref="X91">
    <cfRule type="expression" priority="262" dxfId="3">
      <formula>AND(IF(OR($Q91=1,$Q91=2),1,0),IF($X91&lt;=20,1,0))</formula>
    </cfRule>
    <cfRule type="expression" priority="263" dxfId="2">
      <formula>AND(IF($Q91=2,1,0),IF($X91&lt;30,1,0))</formula>
    </cfRule>
    <cfRule type="expression" priority="264" dxfId="1">
      <formula>AND(IF($Q91=3,1,0),IF($X91&lt;30,1,0))</formula>
    </cfRule>
    <cfRule type="expression" priority="265" dxfId="0">
      <formula>AND(IF($Q91=3,1,IF($Q91=4,1,0)),IF($F91&lt;=85,1,0))</formula>
    </cfRule>
  </conditionalFormatting>
  <conditionalFormatting sqref="AI91">
    <cfRule type="expression" priority="258" dxfId="3">
      <formula>AND(IF(OR($Q91=1,$Q91=2),1,0),IF($X91&lt;=20,1,0))</formula>
    </cfRule>
    <cfRule type="expression" priority="259" dxfId="2">
      <formula>AND(IF($Q91=2,1,0),IF($X91&lt;30,1,0))</formula>
    </cfRule>
    <cfRule type="expression" priority="260" dxfId="1">
      <formula>AND(IF($Q91=3,1,0),IF($X91&lt;30,1,0))</formula>
    </cfRule>
    <cfRule type="expression" priority="261" dxfId="0">
      <formula>AND(IF($Q91=3,1,IF($Q91=4,1,0)),IF($F91&lt;=85,1,0))</formula>
    </cfRule>
  </conditionalFormatting>
  <conditionalFormatting sqref="AV92">
    <cfRule type="expression" priority="256" dxfId="17">
      <formula>AV92="X"</formula>
    </cfRule>
    <cfRule type="expression" priority="257" dxfId="16">
      <formula>AV92="후보"</formula>
    </cfRule>
  </conditionalFormatting>
  <conditionalFormatting sqref="AC9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2">
    <cfRule type="expression" priority="247" dxfId="3">
      <formula>AND(IF(OR($Q92=1,$Q92=2),1,0),IF($X92&lt;=20,1,0))</formula>
    </cfRule>
    <cfRule type="expression" priority="248" dxfId="2">
      <formula>AND(IF($Q92=2,1,0),IF($X92&lt;30,1,0))</formula>
    </cfRule>
    <cfRule type="expression" priority="249" dxfId="1">
      <formula>AND(IF($Q92=3,1,0),IF($X92&lt;30,1,0))</formula>
    </cfRule>
    <cfRule type="expression" priority="250" dxfId="0">
      <formula>AND(IF($Q92=3,1,IF($Q92=4,1,0)),IF($F92&lt;=85,1,0))</formula>
    </cfRule>
  </conditionalFormatting>
  <conditionalFormatting sqref="X92">
    <cfRule type="expression" priority="243" dxfId="3">
      <formula>AND(IF(OR($Q92=1,$Q92=2),1,0),IF($X92&lt;=20,1,0))</formula>
    </cfRule>
    <cfRule type="expression" priority="244" dxfId="2">
      <formula>AND(IF($Q92=2,1,0),IF($X92&lt;30,1,0))</formula>
    </cfRule>
    <cfRule type="expression" priority="245" dxfId="1">
      <formula>AND(IF($Q92=3,1,0),IF($X92&lt;30,1,0))</formula>
    </cfRule>
    <cfRule type="expression" priority="246" dxfId="0">
      <formula>AND(IF($Q92=3,1,IF($Q92=4,1,0)),IF($F92&lt;=85,1,0))</formula>
    </cfRule>
  </conditionalFormatting>
  <conditionalFormatting sqref="AI92">
    <cfRule type="expression" priority="239" dxfId="3">
      <formula>AND(IF(OR($Q92=1,$Q92=2),1,0),IF($X92&lt;=20,1,0))</formula>
    </cfRule>
    <cfRule type="expression" priority="240" dxfId="2">
      <formula>AND(IF($Q92=2,1,0),IF($X92&lt;30,1,0))</formula>
    </cfRule>
    <cfRule type="expression" priority="241" dxfId="1">
      <formula>AND(IF($Q92=3,1,0),IF($X92&lt;30,1,0))</formula>
    </cfRule>
    <cfRule type="expression" priority="242" dxfId="0">
      <formula>AND(IF($Q92=3,1,IF($Q92=4,1,0)),IF($F92&lt;=85,1,0))</formula>
    </cfRule>
  </conditionalFormatting>
  <conditionalFormatting sqref="AV93">
    <cfRule type="expression" priority="237" dxfId="17">
      <formula>AV93="X"</formula>
    </cfRule>
    <cfRule type="expression" priority="238" dxfId="16">
      <formula>AV93="후보"</formula>
    </cfRule>
  </conditionalFormatting>
  <conditionalFormatting sqref="AC9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3">
    <cfRule type="expression" priority="228" dxfId="3">
      <formula>AND(IF(OR($Q93=1,$Q93=2),1,0),IF($X93&lt;=20,1,0))</formula>
    </cfRule>
    <cfRule type="expression" priority="229" dxfId="2">
      <formula>AND(IF($Q93=2,1,0),IF($X93&lt;30,1,0))</formula>
    </cfRule>
    <cfRule type="expression" priority="230" dxfId="1">
      <formula>AND(IF($Q93=3,1,0),IF($X93&lt;30,1,0))</formula>
    </cfRule>
    <cfRule type="expression" priority="231" dxfId="0">
      <formula>AND(IF($Q93=3,1,IF($Q93=4,1,0)),IF($F93&lt;=85,1,0))</formula>
    </cfRule>
  </conditionalFormatting>
  <conditionalFormatting sqref="X93">
    <cfRule type="expression" priority="224" dxfId="3">
      <formula>AND(IF(OR($Q93=1,$Q93=2),1,0),IF($X93&lt;=20,1,0))</formula>
    </cfRule>
    <cfRule type="expression" priority="225" dxfId="2">
      <formula>AND(IF($Q93=2,1,0),IF($X93&lt;30,1,0))</formula>
    </cfRule>
    <cfRule type="expression" priority="226" dxfId="1">
      <formula>AND(IF($Q93=3,1,0),IF($X93&lt;30,1,0))</formula>
    </cfRule>
    <cfRule type="expression" priority="227" dxfId="0">
      <formula>AND(IF($Q93=3,1,IF($Q93=4,1,0)),IF($F93&lt;=85,1,0))</formula>
    </cfRule>
  </conditionalFormatting>
  <conditionalFormatting sqref="AI93">
    <cfRule type="expression" priority="220" dxfId="3">
      <formula>AND(IF(OR($Q93=1,$Q93=2),1,0),IF($X93&lt;=20,1,0))</formula>
    </cfRule>
    <cfRule type="expression" priority="221" dxfId="2">
      <formula>AND(IF($Q93=2,1,0),IF($X93&lt;30,1,0))</formula>
    </cfRule>
    <cfRule type="expression" priority="222" dxfId="1">
      <formula>AND(IF($Q93=3,1,0),IF($X93&lt;30,1,0))</formula>
    </cfRule>
    <cfRule type="expression" priority="223" dxfId="0">
      <formula>AND(IF($Q93=3,1,IF($Q93=4,1,0)),IF($F93&lt;=85,1,0))</formula>
    </cfRule>
  </conditionalFormatting>
  <conditionalFormatting sqref="AV94">
    <cfRule type="expression" priority="218" dxfId="17">
      <formula>AV94="X"</formula>
    </cfRule>
    <cfRule type="expression" priority="219" dxfId="16">
      <formula>AV94="후보"</formula>
    </cfRule>
  </conditionalFormatting>
  <conditionalFormatting sqref="AC9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4">
    <cfRule type="expression" priority="209" dxfId="3">
      <formula>AND(IF(OR($Q94=1,$Q94=2),1,0),IF($X94&lt;=20,1,0))</formula>
    </cfRule>
    <cfRule type="expression" priority="210" dxfId="2">
      <formula>AND(IF($Q94=2,1,0),IF($X94&lt;30,1,0))</formula>
    </cfRule>
    <cfRule type="expression" priority="211" dxfId="1">
      <formula>AND(IF($Q94=3,1,0),IF($X94&lt;30,1,0))</formula>
    </cfRule>
    <cfRule type="expression" priority="212" dxfId="0">
      <formula>AND(IF($Q94=3,1,IF($Q94=4,1,0)),IF($F94&lt;=85,1,0))</formula>
    </cfRule>
  </conditionalFormatting>
  <conditionalFormatting sqref="X94">
    <cfRule type="expression" priority="205" dxfId="3">
      <formula>AND(IF(OR($Q94=1,$Q94=2),1,0),IF($X94&lt;=20,1,0))</formula>
    </cfRule>
    <cfRule type="expression" priority="206" dxfId="2">
      <formula>AND(IF($Q94=2,1,0),IF($X94&lt;30,1,0))</formula>
    </cfRule>
    <cfRule type="expression" priority="207" dxfId="1">
      <formula>AND(IF($Q94=3,1,0),IF($X94&lt;30,1,0))</formula>
    </cfRule>
    <cfRule type="expression" priority="208" dxfId="0">
      <formula>AND(IF($Q94=3,1,IF($Q94=4,1,0)),IF($F94&lt;=85,1,0))</formula>
    </cfRule>
  </conditionalFormatting>
  <conditionalFormatting sqref="AI94">
    <cfRule type="expression" priority="201" dxfId="3">
      <formula>AND(IF(OR($Q94=1,$Q94=2),1,0),IF($X94&lt;=20,1,0))</formula>
    </cfRule>
    <cfRule type="expression" priority="202" dxfId="2">
      <formula>AND(IF($Q94=2,1,0),IF($X94&lt;30,1,0))</formula>
    </cfRule>
    <cfRule type="expression" priority="203" dxfId="1">
      <formula>AND(IF($Q94=3,1,0),IF($X94&lt;30,1,0))</formula>
    </cfRule>
    <cfRule type="expression" priority="204" dxfId="0">
      <formula>AND(IF($Q94=3,1,IF($Q94=4,1,0)),IF($F94&lt;=85,1,0))</formula>
    </cfRule>
  </conditionalFormatting>
  <conditionalFormatting sqref="AV95">
    <cfRule type="expression" priority="199" dxfId="17">
      <formula>AV95="X"</formula>
    </cfRule>
    <cfRule type="expression" priority="200" dxfId="16">
      <formula>AV95="후보"</formula>
    </cfRule>
  </conditionalFormatting>
  <conditionalFormatting sqref="AC9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5">
    <cfRule type="expression" priority="190" dxfId="3">
      <formula>AND(IF(OR($Q95=1,$Q95=2),1,0),IF($X95&lt;=20,1,0))</formula>
    </cfRule>
    <cfRule type="expression" priority="191" dxfId="2">
      <formula>AND(IF($Q95=2,1,0),IF($X95&lt;30,1,0))</formula>
    </cfRule>
    <cfRule type="expression" priority="192" dxfId="1">
      <formula>AND(IF($Q95=3,1,0),IF($X95&lt;30,1,0))</formula>
    </cfRule>
    <cfRule type="expression" priority="193" dxfId="0">
      <formula>AND(IF($Q95=3,1,IF($Q95=4,1,0)),IF($F95&lt;=85,1,0))</formula>
    </cfRule>
  </conditionalFormatting>
  <conditionalFormatting sqref="X95">
    <cfRule type="expression" priority="186" dxfId="3">
      <formula>AND(IF(OR($Q95=1,$Q95=2),1,0),IF($X95&lt;=20,1,0))</formula>
    </cfRule>
    <cfRule type="expression" priority="187" dxfId="2">
      <formula>AND(IF($Q95=2,1,0),IF($X95&lt;30,1,0))</formula>
    </cfRule>
    <cfRule type="expression" priority="188" dxfId="1">
      <formula>AND(IF($Q95=3,1,0),IF($X95&lt;30,1,0))</formula>
    </cfRule>
    <cfRule type="expression" priority="189" dxfId="0">
      <formula>AND(IF($Q95=3,1,IF($Q95=4,1,0)),IF($F95&lt;=85,1,0))</formula>
    </cfRule>
  </conditionalFormatting>
  <conditionalFormatting sqref="AI95">
    <cfRule type="expression" priority="182" dxfId="3">
      <formula>AND(IF(OR($Q95=1,$Q95=2),1,0),IF($X95&lt;=20,1,0))</formula>
    </cfRule>
    <cfRule type="expression" priority="183" dxfId="2">
      <formula>AND(IF($Q95=2,1,0),IF($X95&lt;30,1,0))</formula>
    </cfRule>
    <cfRule type="expression" priority="184" dxfId="1">
      <formula>AND(IF($Q95=3,1,0),IF($X95&lt;30,1,0))</formula>
    </cfRule>
    <cfRule type="expression" priority="185" dxfId="0">
      <formula>AND(IF($Q95=3,1,IF($Q95=4,1,0)),IF($F95&lt;=85,1,0))</formula>
    </cfRule>
  </conditionalFormatting>
  <conditionalFormatting sqref="AV96">
    <cfRule type="expression" priority="180" dxfId="17">
      <formula>AV96="X"</formula>
    </cfRule>
    <cfRule type="expression" priority="181" dxfId="16">
      <formula>AV96="후보"</formula>
    </cfRule>
  </conditionalFormatting>
  <conditionalFormatting sqref="AC9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6">
    <cfRule type="expression" priority="171" dxfId="3">
      <formula>AND(IF(OR($Q96=1,$Q96=2),1,0),IF($X96&lt;=20,1,0))</formula>
    </cfRule>
    <cfRule type="expression" priority="172" dxfId="2">
      <formula>AND(IF($Q96=2,1,0),IF($X96&lt;30,1,0))</formula>
    </cfRule>
    <cfRule type="expression" priority="173" dxfId="1">
      <formula>AND(IF($Q96=3,1,0),IF($X96&lt;30,1,0))</formula>
    </cfRule>
    <cfRule type="expression" priority="174" dxfId="0">
      <formula>AND(IF($Q96=3,1,IF($Q96=4,1,0)),IF($F96&lt;=85,1,0))</formula>
    </cfRule>
  </conditionalFormatting>
  <conditionalFormatting sqref="X96">
    <cfRule type="expression" priority="167" dxfId="3">
      <formula>AND(IF(OR($Q96=1,$Q96=2),1,0),IF($X96&lt;=20,1,0))</formula>
    </cfRule>
    <cfRule type="expression" priority="168" dxfId="2">
      <formula>AND(IF($Q96=2,1,0),IF($X96&lt;30,1,0))</formula>
    </cfRule>
    <cfRule type="expression" priority="169" dxfId="1">
      <formula>AND(IF($Q96=3,1,0),IF($X96&lt;30,1,0))</formula>
    </cfRule>
    <cfRule type="expression" priority="170" dxfId="0">
      <formula>AND(IF($Q96=3,1,IF($Q96=4,1,0)),IF($F96&lt;=85,1,0))</formula>
    </cfRule>
  </conditionalFormatting>
  <conditionalFormatting sqref="AI96">
    <cfRule type="expression" priority="163" dxfId="3">
      <formula>AND(IF(OR($Q96=1,$Q96=2),1,0),IF($X96&lt;=20,1,0))</formula>
    </cfRule>
    <cfRule type="expression" priority="164" dxfId="2">
      <formula>AND(IF($Q96=2,1,0),IF($X96&lt;30,1,0))</formula>
    </cfRule>
    <cfRule type="expression" priority="165" dxfId="1">
      <formula>AND(IF($Q96=3,1,0),IF($X96&lt;30,1,0))</formula>
    </cfRule>
    <cfRule type="expression" priority="166" dxfId="0">
      <formula>AND(IF($Q96=3,1,IF($Q96=4,1,0)),IF($F96&lt;=85,1,0))</formula>
    </cfRule>
  </conditionalFormatting>
  <conditionalFormatting sqref="AV97">
    <cfRule type="expression" priority="161" dxfId="17">
      <formula>AV97="X"</formula>
    </cfRule>
    <cfRule type="expression" priority="162" dxfId="16">
      <formula>AV97="후보"</formula>
    </cfRule>
  </conditionalFormatting>
  <conditionalFormatting sqref="AC97 N9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8">
    <cfRule type="expression" priority="156" dxfId="17">
      <formula>AV98="X"</formula>
    </cfRule>
    <cfRule type="expression" priority="157" dxfId="16">
      <formula>AV98="후보"</formula>
    </cfRule>
  </conditionalFormatting>
  <conditionalFormatting sqref="AC9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8">
    <cfRule type="expression" priority="147" dxfId="3">
      <formula>AND(IF(OR($Q98=1,$Q98=2),1,0),IF($X98&lt;=20,1,0))</formula>
    </cfRule>
    <cfRule type="expression" priority="148" dxfId="2">
      <formula>AND(IF($Q98=2,1,0),IF($X98&lt;30,1,0))</formula>
    </cfRule>
    <cfRule type="expression" priority="149" dxfId="1">
      <formula>AND(IF($Q98=3,1,0),IF($X98&lt;30,1,0))</formula>
    </cfRule>
    <cfRule type="expression" priority="150" dxfId="0">
      <formula>AND(IF($Q98=3,1,IF($Q98=4,1,0)),IF($F98&lt;=85,1,0))</formula>
    </cfRule>
  </conditionalFormatting>
  <conditionalFormatting sqref="X98">
    <cfRule type="expression" priority="143" dxfId="3">
      <formula>AND(IF(OR($Q98=1,$Q98=2),1,0),IF($X98&lt;=20,1,0))</formula>
    </cfRule>
    <cfRule type="expression" priority="144" dxfId="2">
      <formula>AND(IF($Q98=2,1,0),IF($X98&lt;30,1,0))</formula>
    </cfRule>
    <cfRule type="expression" priority="145" dxfId="1">
      <formula>AND(IF($Q98=3,1,0),IF($X98&lt;30,1,0))</formula>
    </cfRule>
    <cfRule type="expression" priority="146" dxfId="0">
      <formula>AND(IF($Q98=3,1,IF($Q98=4,1,0)),IF($F98&lt;=85,1,0))</formula>
    </cfRule>
  </conditionalFormatting>
  <conditionalFormatting sqref="AI98">
    <cfRule type="expression" priority="139" dxfId="3">
      <formula>AND(IF(OR($Q98=1,$Q98=2),1,0),IF($X98&lt;=20,1,0))</formula>
    </cfRule>
    <cfRule type="expression" priority="140" dxfId="2">
      <formula>AND(IF($Q98=2,1,0),IF($X98&lt;30,1,0))</formula>
    </cfRule>
    <cfRule type="expression" priority="141" dxfId="1">
      <formula>AND(IF($Q98=3,1,0),IF($X98&lt;30,1,0))</formula>
    </cfRule>
    <cfRule type="expression" priority="142" dxfId="0">
      <formula>AND(IF($Q98=3,1,IF($Q98=4,1,0)),IF($F98&lt;=85,1,0))</formula>
    </cfRule>
  </conditionalFormatting>
  <conditionalFormatting sqref="AV99">
    <cfRule type="expression" priority="137" dxfId="17">
      <formula>AV99="X"</formula>
    </cfRule>
    <cfRule type="expression" priority="138" dxfId="16">
      <formula>AV99="후보"</formula>
    </cfRule>
  </conditionalFormatting>
  <conditionalFormatting sqref="AC9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9">
    <cfRule type="expression" priority="128" dxfId="3">
      <formula>AND(IF(OR($Q99=1,$Q99=2),1,0),IF($X99&lt;=20,1,0))</formula>
    </cfRule>
    <cfRule type="expression" priority="129" dxfId="2">
      <formula>AND(IF($Q99=2,1,0),IF($X99&lt;30,1,0))</formula>
    </cfRule>
    <cfRule type="expression" priority="130" dxfId="1">
      <formula>AND(IF($Q99=3,1,0),IF($X99&lt;30,1,0))</formula>
    </cfRule>
    <cfRule type="expression" priority="131" dxfId="0">
      <formula>AND(IF($Q99=3,1,IF($Q99=4,1,0)),IF($F99&lt;=85,1,0))</formula>
    </cfRule>
  </conditionalFormatting>
  <conditionalFormatting sqref="X99">
    <cfRule type="expression" priority="124" dxfId="3">
      <formula>AND(IF(OR($Q99=1,$Q99=2),1,0),IF($X99&lt;=20,1,0))</formula>
    </cfRule>
    <cfRule type="expression" priority="125" dxfId="2">
      <formula>AND(IF($Q99=2,1,0),IF($X99&lt;30,1,0))</formula>
    </cfRule>
    <cfRule type="expression" priority="126" dxfId="1">
      <formula>AND(IF($Q99=3,1,0),IF($X99&lt;30,1,0))</formula>
    </cfRule>
    <cfRule type="expression" priority="127" dxfId="0">
      <formula>AND(IF($Q99=3,1,IF($Q99=4,1,0)),IF($F99&lt;=85,1,0))</formula>
    </cfRule>
  </conditionalFormatting>
  <conditionalFormatting sqref="AI99">
    <cfRule type="expression" priority="120" dxfId="3">
      <formula>AND(IF(OR($Q99=1,$Q99=2),1,0),IF($X99&lt;=20,1,0))</formula>
    </cfRule>
    <cfRule type="expression" priority="121" dxfId="2">
      <formula>AND(IF($Q99=2,1,0),IF($X99&lt;30,1,0))</formula>
    </cfRule>
    <cfRule type="expression" priority="122" dxfId="1">
      <formula>AND(IF($Q99=3,1,0),IF($X99&lt;30,1,0))</formula>
    </cfRule>
    <cfRule type="expression" priority="123" dxfId="0">
      <formula>AND(IF($Q99=3,1,IF($Q99=4,1,0)),IF($F99&lt;=85,1,0))</formula>
    </cfRule>
  </conditionalFormatting>
  <conditionalFormatting sqref="AV100">
    <cfRule type="expression" priority="118" dxfId="17">
      <formula>AV100="X"</formula>
    </cfRule>
    <cfRule type="expression" priority="119" dxfId="16">
      <formula>AV100="후보"</formula>
    </cfRule>
  </conditionalFormatting>
  <conditionalFormatting sqref="AC10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0">
    <cfRule type="expression" priority="109" dxfId="3">
      <formula>AND(IF(OR($Q100=1,$Q100=2),1,0),IF($X100&lt;=20,1,0))</formula>
    </cfRule>
    <cfRule type="expression" priority="110" dxfId="2">
      <formula>AND(IF($Q100=2,1,0),IF($X100&lt;30,1,0))</formula>
    </cfRule>
    <cfRule type="expression" priority="111" dxfId="1">
      <formula>AND(IF($Q100=3,1,0),IF($X100&lt;30,1,0))</formula>
    </cfRule>
    <cfRule type="expression" priority="112" dxfId="0">
      <formula>AND(IF($Q100=3,1,IF($Q100=4,1,0)),IF($F100&lt;=85,1,0))</formula>
    </cfRule>
  </conditionalFormatting>
  <conditionalFormatting sqref="X100">
    <cfRule type="expression" priority="105" dxfId="3">
      <formula>AND(IF(OR($Q100=1,$Q100=2),1,0),IF($X100&lt;=20,1,0))</formula>
    </cfRule>
    <cfRule type="expression" priority="106" dxfId="2">
      <formula>AND(IF($Q100=2,1,0),IF($X100&lt;30,1,0))</formula>
    </cfRule>
    <cfRule type="expression" priority="107" dxfId="1">
      <formula>AND(IF($Q100=3,1,0),IF($X100&lt;30,1,0))</formula>
    </cfRule>
    <cfRule type="expression" priority="108" dxfId="0">
      <formula>AND(IF($Q100=3,1,IF($Q100=4,1,0)),IF($F100&lt;=85,1,0))</formula>
    </cfRule>
  </conditionalFormatting>
  <conditionalFormatting sqref="AI100">
    <cfRule type="expression" priority="101" dxfId="3">
      <formula>AND(IF(OR($Q100=1,$Q100=2),1,0),IF($X100&lt;=20,1,0))</formula>
    </cfRule>
    <cfRule type="expression" priority="102" dxfId="2">
      <formula>AND(IF($Q100=2,1,0),IF($X100&lt;30,1,0))</formula>
    </cfRule>
    <cfRule type="expression" priority="103" dxfId="1">
      <formula>AND(IF($Q100=3,1,0),IF($X100&lt;30,1,0))</formula>
    </cfRule>
    <cfRule type="expression" priority="104" dxfId="0">
      <formula>AND(IF($Q100=3,1,IF($Q100=4,1,0)),IF($F100&lt;=85,1,0))</formula>
    </cfRule>
  </conditionalFormatting>
  <conditionalFormatting sqref="AV101">
    <cfRule type="expression" priority="99" dxfId="17">
      <formula>AV101="X"</formula>
    </cfRule>
    <cfRule type="expression" priority="100" dxfId="16">
      <formula>AV101="후보"</formula>
    </cfRule>
  </conditionalFormatting>
  <conditionalFormatting sqref="AC101 N10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2">
    <cfRule type="expression" priority="94" dxfId="17">
      <formula>AV102="X"</formula>
    </cfRule>
    <cfRule type="expression" priority="95" dxfId="16">
      <formula>AV102="후보"</formula>
    </cfRule>
  </conditionalFormatting>
  <conditionalFormatting sqref="AC10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2">
    <cfRule type="expression" priority="85" dxfId="3">
      <formula>AND(IF(OR($Q102=1,$Q102=2),1,0),IF($X102&lt;=20,1,0))</formula>
    </cfRule>
    <cfRule type="expression" priority="86" dxfId="2">
      <formula>AND(IF($Q102=2,1,0),IF($X102&lt;30,1,0))</formula>
    </cfRule>
    <cfRule type="expression" priority="87" dxfId="1">
      <formula>AND(IF($Q102=3,1,0),IF($X102&lt;30,1,0))</formula>
    </cfRule>
    <cfRule type="expression" priority="88" dxfId="0">
      <formula>AND(IF($Q102=3,1,IF($Q102=4,1,0)),IF($F102&lt;=85,1,0))</formula>
    </cfRule>
  </conditionalFormatting>
  <conditionalFormatting sqref="X102">
    <cfRule type="expression" priority="81" dxfId="3">
      <formula>AND(IF(OR($Q102=1,$Q102=2),1,0),IF($X102&lt;=20,1,0))</formula>
    </cfRule>
    <cfRule type="expression" priority="82" dxfId="2">
      <formula>AND(IF($Q102=2,1,0),IF($X102&lt;30,1,0))</formula>
    </cfRule>
    <cfRule type="expression" priority="83" dxfId="1">
      <formula>AND(IF($Q102=3,1,0),IF($X102&lt;30,1,0))</formula>
    </cfRule>
    <cfRule type="expression" priority="84" dxfId="0">
      <formula>AND(IF($Q102=3,1,IF($Q102=4,1,0)),IF($F102&lt;=85,1,0))</formula>
    </cfRule>
  </conditionalFormatting>
  <conditionalFormatting sqref="AI102">
    <cfRule type="expression" priority="77" dxfId="3">
      <formula>AND(IF(OR($Q102=1,$Q102=2),1,0),IF($X102&lt;=20,1,0))</formula>
    </cfRule>
    <cfRule type="expression" priority="78" dxfId="2">
      <formula>AND(IF($Q102=2,1,0),IF($X102&lt;30,1,0))</formula>
    </cfRule>
    <cfRule type="expression" priority="79" dxfId="1">
      <formula>AND(IF($Q102=3,1,0),IF($X102&lt;30,1,0))</formula>
    </cfRule>
    <cfRule type="expression" priority="80" dxfId="0">
      <formula>AND(IF($Q102=3,1,IF($Q102=4,1,0)),IF($F102&lt;=85,1,0))</formula>
    </cfRule>
  </conditionalFormatting>
  <conditionalFormatting sqref="AV103">
    <cfRule type="expression" priority="75" dxfId="17">
      <formula>AV103="X"</formula>
    </cfRule>
    <cfRule type="expression" priority="76" dxfId="16">
      <formula>AV103="후보"</formula>
    </cfRule>
  </conditionalFormatting>
  <conditionalFormatting sqref="AC10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3">
    <cfRule type="expression" priority="66" dxfId="3">
      <formula>AND(IF(OR($Q103=1,$Q103=2),1,0),IF($X103&lt;=20,1,0))</formula>
    </cfRule>
    <cfRule type="expression" priority="67" dxfId="2">
      <formula>AND(IF($Q103=2,1,0),IF($X103&lt;30,1,0))</formula>
    </cfRule>
    <cfRule type="expression" priority="68" dxfId="1">
      <formula>AND(IF($Q103=3,1,0),IF($X103&lt;30,1,0))</formula>
    </cfRule>
    <cfRule type="expression" priority="69" dxfId="0">
      <formula>AND(IF($Q103=3,1,IF($Q103=4,1,0)),IF($F103&lt;=85,1,0))</formula>
    </cfRule>
  </conditionalFormatting>
  <conditionalFormatting sqref="X103">
    <cfRule type="expression" priority="62" dxfId="3">
      <formula>AND(IF(OR($Q103=1,$Q103=2),1,0),IF($X103&lt;=20,1,0))</formula>
    </cfRule>
    <cfRule type="expression" priority="63" dxfId="2">
      <formula>AND(IF($Q103=2,1,0),IF($X103&lt;30,1,0))</formula>
    </cfRule>
    <cfRule type="expression" priority="64" dxfId="1">
      <formula>AND(IF($Q103=3,1,0),IF($X103&lt;30,1,0))</formula>
    </cfRule>
    <cfRule type="expression" priority="65" dxfId="0">
      <formula>AND(IF($Q103=3,1,IF($Q103=4,1,0)),IF($F103&lt;=85,1,0))</formula>
    </cfRule>
  </conditionalFormatting>
  <conditionalFormatting sqref="AI103">
    <cfRule type="expression" priority="58" dxfId="3">
      <formula>AND(IF(OR($Q103=1,$Q103=2),1,0),IF($X103&lt;=20,1,0))</formula>
    </cfRule>
    <cfRule type="expression" priority="59" dxfId="2">
      <formula>AND(IF($Q103=2,1,0),IF($X103&lt;30,1,0))</formula>
    </cfRule>
    <cfRule type="expression" priority="60" dxfId="1">
      <formula>AND(IF($Q103=3,1,0),IF($X103&lt;30,1,0))</formula>
    </cfRule>
    <cfRule type="expression" priority="61" dxfId="0">
      <formula>AND(IF($Q103=3,1,IF($Q103=4,1,0)),IF($F103&lt;=85,1,0))</formula>
    </cfRule>
  </conditionalFormatting>
  <conditionalFormatting sqref="AV104">
    <cfRule type="expression" priority="56" dxfId="17">
      <formula>AV104="X"</formula>
    </cfRule>
    <cfRule type="expression" priority="57" dxfId="16">
      <formula>AV104="후보"</formula>
    </cfRule>
  </conditionalFormatting>
  <conditionalFormatting sqref="AC10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4">
    <cfRule type="expression" priority="47" dxfId="3">
      <formula>AND(IF(OR($Q104=1,$Q104=2),1,0),IF($X104&lt;=20,1,0))</formula>
    </cfRule>
    <cfRule type="expression" priority="48" dxfId="2">
      <formula>AND(IF($Q104=2,1,0),IF($X104&lt;30,1,0))</formula>
    </cfRule>
    <cfRule type="expression" priority="49" dxfId="1">
      <formula>AND(IF($Q104=3,1,0),IF($X104&lt;30,1,0))</formula>
    </cfRule>
    <cfRule type="expression" priority="50" dxfId="0">
      <formula>AND(IF($Q104=3,1,IF($Q104=4,1,0)),IF($F104&lt;=85,1,0))</formula>
    </cfRule>
  </conditionalFormatting>
  <conditionalFormatting sqref="X104">
    <cfRule type="expression" priority="43" dxfId="3">
      <formula>AND(IF(OR($Q104=1,$Q104=2),1,0),IF($X104&lt;=20,1,0))</formula>
    </cfRule>
    <cfRule type="expression" priority="44" dxfId="2">
      <formula>AND(IF($Q104=2,1,0),IF($X104&lt;30,1,0))</formula>
    </cfRule>
    <cfRule type="expression" priority="45" dxfId="1">
      <formula>AND(IF($Q104=3,1,0),IF($X104&lt;30,1,0))</formula>
    </cfRule>
    <cfRule type="expression" priority="46" dxfId="0">
      <formula>AND(IF($Q104=3,1,IF($Q104=4,1,0)),IF($F104&lt;=85,1,0))</formula>
    </cfRule>
  </conditionalFormatting>
  <conditionalFormatting sqref="AI104">
    <cfRule type="expression" priority="39" dxfId="3">
      <formula>AND(IF(OR($Q104=1,$Q104=2),1,0),IF($X104&lt;=20,1,0))</formula>
    </cfRule>
    <cfRule type="expression" priority="40" dxfId="2">
      <formula>AND(IF($Q104=2,1,0),IF($X104&lt;30,1,0))</formula>
    </cfRule>
    <cfRule type="expression" priority="41" dxfId="1">
      <formula>AND(IF($Q104=3,1,0),IF($X104&lt;30,1,0))</formula>
    </cfRule>
    <cfRule type="expression" priority="42" dxfId="0">
      <formula>AND(IF($Q104=3,1,IF($Q104=4,1,0)),IF($F104&lt;=85,1,0))</formula>
    </cfRule>
  </conditionalFormatting>
  <conditionalFormatting sqref="AV105">
    <cfRule type="expression" priority="37" dxfId="17">
      <formula>AV105="X"</formula>
    </cfRule>
    <cfRule type="expression" priority="38" dxfId="16">
      <formula>AV105="후보"</formula>
    </cfRule>
  </conditionalFormatting>
  <conditionalFormatting sqref="AC10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5">
    <cfRule type="expression" priority="28" dxfId="3">
      <formula>AND(IF(OR($Q105=1,$Q105=2),1,0),IF($X105&lt;=20,1,0))</formula>
    </cfRule>
    <cfRule type="expression" priority="29" dxfId="2">
      <formula>AND(IF($Q105=2,1,0),IF($X105&lt;30,1,0))</formula>
    </cfRule>
    <cfRule type="expression" priority="30" dxfId="1">
      <formula>AND(IF($Q105=3,1,0),IF($X105&lt;30,1,0))</formula>
    </cfRule>
    <cfRule type="expression" priority="31" dxfId="0">
      <formula>AND(IF($Q105=3,1,IF($Q105=4,1,0)),IF($F105&lt;=85,1,0))</formula>
    </cfRule>
  </conditionalFormatting>
  <conditionalFormatting sqref="X105">
    <cfRule type="expression" priority="24" dxfId="3">
      <formula>AND(IF(OR($Q105=1,$Q105=2),1,0),IF($X105&lt;=20,1,0))</formula>
    </cfRule>
    <cfRule type="expression" priority="25" dxfId="2">
      <formula>AND(IF($Q105=2,1,0),IF($X105&lt;30,1,0))</formula>
    </cfRule>
    <cfRule type="expression" priority="26" dxfId="1">
      <formula>AND(IF($Q105=3,1,0),IF($X105&lt;30,1,0))</formula>
    </cfRule>
    <cfRule type="expression" priority="27" dxfId="0">
      <formula>AND(IF($Q105=3,1,IF($Q105=4,1,0)),IF($F105&lt;=85,1,0))</formula>
    </cfRule>
  </conditionalFormatting>
  <conditionalFormatting sqref="AI105">
    <cfRule type="expression" priority="20" dxfId="3">
      <formula>AND(IF(OR($Q105=1,$Q105=2),1,0),IF($X105&lt;=20,1,0))</formula>
    </cfRule>
    <cfRule type="expression" priority="21" dxfId="2">
      <formula>AND(IF($Q105=2,1,0),IF($X105&lt;30,1,0))</formula>
    </cfRule>
    <cfRule type="expression" priority="22" dxfId="1">
      <formula>AND(IF($Q105=3,1,0),IF($X105&lt;30,1,0))</formula>
    </cfRule>
    <cfRule type="expression" priority="23" dxfId="0">
      <formula>AND(IF($Q105=3,1,IF($Q105=4,1,0)),IF($F105&lt;=85,1,0))</formula>
    </cfRule>
  </conditionalFormatting>
  <conditionalFormatting sqref="AV106">
    <cfRule type="expression" priority="18" dxfId="17">
      <formula>AV106="X"</formula>
    </cfRule>
    <cfRule type="expression" priority="19" dxfId="16">
      <formula>AV106="후보"</formula>
    </cfRule>
  </conditionalFormatting>
  <conditionalFormatting sqref="AC10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6">
    <cfRule type="expression" priority="9" dxfId="3">
      <formula>AND(IF(OR($Q106=1,$Q106=2),1,0),IF($X106&lt;=20,1,0))</formula>
    </cfRule>
    <cfRule type="expression" priority="10" dxfId="2">
      <formula>AND(IF($Q106=2,1,0),IF($X106&lt;30,1,0))</formula>
    </cfRule>
    <cfRule type="expression" priority="11" dxfId="1">
      <formula>AND(IF($Q106=3,1,0),IF($X106&lt;30,1,0))</formula>
    </cfRule>
    <cfRule type="expression" priority="12" dxfId="0">
      <formula>AND(IF($Q106=3,1,IF($Q106=4,1,0)),IF($F106&lt;=85,1,0))</formula>
    </cfRule>
  </conditionalFormatting>
  <conditionalFormatting sqref="X106">
    <cfRule type="expression" priority="5" dxfId="3">
      <formula>AND(IF(OR($Q106=1,$Q106=2),1,0),IF($X106&lt;=20,1,0))</formula>
    </cfRule>
    <cfRule type="expression" priority="6" dxfId="2">
      <formula>AND(IF($Q106=2,1,0),IF($X106&lt;30,1,0))</formula>
    </cfRule>
    <cfRule type="expression" priority="7" dxfId="1">
      <formula>AND(IF($Q106=3,1,0),IF($X106&lt;30,1,0))</formula>
    </cfRule>
    <cfRule type="expression" priority="8" dxfId="0">
      <formula>AND(IF($Q106=3,1,IF($Q106=4,1,0)),IF($F106&lt;=85,1,0))</formula>
    </cfRule>
  </conditionalFormatting>
  <conditionalFormatting sqref="AI106">
    <cfRule type="expression" priority="1" dxfId="3">
      <formula>AND(IF(OR($Q106=1,$Q106=2),1,0),IF($X106&lt;=20,1,0))</formula>
    </cfRule>
    <cfRule type="expression" priority="2" dxfId="2">
      <formula>AND(IF($Q106=2,1,0),IF($X106&lt;30,1,0))</formula>
    </cfRule>
    <cfRule type="expression" priority="3" dxfId="1">
      <formula>AND(IF($Q106=3,1,0),IF($X106&lt;30,1,0))</formula>
    </cfRule>
    <cfRule type="expression" priority="4" dxfId="0">
      <formula>AND(IF($Q106=3,1,IF($Q106=4,1,0)),IF($F106&lt;=85,1,0))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남촌동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남촌풍림2차</t>
        </is>
      </c>
      <c r="B6" s="16" t="inlineStr">
        <is>
          <t>'00.07.</t>
        </is>
      </c>
      <c r="C6" s="164" t="n">
        <v>319</v>
      </c>
      <c r="D6" s="161" t="n">
        <v>77.40000000000001</v>
      </c>
      <c r="E6" s="163" t="n">
        <v>23</v>
      </c>
      <c r="F6" s="161" t="n">
        <v>59.7</v>
      </c>
      <c r="G6" s="27" t="n">
        <v>18</v>
      </c>
      <c r="H6" s="164" t="n">
        <v>134</v>
      </c>
      <c r="I6" s="165" t="n">
        <v>28000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남촌풍림2차</t>
        </is>
      </c>
      <c r="B7" s="16" t="inlineStr">
        <is>
          <t>'00.07.</t>
        </is>
      </c>
      <c r="C7" s="164" t="n">
        <v>319</v>
      </c>
      <c r="D7" s="161" t="n">
        <v>110</v>
      </c>
      <c r="E7" s="163" t="n">
        <v>33</v>
      </c>
      <c r="F7" s="161" t="n">
        <v>84.8</v>
      </c>
      <c r="G7" s="27" t="n">
        <v>26</v>
      </c>
      <c r="H7" s="164" t="n">
        <v>103</v>
      </c>
      <c r="I7" s="165" t="n">
        <v>35000</v>
      </c>
      <c r="J7" s="165" t="inlineStr">
        <is>
          <t>16</t>
        </is>
      </c>
      <c r="K7" s="165" t="n">
        <v>25000</v>
      </c>
      <c r="L7" s="165" t="inlineStr">
        <is>
          <t>13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남촌풍림2차</t>
        </is>
      </c>
      <c r="B8" s="16" t="inlineStr">
        <is>
          <t>'00.07.</t>
        </is>
      </c>
      <c r="C8" s="164" t="n">
        <v>319</v>
      </c>
      <c r="D8" s="161" t="n">
        <v>109.4</v>
      </c>
      <c r="E8" s="163" t="n">
        <v>33</v>
      </c>
      <c r="F8" s="161" t="n">
        <v>84.40000000000001</v>
      </c>
      <c r="G8" s="27" t="n">
        <v>26</v>
      </c>
      <c r="H8" s="164" t="n">
        <v>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남촌풍림2차</t>
        </is>
      </c>
      <c r="B9" s="16" t="inlineStr">
        <is>
          <t>'00.07.</t>
        </is>
      </c>
      <c r="C9" s="164" t="n">
        <v>319</v>
      </c>
      <c r="D9" s="161" t="n">
        <v>142.4</v>
      </c>
      <c r="E9" s="163" t="n">
        <v>43</v>
      </c>
      <c r="F9" s="161" t="n">
        <v>109.8</v>
      </c>
      <c r="G9" s="27" t="n">
        <v>33</v>
      </c>
      <c r="H9" s="164" t="n">
        <v>76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inlineStr">
        <is>
          <t>142B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남촌풍림2차</t>
        </is>
      </c>
      <c r="B10" s="16" t="inlineStr">
        <is>
          <t>'00.07.</t>
        </is>
      </c>
      <c r="C10" s="164" t="n">
        <v>319</v>
      </c>
      <c r="D10" s="161" t="n">
        <v>142.3</v>
      </c>
      <c r="E10" s="163" t="n">
        <v>43</v>
      </c>
      <c r="F10" s="161" t="n">
        <v>109.7</v>
      </c>
      <c r="G10" s="27" t="n">
        <v>33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남촌풍림3차</t>
        </is>
      </c>
      <c r="B12" s="16" t="inlineStr">
        <is>
          <t>'99.12.</t>
        </is>
      </c>
      <c r="C12" s="164" t="n">
        <v>735</v>
      </c>
      <c r="D12" s="161" t="n">
        <v>80.59999999999999</v>
      </c>
      <c r="E12" s="163" t="n">
        <v>24</v>
      </c>
      <c r="F12" s="161" t="n">
        <v>59.1</v>
      </c>
      <c r="G12" s="27" t="n">
        <v>18</v>
      </c>
      <c r="H12" s="164" t="n">
        <v>170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남촌풍림3차</t>
        </is>
      </c>
      <c r="B13" s="16" t="inlineStr">
        <is>
          <t>'99.12.</t>
        </is>
      </c>
      <c r="C13" s="164" t="n">
        <v>735</v>
      </c>
      <c r="D13" s="161" t="n">
        <v>81.3</v>
      </c>
      <c r="E13" s="163" t="n">
        <v>25</v>
      </c>
      <c r="F13" s="161" t="n">
        <v>59.5</v>
      </c>
      <c r="G13" s="27" t="n">
        <v>18</v>
      </c>
      <c r="H13" s="164" t="n">
        <v>85</v>
      </c>
      <c r="I13" s="165" t="n">
        <v>30000</v>
      </c>
      <c r="J13" s="165" t="inlineStr">
        <is>
          <t>고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남촌풍림3차</t>
        </is>
      </c>
      <c r="B14" s="16" t="inlineStr">
        <is>
          <t>'99.12.</t>
        </is>
      </c>
      <c r="C14" s="164" t="n">
        <v>735</v>
      </c>
      <c r="D14" s="161" t="n">
        <v>108.8</v>
      </c>
      <c r="E14" s="163" t="n">
        <v>33</v>
      </c>
      <c r="F14" s="161" t="n">
        <v>83.5</v>
      </c>
      <c r="G14" s="27" t="n">
        <v>25</v>
      </c>
      <c r="H14" s="164" t="n">
        <v>346</v>
      </c>
      <c r="I14" s="165" t="n">
        <v>38000</v>
      </c>
      <c r="J14" s="165" t="inlineStr">
        <is>
          <t>고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108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남촌풍림3차</t>
        </is>
      </c>
      <c r="B15" s="16" t="inlineStr">
        <is>
          <t>'99.12.</t>
        </is>
      </c>
      <c r="C15" s="164" t="n">
        <v>735</v>
      </c>
      <c r="D15" s="161" t="n">
        <v>153.2</v>
      </c>
      <c r="E15" s="163" t="n">
        <v>46</v>
      </c>
      <c r="F15" s="161" t="n">
        <v>123.4</v>
      </c>
      <c r="G15" s="27" t="n">
        <v>37</v>
      </c>
      <c r="H15" s="164" t="n">
        <v>134</v>
      </c>
      <c r="I15" s="165" t="n">
        <v>48000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남촌풍림1차</t>
        </is>
      </c>
      <c r="B17" s="16" t="inlineStr">
        <is>
          <t>'98.03.</t>
        </is>
      </c>
      <c r="C17" s="164" t="n">
        <v>421</v>
      </c>
      <c r="D17" s="161" t="n">
        <v>78.7</v>
      </c>
      <c r="E17" s="163" t="n">
        <v>24</v>
      </c>
      <c r="F17" s="161" t="n">
        <v>59.7</v>
      </c>
      <c r="G17" s="27" t="n">
        <v>18</v>
      </c>
      <c r="H17" s="164" t="n">
        <v>219</v>
      </c>
      <c r="I17" s="165" t="n">
        <v>27000</v>
      </c>
      <c r="J17" s="165" t="inlineStr">
        <is>
          <t>13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78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남촌풍림1차</t>
        </is>
      </c>
      <c r="B18" s="16" t="inlineStr">
        <is>
          <t>'98.03.</t>
        </is>
      </c>
      <c r="C18" s="164" t="n">
        <v>421</v>
      </c>
      <c r="D18" s="161" t="n">
        <v>105.3</v>
      </c>
      <c r="E18" s="163" t="n">
        <v>32</v>
      </c>
      <c r="F18" s="161" t="n">
        <v>84.8</v>
      </c>
      <c r="G18" s="27" t="n">
        <v>26</v>
      </c>
      <c r="H18" s="164" t="n">
        <v>202</v>
      </c>
      <c r="I18" s="165" t="n">
        <v>35000</v>
      </c>
      <c r="J18" s="165" t="inlineStr">
        <is>
          <t>중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 N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5" sqref="A165:XFD1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논현동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이안더테라스</t>
        </is>
      </c>
      <c r="B6" s="16" t="inlineStr">
        <is>
          <t>'17.11.</t>
        </is>
      </c>
      <c r="C6" s="164" t="n">
        <v>298</v>
      </c>
      <c r="D6" s="161" t="n">
        <v>119.8</v>
      </c>
      <c r="E6" s="163" t="n">
        <v>36</v>
      </c>
      <c r="F6" s="161" t="n">
        <v>101.7</v>
      </c>
      <c r="G6" s="27" t="n">
        <v>31</v>
      </c>
      <c r="H6" s="164" t="n">
        <v>37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이안더테라스</t>
        </is>
      </c>
      <c r="B7" s="16" t="inlineStr">
        <is>
          <t>'17.11.</t>
        </is>
      </c>
      <c r="C7" s="164" t="n">
        <v>298</v>
      </c>
      <c r="D7" s="161" t="n">
        <v>119.8</v>
      </c>
      <c r="E7" s="163" t="n">
        <v>36</v>
      </c>
      <c r="F7" s="161" t="n">
        <v>101.7</v>
      </c>
      <c r="G7" s="27" t="n">
        <v>31</v>
      </c>
      <c r="H7" s="164" t="n">
        <v>37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이안더테라스</t>
        </is>
      </c>
      <c r="B8" s="16" t="inlineStr">
        <is>
          <t>'17.11.</t>
        </is>
      </c>
      <c r="C8" s="164" t="n">
        <v>298</v>
      </c>
      <c r="D8" s="161" t="n">
        <v>134.9</v>
      </c>
      <c r="E8" s="163" t="n">
        <v>41</v>
      </c>
      <c r="F8" s="161" t="n">
        <v>115.2</v>
      </c>
      <c r="G8" s="27" t="n">
        <v>35</v>
      </c>
      <c r="H8" s="164" t="n">
        <v>111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134B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이안더테라스</t>
        </is>
      </c>
      <c r="B9" s="16" t="inlineStr">
        <is>
          <t>'17.11.</t>
        </is>
      </c>
      <c r="C9" s="164" t="n">
        <v>298</v>
      </c>
      <c r="D9" s="161" t="n">
        <v>134.9</v>
      </c>
      <c r="E9" s="163" t="n">
        <v>41</v>
      </c>
      <c r="F9" s="161" t="n">
        <v>115.2</v>
      </c>
      <c r="G9" s="27" t="n">
        <v>35</v>
      </c>
      <c r="H9" s="164" t="n">
        <v>110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이안더테라스</t>
        </is>
      </c>
      <c r="B10" s="16" t="inlineStr">
        <is>
          <t>'17.11.</t>
        </is>
      </c>
      <c r="C10" s="164" t="n">
        <v>298</v>
      </c>
      <c r="D10" s="161" t="n">
        <v>136.1</v>
      </c>
      <c r="E10" s="163" t="n">
        <v>41</v>
      </c>
      <c r="F10" s="161" t="n">
        <v>115.6</v>
      </c>
      <c r="G10" s="27" t="n">
        <v>35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136C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이안더테라스</t>
        </is>
      </c>
      <c r="B11" s="16" t="inlineStr">
        <is>
          <t>'17.11.</t>
        </is>
      </c>
      <c r="C11" s="164" t="n">
        <v>298</v>
      </c>
      <c r="D11" s="161" t="n">
        <v>136.1</v>
      </c>
      <c r="E11" s="163" t="n">
        <v>41</v>
      </c>
      <c r="F11" s="161" t="n">
        <v>115.6</v>
      </c>
      <c r="G11" s="27" t="n">
        <v>35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136D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논현주공2단지</t>
        </is>
      </c>
      <c r="B13" s="16" t="inlineStr">
        <is>
          <t>'98.08.</t>
        </is>
      </c>
      <c r="C13" s="164" t="n">
        <v>1252</v>
      </c>
      <c r="D13" s="161" t="n">
        <v>55.4</v>
      </c>
      <c r="E13" s="163" t="n">
        <v>17</v>
      </c>
      <c r="F13" s="161" t="n">
        <v>39</v>
      </c>
      <c r="G13" s="27" t="n">
        <v>12</v>
      </c>
      <c r="H13" s="164" t="n">
        <v>134</v>
      </c>
      <c r="I13" s="165" t="n">
        <v>20000</v>
      </c>
      <c r="J13" s="165" t="inlineStr">
        <is>
          <t>8</t>
        </is>
      </c>
      <c r="K13" s="165" t="n">
        <v>16000</v>
      </c>
      <c r="L13" s="165" t="inlineStr">
        <is>
          <t>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55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논현주공2단지</t>
        </is>
      </c>
      <c r="B14" s="16" t="inlineStr">
        <is>
          <t>'98.08.</t>
        </is>
      </c>
      <c r="C14" s="164" t="n">
        <v>1252</v>
      </c>
      <c r="D14" s="161" t="n">
        <v>72.40000000000001</v>
      </c>
      <c r="E14" s="163" t="n">
        <v>22</v>
      </c>
      <c r="F14" s="161" t="n">
        <v>48.5</v>
      </c>
      <c r="G14" s="27" t="n">
        <v>15</v>
      </c>
      <c r="H14" s="164" t="n">
        <v>238</v>
      </c>
      <c r="I14" s="165" t="n">
        <v>25500</v>
      </c>
      <c r="J14" s="165" t="inlineStr">
        <is>
          <t>13</t>
        </is>
      </c>
      <c r="K14" s="165" t="n">
        <v>23000</v>
      </c>
      <c r="L14" s="165" t="inlineStr">
        <is>
          <t>16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72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논현주공2단지</t>
        </is>
      </c>
      <c r="B15" s="16" t="inlineStr">
        <is>
          <t>'98.08.</t>
        </is>
      </c>
      <c r="C15" s="164" t="n">
        <v>1252</v>
      </c>
      <c r="D15" s="161" t="n">
        <v>77.40000000000001</v>
      </c>
      <c r="E15" s="163" t="n">
        <v>23</v>
      </c>
      <c r="F15" s="161" t="n">
        <v>59.2</v>
      </c>
      <c r="G15" s="27" t="n">
        <v>18</v>
      </c>
      <c r="H15" s="164" t="n">
        <v>120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77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논현주공2단지</t>
        </is>
      </c>
      <c r="B16" s="16" t="inlineStr">
        <is>
          <t>'98.08.</t>
        </is>
      </c>
      <c r="C16" s="164" t="n">
        <v>1252</v>
      </c>
      <c r="D16" s="161" t="n">
        <v>80.2</v>
      </c>
      <c r="E16" s="163" t="n">
        <v>24</v>
      </c>
      <c r="F16" s="161" t="n">
        <v>59.1</v>
      </c>
      <c r="G16" s="27" t="n">
        <v>18</v>
      </c>
      <c r="H16" s="164" t="n">
        <v>80</v>
      </c>
      <c r="I16" s="165" t="n">
        <v>30000</v>
      </c>
      <c r="J16" s="165" t="inlineStr">
        <is>
          <t>12</t>
        </is>
      </c>
      <c r="K16" s="165" t="n">
        <v>25500</v>
      </c>
      <c r="L16" s="165" t="inlineStr">
        <is>
          <t>6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80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논현주공2단지</t>
        </is>
      </c>
      <c r="B17" s="16" t="inlineStr">
        <is>
          <t>'98.08.</t>
        </is>
      </c>
      <c r="C17" s="164" t="n">
        <v>1252</v>
      </c>
      <c r="D17" s="161" t="n">
        <v>106.8</v>
      </c>
      <c r="E17" s="163" t="n">
        <v>32</v>
      </c>
      <c r="F17" s="161" t="n">
        <v>83.8</v>
      </c>
      <c r="G17" s="27" t="n">
        <v>25</v>
      </c>
      <c r="H17" s="164" t="n">
        <v>680</v>
      </c>
      <c r="I17" s="165" t="n">
        <v>38000</v>
      </c>
      <c r="J17" s="165" t="inlineStr">
        <is>
          <t>6</t>
        </is>
      </c>
      <c r="K17" s="165" t="n">
        <v>32000</v>
      </c>
      <c r="L17" s="165" t="inlineStr">
        <is>
          <t>18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논현주공1단지</t>
        </is>
      </c>
      <c r="B19" s="16" t="inlineStr">
        <is>
          <t>'98.08.</t>
        </is>
      </c>
      <c r="C19" s="164" t="n">
        <v>1190</v>
      </c>
      <c r="D19" s="161" t="n">
        <v>69.3</v>
      </c>
      <c r="E19" s="163" t="n">
        <v>21</v>
      </c>
      <c r="F19" s="161" t="n">
        <v>48.9</v>
      </c>
      <c r="G19" s="27" t="n">
        <v>15</v>
      </c>
      <c r="H19" s="164" t="n">
        <v>158</v>
      </c>
      <c r="I19" s="165" t="n">
        <v>23000</v>
      </c>
      <c r="J19" s="165" t="inlineStr">
        <is>
          <t>6</t>
        </is>
      </c>
      <c r="K19" s="165" t="n">
        <v>21000</v>
      </c>
      <c r="L19" s="165" t="inlineStr">
        <is>
          <t>16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n">
        <v>69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논현주공1단지</t>
        </is>
      </c>
      <c r="B20" s="16" t="inlineStr">
        <is>
          <t>'98.08.</t>
        </is>
      </c>
      <c r="C20" s="164" t="n">
        <v>1190</v>
      </c>
      <c r="D20" s="161" t="n">
        <v>80.2</v>
      </c>
      <c r="E20" s="163" t="n">
        <v>24</v>
      </c>
      <c r="F20" s="161" t="n">
        <v>59.1</v>
      </c>
      <c r="G20" s="27" t="n">
        <v>18</v>
      </c>
      <c r="H20" s="164" t="n">
        <v>952</v>
      </c>
      <c r="I20" s="165" t="n">
        <v>28000</v>
      </c>
      <c r="J20" s="165" t="inlineStr">
        <is>
          <t>18</t>
        </is>
      </c>
      <c r="K20" s="165" t="n">
        <v>18900</v>
      </c>
      <c r="L20" s="165" t="inlineStr">
        <is>
          <t>7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논현주공1단지</t>
        </is>
      </c>
      <c r="B21" s="16" t="inlineStr">
        <is>
          <t>'98.08.</t>
        </is>
      </c>
      <c r="C21" s="164" t="n">
        <v>1190</v>
      </c>
      <c r="D21" s="161" t="n">
        <v>83.90000000000001</v>
      </c>
      <c r="E21" s="163" t="n">
        <v>25</v>
      </c>
      <c r="F21" s="161" t="n">
        <v>59.1</v>
      </c>
      <c r="G21" s="27" t="n">
        <v>18</v>
      </c>
      <c r="H21" s="164" t="n">
        <v>80</v>
      </c>
      <c r="I21" s="165" t="n">
        <v>28000</v>
      </c>
      <c r="J21" s="165" t="inlineStr">
        <is>
          <t>9</t>
        </is>
      </c>
      <c r="K21" s="165" t="n">
        <v>23000</v>
      </c>
      <c r="L21" s="165" t="inlineStr">
        <is>
          <t>7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83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인천논현푸르지오</t>
        </is>
      </c>
      <c r="B23" s="16" t="inlineStr">
        <is>
          <t>'19.10.</t>
        </is>
      </c>
      <c r="C23" s="164" t="n">
        <v>754</v>
      </c>
      <c r="D23" s="161" t="n">
        <v>82.2</v>
      </c>
      <c r="E23" s="163" t="n">
        <v>25</v>
      </c>
      <c r="F23" s="161" t="n">
        <v>61.9</v>
      </c>
      <c r="G23" s="27" t="n">
        <v>19</v>
      </c>
      <c r="H23" s="164" t="n">
        <v>375</v>
      </c>
      <c r="I23" s="165" t="n">
        <v>46000</v>
      </c>
      <c r="J23" s="165" t="inlineStr">
        <is>
          <t>14</t>
        </is>
      </c>
      <c r="K23" s="165" t="n">
        <v>33000</v>
      </c>
      <c r="L23" s="165" t="inlineStr">
        <is>
          <t>7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인천논현푸르지오</t>
        </is>
      </c>
      <c r="B24" s="16" t="inlineStr">
        <is>
          <t>'19.10.</t>
        </is>
      </c>
      <c r="C24" s="164" t="n">
        <v>754</v>
      </c>
      <c r="D24" s="161" t="n">
        <v>82.09999999999999</v>
      </c>
      <c r="E24" s="163" t="n">
        <v>25</v>
      </c>
      <c r="F24" s="161" t="n">
        <v>61.9</v>
      </c>
      <c r="G24" s="27" t="n">
        <v>19</v>
      </c>
      <c r="H24" s="164" t="n">
        <v>81</v>
      </c>
      <c r="I24" s="165" t="n">
        <v>52000</v>
      </c>
      <c r="J24" s="165" t="inlineStr">
        <is>
          <t>중</t>
        </is>
      </c>
      <c r="K24" s="165" t="n">
        <v>37000</v>
      </c>
      <c r="L24" s="165" t="inlineStr">
        <is>
          <t>중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82C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인천논현푸르지오</t>
        </is>
      </c>
      <c r="B25" s="16" t="inlineStr">
        <is>
          <t>'19.10.</t>
        </is>
      </c>
      <c r="C25" s="164" t="n">
        <v>754</v>
      </c>
      <c r="D25" s="161" t="n">
        <v>82.59999999999999</v>
      </c>
      <c r="E25" s="163" t="n">
        <v>25</v>
      </c>
      <c r="F25" s="161" t="n">
        <v>62</v>
      </c>
      <c r="G25" s="27" t="n">
        <v>19</v>
      </c>
      <c r="H25" s="164" t="n">
        <v>78</v>
      </c>
      <c r="I25" s="165" t="n">
        <v>49000</v>
      </c>
      <c r="J25" s="165" t="inlineStr">
        <is>
          <t>중</t>
        </is>
      </c>
      <c r="K25" s="165" t="n">
        <v>35000</v>
      </c>
      <c r="L25" s="165" t="inlineStr">
        <is>
          <t>21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82B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인천논현푸르지오</t>
        </is>
      </c>
      <c r="B26" s="16" t="inlineStr">
        <is>
          <t>'19.10.</t>
        </is>
      </c>
      <c r="C26" s="164" t="n">
        <v>754</v>
      </c>
      <c r="D26" s="161" t="n">
        <v>92.2</v>
      </c>
      <c r="E26" s="163" t="n">
        <v>28</v>
      </c>
      <c r="F26" s="161" t="n">
        <v>70.09999999999999</v>
      </c>
      <c r="G26" s="27" t="n">
        <v>21</v>
      </c>
      <c r="H26" s="164" t="n">
        <v>112</v>
      </c>
      <c r="I26" s="165" t="n">
        <v>55000</v>
      </c>
      <c r="J26" s="165" t="inlineStr">
        <is>
          <t>5</t>
        </is>
      </c>
      <c r="K26" s="165" t="n">
        <v>40000</v>
      </c>
      <c r="L26" s="165" t="inlineStr">
        <is>
          <t>5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92A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인천논현푸르지오</t>
        </is>
      </c>
      <c r="B27" s="16" t="inlineStr">
        <is>
          <t>'19.10.</t>
        </is>
      </c>
      <c r="C27" s="164" t="n">
        <v>754</v>
      </c>
      <c r="D27" s="161" t="n">
        <v>92.40000000000001</v>
      </c>
      <c r="E27" s="163" t="n">
        <v>28</v>
      </c>
      <c r="F27" s="161" t="n">
        <v>70.2</v>
      </c>
      <c r="G27" s="27" t="n">
        <v>21</v>
      </c>
      <c r="H27" s="164" t="n">
        <v>108</v>
      </c>
      <c r="I27" s="165" t="n">
        <v>53500</v>
      </c>
      <c r="J27" s="165" t="inlineStr">
        <is>
          <t>18</t>
        </is>
      </c>
      <c r="K27" s="165" t="n">
        <v>38000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92B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논현숲속마을휴먼시아</t>
        </is>
      </c>
      <c r="B29" s="16" t="inlineStr">
        <is>
          <t>'09.06.</t>
        </is>
      </c>
      <c r="C29" s="164" t="n">
        <v>872</v>
      </c>
      <c r="D29" s="161" t="n">
        <v>110.7</v>
      </c>
      <c r="E29" s="163" t="n">
        <v>33</v>
      </c>
      <c r="F29" s="161" t="n">
        <v>84.90000000000001</v>
      </c>
      <c r="G29" s="27" t="n">
        <v>26</v>
      </c>
      <c r="H29" s="164" t="n">
        <v>371</v>
      </c>
      <c r="I29" s="165" t="n">
        <v>55000</v>
      </c>
      <c r="J29" s="165" t="inlineStr">
        <is>
          <t>16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110E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논현숲속마을휴먼시아</t>
        </is>
      </c>
      <c r="B30" s="16" t="inlineStr">
        <is>
          <t>'09.06.</t>
        </is>
      </c>
      <c r="C30" s="164" t="n">
        <v>872</v>
      </c>
      <c r="D30" s="161" t="n">
        <v>110.7</v>
      </c>
      <c r="E30" s="163" t="n">
        <v>33</v>
      </c>
      <c r="F30" s="161" t="n">
        <v>84.90000000000001</v>
      </c>
      <c r="G30" s="27" t="n">
        <v>26</v>
      </c>
      <c r="H30" s="164" t="n">
        <v>224</v>
      </c>
      <c r="I30" s="165" t="n">
        <v>55000</v>
      </c>
      <c r="J30" s="165" t="inlineStr">
        <is>
          <t>16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110D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논현숲속마을휴먼시아</t>
        </is>
      </c>
      <c r="B31" s="16" t="inlineStr">
        <is>
          <t>'09.06.</t>
        </is>
      </c>
      <c r="C31" s="164" t="n">
        <v>872</v>
      </c>
      <c r="D31" s="161" t="n">
        <v>110.7</v>
      </c>
      <c r="E31" s="163" t="n">
        <v>33</v>
      </c>
      <c r="F31" s="161" t="n">
        <v>84.90000000000001</v>
      </c>
      <c r="G31" s="27" t="n">
        <v>26</v>
      </c>
      <c r="H31" s="164" t="n">
        <v>49</v>
      </c>
      <c r="I31" s="165" t="n">
        <v>55000</v>
      </c>
      <c r="J31" s="165" t="inlineStr">
        <is>
          <t>16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110F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논현숲속마을휴먼시아</t>
        </is>
      </c>
      <c r="B32" s="16" t="inlineStr">
        <is>
          <t>'09.06.</t>
        </is>
      </c>
      <c r="C32" s="164" t="n">
        <v>872</v>
      </c>
      <c r="D32" s="161" t="n">
        <v>111.7</v>
      </c>
      <c r="E32" s="163" t="n">
        <v>34</v>
      </c>
      <c r="F32" s="161" t="n">
        <v>84.90000000000001</v>
      </c>
      <c r="G32" s="27" t="n">
        <v>26</v>
      </c>
      <c r="H32" s="164" t="n">
        <v>128</v>
      </c>
      <c r="I32" s="165" t="n">
        <v>55000</v>
      </c>
      <c r="J32" s="165" t="inlineStr">
        <is>
          <t>19</t>
        </is>
      </c>
      <c r="K32" s="165" t="n">
        <v>38000</v>
      </c>
      <c r="L32" s="165" t="inlineStr">
        <is>
          <t>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논현숲속마을휴먼시아</t>
        </is>
      </c>
      <c r="B33" s="16" t="inlineStr">
        <is>
          <t>'09.06.</t>
        </is>
      </c>
      <c r="C33" s="164" t="n">
        <v>872</v>
      </c>
      <c r="D33" s="161" t="n">
        <v>113</v>
      </c>
      <c r="E33" s="163" t="n">
        <v>34</v>
      </c>
      <c r="F33" s="161" t="n">
        <v>84.90000000000001</v>
      </c>
      <c r="G33" s="27" t="n">
        <v>26</v>
      </c>
      <c r="H33" s="164" t="n">
        <v>96</v>
      </c>
      <c r="I33" s="165" t="n">
        <v>51000</v>
      </c>
      <c r="J33" s="165" t="inlineStr">
        <is>
          <t>23</t>
        </is>
      </c>
      <c r="K33" s="165" t="n">
        <v>40000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논현숲속마을휴먼시아</t>
        </is>
      </c>
      <c r="B34" s="16" t="inlineStr">
        <is>
          <t>'09.06.</t>
        </is>
      </c>
      <c r="C34" s="164" t="n">
        <v>872</v>
      </c>
      <c r="D34" s="161" t="n">
        <v>113.7</v>
      </c>
      <c r="E34" s="163" t="n">
        <v>34</v>
      </c>
      <c r="F34" s="161" t="n">
        <v>85</v>
      </c>
      <c r="G34" s="27" t="n">
        <v>26</v>
      </c>
      <c r="H34" s="164" t="n">
        <v>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주공13단지(푸르내마을휴먼시아)</t>
        </is>
      </c>
      <c r="B36" s="16" t="inlineStr">
        <is>
          <t>'06.04.</t>
        </is>
      </c>
      <c r="C36" s="164" t="n">
        <v>785</v>
      </c>
      <c r="D36" s="161" t="n">
        <v>70.3</v>
      </c>
      <c r="E36" s="163" t="n">
        <v>21</v>
      </c>
      <c r="F36" s="161" t="n">
        <v>51.9</v>
      </c>
      <c r="G36" s="27" t="n">
        <v>16</v>
      </c>
      <c r="H36" s="164" t="n">
        <v>270</v>
      </c>
      <c r="I36" s="165" t="n">
        <v>35000</v>
      </c>
      <c r="J36" s="165" t="inlineStr">
        <is>
          <t>고</t>
        </is>
      </c>
      <c r="K36" s="165" t="n">
        <v>20000</v>
      </c>
      <c r="L36" s="165" t="inlineStr">
        <is>
          <t>18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inlineStr">
        <is>
          <t>70A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주공13단지(푸르내마을휴먼시아)</t>
        </is>
      </c>
      <c r="B37" s="16" t="inlineStr">
        <is>
          <t>'06.04.</t>
        </is>
      </c>
      <c r="C37" s="164" t="n">
        <v>785</v>
      </c>
      <c r="D37" s="161" t="n">
        <v>70.3</v>
      </c>
      <c r="E37" s="163" t="n">
        <v>21</v>
      </c>
      <c r="F37" s="161" t="n">
        <v>51.8</v>
      </c>
      <c r="G37" s="27" t="n">
        <v>16</v>
      </c>
      <c r="H37" s="164" t="n">
        <v>20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inlineStr">
        <is>
          <t>70B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주공13단지(푸르내마을휴먼시아)</t>
        </is>
      </c>
      <c r="B38" s="16" t="inlineStr">
        <is>
          <t>'06.04.</t>
        </is>
      </c>
      <c r="C38" s="164" t="n">
        <v>785</v>
      </c>
      <c r="D38" s="161" t="n">
        <v>78.40000000000001</v>
      </c>
      <c r="E38" s="163" t="n">
        <v>24</v>
      </c>
      <c r="F38" s="161" t="n">
        <v>59.6</v>
      </c>
      <c r="G38" s="27" t="n">
        <v>18</v>
      </c>
      <c r="H38" s="164" t="n">
        <v>416</v>
      </c>
      <c r="I38" s="165" t="n">
        <v>35000</v>
      </c>
      <c r="J38" s="165" t="inlineStr">
        <is>
          <t>6</t>
        </is>
      </c>
      <c r="K38" s="165" t="n">
        <v>29000</v>
      </c>
      <c r="L38" s="165" t="inlineStr">
        <is>
          <t>10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inlineStr">
        <is>
          <t>78A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주공13단지(푸르내마을휴먼시아)</t>
        </is>
      </c>
      <c r="B39" s="16" t="inlineStr">
        <is>
          <t>'06.04.</t>
        </is>
      </c>
      <c r="C39" s="164" t="n">
        <v>785</v>
      </c>
      <c r="D39" s="161" t="n">
        <v>78.09999999999999</v>
      </c>
      <c r="E39" s="163" t="n">
        <v>24</v>
      </c>
      <c r="F39" s="161" t="n">
        <v>59.3</v>
      </c>
      <c r="G39" s="27" t="n">
        <v>18</v>
      </c>
      <c r="H39" s="164" t="n">
        <v>40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78C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주공13단지(푸르내마을휴먼시아)</t>
        </is>
      </c>
      <c r="B40" s="16" t="inlineStr">
        <is>
          <t>'06.04.</t>
        </is>
      </c>
      <c r="C40" s="164" t="n">
        <v>785</v>
      </c>
      <c r="D40" s="161" t="n">
        <v>78.59999999999999</v>
      </c>
      <c r="E40" s="163" t="n">
        <v>24</v>
      </c>
      <c r="F40" s="161" t="n">
        <v>59.7</v>
      </c>
      <c r="G40" s="27" t="n">
        <v>18</v>
      </c>
      <c r="H40" s="164" t="n">
        <v>39</v>
      </c>
      <c r="I40" s="165" t="n">
        <v>45000</v>
      </c>
      <c r="J40" s="165" t="inlineStr">
        <is>
          <t>12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inlineStr">
        <is>
          <t>78B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한라</t>
        </is>
      </c>
      <c r="B42" s="16" t="inlineStr">
        <is>
          <t>'96.02.</t>
        </is>
      </c>
      <c r="C42" s="164" t="n">
        <v>288</v>
      </c>
      <c r="D42" s="161" t="n">
        <v>82.5</v>
      </c>
      <c r="E42" s="163" t="n">
        <v>25</v>
      </c>
      <c r="F42" s="161" t="n">
        <v>59.7</v>
      </c>
      <c r="G42" s="27" t="n">
        <v>18</v>
      </c>
      <c r="H42" s="164" t="n">
        <v>288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복</t>
        </is>
      </c>
      <c r="T42" s="8" t="n">
        <v>82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인천소래논현구역에코메트로3차더타워</t>
        </is>
      </c>
      <c r="B44" s="16" t="inlineStr">
        <is>
          <t>'13.11.</t>
        </is>
      </c>
      <c r="C44" s="164" t="n">
        <v>644</v>
      </c>
      <c r="D44" s="161" t="n">
        <v>131.8</v>
      </c>
      <c r="E44" s="163" t="n">
        <v>40</v>
      </c>
      <c r="F44" s="161" t="n">
        <v>95.7</v>
      </c>
      <c r="G44" s="27" t="n">
        <v>29</v>
      </c>
      <c r="H44" s="164" t="n">
        <v>152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131A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인천소래논현구역에코메트로3차더타워</t>
        </is>
      </c>
      <c r="B45" s="16" t="inlineStr">
        <is>
          <t>'13.11.</t>
        </is>
      </c>
      <c r="C45" s="164" t="n">
        <v>644</v>
      </c>
      <c r="D45" s="161" t="n">
        <v>146.4</v>
      </c>
      <c r="E45" s="163" t="n">
        <v>44</v>
      </c>
      <c r="F45" s="161" t="n">
        <v>105</v>
      </c>
      <c r="G45" s="27" t="n">
        <v>32</v>
      </c>
      <c r="H45" s="164" t="n">
        <v>244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146B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인천소래논현구역에코메트로3차더타워</t>
        </is>
      </c>
      <c r="B46" s="16" t="inlineStr">
        <is>
          <t>'13.11.</t>
        </is>
      </c>
      <c r="C46" s="164" t="n">
        <v>644</v>
      </c>
      <c r="D46" s="161" t="n">
        <v>164.1</v>
      </c>
      <c r="E46" s="163" t="n">
        <v>50</v>
      </c>
      <c r="F46" s="161" t="n">
        <v>117.3</v>
      </c>
      <c r="G46" s="27" t="n">
        <v>35</v>
      </c>
      <c r="H46" s="164" t="n">
        <v>190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164C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인천소래논현구역에코메트로3차더타워</t>
        </is>
      </c>
      <c r="B47" s="16" t="inlineStr">
        <is>
          <t>'13.11.</t>
        </is>
      </c>
      <c r="C47" s="164" t="n">
        <v>644</v>
      </c>
      <c r="D47" s="161" t="n">
        <v>177.5</v>
      </c>
      <c r="E47" s="163" t="n">
        <v>54</v>
      </c>
      <c r="F47" s="161" t="n">
        <v>128.9</v>
      </c>
      <c r="G47" s="27" t="n">
        <v>39</v>
      </c>
      <c r="H47" s="164" t="n">
        <v>20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177D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인천소래논현구역에코메트로3차더타워</t>
        </is>
      </c>
      <c r="B48" s="16" t="inlineStr">
        <is>
          <t>'13.11.</t>
        </is>
      </c>
      <c r="C48" s="164" t="n">
        <v>644</v>
      </c>
      <c r="D48" s="161" t="n">
        <v>196.6</v>
      </c>
      <c r="E48" s="163" t="n">
        <v>59</v>
      </c>
      <c r="F48" s="161" t="n">
        <v>140.9</v>
      </c>
      <c r="G48" s="27" t="n">
        <v>43</v>
      </c>
      <c r="H48" s="164" t="n">
        <v>38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196E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논현유호엔시티1단지</t>
        </is>
      </c>
      <c r="B50" s="16" t="inlineStr">
        <is>
          <t>'13.05.</t>
        </is>
      </c>
      <c r="C50" s="164" t="n">
        <v>383</v>
      </c>
      <c r="D50" s="161" t="n">
        <v>112.7</v>
      </c>
      <c r="E50" s="163" t="n">
        <v>34</v>
      </c>
      <c r="F50" s="161" t="n">
        <v>84.59999999999999</v>
      </c>
      <c r="G50" s="27" t="n">
        <v>26</v>
      </c>
      <c r="H50" s="164" t="n">
        <v>113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112B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논현유호엔시티1단지</t>
        </is>
      </c>
      <c r="B51" s="16" t="inlineStr">
        <is>
          <t>'13.05.</t>
        </is>
      </c>
      <c r="C51" s="164" t="n">
        <v>383</v>
      </c>
      <c r="D51" s="161" t="n">
        <v>113.2</v>
      </c>
      <c r="E51" s="163" t="n">
        <v>34</v>
      </c>
      <c r="F51" s="161" t="n">
        <v>84.8</v>
      </c>
      <c r="G51" s="27" t="n">
        <v>26</v>
      </c>
      <c r="H51" s="164" t="n">
        <v>127</v>
      </c>
      <c r="I51" s="165" t="n">
        <v>44500</v>
      </c>
      <c r="J51" s="165" t="inlineStr">
        <is>
          <t>24</t>
        </is>
      </c>
      <c r="K51" s="165" t="n">
        <v>34000</v>
      </c>
      <c r="L51" s="165" t="inlineStr">
        <is>
          <t>26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113A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논현유호엔시티1단지</t>
        </is>
      </c>
      <c r="B52" s="16" t="inlineStr">
        <is>
          <t>'13.05.</t>
        </is>
      </c>
      <c r="C52" s="164" t="n">
        <v>383</v>
      </c>
      <c r="D52" s="161" t="n">
        <v>124.9</v>
      </c>
      <c r="E52" s="163" t="n">
        <v>38</v>
      </c>
      <c r="F52" s="161" t="n">
        <v>96.40000000000001</v>
      </c>
      <c r="G52" s="27" t="n">
        <v>29</v>
      </c>
      <c r="H52" s="164" t="n">
        <v>67</v>
      </c>
      <c r="I52" s="165" t="n">
        <v>45000</v>
      </c>
      <c r="J52" s="165" t="inlineStr">
        <is>
          <t>10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124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논현유호엔시티1단지</t>
        </is>
      </c>
      <c r="B53" s="16" t="inlineStr">
        <is>
          <t>'13.05.</t>
        </is>
      </c>
      <c r="C53" s="164" t="n">
        <v>383</v>
      </c>
      <c r="D53" s="161" t="n">
        <v>132.8</v>
      </c>
      <c r="E53" s="163" t="n">
        <v>40</v>
      </c>
      <c r="F53" s="161" t="n">
        <v>101.1</v>
      </c>
      <c r="G53" s="27" t="n">
        <v>31</v>
      </c>
      <c r="H53" s="164" t="n">
        <v>76</v>
      </c>
      <c r="I53" s="165" t="n">
        <v>47000</v>
      </c>
      <c r="J53" s="165" t="inlineStr">
        <is>
          <t>중</t>
        </is>
      </c>
      <c r="K53" s="165" t="n">
        <v>38000</v>
      </c>
      <c r="L53" s="165" t="inlineStr">
        <is>
          <t>고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별빛마을웰카운티</t>
        </is>
      </c>
      <c r="B55" s="16" t="inlineStr">
        <is>
          <t>'08.07.</t>
        </is>
      </c>
      <c r="C55" s="164" t="n">
        <v>888</v>
      </c>
      <c r="D55" s="161" t="n">
        <v>125.9</v>
      </c>
      <c r="E55" s="163" t="n">
        <v>38</v>
      </c>
      <c r="F55" s="161" t="n">
        <v>101.5</v>
      </c>
      <c r="G55" s="27" t="n">
        <v>31</v>
      </c>
      <c r="H55" s="164" t="n">
        <v>366</v>
      </c>
      <c r="I55" s="165" t="n">
        <v>62000</v>
      </c>
      <c r="J55" s="165" t="inlineStr">
        <is>
          <t>중</t>
        </is>
      </c>
      <c r="K55" s="165" t="n">
        <v>50000</v>
      </c>
      <c r="L55" s="165" t="inlineStr">
        <is>
          <t>고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합</t>
        </is>
      </c>
      <c r="T55" s="8" t="inlineStr">
        <is>
          <t>125A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별빛마을웰카운티</t>
        </is>
      </c>
      <c r="B56" s="16" t="inlineStr">
        <is>
          <t>'08.07.</t>
        </is>
      </c>
      <c r="C56" s="164" t="n">
        <v>888</v>
      </c>
      <c r="D56" s="161" t="n">
        <v>126.1</v>
      </c>
      <c r="E56" s="163" t="n">
        <v>38</v>
      </c>
      <c r="F56" s="161" t="n">
        <v>101.4</v>
      </c>
      <c r="G56" s="27" t="n">
        <v>31</v>
      </c>
      <c r="H56" s="164" t="n">
        <v>138</v>
      </c>
      <c r="I56" s="165" t="n">
        <v>62000</v>
      </c>
      <c r="J56" s="165" t="inlineStr">
        <is>
          <t>20</t>
        </is>
      </c>
      <c r="K56" s="165" t="n">
        <v>50000</v>
      </c>
      <c r="L56" s="165" t="inlineStr">
        <is>
          <t>중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합</t>
        </is>
      </c>
      <c r="T56" s="8" t="inlineStr">
        <is>
          <t>126B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별빛마을웰카운티</t>
        </is>
      </c>
      <c r="B57" s="16" t="inlineStr">
        <is>
          <t>'08.07.</t>
        </is>
      </c>
      <c r="C57" s="164" t="n">
        <v>888</v>
      </c>
      <c r="D57" s="161" t="n">
        <v>156.4</v>
      </c>
      <c r="E57" s="163" t="n">
        <v>47</v>
      </c>
      <c r="F57" s="161" t="n">
        <v>128.3</v>
      </c>
      <c r="G57" s="27" t="n">
        <v>39</v>
      </c>
      <c r="H57" s="164" t="n">
        <v>224</v>
      </c>
      <c r="I57" s="165" t="n">
        <v>71000</v>
      </c>
      <c r="J57" s="165" t="inlineStr">
        <is>
          <t>20</t>
        </is>
      </c>
      <c r="K57" s="165" t="n">
        <v>55000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합</t>
        </is>
      </c>
      <c r="T57" s="8" t="n">
        <v>156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별빛마을웰카운티</t>
        </is>
      </c>
      <c r="B58" s="16" t="inlineStr">
        <is>
          <t>'08.07.</t>
        </is>
      </c>
      <c r="C58" s="164" t="n">
        <v>888</v>
      </c>
      <c r="D58" s="161" t="n">
        <v>187.7</v>
      </c>
      <c r="E58" s="163" t="n">
        <v>57</v>
      </c>
      <c r="F58" s="161" t="n">
        <v>153.1</v>
      </c>
      <c r="G58" s="27" t="n">
        <v>46</v>
      </c>
      <c r="H58" s="164" t="n">
        <v>96</v>
      </c>
      <c r="I58" s="165" t="n">
        <v>85000</v>
      </c>
      <c r="J58" s="165" t="inlineStr">
        <is>
          <t>중</t>
        </is>
      </c>
      <c r="K58" s="165" t="n">
        <v>65000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합</t>
        </is>
      </c>
      <c r="T58" s="8" t="inlineStr">
        <is>
          <t>187B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별빛마을웰카운티</t>
        </is>
      </c>
      <c r="B59" s="16" t="inlineStr">
        <is>
          <t>'08.07.</t>
        </is>
      </c>
      <c r="C59" s="164" t="n">
        <v>888</v>
      </c>
      <c r="D59" s="161" t="n">
        <v>187.1</v>
      </c>
      <c r="E59" s="163" t="n">
        <v>57</v>
      </c>
      <c r="F59" s="161" t="n">
        <v>153.8</v>
      </c>
      <c r="G59" s="27" t="n">
        <v>47</v>
      </c>
      <c r="H59" s="164" t="n">
        <v>48</v>
      </c>
      <c r="I59" s="165" t="n">
        <v>90000</v>
      </c>
      <c r="J59" s="165" t="inlineStr">
        <is>
          <t>중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합</t>
        </is>
      </c>
      <c r="T59" s="8" t="inlineStr">
        <is>
          <t>187A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별빛마을웰카운티</t>
        </is>
      </c>
      <c r="B60" s="16" t="inlineStr">
        <is>
          <t>'08.07.</t>
        </is>
      </c>
      <c r="C60" s="164" t="n">
        <v>888</v>
      </c>
      <c r="D60" s="161" t="n">
        <v>239.3</v>
      </c>
      <c r="E60" s="163" t="n">
        <v>72</v>
      </c>
      <c r="F60" s="161" t="n">
        <v>191.4</v>
      </c>
      <c r="G60" s="27" t="n">
        <v>58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3</v>
      </c>
      <c r="S60" s="113" t="inlineStr">
        <is>
          <t>합</t>
        </is>
      </c>
      <c r="T60" s="8" t="inlineStr">
        <is>
          <t>239A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별빛마을웰카운티</t>
        </is>
      </c>
      <c r="B61" s="16" t="inlineStr">
        <is>
          <t>'08.07.</t>
        </is>
      </c>
      <c r="C61" s="164" t="n">
        <v>888</v>
      </c>
      <c r="D61" s="161" t="n">
        <v>239.1</v>
      </c>
      <c r="E61" s="163" t="n">
        <v>72</v>
      </c>
      <c r="F61" s="161" t="n">
        <v>191.4</v>
      </c>
      <c r="G61" s="27" t="n">
        <v>58</v>
      </c>
      <c r="H61" s="164" t="n">
        <v>6</v>
      </c>
      <c r="I61" s="165" t="n">
        <v>210000</v>
      </c>
      <c r="J61" s="165" t="inlineStr">
        <is>
          <t>고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3</v>
      </c>
      <c r="S61" s="113" t="inlineStr">
        <is>
          <t>합</t>
        </is>
      </c>
      <c r="T61" s="8" t="inlineStr">
        <is>
          <t>239B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별빛마을웰카운티</t>
        </is>
      </c>
      <c r="B62" s="16" t="inlineStr">
        <is>
          <t>'08.07.</t>
        </is>
      </c>
      <c r="C62" s="164" t="n">
        <v>888</v>
      </c>
      <c r="D62" s="161" t="n">
        <v>239.4</v>
      </c>
      <c r="E62" s="163" t="n">
        <v>72</v>
      </c>
      <c r="F62" s="161" t="n">
        <v>191.7</v>
      </c>
      <c r="G62" s="27" t="n">
        <v>58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3</v>
      </c>
      <c r="S62" s="113" t="inlineStr">
        <is>
          <t>합</t>
        </is>
      </c>
      <c r="T62" s="8" t="inlineStr">
        <is>
          <t>239C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논현신일해피트리</t>
        </is>
      </c>
      <c r="B64" s="16" t="inlineStr">
        <is>
          <t>'07.05.</t>
        </is>
      </c>
      <c r="C64" s="164" t="n">
        <v>828</v>
      </c>
      <c r="D64" s="161" t="n">
        <v>127.1</v>
      </c>
      <c r="E64" s="163" t="n">
        <v>38</v>
      </c>
      <c r="F64" s="161" t="n">
        <v>101.9</v>
      </c>
      <c r="G64" s="27" t="n">
        <v>31</v>
      </c>
      <c r="H64" s="164" t="n">
        <v>164</v>
      </c>
      <c r="I64" s="165" t="n">
        <v>65000</v>
      </c>
      <c r="J64" s="165" t="inlineStr">
        <is>
          <t>8</t>
        </is>
      </c>
      <c r="K64" s="165" t="n">
        <v>46000</v>
      </c>
      <c r="L64" s="165" t="inlineStr">
        <is>
          <t>18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127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논현신일해피트리</t>
        </is>
      </c>
      <c r="B65" s="16" t="inlineStr">
        <is>
          <t>'07.05.</t>
        </is>
      </c>
      <c r="C65" s="164" t="n">
        <v>828</v>
      </c>
      <c r="D65" s="161" t="n">
        <v>146.6</v>
      </c>
      <c r="E65" s="163" t="n">
        <v>44</v>
      </c>
      <c r="F65" s="161" t="n">
        <v>116.8</v>
      </c>
      <c r="G65" s="27" t="n">
        <v>35</v>
      </c>
      <c r="H65" s="164" t="n">
        <v>172</v>
      </c>
      <c r="I65" s="165" t="n">
        <v>66000</v>
      </c>
      <c r="J65" s="165" t="inlineStr">
        <is>
          <t>중</t>
        </is>
      </c>
      <c r="K65" s="165" t="n">
        <v>45000</v>
      </c>
      <c r="L65" s="165" t="inlineStr">
        <is>
          <t>9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n">
        <v>146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논현신일해피트리</t>
        </is>
      </c>
      <c r="B66" s="16" t="inlineStr">
        <is>
          <t>'07.05.</t>
        </is>
      </c>
      <c r="C66" s="164" t="n">
        <v>828</v>
      </c>
      <c r="D66" s="161" t="n">
        <v>161.3</v>
      </c>
      <c r="E66" s="163" t="n">
        <v>49</v>
      </c>
      <c r="F66" s="161" t="n">
        <v>134.9</v>
      </c>
      <c r="G66" s="27" t="n">
        <v>41</v>
      </c>
      <c r="H66" s="164" t="n">
        <v>400</v>
      </c>
      <c r="I66" s="165" t="n">
        <v>70000</v>
      </c>
      <c r="J66" s="165" t="inlineStr">
        <is>
          <t>중</t>
        </is>
      </c>
      <c r="K66" s="165" t="n">
        <v>50000</v>
      </c>
      <c r="L66" s="165" t="inlineStr">
        <is>
          <t>중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4</v>
      </c>
      <c r="R66" s="113" t="n">
        <v>2</v>
      </c>
      <c r="S66" s="113" t="inlineStr">
        <is>
          <t>계</t>
        </is>
      </c>
      <c r="T66" s="8" t="n">
        <v>161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논현신일해피트리</t>
        </is>
      </c>
      <c r="B67" s="16" t="inlineStr">
        <is>
          <t>'07.05.</t>
        </is>
      </c>
      <c r="C67" s="164" t="n">
        <v>828</v>
      </c>
      <c r="D67" s="161" t="n">
        <v>183.6</v>
      </c>
      <c r="E67" s="163" t="n">
        <v>56</v>
      </c>
      <c r="F67" s="161" t="n">
        <v>156.2</v>
      </c>
      <c r="G67" s="27" t="n">
        <v>47</v>
      </c>
      <c r="H67" s="164" t="n">
        <v>88</v>
      </c>
      <c r="I67" s="165" t="n">
        <v>90000</v>
      </c>
      <c r="J67" s="165" t="inlineStr">
        <is>
          <t>중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4</v>
      </c>
      <c r="R67" s="113" t="n">
        <v>3</v>
      </c>
      <c r="S67" s="113" t="inlineStr">
        <is>
          <t>계</t>
        </is>
      </c>
      <c r="T67" s="8" t="n">
        <v>183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논현신일해피트리</t>
        </is>
      </c>
      <c r="B68" s="16" t="inlineStr">
        <is>
          <t>'07.05.</t>
        </is>
      </c>
      <c r="C68" s="164" t="n">
        <v>828</v>
      </c>
      <c r="D68" s="161" t="n">
        <v>230.1</v>
      </c>
      <c r="E68" s="163" t="n">
        <v>70</v>
      </c>
      <c r="F68" s="161" t="n">
        <v>186.5</v>
      </c>
      <c r="G68" s="27" t="n">
        <v>56</v>
      </c>
      <c r="H68" s="164" t="n">
        <v>4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3</v>
      </c>
      <c r="S68" s="113" t="inlineStr">
        <is>
          <t>계</t>
        </is>
      </c>
      <c r="T68" s="8" t="n">
        <v>230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동산마을휴먼시아</t>
        </is>
      </c>
      <c r="B70" s="16" t="inlineStr">
        <is>
          <t>'06.07.</t>
        </is>
      </c>
      <c r="C70" s="164" t="n">
        <v>833</v>
      </c>
      <c r="D70" s="161" t="n">
        <v>107.6</v>
      </c>
      <c r="E70" s="163" t="n">
        <v>33</v>
      </c>
      <c r="F70" s="161" t="n">
        <v>84.59999999999999</v>
      </c>
      <c r="G70" s="27" t="n">
        <v>26</v>
      </c>
      <c r="H70" s="164" t="n">
        <v>749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107A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동산마을휴먼시아</t>
        </is>
      </c>
      <c r="B71" s="16" t="inlineStr">
        <is>
          <t>'06.07.</t>
        </is>
      </c>
      <c r="C71" s="164" t="n">
        <v>833</v>
      </c>
      <c r="D71" s="161" t="n">
        <v>107.7</v>
      </c>
      <c r="E71" s="163" t="n">
        <v>33</v>
      </c>
      <c r="F71" s="161" t="n">
        <v>84.7</v>
      </c>
      <c r="G71" s="27" t="n">
        <v>26</v>
      </c>
      <c r="H71" s="164" t="n">
        <v>84</v>
      </c>
      <c r="I71" s="165" t="n">
        <v>50000</v>
      </c>
      <c r="J71" s="165" t="inlineStr">
        <is>
          <t>7</t>
        </is>
      </c>
      <c r="K71" s="165" t="n">
        <v>36000</v>
      </c>
      <c r="L71" s="165" t="inlineStr">
        <is>
          <t>14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107B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인천소래LH4단지</t>
        </is>
      </c>
      <c r="B73" s="16" t="inlineStr">
        <is>
          <t>'14.11.</t>
        </is>
      </c>
      <c r="C73" s="164" t="n">
        <v>820</v>
      </c>
      <c r="D73" s="161" t="n">
        <v>84.59999999999999</v>
      </c>
      <c r="E73" s="163" t="n">
        <v>26</v>
      </c>
      <c r="F73" s="161" t="n">
        <v>59.8</v>
      </c>
      <c r="G73" s="27" t="n">
        <v>18</v>
      </c>
      <c r="H73" s="164" t="n">
        <v>332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84B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인천소래LH4단지</t>
        </is>
      </c>
      <c r="B74" s="16" t="inlineStr">
        <is>
          <t>'14.11.</t>
        </is>
      </c>
      <c r="C74" s="164" t="n">
        <v>820</v>
      </c>
      <c r="D74" s="161" t="n">
        <v>84.3</v>
      </c>
      <c r="E74" s="163" t="n">
        <v>25</v>
      </c>
      <c r="F74" s="161" t="n">
        <v>59.6</v>
      </c>
      <c r="G74" s="27" t="n">
        <v>18</v>
      </c>
      <c r="H74" s="164" t="n">
        <v>174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84A2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인천소래LH4단지</t>
        </is>
      </c>
      <c r="B75" s="16" t="inlineStr">
        <is>
          <t>'14.11.</t>
        </is>
      </c>
      <c r="C75" s="164" t="n">
        <v>820</v>
      </c>
      <c r="D75" s="161" t="n">
        <v>84.3</v>
      </c>
      <c r="E75" s="163" t="n">
        <v>25</v>
      </c>
      <c r="F75" s="161" t="n">
        <v>59.6</v>
      </c>
      <c r="G75" s="27" t="n">
        <v>18</v>
      </c>
      <c r="H75" s="164" t="n">
        <v>158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84A1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인천소래LH4단지</t>
        </is>
      </c>
      <c r="B76" s="16" t="inlineStr">
        <is>
          <t>'14.11.</t>
        </is>
      </c>
      <c r="C76" s="164" t="n">
        <v>820</v>
      </c>
      <c r="D76" s="161" t="n">
        <v>84.59999999999999</v>
      </c>
      <c r="E76" s="163" t="n">
        <v>26</v>
      </c>
      <c r="F76" s="161" t="n">
        <v>59.8</v>
      </c>
      <c r="G76" s="27" t="n">
        <v>18</v>
      </c>
      <c r="H76" s="164" t="n">
        <v>156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84C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냇마을신영지웰</t>
        </is>
      </c>
      <c r="B78" s="16" t="inlineStr">
        <is>
          <t>'07.10.</t>
        </is>
      </c>
      <c r="C78" s="164" t="n">
        <v>985</v>
      </c>
      <c r="D78" s="161" t="n">
        <v>122</v>
      </c>
      <c r="E78" s="163" t="n">
        <v>37</v>
      </c>
      <c r="F78" s="161" t="n">
        <v>96.5</v>
      </c>
      <c r="G78" s="27" t="n">
        <v>29</v>
      </c>
      <c r="H78" s="164" t="n">
        <v>460</v>
      </c>
      <c r="I78" s="165" t="n">
        <v>59000</v>
      </c>
      <c r="J78" s="165" t="inlineStr">
        <is>
          <t>5</t>
        </is>
      </c>
      <c r="K78" s="165" t="n">
        <v>50000</v>
      </c>
      <c r="L78" s="165" t="inlineStr">
        <is>
          <t>중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121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냇마을신영지웰</t>
        </is>
      </c>
      <c r="B79" s="16" t="inlineStr">
        <is>
          <t>'07.10.</t>
        </is>
      </c>
      <c r="C79" s="164" t="n">
        <v>985</v>
      </c>
      <c r="D79" s="161" t="n">
        <v>161.9</v>
      </c>
      <c r="E79" s="163" t="n">
        <v>49</v>
      </c>
      <c r="F79" s="161" t="n">
        <v>131.9</v>
      </c>
      <c r="G79" s="27" t="n">
        <v>40</v>
      </c>
      <c r="H79" s="164" t="n">
        <v>378</v>
      </c>
      <c r="I79" s="165" t="n">
        <v>80000</v>
      </c>
      <c r="J79" s="165" t="inlineStr">
        <is>
          <t>11</t>
        </is>
      </c>
      <c r="K79" s="165" t="n">
        <v>53000</v>
      </c>
      <c r="L79" s="165" t="inlineStr">
        <is>
          <t>중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n">
        <v>161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냇마을신영지웰</t>
        </is>
      </c>
      <c r="B80" s="16" t="inlineStr">
        <is>
          <t>'07.10.</t>
        </is>
      </c>
      <c r="C80" s="164" t="n">
        <v>985</v>
      </c>
      <c r="D80" s="161" t="n">
        <v>185.8</v>
      </c>
      <c r="E80" s="163" t="n">
        <v>56</v>
      </c>
      <c r="F80" s="161" t="n">
        <v>152.6</v>
      </c>
      <c r="G80" s="27" t="n">
        <v>46</v>
      </c>
      <c r="H80" s="164" t="n">
        <v>120</v>
      </c>
      <c r="I80" s="165" t="n">
        <v>83000</v>
      </c>
      <c r="J80" s="165" t="inlineStr">
        <is>
          <t>중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5</v>
      </c>
      <c r="R80" s="113" t="n">
        <v>2</v>
      </c>
      <c r="S80" s="113" t="inlineStr">
        <is>
          <t>계</t>
        </is>
      </c>
      <c r="T80" s="8" t="n">
        <v>185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냇마을신영지웰</t>
        </is>
      </c>
      <c r="B81" s="16" t="inlineStr">
        <is>
          <t>'07.10.</t>
        </is>
      </c>
      <c r="C81" s="164" t="n">
        <v>985</v>
      </c>
      <c r="D81" s="161" t="n">
        <v>239.4</v>
      </c>
      <c r="E81" s="163" t="n">
        <v>72</v>
      </c>
      <c r="F81" s="161" t="n">
        <v>192.4</v>
      </c>
      <c r="G81" s="27" t="n">
        <v>58</v>
      </c>
      <c r="H81" s="164" t="n">
        <v>10</v>
      </c>
      <c r="I81" s="165" t="n">
        <v>130000</v>
      </c>
      <c r="J81" s="165" t="inlineStr">
        <is>
          <t>고</t>
        </is>
      </c>
      <c r="K81" s="165" t="n">
        <v>80000</v>
      </c>
      <c r="L81" s="165" t="inlineStr">
        <is>
          <t>고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5</v>
      </c>
      <c r="R81" s="113" t="n">
        <v>2</v>
      </c>
      <c r="S81" s="113" t="inlineStr">
        <is>
          <t>계</t>
        </is>
      </c>
      <c r="T81" s="8" t="n">
        <v>239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냇마을신영지웰</t>
        </is>
      </c>
      <c r="B82" s="16" t="inlineStr">
        <is>
          <t>'07.10.</t>
        </is>
      </c>
      <c r="C82" s="164" t="n">
        <v>985</v>
      </c>
      <c r="D82" s="161" t="n">
        <v>260</v>
      </c>
      <c r="E82" s="163" t="n">
        <v>79</v>
      </c>
      <c r="F82" s="161" t="n">
        <v>207.8</v>
      </c>
      <c r="G82" s="27" t="n">
        <v>63</v>
      </c>
      <c r="H82" s="164" t="n">
        <v>17</v>
      </c>
      <c r="I82" s="165" t="n">
        <v>115000</v>
      </c>
      <c r="J82" s="165" t="inlineStr">
        <is>
          <t>27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4</v>
      </c>
      <c r="S82" s="113" t="inlineStr">
        <is>
          <t>계</t>
        </is>
      </c>
      <c r="T82" s="8" t="n">
        <v>260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소래마을풍림</t>
        </is>
      </c>
      <c r="B84" s="16" t="inlineStr">
        <is>
          <t>'00.03.</t>
        </is>
      </c>
      <c r="C84" s="164" t="n">
        <v>1517</v>
      </c>
      <c r="D84" s="161" t="n">
        <v>81.2</v>
      </c>
      <c r="E84" s="163" t="n">
        <v>25</v>
      </c>
      <c r="F84" s="161" t="n">
        <v>59.7</v>
      </c>
      <c r="G84" s="27" t="n">
        <v>18</v>
      </c>
      <c r="H84" s="164" t="n">
        <v>616</v>
      </c>
      <c r="I84" s="165" t="n">
        <v>31000</v>
      </c>
      <c r="J84" s="165" t="inlineStr">
        <is>
          <t>17</t>
        </is>
      </c>
      <c r="K84" s="165" t="n">
        <v>25000</v>
      </c>
      <c r="L84" s="165" t="inlineStr">
        <is>
          <t>10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81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소래마을풍림</t>
        </is>
      </c>
      <c r="B85" s="16" t="inlineStr">
        <is>
          <t>'00.03.</t>
        </is>
      </c>
      <c r="C85" s="164" t="n">
        <v>1517</v>
      </c>
      <c r="D85" s="161" t="n">
        <v>108.9</v>
      </c>
      <c r="E85" s="163" t="n">
        <v>33</v>
      </c>
      <c r="F85" s="161" t="n">
        <v>85</v>
      </c>
      <c r="G85" s="27" t="n">
        <v>26</v>
      </c>
      <c r="H85" s="164" t="n">
        <v>752</v>
      </c>
      <c r="I85" s="165" t="n">
        <v>36000</v>
      </c>
      <c r="J85" s="165" t="inlineStr">
        <is>
          <t>14</t>
        </is>
      </c>
      <c r="K85" s="165" t="n">
        <v>33000</v>
      </c>
      <c r="L85" s="165" t="inlineStr">
        <is>
          <t>10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n">
        <v>108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소래마을풍림</t>
        </is>
      </c>
      <c r="B86" s="16" t="inlineStr">
        <is>
          <t>'00.03.</t>
        </is>
      </c>
      <c r="C86" s="164" t="n">
        <v>1517</v>
      </c>
      <c r="D86" s="161" t="n">
        <v>129</v>
      </c>
      <c r="E86" s="163" t="n">
        <v>39</v>
      </c>
      <c r="F86" s="161" t="n">
        <v>101</v>
      </c>
      <c r="G86" s="27" t="n">
        <v>31</v>
      </c>
      <c r="H86" s="164" t="n">
        <v>70</v>
      </c>
      <c r="I86" s="165" t="n">
        <v>43000</v>
      </c>
      <c r="J86" s="165" t="inlineStr">
        <is>
          <t>18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128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소래마을풍림</t>
        </is>
      </c>
      <c r="B87" s="16" t="inlineStr">
        <is>
          <t>'00.03.</t>
        </is>
      </c>
      <c r="C87" s="164" t="n">
        <v>1517</v>
      </c>
      <c r="D87" s="161" t="n">
        <v>153.6</v>
      </c>
      <c r="E87" s="163" t="n">
        <v>46</v>
      </c>
      <c r="F87" s="161" t="n">
        <v>124.7</v>
      </c>
      <c r="G87" s="27" t="n">
        <v>38</v>
      </c>
      <c r="H87" s="164" t="n">
        <v>79</v>
      </c>
      <c r="I87" s="165" t="n">
        <v>45000</v>
      </c>
      <c r="J87" s="165" t="inlineStr">
        <is>
          <t>6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153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1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2" t="n"/>
      <c r="P88" s="162" t="n"/>
      <c r="Q88" s="163" t="n"/>
      <c r="R88" s="163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0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에코메트로10단지한화꿈에그린</t>
        </is>
      </c>
      <c r="B89" s="16" t="inlineStr">
        <is>
          <t>'10.12.</t>
        </is>
      </c>
      <c r="C89" s="164" t="n">
        <v>556</v>
      </c>
      <c r="D89" s="161" t="n">
        <v>155</v>
      </c>
      <c r="E89" s="163" t="n">
        <v>47</v>
      </c>
      <c r="F89" s="161" t="n">
        <v>118</v>
      </c>
      <c r="G89" s="27" t="n">
        <v>36</v>
      </c>
      <c r="H89" s="164" t="n">
        <v>208</v>
      </c>
      <c r="I89" s="165" t="n">
        <v>85000</v>
      </c>
      <c r="J89" s="165" t="inlineStr">
        <is>
          <t>고</t>
        </is>
      </c>
      <c r="K89" s="165" t="n">
        <v>63000</v>
      </c>
      <c r="L89" s="165" t="inlineStr">
        <is>
          <t>36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154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에코메트로10단지한화꿈에그린</t>
        </is>
      </c>
      <c r="B90" s="16" t="inlineStr">
        <is>
          <t>'10.12.</t>
        </is>
      </c>
      <c r="C90" s="164" t="n">
        <v>556</v>
      </c>
      <c r="D90" s="161" t="n">
        <v>187.1</v>
      </c>
      <c r="E90" s="163" t="n">
        <v>57</v>
      </c>
      <c r="F90" s="161" t="n">
        <v>143.3</v>
      </c>
      <c r="G90" s="27" t="n">
        <v>43</v>
      </c>
      <c r="H90" s="164" t="n">
        <v>226</v>
      </c>
      <c r="I90" s="165" t="n">
        <v>100000</v>
      </c>
      <c r="J90" s="165" t="inlineStr">
        <is>
          <t>중</t>
        </is>
      </c>
      <c r="K90" s="165" t="n">
        <v>70000</v>
      </c>
      <c r="L90" s="165" t="inlineStr">
        <is>
          <t>고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n">
        <v>187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에코메트로10단지한화꿈에그린</t>
        </is>
      </c>
      <c r="B91" s="16" t="inlineStr">
        <is>
          <t>'10.12.</t>
        </is>
      </c>
      <c r="C91" s="164" t="n">
        <v>556</v>
      </c>
      <c r="D91" s="161" t="n">
        <v>221.6</v>
      </c>
      <c r="E91" s="163" t="n">
        <v>67</v>
      </c>
      <c r="F91" s="161" t="n">
        <v>169.7</v>
      </c>
      <c r="G91" s="27" t="n">
        <v>51</v>
      </c>
      <c r="H91" s="164" t="n">
        <v>62</v>
      </c>
      <c r="I91" s="165" t="n">
        <v>135000</v>
      </c>
      <c r="J91" s="165" t="inlineStr">
        <is>
          <t>고</t>
        </is>
      </c>
      <c r="K91" s="165" t="n">
        <v>80000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n">
        <v>221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에코메트로10단지한화꿈에그린</t>
        </is>
      </c>
      <c r="B92" s="16" t="inlineStr">
        <is>
          <t>'10.12.</t>
        </is>
      </c>
      <c r="C92" s="164" t="n">
        <v>556</v>
      </c>
      <c r="D92" s="161" t="n">
        <v>251</v>
      </c>
      <c r="E92" s="163" t="n">
        <v>76</v>
      </c>
      <c r="F92" s="161" t="n">
        <v>199.1</v>
      </c>
      <c r="G92" s="27" t="n">
        <v>60</v>
      </c>
      <c r="H92" s="164" t="n">
        <v>60</v>
      </c>
      <c r="I92" s="165" t="n">
        <v>160000</v>
      </c>
      <c r="J92" s="165" t="inlineStr">
        <is>
          <t>고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4</v>
      </c>
      <c r="R92" s="113" t="n">
        <v>3</v>
      </c>
      <c r="S92" s="113" t="inlineStr">
        <is>
          <t>계</t>
        </is>
      </c>
      <c r="T92" s="8" t="n">
        <v>250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에코메트로6단지한화꿈에그린</t>
        </is>
      </c>
      <c r="B94" s="16" t="inlineStr">
        <is>
          <t>'10.12.</t>
        </is>
      </c>
      <c r="C94" s="164" t="n">
        <v>960</v>
      </c>
      <c r="D94" s="161" t="n">
        <v>114.7</v>
      </c>
      <c r="E94" s="163" t="n">
        <v>35</v>
      </c>
      <c r="F94" s="161" t="n">
        <v>85</v>
      </c>
      <c r="G94" s="27" t="n">
        <v>26</v>
      </c>
      <c r="H94" s="164" t="n">
        <v>288</v>
      </c>
      <c r="I94" s="165" t="n">
        <v>65000</v>
      </c>
      <c r="J94" s="165" t="inlineStr">
        <is>
          <t>15</t>
        </is>
      </c>
      <c r="K94" s="165" t="n">
        <v>43000</v>
      </c>
      <c r="L94" s="165" t="inlineStr">
        <is>
          <t>15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114A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에코메트로6단지한화꿈에그린</t>
        </is>
      </c>
      <c r="B95" s="16" t="inlineStr">
        <is>
          <t>'10.12.</t>
        </is>
      </c>
      <c r="C95" s="164" t="n">
        <v>960</v>
      </c>
      <c r="D95" s="161" t="n">
        <v>114.7</v>
      </c>
      <c r="E95" s="163" t="n">
        <v>35</v>
      </c>
      <c r="F95" s="161" t="n">
        <v>85</v>
      </c>
      <c r="G95" s="27" t="n">
        <v>26</v>
      </c>
      <c r="H95" s="164" t="n">
        <v>288</v>
      </c>
      <c r="I95" s="165" t="n">
        <v>65000</v>
      </c>
      <c r="J95" s="165" t="inlineStr">
        <is>
          <t>15</t>
        </is>
      </c>
      <c r="K95" s="165" t="n">
        <v>43000</v>
      </c>
      <c r="L95" s="165" t="inlineStr">
        <is>
          <t>15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에코메트로6단지한화꿈에그린</t>
        </is>
      </c>
      <c r="B96" s="16" t="inlineStr">
        <is>
          <t>'10.12.</t>
        </is>
      </c>
      <c r="C96" s="164" t="n">
        <v>960</v>
      </c>
      <c r="D96" s="161" t="n">
        <v>114</v>
      </c>
      <c r="E96" s="163" t="n">
        <v>34</v>
      </c>
      <c r="F96" s="161" t="n">
        <v>84.90000000000001</v>
      </c>
      <c r="G96" s="27" t="n">
        <v>26</v>
      </c>
      <c r="H96" s="164" t="n">
        <v>192</v>
      </c>
      <c r="I96" s="165" t="n">
        <v>60000</v>
      </c>
      <c r="J96" s="165" t="inlineStr">
        <is>
          <t>23</t>
        </is>
      </c>
      <c r="K96" s="165" t="n">
        <v>47000</v>
      </c>
      <c r="L96" s="165" t="inlineStr">
        <is>
          <t>고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114C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에코메트로6단지한화꿈에그린</t>
        </is>
      </c>
      <c r="B97" s="16" t="inlineStr">
        <is>
          <t>'10.12.</t>
        </is>
      </c>
      <c r="C97" s="164" t="n">
        <v>960</v>
      </c>
      <c r="D97" s="161" t="n">
        <v>114.6</v>
      </c>
      <c r="E97" s="163" t="n">
        <v>35</v>
      </c>
      <c r="F97" s="161" t="n">
        <v>84.90000000000001</v>
      </c>
      <c r="G97" s="27" t="n">
        <v>26</v>
      </c>
      <c r="H97" s="164" t="n">
        <v>192</v>
      </c>
      <c r="I97" s="165" t="n">
        <v>62000</v>
      </c>
      <c r="J97" s="165" t="inlineStr">
        <is>
          <t>25</t>
        </is>
      </c>
      <c r="K97" s="165" t="n">
        <v>38000</v>
      </c>
      <c r="L97" s="165" t="inlineStr">
        <is>
          <t>중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이안논현오션파크</t>
        </is>
      </c>
      <c r="B99" s="16" t="inlineStr">
        <is>
          <t>'23.11.</t>
        </is>
      </c>
      <c r="C99" s="164" t="n">
        <v>294</v>
      </c>
      <c r="D99" s="161" t="n">
        <v>88.09999999999999</v>
      </c>
      <c r="E99" s="163" t="n">
        <v>27</v>
      </c>
      <c r="F99" s="161" t="n">
        <v>65</v>
      </c>
      <c r="G99" s="27" t="n">
        <v>20</v>
      </c>
      <c r="H99" s="164" t="n">
        <v>148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88A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이안논현오션파크</t>
        </is>
      </c>
      <c r="B100" s="16" t="inlineStr">
        <is>
          <t>'23.11.</t>
        </is>
      </c>
      <c r="C100" s="164" t="n">
        <v>294</v>
      </c>
      <c r="D100" s="161" t="n">
        <v>88.90000000000001</v>
      </c>
      <c r="E100" s="163" t="n">
        <v>27</v>
      </c>
      <c r="F100" s="161" t="n">
        <v>65.59999999999999</v>
      </c>
      <c r="G100" s="27" t="n">
        <v>20</v>
      </c>
      <c r="H100" s="164" t="n">
        <v>146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88B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단풍마을휴먼시아</t>
        </is>
      </c>
      <c r="B102" s="16" t="inlineStr">
        <is>
          <t>'06.07.</t>
        </is>
      </c>
      <c r="C102" s="164" t="n">
        <v>898</v>
      </c>
      <c r="D102" s="161" t="n">
        <v>106.6</v>
      </c>
      <c r="E102" s="163" t="n">
        <v>32</v>
      </c>
      <c r="F102" s="161" t="n">
        <v>84.8</v>
      </c>
      <c r="G102" s="27" t="n">
        <v>26</v>
      </c>
      <c r="H102" s="164" t="n">
        <v>236</v>
      </c>
      <c r="I102" s="165" t="n">
        <v>45000</v>
      </c>
      <c r="J102" s="165" t="inlineStr">
        <is>
          <t>8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106AN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단풍마을휴먼시아</t>
        </is>
      </c>
      <c r="B103" s="16" t="inlineStr">
        <is>
          <t>'06.07.</t>
        </is>
      </c>
      <c r="C103" s="164" t="n">
        <v>898</v>
      </c>
      <c r="D103" s="161" t="n">
        <v>106.6</v>
      </c>
      <c r="E103" s="163" t="n">
        <v>32</v>
      </c>
      <c r="F103" s="161" t="n">
        <v>84.8</v>
      </c>
      <c r="G103" s="27" t="n">
        <v>26</v>
      </c>
      <c r="H103" s="164" t="n">
        <v>200</v>
      </c>
      <c r="I103" s="165" t="n">
        <v>45000</v>
      </c>
      <c r="J103" s="165" t="inlineStr">
        <is>
          <t>8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106AN-1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단풍마을휴먼시아</t>
        </is>
      </c>
      <c r="B104" s="16" t="inlineStr">
        <is>
          <t>'06.07.</t>
        </is>
      </c>
      <c r="C104" s="164" t="n">
        <v>898</v>
      </c>
      <c r="D104" s="161" t="n">
        <v>106.8</v>
      </c>
      <c r="E104" s="163" t="n">
        <v>32</v>
      </c>
      <c r="F104" s="161" t="n">
        <v>85</v>
      </c>
      <c r="G104" s="27" t="n">
        <v>26</v>
      </c>
      <c r="H104" s="164" t="n">
        <v>160</v>
      </c>
      <c r="I104" s="165" t="n">
        <v>48000</v>
      </c>
      <c r="J104" s="165" t="inlineStr">
        <is>
          <t>5</t>
        </is>
      </c>
      <c r="K104" s="165" t="n">
        <v>37000</v>
      </c>
      <c r="L104" s="165" t="inlineStr">
        <is>
          <t>5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106EN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단풍마을휴먼시아</t>
        </is>
      </c>
      <c r="B105" s="16" t="inlineStr">
        <is>
          <t>'06.07.</t>
        </is>
      </c>
      <c r="C105" s="164" t="n">
        <v>898</v>
      </c>
      <c r="D105" s="161" t="n">
        <v>106.1</v>
      </c>
      <c r="E105" s="163" t="n">
        <v>32</v>
      </c>
      <c r="F105" s="161" t="n">
        <v>84.40000000000001</v>
      </c>
      <c r="G105" s="27" t="n">
        <v>26</v>
      </c>
      <c r="H105" s="164" t="n">
        <v>92</v>
      </c>
      <c r="I105" s="165" t="n">
        <v>51000</v>
      </c>
      <c r="J105" s="165" t="inlineStr">
        <is>
          <t>중</t>
        </is>
      </c>
      <c r="K105" s="165" t="n">
        <v>35000</v>
      </c>
      <c r="L105" s="165" t="inlineStr">
        <is>
          <t>중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106C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단풍마을휴먼시아</t>
        </is>
      </c>
      <c r="B106" s="16" t="inlineStr">
        <is>
          <t>'06.07.</t>
        </is>
      </c>
      <c r="C106" s="164" t="n">
        <v>898</v>
      </c>
      <c r="D106" s="161" t="n">
        <v>106.3</v>
      </c>
      <c r="E106" s="163" t="n">
        <v>32</v>
      </c>
      <c r="F106" s="161" t="n">
        <v>84.59999999999999</v>
      </c>
      <c r="G106" s="27" t="n">
        <v>26</v>
      </c>
      <c r="H106" s="164" t="n">
        <v>90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106D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단풍마을휴먼시아</t>
        </is>
      </c>
      <c r="B107" s="16" t="inlineStr">
        <is>
          <t>'06.07.</t>
        </is>
      </c>
      <c r="C107" s="164" t="n">
        <v>898</v>
      </c>
      <c r="D107" s="161" t="n">
        <v>106.8</v>
      </c>
      <c r="E107" s="163" t="n">
        <v>32</v>
      </c>
      <c r="F107" s="161" t="n">
        <v>85</v>
      </c>
      <c r="G107" s="27" t="n">
        <v>26</v>
      </c>
      <c r="H107" s="164" t="n">
        <v>80</v>
      </c>
      <c r="I107" s="165" t="n">
        <v>48000</v>
      </c>
      <c r="J107" s="165" t="inlineStr">
        <is>
          <t>5</t>
        </is>
      </c>
      <c r="K107" s="165" t="n">
        <v>37000</v>
      </c>
      <c r="L107" s="165" t="inlineStr">
        <is>
          <t>5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inlineStr">
        <is>
          <t>106ES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단풍마을휴먼시아</t>
        </is>
      </c>
      <c r="B108" s="16" t="inlineStr">
        <is>
          <t>'06.07.</t>
        </is>
      </c>
      <c r="C108" s="164" t="n">
        <v>898</v>
      </c>
      <c r="D108" s="161" t="n">
        <v>106.8</v>
      </c>
      <c r="E108" s="163" t="n">
        <v>32</v>
      </c>
      <c r="F108" s="161" t="n">
        <v>85</v>
      </c>
      <c r="G108" s="27" t="n">
        <v>26</v>
      </c>
      <c r="H108" s="164" t="n">
        <v>40</v>
      </c>
      <c r="I108" s="165" t="n">
        <v>48000</v>
      </c>
      <c r="J108" s="165" t="inlineStr">
        <is>
          <t>5</t>
        </is>
      </c>
      <c r="K108" s="165" t="n">
        <v>37000</v>
      </c>
      <c r="L108" s="165" t="inlineStr">
        <is>
          <t>5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106AN-2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에코메트로7단지한화꿈에그린</t>
        </is>
      </c>
      <c r="B110" s="16" t="inlineStr">
        <is>
          <t>'11.01.</t>
        </is>
      </c>
      <c r="C110" s="164" t="n">
        <v>848</v>
      </c>
      <c r="D110" s="161" t="n">
        <v>113.6</v>
      </c>
      <c r="E110" s="163" t="n">
        <v>34</v>
      </c>
      <c r="F110" s="161" t="n">
        <v>84.90000000000001</v>
      </c>
      <c r="G110" s="27" t="n">
        <v>26</v>
      </c>
      <c r="H110" s="164" t="n">
        <v>102</v>
      </c>
      <c r="I110" s="165" t="n">
        <v>63000</v>
      </c>
      <c r="J110" s="165" t="inlineStr">
        <is>
          <t>중</t>
        </is>
      </c>
      <c r="K110" s="165" t="n">
        <v>40000</v>
      </c>
      <c r="L110" s="165" t="inlineStr">
        <is>
          <t>고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113C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에코메트로7단지한화꿈에그린</t>
        </is>
      </c>
      <c r="B111" s="16" t="inlineStr">
        <is>
          <t>'11.01.</t>
        </is>
      </c>
      <c r="C111" s="164" t="n">
        <v>848</v>
      </c>
      <c r="D111" s="161" t="n">
        <v>114.3</v>
      </c>
      <c r="E111" s="163" t="n">
        <v>35</v>
      </c>
      <c r="F111" s="161" t="n">
        <v>85</v>
      </c>
      <c r="G111" s="27" t="n">
        <v>26</v>
      </c>
      <c r="H111" s="164" t="n">
        <v>322</v>
      </c>
      <c r="I111" s="165" t="n">
        <v>59000</v>
      </c>
      <c r="J111" s="165" t="inlineStr">
        <is>
          <t>중</t>
        </is>
      </c>
      <c r="K111" s="165" t="n">
        <v>45000</v>
      </c>
      <c r="L111" s="165" t="inlineStr">
        <is>
          <t>26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114A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에코메트로7단지한화꿈에그린</t>
        </is>
      </c>
      <c r="B112" s="16" t="inlineStr">
        <is>
          <t>'11.01.</t>
        </is>
      </c>
      <c r="C112" s="164" t="n">
        <v>848</v>
      </c>
      <c r="D112" s="161" t="n">
        <v>114.3</v>
      </c>
      <c r="E112" s="163" t="n">
        <v>35</v>
      </c>
      <c r="F112" s="161" t="n">
        <v>85</v>
      </c>
      <c r="G112" s="27" t="n">
        <v>26</v>
      </c>
      <c r="H112" s="164" t="n">
        <v>322</v>
      </c>
      <c r="I112" s="165" t="n">
        <v>59000</v>
      </c>
      <c r="J112" s="165" t="inlineStr">
        <is>
          <t>중</t>
        </is>
      </c>
      <c r="K112" s="165" t="n">
        <v>45000</v>
      </c>
      <c r="L112" s="165" t="inlineStr">
        <is>
          <t>26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114B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에코메트로7단지한화꿈에그린</t>
        </is>
      </c>
      <c r="B113" s="16" t="inlineStr">
        <is>
          <t>'11.01.</t>
        </is>
      </c>
      <c r="C113" s="164" t="n">
        <v>848</v>
      </c>
      <c r="D113" s="161" t="n">
        <v>114.2</v>
      </c>
      <c r="E113" s="163" t="n">
        <v>35</v>
      </c>
      <c r="F113" s="161" t="n">
        <v>84.90000000000001</v>
      </c>
      <c r="G113" s="27" t="n">
        <v>26</v>
      </c>
      <c r="H113" s="164" t="n">
        <v>102</v>
      </c>
      <c r="I113" s="165" t="n">
        <v>63000</v>
      </c>
      <c r="J113" s="165" t="inlineStr">
        <is>
          <t>8</t>
        </is>
      </c>
      <c r="K113" s="165" t="n">
        <v>45000</v>
      </c>
      <c r="L113" s="165" t="inlineStr">
        <is>
          <t>17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114D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인천논현힐스테이트</t>
        </is>
      </c>
      <c r="B115" s="16" t="inlineStr">
        <is>
          <t>'10.11.</t>
        </is>
      </c>
      <c r="C115" s="164" t="n">
        <v>594</v>
      </c>
      <c r="D115" s="161" t="n">
        <v>113.4</v>
      </c>
      <c r="E115" s="163" t="n">
        <v>34</v>
      </c>
      <c r="F115" s="161" t="n">
        <v>85</v>
      </c>
      <c r="G115" s="27" t="n">
        <v>26</v>
      </c>
      <c r="H115" s="164" t="n">
        <v>60</v>
      </c>
      <c r="I115" s="165" t="n">
        <v>73000</v>
      </c>
      <c r="J115" s="165" t="inlineStr">
        <is>
          <t>고</t>
        </is>
      </c>
      <c r="K115" s="165" t="n">
        <v>50000</v>
      </c>
      <c r="L115" s="165" t="inlineStr">
        <is>
          <t>고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인천논현힐스테이트</t>
        </is>
      </c>
      <c r="B116" s="16" t="inlineStr">
        <is>
          <t>'10.11.</t>
        </is>
      </c>
      <c r="C116" s="164" t="n">
        <v>594</v>
      </c>
      <c r="D116" s="161" t="n">
        <v>113.1</v>
      </c>
      <c r="E116" s="163" t="n">
        <v>34</v>
      </c>
      <c r="F116" s="161" t="n">
        <v>84.90000000000001</v>
      </c>
      <c r="G116" s="27" t="n">
        <v>26</v>
      </c>
      <c r="H116" s="164" t="n">
        <v>60</v>
      </c>
      <c r="I116" s="165" t="n">
        <v>73000</v>
      </c>
      <c r="J116" s="165" t="inlineStr">
        <is>
          <t>중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인천논현힐스테이트</t>
        </is>
      </c>
      <c r="B117" s="16" t="inlineStr">
        <is>
          <t>'10.11.</t>
        </is>
      </c>
      <c r="C117" s="164" t="n">
        <v>594</v>
      </c>
      <c r="D117" s="161" t="n">
        <v>147.3</v>
      </c>
      <c r="E117" s="163" t="n">
        <v>45</v>
      </c>
      <c r="F117" s="161" t="n">
        <v>115.4</v>
      </c>
      <c r="G117" s="27" t="n">
        <v>35</v>
      </c>
      <c r="H117" s="164" t="n">
        <v>118</v>
      </c>
      <c r="I117" s="165" t="n">
        <v>80000</v>
      </c>
      <c r="J117" s="165" t="inlineStr">
        <is>
          <t>중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계</t>
        </is>
      </c>
      <c r="T117" s="8" t="n">
        <v>147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인천논현힐스테이트</t>
        </is>
      </c>
      <c r="B118" s="16" t="inlineStr">
        <is>
          <t>'10.11.</t>
        </is>
      </c>
      <c r="C118" s="164" t="n">
        <v>594</v>
      </c>
      <c r="D118" s="161" t="n">
        <v>150.6</v>
      </c>
      <c r="E118" s="163" t="n">
        <v>46</v>
      </c>
      <c r="F118" s="161" t="n">
        <v>117.3</v>
      </c>
      <c r="G118" s="27" t="n">
        <v>35</v>
      </c>
      <c r="H118" s="164" t="n">
        <v>120</v>
      </c>
      <c r="I118" s="165" t="n">
        <v>78000</v>
      </c>
      <c r="J118" s="165" t="inlineStr">
        <is>
          <t>고</t>
        </is>
      </c>
      <c r="K118" s="165" t="n">
        <v>59000</v>
      </c>
      <c r="L118" s="165" t="inlineStr">
        <is>
          <t>고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3</v>
      </c>
      <c r="S118" s="113" t="inlineStr">
        <is>
          <t>계</t>
        </is>
      </c>
      <c r="T118" s="8" t="n">
        <v>150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인천논현힐스테이트</t>
        </is>
      </c>
      <c r="B119" s="16" t="inlineStr">
        <is>
          <t>'10.11.</t>
        </is>
      </c>
      <c r="C119" s="164" t="n">
        <v>594</v>
      </c>
      <c r="D119" s="161" t="n">
        <v>164.5</v>
      </c>
      <c r="E119" s="163" t="n">
        <v>50</v>
      </c>
      <c r="F119" s="161" t="n">
        <v>132.6</v>
      </c>
      <c r="G119" s="27" t="n">
        <v>40</v>
      </c>
      <c r="H119" s="164" t="n">
        <v>114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3</v>
      </c>
      <c r="S119" s="113" t="inlineStr">
        <is>
          <t>계</t>
        </is>
      </c>
      <c r="T119" s="8" t="n">
        <v>164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인천논현힐스테이트</t>
        </is>
      </c>
      <c r="B120" s="16" t="inlineStr">
        <is>
          <t>'10.11.</t>
        </is>
      </c>
      <c r="C120" s="164" t="n">
        <v>594</v>
      </c>
      <c r="D120" s="161" t="n">
        <v>182.3</v>
      </c>
      <c r="E120" s="163" t="n">
        <v>55</v>
      </c>
      <c r="F120" s="161" t="n">
        <v>145.8</v>
      </c>
      <c r="G120" s="27" t="n">
        <v>44</v>
      </c>
      <c r="H120" s="164" t="n">
        <v>118</v>
      </c>
      <c r="I120" s="165" t="n">
        <v>100000</v>
      </c>
      <c r="J120" s="165" t="inlineStr">
        <is>
          <t>중</t>
        </is>
      </c>
      <c r="K120" s="165" t="n">
        <v>64000</v>
      </c>
      <c r="L120" s="165" t="inlineStr">
        <is>
          <t>중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3</v>
      </c>
      <c r="S120" s="113" t="inlineStr">
        <is>
          <t>계</t>
        </is>
      </c>
      <c r="T120" s="8" t="n">
        <v>182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인천논현힐스테이트</t>
        </is>
      </c>
      <c r="B121" s="16" t="inlineStr">
        <is>
          <t>'10.11.</t>
        </is>
      </c>
      <c r="C121" s="164" t="n">
        <v>594</v>
      </c>
      <c r="D121" s="161" t="n">
        <v>218.8</v>
      </c>
      <c r="E121" s="163" t="n">
        <v>66</v>
      </c>
      <c r="F121" s="161" t="n">
        <v>170.6</v>
      </c>
      <c r="G121" s="27" t="n">
        <v>52</v>
      </c>
      <c r="H121" s="164" t="n">
        <v>2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5</v>
      </c>
      <c r="R121" s="113" t="n">
        <v>3</v>
      </c>
      <c r="S121" s="113" t="inlineStr">
        <is>
          <t>계</t>
        </is>
      </c>
      <c r="T121" s="8" t="n">
        <v>218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인천논현힐스테이트</t>
        </is>
      </c>
      <c r="B122" s="16" t="inlineStr">
        <is>
          <t>'10.11.</t>
        </is>
      </c>
      <c r="C122" s="164" t="n">
        <v>594</v>
      </c>
      <c r="D122" s="161" t="n">
        <v>260.5</v>
      </c>
      <c r="E122" s="163" t="n">
        <v>79</v>
      </c>
      <c r="F122" s="161" t="n">
        <v>208</v>
      </c>
      <c r="G122" s="27" t="n">
        <v>63</v>
      </c>
      <c r="H122" s="164" t="n">
        <v>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5</v>
      </c>
      <c r="R122" s="113" t="n">
        <v>3</v>
      </c>
      <c r="S122" s="113" t="inlineStr">
        <is>
          <t>계</t>
        </is>
      </c>
      <c r="T122" s="8" t="n">
        <v>260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논현유승한내들</t>
        </is>
      </c>
      <c r="B124" s="16" t="inlineStr">
        <is>
          <t>'18.10.</t>
        </is>
      </c>
      <c r="C124" s="164" t="n">
        <v>376</v>
      </c>
      <c r="D124" s="161" t="n">
        <v>84.5</v>
      </c>
      <c r="E124" s="163" t="n">
        <v>26</v>
      </c>
      <c r="F124" s="161" t="n">
        <v>56.2</v>
      </c>
      <c r="G124" s="27" t="n">
        <v>17</v>
      </c>
      <c r="H124" s="164" t="n">
        <v>261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84A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논현유승한내들</t>
        </is>
      </c>
      <c r="B125" s="16" t="inlineStr">
        <is>
          <t>'18.10.</t>
        </is>
      </c>
      <c r="C125" s="164" t="n">
        <v>376</v>
      </c>
      <c r="D125" s="161" t="n">
        <v>86.09999999999999</v>
      </c>
      <c r="E125" s="163" t="n">
        <v>26</v>
      </c>
      <c r="F125" s="161" t="n">
        <v>56.9</v>
      </c>
      <c r="G125" s="27" t="n">
        <v>17</v>
      </c>
      <c r="H125" s="164" t="n">
        <v>115</v>
      </c>
      <c r="I125" s="165" t="n">
        <v>43000</v>
      </c>
      <c r="J125" s="165" t="inlineStr">
        <is>
          <t>16</t>
        </is>
      </c>
      <c r="K125" s="165" t="n">
        <v>35000</v>
      </c>
      <c r="L125" s="165" t="inlineStr">
        <is>
          <t>22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에코메트로9단지한화꿈에그린</t>
        </is>
      </c>
      <c r="B127" s="16" t="inlineStr">
        <is>
          <t>'11.02.</t>
        </is>
      </c>
      <c r="C127" s="164" t="n">
        <v>810</v>
      </c>
      <c r="D127" s="161" t="n">
        <v>161.6</v>
      </c>
      <c r="E127" s="163" t="n">
        <v>49</v>
      </c>
      <c r="F127" s="161" t="n">
        <v>123.8</v>
      </c>
      <c r="G127" s="27" t="n">
        <v>37</v>
      </c>
      <c r="H127" s="164" t="n">
        <v>338</v>
      </c>
      <c r="I127" s="165" t="n">
        <v>85000</v>
      </c>
      <c r="J127" s="165" t="inlineStr">
        <is>
          <t>7</t>
        </is>
      </c>
      <c r="K127" s="165" t="n">
        <v>60000</v>
      </c>
      <c r="L127" s="165" t="inlineStr">
        <is>
          <t>7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n">
        <v>161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에코메트로9단지한화꿈에그린</t>
        </is>
      </c>
      <c r="B128" s="16" t="inlineStr">
        <is>
          <t>'11.02.</t>
        </is>
      </c>
      <c r="C128" s="164" t="n">
        <v>810</v>
      </c>
      <c r="D128" s="161" t="n">
        <v>196.1</v>
      </c>
      <c r="E128" s="163" t="n">
        <v>59</v>
      </c>
      <c r="F128" s="161" t="n">
        <v>150.8</v>
      </c>
      <c r="G128" s="27" t="n">
        <v>46</v>
      </c>
      <c r="H128" s="164" t="n">
        <v>338</v>
      </c>
      <c r="I128" s="165" t="n">
        <v>105000</v>
      </c>
      <c r="J128" s="165" t="inlineStr">
        <is>
          <t>고</t>
        </is>
      </c>
      <c r="K128" s="165" t="n">
        <v>65000</v>
      </c>
      <c r="L128" s="165" t="inlineStr">
        <is>
          <t>5</t>
        </is>
      </c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n">
        <v>196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에코메트로9단지한화꿈에그린</t>
        </is>
      </c>
      <c r="B129" s="16" t="inlineStr">
        <is>
          <t>'11.02.</t>
        </is>
      </c>
      <c r="C129" s="164" t="n">
        <v>810</v>
      </c>
      <c r="D129" s="161" t="n">
        <v>221.3</v>
      </c>
      <c r="E129" s="163" t="n">
        <v>67</v>
      </c>
      <c r="F129" s="161" t="n">
        <v>169.7</v>
      </c>
      <c r="G129" s="27" t="n">
        <v>51</v>
      </c>
      <c r="H129" s="164" t="n">
        <v>66</v>
      </c>
      <c r="I129" s="165" t="n">
        <v>122000</v>
      </c>
      <c r="J129" s="165" t="inlineStr">
        <is>
          <t>중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5</v>
      </c>
      <c r="R129" s="113" t="n">
        <v>2</v>
      </c>
      <c r="S129" s="113" t="inlineStr">
        <is>
          <t>계</t>
        </is>
      </c>
      <c r="T129" s="8" t="n">
        <v>221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에코메트로9단지한화꿈에그린</t>
        </is>
      </c>
      <c r="B130" s="16" t="inlineStr">
        <is>
          <t>'11.02.</t>
        </is>
      </c>
      <c r="C130" s="164" t="n">
        <v>810</v>
      </c>
      <c r="D130" s="161" t="n">
        <v>250.5</v>
      </c>
      <c r="E130" s="163" t="n">
        <v>76</v>
      </c>
      <c r="F130" s="161" t="n">
        <v>199.1</v>
      </c>
      <c r="G130" s="27" t="n">
        <v>60</v>
      </c>
      <c r="H130" s="164" t="n">
        <v>68</v>
      </c>
      <c r="I130" s="165" t="n"/>
      <c r="J130" s="165" t="n"/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3</v>
      </c>
      <c r="S130" s="113" t="inlineStr">
        <is>
          <t>계</t>
        </is>
      </c>
      <c r="T130" s="8" t="n">
        <v>250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n"/>
      <c r="B131" s="113" t="n"/>
      <c r="C131" s="10" t="n"/>
      <c r="D131" s="13" t="n"/>
      <c r="E131" s="20" t="n"/>
      <c r="F131" s="161" t="n"/>
      <c r="G131" s="13" t="n"/>
      <c r="H131" s="13" t="n"/>
      <c r="I131" s="13" t="n"/>
      <c r="J131" s="13" t="n"/>
      <c r="K131" s="13" t="n"/>
      <c r="L131" s="13" t="n"/>
      <c r="M131" s="13" t="n"/>
      <c r="N131" s="13" t="n"/>
      <c r="O131" s="162" t="n"/>
      <c r="P131" s="162" t="n"/>
      <c r="Q131" s="163" t="n"/>
      <c r="R131" s="163" t="n"/>
      <c r="S131" s="13" t="n"/>
      <c r="T131" s="70" t="n"/>
      <c r="U131" s="13" t="n"/>
      <c r="W131" s="107">
        <f>$A$4&amp;" "&amp;A132&amp;"("&amp;B132&amp;","&amp;C132&amp;"^)"</f>
        <v/>
      </c>
      <c r="X131" s="108" t="n"/>
      <c r="Y131" s="108" t="n"/>
      <c r="Z131" s="108" t="n"/>
      <c r="AA131" s="108" t="n"/>
      <c r="AB131" s="108" t="n"/>
      <c r="AC131" s="108" t="n"/>
      <c r="AD131" s="108" t="n"/>
      <c r="AE131" s="108" t="n"/>
      <c r="AF131" s="109" t="n"/>
      <c r="AH131" s="36">
        <f>IF(A131="","",A131)</f>
        <v/>
      </c>
      <c r="AI131" s="160">
        <f>IF(E131="","",E131)</f>
        <v/>
      </c>
      <c r="AJ131" s="113" t="n"/>
      <c r="AK131" s="113" t="n"/>
      <c r="AL131" s="113" t="n"/>
      <c r="AM131" s="113" t="n"/>
      <c r="AN131" s="113" t="n"/>
      <c r="AO131" s="113" t="n"/>
      <c r="AP131" s="113" t="n"/>
      <c r="AQ131" s="113" t="n"/>
      <c r="AR131" s="113" t="n"/>
      <c r="AS131" s="113" t="n"/>
      <c r="AT131" s="113" t="n"/>
      <c r="AU131" s="113" t="n"/>
      <c r="AV131" s="113" t="n"/>
    </row>
    <row r="132">
      <c r="A132" s="13" t="inlineStr">
        <is>
          <t>동보</t>
        </is>
      </c>
      <c r="B132" s="16" t="inlineStr">
        <is>
          <t>'99.06.</t>
        </is>
      </c>
      <c r="C132" s="164" t="n">
        <v>278</v>
      </c>
      <c r="D132" s="161" t="n">
        <v>135.2</v>
      </c>
      <c r="E132" s="163" t="n">
        <v>41</v>
      </c>
      <c r="F132" s="161" t="n">
        <v>109.9</v>
      </c>
      <c r="G132" s="27" t="n">
        <v>33</v>
      </c>
      <c r="H132" s="164" t="n">
        <v>206</v>
      </c>
      <c r="I132" s="165" t="n"/>
      <c r="J132" s="165" t="n"/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동보</t>
        </is>
      </c>
      <c r="B133" s="16" t="inlineStr">
        <is>
          <t>'99.06.</t>
        </is>
      </c>
      <c r="C133" s="164" t="n">
        <v>278</v>
      </c>
      <c r="D133" s="161" t="n">
        <v>156</v>
      </c>
      <c r="E133" s="163" t="n">
        <v>47</v>
      </c>
      <c r="F133" s="161" t="n">
        <v>128.9</v>
      </c>
      <c r="G133" s="27" t="n">
        <v>39</v>
      </c>
      <c r="H133" s="164" t="n">
        <v>72</v>
      </c>
      <c r="I133" s="165" t="n"/>
      <c r="J133" s="165" t="n"/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n">
        <v>156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n"/>
      <c r="B134" s="113" t="n"/>
      <c r="C134" s="10" t="n"/>
      <c r="D134" s="13" t="n"/>
      <c r="E134" s="20" t="n"/>
      <c r="F134" s="161" t="n"/>
      <c r="G134" s="13" t="n"/>
      <c r="H134" s="13" t="n"/>
      <c r="I134" s="13" t="n"/>
      <c r="J134" s="13" t="n"/>
      <c r="K134" s="13" t="n"/>
      <c r="L134" s="13" t="n"/>
      <c r="M134" s="13" t="n"/>
      <c r="N134" s="13" t="n"/>
      <c r="O134" s="162" t="n"/>
      <c r="P134" s="162" t="n"/>
      <c r="Q134" s="163" t="n"/>
      <c r="R134" s="163" t="n"/>
      <c r="S134" s="13" t="n"/>
      <c r="T134" s="70" t="n"/>
      <c r="U134" s="13" t="n"/>
      <c r="W134" s="107">
        <f>$A$4&amp;" "&amp;A135&amp;"("&amp;B135&amp;","&amp;C135&amp;"^)"</f>
        <v/>
      </c>
      <c r="X134" s="108" t="n"/>
      <c r="Y134" s="108" t="n"/>
      <c r="Z134" s="108" t="n"/>
      <c r="AA134" s="108" t="n"/>
      <c r="AB134" s="108" t="n"/>
      <c r="AC134" s="108" t="n"/>
      <c r="AD134" s="108" t="n"/>
      <c r="AE134" s="108" t="n"/>
      <c r="AF134" s="109" t="n"/>
      <c r="AH134" s="36">
        <f>IF(A134="","",A134)</f>
        <v/>
      </c>
      <c r="AI134" s="160">
        <f>IF(E134="","",E134)</f>
        <v/>
      </c>
      <c r="AJ134" s="113" t="n"/>
      <c r="AK134" s="113" t="n"/>
      <c r="AL134" s="113" t="n"/>
      <c r="AM134" s="113" t="n"/>
      <c r="AN134" s="113" t="n"/>
      <c r="AO134" s="113" t="n"/>
      <c r="AP134" s="113" t="n"/>
      <c r="AQ134" s="113" t="n"/>
      <c r="AR134" s="113" t="n"/>
      <c r="AS134" s="113" t="n"/>
      <c r="AT134" s="113" t="n"/>
      <c r="AU134" s="113" t="n"/>
      <c r="AV134" s="113" t="n"/>
    </row>
    <row r="135">
      <c r="A135" s="13" t="inlineStr">
        <is>
          <t>어진마을한화꿈에그린</t>
        </is>
      </c>
      <c r="B135" s="16" t="inlineStr">
        <is>
          <t>'07.12.</t>
        </is>
      </c>
      <c r="C135" s="164" t="n">
        <v>982</v>
      </c>
      <c r="D135" s="161" t="n">
        <v>131.8</v>
      </c>
      <c r="E135" s="163" t="n">
        <v>40</v>
      </c>
      <c r="F135" s="161" t="n">
        <v>101.3</v>
      </c>
      <c r="G135" s="27" t="n">
        <v>31</v>
      </c>
      <c r="H135" s="164" t="n">
        <v>208</v>
      </c>
      <c r="I135" s="165" t="n">
        <v>63000</v>
      </c>
      <c r="J135" s="165" t="inlineStr">
        <is>
          <t>고</t>
        </is>
      </c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2</v>
      </c>
      <c r="S135" s="113" t="inlineStr">
        <is>
          <t>계</t>
        </is>
      </c>
      <c r="T135" s="8" t="n">
        <v>131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어진마을한화꿈에그린</t>
        </is>
      </c>
      <c r="B136" s="16" t="inlineStr">
        <is>
          <t>'07.12.</t>
        </is>
      </c>
      <c r="C136" s="164" t="n">
        <v>982</v>
      </c>
      <c r="D136" s="161" t="n">
        <v>154.3</v>
      </c>
      <c r="E136" s="163" t="n">
        <v>47</v>
      </c>
      <c r="F136" s="161" t="n">
        <v>120</v>
      </c>
      <c r="G136" s="27" t="n">
        <v>36</v>
      </c>
      <c r="H136" s="164" t="n">
        <v>376</v>
      </c>
      <c r="I136" s="165" t="n">
        <v>68000</v>
      </c>
      <c r="J136" s="165" t="inlineStr">
        <is>
          <t>고</t>
        </is>
      </c>
      <c r="K136" s="165" t="n">
        <v>50000</v>
      </c>
      <c r="L136" s="165" t="inlineStr">
        <is>
          <t>중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2</v>
      </c>
      <c r="S136" s="113" t="inlineStr">
        <is>
          <t>계</t>
        </is>
      </c>
      <c r="T136" s="8" t="inlineStr">
        <is>
          <t>154A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어진마을한화꿈에그린</t>
        </is>
      </c>
      <c r="B137" s="16" t="inlineStr">
        <is>
          <t>'07.12.</t>
        </is>
      </c>
      <c r="C137" s="164" t="n">
        <v>982</v>
      </c>
      <c r="D137" s="161" t="n">
        <v>154.2</v>
      </c>
      <c r="E137" s="163" t="n">
        <v>47</v>
      </c>
      <c r="F137" s="161" t="n">
        <v>119.9</v>
      </c>
      <c r="G137" s="27" t="n">
        <v>36</v>
      </c>
      <c r="H137" s="164" t="n">
        <v>198</v>
      </c>
      <c r="I137" s="165" t="n">
        <v>67000</v>
      </c>
      <c r="J137" s="165" t="inlineStr">
        <is>
          <t>중</t>
        </is>
      </c>
      <c r="K137" s="165" t="n">
        <v>51000</v>
      </c>
      <c r="L137" s="165" t="inlineStr">
        <is>
          <t>고</t>
        </is>
      </c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inlineStr">
        <is>
          <t>154B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어진마을한화꿈에그린</t>
        </is>
      </c>
      <c r="B138" s="16" t="inlineStr">
        <is>
          <t>'07.12.</t>
        </is>
      </c>
      <c r="C138" s="164" t="n">
        <v>982</v>
      </c>
      <c r="D138" s="161" t="n">
        <v>161.8</v>
      </c>
      <c r="E138" s="163" t="n">
        <v>49</v>
      </c>
      <c r="F138" s="161" t="n">
        <v>126.9</v>
      </c>
      <c r="G138" s="27" t="n">
        <v>38</v>
      </c>
      <c r="H138" s="164" t="n">
        <v>100</v>
      </c>
      <c r="I138" s="165" t="n">
        <v>75000</v>
      </c>
      <c r="J138" s="165" t="inlineStr">
        <is>
          <t>중</t>
        </is>
      </c>
      <c r="K138" s="165" t="n">
        <v>53000</v>
      </c>
      <c r="L138" s="165" t="inlineStr">
        <is>
          <t>고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2</v>
      </c>
      <c r="S138" s="113" t="inlineStr">
        <is>
          <t>계</t>
        </is>
      </c>
      <c r="T138" s="8" t="n">
        <v>161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어진마을한화꿈에그린</t>
        </is>
      </c>
      <c r="B139" s="16" t="inlineStr">
        <is>
          <t>'07.12.</t>
        </is>
      </c>
      <c r="C139" s="164" t="n">
        <v>982</v>
      </c>
      <c r="D139" s="161" t="n">
        <v>187.6</v>
      </c>
      <c r="E139" s="163" t="n">
        <v>57</v>
      </c>
      <c r="F139" s="161" t="n">
        <v>149.6</v>
      </c>
      <c r="G139" s="27" t="n">
        <v>45</v>
      </c>
      <c r="H139" s="164" t="n">
        <v>100</v>
      </c>
      <c r="I139" s="165" t="n">
        <v>83000</v>
      </c>
      <c r="J139" s="165" t="inlineStr">
        <is>
          <t>고</t>
        </is>
      </c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5</v>
      </c>
      <c r="R139" s="113" t="n">
        <v>2</v>
      </c>
      <c r="S139" s="113" t="inlineStr">
        <is>
          <t>계</t>
        </is>
      </c>
      <c r="T139" s="8" t="n">
        <v>187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에코메트로11단지한화꿈에그린</t>
        </is>
      </c>
      <c r="B141" s="16" t="inlineStr">
        <is>
          <t>'09.07.</t>
        </is>
      </c>
      <c r="C141" s="164" t="n">
        <v>1622</v>
      </c>
      <c r="D141" s="161" t="n">
        <v>111.2</v>
      </c>
      <c r="E141" s="163" t="n">
        <v>34</v>
      </c>
      <c r="F141" s="161" t="n">
        <v>85</v>
      </c>
      <c r="G141" s="27" t="n">
        <v>26</v>
      </c>
      <c r="H141" s="164" t="n">
        <v>360</v>
      </c>
      <c r="I141" s="165" t="n">
        <v>52000</v>
      </c>
      <c r="J141" s="165" t="inlineStr">
        <is>
          <t>중</t>
        </is>
      </c>
      <c r="K141" s="165" t="n">
        <v>45000</v>
      </c>
      <c r="L141" s="165" t="inlineStr">
        <is>
          <t>고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합</t>
        </is>
      </c>
      <c r="T141" s="8" t="inlineStr">
        <is>
          <t>111B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에코메트로11단지한화꿈에그린</t>
        </is>
      </c>
      <c r="B142" s="16" t="inlineStr">
        <is>
          <t>'09.07.</t>
        </is>
      </c>
      <c r="C142" s="164" t="n">
        <v>1622</v>
      </c>
      <c r="D142" s="161" t="n">
        <v>112.2</v>
      </c>
      <c r="E142" s="163" t="n">
        <v>34</v>
      </c>
      <c r="F142" s="161" t="n">
        <v>85</v>
      </c>
      <c r="G142" s="27" t="n">
        <v>26</v>
      </c>
      <c r="H142" s="164" t="n">
        <v>518</v>
      </c>
      <c r="I142" s="165" t="n">
        <v>58000</v>
      </c>
      <c r="J142" s="165" t="inlineStr">
        <is>
          <t>고</t>
        </is>
      </c>
      <c r="K142" s="165" t="n">
        <v>40000</v>
      </c>
      <c r="L142" s="165" t="inlineStr">
        <is>
          <t>고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합</t>
        </is>
      </c>
      <c r="T142" s="8" t="inlineStr">
        <is>
          <t>112A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에코메트로11단지한화꿈에그린</t>
        </is>
      </c>
      <c r="B143" s="16" t="inlineStr">
        <is>
          <t>'09.07.</t>
        </is>
      </c>
      <c r="C143" s="164" t="n">
        <v>1622</v>
      </c>
      <c r="D143" s="161" t="n">
        <v>112.2</v>
      </c>
      <c r="E143" s="163" t="n">
        <v>34</v>
      </c>
      <c r="F143" s="161" t="n">
        <v>85</v>
      </c>
      <c r="G143" s="27" t="n">
        <v>26</v>
      </c>
      <c r="H143" s="164" t="n">
        <v>206</v>
      </c>
      <c r="I143" s="165" t="n">
        <v>58000</v>
      </c>
      <c r="J143" s="165" t="inlineStr">
        <is>
          <t>고</t>
        </is>
      </c>
      <c r="K143" s="165" t="n">
        <v>40000</v>
      </c>
      <c r="L143" s="165" t="inlineStr">
        <is>
          <t>고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112C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에코메트로11단지한화꿈에그린</t>
        </is>
      </c>
      <c r="B144" s="16" t="inlineStr">
        <is>
          <t>'09.07.</t>
        </is>
      </c>
      <c r="C144" s="164" t="n">
        <v>1622</v>
      </c>
      <c r="D144" s="161" t="n">
        <v>131.8</v>
      </c>
      <c r="E144" s="163" t="n">
        <v>40</v>
      </c>
      <c r="F144" s="161" t="n">
        <v>102</v>
      </c>
      <c r="G144" s="27" t="n">
        <v>31</v>
      </c>
      <c r="H144" s="164" t="n">
        <v>174</v>
      </c>
      <c r="I144" s="165" t="n">
        <v>70000</v>
      </c>
      <c r="J144" s="165" t="inlineStr">
        <is>
          <t>11</t>
        </is>
      </c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합</t>
        </is>
      </c>
      <c r="T144" s="8" t="n">
        <v>131</v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에코메트로11단지한화꿈에그린</t>
        </is>
      </c>
      <c r="B145" s="16" t="inlineStr">
        <is>
          <t>'09.07.</t>
        </is>
      </c>
      <c r="C145" s="164" t="n">
        <v>1622</v>
      </c>
      <c r="D145" s="161" t="n">
        <v>142.9</v>
      </c>
      <c r="E145" s="163" t="n">
        <v>43</v>
      </c>
      <c r="F145" s="161" t="n">
        <v>115.1</v>
      </c>
      <c r="G145" s="27" t="n">
        <v>35</v>
      </c>
      <c r="H145" s="164" t="n">
        <v>154</v>
      </c>
      <c r="I145" s="165" t="n">
        <v>73000</v>
      </c>
      <c r="J145" s="165" t="inlineStr">
        <is>
          <t>11</t>
        </is>
      </c>
      <c r="K145" s="165" t="n">
        <v>60000</v>
      </c>
      <c r="L145" s="165" t="inlineStr">
        <is>
          <t>5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142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에코메트로11단지한화꿈에그린</t>
        </is>
      </c>
      <c r="B146" s="16" t="inlineStr">
        <is>
          <t>'09.07.</t>
        </is>
      </c>
      <c r="C146" s="164" t="n">
        <v>1622</v>
      </c>
      <c r="D146" s="161" t="n">
        <v>153.1</v>
      </c>
      <c r="E146" s="163" t="n">
        <v>46</v>
      </c>
      <c r="F146" s="161" t="n">
        <v>122.6</v>
      </c>
      <c r="G146" s="27" t="n">
        <v>37</v>
      </c>
      <c r="H146" s="164" t="n">
        <v>116</v>
      </c>
      <c r="I146" s="165" t="n">
        <v>81000</v>
      </c>
      <c r="J146" s="165" t="inlineStr">
        <is>
          <t>10</t>
        </is>
      </c>
      <c r="K146" s="165" t="n">
        <v>60000</v>
      </c>
      <c r="L146" s="165" t="inlineStr">
        <is>
          <t>고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합</t>
        </is>
      </c>
      <c r="T146" s="8" t="n">
        <v>153</v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에코메트로11단지한화꿈에그린</t>
        </is>
      </c>
      <c r="B147" s="16" t="inlineStr">
        <is>
          <t>'09.07.</t>
        </is>
      </c>
      <c r="C147" s="164" t="n">
        <v>1622</v>
      </c>
      <c r="D147" s="161" t="n">
        <v>164.5</v>
      </c>
      <c r="E147" s="163" t="n">
        <v>50</v>
      </c>
      <c r="F147" s="161" t="n">
        <v>131.3</v>
      </c>
      <c r="G147" s="27" t="n">
        <v>40</v>
      </c>
      <c r="H147" s="164" t="n">
        <v>42</v>
      </c>
      <c r="I147" s="165" t="n">
        <v>82000</v>
      </c>
      <c r="J147" s="165" t="inlineStr">
        <is>
          <t>중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합</t>
        </is>
      </c>
      <c r="T147" s="8" t="n">
        <v>164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에코메트로11단지한화꿈에그린</t>
        </is>
      </c>
      <c r="B148" s="16" t="inlineStr">
        <is>
          <t>'09.07.</t>
        </is>
      </c>
      <c r="C148" s="164" t="n">
        <v>1622</v>
      </c>
      <c r="D148" s="161" t="n">
        <v>194.1</v>
      </c>
      <c r="E148" s="163" t="n">
        <v>59</v>
      </c>
      <c r="F148" s="161" t="n">
        <v>154.1</v>
      </c>
      <c r="G148" s="27" t="n">
        <v>47</v>
      </c>
      <c r="H148" s="164" t="n">
        <v>52</v>
      </c>
      <c r="I148" s="165" t="n">
        <v>99000</v>
      </c>
      <c r="J148" s="165" t="inlineStr">
        <is>
          <t>중</t>
        </is>
      </c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4</v>
      </c>
      <c r="R148" s="113" t="n">
        <v>2</v>
      </c>
      <c r="S148" s="113" t="inlineStr">
        <is>
          <t>계</t>
        </is>
      </c>
      <c r="T148" s="8" t="n">
        <v>194</v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n"/>
      <c r="B149" s="113" t="n"/>
      <c r="C149" s="10" t="n"/>
      <c r="D149" s="13" t="n"/>
      <c r="E149" s="20" t="n"/>
      <c r="F149" s="161" t="n"/>
      <c r="G149" s="13" t="n"/>
      <c r="H149" s="13" t="n"/>
      <c r="I149" s="13" t="n"/>
      <c r="J149" s="13" t="n"/>
      <c r="K149" s="13" t="n"/>
      <c r="L149" s="13" t="n"/>
      <c r="M149" s="13" t="n"/>
      <c r="N149" s="13" t="n"/>
      <c r="O149" s="162" t="n"/>
      <c r="P149" s="162" t="n"/>
      <c r="Q149" s="163" t="n"/>
      <c r="R149" s="163" t="n"/>
      <c r="S149" s="13" t="n"/>
      <c r="T149" s="70" t="n"/>
      <c r="U149" s="13" t="n"/>
      <c r="W149" s="107">
        <f>$A$4&amp;" "&amp;A150&amp;"("&amp;B150&amp;","&amp;C150&amp;"^)"</f>
        <v/>
      </c>
      <c r="X149" s="108" t="n"/>
      <c r="Y149" s="108" t="n"/>
      <c r="Z149" s="108" t="n"/>
      <c r="AA149" s="108" t="n"/>
      <c r="AB149" s="108" t="n"/>
      <c r="AC149" s="108" t="n"/>
      <c r="AD149" s="108" t="n"/>
      <c r="AE149" s="108" t="n"/>
      <c r="AF149" s="109" t="n"/>
      <c r="AH149" s="36">
        <f>IF(A149="","",A149)</f>
        <v/>
      </c>
      <c r="AI149" s="160">
        <f>IF(E149="","",E149)</f>
        <v/>
      </c>
      <c r="AJ149" s="113" t="n"/>
      <c r="AK149" s="113" t="n"/>
      <c r="AL149" s="113" t="n"/>
      <c r="AM149" s="113" t="n"/>
      <c r="AN149" s="113" t="n"/>
      <c r="AO149" s="113" t="n"/>
      <c r="AP149" s="113" t="n"/>
      <c r="AQ149" s="113" t="n"/>
      <c r="AR149" s="113" t="n"/>
      <c r="AS149" s="113" t="n"/>
      <c r="AT149" s="113" t="n"/>
      <c r="AU149" s="113" t="n"/>
      <c r="AV149" s="113" t="n"/>
    </row>
    <row r="150">
      <c r="A150" s="13" t="inlineStr">
        <is>
          <t>에코메트로5단지한화꿈에그린</t>
        </is>
      </c>
      <c r="B150" s="16" t="inlineStr">
        <is>
          <t>'10.12.</t>
        </is>
      </c>
      <c r="C150" s="164" t="n">
        <v>1052</v>
      </c>
      <c r="D150" s="161" t="n">
        <v>113.7</v>
      </c>
      <c r="E150" s="163" t="n">
        <v>34</v>
      </c>
      <c r="F150" s="161" t="n">
        <v>84.90000000000001</v>
      </c>
      <c r="G150" s="27" t="n">
        <v>26</v>
      </c>
      <c r="H150" s="164" t="n">
        <v>190</v>
      </c>
      <c r="I150" s="165" t="n">
        <v>65000</v>
      </c>
      <c r="J150" s="165" t="inlineStr">
        <is>
          <t>중</t>
        </is>
      </c>
      <c r="K150" s="165" t="n">
        <v>43000</v>
      </c>
      <c r="L150" s="165" t="inlineStr">
        <is>
          <t>고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113C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에코메트로5단지한화꿈에그린</t>
        </is>
      </c>
      <c r="B151" s="16" t="inlineStr">
        <is>
          <t>'10.12.</t>
        </is>
      </c>
      <c r="C151" s="164" t="n">
        <v>1052</v>
      </c>
      <c r="D151" s="161" t="n">
        <v>114.3</v>
      </c>
      <c r="E151" s="163" t="n">
        <v>35</v>
      </c>
      <c r="F151" s="161" t="n">
        <v>85</v>
      </c>
      <c r="G151" s="27" t="n">
        <v>26</v>
      </c>
      <c r="H151" s="164" t="n">
        <v>260</v>
      </c>
      <c r="I151" s="165" t="n">
        <v>65000</v>
      </c>
      <c r="J151" s="165" t="inlineStr">
        <is>
          <t>중</t>
        </is>
      </c>
      <c r="K151" s="165" t="n">
        <v>47000</v>
      </c>
      <c r="L151" s="165" t="inlineStr">
        <is>
          <t>32</t>
        </is>
      </c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114A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에코메트로5단지한화꿈에그린</t>
        </is>
      </c>
      <c r="B152" s="16" t="inlineStr">
        <is>
          <t>'10.12.</t>
        </is>
      </c>
      <c r="C152" s="164" t="n">
        <v>1052</v>
      </c>
      <c r="D152" s="161" t="n">
        <v>114.3</v>
      </c>
      <c r="E152" s="163" t="n">
        <v>35</v>
      </c>
      <c r="F152" s="161" t="n">
        <v>84.90000000000001</v>
      </c>
      <c r="G152" s="27" t="n">
        <v>26</v>
      </c>
      <c r="H152" s="164" t="n">
        <v>190</v>
      </c>
      <c r="I152" s="165" t="n">
        <v>60000</v>
      </c>
      <c r="J152" s="165" t="inlineStr">
        <is>
          <t>고</t>
        </is>
      </c>
      <c r="K152" s="165" t="n">
        <v>43000</v>
      </c>
      <c r="L152" s="165" t="inlineStr">
        <is>
          <t>고</t>
        </is>
      </c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2</v>
      </c>
      <c r="S152" s="113" t="inlineStr">
        <is>
          <t>계</t>
        </is>
      </c>
      <c r="T152" s="8" t="inlineStr">
        <is>
          <t>114D</t>
        </is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에코메트로5단지한화꿈에그린</t>
        </is>
      </c>
      <c r="B153" s="16" t="inlineStr">
        <is>
          <t>'10.12.</t>
        </is>
      </c>
      <c r="C153" s="164" t="n">
        <v>1052</v>
      </c>
      <c r="D153" s="161" t="n">
        <v>114.4</v>
      </c>
      <c r="E153" s="163" t="n">
        <v>35</v>
      </c>
      <c r="F153" s="161" t="n">
        <v>85</v>
      </c>
      <c r="G153" s="27" t="n">
        <v>26</v>
      </c>
      <c r="H153" s="164" t="n">
        <v>56</v>
      </c>
      <c r="I153" s="165" t="n">
        <v>67000</v>
      </c>
      <c r="J153" s="165" t="inlineStr">
        <is>
          <t>중</t>
        </is>
      </c>
      <c r="K153" s="165" t="n">
        <v>47000</v>
      </c>
      <c r="L153" s="165" t="inlineStr">
        <is>
          <t>29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114B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에코메트로5단지한화꿈에그린</t>
        </is>
      </c>
      <c r="B154" s="16" t="inlineStr">
        <is>
          <t>'10.12.</t>
        </is>
      </c>
      <c r="C154" s="164" t="n">
        <v>1052</v>
      </c>
      <c r="D154" s="161" t="n">
        <v>134.4</v>
      </c>
      <c r="E154" s="163" t="n">
        <v>41</v>
      </c>
      <c r="F154" s="161" t="n">
        <v>102</v>
      </c>
      <c r="G154" s="27" t="n">
        <v>31</v>
      </c>
      <c r="H154" s="164" t="n">
        <v>204</v>
      </c>
      <c r="I154" s="165" t="n">
        <v>70000</v>
      </c>
      <c r="J154" s="165" t="inlineStr">
        <is>
          <t>19</t>
        </is>
      </c>
      <c r="K154" s="165" t="n">
        <v>55000</v>
      </c>
      <c r="L154" s="165" t="inlineStr">
        <is>
          <t>중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n">
        <v>134</v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에코메트로5단지한화꿈에그린</t>
        </is>
      </c>
      <c r="B155" s="16" t="inlineStr">
        <is>
          <t>'10.12.</t>
        </is>
      </c>
      <c r="C155" s="164" t="n">
        <v>1052</v>
      </c>
      <c r="D155" s="161" t="n">
        <v>153.9</v>
      </c>
      <c r="E155" s="163" t="n">
        <v>47</v>
      </c>
      <c r="F155" s="161" t="n">
        <v>118</v>
      </c>
      <c r="G155" s="27" t="n">
        <v>36</v>
      </c>
      <c r="H155" s="164" t="n">
        <v>76</v>
      </c>
      <c r="I155" s="165" t="n">
        <v>82000</v>
      </c>
      <c r="J155" s="165" t="inlineStr">
        <is>
          <t>24</t>
        </is>
      </c>
      <c r="K155" s="165" t="n">
        <v>60000</v>
      </c>
      <c r="L155" s="165" t="inlineStr">
        <is>
          <t>40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n">
        <v>153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에코메트로5단지한화꿈에그린</t>
        </is>
      </c>
      <c r="B156" s="16" t="inlineStr">
        <is>
          <t>'10.12.</t>
        </is>
      </c>
      <c r="C156" s="164" t="n">
        <v>1052</v>
      </c>
      <c r="D156" s="161" t="n">
        <v>185.8</v>
      </c>
      <c r="E156" s="163" t="n">
        <v>56</v>
      </c>
      <c r="F156" s="161" t="n">
        <v>143.3</v>
      </c>
      <c r="G156" s="27" t="n">
        <v>43</v>
      </c>
      <c r="H156" s="164" t="n">
        <v>76</v>
      </c>
      <c r="I156" s="165" t="n">
        <v>80000</v>
      </c>
      <c r="J156" s="165" t="inlineStr">
        <is>
          <t>고</t>
        </is>
      </c>
      <c r="K156" s="165" t="n">
        <v>60000</v>
      </c>
      <c r="L156" s="165" t="inlineStr">
        <is>
          <t>중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185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에코메트로12단지한화꿈에그린</t>
        </is>
      </c>
      <c r="B158" s="16" t="inlineStr">
        <is>
          <t>'09.07.</t>
        </is>
      </c>
      <c r="C158" s="164" t="n">
        <v>1298</v>
      </c>
      <c r="D158" s="161" t="n">
        <v>111.2</v>
      </c>
      <c r="E158" s="163" t="n">
        <v>34</v>
      </c>
      <c r="F158" s="161" t="n">
        <v>85</v>
      </c>
      <c r="G158" s="27" t="n">
        <v>26</v>
      </c>
      <c r="H158" s="164" t="n">
        <v>240</v>
      </c>
      <c r="I158" s="165" t="n">
        <v>59000</v>
      </c>
      <c r="J158" s="165" t="inlineStr">
        <is>
          <t>중</t>
        </is>
      </c>
      <c r="K158" s="165" t="n">
        <v>43000</v>
      </c>
      <c r="L158" s="165" t="inlineStr">
        <is>
          <t>고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합</t>
        </is>
      </c>
      <c r="T158" s="8" t="inlineStr">
        <is>
          <t>111B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에코메트로12단지한화꿈에그린</t>
        </is>
      </c>
      <c r="B159" s="16" t="inlineStr">
        <is>
          <t>'09.07.</t>
        </is>
      </c>
      <c r="C159" s="164" t="n">
        <v>1298</v>
      </c>
      <c r="D159" s="161" t="n">
        <v>112.2</v>
      </c>
      <c r="E159" s="163" t="n">
        <v>34</v>
      </c>
      <c r="F159" s="161" t="n">
        <v>85</v>
      </c>
      <c r="G159" s="27" t="n">
        <v>26</v>
      </c>
      <c r="H159" s="164" t="n">
        <v>370</v>
      </c>
      <c r="I159" s="165" t="n">
        <v>56000</v>
      </c>
      <c r="J159" s="165" t="inlineStr">
        <is>
          <t>21</t>
        </is>
      </c>
      <c r="K159" s="165" t="n">
        <v>40000</v>
      </c>
      <c r="L159" s="165" t="inlineStr">
        <is>
          <t>고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합</t>
        </is>
      </c>
      <c r="T159" s="8" t="inlineStr">
        <is>
          <t>112A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에코메트로12단지한화꿈에그린</t>
        </is>
      </c>
      <c r="B160" s="16" t="inlineStr">
        <is>
          <t>'09.07.</t>
        </is>
      </c>
      <c r="C160" s="164" t="n">
        <v>1298</v>
      </c>
      <c r="D160" s="161" t="n">
        <v>112.2</v>
      </c>
      <c r="E160" s="163" t="n">
        <v>34</v>
      </c>
      <c r="F160" s="161" t="n">
        <v>85</v>
      </c>
      <c r="G160" s="27" t="n">
        <v>26</v>
      </c>
      <c r="H160" s="164" t="n">
        <v>194</v>
      </c>
      <c r="I160" s="165" t="n">
        <v>56000</v>
      </c>
      <c r="J160" s="165" t="inlineStr">
        <is>
          <t>21</t>
        </is>
      </c>
      <c r="K160" s="165" t="n">
        <v>40000</v>
      </c>
      <c r="L160" s="165" t="inlineStr">
        <is>
          <t>고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112C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에코메트로12단지한화꿈에그린</t>
        </is>
      </c>
      <c r="B161" s="16" t="inlineStr">
        <is>
          <t>'09.07.</t>
        </is>
      </c>
      <c r="C161" s="164" t="n">
        <v>1298</v>
      </c>
      <c r="D161" s="161" t="n">
        <v>131</v>
      </c>
      <c r="E161" s="163" t="n">
        <v>40</v>
      </c>
      <c r="F161" s="161" t="n">
        <v>102</v>
      </c>
      <c r="G161" s="27" t="n">
        <v>31</v>
      </c>
      <c r="H161" s="164" t="n">
        <v>152</v>
      </c>
      <c r="I161" s="165" t="n">
        <v>65000</v>
      </c>
      <c r="J161" s="165" t="inlineStr">
        <is>
          <t>6</t>
        </is>
      </c>
      <c r="K161" s="165" t="n">
        <v>45000</v>
      </c>
      <c r="L161" s="165" t="inlineStr">
        <is>
          <t>13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합</t>
        </is>
      </c>
      <c r="T161" s="8" t="n">
        <v>131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에코메트로12단지한화꿈에그린</t>
        </is>
      </c>
      <c r="B162" s="16" t="inlineStr">
        <is>
          <t>'09.07.</t>
        </is>
      </c>
      <c r="C162" s="164" t="n">
        <v>1298</v>
      </c>
      <c r="D162" s="161" t="n">
        <v>143</v>
      </c>
      <c r="E162" s="163" t="n">
        <v>43</v>
      </c>
      <c r="F162" s="161" t="n">
        <v>115.1</v>
      </c>
      <c r="G162" s="27" t="n">
        <v>35</v>
      </c>
      <c r="H162" s="164" t="n">
        <v>146</v>
      </c>
      <c r="I162" s="165" t="n">
        <v>80000</v>
      </c>
      <c r="J162" s="165" t="inlineStr">
        <is>
          <t>고</t>
        </is>
      </c>
      <c r="K162" s="165" t="n">
        <v>55000</v>
      </c>
      <c r="L162" s="165" t="inlineStr">
        <is>
          <t>5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n">
        <v>142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에코메트로12단지한화꿈에그린</t>
        </is>
      </c>
      <c r="B163" s="16" t="inlineStr">
        <is>
          <t>'09.07.</t>
        </is>
      </c>
      <c r="C163" s="164" t="n">
        <v>1298</v>
      </c>
      <c r="D163" s="161" t="n">
        <v>153.2</v>
      </c>
      <c r="E163" s="163" t="n">
        <v>46</v>
      </c>
      <c r="F163" s="161" t="n">
        <v>122.6</v>
      </c>
      <c r="G163" s="27" t="n">
        <v>37</v>
      </c>
      <c r="H163" s="164" t="n">
        <v>110</v>
      </c>
      <c r="I163" s="165" t="n">
        <v>85000</v>
      </c>
      <c r="J163" s="165" t="inlineStr">
        <is>
          <t>8</t>
        </is>
      </c>
      <c r="K163" s="165" t="n">
        <v>55000</v>
      </c>
      <c r="L163" s="165" t="inlineStr">
        <is>
          <t>고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합</t>
        </is>
      </c>
      <c r="T163" s="8" t="n">
        <v>153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에코메트로12단지한화꿈에그린</t>
        </is>
      </c>
      <c r="B164" s="16" t="inlineStr">
        <is>
          <t>'09.07.</t>
        </is>
      </c>
      <c r="C164" s="164" t="n">
        <v>1298</v>
      </c>
      <c r="D164" s="161" t="n">
        <v>164.6</v>
      </c>
      <c r="E164" s="163" t="n">
        <v>50</v>
      </c>
      <c r="F164" s="161" t="n">
        <v>131.3</v>
      </c>
      <c r="G164" s="27" t="n">
        <v>40</v>
      </c>
      <c r="H164" s="164" t="n">
        <v>40</v>
      </c>
      <c r="I164" s="165" t="n">
        <v>102000</v>
      </c>
      <c r="J164" s="165" t="inlineStr">
        <is>
          <t>고</t>
        </is>
      </c>
      <c r="K164" s="165" t="n">
        <v>62000</v>
      </c>
      <c r="L164" s="165" t="inlineStr">
        <is>
          <t>고</t>
        </is>
      </c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합</t>
        </is>
      </c>
      <c r="T164" s="8" t="n">
        <v>164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에코메트로12단지한화꿈에그린</t>
        </is>
      </c>
      <c r="B165" s="16" t="inlineStr">
        <is>
          <t>'09.07.</t>
        </is>
      </c>
      <c r="C165" s="164" t="n">
        <v>1298</v>
      </c>
      <c r="D165" s="161" t="n">
        <v>194.4</v>
      </c>
      <c r="E165" s="163" t="n">
        <v>59</v>
      </c>
      <c r="F165" s="161" t="n">
        <v>154.1</v>
      </c>
      <c r="G165" s="27" t="n">
        <v>47</v>
      </c>
      <c r="H165" s="164" t="n">
        <v>46</v>
      </c>
      <c r="I165" s="165" t="n">
        <v>95000</v>
      </c>
      <c r="J165" s="165" t="inlineStr">
        <is>
          <t>중</t>
        </is>
      </c>
      <c r="K165" s="165" t="n">
        <v>65000</v>
      </c>
      <c r="L165" s="165" t="inlineStr">
        <is>
          <t>14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n">
        <v>194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</sheetData>
  <mergeCells count="1">
    <mergeCell ref="AJ1:AN1"/>
  </mergeCells>
  <conditionalFormatting sqref="AV4:AV6">
    <cfRule type="expression" priority="2663" dxfId="17">
      <formula>AV4="X"</formula>
    </cfRule>
    <cfRule type="expression" priority="2664" dxfId="16">
      <formula>AV4="후보"</formula>
    </cfRule>
  </conditionalFormatting>
  <conditionalFormatting sqref="AC1:AC2 AC4:AC6 N4:N5">
    <cfRule type="cellIs" priority="2660" operator="greaterThan" dxfId="13">
      <formula>0.9</formula>
    </cfRule>
    <cfRule type="cellIs" priority="2661" operator="greaterThan" dxfId="12">
      <formula>0.85</formula>
    </cfRule>
  </conditionalFormatting>
  <conditionalFormatting sqref="N1:N2">
    <cfRule type="cellIs" priority="2658" operator="greaterThan" dxfId="13">
      <formula>0.9</formula>
    </cfRule>
    <cfRule type="cellIs" priority="2659" operator="greaterThan" dxfId="12">
      <formula>0.85</formula>
    </cfRule>
  </conditionalFormatting>
  <conditionalFormatting sqref="N6">
    <cfRule type="cellIs" priority="2656" operator="greaterThan" dxfId="13">
      <formula>0.9</formula>
    </cfRule>
    <cfRule type="cellIs" priority="2657" operator="greaterThan" dxfId="12">
      <formula>0.85</formula>
    </cfRule>
  </conditionalFormatting>
  <conditionalFormatting sqref="E6">
    <cfRule type="expression" priority="2652" dxfId="3">
      <formula>AND(IF(OR($Q6=1,$Q6=2),1,0),IF($X6&lt;=20,1,0))</formula>
    </cfRule>
    <cfRule type="expression" priority="2653" dxfId="2">
      <formula>AND(IF($Q6=2,1,0),IF($X6&lt;30,1,0))</formula>
    </cfRule>
    <cfRule type="expression" priority="2654" dxfId="1">
      <formula>AND(IF($Q6=3,1,0),IF($X6&lt;30,1,0))</formula>
    </cfRule>
    <cfRule type="expression" priority="2655" dxfId="0">
      <formula>AND(IF($Q6=3,1,IF($Q6=4,1,0)),IF($F6&lt;=85,1,0))</formula>
    </cfRule>
  </conditionalFormatting>
  <conditionalFormatting sqref="X6">
    <cfRule type="expression" priority="2648" dxfId="3">
      <formula>AND(IF(OR($Q6=1,$Q6=2),1,0),IF($X6&lt;=20,1,0))</formula>
    </cfRule>
    <cfRule type="expression" priority="2649" dxfId="2">
      <formula>AND(IF($Q6=2,1,0),IF($X6&lt;30,1,0))</formula>
    </cfRule>
    <cfRule type="expression" priority="2650" dxfId="1">
      <formula>AND(IF($Q6=3,1,0),IF($X6&lt;30,1,0))</formula>
    </cfRule>
    <cfRule type="expression" priority="2651" dxfId="0">
      <formula>AND(IF($Q6=3,1,IF($Q6=4,1,0)),IF($F6&lt;=85,1,0))</formula>
    </cfRule>
  </conditionalFormatting>
  <conditionalFormatting sqref="AI6">
    <cfRule type="expression" priority="2644" dxfId="3">
      <formula>AND(IF(OR($Q6=1,$Q6=2),1,0),IF($X6&lt;=20,1,0))</formula>
    </cfRule>
    <cfRule type="expression" priority="2645" dxfId="2">
      <formula>AND(IF($Q6=2,1,0),IF($X6&lt;30,1,0))</formula>
    </cfRule>
    <cfRule type="expression" priority="2646" dxfId="1">
      <formula>AND(IF($Q6=3,1,0),IF($X6&lt;30,1,0))</formula>
    </cfRule>
    <cfRule type="expression" priority="2647" dxfId="0">
      <formula>AND(IF($Q6=3,1,IF($Q6=4,1,0)),IF($F6&lt;=85,1,0))</formula>
    </cfRule>
  </conditionalFormatting>
  <conditionalFormatting sqref="AV7">
    <cfRule type="expression" priority="2642" dxfId="17">
      <formula>AV7="X"</formula>
    </cfRule>
    <cfRule type="expression" priority="2643" dxfId="16">
      <formula>AV7="후보"</formula>
    </cfRule>
  </conditionalFormatting>
  <conditionalFormatting sqref="AC7">
    <cfRule type="cellIs" priority="2639" operator="greaterThan" dxfId="13">
      <formula>0.9</formula>
    </cfRule>
    <cfRule type="cellIs" priority="2640" operator="greaterThan" dxfId="12">
      <formula>0.85</formula>
    </cfRule>
  </conditionalFormatting>
  <conditionalFormatting sqref="N7">
    <cfRule type="cellIs" priority="2637" operator="greaterThan" dxfId="13">
      <formula>0.9</formula>
    </cfRule>
    <cfRule type="cellIs" priority="2638" operator="greaterThan" dxfId="12">
      <formula>0.85</formula>
    </cfRule>
  </conditionalFormatting>
  <conditionalFormatting sqref="E7">
    <cfRule type="expression" priority="2633" dxfId="3">
      <formula>AND(IF(OR($Q7=1,$Q7=2),1,0),IF($X7&lt;=20,1,0))</formula>
    </cfRule>
    <cfRule type="expression" priority="2634" dxfId="2">
      <formula>AND(IF($Q7=2,1,0),IF($X7&lt;30,1,0))</formula>
    </cfRule>
    <cfRule type="expression" priority="2635" dxfId="1">
      <formula>AND(IF($Q7=3,1,0),IF($X7&lt;30,1,0))</formula>
    </cfRule>
    <cfRule type="expression" priority="2636" dxfId="0">
      <formula>AND(IF($Q7=3,1,IF($Q7=4,1,0)),IF($F7&lt;=85,1,0))</formula>
    </cfRule>
  </conditionalFormatting>
  <conditionalFormatting sqref="X7">
    <cfRule type="expression" priority="2629" dxfId="3">
      <formula>AND(IF(OR($Q7=1,$Q7=2),1,0),IF($X7&lt;=20,1,0))</formula>
    </cfRule>
    <cfRule type="expression" priority="2630" dxfId="2">
      <formula>AND(IF($Q7=2,1,0),IF($X7&lt;30,1,0))</formula>
    </cfRule>
    <cfRule type="expression" priority="2631" dxfId="1">
      <formula>AND(IF($Q7=3,1,0),IF($X7&lt;30,1,0))</formula>
    </cfRule>
    <cfRule type="expression" priority="2632" dxfId="0">
      <formula>AND(IF($Q7=3,1,IF($Q7=4,1,0)),IF($F7&lt;=85,1,0))</formula>
    </cfRule>
  </conditionalFormatting>
  <conditionalFormatting sqref="AI7">
    <cfRule type="expression" priority="2625" dxfId="3">
      <formula>AND(IF(OR($Q7=1,$Q7=2),1,0),IF($X7&lt;=20,1,0))</formula>
    </cfRule>
    <cfRule type="expression" priority="2626" dxfId="2">
      <formula>AND(IF($Q7=2,1,0),IF($X7&lt;30,1,0))</formula>
    </cfRule>
    <cfRule type="expression" priority="2627" dxfId="1">
      <formula>AND(IF($Q7=3,1,0),IF($X7&lt;30,1,0))</formula>
    </cfRule>
    <cfRule type="expression" priority="2628" dxfId="0">
      <formula>AND(IF($Q7=3,1,IF($Q7=4,1,0)),IF($F7&lt;=85,1,0))</formula>
    </cfRule>
  </conditionalFormatting>
  <conditionalFormatting sqref="AV8">
    <cfRule type="expression" priority="2623" dxfId="17">
      <formula>AV8="X"</formula>
    </cfRule>
    <cfRule type="expression" priority="2624" dxfId="16">
      <formula>AV8="후보"</formula>
    </cfRule>
  </conditionalFormatting>
  <conditionalFormatting sqref="AC8">
    <cfRule type="cellIs" priority="2620" operator="greaterThan" dxfId="13">
      <formula>0.9</formula>
    </cfRule>
    <cfRule type="cellIs" priority="2621" operator="greaterThan" dxfId="12">
      <formula>0.85</formula>
    </cfRule>
  </conditionalFormatting>
  <conditionalFormatting sqref="N8">
    <cfRule type="cellIs" priority="2618" operator="greaterThan" dxfId="13">
      <formula>0.9</formula>
    </cfRule>
    <cfRule type="cellIs" priority="2619" operator="greaterThan" dxfId="12">
      <formula>0.85</formula>
    </cfRule>
  </conditionalFormatting>
  <conditionalFormatting sqref="E8">
    <cfRule type="expression" priority="2614" dxfId="3">
      <formula>AND(IF(OR($Q8=1,$Q8=2),1,0),IF($X8&lt;=20,1,0))</formula>
    </cfRule>
    <cfRule type="expression" priority="2615" dxfId="2">
      <formula>AND(IF($Q8=2,1,0),IF($X8&lt;30,1,0))</formula>
    </cfRule>
    <cfRule type="expression" priority="2616" dxfId="1">
      <formula>AND(IF($Q8=3,1,0),IF($X8&lt;30,1,0))</formula>
    </cfRule>
    <cfRule type="expression" priority="2617" dxfId="0">
      <formula>AND(IF($Q8=3,1,IF($Q8=4,1,0)),IF($F8&lt;=85,1,0))</formula>
    </cfRule>
  </conditionalFormatting>
  <conditionalFormatting sqref="X8">
    <cfRule type="expression" priority="2610" dxfId="3">
      <formula>AND(IF(OR($Q8=1,$Q8=2),1,0),IF($X8&lt;=20,1,0))</formula>
    </cfRule>
    <cfRule type="expression" priority="2611" dxfId="2">
      <formula>AND(IF($Q8=2,1,0),IF($X8&lt;30,1,0))</formula>
    </cfRule>
    <cfRule type="expression" priority="2612" dxfId="1">
      <formula>AND(IF($Q8=3,1,0),IF($X8&lt;30,1,0))</formula>
    </cfRule>
    <cfRule type="expression" priority="2613" dxfId="0">
      <formula>AND(IF($Q8=3,1,IF($Q8=4,1,0)),IF($F8&lt;=85,1,0))</formula>
    </cfRule>
  </conditionalFormatting>
  <conditionalFormatting sqref="AI8">
    <cfRule type="expression" priority="2606" dxfId="3">
      <formula>AND(IF(OR($Q8=1,$Q8=2),1,0),IF($X8&lt;=20,1,0))</formula>
    </cfRule>
    <cfRule type="expression" priority="2607" dxfId="2">
      <formula>AND(IF($Q8=2,1,0),IF($X8&lt;30,1,0))</formula>
    </cfRule>
    <cfRule type="expression" priority="2608" dxfId="1">
      <formula>AND(IF($Q8=3,1,0),IF($X8&lt;30,1,0))</formula>
    </cfRule>
    <cfRule type="expression" priority="2609" dxfId="0">
      <formula>AND(IF($Q8=3,1,IF($Q8=4,1,0)),IF($F8&lt;=85,1,0))</formula>
    </cfRule>
  </conditionalFormatting>
  <conditionalFormatting sqref="AV9">
    <cfRule type="expression" priority="2604" dxfId="17">
      <formula>AV9="X"</formula>
    </cfRule>
    <cfRule type="expression" priority="2605" dxfId="16">
      <formula>AV9="후보"</formula>
    </cfRule>
  </conditionalFormatting>
  <conditionalFormatting sqref="AC9">
    <cfRule type="cellIs" priority="2601" operator="greaterThan" dxfId="13">
      <formula>0.9</formula>
    </cfRule>
    <cfRule type="cellIs" priority="2602" operator="greaterThan" dxfId="12">
      <formula>0.85</formula>
    </cfRule>
  </conditionalFormatting>
  <conditionalFormatting sqref="N9">
    <cfRule type="cellIs" priority="2599" operator="greaterThan" dxfId="13">
      <formula>0.9</formula>
    </cfRule>
    <cfRule type="cellIs" priority="2600" operator="greaterThan" dxfId="12">
      <formula>0.85</formula>
    </cfRule>
  </conditionalFormatting>
  <conditionalFormatting sqref="E9">
    <cfRule type="expression" priority="2595" dxfId="3">
      <formula>AND(IF(OR($Q9=1,$Q9=2),1,0),IF($X9&lt;=20,1,0))</formula>
    </cfRule>
    <cfRule type="expression" priority="2596" dxfId="2">
      <formula>AND(IF($Q9=2,1,0),IF($X9&lt;30,1,0))</formula>
    </cfRule>
    <cfRule type="expression" priority="2597" dxfId="1">
      <formula>AND(IF($Q9=3,1,0),IF($X9&lt;30,1,0))</formula>
    </cfRule>
    <cfRule type="expression" priority="2598" dxfId="0">
      <formula>AND(IF($Q9=3,1,IF($Q9=4,1,0)),IF($F9&lt;=85,1,0))</formula>
    </cfRule>
  </conditionalFormatting>
  <conditionalFormatting sqref="X9">
    <cfRule type="expression" priority="2591" dxfId="3">
      <formula>AND(IF(OR($Q9=1,$Q9=2),1,0),IF($X9&lt;=20,1,0))</formula>
    </cfRule>
    <cfRule type="expression" priority="2592" dxfId="2">
      <formula>AND(IF($Q9=2,1,0),IF($X9&lt;30,1,0))</formula>
    </cfRule>
    <cfRule type="expression" priority="2593" dxfId="1">
      <formula>AND(IF($Q9=3,1,0),IF($X9&lt;30,1,0))</formula>
    </cfRule>
    <cfRule type="expression" priority="2594" dxfId="0">
      <formula>AND(IF($Q9=3,1,IF($Q9=4,1,0)),IF($F9&lt;=85,1,0))</formula>
    </cfRule>
  </conditionalFormatting>
  <conditionalFormatting sqref="AI9">
    <cfRule type="expression" priority="2587" dxfId="3">
      <formula>AND(IF(OR($Q9=1,$Q9=2),1,0),IF($X9&lt;=20,1,0))</formula>
    </cfRule>
    <cfRule type="expression" priority="2588" dxfId="2">
      <formula>AND(IF($Q9=2,1,0),IF($X9&lt;30,1,0))</formula>
    </cfRule>
    <cfRule type="expression" priority="2589" dxfId="1">
      <formula>AND(IF($Q9=3,1,0),IF($X9&lt;30,1,0))</formula>
    </cfRule>
    <cfRule type="expression" priority="2590" dxfId="0">
      <formula>AND(IF($Q9=3,1,IF($Q9=4,1,0)),IF($F9&lt;=85,1,0))</formula>
    </cfRule>
  </conditionalFormatting>
  <conditionalFormatting sqref="AV10">
    <cfRule type="expression" priority="2585" dxfId="17">
      <formula>AV10="X"</formula>
    </cfRule>
    <cfRule type="expression" priority="2586" dxfId="16">
      <formula>AV10="후보"</formula>
    </cfRule>
  </conditionalFormatting>
  <conditionalFormatting sqref="AC10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10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10">
    <cfRule type="expression" priority="2576" dxfId="3">
      <formula>AND(IF(OR($Q10=1,$Q10=2),1,0),IF($X10&lt;=20,1,0))</formula>
    </cfRule>
    <cfRule type="expression" priority="2577" dxfId="2">
      <formula>AND(IF($Q10=2,1,0),IF($X10&lt;30,1,0))</formula>
    </cfRule>
    <cfRule type="expression" priority="2578" dxfId="1">
      <formula>AND(IF($Q10=3,1,0),IF($X10&lt;30,1,0))</formula>
    </cfRule>
    <cfRule type="expression" priority="2579" dxfId="0">
      <formula>AND(IF($Q10=3,1,IF($Q10=4,1,0)),IF($F10&lt;=85,1,0))</formula>
    </cfRule>
  </conditionalFormatting>
  <conditionalFormatting sqref="X10">
    <cfRule type="expression" priority="2572" dxfId="3">
      <formula>AND(IF(OR($Q10=1,$Q10=2),1,0),IF($X10&lt;=20,1,0))</formula>
    </cfRule>
    <cfRule type="expression" priority="2573" dxfId="2">
      <formula>AND(IF($Q10=2,1,0),IF($X10&lt;30,1,0))</formula>
    </cfRule>
    <cfRule type="expression" priority="2574" dxfId="1">
      <formula>AND(IF($Q10=3,1,0),IF($X10&lt;30,1,0))</formula>
    </cfRule>
    <cfRule type="expression" priority="2575" dxfId="0">
      <formula>AND(IF($Q10=3,1,IF($Q10=4,1,0)),IF($F10&lt;=85,1,0))</formula>
    </cfRule>
  </conditionalFormatting>
  <conditionalFormatting sqref="AI10">
    <cfRule type="expression" priority="2568" dxfId="3">
      <formula>AND(IF(OR($Q10=1,$Q10=2),1,0),IF($X10&lt;=20,1,0))</formula>
    </cfRule>
    <cfRule type="expression" priority="2569" dxfId="2">
      <formula>AND(IF($Q10=2,1,0),IF($X10&lt;30,1,0))</formula>
    </cfRule>
    <cfRule type="expression" priority="2570" dxfId="1">
      <formula>AND(IF($Q10=3,1,0),IF($X10&lt;30,1,0))</formula>
    </cfRule>
    <cfRule type="expression" priority="2571" dxfId="0">
      <formula>AND(IF($Q10=3,1,IF($Q10=4,1,0)),IF($F10&lt;=85,1,0))</formula>
    </cfRule>
  </conditionalFormatting>
  <conditionalFormatting sqref="AV11">
    <cfRule type="expression" priority="2566" dxfId="17">
      <formula>AV11="X"</formula>
    </cfRule>
    <cfRule type="expression" priority="2567" dxfId="16">
      <formula>AV11="후보"</formula>
    </cfRule>
  </conditionalFormatting>
  <conditionalFormatting sqref="AC11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11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11">
    <cfRule type="expression" priority="2557" dxfId="3">
      <formula>AND(IF(OR($Q11=1,$Q11=2),1,0),IF($X11&lt;=20,1,0))</formula>
    </cfRule>
    <cfRule type="expression" priority="2558" dxfId="2">
      <formula>AND(IF($Q11=2,1,0),IF($X11&lt;30,1,0))</formula>
    </cfRule>
    <cfRule type="expression" priority="2559" dxfId="1">
      <formula>AND(IF($Q11=3,1,0),IF($X11&lt;30,1,0))</formula>
    </cfRule>
    <cfRule type="expression" priority="2560" dxfId="0">
      <formula>AND(IF($Q11=3,1,IF($Q11=4,1,0)),IF($F11&lt;=85,1,0))</formula>
    </cfRule>
  </conditionalFormatting>
  <conditionalFormatting sqref="X11">
    <cfRule type="expression" priority="2553" dxfId="3">
      <formula>AND(IF(OR($Q11=1,$Q11=2),1,0),IF($X11&lt;=20,1,0))</formula>
    </cfRule>
    <cfRule type="expression" priority="2554" dxfId="2">
      <formula>AND(IF($Q11=2,1,0),IF($X11&lt;30,1,0))</formula>
    </cfRule>
    <cfRule type="expression" priority="2555" dxfId="1">
      <formula>AND(IF($Q11=3,1,0),IF($X11&lt;30,1,0))</formula>
    </cfRule>
    <cfRule type="expression" priority="2556" dxfId="0">
      <formula>AND(IF($Q11=3,1,IF($Q11=4,1,0)),IF($F11&lt;=85,1,0))</formula>
    </cfRule>
  </conditionalFormatting>
  <conditionalFormatting sqref="AI11">
    <cfRule type="expression" priority="2549" dxfId="3">
      <formula>AND(IF(OR($Q11=1,$Q11=2),1,0),IF($X11&lt;=20,1,0))</formula>
    </cfRule>
    <cfRule type="expression" priority="2550" dxfId="2">
      <formula>AND(IF($Q11=2,1,0),IF($X11&lt;30,1,0))</formula>
    </cfRule>
    <cfRule type="expression" priority="2551" dxfId="1">
      <formula>AND(IF($Q11=3,1,0),IF($X11&lt;30,1,0))</formula>
    </cfRule>
    <cfRule type="expression" priority="2552" dxfId="0">
      <formula>AND(IF($Q11=3,1,IF($Q11=4,1,0)),IF($F11&lt;=85,1,0))</formula>
    </cfRule>
  </conditionalFormatting>
  <conditionalFormatting sqref="AV12">
    <cfRule type="expression" priority="2547" dxfId="17">
      <formula>AV12="X"</formula>
    </cfRule>
    <cfRule type="expression" priority="2548" dxfId="16">
      <formula>AV12="후보"</formula>
    </cfRule>
  </conditionalFormatting>
  <conditionalFormatting sqref="AC12 N12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AV13">
    <cfRule type="expression" priority="2542" dxfId="17">
      <formula>AV13="X"</formula>
    </cfRule>
    <cfRule type="expression" priority="2543" dxfId="16">
      <formula>AV13="후보"</formula>
    </cfRule>
  </conditionalFormatting>
  <conditionalFormatting sqref="AC13">
    <cfRule type="cellIs" priority="2539" operator="greaterThan" dxfId="13">
      <formula>0.9</formula>
    </cfRule>
    <cfRule type="cellIs" priority="2540" operator="greaterThan" dxfId="12">
      <formula>0.85</formula>
    </cfRule>
  </conditionalFormatting>
  <conditionalFormatting sqref="N13">
    <cfRule type="cellIs" priority="2537" operator="greaterThan" dxfId="13">
      <formula>0.9</formula>
    </cfRule>
    <cfRule type="cellIs" priority="2538" operator="greaterThan" dxfId="12">
      <formula>0.85</formula>
    </cfRule>
  </conditionalFormatting>
  <conditionalFormatting sqref="E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X13">
    <cfRule type="expression" priority="2529" dxfId="3">
      <formula>AND(IF(OR($Q13=1,$Q13=2),1,0),IF($X13&lt;=20,1,0))</formula>
    </cfRule>
    <cfRule type="expression" priority="2530" dxfId="2">
      <formula>AND(IF($Q13=2,1,0),IF($X13&lt;30,1,0))</formula>
    </cfRule>
    <cfRule type="expression" priority="2531" dxfId="1">
      <formula>AND(IF($Q13=3,1,0),IF($X13&lt;30,1,0))</formula>
    </cfRule>
    <cfRule type="expression" priority="2532" dxfId="0">
      <formula>AND(IF($Q13=3,1,IF($Q13=4,1,0)),IF($F13&lt;=85,1,0))</formula>
    </cfRule>
  </conditionalFormatting>
  <conditionalFormatting sqref="AI13">
    <cfRule type="expression" priority="2525" dxfId="3">
      <formula>AND(IF(OR($Q13=1,$Q13=2),1,0),IF($X13&lt;=20,1,0))</formula>
    </cfRule>
    <cfRule type="expression" priority="2526" dxfId="2">
      <formula>AND(IF($Q13=2,1,0),IF($X13&lt;30,1,0))</formula>
    </cfRule>
    <cfRule type="expression" priority="2527" dxfId="1">
      <formula>AND(IF($Q13=3,1,0),IF($X13&lt;30,1,0))</formula>
    </cfRule>
    <cfRule type="expression" priority="2528" dxfId="0">
      <formula>AND(IF($Q13=3,1,IF($Q13=4,1,0)),IF($F13&lt;=85,1,0))</formula>
    </cfRule>
  </conditionalFormatting>
  <conditionalFormatting sqref="AV14">
    <cfRule type="expression" priority="2523" dxfId="17">
      <formula>AV14="X"</formula>
    </cfRule>
    <cfRule type="expression" priority="2524" dxfId="16">
      <formula>AV14="후보"</formula>
    </cfRule>
  </conditionalFormatting>
  <conditionalFormatting sqref="AC14">
    <cfRule type="cellIs" priority="2520" operator="greaterThan" dxfId="13">
      <formula>0.9</formula>
    </cfRule>
    <cfRule type="cellIs" priority="2521" operator="greaterThan" dxfId="12">
      <formula>0.85</formula>
    </cfRule>
  </conditionalFormatting>
  <conditionalFormatting sqref="N14">
    <cfRule type="cellIs" priority="2518" operator="greaterThan" dxfId="13">
      <formula>0.9</formula>
    </cfRule>
    <cfRule type="cellIs" priority="2519" operator="greaterThan" dxfId="12">
      <formula>0.85</formula>
    </cfRule>
  </conditionalFormatting>
  <conditionalFormatting sqref="E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X14">
    <cfRule type="expression" priority="2510" dxfId="3">
      <formula>AND(IF(OR($Q14=1,$Q14=2),1,0),IF($X14&lt;=20,1,0))</formula>
    </cfRule>
    <cfRule type="expression" priority="2511" dxfId="2">
      <formula>AND(IF($Q14=2,1,0),IF($X14&lt;30,1,0))</formula>
    </cfRule>
    <cfRule type="expression" priority="2512" dxfId="1">
      <formula>AND(IF($Q14=3,1,0),IF($X14&lt;30,1,0))</formula>
    </cfRule>
    <cfRule type="expression" priority="2513" dxfId="0">
      <formula>AND(IF($Q14=3,1,IF($Q14=4,1,0)),IF($F14&lt;=85,1,0))</formula>
    </cfRule>
  </conditionalFormatting>
  <conditionalFormatting sqref="AI14">
    <cfRule type="expression" priority="2506" dxfId="3">
      <formula>AND(IF(OR($Q14=1,$Q14=2),1,0),IF($X14&lt;=20,1,0))</formula>
    </cfRule>
    <cfRule type="expression" priority="2507" dxfId="2">
      <formula>AND(IF($Q14=2,1,0),IF($X14&lt;30,1,0))</formula>
    </cfRule>
    <cfRule type="expression" priority="2508" dxfId="1">
      <formula>AND(IF($Q14=3,1,0),IF($X14&lt;30,1,0))</formula>
    </cfRule>
    <cfRule type="expression" priority="2509" dxfId="0">
      <formula>AND(IF($Q14=3,1,IF($Q14=4,1,0)),IF($F14&lt;=85,1,0))</formula>
    </cfRule>
  </conditionalFormatting>
  <conditionalFormatting sqref="AV15">
    <cfRule type="expression" priority="2504" dxfId="17">
      <formula>AV15="X"</formula>
    </cfRule>
    <cfRule type="expression" priority="2505" dxfId="16">
      <formula>AV15="후보"</formula>
    </cfRule>
  </conditionalFormatting>
  <conditionalFormatting sqref="AC15">
    <cfRule type="cellIs" priority="2501" operator="greaterThan" dxfId="13">
      <formula>0.9</formula>
    </cfRule>
    <cfRule type="cellIs" priority="2502" operator="greaterThan" dxfId="12">
      <formula>0.85</formula>
    </cfRule>
  </conditionalFormatting>
  <conditionalFormatting sqref="N1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E15">
    <cfRule type="expression" priority="2495" dxfId="3">
      <formula>AND(IF(OR($Q15=1,$Q15=2),1,0),IF($X15&lt;=20,1,0))</formula>
    </cfRule>
    <cfRule type="expression" priority="2496" dxfId="2">
      <formula>AND(IF($Q15=2,1,0),IF($X15&lt;30,1,0))</formula>
    </cfRule>
    <cfRule type="expression" priority="2497" dxfId="1">
      <formula>AND(IF($Q15=3,1,0),IF($X15&lt;30,1,0))</formula>
    </cfRule>
    <cfRule type="expression" priority="2498" dxfId="0">
      <formula>AND(IF($Q15=3,1,IF($Q15=4,1,0)),IF($F15&lt;=85,1,0))</formula>
    </cfRule>
  </conditionalFormatting>
  <conditionalFormatting sqref="X15">
    <cfRule type="expression" priority="2491" dxfId="3">
      <formula>AND(IF(OR($Q15=1,$Q15=2),1,0),IF($X15&lt;=20,1,0))</formula>
    </cfRule>
    <cfRule type="expression" priority="2492" dxfId="2">
      <formula>AND(IF($Q15=2,1,0),IF($X15&lt;30,1,0))</formula>
    </cfRule>
    <cfRule type="expression" priority="2493" dxfId="1">
      <formula>AND(IF($Q15=3,1,0),IF($X15&lt;30,1,0))</formula>
    </cfRule>
    <cfRule type="expression" priority="2494" dxfId="0">
      <formula>AND(IF($Q15=3,1,IF($Q15=4,1,0)),IF($F15&lt;=85,1,0))</formula>
    </cfRule>
  </conditionalFormatting>
  <conditionalFormatting sqref="AI15">
    <cfRule type="expression" priority="2487" dxfId="3">
      <formula>AND(IF(OR($Q15=1,$Q15=2),1,0),IF($X15&lt;=20,1,0))</formula>
    </cfRule>
    <cfRule type="expression" priority="2488" dxfId="2">
      <formula>AND(IF($Q15=2,1,0),IF($X15&lt;30,1,0))</formula>
    </cfRule>
    <cfRule type="expression" priority="2489" dxfId="1">
      <formula>AND(IF($Q15=3,1,0),IF($X15&lt;30,1,0))</formula>
    </cfRule>
    <cfRule type="expression" priority="2490" dxfId="0">
      <formula>AND(IF($Q15=3,1,IF($Q15=4,1,0)),IF($F15&lt;=85,1,0))</formula>
    </cfRule>
  </conditionalFormatting>
  <conditionalFormatting sqref="AV16">
    <cfRule type="expression" priority="2485" dxfId="17">
      <formula>AV16="X"</formula>
    </cfRule>
    <cfRule type="expression" priority="2486" dxfId="16">
      <formula>AV16="후보"</formula>
    </cfRule>
  </conditionalFormatting>
  <conditionalFormatting sqref="AC16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6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6">
    <cfRule type="expression" priority="2476" dxfId="3">
      <formula>AND(IF(OR($Q16=1,$Q16=2),1,0),IF($X16&lt;=20,1,0))</formula>
    </cfRule>
    <cfRule type="expression" priority="2477" dxfId="2">
      <formula>AND(IF($Q16=2,1,0),IF($X16&lt;30,1,0))</formula>
    </cfRule>
    <cfRule type="expression" priority="2478" dxfId="1">
      <formula>AND(IF($Q16=3,1,0),IF($X16&lt;30,1,0))</formula>
    </cfRule>
    <cfRule type="expression" priority="2479" dxfId="0">
      <formula>AND(IF($Q16=3,1,IF($Q16=4,1,0)),IF($F16&lt;=85,1,0))</formula>
    </cfRule>
  </conditionalFormatting>
  <conditionalFormatting sqref="X16">
    <cfRule type="expression" priority="2472" dxfId="3">
      <formula>AND(IF(OR($Q16=1,$Q16=2),1,0),IF($X16&lt;=20,1,0))</formula>
    </cfRule>
    <cfRule type="expression" priority="2473" dxfId="2">
      <formula>AND(IF($Q16=2,1,0),IF($X16&lt;30,1,0))</formula>
    </cfRule>
    <cfRule type="expression" priority="2474" dxfId="1">
      <formula>AND(IF($Q16=3,1,0),IF($X16&lt;30,1,0))</formula>
    </cfRule>
    <cfRule type="expression" priority="2475" dxfId="0">
      <formula>AND(IF($Q16=3,1,IF($Q16=4,1,0)),IF($F16&lt;=85,1,0))</formula>
    </cfRule>
  </conditionalFormatting>
  <conditionalFormatting sqref="AI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AV17">
    <cfRule type="expression" priority="2466" dxfId="17">
      <formula>AV17="X"</formula>
    </cfRule>
    <cfRule type="expression" priority="2467" dxfId="16">
      <formula>AV17="후보"</formula>
    </cfRule>
  </conditionalFormatting>
  <conditionalFormatting sqref="AC1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7">
    <cfRule type="expression" priority="2457" dxfId="3">
      <formula>AND(IF(OR($Q17=1,$Q17=2),1,0),IF($X17&lt;=20,1,0))</formula>
    </cfRule>
    <cfRule type="expression" priority="2458" dxfId="2">
      <formula>AND(IF($Q17=2,1,0),IF($X17&lt;30,1,0))</formula>
    </cfRule>
    <cfRule type="expression" priority="2459" dxfId="1">
      <formula>AND(IF($Q17=3,1,0),IF($X17&lt;30,1,0))</formula>
    </cfRule>
    <cfRule type="expression" priority="2460" dxfId="0">
      <formula>AND(IF($Q17=3,1,IF($Q17=4,1,0)),IF($F17&lt;=85,1,0))</formula>
    </cfRule>
  </conditionalFormatting>
  <conditionalFormatting sqref="X17">
    <cfRule type="expression" priority="2453" dxfId="3">
      <formula>AND(IF(OR($Q17=1,$Q17=2),1,0),IF($X17&lt;=20,1,0))</formula>
    </cfRule>
    <cfRule type="expression" priority="2454" dxfId="2">
      <formula>AND(IF($Q17=2,1,0),IF($X17&lt;30,1,0))</formula>
    </cfRule>
    <cfRule type="expression" priority="2455" dxfId="1">
      <formula>AND(IF($Q17=3,1,0),IF($X17&lt;30,1,0))</formula>
    </cfRule>
    <cfRule type="expression" priority="2456" dxfId="0">
      <formula>AND(IF($Q17=3,1,IF($Q17=4,1,0)),IF($F17&lt;=85,1,0))</formula>
    </cfRule>
  </conditionalFormatting>
  <conditionalFormatting sqref="AI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AV18">
    <cfRule type="expression" priority="2447" dxfId="17">
      <formula>AV18="X"</formula>
    </cfRule>
    <cfRule type="expression" priority="2448" dxfId="16">
      <formula>AV18="후보"</formula>
    </cfRule>
  </conditionalFormatting>
  <conditionalFormatting sqref="AC18 N1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AV19">
    <cfRule type="expression" priority="2442" dxfId="17">
      <formula>AV19="X"</formula>
    </cfRule>
    <cfRule type="expression" priority="2443" dxfId="16">
      <formula>AV19="후보"</formula>
    </cfRule>
  </conditionalFormatting>
  <conditionalFormatting sqref="AC19">
    <cfRule type="cellIs" priority="2439" operator="greaterThan" dxfId="13">
      <formula>0.9</formula>
    </cfRule>
    <cfRule type="cellIs" priority="2440" operator="greaterThan" dxfId="12">
      <formula>0.85</formula>
    </cfRule>
  </conditionalFormatting>
  <conditionalFormatting sqref="N19">
    <cfRule type="cellIs" priority="2437" operator="greaterThan" dxfId="13">
      <formula>0.9</formula>
    </cfRule>
    <cfRule type="cellIs" priority="2438" operator="greaterThan" dxfId="12">
      <formula>0.85</formula>
    </cfRule>
  </conditionalFormatting>
  <conditionalFormatting sqref="E19">
    <cfRule type="expression" priority="2433" dxfId="3">
      <formula>AND(IF(OR($Q19=1,$Q19=2),1,0),IF($X19&lt;=20,1,0))</formula>
    </cfRule>
    <cfRule type="expression" priority="2434" dxfId="2">
      <formula>AND(IF($Q19=2,1,0),IF($X19&lt;30,1,0))</formula>
    </cfRule>
    <cfRule type="expression" priority="2435" dxfId="1">
      <formula>AND(IF($Q19=3,1,0),IF($X19&lt;30,1,0))</formula>
    </cfRule>
    <cfRule type="expression" priority="2436" dxfId="0">
      <formula>AND(IF($Q19=3,1,IF($Q19=4,1,0)),IF($F19&lt;=85,1,0))</formula>
    </cfRule>
  </conditionalFormatting>
  <conditionalFormatting sqref="X19">
    <cfRule type="expression" priority="2429" dxfId="3">
      <formula>AND(IF(OR($Q19=1,$Q19=2),1,0),IF($X19&lt;=20,1,0))</formula>
    </cfRule>
    <cfRule type="expression" priority="2430" dxfId="2">
      <formula>AND(IF($Q19=2,1,0),IF($X19&lt;30,1,0))</formula>
    </cfRule>
    <cfRule type="expression" priority="2431" dxfId="1">
      <formula>AND(IF($Q19=3,1,0),IF($X19&lt;30,1,0))</formula>
    </cfRule>
    <cfRule type="expression" priority="2432" dxfId="0">
      <formula>AND(IF($Q19=3,1,IF($Q19=4,1,0)),IF($F19&lt;=85,1,0))</formula>
    </cfRule>
  </conditionalFormatting>
  <conditionalFormatting sqref="AI19">
    <cfRule type="expression" priority="2425" dxfId="3">
      <formula>AND(IF(OR($Q19=1,$Q19=2),1,0),IF($X19&lt;=20,1,0))</formula>
    </cfRule>
    <cfRule type="expression" priority="2426" dxfId="2">
      <formula>AND(IF($Q19=2,1,0),IF($X19&lt;30,1,0))</formula>
    </cfRule>
    <cfRule type="expression" priority="2427" dxfId="1">
      <formula>AND(IF($Q19=3,1,0),IF($X19&lt;30,1,0))</formula>
    </cfRule>
    <cfRule type="expression" priority="2428" dxfId="0">
      <formula>AND(IF($Q19=3,1,IF($Q19=4,1,0)),IF($F19&lt;=85,1,0))</formula>
    </cfRule>
  </conditionalFormatting>
  <conditionalFormatting sqref="AV20">
    <cfRule type="expression" priority="2423" dxfId="17">
      <formula>AV20="X"</formula>
    </cfRule>
    <cfRule type="expression" priority="2424" dxfId="16">
      <formula>AV20="후보"</formula>
    </cfRule>
  </conditionalFormatting>
  <conditionalFormatting sqref="AC20">
    <cfRule type="cellIs" priority="2420" operator="greaterThan" dxfId="13">
      <formula>0.9</formula>
    </cfRule>
    <cfRule type="cellIs" priority="2421" operator="greaterThan" dxfId="12">
      <formula>0.85</formula>
    </cfRule>
  </conditionalFormatting>
  <conditionalFormatting sqref="N20">
    <cfRule type="cellIs" priority="2418" operator="greaterThan" dxfId="13">
      <formula>0.9</formula>
    </cfRule>
    <cfRule type="cellIs" priority="2419" operator="greaterThan" dxfId="12">
      <formula>0.85</formula>
    </cfRule>
  </conditionalFormatting>
  <conditionalFormatting sqref="E20">
    <cfRule type="expression" priority="2414" dxfId="3">
      <formula>AND(IF(OR($Q20=1,$Q20=2),1,0),IF($X20&lt;=20,1,0))</formula>
    </cfRule>
    <cfRule type="expression" priority="2415" dxfId="2">
      <formula>AND(IF($Q20=2,1,0),IF($X20&lt;30,1,0))</formula>
    </cfRule>
    <cfRule type="expression" priority="2416" dxfId="1">
      <formula>AND(IF($Q20=3,1,0),IF($X20&lt;30,1,0))</formula>
    </cfRule>
    <cfRule type="expression" priority="2417" dxfId="0">
      <formula>AND(IF($Q20=3,1,IF($Q20=4,1,0)),IF($F20&lt;=85,1,0))</formula>
    </cfRule>
  </conditionalFormatting>
  <conditionalFormatting sqref="X20">
    <cfRule type="expression" priority="2410" dxfId="3">
      <formula>AND(IF(OR($Q20=1,$Q20=2),1,0),IF($X20&lt;=20,1,0))</formula>
    </cfRule>
    <cfRule type="expression" priority="2411" dxfId="2">
      <formula>AND(IF($Q20=2,1,0),IF($X20&lt;30,1,0))</formula>
    </cfRule>
    <cfRule type="expression" priority="2412" dxfId="1">
      <formula>AND(IF($Q20=3,1,0),IF($X20&lt;30,1,0))</formula>
    </cfRule>
    <cfRule type="expression" priority="2413" dxfId="0">
      <formula>AND(IF($Q20=3,1,IF($Q20=4,1,0)),IF($F20&lt;=85,1,0))</formula>
    </cfRule>
  </conditionalFormatting>
  <conditionalFormatting sqref="AI20">
    <cfRule type="expression" priority="2406" dxfId="3">
      <formula>AND(IF(OR($Q20=1,$Q20=2),1,0),IF($X20&lt;=20,1,0))</formula>
    </cfRule>
    <cfRule type="expression" priority="2407" dxfId="2">
      <formula>AND(IF($Q20=2,1,0),IF($X20&lt;30,1,0))</formula>
    </cfRule>
    <cfRule type="expression" priority="2408" dxfId="1">
      <formula>AND(IF($Q20=3,1,0),IF($X20&lt;30,1,0))</formula>
    </cfRule>
    <cfRule type="expression" priority="2409" dxfId="0">
      <formula>AND(IF($Q20=3,1,IF($Q20=4,1,0)),IF($F20&lt;=85,1,0))</formula>
    </cfRule>
  </conditionalFormatting>
  <conditionalFormatting sqref="AV21">
    <cfRule type="expression" priority="2404" dxfId="17">
      <formula>AV21="X"</formula>
    </cfRule>
    <cfRule type="expression" priority="2405" dxfId="16">
      <formula>AV21="후보"</formula>
    </cfRule>
  </conditionalFormatting>
  <conditionalFormatting sqref="AC21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21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21">
    <cfRule type="expression" priority="2395" dxfId="3">
      <formula>AND(IF(OR($Q21=1,$Q21=2),1,0),IF($X21&lt;=20,1,0))</formula>
    </cfRule>
    <cfRule type="expression" priority="2396" dxfId="2">
      <formula>AND(IF($Q21=2,1,0),IF($X21&lt;30,1,0))</formula>
    </cfRule>
    <cfRule type="expression" priority="2397" dxfId="1">
      <formula>AND(IF($Q21=3,1,0),IF($X21&lt;30,1,0))</formula>
    </cfRule>
    <cfRule type="expression" priority="2398" dxfId="0">
      <formula>AND(IF($Q21=3,1,IF($Q21=4,1,0)),IF($F21&lt;=85,1,0))</formula>
    </cfRule>
  </conditionalFormatting>
  <conditionalFormatting sqref="X21">
    <cfRule type="expression" priority="2391" dxfId="3">
      <formula>AND(IF(OR($Q21=1,$Q21=2),1,0),IF($X21&lt;=20,1,0))</formula>
    </cfRule>
    <cfRule type="expression" priority="2392" dxfId="2">
      <formula>AND(IF($Q21=2,1,0),IF($X21&lt;30,1,0))</formula>
    </cfRule>
    <cfRule type="expression" priority="2393" dxfId="1">
      <formula>AND(IF($Q21=3,1,0),IF($X21&lt;30,1,0))</formula>
    </cfRule>
    <cfRule type="expression" priority="2394" dxfId="0">
      <formula>AND(IF($Q21=3,1,IF($Q21=4,1,0)),IF($F21&lt;=85,1,0))</formula>
    </cfRule>
  </conditionalFormatting>
  <conditionalFormatting sqref="AI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AV22">
    <cfRule type="expression" priority="2385" dxfId="17">
      <formula>AV22="X"</formula>
    </cfRule>
    <cfRule type="expression" priority="2386" dxfId="16">
      <formula>AV22="후보"</formula>
    </cfRule>
  </conditionalFormatting>
  <conditionalFormatting sqref="AC22 N22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AV23">
    <cfRule type="expression" priority="2380" dxfId="17">
      <formula>AV23="X"</formula>
    </cfRule>
    <cfRule type="expression" priority="2381" dxfId="16">
      <formula>AV23="후보"</formula>
    </cfRule>
  </conditionalFormatting>
  <conditionalFormatting sqref="AC23">
    <cfRule type="cellIs" priority="2377" operator="greaterThan" dxfId="13">
      <formula>0.9</formula>
    </cfRule>
    <cfRule type="cellIs" priority="2378" operator="greaterThan" dxfId="12">
      <formula>0.85</formula>
    </cfRule>
  </conditionalFormatting>
  <conditionalFormatting sqref="N23">
    <cfRule type="cellIs" priority="2375" operator="greaterThan" dxfId="13">
      <formula>0.9</formula>
    </cfRule>
    <cfRule type="cellIs" priority="2376" operator="greaterThan" dxfId="12">
      <formula>0.85</formula>
    </cfRule>
  </conditionalFormatting>
  <conditionalFormatting sqref="E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X23">
    <cfRule type="expression" priority="2367" dxfId="3">
      <formula>AND(IF(OR($Q23=1,$Q23=2),1,0),IF($X23&lt;=20,1,0))</formula>
    </cfRule>
    <cfRule type="expression" priority="2368" dxfId="2">
      <formula>AND(IF($Q23=2,1,0),IF($X23&lt;30,1,0))</formula>
    </cfRule>
    <cfRule type="expression" priority="2369" dxfId="1">
      <formula>AND(IF($Q23=3,1,0),IF($X23&lt;30,1,0))</formula>
    </cfRule>
    <cfRule type="expression" priority="2370" dxfId="0">
      <formula>AND(IF($Q23=3,1,IF($Q23=4,1,0)),IF($F23&lt;=85,1,0))</formula>
    </cfRule>
  </conditionalFormatting>
  <conditionalFormatting sqref="AI23">
    <cfRule type="expression" priority="2363" dxfId="3">
      <formula>AND(IF(OR($Q23=1,$Q23=2),1,0),IF($X23&lt;=20,1,0))</formula>
    </cfRule>
    <cfRule type="expression" priority="2364" dxfId="2">
      <formula>AND(IF($Q23=2,1,0),IF($X23&lt;30,1,0))</formula>
    </cfRule>
    <cfRule type="expression" priority="2365" dxfId="1">
      <formula>AND(IF($Q23=3,1,0),IF($X23&lt;30,1,0))</formula>
    </cfRule>
    <cfRule type="expression" priority="2366" dxfId="0">
      <formula>AND(IF($Q23=3,1,IF($Q23=4,1,0)),IF($F23&lt;=85,1,0))</formula>
    </cfRule>
  </conditionalFormatting>
  <conditionalFormatting sqref="AV24">
    <cfRule type="expression" priority="2361" dxfId="17">
      <formula>AV24="X"</formula>
    </cfRule>
    <cfRule type="expression" priority="2362" dxfId="16">
      <formula>AV24="후보"</formula>
    </cfRule>
  </conditionalFormatting>
  <conditionalFormatting sqref="AC24">
    <cfRule type="cellIs" priority="2358" operator="greaterThan" dxfId="13">
      <formula>0.9</formula>
    </cfRule>
    <cfRule type="cellIs" priority="2359" operator="greaterThan" dxfId="12">
      <formula>0.85</formula>
    </cfRule>
  </conditionalFormatting>
  <conditionalFormatting sqref="N24">
    <cfRule type="cellIs" priority="2356" operator="greaterThan" dxfId="13">
      <formula>0.9</formula>
    </cfRule>
    <cfRule type="cellIs" priority="2357" operator="greaterThan" dxfId="12">
      <formula>0.85</formula>
    </cfRule>
  </conditionalFormatting>
  <conditionalFormatting sqref="E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X24">
    <cfRule type="expression" priority="2348" dxfId="3">
      <formula>AND(IF(OR($Q24=1,$Q24=2),1,0),IF($X24&lt;=20,1,0))</formula>
    </cfRule>
    <cfRule type="expression" priority="2349" dxfId="2">
      <formula>AND(IF($Q24=2,1,0),IF($X24&lt;30,1,0))</formula>
    </cfRule>
    <cfRule type="expression" priority="2350" dxfId="1">
      <formula>AND(IF($Q24=3,1,0),IF($X24&lt;30,1,0))</formula>
    </cfRule>
    <cfRule type="expression" priority="2351" dxfId="0">
      <formula>AND(IF($Q24=3,1,IF($Q24=4,1,0)),IF($F24&lt;=85,1,0))</formula>
    </cfRule>
  </conditionalFormatting>
  <conditionalFormatting sqref="AI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AV25">
    <cfRule type="expression" priority="2342" dxfId="17">
      <formula>AV25="X"</formula>
    </cfRule>
    <cfRule type="expression" priority="2343" dxfId="16">
      <formula>AV25="후보"</formula>
    </cfRule>
  </conditionalFormatting>
  <conditionalFormatting sqref="AC25">
    <cfRule type="cellIs" priority="2339" operator="greaterThan" dxfId="13">
      <formula>0.9</formula>
    </cfRule>
    <cfRule type="cellIs" priority="2340" operator="greaterThan" dxfId="12">
      <formula>0.85</formula>
    </cfRule>
  </conditionalFormatting>
  <conditionalFormatting sqref="N25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E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X25">
    <cfRule type="expression" priority="2329" dxfId="3">
      <formula>AND(IF(OR($Q25=1,$Q25=2),1,0),IF($X25&lt;=20,1,0))</formula>
    </cfRule>
    <cfRule type="expression" priority="2330" dxfId="2">
      <formula>AND(IF($Q25=2,1,0),IF($X25&lt;30,1,0))</formula>
    </cfRule>
    <cfRule type="expression" priority="2331" dxfId="1">
      <formula>AND(IF($Q25=3,1,0),IF($X25&lt;30,1,0))</formula>
    </cfRule>
    <cfRule type="expression" priority="2332" dxfId="0">
      <formula>AND(IF($Q25=3,1,IF($Q25=4,1,0)),IF($F25&lt;=85,1,0))</formula>
    </cfRule>
  </conditionalFormatting>
  <conditionalFormatting sqref="AI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AV26">
    <cfRule type="expression" priority="2323" dxfId="17">
      <formula>AV26="X"</formula>
    </cfRule>
    <cfRule type="expression" priority="2324" dxfId="16">
      <formula>AV26="후보"</formula>
    </cfRule>
  </conditionalFormatting>
  <conditionalFormatting sqref="AC26">
    <cfRule type="cellIs" priority="2320" operator="greaterThan" dxfId="13">
      <formula>0.9</formula>
    </cfRule>
    <cfRule type="cellIs" priority="2321" operator="greaterThan" dxfId="12">
      <formula>0.85</formula>
    </cfRule>
  </conditionalFormatting>
  <conditionalFormatting sqref="N26">
    <cfRule type="cellIs" priority="2318" operator="greaterThan" dxfId="13">
      <formula>0.9</formula>
    </cfRule>
    <cfRule type="cellIs" priority="2319" operator="greaterThan" dxfId="12">
      <formula>0.85</formula>
    </cfRule>
  </conditionalFormatting>
  <conditionalFormatting sqref="E26">
    <cfRule type="expression" priority="2314" dxfId="3">
      <formula>AND(IF(OR($Q26=1,$Q26=2),1,0),IF($X26&lt;=20,1,0))</formula>
    </cfRule>
    <cfRule type="expression" priority="2315" dxfId="2">
      <formula>AND(IF($Q26=2,1,0),IF($X26&lt;30,1,0))</formula>
    </cfRule>
    <cfRule type="expression" priority="2316" dxfId="1">
      <formula>AND(IF($Q26=3,1,0),IF($X26&lt;30,1,0))</formula>
    </cfRule>
    <cfRule type="expression" priority="2317" dxfId="0">
      <formula>AND(IF($Q26=3,1,IF($Q26=4,1,0)),IF($F26&lt;=85,1,0))</formula>
    </cfRule>
  </conditionalFormatting>
  <conditionalFormatting sqref="X26">
    <cfRule type="expression" priority="2310" dxfId="3">
      <formula>AND(IF(OR($Q26=1,$Q26=2),1,0),IF($X26&lt;=20,1,0))</formula>
    </cfRule>
    <cfRule type="expression" priority="2311" dxfId="2">
      <formula>AND(IF($Q26=2,1,0),IF($X26&lt;30,1,0))</formula>
    </cfRule>
    <cfRule type="expression" priority="2312" dxfId="1">
      <formula>AND(IF($Q26=3,1,0),IF($X26&lt;30,1,0))</formula>
    </cfRule>
    <cfRule type="expression" priority="2313" dxfId="0">
      <formula>AND(IF($Q26=3,1,IF($Q26=4,1,0)),IF($F26&lt;=85,1,0))</formula>
    </cfRule>
  </conditionalFormatting>
  <conditionalFormatting sqref="AI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AV27">
    <cfRule type="expression" priority="2304" dxfId="17">
      <formula>AV27="X"</formula>
    </cfRule>
    <cfRule type="expression" priority="2305" dxfId="16">
      <formula>AV27="후보"</formula>
    </cfRule>
  </conditionalFormatting>
  <conditionalFormatting sqref="AC27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7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7">
    <cfRule type="expression" priority="2295" dxfId="3">
      <formula>AND(IF(OR($Q27=1,$Q27=2),1,0),IF($X27&lt;=20,1,0))</formula>
    </cfRule>
    <cfRule type="expression" priority="2296" dxfId="2">
      <formula>AND(IF($Q27=2,1,0),IF($X27&lt;30,1,0))</formula>
    </cfRule>
    <cfRule type="expression" priority="2297" dxfId="1">
      <formula>AND(IF($Q27=3,1,0),IF($X27&lt;30,1,0))</formula>
    </cfRule>
    <cfRule type="expression" priority="2298" dxfId="0">
      <formula>AND(IF($Q27=3,1,IF($Q27=4,1,0)),IF($F27&lt;=85,1,0))</formula>
    </cfRule>
  </conditionalFormatting>
  <conditionalFormatting sqref="X27">
    <cfRule type="expression" priority="2291" dxfId="3">
      <formula>AND(IF(OR($Q27=1,$Q27=2),1,0),IF($X27&lt;=20,1,0))</formula>
    </cfRule>
    <cfRule type="expression" priority="2292" dxfId="2">
      <formula>AND(IF($Q27=2,1,0),IF($X27&lt;30,1,0))</formula>
    </cfRule>
    <cfRule type="expression" priority="2293" dxfId="1">
      <formula>AND(IF($Q27=3,1,0),IF($X27&lt;30,1,0))</formula>
    </cfRule>
    <cfRule type="expression" priority="2294" dxfId="0">
      <formula>AND(IF($Q27=3,1,IF($Q27=4,1,0)),IF($F27&lt;=85,1,0))</formula>
    </cfRule>
  </conditionalFormatting>
  <conditionalFormatting sqref="AI27">
    <cfRule type="expression" priority="2287" dxfId="3">
      <formula>AND(IF(OR($Q27=1,$Q27=2),1,0),IF($X27&lt;=20,1,0))</formula>
    </cfRule>
    <cfRule type="expression" priority="2288" dxfId="2">
      <formula>AND(IF($Q27=2,1,0),IF($X27&lt;30,1,0))</formula>
    </cfRule>
    <cfRule type="expression" priority="2289" dxfId="1">
      <formula>AND(IF($Q27=3,1,0),IF($X27&lt;30,1,0))</formula>
    </cfRule>
    <cfRule type="expression" priority="2290" dxfId="0">
      <formula>AND(IF($Q27=3,1,IF($Q27=4,1,0)),IF($F27&lt;=85,1,0))</formula>
    </cfRule>
  </conditionalFormatting>
  <conditionalFormatting sqref="AV28">
    <cfRule type="expression" priority="2285" dxfId="17">
      <formula>AV28="X"</formula>
    </cfRule>
    <cfRule type="expression" priority="2286" dxfId="16">
      <formula>AV28="후보"</formula>
    </cfRule>
  </conditionalFormatting>
  <conditionalFormatting sqref="AC28 N28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AV29">
    <cfRule type="expression" priority="2280" dxfId="17">
      <formula>AV29="X"</formula>
    </cfRule>
    <cfRule type="expression" priority="2281" dxfId="16">
      <formula>AV29="후보"</formula>
    </cfRule>
  </conditionalFormatting>
  <conditionalFormatting sqref="AC29">
    <cfRule type="cellIs" priority="2277" operator="greaterThan" dxfId="13">
      <formula>0.9</formula>
    </cfRule>
    <cfRule type="cellIs" priority="2278" operator="greaterThan" dxfId="12">
      <formula>0.85</formula>
    </cfRule>
  </conditionalFormatting>
  <conditionalFormatting sqref="N29">
    <cfRule type="cellIs" priority="2275" operator="greaterThan" dxfId="13">
      <formula>0.9</formula>
    </cfRule>
    <cfRule type="cellIs" priority="2276" operator="greaterThan" dxfId="12">
      <formula>0.85</formula>
    </cfRule>
  </conditionalFormatting>
  <conditionalFormatting sqref="E29">
    <cfRule type="expression" priority="2271" dxfId="3">
      <formula>AND(IF(OR($Q29=1,$Q29=2),1,0),IF($X29&lt;=20,1,0))</formula>
    </cfRule>
    <cfRule type="expression" priority="2272" dxfId="2">
      <formula>AND(IF($Q29=2,1,0),IF($X29&lt;30,1,0))</formula>
    </cfRule>
    <cfRule type="expression" priority="2273" dxfId="1">
      <formula>AND(IF($Q29=3,1,0),IF($X29&lt;30,1,0))</formula>
    </cfRule>
    <cfRule type="expression" priority="2274" dxfId="0">
      <formula>AND(IF($Q29=3,1,IF($Q29=4,1,0)),IF($F29&lt;=85,1,0))</formula>
    </cfRule>
  </conditionalFormatting>
  <conditionalFormatting sqref="X29">
    <cfRule type="expression" priority="2267" dxfId="3">
      <formula>AND(IF(OR($Q29=1,$Q29=2),1,0),IF($X29&lt;=20,1,0))</formula>
    </cfRule>
    <cfRule type="expression" priority="2268" dxfId="2">
      <formula>AND(IF($Q29=2,1,0),IF($X29&lt;30,1,0))</formula>
    </cfRule>
    <cfRule type="expression" priority="2269" dxfId="1">
      <formula>AND(IF($Q29=3,1,0),IF($X29&lt;30,1,0))</formula>
    </cfRule>
    <cfRule type="expression" priority="2270" dxfId="0">
      <formula>AND(IF($Q29=3,1,IF($Q29=4,1,0)),IF($F29&lt;=85,1,0))</formula>
    </cfRule>
  </conditionalFormatting>
  <conditionalFormatting sqref="AI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AV30">
    <cfRule type="expression" priority="2261" dxfId="17">
      <formula>AV30="X"</formula>
    </cfRule>
    <cfRule type="expression" priority="2262" dxfId="16">
      <formula>AV30="후보"</formula>
    </cfRule>
  </conditionalFormatting>
  <conditionalFormatting sqref="AC30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N30">
    <cfRule type="cellIs" priority="2256" operator="greaterThan" dxfId="13">
      <formula>0.9</formula>
    </cfRule>
    <cfRule type="cellIs" priority="2257" operator="greaterThan" dxfId="12">
      <formula>0.85</formula>
    </cfRule>
  </conditionalFormatting>
  <conditionalFormatting sqref="E30">
    <cfRule type="expression" priority="2252" dxfId="3">
      <formula>AND(IF(OR($Q30=1,$Q30=2),1,0),IF($X30&lt;=20,1,0))</formula>
    </cfRule>
    <cfRule type="expression" priority="2253" dxfId="2">
      <formula>AND(IF($Q30=2,1,0),IF($X30&lt;30,1,0))</formula>
    </cfRule>
    <cfRule type="expression" priority="2254" dxfId="1">
      <formula>AND(IF($Q30=3,1,0),IF($X30&lt;30,1,0))</formula>
    </cfRule>
    <cfRule type="expression" priority="2255" dxfId="0">
      <formula>AND(IF($Q30=3,1,IF($Q30=4,1,0)),IF($F30&lt;=85,1,0))</formula>
    </cfRule>
  </conditionalFormatting>
  <conditionalFormatting sqref="X30">
    <cfRule type="expression" priority="2248" dxfId="3">
      <formula>AND(IF(OR($Q30=1,$Q30=2),1,0),IF($X30&lt;=20,1,0))</formula>
    </cfRule>
    <cfRule type="expression" priority="2249" dxfId="2">
      <formula>AND(IF($Q30=2,1,0),IF($X30&lt;30,1,0))</formula>
    </cfRule>
    <cfRule type="expression" priority="2250" dxfId="1">
      <formula>AND(IF($Q30=3,1,0),IF($X30&lt;30,1,0))</formula>
    </cfRule>
    <cfRule type="expression" priority="2251" dxfId="0">
      <formula>AND(IF($Q30=3,1,IF($Q30=4,1,0)),IF($F30&lt;=85,1,0))</formula>
    </cfRule>
  </conditionalFormatting>
  <conditionalFormatting sqref="AI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AV31">
    <cfRule type="expression" priority="2242" dxfId="17">
      <formula>AV31="X"</formula>
    </cfRule>
    <cfRule type="expression" priority="2243" dxfId="16">
      <formula>AV31="후보"</formula>
    </cfRule>
  </conditionalFormatting>
  <conditionalFormatting sqref="AC31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31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31">
    <cfRule type="expression" priority="2233" dxfId="3">
      <formula>AND(IF(OR($Q31=1,$Q31=2),1,0),IF($X31&lt;=20,1,0))</formula>
    </cfRule>
    <cfRule type="expression" priority="2234" dxfId="2">
      <formula>AND(IF($Q31=2,1,0),IF($X31&lt;30,1,0))</formula>
    </cfRule>
    <cfRule type="expression" priority="2235" dxfId="1">
      <formula>AND(IF($Q31=3,1,0),IF($X31&lt;30,1,0))</formula>
    </cfRule>
    <cfRule type="expression" priority="2236" dxfId="0">
      <formula>AND(IF($Q31=3,1,IF($Q31=4,1,0)),IF($F31&lt;=85,1,0))</formula>
    </cfRule>
  </conditionalFormatting>
  <conditionalFormatting sqref="X31">
    <cfRule type="expression" priority="2229" dxfId="3">
      <formula>AND(IF(OR($Q31=1,$Q31=2),1,0),IF($X31&lt;=20,1,0))</formula>
    </cfRule>
    <cfRule type="expression" priority="2230" dxfId="2">
      <formula>AND(IF($Q31=2,1,0),IF($X31&lt;30,1,0))</formula>
    </cfRule>
    <cfRule type="expression" priority="2231" dxfId="1">
      <formula>AND(IF($Q31=3,1,0),IF($X31&lt;30,1,0))</formula>
    </cfRule>
    <cfRule type="expression" priority="2232" dxfId="0">
      <formula>AND(IF($Q31=3,1,IF($Q31=4,1,0)),IF($F31&lt;=85,1,0))</formula>
    </cfRule>
  </conditionalFormatting>
  <conditionalFormatting sqref="AI31">
    <cfRule type="expression" priority="2225" dxfId="3">
      <formula>AND(IF(OR($Q31=1,$Q31=2),1,0),IF($X31&lt;=20,1,0))</formula>
    </cfRule>
    <cfRule type="expression" priority="2226" dxfId="2">
      <formula>AND(IF($Q31=2,1,0),IF($X31&lt;30,1,0))</formula>
    </cfRule>
    <cfRule type="expression" priority="2227" dxfId="1">
      <formula>AND(IF($Q31=3,1,0),IF($X31&lt;30,1,0))</formula>
    </cfRule>
    <cfRule type="expression" priority="2228" dxfId="0">
      <formula>AND(IF($Q31=3,1,IF($Q31=4,1,0)),IF($F31&lt;=85,1,0))</formula>
    </cfRule>
  </conditionalFormatting>
  <conditionalFormatting sqref="AV32">
    <cfRule type="expression" priority="2223" dxfId="17">
      <formula>AV32="X"</formula>
    </cfRule>
    <cfRule type="expression" priority="2224" dxfId="16">
      <formula>AV32="후보"</formula>
    </cfRule>
  </conditionalFormatting>
  <conditionalFormatting sqref="AC32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32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32">
    <cfRule type="expression" priority="2214" dxfId="3">
      <formula>AND(IF(OR($Q32=1,$Q32=2),1,0),IF($X32&lt;=20,1,0))</formula>
    </cfRule>
    <cfRule type="expression" priority="2215" dxfId="2">
      <formula>AND(IF($Q32=2,1,0),IF($X32&lt;30,1,0))</formula>
    </cfRule>
    <cfRule type="expression" priority="2216" dxfId="1">
      <formula>AND(IF($Q32=3,1,0),IF($X32&lt;30,1,0))</formula>
    </cfRule>
    <cfRule type="expression" priority="2217" dxfId="0">
      <formula>AND(IF($Q32=3,1,IF($Q32=4,1,0)),IF($F32&lt;=85,1,0))</formula>
    </cfRule>
  </conditionalFormatting>
  <conditionalFormatting sqref="X32">
    <cfRule type="expression" priority="2210" dxfId="3">
      <formula>AND(IF(OR($Q32=1,$Q32=2),1,0),IF($X32&lt;=20,1,0))</formula>
    </cfRule>
    <cfRule type="expression" priority="2211" dxfId="2">
      <formula>AND(IF($Q32=2,1,0),IF($X32&lt;30,1,0))</formula>
    </cfRule>
    <cfRule type="expression" priority="2212" dxfId="1">
      <formula>AND(IF($Q32=3,1,0),IF($X32&lt;30,1,0))</formula>
    </cfRule>
    <cfRule type="expression" priority="2213" dxfId="0">
      <formula>AND(IF($Q32=3,1,IF($Q32=4,1,0)),IF($F32&lt;=85,1,0))</formula>
    </cfRule>
  </conditionalFormatting>
  <conditionalFormatting sqref="AI32">
    <cfRule type="expression" priority="2206" dxfId="3">
      <formula>AND(IF(OR($Q32=1,$Q32=2),1,0),IF($X32&lt;=20,1,0))</formula>
    </cfRule>
    <cfRule type="expression" priority="2207" dxfId="2">
      <formula>AND(IF($Q32=2,1,0),IF($X32&lt;30,1,0))</formula>
    </cfRule>
    <cfRule type="expression" priority="2208" dxfId="1">
      <formula>AND(IF($Q32=3,1,0),IF($X32&lt;30,1,0))</formula>
    </cfRule>
    <cfRule type="expression" priority="2209" dxfId="0">
      <formula>AND(IF($Q32=3,1,IF($Q32=4,1,0)),IF($F32&lt;=85,1,0))</formula>
    </cfRule>
  </conditionalFormatting>
  <conditionalFormatting sqref="AV33">
    <cfRule type="expression" priority="2204" dxfId="17">
      <formula>AV33="X"</formula>
    </cfRule>
    <cfRule type="expression" priority="2205" dxfId="16">
      <formula>AV33="후보"</formula>
    </cfRule>
  </conditionalFormatting>
  <conditionalFormatting sqref="AC3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3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33">
    <cfRule type="expression" priority="2195" dxfId="3">
      <formula>AND(IF(OR($Q33=1,$Q33=2),1,0),IF($X33&lt;=20,1,0))</formula>
    </cfRule>
    <cfRule type="expression" priority="2196" dxfId="2">
      <formula>AND(IF($Q33=2,1,0),IF($X33&lt;30,1,0))</formula>
    </cfRule>
    <cfRule type="expression" priority="2197" dxfId="1">
      <formula>AND(IF($Q33=3,1,0),IF($X33&lt;30,1,0))</formula>
    </cfRule>
    <cfRule type="expression" priority="2198" dxfId="0">
      <formula>AND(IF($Q33=3,1,IF($Q33=4,1,0)),IF($F33&lt;=85,1,0))</formula>
    </cfRule>
  </conditionalFormatting>
  <conditionalFormatting sqref="X33">
    <cfRule type="expression" priority="2191" dxfId="3">
      <formula>AND(IF(OR($Q33=1,$Q33=2),1,0),IF($X33&lt;=20,1,0))</formula>
    </cfRule>
    <cfRule type="expression" priority="2192" dxfId="2">
      <formula>AND(IF($Q33=2,1,0),IF($X33&lt;30,1,0))</formula>
    </cfRule>
    <cfRule type="expression" priority="2193" dxfId="1">
      <formula>AND(IF($Q33=3,1,0),IF($X33&lt;30,1,0))</formula>
    </cfRule>
    <cfRule type="expression" priority="2194" dxfId="0">
      <formula>AND(IF($Q33=3,1,IF($Q33=4,1,0)),IF($F33&lt;=85,1,0))</formula>
    </cfRule>
  </conditionalFormatting>
  <conditionalFormatting sqref="AI33">
    <cfRule type="expression" priority="2187" dxfId="3">
      <formula>AND(IF(OR($Q33=1,$Q33=2),1,0),IF($X33&lt;=20,1,0))</formula>
    </cfRule>
    <cfRule type="expression" priority="2188" dxfId="2">
      <formula>AND(IF($Q33=2,1,0),IF($X33&lt;30,1,0))</formula>
    </cfRule>
    <cfRule type="expression" priority="2189" dxfId="1">
      <formula>AND(IF($Q33=3,1,0),IF($X33&lt;30,1,0))</formula>
    </cfRule>
    <cfRule type="expression" priority="2190" dxfId="0">
      <formula>AND(IF($Q33=3,1,IF($Q33=4,1,0)),IF($F33&lt;=85,1,0))</formula>
    </cfRule>
  </conditionalFormatting>
  <conditionalFormatting sqref="AV34">
    <cfRule type="expression" priority="2185" dxfId="17">
      <formula>AV34="X"</formula>
    </cfRule>
    <cfRule type="expression" priority="2186" dxfId="16">
      <formula>AV34="후보"</formula>
    </cfRule>
  </conditionalFormatting>
  <conditionalFormatting sqref="AC3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3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34">
    <cfRule type="expression" priority="2176" dxfId="3">
      <formula>AND(IF(OR($Q34=1,$Q34=2),1,0),IF($X34&lt;=20,1,0))</formula>
    </cfRule>
    <cfRule type="expression" priority="2177" dxfId="2">
      <formula>AND(IF($Q34=2,1,0),IF($X34&lt;30,1,0))</formula>
    </cfRule>
    <cfRule type="expression" priority="2178" dxfId="1">
      <formula>AND(IF($Q34=3,1,0),IF($X34&lt;30,1,0))</formula>
    </cfRule>
    <cfRule type="expression" priority="2179" dxfId="0">
      <formula>AND(IF($Q34=3,1,IF($Q34=4,1,0)),IF($F34&lt;=85,1,0))</formula>
    </cfRule>
  </conditionalFormatting>
  <conditionalFormatting sqref="X34">
    <cfRule type="expression" priority="2172" dxfId="3">
      <formula>AND(IF(OR($Q34=1,$Q34=2),1,0),IF($X34&lt;=20,1,0))</formula>
    </cfRule>
    <cfRule type="expression" priority="2173" dxfId="2">
      <formula>AND(IF($Q34=2,1,0),IF($X34&lt;30,1,0))</formula>
    </cfRule>
    <cfRule type="expression" priority="2174" dxfId="1">
      <formula>AND(IF($Q34=3,1,0),IF($X34&lt;30,1,0))</formula>
    </cfRule>
    <cfRule type="expression" priority="2175" dxfId="0">
      <formula>AND(IF($Q34=3,1,IF($Q34=4,1,0)),IF($F34&lt;=85,1,0))</formula>
    </cfRule>
  </conditionalFormatting>
  <conditionalFormatting sqref="AI34">
    <cfRule type="expression" priority="2168" dxfId="3">
      <formula>AND(IF(OR($Q34=1,$Q34=2),1,0),IF($X34&lt;=20,1,0))</formula>
    </cfRule>
    <cfRule type="expression" priority="2169" dxfId="2">
      <formula>AND(IF($Q34=2,1,0),IF($X34&lt;30,1,0))</formula>
    </cfRule>
    <cfRule type="expression" priority="2170" dxfId="1">
      <formula>AND(IF($Q34=3,1,0),IF($X34&lt;30,1,0))</formula>
    </cfRule>
    <cfRule type="expression" priority="2171" dxfId="0">
      <formula>AND(IF($Q34=3,1,IF($Q34=4,1,0)),IF($F34&lt;=85,1,0))</formula>
    </cfRule>
  </conditionalFormatting>
  <conditionalFormatting sqref="AV35">
    <cfRule type="expression" priority="2166" dxfId="17">
      <formula>AV35="X"</formula>
    </cfRule>
    <cfRule type="expression" priority="2167" dxfId="16">
      <formula>AV35="후보"</formula>
    </cfRule>
  </conditionalFormatting>
  <conditionalFormatting sqref="AC35 N3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AV36">
    <cfRule type="expression" priority="2161" dxfId="17">
      <formula>AV36="X"</formula>
    </cfRule>
    <cfRule type="expression" priority="2162" dxfId="16">
      <formula>AV36="후보"</formula>
    </cfRule>
  </conditionalFormatting>
  <conditionalFormatting sqref="AC36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N36">
    <cfRule type="cellIs" priority="2156" operator="greaterThan" dxfId="13">
      <formula>0.9</formula>
    </cfRule>
    <cfRule type="cellIs" priority="2157" operator="greaterThan" dxfId="12">
      <formula>0.85</formula>
    </cfRule>
  </conditionalFormatting>
  <conditionalFormatting sqref="E36">
    <cfRule type="expression" priority="2152" dxfId="3">
      <formula>AND(IF(OR($Q36=1,$Q36=2),1,0),IF($X36&lt;=20,1,0))</formula>
    </cfRule>
    <cfRule type="expression" priority="2153" dxfId="2">
      <formula>AND(IF($Q36=2,1,0),IF($X36&lt;30,1,0))</formula>
    </cfRule>
    <cfRule type="expression" priority="2154" dxfId="1">
      <formula>AND(IF($Q36=3,1,0),IF($X36&lt;30,1,0))</formula>
    </cfRule>
    <cfRule type="expression" priority="2155" dxfId="0">
      <formula>AND(IF($Q36=3,1,IF($Q36=4,1,0)),IF($F36&lt;=85,1,0))</formula>
    </cfRule>
  </conditionalFormatting>
  <conditionalFormatting sqref="X36">
    <cfRule type="expression" priority="2148" dxfId="3">
      <formula>AND(IF(OR($Q36=1,$Q36=2),1,0),IF($X36&lt;=20,1,0))</formula>
    </cfRule>
    <cfRule type="expression" priority="2149" dxfId="2">
      <formula>AND(IF($Q36=2,1,0),IF($X36&lt;30,1,0))</formula>
    </cfRule>
    <cfRule type="expression" priority="2150" dxfId="1">
      <formula>AND(IF($Q36=3,1,0),IF($X36&lt;30,1,0))</formula>
    </cfRule>
    <cfRule type="expression" priority="2151" dxfId="0">
      <formula>AND(IF($Q36=3,1,IF($Q36=4,1,0)),IF($F36&lt;=85,1,0))</formula>
    </cfRule>
  </conditionalFormatting>
  <conditionalFormatting sqref="AI36">
    <cfRule type="expression" priority="2144" dxfId="3">
      <formula>AND(IF(OR($Q36=1,$Q36=2),1,0),IF($X36&lt;=20,1,0))</formula>
    </cfRule>
    <cfRule type="expression" priority="2145" dxfId="2">
      <formula>AND(IF($Q36=2,1,0),IF($X36&lt;30,1,0))</formula>
    </cfRule>
    <cfRule type="expression" priority="2146" dxfId="1">
      <formula>AND(IF($Q36=3,1,0),IF($X36&lt;30,1,0))</formula>
    </cfRule>
    <cfRule type="expression" priority="2147" dxfId="0">
      <formula>AND(IF($Q36=3,1,IF($Q36=4,1,0)),IF($F36&lt;=85,1,0))</formula>
    </cfRule>
  </conditionalFormatting>
  <conditionalFormatting sqref="AV37">
    <cfRule type="expression" priority="2142" dxfId="17">
      <formula>AV37="X"</formula>
    </cfRule>
    <cfRule type="expression" priority="2143" dxfId="16">
      <formula>AV37="후보"</formula>
    </cfRule>
  </conditionalFormatting>
  <conditionalFormatting sqref="AC3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3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37">
    <cfRule type="expression" priority="2133" dxfId="3">
      <formula>AND(IF(OR($Q37=1,$Q37=2),1,0),IF($X37&lt;=20,1,0))</formula>
    </cfRule>
    <cfRule type="expression" priority="2134" dxfId="2">
      <formula>AND(IF($Q37=2,1,0),IF($X37&lt;30,1,0))</formula>
    </cfRule>
    <cfRule type="expression" priority="2135" dxfId="1">
      <formula>AND(IF($Q37=3,1,0),IF($X37&lt;30,1,0))</formula>
    </cfRule>
    <cfRule type="expression" priority="2136" dxfId="0">
      <formula>AND(IF($Q37=3,1,IF($Q37=4,1,0)),IF($F37&lt;=85,1,0))</formula>
    </cfRule>
  </conditionalFormatting>
  <conditionalFormatting sqref="X37">
    <cfRule type="expression" priority="2129" dxfId="3">
      <formula>AND(IF(OR($Q37=1,$Q37=2),1,0),IF($X37&lt;=20,1,0))</formula>
    </cfRule>
    <cfRule type="expression" priority="2130" dxfId="2">
      <formula>AND(IF($Q37=2,1,0),IF($X37&lt;30,1,0))</formula>
    </cfRule>
    <cfRule type="expression" priority="2131" dxfId="1">
      <formula>AND(IF($Q37=3,1,0),IF($X37&lt;30,1,0))</formula>
    </cfRule>
    <cfRule type="expression" priority="2132" dxfId="0">
      <formula>AND(IF($Q37=3,1,IF($Q37=4,1,0)),IF($F37&lt;=85,1,0))</formula>
    </cfRule>
  </conditionalFormatting>
  <conditionalFormatting sqref="AI37">
    <cfRule type="expression" priority="2125" dxfId="3">
      <formula>AND(IF(OR($Q37=1,$Q37=2),1,0),IF($X37&lt;=20,1,0))</formula>
    </cfRule>
    <cfRule type="expression" priority="2126" dxfId="2">
      <formula>AND(IF($Q37=2,1,0),IF($X37&lt;30,1,0))</formula>
    </cfRule>
    <cfRule type="expression" priority="2127" dxfId="1">
      <formula>AND(IF($Q37=3,1,0),IF($X37&lt;30,1,0))</formula>
    </cfRule>
    <cfRule type="expression" priority="2128" dxfId="0">
      <formula>AND(IF($Q37=3,1,IF($Q37=4,1,0)),IF($F37&lt;=85,1,0))</formula>
    </cfRule>
  </conditionalFormatting>
  <conditionalFormatting sqref="AV38">
    <cfRule type="expression" priority="2123" dxfId="17">
      <formula>AV38="X"</formula>
    </cfRule>
    <cfRule type="expression" priority="2124" dxfId="16">
      <formula>AV38="후보"</formula>
    </cfRule>
  </conditionalFormatting>
  <conditionalFormatting sqref="AC3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3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38">
    <cfRule type="expression" priority="2114" dxfId="3">
      <formula>AND(IF(OR($Q38=1,$Q38=2),1,0),IF($X38&lt;=20,1,0))</formula>
    </cfRule>
    <cfRule type="expression" priority="2115" dxfId="2">
      <formula>AND(IF($Q38=2,1,0),IF($X38&lt;30,1,0))</formula>
    </cfRule>
    <cfRule type="expression" priority="2116" dxfId="1">
      <formula>AND(IF($Q38=3,1,0),IF($X38&lt;30,1,0))</formula>
    </cfRule>
    <cfRule type="expression" priority="2117" dxfId="0">
      <formula>AND(IF($Q38=3,1,IF($Q38=4,1,0)),IF($F38&lt;=85,1,0))</formula>
    </cfRule>
  </conditionalFormatting>
  <conditionalFormatting sqref="X38">
    <cfRule type="expression" priority="2110" dxfId="3">
      <formula>AND(IF(OR($Q38=1,$Q38=2),1,0),IF($X38&lt;=20,1,0))</formula>
    </cfRule>
    <cfRule type="expression" priority="2111" dxfId="2">
      <formula>AND(IF($Q38=2,1,0),IF($X38&lt;30,1,0))</formula>
    </cfRule>
    <cfRule type="expression" priority="2112" dxfId="1">
      <formula>AND(IF($Q38=3,1,0),IF($X38&lt;30,1,0))</formula>
    </cfRule>
    <cfRule type="expression" priority="2113" dxfId="0">
      <formula>AND(IF($Q38=3,1,IF($Q38=4,1,0)),IF($F38&lt;=85,1,0))</formula>
    </cfRule>
  </conditionalFormatting>
  <conditionalFormatting sqref="AI38">
    <cfRule type="expression" priority="2106" dxfId="3">
      <formula>AND(IF(OR($Q38=1,$Q38=2),1,0),IF($X38&lt;=20,1,0))</formula>
    </cfRule>
    <cfRule type="expression" priority="2107" dxfId="2">
      <formula>AND(IF($Q38=2,1,0),IF($X38&lt;30,1,0))</formula>
    </cfRule>
    <cfRule type="expression" priority="2108" dxfId="1">
      <formula>AND(IF($Q38=3,1,0),IF($X38&lt;30,1,0))</formula>
    </cfRule>
    <cfRule type="expression" priority="2109" dxfId="0">
      <formula>AND(IF($Q38=3,1,IF($Q38=4,1,0)),IF($F38&lt;=85,1,0))</formula>
    </cfRule>
  </conditionalFormatting>
  <conditionalFormatting sqref="AV39">
    <cfRule type="expression" priority="2104" dxfId="17">
      <formula>AV39="X"</formula>
    </cfRule>
    <cfRule type="expression" priority="2105" dxfId="16">
      <formula>AV39="후보"</formula>
    </cfRule>
  </conditionalFormatting>
  <conditionalFormatting sqref="AC3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39">
    <cfRule type="expression" priority="2095" dxfId="3">
      <formula>AND(IF(OR($Q39=1,$Q39=2),1,0),IF($X39&lt;=20,1,0))</formula>
    </cfRule>
    <cfRule type="expression" priority="2096" dxfId="2">
      <formula>AND(IF($Q39=2,1,0),IF($X39&lt;30,1,0))</formula>
    </cfRule>
    <cfRule type="expression" priority="2097" dxfId="1">
      <formula>AND(IF($Q39=3,1,0),IF($X39&lt;30,1,0))</formula>
    </cfRule>
    <cfRule type="expression" priority="2098" dxfId="0">
      <formula>AND(IF($Q39=3,1,IF($Q39=4,1,0)),IF($F39&lt;=85,1,0))</formula>
    </cfRule>
  </conditionalFormatting>
  <conditionalFormatting sqref="X39">
    <cfRule type="expression" priority="2091" dxfId="3">
      <formula>AND(IF(OR($Q39=1,$Q39=2),1,0),IF($X39&lt;=20,1,0))</formula>
    </cfRule>
    <cfRule type="expression" priority="2092" dxfId="2">
      <formula>AND(IF($Q39=2,1,0),IF($X39&lt;30,1,0))</formula>
    </cfRule>
    <cfRule type="expression" priority="2093" dxfId="1">
      <formula>AND(IF($Q39=3,1,0),IF($X39&lt;30,1,0))</formula>
    </cfRule>
    <cfRule type="expression" priority="2094" dxfId="0">
      <formula>AND(IF($Q39=3,1,IF($Q39=4,1,0)),IF($F39&lt;=85,1,0))</formula>
    </cfRule>
  </conditionalFormatting>
  <conditionalFormatting sqref="AI39">
    <cfRule type="expression" priority="2087" dxfId="3">
      <formula>AND(IF(OR($Q39=1,$Q39=2),1,0),IF($X39&lt;=20,1,0))</formula>
    </cfRule>
    <cfRule type="expression" priority="2088" dxfId="2">
      <formula>AND(IF($Q39=2,1,0),IF($X39&lt;30,1,0))</formula>
    </cfRule>
    <cfRule type="expression" priority="2089" dxfId="1">
      <formula>AND(IF($Q39=3,1,0),IF($X39&lt;30,1,0))</formula>
    </cfRule>
    <cfRule type="expression" priority="2090" dxfId="0">
      <formula>AND(IF($Q39=3,1,IF($Q39=4,1,0)),IF($F39&lt;=85,1,0))</formula>
    </cfRule>
  </conditionalFormatting>
  <conditionalFormatting sqref="AV40">
    <cfRule type="expression" priority="2085" dxfId="17">
      <formula>AV40="X"</formula>
    </cfRule>
    <cfRule type="expression" priority="2086" dxfId="16">
      <formula>AV40="후보"</formula>
    </cfRule>
  </conditionalFormatting>
  <conditionalFormatting sqref="AC4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4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40">
    <cfRule type="expression" priority="2076" dxfId="3">
      <formula>AND(IF(OR($Q40=1,$Q40=2),1,0),IF($X40&lt;=20,1,0))</formula>
    </cfRule>
    <cfRule type="expression" priority="2077" dxfId="2">
      <formula>AND(IF($Q40=2,1,0),IF($X40&lt;30,1,0))</formula>
    </cfRule>
    <cfRule type="expression" priority="2078" dxfId="1">
      <formula>AND(IF($Q40=3,1,0),IF($X40&lt;30,1,0))</formula>
    </cfRule>
    <cfRule type="expression" priority="2079" dxfId="0">
      <formula>AND(IF($Q40=3,1,IF($Q40=4,1,0)),IF($F40&lt;=85,1,0))</formula>
    </cfRule>
  </conditionalFormatting>
  <conditionalFormatting sqref="X40">
    <cfRule type="expression" priority="2072" dxfId="3">
      <formula>AND(IF(OR($Q40=1,$Q40=2),1,0),IF($X40&lt;=20,1,0))</formula>
    </cfRule>
    <cfRule type="expression" priority="2073" dxfId="2">
      <formula>AND(IF($Q40=2,1,0),IF($X40&lt;30,1,0))</formula>
    </cfRule>
    <cfRule type="expression" priority="2074" dxfId="1">
      <formula>AND(IF($Q40=3,1,0),IF($X40&lt;30,1,0))</formula>
    </cfRule>
    <cfRule type="expression" priority="2075" dxfId="0">
      <formula>AND(IF($Q40=3,1,IF($Q40=4,1,0)),IF($F40&lt;=85,1,0))</formula>
    </cfRule>
  </conditionalFormatting>
  <conditionalFormatting sqref="AI40">
    <cfRule type="expression" priority="2068" dxfId="3">
      <formula>AND(IF(OR($Q40=1,$Q40=2),1,0),IF($X40&lt;=20,1,0))</formula>
    </cfRule>
    <cfRule type="expression" priority="2069" dxfId="2">
      <formula>AND(IF($Q40=2,1,0),IF($X40&lt;30,1,0))</formula>
    </cfRule>
    <cfRule type="expression" priority="2070" dxfId="1">
      <formula>AND(IF($Q40=3,1,0),IF($X40&lt;30,1,0))</formula>
    </cfRule>
    <cfRule type="expression" priority="2071" dxfId="0">
      <formula>AND(IF($Q40=3,1,IF($Q40=4,1,0)),IF($F40&lt;=85,1,0))</formula>
    </cfRule>
  </conditionalFormatting>
  <conditionalFormatting sqref="AV41">
    <cfRule type="expression" priority="2066" dxfId="17">
      <formula>AV41="X"</formula>
    </cfRule>
    <cfRule type="expression" priority="2067" dxfId="16">
      <formula>AV41="후보"</formula>
    </cfRule>
  </conditionalFormatting>
  <conditionalFormatting sqref="AC41 N4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42">
    <cfRule type="expression" priority="2061" dxfId="17">
      <formula>AV42="X"</formula>
    </cfRule>
    <cfRule type="expression" priority="2062" dxfId="16">
      <formula>AV42="후보"</formula>
    </cfRule>
  </conditionalFormatting>
  <conditionalFormatting sqref="AC4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4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X42">
    <cfRule type="expression" priority="2048" dxfId="3">
      <formula>AND(IF(OR($Q42=1,$Q42=2),1,0),IF($X42&lt;=20,1,0))</formula>
    </cfRule>
    <cfRule type="expression" priority="2049" dxfId="2">
      <formula>AND(IF($Q42=2,1,0),IF($X42&lt;30,1,0))</formula>
    </cfRule>
    <cfRule type="expression" priority="2050" dxfId="1">
      <formula>AND(IF($Q42=3,1,0),IF($X42&lt;30,1,0))</formula>
    </cfRule>
    <cfRule type="expression" priority="2051" dxfId="0">
      <formula>AND(IF($Q42=3,1,IF($Q42=4,1,0)),IF($F42&lt;=85,1,0))</formula>
    </cfRule>
  </conditionalFormatting>
  <conditionalFormatting sqref="AI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AV43">
    <cfRule type="expression" priority="2042" dxfId="17">
      <formula>AV43="X"</formula>
    </cfRule>
    <cfRule type="expression" priority="2043" dxfId="16">
      <formula>AV43="후보"</formula>
    </cfRule>
  </conditionalFormatting>
  <conditionalFormatting sqref="AC43 N4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AV44">
    <cfRule type="expression" priority="2037" dxfId="17">
      <formula>AV44="X"</formula>
    </cfRule>
    <cfRule type="expression" priority="2038" dxfId="16">
      <formula>AV44="후보"</formula>
    </cfRule>
  </conditionalFormatting>
  <conditionalFormatting sqref="AC44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N44">
    <cfRule type="cellIs" priority="2032" operator="greaterThan" dxfId="13">
      <formula>0.9</formula>
    </cfRule>
    <cfRule type="cellIs" priority="2033" operator="greaterThan" dxfId="12">
      <formula>0.85</formula>
    </cfRule>
  </conditionalFormatting>
  <conditionalFormatting sqref="E44">
    <cfRule type="expression" priority="2028" dxfId="3">
      <formula>AND(IF(OR($Q44=1,$Q44=2),1,0),IF($X44&lt;=20,1,0))</formula>
    </cfRule>
    <cfRule type="expression" priority="2029" dxfId="2">
      <formula>AND(IF($Q44=2,1,0),IF($X44&lt;30,1,0))</formula>
    </cfRule>
    <cfRule type="expression" priority="2030" dxfId="1">
      <formula>AND(IF($Q44=3,1,0),IF($X44&lt;30,1,0))</formula>
    </cfRule>
    <cfRule type="expression" priority="2031" dxfId="0">
      <formula>AND(IF($Q44=3,1,IF($Q44=4,1,0)),IF($F44&lt;=85,1,0))</formula>
    </cfRule>
  </conditionalFormatting>
  <conditionalFormatting sqref="X44">
    <cfRule type="expression" priority="2024" dxfId="3">
      <formula>AND(IF(OR($Q44=1,$Q44=2),1,0),IF($X44&lt;=20,1,0))</formula>
    </cfRule>
    <cfRule type="expression" priority="2025" dxfId="2">
      <formula>AND(IF($Q44=2,1,0),IF($X44&lt;30,1,0))</formula>
    </cfRule>
    <cfRule type="expression" priority="2026" dxfId="1">
      <formula>AND(IF($Q44=3,1,0),IF($X44&lt;30,1,0))</formula>
    </cfRule>
    <cfRule type="expression" priority="2027" dxfId="0">
      <formula>AND(IF($Q44=3,1,IF($Q44=4,1,0)),IF($F44&lt;=85,1,0))</formula>
    </cfRule>
  </conditionalFormatting>
  <conditionalFormatting sqref="AI44">
    <cfRule type="expression" priority="2020" dxfId="3">
      <formula>AND(IF(OR($Q44=1,$Q44=2),1,0),IF($X44&lt;=20,1,0))</formula>
    </cfRule>
    <cfRule type="expression" priority="2021" dxfId="2">
      <formula>AND(IF($Q44=2,1,0),IF($X44&lt;30,1,0))</formula>
    </cfRule>
    <cfRule type="expression" priority="2022" dxfId="1">
      <formula>AND(IF($Q44=3,1,0),IF($X44&lt;30,1,0))</formula>
    </cfRule>
    <cfRule type="expression" priority="2023" dxfId="0">
      <formula>AND(IF($Q44=3,1,IF($Q44=4,1,0)),IF($F44&lt;=85,1,0))</formula>
    </cfRule>
  </conditionalFormatting>
  <conditionalFormatting sqref="AV45">
    <cfRule type="expression" priority="2018" dxfId="17">
      <formula>AV45="X"</formula>
    </cfRule>
    <cfRule type="expression" priority="2019" dxfId="16">
      <formula>AV45="후보"</formula>
    </cfRule>
  </conditionalFormatting>
  <conditionalFormatting sqref="AC4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4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45">
    <cfRule type="expression" priority="2009" dxfId="3">
      <formula>AND(IF(OR($Q45=1,$Q45=2),1,0),IF($X45&lt;=20,1,0))</formula>
    </cfRule>
    <cfRule type="expression" priority="2010" dxfId="2">
      <formula>AND(IF($Q45=2,1,0),IF($X45&lt;30,1,0))</formula>
    </cfRule>
    <cfRule type="expression" priority="2011" dxfId="1">
      <formula>AND(IF($Q45=3,1,0),IF($X45&lt;30,1,0))</formula>
    </cfRule>
    <cfRule type="expression" priority="2012" dxfId="0">
      <formula>AND(IF($Q45=3,1,IF($Q45=4,1,0)),IF($F45&lt;=85,1,0))</formula>
    </cfRule>
  </conditionalFormatting>
  <conditionalFormatting sqref="X45">
    <cfRule type="expression" priority="2005" dxfId="3">
      <formula>AND(IF(OR($Q45=1,$Q45=2),1,0),IF($X45&lt;=20,1,0))</formula>
    </cfRule>
    <cfRule type="expression" priority="2006" dxfId="2">
      <formula>AND(IF($Q45=2,1,0),IF($X45&lt;30,1,0))</formula>
    </cfRule>
    <cfRule type="expression" priority="2007" dxfId="1">
      <formula>AND(IF($Q45=3,1,0),IF($X45&lt;30,1,0))</formula>
    </cfRule>
    <cfRule type="expression" priority="2008" dxfId="0">
      <formula>AND(IF($Q45=3,1,IF($Q45=4,1,0)),IF($F45&lt;=85,1,0))</formula>
    </cfRule>
  </conditionalFormatting>
  <conditionalFormatting sqref="AI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AV46">
    <cfRule type="expression" priority="1999" dxfId="17">
      <formula>AV46="X"</formula>
    </cfRule>
    <cfRule type="expression" priority="2000" dxfId="16">
      <formula>AV46="후보"</formula>
    </cfRule>
  </conditionalFormatting>
  <conditionalFormatting sqref="AC4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4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46">
    <cfRule type="expression" priority="1990" dxfId="3">
      <formula>AND(IF(OR($Q46=1,$Q46=2),1,0),IF($X46&lt;=20,1,0))</formula>
    </cfRule>
    <cfRule type="expression" priority="1991" dxfId="2">
      <formula>AND(IF($Q46=2,1,0),IF($X46&lt;30,1,0))</formula>
    </cfRule>
    <cfRule type="expression" priority="1992" dxfId="1">
      <formula>AND(IF($Q46=3,1,0),IF($X46&lt;30,1,0))</formula>
    </cfRule>
    <cfRule type="expression" priority="1993" dxfId="0">
      <formula>AND(IF($Q46=3,1,IF($Q46=4,1,0)),IF($F46&lt;=85,1,0))</formula>
    </cfRule>
  </conditionalFormatting>
  <conditionalFormatting sqref="X46">
    <cfRule type="expression" priority="1986" dxfId="3">
      <formula>AND(IF(OR($Q46=1,$Q46=2),1,0),IF($X46&lt;=20,1,0))</formula>
    </cfRule>
    <cfRule type="expression" priority="1987" dxfId="2">
      <formula>AND(IF($Q46=2,1,0),IF($X46&lt;30,1,0))</formula>
    </cfRule>
    <cfRule type="expression" priority="1988" dxfId="1">
      <formula>AND(IF($Q46=3,1,0),IF($X46&lt;30,1,0))</formula>
    </cfRule>
    <cfRule type="expression" priority="1989" dxfId="0">
      <formula>AND(IF($Q46=3,1,IF($Q46=4,1,0)),IF($F46&lt;=85,1,0))</formula>
    </cfRule>
  </conditionalFormatting>
  <conditionalFormatting sqref="AI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AV47">
    <cfRule type="expression" priority="1980" dxfId="17">
      <formula>AV47="X"</formula>
    </cfRule>
    <cfRule type="expression" priority="1981" dxfId="16">
      <formula>AV47="후보"</formula>
    </cfRule>
  </conditionalFormatting>
  <conditionalFormatting sqref="AC4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7">
    <cfRule type="expression" priority="1971" dxfId="3">
      <formula>AND(IF(OR($Q47=1,$Q47=2),1,0),IF($X47&lt;=20,1,0))</formula>
    </cfRule>
    <cfRule type="expression" priority="1972" dxfId="2">
      <formula>AND(IF($Q47=2,1,0),IF($X47&lt;30,1,0))</formula>
    </cfRule>
    <cfRule type="expression" priority="1973" dxfId="1">
      <formula>AND(IF($Q47=3,1,0),IF($X47&lt;30,1,0))</formula>
    </cfRule>
    <cfRule type="expression" priority="1974" dxfId="0">
      <formula>AND(IF($Q47=3,1,IF($Q47=4,1,0)),IF($F47&lt;=85,1,0))</formula>
    </cfRule>
  </conditionalFormatting>
  <conditionalFormatting sqref="X47">
    <cfRule type="expression" priority="1967" dxfId="3">
      <formula>AND(IF(OR($Q47=1,$Q47=2),1,0),IF($X47&lt;=20,1,0))</formula>
    </cfRule>
    <cfRule type="expression" priority="1968" dxfId="2">
      <formula>AND(IF($Q47=2,1,0),IF($X47&lt;30,1,0))</formula>
    </cfRule>
    <cfRule type="expression" priority="1969" dxfId="1">
      <formula>AND(IF($Q47=3,1,0),IF($X47&lt;30,1,0))</formula>
    </cfRule>
    <cfRule type="expression" priority="1970" dxfId="0">
      <formula>AND(IF($Q47=3,1,IF($Q47=4,1,0)),IF($F47&lt;=85,1,0))</formula>
    </cfRule>
  </conditionalFormatting>
  <conditionalFormatting sqref="AI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AV48">
    <cfRule type="expression" priority="1961" dxfId="17">
      <formula>AV48="X"</formula>
    </cfRule>
    <cfRule type="expression" priority="1962" dxfId="16">
      <formula>AV48="후보"</formula>
    </cfRule>
  </conditionalFormatting>
  <conditionalFormatting sqref="AC48">
    <cfRule type="cellIs" priority="1958" operator="greaterThan" dxfId="13">
      <formula>0.9</formula>
    </cfRule>
    <cfRule type="cellIs" priority="1959" operator="greaterThan" dxfId="12">
      <formula>0.85</formula>
    </cfRule>
  </conditionalFormatting>
  <conditionalFormatting sqref="N48">
    <cfRule type="cellIs" priority="1956" operator="greaterThan" dxfId="13">
      <formula>0.9</formula>
    </cfRule>
    <cfRule type="cellIs" priority="1957" operator="greaterThan" dxfId="12">
      <formula>0.85</formula>
    </cfRule>
  </conditionalFormatting>
  <conditionalFormatting sqref="E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X48">
    <cfRule type="expression" priority="1948" dxfId="3">
      <formula>AND(IF(OR($Q48=1,$Q48=2),1,0),IF($X48&lt;=20,1,0))</formula>
    </cfRule>
    <cfRule type="expression" priority="1949" dxfId="2">
      <formula>AND(IF($Q48=2,1,0),IF($X48&lt;30,1,0))</formula>
    </cfRule>
    <cfRule type="expression" priority="1950" dxfId="1">
      <formula>AND(IF($Q48=3,1,0),IF($X48&lt;30,1,0))</formula>
    </cfRule>
    <cfRule type="expression" priority="1951" dxfId="0">
      <formula>AND(IF($Q48=3,1,IF($Q48=4,1,0)),IF($F48&lt;=85,1,0))</formula>
    </cfRule>
  </conditionalFormatting>
  <conditionalFormatting sqref="AI48">
    <cfRule type="expression" priority="1944" dxfId="3">
      <formula>AND(IF(OR($Q48=1,$Q48=2),1,0),IF($X48&lt;=20,1,0))</formula>
    </cfRule>
    <cfRule type="expression" priority="1945" dxfId="2">
      <formula>AND(IF($Q48=2,1,0),IF($X48&lt;30,1,0))</formula>
    </cfRule>
    <cfRule type="expression" priority="1946" dxfId="1">
      <formula>AND(IF($Q48=3,1,0),IF($X48&lt;30,1,0))</formula>
    </cfRule>
    <cfRule type="expression" priority="1947" dxfId="0">
      <formula>AND(IF($Q48=3,1,IF($Q48=4,1,0)),IF($F48&lt;=85,1,0))</formula>
    </cfRule>
  </conditionalFormatting>
  <conditionalFormatting sqref="AV49">
    <cfRule type="expression" priority="1942" dxfId="17">
      <formula>AV49="X"</formula>
    </cfRule>
    <cfRule type="expression" priority="1943" dxfId="16">
      <formula>AV49="후보"</formula>
    </cfRule>
  </conditionalFormatting>
  <conditionalFormatting sqref="AC49 N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AV50">
    <cfRule type="expression" priority="1937" dxfId="17">
      <formula>AV50="X"</formula>
    </cfRule>
    <cfRule type="expression" priority="1938" dxfId="16">
      <formula>AV50="후보"</formula>
    </cfRule>
  </conditionalFormatting>
  <conditionalFormatting sqref="AC5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N50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E50">
    <cfRule type="expression" priority="1928" dxfId="3">
      <formula>AND(IF(OR($Q50=1,$Q50=2),1,0),IF($X50&lt;=20,1,0))</formula>
    </cfRule>
    <cfRule type="expression" priority="1929" dxfId="2">
      <formula>AND(IF($Q50=2,1,0),IF($X50&lt;30,1,0))</formula>
    </cfRule>
    <cfRule type="expression" priority="1930" dxfId="1">
      <formula>AND(IF($Q50=3,1,0),IF($X50&lt;30,1,0))</formula>
    </cfRule>
    <cfRule type="expression" priority="1931" dxfId="0">
      <formula>AND(IF($Q50=3,1,IF($Q50=4,1,0)),IF($F50&lt;=85,1,0))</formula>
    </cfRule>
  </conditionalFormatting>
  <conditionalFormatting sqref="X50">
    <cfRule type="expression" priority="1924" dxfId="3">
      <formula>AND(IF(OR($Q50=1,$Q50=2),1,0),IF($X50&lt;=20,1,0))</formula>
    </cfRule>
    <cfRule type="expression" priority="1925" dxfId="2">
      <formula>AND(IF($Q50=2,1,0),IF($X50&lt;30,1,0))</formula>
    </cfRule>
    <cfRule type="expression" priority="1926" dxfId="1">
      <formula>AND(IF($Q50=3,1,0),IF($X50&lt;30,1,0))</formula>
    </cfRule>
    <cfRule type="expression" priority="1927" dxfId="0">
      <formula>AND(IF($Q50=3,1,IF($Q50=4,1,0)),IF($F50&lt;=85,1,0))</formula>
    </cfRule>
  </conditionalFormatting>
  <conditionalFormatting sqref="AI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AV51">
    <cfRule type="expression" priority="1918" dxfId="17">
      <formula>AV51="X"</formula>
    </cfRule>
    <cfRule type="expression" priority="1919" dxfId="16">
      <formula>AV51="후보"</formula>
    </cfRule>
  </conditionalFormatting>
  <conditionalFormatting sqref="AC51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N51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E51">
    <cfRule type="expression" priority="1909" dxfId="3">
      <formula>AND(IF(OR($Q51=1,$Q51=2),1,0),IF($X51&lt;=20,1,0))</formula>
    </cfRule>
    <cfRule type="expression" priority="1910" dxfId="2">
      <formula>AND(IF($Q51=2,1,0),IF($X51&lt;30,1,0))</formula>
    </cfRule>
    <cfRule type="expression" priority="1911" dxfId="1">
      <formula>AND(IF($Q51=3,1,0),IF($X51&lt;30,1,0))</formula>
    </cfRule>
    <cfRule type="expression" priority="1912" dxfId="0">
      <formula>AND(IF($Q51=3,1,IF($Q51=4,1,0)),IF($F51&lt;=85,1,0))</formula>
    </cfRule>
  </conditionalFormatting>
  <conditionalFormatting sqref="X51">
    <cfRule type="expression" priority="1905" dxfId="3">
      <formula>AND(IF(OR($Q51=1,$Q51=2),1,0),IF($X51&lt;=20,1,0))</formula>
    </cfRule>
    <cfRule type="expression" priority="1906" dxfId="2">
      <formula>AND(IF($Q51=2,1,0),IF($X51&lt;30,1,0))</formula>
    </cfRule>
    <cfRule type="expression" priority="1907" dxfId="1">
      <formula>AND(IF($Q51=3,1,0),IF($X51&lt;30,1,0))</formula>
    </cfRule>
    <cfRule type="expression" priority="1908" dxfId="0">
      <formula>AND(IF($Q51=3,1,IF($Q51=4,1,0)),IF($F51&lt;=85,1,0))</formula>
    </cfRule>
  </conditionalFormatting>
  <conditionalFormatting sqref="AI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AV52">
    <cfRule type="expression" priority="1899" dxfId="17">
      <formula>AV52="X"</formula>
    </cfRule>
    <cfRule type="expression" priority="1900" dxfId="16">
      <formula>AV52="후보"</formula>
    </cfRule>
  </conditionalFormatting>
  <conditionalFormatting sqref="AC52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N52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E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X52">
    <cfRule type="expression" priority="1886" dxfId="3">
      <formula>AND(IF(OR($Q52=1,$Q52=2),1,0),IF($X52&lt;=20,1,0))</formula>
    </cfRule>
    <cfRule type="expression" priority="1887" dxfId="2">
      <formula>AND(IF($Q52=2,1,0),IF($X52&lt;30,1,0))</formula>
    </cfRule>
    <cfRule type="expression" priority="1888" dxfId="1">
      <formula>AND(IF($Q52=3,1,0),IF($X52&lt;30,1,0))</formula>
    </cfRule>
    <cfRule type="expression" priority="1889" dxfId="0">
      <formula>AND(IF($Q52=3,1,IF($Q52=4,1,0)),IF($F52&lt;=85,1,0))</formula>
    </cfRule>
  </conditionalFormatting>
  <conditionalFormatting sqref="AI52">
    <cfRule type="expression" priority="1882" dxfId="3">
      <formula>AND(IF(OR($Q52=1,$Q52=2),1,0),IF($X52&lt;=20,1,0))</formula>
    </cfRule>
    <cfRule type="expression" priority="1883" dxfId="2">
      <formula>AND(IF($Q52=2,1,0),IF($X52&lt;30,1,0))</formula>
    </cfRule>
    <cfRule type="expression" priority="1884" dxfId="1">
      <formula>AND(IF($Q52=3,1,0),IF($X52&lt;30,1,0))</formula>
    </cfRule>
    <cfRule type="expression" priority="1885" dxfId="0">
      <formula>AND(IF($Q52=3,1,IF($Q52=4,1,0)),IF($F52&lt;=85,1,0))</formula>
    </cfRule>
  </conditionalFormatting>
  <conditionalFormatting sqref="AV53">
    <cfRule type="expression" priority="1880" dxfId="17">
      <formula>AV53="X"</formula>
    </cfRule>
    <cfRule type="expression" priority="1881" dxfId="16">
      <formula>AV53="후보"</formula>
    </cfRule>
  </conditionalFormatting>
  <conditionalFormatting sqref="AC5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N53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E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X53">
    <cfRule type="expression" priority="1867" dxfId="3">
      <formula>AND(IF(OR($Q53=1,$Q53=2),1,0),IF($X53&lt;=20,1,0))</formula>
    </cfRule>
    <cfRule type="expression" priority="1868" dxfId="2">
      <formula>AND(IF($Q53=2,1,0),IF($X53&lt;30,1,0))</formula>
    </cfRule>
    <cfRule type="expression" priority="1869" dxfId="1">
      <formula>AND(IF($Q53=3,1,0),IF($X53&lt;30,1,0))</formula>
    </cfRule>
    <cfRule type="expression" priority="1870" dxfId="0">
      <formula>AND(IF($Q53=3,1,IF($Q53=4,1,0)),IF($F53&lt;=85,1,0))</formula>
    </cfRule>
  </conditionalFormatting>
  <conditionalFormatting sqref="AI53">
    <cfRule type="expression" priority="1863" dxfId="3">
      <formula>AND(IF(OR($Q53=1,$Q53=2),1,0),IF($X53&lt;=20,1,0))</formula>
    </cfRule>
    <cfRule type="expression" priority="1864" dxfId="2">
      <formula>AND(IF($Q53=2,1,0),IF($X53&lt;30,1,0))</formula>
    </cfRule>
    <cfRule type="expression" priority="1865" dxfId="1">
      <formula>AND(IF($Q53=3,1,0),IF($X53&lt;30,1,0))</formula>
    </cfRule>
    <cfRule type="expression" priority="1866" dxfId="0">
      <formula>AND(IF($Q53=3,1,IF($Q53=4,1,0)),IF($F53&lt;=85,1,0))</formula>
    </cfRule>
  </conditionalFormatting>
  <conditionalFormatting sqref="AV54">
    <cfRule type="expression" priority="1861" dxfId="17">
      <formula>AV54="X"</formula>
    </cfRule>
    <cfRule type="expression" priority="1862" dxfId="16">
      <formula>AV54="후보"</formula>
    </cfRule>
  </conditionalFormatting>
  <conditionalFormatting sqref="AC54 N5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AV55">
    <cfRule type="expression" priority="1856" dxfId="17">
      <formula>AV55="X"</formula>
    </cfRule>
    <cfRule type="expression" priority="1857" dxfId="16">
      <formula>AV55="후보"</formula>
    </cfRule>
  </conditionalFormatting>
  <conditionalFormatting sqref="AC55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5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55">
    <cfRule type="expression" priority="1847" dxfId="3">
      <formula>AND(IF(OR($Q55=1,$Q55=2),1,0),IF($X55&lt;=20,1,0))</formula>
    </cfRule>
    <cfRule type="expression" priority="1848" dxfId="2">
      <formula>AND(IF($Q55=2,1,0),IF($X55&lt;30,1,0))</formula>
    </cfRule>
    <cfRule type="expression" priority="1849" dxfId="1">
      <formula>AND(IF($Q55=3,1,0),IF($X55&lt;30,1,0))</formula>
    </cfRule>
    <cfRule type="expression" priority="1850" dxfId="0">
      <formula>AND(IF($Q55=3,1,IF($Q55=4,1,0)),IF($F55&lt;=85,1,0))</formula>
    </cfRule>
  </conditionalFormatting>
  <conditionalFormatting sqref="X55">
    <cfRule type="expression" priority="1843" dxfId="3">
      <formula>AND(IF(OR($Q55=1,$Q55=2),1,0),IF($X55&lt;=20,1,0))</formula>
    </cfRule>
    <cfRule type="expression" priority="1844" dxfId="2">
      <formula>AND(IF($Q55=2,1,0),IF($X55&lt;30,1,0))</formula>
    </cfRule>
    <cfRule type="expression" priority="1845" dxfId="1">
      <formula>AND(IF($Q55=3,1,0),IF($X55&lt;30,1,0))</formula>
    </cfRule>
    <cfRule type="expression" priority="1846" dxfId="0">
      <formula>AND(IF($Q55=3,1,IF($Q55=4,1,0)),IF($F55&lt;=85,1,0))</formula>
    </cfRule>
  </conditionalFormatting>
  <conditionalFormatting sqref="AI55">
    <cfRule type="expression" priority="1839" dxfId="3">
      <formula>AND(IF(OR($Q55=1,$Q55=2),1,0),IF($X55&lt;=20,1,0))</formula>
    </cfRule>
    <cfRule type="expression" priority="1840" dxfId="2">
      <formula>AND(IF($Q55=2,1,0),IF($X55&lt;30,1,0))</formula>
    </cfRule>
    <cfRule type="expression" priority="1841" dxfId="1">
      <formula>AND(IF($Q55=3,1,0),IF($X55&lt;30,1,0))</formula>
    </cfRule>
    <cfRule type="expression" priority="1842" dxfId="0">
      <formula>AND(IF($Q55=3,1,IF($Q55=4,1,0)),IF($F55&lt;=85,1,0))</formula>
    </cfRule>
  </conditionalFormatting>
  <conditionalFormatting sqref="AV56">
    <cfRule type="expression" priority="1837" dxfId="17">
      <formula>AV56="X"</formula>
    </cfRule>
    <cfRule type="expression" priority="1838" dxfId="16">
      <formula>AV56="후보"</formula>
    </cfRule>
  </conditionalFormatting>
  <conditionalFormatting sqref="AC5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56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X56">
    <cfRule type="expression" priority="1824" dxfId="3">
      <formula>AND(IF(OR($Q56=1,$Q56=2),1,0),IF($X56&lt;=20,1,0))</formula>
    </cfRule>
    <cfRule type="expression" priority="1825" dxfId="2">
      <formula>AND(IF($Q56=2,1,0),IF($X56&lt;30,1,0))</formula>
    </cfRule>
    <cfRule type="expression" priority="1826" dxfId="1">
      <formula>AND(IF($Q56=3,1,0),IF($X56&lt;30,1,0))</formula>
    </cfRule>
    <cfRule type="expression" priority="1827" dxfId="0">
      <formula>AND(IF($Q56=3,1,IF($Q56=4,1,0)),IF($F56&lt;=85,1,0))</formula>
    </cfRule>
  </conditionalFormatting>
  <conditionalFormatting sqref="AI56">
    <cfRule type="expression" priority="1820" dxfId="3">
      <formula>AND(IF(OR($Q56=1,$Q56=2),1,0),IF($X56&lt;=20,1,0))</formula>
    </cfRule>
    <cfRule type="expression" priority="1821" dxfId="2">
      <formula>AND(IF($Q56=2,1,0),IF($X56&lt;30,1,0))</formula>
    </cfRule>
    <cfRule type="expression" priority="1822" dxfId="1">
      <formula>AND(IF($Q56=3,1,0),IF($X56&lt;30,1,0))</formula>
    </cfRule>
    <cfRule type="expression" priority="1823" dxfId="0">
      <formula>AND(IF($Q56=3,1,IF($Q56=4,1,0)),IF($F56&lt;=85,1,0))</formula>
    </cfRule>
  </conditionalFormatting>
  <conditionalFormatting sqref="AV57">
    <cfRule type="expression" priority="1818" dxfId="17">
      <formula>AV57="X"</formula>
    </cfRule>
    <cfRule type="expression" priority="1819" dxfId="16">
      <formula>AV57="후보"</formula>
    </cfRule>
  </conditionalFormatting>
  <conditionalFormatting sqref="AC5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5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X57">
    <cfRule type="expression" priority="1805" dxfId="3">
      <formula>AND(IF(OR($Q57=1,$Q57=2),1,0),IF($X57&lt;=20,1,0))</formula>
    </cfRule>
    <cfRule type="expression" priority="1806" dxfId="2">
      <formula>AND(IF($Q57=2,1,0),IF($X57&lt;30,1,0))</formula>
    </cfRule>
    <cfRule type="expression" priority="1807" dxfId="1">
      <formula>AND(IF($Q57=3,1,0),IF($X57&lt;30,1,0))</formula>
    </cfRule>
    <cfRule type="expression" priority="1808" dxfId="0">
      <formula>AND(IF($Q57=3,1,IF($Q57=4,1,0)),IF($F57&lt;=85,1,0))</formula>
    </cfRule>
  </conditionalFormatting>
  <conditionalFormatting sqref="AI57">
    <cfRule type="expression" priority="1801" dxfId="3">
      <formula>AND(IF(OR($Q57=1,$Q57=2),1,0),IF($X57&lt;=20,1,0))</formula>
    </cfRule>
    <cfRule type="expression" priority="1802" dxfId="2">
      <formula>AND(IF($Q57=2,1,0),IF($X57&lt;30,1,0))</formula>
    </cfRule>
    <cfRule type="expression" priority="1803" dxfId="1">
      <formula>AND(IF($Q57=3,1,0),IF($X57&lt;30,1,0))</formula>
    </cfRule>
    <cfRule type="expression" priority="1804" dxfId="0">
      <formula>AND(IF($Q57=3,1,IF($Q57=4,1,0)),IF($F57&lt;=85,1,0))</formula>
    </cfRule>
  </conditionalFormatting>
  <conditionalFormatting sqref="AV58">
    <cfRule type="expression" priority="1799" dxfId="17">
      <formula>AV58="X"</formula>
    </cfRule>
    <cfRule type="expression" priority="1800" dxfId="16">
      <formula>AV58="후보"</formula>
    </cfRule>
  </conditionalFormatting>
  <conditionalFormatting sqref="AC5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58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X58">
    <cfRule type="expression" priority="1786" dxfId="3">
      <formula>AND(IF(OR($Q58=1,$Q58=2),1,0),IF($X58&lt;=20,1,0))</formula>
    </cfRule>
    <cfRule type="expression" priority="1787" dxfId="2">
      <formula>AND(IF($Q58=2,1,0),IF($X58&lt;30,1,0))</formula>
    </cfRule>
    <cfRule type="expression" priority="1788" dxfId="1">
      <formula>AND(IF($Q58=3,1,0),IF($X58&lt;30,1,0))</formula>
    </cfRule>
    <cfRule type="expression" priority="1789" dxfId="0">
      <formula>AND(IF($Q58=3,1,IF($Q58=4,1,0)),IF($F58&lt;=85,1,0))</formula>
    </cfRule>
  </conditionalFormatting>
  <conditionalFormatting sqref="AI58">
    <cfRule type="expression" priority="1782" dxfId="3">
      <formula>AND(IF(OR($Q58=1,$Q58=2),1,0),IF($X58&lt;=20,1,0))</formula>
    </cfRule>
    <cfRule type="expression" priority="1783" dxfId="2">
      <formula>AND(IF($Q58=2,1,0),IF($X58&lt;30,1,0))</formula>
    </cfRule>
    <cfRule type="expression" priority="1784" dxfId="1">
      <formula>AND(IF($Q58=3,1,0),IF($X58&lt;30,1,0))</formula>
    </cfRule>
    <cfRule type="expression" priority="1785" dxfId="0">
      <formula>AND(IF($Q58=3,1,IF($Q58=4,1,0)),IF($F58&lt;=85,1,0))</formula>
    </cfRule>
  </conditionalFormatting>
  <conditionalFormatting sqref="AV59">
    <cfRule type="expression" priority="1780" dxfId="17">
      <formula>AV59="X"</formula>
    </cfRule>
    <cfRule type="expression" priority="1781" dxfId="16">
      <formula>AV59="후보"</formula>
    </cfRule>
  </conditionalFormatting>
  <conditionalFormatting sqref="AC5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59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X59">
    <cfRule type="expression" priority="1767" dxfId="3">
      <formula>AND(IF(OR($Q59=1,$Q59=2),1,0),IF($X59&lt;=20,1,0))</formula>
    </cfRule>
    <cfRule type="expression" priority="1768" dxfId="2">
      <formula>AND(IF($Q59=2,1,0),IF($X59&lt;30,1,0))</formula>
    </cfRule>
    <cfRule type="expression" priority="1769" dxfId="1">
      <formula>AND(IF($Q59=3,1,0),IF($X59&lt;30,1,0))</formula>
    </cfRule>
    <cfRule type="expression" priority="1770" dxfId="0">
      <formula>AND(IF($Q59=3,1,IF($Q59=4,1,0)),IF($F59&lt;=85,1,0))</formula>
    </cfRule>
  </conditionalFormatting>
  <conditionalFormatting sqref="AI59">
    <cfRule type="expression" priority="1763" dxfId="3">
      <formula>AND(IF(OR($Q59=1,$Q59=2),1,0),IF($X59&lt;=20,1,0))</formula>
    </cfRule>
    <cfRule type="expression" priority="1764" dxfId="2">
      <formula>AND(IF($Q59=2,1,0),IF($X59&lt;30,1,0))</formula>
    </cfRule>
    <cfRule type="expression" priority="1765" dxfId="1">
      <formula>AND(IF($Q59=3,1,0),IF($X59&lt;30,1,0))</formula>
    </cfRule>
    <cfRule type="expression" priority="1766" dxfId="0">
      <formula>AND(IF($Q59=3,1,IF($Q59=4,1,0)),IF($F59&lt;=85,1,0))</formula>
    </cfRule>
  </conditionalFormatting>
  <conditionalFormatting sqref="AV60">
    <cfRule type="expression" priority="1761" dxfId="17">
      <formula>AV60="X"</formula>
    </cfRule>
    <cfRule type="expression" priority="1762" dxfId="16">
      <formula>AV60="후보"</formula>
    </cfRule>
  </conditionalFormatting>
  <conditionalFormatting sqref="AC60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60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60">
    <cfRule type="expression" priority="1752" dxfId="3">
      <formula>AND(IF(OR($Q60=1,$Q60=2),1,0),IF($X60&lt;=20,1,0))</formula>
    </cfRule>
    <cfRule type="expression" priority="1753" dxfId="2">
      <formula>AND(IF($Q60=2,1,0),IF($X60&lt;30,1,0))</formula>
    </cfRule>
    <cfRule type="expression" priority="1754" dxfId="1">
      <formula>AND(IF($Q60=3,1,0),IF($X60&lt;30,1,0))</formula>
    </cfRule>
    <cfRule type="expression" priority="1755" dxfId="0">
      <formula>AND(IF($Q60=3,1,IF($Q60=4,1,0)),IF($F60&lt;=85,1,0))</formula>
    </cfRule>
  </conditionalFormatting>
  <conditionalFormatting sqref="X60">
    <cfRule type="expression" priority="1748" dxfId="3">
      <formula>AND(IF(OR($Q60=1,$Q60=2),1,0),IF($X60&lt;=20,1,0))</formula>
    </cfRule>
    <cfRule type="expression" priority="1749" dxfId="2">
      <formula>AND(IF($Q60=2,1,0),IF($X60&lt;30,1,0))</formula>
    </cfRule>
    <cfRule type="expression" priority="1750" dxfId="1">
      <formula>AND(IF($Q60=3,1,0),IF($X60&lt;30,1,0))</formula>
    </cfRule>
    <cfRule type="expression" priority="1751" dxfId="0">
      <formula>AND(IF($Q60=3,1,IF($Q60=4,1,0)),IF($F60&lt;=85,1,0))</formula>
    </cfRule>
  </conditionalFormatting>
  <conditionalFormatting sqref="AI60">
    <cfRule type="expression" priority="1744" dxfId="3">
      <formula>AND(IF(OR($Q60=1,$Q60=2),1,0),IF($X60&lt;=20,1,0))</formula>
    </cfRule>
    <cfRule type="expression" priority="1745" dxfId="2">
      <formula>AND(IF($Q60=2,1,0),IF($X60&lt;30,1,0))</formula>
    </cfRule>
    <cfRule type="expression" priority="1746" dxfId="1">
      <formula>AND(IF($Q60=3,1,0),IF($X60&lt;30,1,0))</formula>
    </cfRule>
    <cfRule type="expression" priority="1747" dxfId="0">
      <formula>AND(IF($Q60=3,1,IF($Q60=4,1,0)),IF($F60&lt;=85,1,0))</formula>
    </cfRule>
  </conditionalFormatting>
  <conditionalFormatting sqref="AV61">
    <cfRule type="expression" priority="1742" dxfId="17">
      <formula>AV61="X"</formula>
    </cfRule>
    <cfRule type="expression" priority="1743" dxfId="16">
      <formula>AV61="후보"</formula>
    </cfRule>
  </conditionalFormatting>
  <conditionalFormatting sqref="AC61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61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61">
    <cfRule type="expression" priority="1733" dxfId="3">
      <formula>AND(IF(OR($Q61=1,$Q61=2),1,0),IF($X61&lt;=20,1,0))</formula>
    </cfRule>
    <cfRule type="expression" priority="1734" dxfId="2">
      <formula>AND(IF($Q61=2,1,0),IF($X61&lt;30,1,0))</formula>
    </cfRule>
    <cfRule type="expression" priority="1735" dxfId="1">
      <formula>AND(IF($Q61=3,1,0),IF($X61&lt;30,1,0))</formula>
    </cfRule>
    <cfRule type="expression" priority="1736" dxfId="0">
      <formula>AND(IF($Q61=3,1,IF($Q61=4,1,0)),IF($F61&lt;=85,1,0))</formula>
    </cfRule>
  </conditionalFormatting>
  <conditionalFormatting sqref="X61">
    <cfRule type="expression" priority="1729" dxfId="3">
      <formula>AND(IF(OR($Q61=1,$Q61=2),1,0),IF($X61&lt;=20,1,0))</formula>
    </cfRule>
    <cfRule type="expression" priority="1730" dxfId="2">
      <formula>AND(IF($Q61=2,1,0),IF($X61&lt;30,1,0))</formula>
    </cfRule>
    <cfRule type="expression" priority="1731" dxfId="1">
      <formula>AND(IF($Q61=3,1,0),IF($X61&lt;30,1,0))</formula>
    </cfRule>
    <cfRule type="expression" priority="1732" dxfId="0">
      <formula>AND(IF($Q61=3,1,IF($Q61=4,1,0)),IF($F61&lt;=85,1,0))</formula>
    </cfRule>
  </conditionalFormatting>
  <conditionalFormatting sqref="AI61">
    <cfRule type="expression" priority="1725" dxfId="3">
      <formula>AND(IF(OR($Q61=1,$Q61=2),1,0),IF($X61&lt;=20,1,0))</formula>
    </cfRule>
    <cfRule type="expression" priority="1726" dxfId="2">
      <formula>AND(IF($Q61=2,1,0),IF($X61&lt;30,1,0))</formula>
    </cfRule>
    <cfRule type="expression" priority="1727" dxfId="1">
      <formula>AND(IF($Q61=3,1,0),IF($X61&lt;30,1,0))</formula>
    </cfRule>
    <cfRule type="expression" priority="1728" dxfId="0">
      <formula>AND(IF($Q61=3,1,IF($Q61=4,1,0)),IF($F61&lt;=85,1,0))</formula>
    </cfRule>
  </conditionalFormatting>
  <conditionalFormatting sqref="AV62">
    <cfRule type="expression" priority="1723" dxfId="17">
      <formula>AV62="X"</formula>
    </cfRule>
    <cfRule type="expression" priority="1724" dxfId="16">
      <formula>AV62="후보"</formula>
    </cfRule>
  </conditionalFormatting>
  <conditionalFormatting sqref="AC62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6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62">
    <cfRule type="expression" priority="1714" dxfId="3">
      <formula>AND(IF(OR($Q62=1,$Q62=2),1,0),IF($X62&lt;=20,1,0))</formula>
    </cfRule>
    <cfRule type="expression" priority="1715" dxfId="2">
      <formula>AND(IF($Q62=2,1,0),IF($X62&lt;30,1,0))</formula>
    </cfRule>
    <cfRule type="expression" priority="1716" dxfId="1">
      <formula>AND(IF($Q62=3,1,0),IF($X62&lt;30,1,0))</formula>
    </cfRule>
    <cfRule type="expression" priority="1717" dxfId="0">
      <formula>AND(IF($Q62=3,1,IF($Q62=4,1,0)),IF($F62&lt;=85,1,0))</formula>
    </cfRule>
  </conditionalFormatting>
  <conditionalFormatting sqref="X62">
    <cfRule type="expression" priority="1710" dxfId="3">
      <formula>AND(IF(OR($Q62=1,$Q62=2),1,0),IF($X62&lt;=20,1,0))</formula>
    </cfRule>
    <cfRule type="expression" priority="1711" dxfId="2">
      <formula>AND(IF($Q62=2,1,0),IF($X62&lt;30,1,0))</formula>
    </cfRule>
    <cfRule type="expression" priority="1712" dxfId="1">
      <formula>AND(IF($Q62=3,1,0),IF($X62&lt;30,1,0))</formula>
    </cfRule>
    <cfRule type="expression" priority="1713" dxfId="0">
      <formula>AND(IF($Q62=3,1,IF($Q62=4,1,0)),IF($F62&lt;=85,1,0))</formula>
    </cfRule>
  </conditionalFormatting>
  <conditionalFormatting sqref="AI62">
    <cfRule type="expression" priority="1706" dxfId="3">
      <formula>AND(IF(OR($Q62=1,$Q62=2),1,0),IF($X62&lt;=20,1,0))</formula>
    </cfRule>
    <cfRule type="expression" priority="1707" dxfId="2">
      <formula>AND(IF($Q62=2,1,0),IF($X62&lt;30,1,0))</formula>
    </cfRule>
    <cfRule type="expression" priority="1708" dxfId="1">
      <formula>AND(IF($Q62=3,1,0),IF($X62&lt;30,1,0))</formula>
    </cfRule>
    <cfRule type="expression" priority="1709" dxfId="0">
      <formula>AND(IF($Q62=3,1,IF($Q62=4,1,0)),IF($F62&lt;=85,1,0))</formula>
    </cfRule>
  </conditionalFormatting>
  <conditionalFormatting sqref="AV63">
    <cfRule type="expression" priority="1704" dxfId="17">
      <formula>AV63="X"</formula>
    </cfRule>
    <cfRule type="expression" priority="1705" dxfId="16">
      <formula>AV63="후보"</formula>
    </cfRule>
  </conditionalFormatting>
  <conditionalFormatting sqref="AC63 N63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AV64">
    <cfRule type="expression" priority="1699" dxfId="17">
      <formula>AV64="X"</formula>
    </cfRule>
    <cfRule type="expression" priority="1700" dxfId="16">
      <formula>AV64="후보"</formula>
    </cfRule>
  </conditionalFormatting>
  <conditionalFormatting sqref="AC64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64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X64">
    <cfRule type="expression" priority="1686" dxfId="3">
      <formula>AND(IF(OR($Q64=1,$Q64=2),1,0),IF($X64&lt;=20,1,0))</formula>
    </cfRule>
    <cfRule type="expression" priority="1687" dxfId="2">
      <formula>AND(IF($Q64=2,1,0),IF($X64&lt;30,1,0))</formula>
    </cfRule>
    <cfRule type="expression" priority="1688" dxfId="1">
      <formula>AND(IF($Q64=3,1,0),IF($X64&lt;30,1,0))</formula>
    </cfRule>
    <cfRule type="expression" priority="1689" dxfId="0">
      <formula>AND(IF($Q64=3,1,IF($Q64=4,1,0)),IF($F64&lt;=85,1,0))</formula>
    </cfRule>
  </conditionalFormatting>
  <conditionalFormatting sqref="AI64">
    <cfRule type="expression" priority="1682" dxfId="3">
      <formula>AND(IF(OR($Q64=1,$Q64=2),1,0),IF($X64&lt;=20,1,0))</formula>
    </cfRule>
    <cfRule type="expression" priority="1683" dxfId="2">
      <formula>AND(IF($Q64=2,1,0),IF($X64&lt;30,1,0))</formula>
    </cfRule>
    <cfRule type="expression" priority="1684" dxfId="1">
      <formula>AND(IF($Q64=3,1,0),IF($X64&lt;30,1,0))</formula>
    </cfRule>
    <cfRule type="expression" priority="1685" dxfId="0">
      <formula>AND(IF($Q64=3,1,IF($Q64=4,1,0)),IF($F64&lt;=85,1,0))</formula>
    </cfRule>
  </conditionalFormatting>
  <conditionalFormatting sqref="AV65">
    <cfRule type="expression" priority="1680" dxfId="17">
      <formula>AV65="X"</formula>
    </cfRule>
    <cfRule type="expression" priority="1681" dxfId="16">
      <formula>AV65="후보"</formula>
    </cfRule>
  </conditionalFormatting>
  <conditionalFormatting sqref="AC65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65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X65">
    <cfRule type="expression" priority="1667" dxfId="3">
      <formula>AND(IF(OR($Q65=1,$Q65=2),1,0),IF($X65&lt;=20,1,0))</formula>
    </cfRule>
    <cfRule type="expression" priority="1668" dxfId="2">
      <formula>AND(IF($Q65=2,1,0),IF($X65&lt;30,1,0))</formula>
    </cfRule>
    <cfRule type="expression" priority="1669" dxfId="1">
      <formula>AND(IF($Q65=3,1,0),IF($X65&lt;30,1,0))</formula>
    </cfRule>
    <cfRule type="expression" priority="1670" dxfId="0">
      <formula>AND(IF($Q65=3,1,IF($Q65=4,1,0)),IF($F65&lt;=85,1,0))</formula>
    </cfRule>
  </conditionalFormatting>
  <conditionalFormatting sqref="AI65">
    <cfRule type="expression" priority="1663" dxfId="3">
      <formula>AND(IF(OR($Q65=1,$Q65=2),1,0),IF($X65&lt;=20,1,0))</formula>
    </cfRule>
    <cfRule type="expression" priority="1664" dxfId="2">
      <formula>AND(IF($Q65=2,1,0),IF($X65&lt;30,1,0))</formula>
    </cfRule>
    <cfRule type="expression" priority="1665" dxfId="1">
      <formula>AND(IF($Q65=3,1,0),IF($X65&lt;30,1,0))</formula>
    </cfRule>
    <cfRule type="expression" priority="1666" dxfId="0">
      <formula>AND(IF($Q65=3,1,IF($Q65=4,1,0)),IF($F65&lt;=85,1,0))</formula>
    </cfRule>
  </conditionalFormatting>
  <conditionalFormatting sqref="AV66">
    <cfRule type="expression" priority="1661" dxfId="17">
      <formula>AV66="X"</formula>
    </cfRule>
    <cfRule type="expression" priority="1662" dxfId="16">
      <formula>AV66="후보"</formula>
    </cfRule>
  </conditionalFormatting>
  <conditionalFormatting sqref="AC66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66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X66">
    <cfRule type="expression" priority="1648" dxfId="3">
      <formula>AND(IF(OR($Q66=1,$Q66=2),1,0),IF($X66&lt;=20,1,0))</formula>
    </cfRule>
    <cfRule type="expression" priority="1649" dxfId="2">
      <formula>AND(IF($Q66=2,1,0),IF($X66&lt;30,1,0))</formula>
    </cfRule>
    <cfRule type="expression" priority="1650" dxfId="1">
      <formula>AND(IF($Q66=3,1,0),IF($X66&lt;30,1,0))</formula>
    </cfRule>
    <cfRule type="expression" priority="1651" dxfId="0">
      <formula>AND(IF($Q66=3,1,IF($Q66=4,1,0)),IF($F66&lt;=85,1,0))</formula>
    </cfRule>
  </conditionalFormatting>
  <conditionalFormatting sqref="AI66">
    <cfRule type="expression" priority="1644" dxfId="3">
      <formula>AND(IF(OR($Q66=1,$Q66=2),1,0),IF($X66&lt;=20,1,0))</formula>
    </cfRule>
    <cfRule type="expression" priority="1645" dxfId="2">
      <formula>AND(IF($Q66=2,1,0),IF($X66&lt;30,1,0))</formula>
    </cfRule>
    <cfRule type="expression" priority="1646" dxfId="1">
      <formula>AND(IF($Q66=3,1,0),IF($X66&lt;30,1,0))</formula>
    </cfRule>
    <cfRule type="expression" priority="1647" dxfId="0">
      <formula>AND(IF($Q66=3,1,IF($Q66=4,1,0)),IF($F66&lt;=85,1,0))</formula>
    </cfRule>
  </conditionalFormatting>
  <conditionalFormatting sqref="AV67">
    <cfRule type="expression" priority="1642" dxfId="17">
      <formula>AV67="X"</formula>
    </cfRule>
    <cfRule type="expression" priority="1643" dxfId="16">
      <formula>AV67="후보"</formula>
    </cfRule>
  </conditionalFormatting>
  <conditionalFormatting sqref="AC67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67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X67">
    <cfRule type="expression" priority="1629" dxfId="3">
      <formula>AND(IF(OR($Q67=1,$Q67=2),1,0),IF($X67&lt;=20,1,0))</formula>
    </cfRule>
    <cfRule type="expression" priority="1630" dxfId="2">
      <formula>AND(IF($Q67=2,1,0),IF($X67&lt;30,1,0))</formula>
    </cfRule>
    <cfRule type="expression" priority="1631" dxfId="1">
      <formula>AND(IF($Q67=3,1,0),IF($X67&lt;30,1,0))</formula>
    </cfRule>
    <cfRule type="expression" priority="1632" dxfId="0">
      <formula>AND(IF($Q67=3,1,IF($Q67=4,1,0)),IF($F67&lt;=85,1,0))</formula>
    </cfRule>
  </conditionalFormatting>
  <conditionalFormatting sqref="AI67">
    <cfRule type="expression" priority="1625" dxfId="3">
      <formula>AND(IF(OR($Q67=1,$Q67=2),1,0),IF($X67&lt;=20,1,0))</formula>
    </cfRule>
    <cfRule type="expression" priority="1626" dxfId="2">
      <formula>AND(IF($Q67=2,1,0),IF($X67&lt;30,1,0))</formula>
    </cfRule>
    <cfRule type="expression" priority="1627" dxfId="1">
      <formula>AND(IF($Q67=3,1,0),IF($X67&lt;30,1,0))</formula>
    </cfRule>
    <cfRule type="expression" priority="1628" dxfId="0">
      <formula>AND(IF($Q67=3,1,IF($Q67=4,1,0)),IF($F67&lt;=85,1,0))</formula>
    </cfRule>
  </conditionalFormatting>
  <conditionalFormatting sqref="AV68">
    <cfRule type="expression" priority="1623" dxfId="17">
      <formula>AV68="X"</formula>
    </cfRule>
    <cfRule type="expression" priority="1624" dxfId="16">
      <formula>AV68="후보"</formula>
    </cfRule>
  </conditionalFormatting>
  <conditionalFormatting sqref="AC68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68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X68">
    <cfRule type="expression" priority="1610" dxfId="3">
      <formula>AND(IF(OR($Q68=1,$Q68=2),1,0),IF($X68&lt;=20,1,0))</formula>
    </cfRule>
    <cfRule type="expression" priority="1611" dxfId="2">
      <formula>AND(IF($Q68=2,1,0),IF($X68&lt;30,1,0))</formula>
    </cfRule>
    <cfRule type="expression" priority="1612" dxfId="1">
      <formula>AND(IF($Q68=3,1,0),IF($X68&lt;30,1,0))</formula>
    </cfRule>
    <cfRule type="expression" priority="1613" dxfId="0">
      <formula>AND(IF($Q68=3,1,IF($Q68=4,1,0)),IF($F68&lt;=85,1,0))</formula>
    </cfRule>
  </conditionalFormatting>
  <conditionalFormatting sqref="AI68">
    <cfRule type="expression" priority="1606" dxfId="3">
      <formula>AND(IF(OR($Q68=1,$Q68=2),1,0),IF($X68&lt;=20,1,0))</formula>
    </cfRule>
    <cfRule type="expression" priority="1607" dxfId="2">
      <formula>AND(IF($Q68=2,1,0),IF($X68&lt;30,1,0))</formula>
    </cfRule>
    <cfRule type="expression" priority="1608" dxfId="1">
      <formula>AND(IF($Q68=3,1,0),IF($X68&lt;30,1,0))</formula>
    </cfRule>
    <cfRule type="expression" priority="1609" dxfId="0">
      <formula>AND(IF($Q68=3,1,IF($Q68=4,1,0)),IF($F68&lt;=85,1,0))</formula>
    </cfRule>
  </conditionalFormatting>
  <conditionalFormatting sqref="AV69">
    <cfRule type="expression" priority="1604" dxfId="17">
      <formula>AV69="X"</formula>
    </cfRule>
    <cfRule type="expression" priority="1605" dxfId="16">
      <formula>AV69="후보"</formula>
    </cfRule>
  </conditionalFormatting>
  <conditionalFormatting sqref="AC69 N69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AV70">
    <cfRule type="expression" priority="1599" dxfId="17">
      <formula>AV70="X"</formula>
    </cfRule>
    <cfRule type="expression" priority="1600" dxfId="16">
      <formula>AV70="후보"</formula>
    </cfRule>
  </conditionalFormatting>
  <conditionalFormatting sqref="AC7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70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70">
    <cfRule type="expression" priority="1590" dxfId="3">
      <formula>AND(IF(OR($Q70=1,$Q70=2),1,0),IF($X70&lt;=20,1,0))</formula>
    </cfRule>
    <cfRule type="expression" priority="1591" dxfId="2">
      <formula>AND(IF($Q70=2,1,0),IF($X70&lt;30,1,0))</formula>
    </cfRule>
    <cfRule type="expression" priority="1592" dxfId="1">
      <formula>AND(IF($Q70=3,1,0),IF($X70&lt;30,1,0))</formula>
    </cfRule>
    <cfRule type="expression" priority="1593" dxfId="0">
      <formula>AND(IF($Q70=3,1,IF($Q70=4,1,0)),IF($F70&lt;=85,1,0))</formula>
    </cfRule>
  </conditionalFormatting>
  <conditionalFormatting sqref="X70">
    <cfRule type="expression" priority="1586" dxfId="3">
      <formula>AND(IF(OR($Q70=1,$Q70=2),1,0),IF($X70&lt;=20,1,0))</formula>
    </cfRule>
    <cfRule type="expression" priority="1587" dxfId="2">
      <formula>AND(IF($Q70=2,1,0),IF($X70&lt;30,1,0))</formula>
    </cfRule>
    <cfRule type="expression" priority="1588" dxfId="1">
      <formula>AND(IF($Q70=3,1,0),IF($X70&lt;30,1,0))</formula>
    </cfRule>
    <cfRule type="expression" priority="1589" dxfId="0">
      <formula>AND(IF($Q70=3,1,IF($Q70=4,1,0)),IF($F70&lt;=85,1,0))</formula>
    </cfRule>
  </conditionalFormatting>
  <conditionalFormatting sqref="AI70">
    <cfRule type="expression" priority="1582" dxfId="3">
      <formula>AND(IF(OR($Q70=1,$Q70=2),1,0),IF($X70&lt;=20,1,0))</formula>
    </cfRule>
    <cfRule type="expression" priority="1583" dxfId="2">
      <formula>AND(IF($Q70=2,1,0),IF($X70&lt;30,1,0))</formula>
    </cfRule>
    <cfRule type="expression" priority="1584" dxfId="1">
      <formula>AND(IF($Q70=3,1,0),IF($X70&lt;30,1,0))</formula>
    </cfRule>
    <cfRule type="expression" priority="1585" dxfId="0">
      <formula>AND(IF($Q70=3,1,IF($Q70=4,1,0)),IF($F70&lt;=85,1,0))</formula>
    </cfRule>
  </conditionalFormatting>
  <conditionalFormatting sqref="AV71">
    <cfRule type="expression" priority="1580" dxfId="17">
      <formula>AV71="X"</formula>
    </cfRule>
    <cfRule type="expression" priority="1581" dxfId="16">
      <formula>AV71="후보"</formula>
    </cfRule>
  </conditionalFormatting>
  <conditionalFormatting sqref="AC7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71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X71">
    <cfRule type="expression" priority="1567" dxfId="3">
      <formula>AND(IF(OR($Q71=1,$Q71=2),1,0),IF($X71&lt;=20,1,0))</formula>
    </cfRule>
    <cfRule type="expression" priority="1568" dxfId="2">
      <formula>AND(IF($Q71=2,1,0),IF($X71&lt;30,1,0))</formula>
    </cfRule>
    <cfRule type="expression" priority="1569" dxfId="1">
      <formula>AND(IF($Q71=3,1,0),IF($X71&lt;30,1,0))</formula>
    </cfRule>
    <cfRule type="expression" priority="1570" dxfId="0">
      <formula>AND(IF($Q71=3,1,IF($Q71=4,1,0)),IF($F71&lt;=85,1,0))</formula>
    </cfRule>
  </conditionalFormatting>
  <conditionalFormatting sqref="AI71">
    <cfRule type="expression" priority="1563" dxfId="3">
      <formula>AND(IF(OR($Q71=1,$Q71=2),1,0),IF($X71&lt;=20,1,0))</formula>
    </cfRule>
    <cfRule type="expression" priority="1564" dxfId="2">
      <formula>AND(IF($Q71=2,1,0),IF($X71&lt;30,1,0))</formula>
    </cfRule>
    <cfRule type="expression" priority="1565" dxfId="1">
      <formula>AND(IF($Q71=3,1,0),IF($X71&lt;30,1,0))</formula>
    </cfRule>
    <cfRule type="expression" priority="1566" dxfId="0">
      <formula>AND(IF($Q71=3,1,IF($Q71=4,1,0)),IF($F71&lt;=85,1,0))</formula>
    </cfRule>
  </conditionalFormatting>
  <conditionalFormatting sqref="AV72">
    <cfRule type="expression" priority="1561" dxfId="17">
      <formula>AV72="X"</formula>
    </cfRule>
    <cfRule type="expression" priority="1562" dxfId="16">
      <formula>AV72="후보"</formula>
    </cfRule>
  </conditionalFormatting>
  <conditionalFormatting sqref="AC72 N7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AV73">
    <cfRule type="expression" priority="1556" dxfId="17">
      <formula>AV73="X"</formula>
    </cfRule>
    <cfRule type="expression" priority="1557" dxfId="16">
      <formula>AV73="후보"</formula>
    </cfRule>
  </conditionalFormatting>
  <conditionalFormatting sqref="AC7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7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73">
    <cfRule type="expression" priority="1547" dxfId="3">
      <formula>AND(IF(OR($Q73=1,$Q73=2),1,0),IF($X73&lt;=20,1,0))</formula>
    </cfRule>
    <cfRule type="expression" priority="1548" dxfId="2">
      <formula>AND(IF($Q73=2,1,0),IF($X73&lt;30,1,0))</formula>
    </cfRule>
    <cfRule type="expression" priority="1549" dxfId="1">
      <formula>AND(IF($Q73=3,1,0),IF($X73&lt;30,1,0))</formula>
    </cfRule>
    <cfRule type="expression" priority="1550" dxfId="0">
      <formula>AND(IF($Q73=3,1,IF($Q73=4,1,0)),IF($F73&lt;=85,1,0))</formula>
    </cfRule>
  </conditionalFormatting>
  <conditionalFormatting sqref="X73">
    <cfRule type="expression" priority="1543" dxfId="3">
      <formula>AND(IF(OR($Q73=1,$Q73=2),1,0),IF($X73&lt;=20,1,0))</formula>
    </cfRule>
    <cfRule type="expression" priority="1544" dxfId="2">
      <formula>AND(IF($Q73=2,1,0),IF($X73&lt;30,1,0))</formula>
    </cfRule>
    <cfRule type="expression" priority="1545" dxfId="1">
      <formula>AND(IF($Q73=3,1,0),IF($X73&lt;30,1,0))</formula>
    </cfRule>
    <cfRule type="expression" priority="1546" dxfId="0">
      <formula>AND(IF($Q73=3,1,IF($Q73=4,1,0)),IF($F73&lt;=85,1,0))</formula>
    </cfRule>
  </conditionalFormatting>
  <conditionalFormatting sqref="AI73">
    <cfRule type="expression" priority="1539" dxfId="3">
      <formula>AND(IF(OR($Q73=1,$Q73=2),1,0),IF($X73&lt;=20,1,0))</formula>
    </cfRule>
    <cfRule type="expression" priority="1540" dxfId="2">
      <formula>AND(IF($Q73=2,1,0),IF($X73&lt;30,1,0))</formula>
    </cfRule>
    <cfRule type="expression" priority="1541" dxfId="1">
      <formula>AND(IF($Q73=3,1,0),IF($X73&lt;30,1,0))</formula>
    </cfRule>
    <cfRule type="expression" priority="1542" dxfId="0">
      <formula>AND(IF($Q73=3,1,IF($Q73=4,1,0)),IF($F73&lt;=85,1,0))</formula>
    </cfRule>
  </conditionalFormatting>
  <conditionalFormatting sqref="AV74">
    <cfRule type="expression" priority="1537" dxfId="17">
      <formula>AV74="X"</formula>
    </cfRule>
    <cfRule type="expression" priority="1538" dxfId="16">
      <formula>AV74="후보"</formula>
    </cfRule>
  </conditionalFormatting>
  <conditionalFormatting sqref="AC7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7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74">
    <cfRule type="expression" priority="1528" dxfId="3">
      <formula>AND(IF(OR($Q74=1,$Q74=2),1,0),IF($X74&lt;=20,1,0))</formula>
    </cfRule>
    <cfRule type="expression" priority="1529" dxfId="2">
      <formula>AND(IF($Q74=2,1,0),IF($X74&lt;30,1,0))</formula>
    </cfRule>
    <cfRule type="expression" priority="1530" dxfId="1">
      <formula>AND(IF($Q74=3,1,0),IF($X74&lt;30,1,0))</formula>
    </cfRule>
    <cfRule type="expression" priority="1531" dxfId="0">
      <formula>AND(IF($Q74=3,1,IF($Q74=4,1,0)),IF($F74&lt;=85,1,0))</formula>
    </cfRule>
  </conditionalFormatting>
  <conditionalFormatting sqref="X74">
    <cfRule type="expression" priority="1524" dxfId="3">
      <formula>AND(IF(OR($Q74=1,$Q74=2),1,0),IF($X74&lt;=20,1,0))</formula>
    </cfRule>
    <cfRule type="expression" priority="1525" dxfId="2">
      <formula>AND(IF($Q74=2,1,0),IF($X74&lt;30,1,0))</formula>
    </cfRule>
    <cfRule type="expression" priority="1526" dxfId="1">
      <formula>AND(IF($Q74=3,1,0),IF($X74&lt;30,1,0))</formula>
    </cfRule>
    <cfRule type="expression" priority="1527" dxfId="0">
      <formula>AND(IF($Q74=3,1,IF($Q74=4,1,0)),IF($F74&lt;=85,1,0))</formula>
    </cfRule>
  </conditionalFormatting>
  <conditionalFormatting sqref="AI74">
    <cfRule type="expression" priority="1520" dxfId="3">
      <formula>AND(IF(OR($Q74=1,$Q74=2),1,0),IF($X74&lt;=20,1,0))</formula>
    </cfRule>
    <cfRule type="expression" priority="1521" dxfId="2">
      <formula>AND(IF($Q74=2,1,0),IF($X74&lt;30,1,0))</formula>
    </cfRule>
    <cfRule type="expression" priority="1522" dxfId="1">
      <formula>AND(IF($Q74=3,1,0),IF($X74&lt;30,1,0))</formula>
    </cfRule>
    <cfRule type="expression" priority="1523" dxfId="0">
      <formula>AND(IF($Q74=3,1,IF($Q74=4,1,0)),IF($F74&lt;=85,1,0))</formula>
    </cfRule>
  </conditionalFormatting>
  <conditionalFormatting sqref="AV75">
    <cfRule type="expression" priority="1518" dxfId="17">
      <formula>AV75="X"</formula>
    </cfRule>
    <cfRule type="expression" priority="1519" dxfId="16">
      <formula>AV75="후보"</formula>
    </cfRule>
  </conditionalFormatting>
  <conditionalFormatting sqref="AC7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7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75">
    <cfRule type="expression" priority="1509" dxfId="3">
      <formula>AND(IF(OR($Q75=1,$Q75=2),1,0),IF($X75&lt;=20,1,0))</formula>
    </cfRule>
    <cfRule type="expression" priority="1510" dxfId="2">
      <formula>AND(IF($Q75=2,1,0),IF($X75&lt;30,1,0))</formula>
    </cfRule>
    <cfRule type="expression" priority="1511" dxfId="1">
      <formula>AND(IF($Q75=3,1,0),IF($X75&lt;30,1,0))</formula>
    </cfRule>
    <cfRule type="expression" priority="1512" dxfId="0">
      <formula>AND(IF($Q75=3,1,IF($Q75=4,1,0)),IF($F75&lt;=85,1,0))</formula>
    </cfRule>
  </conditionalFormatting>
  <conditionalFormatting sqref="X75">
    <cfRule type="expression" priority="1505" dxfId="3">
      <formula>AND(IF(OR($Q75=1,$Q75=2),1,0),IF($X75&lt;=20,1,0))</formula>
    </cfRule>
    <cfRule type="expression" priority="1506" dxfId="2">
      <formula>AND(IF($Q75=2,1,0),IF($X75&lt;30,1,0))</formula>
    </cfRule>
    <cfRule type="expression" priority="1507" dxfId="1">
      <formula>AND(IF($Q75=3,1,0),IF($X75&lt;30,1,0))</formula>
    </cfRule>
    <cfRule type="expression" priority="1508" dxfId="0">
      <formula>AND(IF($Q75=3,1,IF($Q75=4,1,0)),IF($F75&lt;=85,1,0))</formula>
    </cfRule>
  </conditionalFormatting>
  <conditionalFormatting sqref="AI75">
    <cfRule type="expression" priority="1501" dxfId="3">
      <formula>AND(IF(OR($Q75=1,$Q75=2),1,0),IF($X75&lt;=20,1,0))</formula>
    </cfRule>
    <cfRule type="expression" priority="1502" dxfId="2">
      <formula>AND(IF($Q75=2,1,0),IF($X75&lt;30,1,0))</formula>
    </cfRule>
    <cfRule type="expression" priority="1503" dxfId="1">
      <formula>AND(IF($Q75=3,1,0),IF($X75&lt;30,1,0))</formula>
    </cfRule>
    <cfRule type="expression" priority="1504" dxfId="0">
      <formula>AND(IF($Q75=3,1,IF($Q75=4,1,0)),IF($F75&lt;=85,1,0))</formula>
    </cfRule>
  </conditionalFormatting>
  <conditionalFormatting sqref="AV76">
    <cfRule type="expression" priority="1499" dxfId="17">
      <formula>AV76="X"</formula>
    </cfRule>
    <cfRule type="expression" priority="1500" dxfId="16">
      <formula>AV76="후보"</formula>
    </cfRule>
  </conditionalFormatting>
  <conditionalFormatting sqref="AC7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7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76">
    <cfRule type="expression" priority="1490" dxfId="3">
      <formula>AND(IF(OR($Q76=1,$Q76=2),1,0),IF($X76&lt;=20,1,0))</formula>
    </cfRule>
    <cfRule type="expression" priority="1491" dxfId="2">
      <formula>AND(IF($Q76=2,1,0),IF($X76&lt;30,1,0))</formula>
    </cfRule>
    <cfRule type="expression" priority="1492" dxfId="1">
      <formula>AND(IF($Q76=3,1,0),IF($X76&lt;30,1,0))</formula>
    </cfRule>
    <cfRule type="expression" priority="1493" dxfId="0">
      <formula>AND(IF($Q76=3,1,IF($Q76=4,1,0)),IF($F76&lt;=85,1,0))</formula>
    </cfRule>
  </conditionalFormatting>
  <conditionalFormatting sqref="X76">
    <cfRule type="expression" priority="1486" dxfId="3">
      <formula>AND(IF(OR($Q76=1,$Q76=2),1,0),IF($X76&lt;=20,1,0))</formula>
    </cfRule>
    <cfRule type="expression" priority="1487" dxfId="2">
      <formula>AND(IF($Q76=2,1,0),IF($X76&lt;30,1,0))</formula>
    </cfRule>
    <cfRule type="expression" priority="1488" dxfId="1">
      <formula>AND(IF($Q76=3,1,0),IF($X76&lt;30,1,0))</formula>
    </cfRule>
    <cfRule type="expression" priority="1489" dxfId="0">
      <formula>AND(IF($Q76=3,1,IF($Q76=4,1,0)),IF($F76&lt;=85,1,0))</formula>
    </cfRule>
  </conditionalFormatting>
  <conditionalFormatting sqref="AI76">
    <cfRule type="expression" priority="1482" dxfId="3">
      <formula>AND(IF(OR($Q76=1,$Q76=2),1,0),IF($X76&lt;=20,1,0))</formula>
    </cfRule>
    <cfRule type="expression" priority="1483" dxfId="2">
      <formula>AND(IF($Q76=2,1,0),IF($X76&lt;30,1,0))</formula>
    </cfRule>
    <cfRule type="expression" priority="1484" dxfId="1">
      <formula>AND(IF($Q76=3,1,0),IF($X76&lt;30,1,0))</formula>
    </cfRule>
    <cfRule type="expression" priority="1485" dxfId="0">
      <formula>AND(IF($Q76=3,1,IF($Q76=4,1,0)),IF($F76&lt;=85,1,0))</formula>
    </cfRule>
  </conditionalFormatting>
  <conditionalFormatting sqref="AV77">
    <cfRule type="expression" priority="1480" dxfId="17">
      <formula>AV77="X"</formula>
    </cfRule>
    <cfRule type="expression" priority="1481" dxfId="16">
      <formula>AV77="후보"</formula>
    </cfRule>
  </conditionalFormatting>
  <conditionalFormatting sqref="AC77 N7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AV78">
    <cfRule type="expression" priority="1475" dxfId="17">
      <formula>AV78="X"</formula>
    </cfRule>
    <cfRule type="expression" priority="1476" dxfId="16">
      <formula>AV78="후보"</formula>
    </cfRule>
  </conditionalFormatting>
  <conditionalFormatting sqref="AC78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78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78">
    <cfRule type="expression" priority="1466" dxfId="3">
      <formula>AND(IF(OR($Q78=1,$Q78=2),1,0),IF($X78&lt;=20,1,0))</formula>
    </cfRule>
    <cfRule type="expression" priority="1467" dxfId="2">
      <formula>AND(IF($Q78=2,1,0),IF($X78&lt;30,1,0))</formula>
    </cfRule>
    <cfRule type="expression" priority="1468" dxfId="1">
      <formula>AND(IF($Q78=3,1,0),IF($X78&lt;30,1,0))</formula>
    </cfRule>
    <cfRule type="expression" priority="1469" dxfId="0">
      <formula>AND(IF($Q78=3,1,IF($Q78=4,1,0)),IF($F78&lt;=85,1,0))</formula>
    </cfRule>
  </conditionalFormatting>
  <conditionalFormatting sqref="X78">
    <cfRule type="expression" priority="1462" dxfId="3">
      <formula>AND(IF(OR($Q78=1,$Q78=2),1,0),IF($X78&lt;=20,1,0))</formula>
    </cfRule>
    <cfRule type="expression" priority="1463" dxfId="2">
      <formula>AND(IF($Q78=2,1,0),IF($X78&lt;30,1,0))</formula>
    </cfRule>
    <cfRule type="expression" priority="1464" dxfId="1">
      <formula>AND(IF($Q78=3,1,0),IF($X78&lt;30,1,0))</formula>
    </cfRule>
    <cfRule type="expression" priority="1465" dxfId="0">
      <formula>AND(IF($Q78=3,1,IF($Q78=4,1,0)),IF($F78&lt;=85,1,0))</formula>
    </cfRule>
  </conditionalFormatting>
  <conditionalFormatting sqref="AI78">
    <cfRule type="expression" priority="1458" dxfId="3">
      <formula>AND(IF(OR($Q78=1,$Q78=2),1,0),IF($X78&lt;=20,1,0))</formula>
    </cfRule>
    <cfRule type="expression" priority="1459" dxfId="2">
      <formula>AND(IF($Q78=2,1,0),IF($X78&lt;30,1,0))</formula>
    </cfRule>
    <cfRule type="expression" priority="1460" dxfId="1">
      <formula>AND(IF($Q78=3,1,0),IF($X78&lt;30,1,0))</formula>
    </cfRule>
    <cfRule type="expression" priority="1461" dxfId="0">
      <formula>AND(IF($Q78=3,1,IF($Q78=4,1,0)),IF($F78&lt;=85,1,0))</formula>
    </cfRule>
  </conditionalFormatting>
  <conditionalFormatting sqref="AV79">
    <cfRule type="expression" priority="1456" dxfId="17">
      <formula>AV79="X"</formula>
    </cfRule>
    <cfRule type="expression" priority="1457" dxfId="16">
      <formula>AV79="후보"</formula>
    </cfRule>
  </conditionalFormatting>
  <conditionalFormatting sqref="AC7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79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79">
    <cfRule type="expression" priority="1447" dxfId="3">
      <formula>AND(IF(OR($Q79=1,$Q79=2),1,0),IF($X79&lt;=20,1,0))</formula>
    </cfRule>
    <cfRule type="expression" priority="1448" dxfId="2">
      <formula>AND(IF($Q79=2,1,0),IF($X79&lt;30,1,0))</formula>
    </cfRule>
    <cfRule type="expression" priority="1449" dxfId="1">
      <formula>AND(IF($Q79=3,1,0),IF($X79&lt;30,1,0))</formula>
    </cfRule>
    <cfRule type="expression" priority="1450" dxfId="0">
      <formula>AND(IF($Q79=3,1,IF($Q79=4,1,0)),IF($F79&lt;=85,1,0))</formula>
    </cfRule>
  </conditionalFormatting>
  <conditionalFormatting sqref="X79">
    <cfRule type="expression" priority="1443" dxfId="3">
      <formula>AND(IF(OR($Q79=1,$Q79=2),1,0),IF($X79&lt;=20,1,0))</formula>
    </cfRule>
    <cfRule type="expression" priority="1444" dxfId="2">
      <formula>AND(IF($Q79=2,1,0),IF($X79&lt;30,1,0))</formula>
    </cfRule>
    <cfRule type="expression" priority="1445" dxfId="1">
      <formula>AND(IF($Q79=3,1,0),IF($X79&lt;30,1,0))</formula>
    </cfRule>
    <cfRule type="expression" priority="1446" dxfId="0">
      <formula>AND(IF($Q79=3,1,IF($Q79=4,1,0)),IF($F79&lt;=85,1,0))</formula>
    </cfRule>
  </conditionalFormatting>
  <conditionalFormatting sqref="AI79">
    <cfRule type="expression" priority="1439" dxfId="3">
      <formula>AND(IF(OR($Q79=1,$Q79=2),1,0),IF($X79&lt;=20,1,0))</formula>
    </cfRule>
    <cfRule type="expression" priority="1440" dxfId="2">
      <formula>AND(IF($Q79=2,1,0),IF($X79&lt;30,1,0))</formula>
    </cfRule>
    <cfRule type="expression" priority="1441" dxfId="1">
      <formula>AND(IF($Q79=3,1,0),IF($X79&lt;30,1,0))</formula>
    </cfRule>
    <cfRule type="expression" priority="1442" dxfId="0">
      <formula>AND(IF($Q79=3,1,IF($Q79=4,1,0)),IF($F79&lt;=85,1,0))</formula>
    </cfRule>
  </conditionalFormatting>
  <conditionalFormatting sqref="AV80">
    <cfRule type="expression" priority="1437" dxfId="17">
      <formula>AV80="X"</formula>
    </cfRule>
    <cfRule type="expression" priority="1438" dxfId="16">
      <formula>AV80="후보"</formula>
    </cfRule>
  </conditionalFormatting>
  <conditionalFormatting sqref="AC80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80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80">
    <cfRule type="expression" priority="1428" dxfId="3">
      <formula>AND(IF(OR($Q80=1,$Q80=2),1,0),IF($X80&lt;=20,1,0))</formula>
    </cfRule>
    <cfRule type="expression" priority="1429" dxfId="2">
      <formula>AND(IF($Q80=2,1,0),IF($X80&lt;30,1,0))</formula>
    </cfRule>
    <cfRule type="expression" priority="1430" dxfId="1">
      <formula>AND(IF($Q80=3,1,0),IF($X80&lt;30,1,0))</formula>
    </cfRule>
    <cfRule type="expression" priority="1431" dxfId="0">
      <formula>AND(IF($Q80=3,1,IF($Q80=4,1,0)),IF($F80&lt;=85,1,0))</formula>
    </cfRule>
  </conditionalFormatting>
  <conditionalFormatting sqref="X80">
    <cfRule type="expression" priority="1424" dxfId="3">
      <formula>AND(IF(OR($Q80=1,$Q80=2),1,0),IF($X80&lt;=20,1,0))</formula>
    </cfRule>
    <cfRule type="expression" priority="1425" dxfId="2">
      <formula>AND(IF($Q80=2,1,0),IF($X80&lt;30,1,0))</formula>
    </cfRule>
    <cfRule type="expression" priority="1426" dxfId="1">
      <formula>AND(IF($Q80=3,1,0),IF($X80&lt;30,1,0))</formula>
    </cfRule>
    <cfRule type="expression" priority="1427" dxfId="0">
      <formula>AND(IF($Q80=3,1,IF($Q80=4,1,0)),IF($F80&lt;=85,1,0))</formula>
    </cfRule>
  </conditionalFormatting>
  <conditionalFormatting sqref="AI80">
    <cfRule type="expression" priority="1420" dxfId="3">
      <formula>AND(IF(OR($Q80=1,$Q80=2),1,0),IF($X80&lt;=20,1,0))</formula>
    </cfRule>
    <cfRule type="expression" priority="1421" dxfId="2">
      <formula>AND(IF($Q80=2,1,0),IF($X80&lt;30,1,0))</formula>
    </cfRule>
    <cfRule type="expression" priority="1422" dxfId="1">
      <formula>AND(IF($Q80=3,1,0),IF($X80&lt;30,1,0))</formula>
    </cfRule>
    <cfRule type="expression" priority="1423" dxfId="0">
      <formula>AND(IF($Q80=3,1,IF($Q80=4,1,0)),IF($F80&lt;=85,1,0))</formula>
    </cfRule>
  </conditionalFormatting>
  <conditionalFormatting sqref="AV81">
    <cfRule type="expression" priority="1418" dxfId="17">
      <formula>AV81="X"</formula>
    </cfRule>
    <cfRule type="expression" priority="1419" dxfId="16">
      <formula>AV81="후보"</formula>
    </cfRule>
  </conditionalFormatting>
  <conditionalFormatting sqref="AC81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81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81">
    <cfRule type="expression" priority="1409" dxfId="3">
      <formula>AND(IF(OR($Q81=1,$Q81=2),1,0),IF($X81&lt;=20,1,0))</formula>
    </cfRule>
    <cfRule type="expression" priority="1410" dxfId="2">
      <formula>AND(IF($Q81=2,1,0),IF($X81&lt;30,1,0))</formula>
    </cfRule>
    <cfRule type="expression" priority="1411" dxfId="1">
      <formula>AND(IF($Q81=3,1,0),IF($X81&lt;30,1,0))</formula>
    </cfRule>
    <cfRule type="expression" priority="1412" dxfId="0">
      <formula>AND(IF($Q81=3,1,IF($Q81=4,1,0)),IF($F81&lt;=85,1,0))</formula>
    </cfRule>
  </conditionalFormatting>
  <conditionalFormatting sqref="X81">
    <cfRule type="expression" priority="1405" dxfId="3">
      <formula>AND(IF(OR($Q81=1,$Q81=2),1,0),IF($X81&lt;=20,1,0))</formula>
    </cfRule>
    <cfRule type="expression" priority="1406" dxfId="2">
      <formula>AND(IF($Q81=2,1,0),IF($X81&lt;30,1,0))</formula>
    </cfRule>
    <cfRule type="expression" priority="1407" dxfId="1">
      <formula>AND(IF($Q81=3,1,0),IF($X81&lt;30,1,0))</formula>
    </cfRule>
    <cfRule type="expression" priority="1408" dxfId="0">
      <formula>AND(IF($Q81=3,1,IF($Q81=4,1,0)),IF($F81&lt;=85,1,0))</formula>
    </cfRule>
  </conditionalFormatting>
  <conditionalFormatting sqref="AI81">
    <cfRule type="expression" priority="1401" dxfId="3">
      <formula>AND(IF(OR($Q81=1,$Q81=2),1,0),IF($X81&lt;=20,1,0))</formula>
    </cfRule>
    <cfRule type="expression" priority="1402" dxfId="2">
      <formula>AND(IF($Q81=2,1,0),IF($X81&lt;30,1,0))</formula>
    </cfRule>
    <cfRule type="expression" priority="1403" dxfId="1">
      <formula>AND(IF($Q81=3,1,0),IF($X81&lt;30,1,0))</formula>
    </cfRule>
    <cfRule type="expression" priority="1404" dxfId="0">
      <formula>AND(IF($Q81=3,1,IF($Q81=4,1,0)),IF($F81&lt;=85,1,0))</formula>
    </cfRule>
  </conditionalFormatting>
  <conditionalFormatting sqref="AV82">
    <cfRule type="expression" priority="1399" dxfId="17">
      <formula>AV82="X"</formula>
    </cfRule>
    <cfRule type="expression" priority="1400" dxfId="16">
      <formula>AV82="후보"</formula>
    </cfRule>
  </conditionalFormatting>
  <conditionalFormatting sqref="AC82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82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82">
    <cfRule type="expression" priority="1390" dxfId="3">
      <formula>AND(IF(OR($Q82=1,$Q82=2),1,0),IF($X82&lt;=20,1,0))</formula>
    </cfRule>
    <cfRule type="expression" priority="1391" dxfId="2">
      <formula>AND(IF($Q82=2,1,0),IF($X82&lt;30,1,0))</formula>
    </cfRule>
    <cfRule type="expression" priority="1392" dxfId="1">
      <formula>AND(IF($Q82=3,1,0),IF($X82&lt;30,1,0))</formula>
    </cfRule>
    <cfRule type="expression" priority="1393" dxfId="0">
      <formula>AND(IF($Q82=3,1,IF($Q82=4,1,0)),IF($F82&lt;=85,1,0))</formula>
    </cfRule>
  </conditionalFormatting>
  <conditionalFormatting sqref="X82">
    <cfRule type="expression" priority="1386" dxfId="3">
      <formula>AND(IF(OR($Q82=1,$Q82=2),1,0),IF($X82&lt;=20,1,0))</formula>
    </cfRule>
    <cfRule type="expression" priority="1387" dxfId="2">
      <formula>AND(IF($Q82=2,1,0),IF($X82&lt;30,1,0))</formula>
    </cfRule>
    <cfRule type="expression" priority="1388" dxfId="1">
      <formula>AND(IF($Q82=3,1,0),IF($X82&lt;30,1,0))</formula>
    </cfRule>
    <cfRule type="expression" priority="1389" dxfId="0">
      <formula>AND(IF($Q82=3,1,IF($Q82=4,1,0)),IF($F82&lt;=85,1,0))</formula>
    </cfRule>
  </conditionalFormatting>
  <conditionalFormatting sqref="AI82">
    <cfRule type="expression" priority="1382" dxfId="3">
      <formula>AND(IF(OR($Q82=1,$Q82=2),1,0),IF($X82&lt;=20,1,0))</formula>
    </cfRule>
    <cfRule type="expression" priority="1383" dxfId="2">
      <formula>AND(IF($Q82=2,1,0),IF($X82&lt;30,1,0))</formula>
    </cfRule>
    <cfRule type="expression" priority="1384" dxfId="1">
      <formula>AND(IF($Q82=3,1,0),IF($X82&lt;30,1,0))</formula>
    </cfRule>
    <cfRule type="expression" priority="1385" dxfId="0">
      <formula>AND(IF($Q82=3,1,IF($Q82=4,1,0)),IF($F82&lt;=85,1,0))</formula>
    </cfRule>
  </conditionalFormatting>
  <conditionalFormatting sqref="AV83">
    <cfRule type="expression" priority="1380" dxfId="17">
      <formula>AV83="X"</formula>
    </cfRule>
    <cfRule type="expression" priority="1381" dxfId="16">
      <formula>AV83="후보"</formula>
    </cfRule>
  </conditionalFormatting>
  <conditionalFormatting sqref="AC83 N83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84">
    <cfRule type="expression" priority="1375" dxfId="17">
      <formula>AV84="X"</formula>
    </cfRule>
    <cfRule type="expression" priority="1376" dxfId="16">
      <formula>AV84="후보"</formula>
    </cfRule>
  </conditionalFormatting>
  <conditionalFormatting sqref="AC84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84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84">
    <cfRule type="expression" priority="1366" dxfId="3">
      <formula>AND(IF(OR($Q84=1,$Q84=2),1,0),IF($X84&lt;=20,1,0))</formula>
    </cfRule>
    <cfRule type="expression" priority="1367" dxfId="2">
      <formula>AND(IF($Q84=2,1,0),IF($X84&lt;30,1,0))</formula>
    </cfRule>
    <cfRule type="expression" priority="1368" dxfId="1">
      <formula>AND(IF($Q84=3,1,0),IF($X84&lt;30,1,0))</formula>
    </cfRule>
    <cfRule type="expression" priority="1369" dxfId="0">
      <formula>AND(IF($Q84=3,1,IF($Q84=4,1,0)),IF($F84&lt;=85,1,0))</formula>
    </cfRule>
  </conditionalFormatting>
  <conditionalFormatting sqref="X84">
    <cfRule type="expression" priority="1362" dxfId="3">
      <formula>AND(IF(OR($Q84=1,$Q84=2),1,0),IF($X84&lt;=20,1,0))</formula>
    </cfRule>
    <cfRule type="expression" priority="1363" dxfId="2">
      <formula>AND(IF($Q84=2,1,0),IF($X84&lt;30,1,0))</formula>
    </cfRule>
    <cfRule type="expression" priority="1364" dxfId="1">
      <formula>AND(IF($Q84=3,1,0),IF($X84&lt;30,1,0))</formula>
    </cfRule>
    <cfRule type="expression" priority="1365" dxfId="0">
      <formula>AND(IF($Q84=3,1,IF($Q84=4,1,0)),IF($F84&lt;=85,1,0))</formula>
    </cfRule>
  </conditionalFormatting>
  <conditionalFormatting sqref="AI84">
    <cfRule type="expression" priority="1358" dxfId="3">
      <formula>AND(IF(OR($Q84=1,$Q84=2),1,0),IF($X84&lt;=20,1,0))</formula>
    </cfRule>
    <cfRule type="expression" priority="1359" dxfId="2">
      <formula>AND(IF($Q84=2,1,0),IF($X84&lt;30,1,0))</formula>
    </cfRule>
    <cfRule type="expression" priority="1360" dxfId="1">
      <formula>AND(IF($Q84=3,1,0),IF($X84&lt;30,1,0))</formula>
    </cfRule>
    <cfRule type="expression" priority="1361" dxfId="0">
      <formula>AND(IF($Q84=3,1,IF($Q84=4,1,0)),IF($F84&lt;=85,1,0))</formula>
    </cfRule>
  </conditionalFormatting>
  <conditionalFormatting sqref="AV85">
    <cfRule type="expression" priority="1356" dxfId="17">
      <formula>AV85="X"</formula>
    </cfRule>
    <cfRule type="expression" priority="1357" dxfId="16">
      <formula>AV85="후보"</formula>
    </cfRule>
  </conditionalFormatting>
  <conditionalFormatting sqref="AC85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85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85">
    <cfRule type="expression" priority="1347" dxfId="3">
      <formula>AND(IF(OR($Q85=1,$Q85=2),1,0),IF($X85&lt;=20,1,0))</formula>
    </cfRule>
    <cfRule type="expression" priority="1348" dxfId="2">
      <formula>AND(IF($Q85=2,1,0),IF($X85&lt;30,1,0))</formula>
    </cfRule>
    <cfRule type="expression" priority="1349" dxfId="1">
      <formula>AND(IF($Q85=3,1,0),IF($X85&lt;30,1,0))</formula>
    </cfRule>
    <cfRule type="expression" priority="1350" dxfId="0">
      <formula>AND(IF($Q85=3,1,IF($Q85=4,1,0)),IF($F85&lt;=85,1,0))</formula>
    </cfRule>
  </conditionalFormatting>
  <conditionalFormatting sqref="X85">
    <cfRule type="expression" priority="1343" dxfId="3">
      <formula>AND(IF(OR($Q85=1,$Q85=2),1,0),IF($X85&lt;=20,1,0))</formula>
    </cfRule>
    <cfRule type="expression" priority="1344" dxfId="2">
      <formula>AND(IF($Q85=2,1,0),IF($X85&lt;30,1,0))</formula>
    </cfRule>
    <cfRule type="expression" priority="1345" dxfId="1">
      <formula>AND(IF($Q85=3,1,0),IF($X85&lt;30,1,0))</formula>
    </cfRule>
    <cfRule type="expression" priority="1346" dxfId="0">
      <formula>AND(IF($Q85=3,1,IF($Q85=4,1,0)),IF($F85&lt;=85,1,0))</formula>
    </cfRule>
  </conditionalFormatting>
  <conditionalFormatting sqref="AI85">
    <cfRule type="expression" priority="1339" dxfId="3">
      <formula>AND(IF(OR($Q85=1,$Q85=2),1,0),IF($X85&lt;=20,1,0))</formula>
    </cfRule>
    <cfRule type="expression" priority="1340" dxfId="2">
      <formula>AND(IF($Q85=2,1,0),IF($X85&lt;30,1,0))</formula>
    </cfRule>
    <cfRule type="expression" priority="1341" dxfId="1">
      <formula>AND(IF($Q85=3,1,0),IF($X85&lt;30,1,0))</formula>
    </cfRule>
    <cfRule type="expression" priority="1342" dxfId="0">
      <formula>AND(IF($Q85=3,1,IF($Q85=4,1,0)),IF($F85&lt;=85,1,0))</formula>
    </cfRule>
  </conditionalFormatting>
  <conditionalFormatting sqref="AV86">
    <cfRule type="expression" priority="1337" dxfId="17">
      <formula>AV86="X"</formula>
    </cfRule>
    <cfRule type="expression" priority="1338" dxfId="16">
      <formula>AV86="후보"</formula>
    </cfRule>
  </conditionalFormatting>
  <conditionalFormatting sqref="AC86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86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86">
    <cfRule type="expression" priority="1328" dxfId="3">
      <formula>AND(IF(OR($Q86=1,$Q86=2),1,0),IF($X86&lt;=20,1,0))</formula>
    </cfRule>
    <cfRule type="expression" priority="1329" dxfId="2">
      <formula>AND(IF($Q86=2,1,0),IF($X86&lt;30,1,0))</formula>
    </cfRule>
    <cfRule type="expression" priority="1330" dxfId="1">
      <formula>AND(IF($Q86=3,1,0),IF($X86&lt;30,1,0))</formula>
    </cfRule>
    <cfRule type="expression" priority="1331" dxfId="0">
      <formula>AND(IF($Q86=3,1,IF($Q86=4,1,0)),IF($F86&lt;=85,1,0))</formula>
    </cfRule>
  </conditionalFormatting>
  <conditionalFormatting sqref="X86">
    <cfRule type="expression" priority="1324" dxfId="3">
      <formula>AND(IF(OR($Q86=1,$Q86=2),1,0),IF($X86&lt;=20,1,0))</formula>
    </cfRule>
    <cfRule type="expression" priority="1325" dxfId="2">
      <formula>AND(IF($Q86=2,1,0),IF($X86&lt;30,1,0))</formula>
    </cfRule>
    <cfRule type="expression" priority="1326" dxfId="1">
      <formula>AND(IF($Q86=3,1,0),IF($X86&lt;30,1,0))</formula>
    </cfRule>
    <cfRule type="expression" priority="1327" dxfId="0">
      <formula>AND(IF($Q86=3,1,IF($Q86=4,1,0)),IF($F86&lt;=85,1,0))</formula>
    </cfRule>
  </conditionalFormatting>
  <conditionalFormatting sqref="AI86">
    <cfRule type="expression" priority="1320" dxfId="3">
      <formula>AND(IF(OR($Q86=1,$Q86=2),1,0),IF($X86&lt;=20,1,0))</formula>
    </cfRule>
    <cfRule type="expression" priority="1321" dxfId="2">
      <formula>AND(IF($Q86=2,1,0),IF($X86&lt;30,1,0))</formula>
    </cfRule>
    <cfRule type="expression" priority="1322" dxfId="1">
      <formula>AND(IF($Q86=3,1,0),IF($X86&lt;30,1,0))</formula>
    </cfRule>
    <cfRule type="expression" priority="1323" dxfId="0">
      <formula>AND(IF($Q86=3,1,IF($Q86=4,1,0)),IF($F86&lt;=85,1,0))</formula>
    </cfRule>
  </conditionalFormatting>
  <conditionalFormatting sqref="AV87">
    <cfRule type="expression" priority="1318" dxfId="17">
      <formula>AV87="X"</formula>
    </cfRule>
    <cfRule type="expression" priority="1319" dxfId="16">
      <formula>AV87="후보"</formula>
    </cfRule>
  </conditionalFormatting>
  <conditionalFormatting sqref="AC8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8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87">
    <cfRule type="expression" priority="1309" dxfId="3">
      <formula>AND(IF(OR($Q87=1,$Q87=2),1,0),IF($X87&lt;=20,1,0))</formula>
    </cfRule>
    <cfRule type="expression" priority="1310" dxfId="2">
      <formula>AND(IF($Q87=2,1,0),IF($X87&lt;30,1,0))</formula>
    </cfRule>
    <cfRule type="expression" priority="1311" dxfId="1">
      <formula>AND(IF($Q87=3,1,0),IF($X87&lt;30,1,0))</formula>
    </cfRule>
    <cfRule type="expression" priority="1312" dxfId="0">
      <formula>AND(IF($Q87=3,1,IF($Q87=4,1,0)),IF($F87&lt;=85,1,0))</formula>
    </cfRule>
  </conditionalFormatting>
  <conditionalFormatting sqref="X87">
    <cfRule type="expression" priority="1305" dxfId="3">
      <formula>AND(IF(OR($Q87=1,$Q87=2),1,0),IF($X87&lt;=20,1,0))</formula>
    </cfRule>
    <cfRule type="expression" priority="1306" dxfId="2">
      <formula>AND(IF($Q87=2,1,0),IF($X87&lt;30,1,0))</formula>
    </cfRule>
    <cfRule type="expression" priority="1307" dxfId="1">
      <formula>AND(IF($Q87=3,1,0),IF($X87&lt;30,1,0))</formula>
    </cfRule>
    <cfRule type="expression" priority="1308" dxfId="0">
      <formula>AND(IF($Q87=3,1,IF($Q87=4,1,0)),IF($F87&lt;=85,1,0))</formula>
    </cfRule>
  </conditionalFormatting>
  <conditionalFormatting sqref="AI87">
    <cfRule type="expression" priority="1301" dxfId="3">
      <formula>AND(IF(OR($Q87=1,$Q87=2),1,0),IF($X87&lt;=20,1,0))</formula>
    </cfRule>
    <cfRule type="expression" priority="1302" dxfId="2">
      <formula>AND(IF($Q87=2,1,0),IF($X87&lt;30,1,0))</formula>
    </cfRule>
    <cfRule type="expression" priority="1303" dxfId="1">
      <formula>AND(IF($Q87=3,1,0),IF($X87&lt;30,1,0))</formula>
    </cfRule>
    <cfRule type="expression" priority="1304" dxfId="0">
      <formula>AND(IF($Q87=3,1,IF($Q87=4,1,0)),IF($F87&lt;=85,1,0))</formula>
    </cfRule>
  </conditionalFormatting>
  <conditionalFormatting sqref="AV88">
    <cfRule type="expression" priority="1299" dxfId="17">
      <formula>AV88="X"</formula>
    </cfRule>
    <cfRule type="expression" priority="1300" dxfId="16">
      <formula>AV88="후보"</formula>
    </cfRule>
  </conditionalFormatting>
  <conditionalFormatting sqref="AC88 N88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AV89">
    <cfRule type="expression" priority="1294" dxfId="17">
      <formula>AV89="X"</formula>
    </cfRule>
    <cfRule type="expression" priority="1295" dxfId="16">
      <formula>AV89="후보"</formula>
    </cfRule>
  </conditionalFormatting>
  <conditionalFormatting sqref="AC8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89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89">
    <cfRule type="expression" priority="1285" dxfId="3">
      <formula>AND(IF(OR($Q89=1,$Q89=2),1,0),IF($X89&lt;=20,1,0))</formula>
    </cfRule>
    <cfRule type="expression" priority="1286" dxfId="2">
      <formula>AND(IF($Q89=2,1,0),IF($X89&lt;30,1,0))</formula>
    </cfRule>
    <cfRule type="expression" priority="1287" dxfId="1">
      <formula>AND(IF($Q89=3,1,0),IF($X89&lt;30,1,0))</formula>
    </cfRule>
    <cfRule type="expression" priority="1288" dxfId="0">
      <formula>AND(IF($Q89=3,1,IF($Q89=4,1,0)),IF($F89&lt;=85,1,0))</formula>
    </cfRule>
  </conditionalFormatting>
  <conditionalFormatting sqref="X89">
    <cfRule type="expression" priority="1281" dxfId="3">
      <formula>AND(IF(OR($Q89=1,$Q89=2),1,0),IF($X89&lt;=20,1,0))</formula>
    </cfRule>
    <cfRule type="expression" priority="1282" dxfId="2">
      <formula>AND(IF($Q89=2,1,0),IF($X89&lt;30,1,0))</formula>
    </cfRule>
    <cfRule type="expression" priority="1283" dxfId="1">
      <formula>AND(IF($Q89=3,1,0),IF($X89&lt;30,1,0))</formula>
    </cfRule>
    <cfRule type="expression" priority="1284" dxfId="0">
      <formula>AND(IF($Q89=3,1,IF($Q89=4,1,0)),IF($F89&lt;=85,1,0))</formula>
    </cfRule>
  </conditionalFormatting>
  <conditionalFormatting sqref="AI89">
    <cfRule type="expression" priority="1277" dxfId="3">
      <formula>AND(IF(OR($Q89=1,$Q89=2),1,0),IF($X89&lt;=20,1,0))</formula>
    </cfRule>
    <cfRule type="expression" priority="1278" dxfId="2">
      <formula>AND(IF($Q89=2,1,0),IF($X89&lt;30,1,0))</formula>
    </cfRule>
    <cfRule type="expression" priority="1279" dxfId="1">
      <formula>AND(IF($Q89=3,1,0),IF($X89&lt;30,1,0))</formula>
    </cfRule>
    <cfRule type="expression" priority="1280" dxfId="0">
      <formula>AND(IF($Q89=3,1,IF($Q89=4,1,0)),IF($F89&lt;=85,1,0))</formula>
    </cfRule>
  </conditionalFormatting>
  <conditionalFormatting sqref="AV90">
    <cfRule type="expression" priority="1275" dxfId="17">
      <formula>AV90="X"</formula>
    </cfRule>
    <cfRule type="expression" priority="1276" dxfId="16">
      <formula>AV90="후보"</formula>
    </cfRule>
  </conditionalFormatting>
  <conditionalFormatting sqref="AC9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90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90">
    <cfRule type="expression" priority="1266" dxfId="3">
      <formula>AND(IF(OR($Q90=1,$Q90=2),1,0),IF($X90&lt;=20,1,0))</formula>
    </cfRule>
    <cfRule type="expression" priority="1267" dxfId="2">
      <formula>AND(IF($Q90=2,1,0),IF($X90&lt;30,1,0))</formula>
    </cfRule>
    <cfRule type="expression" priority="1268" dxfId="1">
      <formula>AND(IF($Q90=3,1,0),IF($X90&lt;30,1,0))</formula>
    </cfRule>
    <cfRule type="expression" priority="1269" dxfId="0">
      <formula>AND(IF($Q90=3,1,IF($Q90=4,1,0)),IF($F90&lt;=85,1,0))</formula>
    </cfRule>
  </conditionalFormatting>
  <conditionalFormatting sqref="X90">
    <cfRule type="expression" priority="1262" dxfId="3">
      <formula>AND(IF(OR($Q90=1,$Q90=2),1,0),IF($X90&lt;=20,1,0))</formula>
    </cfRule>
    <cfRule type="expression" priority="1263" dxfId="2">
      <formula>AND(IF($Q90=2,1,0),IF($X90&lt;30,1,0))</formula>
    </cfRule>
    <cfRule type="expression" priority="1264" dxfId="1">
      <formula>AND(IF($Q90=3,1,0),IF($X90&lt;30,1,0))</formula>
    </cfRule>
    <cfRule type="expression" priority="1265" dxfId="0">
      <formula>AND(IF($Q90=3,1,IF($Q90=4,1,0)),IF($F90&lt;=85,1,0))</formula>
    </cfRule>
  </conditionalFormatting>
  <conditionalFormatting sqref="AI90">
    <cfRule type="expression" priority="1258" dxfId="3">
      <formula>AND(IF(OR($Q90=1,$Q90=2),1,0),IF($X90&lt;=20,1,0))</formula>
    </cfRule>
    <cfRule type="expression" priority="1259" dxfId="2">
      <formula>AND(IF($Q90=2,1,0),IF($X90&lt;30,1,0))</formula>
    </cfRule>
    <cfRule type="expression" priority="1260" dxfId="1">
      <formula>AND(IF($Q90=3,1,0),IF($X90&lt;30,1,0))</formula>
    </cfRule>
    <cfRule type="expression" priority="1261" dxfId="0">
      <formula>AND(IF($Q90=3,1,IF($Q90=4,1,0)),IF($F90&lt;=85,1,0))</formula>
    </cfRule>
  </conditionalFormatting>
  <conditionalFormatting sqref="AV91">
    <cfRule type="expression" priority="1256" dxfId="17">
      <formula>AV91="X"</formula>
    </cfRule>
    <cfRule type="expression" priority="1257" dxfId="16">
      <formula>AV91="후보"</formula>
    </cfRule>
  </conditionalFormatting>
  <conditionalFormatting sqref="AC91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91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91">
    <cfRule type="expression" priority="1247" dxfId="3">
      <formula>AND(IF(OR($Q91=1,$Q91=2),1,0),IF($X91&lt;=20,1,0))</formula>
    </cfRule>
    <cfRule type="expression" priority="1248" dxfId="2">
      <formula>AND(IF($Q91=2,1,0),IF($X91&lt;30,1,0))</formula>
    </cfRule>
    <cfRule type="expression" priority="1249" dxfId="1">
      <formula>AND(IF($Q91=3,1,0),IF($X91&lt;30,1,0))</formula>
    </cfRule>
    <cfRule type="expression" priority="1250" dxfId="0">
      <formula>AND(IF($Q91=3,1,IF($Q91=4,1,0)),IF($F91&lt;=85,1,0))</formula>
    </cfRule>
  </conditionalFormatting>
  <conditionalFormatting sqref="X91">
    <cfRule type="expression" priority="1243" dxfId="3">
      <formula>AND(IF(OR($Q91=1,$Q91=2),1,0),IF($X91&lt;=20,1,0))</formula>
    </cfRule>
    <cfRule type="expression" priority="1244" dxfId="2">
      <formula>AND(IF($Q91=2,1,0),IF($X91&lt;30,1,0))</formula>
    </cfRule>
    <cfRule type="expression" priority="1245" dxfId="1">
      <formula>AND(IF($Q91=3,1,0),IF($X91&lt;30,1,0))</formula>
    </cfRule>
    <cfRule type="expression" priority="1246" dxfId="0">
      <formula>AND(IF($Q91=3,1,IF($Q91=4,1,0)),IF($F91&lt;=85,1,0))</formula>
    </cfRule>
  </conditionalFormatting>
  <conditionalFormatting sqref="AI91">
    <cfRule type="expression" priority="1239" dxfId="3">
      <formula>AND(IF(OR($Q91=1,$Q91=2),1,0),IF($X91&lt;=20,1,0))</formula>
    </cfRule>
    <cfRule type="expression" priority="1240" dxfId="2">
      <formula>AND(IF($Q91=2,1,0),IF($X91&lt;30,1,0))</formula>
    </cfRule>
    <cfRule type="expression" priority="1241" dxfId="1">
      <formula>AND(IF($Q91=3,1,0),IF($X91&lt;30,1,0))</formula>
    </cfRule>
    <cfRule type="expression" priority="1242" dxfId="0">
      <formula>AND(IF($Q91=3,1,IF($Q91=4,1,0)),IF($F91&lt;=85,1,0))</formula>
    </cfRule>
  </conditionalFormatting>
  <conditionalFormatting sqref="AV92">
    <cfRule type="expression" priority="1237" dxfId="17">
      <formula>AV92="X"</formula>
    </cfRule>
    <cfRule type="expression" priority="1238" dxfId="16">
      <formula>AV92="후보"</formula>
    </cfRule>
  </conditionalFormatting>
  <conditionalFormatting sqref="AC92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9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92">
    <cfRule type="expression" priority="1228" dxfId="3">
      <formula>AND(IF(OR($Q92=1,$Q92=2),1,0),IF($X92&lt;=20,1,0))</formula>
    </cfRule>
    <cfRule type="expression" priority="1229" dxfId="2">
      <formula>AND(IF($Q92=2,1,0),IF($X92&lt;30,1,0))</formula>
    </cfRule>
    <cfRule type="expression" priority="1230" dxfId="1">
      <formula>AND(IF($Q92=3,1,0),IF($X92&lt;30,1,0))</formula>
    </cfRule>
    <cfRule type="expression" priority="1231" dxfId="0">
      <formula>AND(IF($Q92=3,1,IF($Q92=4,1,0)),IF($F92&lt;=85,1,0))</formula>
    </cfRule>
  </conditionalFormatting>
  <conditionalFormatting sqref="X92">
    <cfRule type="expression" priority="1224" dxfId="3">
      <formula>AND(IF(OR($Q92=1,$Q92=2),1,0),IF($X92&lt;=20,1,0))</formula>
    </cfRule>
    <cfRule type="expression" priority="1225" dxfId="2">
      <formula>AND(IF($Q92=2,1,0),IF($X92&lt;30,1,0))</formula>
    </cfRule>
    <cfRule type="expression" priority="1226" dxfId="1">
      <formula>AND(IF($Q92=3,1,0),IF($X92&lt;30,1,0))</formula>
    </cfRule>
    <cfRule type="expression" priority="1227" dxfId="0">
      <formula>AND(IF($Q92=3,1,IF($Q92=4,1,0)),IF($F92&lt;=85,1,0))</formula>
    </cfRule>
  </conditionalFormatting>
  <conditionalFormatting sqref="AI92">
    <cfRule type="expression" priority="1220" dxfId="3">
      <formula>AND(IF(OR($Q92=1,$Q92=2),1,0),IF($X92&lt;=20,1,0))</formula>
    </cfRule>
    <cfRule type="expression" priority="1221" dxfId="2">
      <formula>AND(IF($Q92=2,1,0),IF($X92&lt;30,1,0))</formula>
    </cfRule>
    <cfRule type="expression" priority="1222" dxfId="1">
      <formula>AND(IF($Q92=3,1,0),IF($X92&lt;30,1,0))</formula>
    </cfRule>
    <cfRule type="expression" priority="1223" dxfId="0">
      <formula>AND(IF($Q92=3,1,IF($Q92=4,1,0)),IF($F92&lt;=85,1,0))</formula>
    </cfRule>
  </conditionalFormatting>
  <conditionalFormatting sqref="AV93">
    <cfRule type="expression" priority="1218" dxfId="17">
      <formula>AV93="X"</formula>
    </cfRule>
    <cfRule type="expression" priority="1219" dxfId="16">
      <formula>AV93="후보"</formula>
    </cfRule>
  </conditionalFormatting>
  <conditionalFormatting sqref="AC93 N93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94">
    <cfRule type="expression" priority="1213" dxfId="17">
      <formula>AV94="X"</formula>
    </cfRule>
    <cfRule type="expression" priority="1214" dxfId="16">
      <formula>AV94="후보"</formula>
    </cfRule>
  </conditionalFormatting>
  <conditionalFormatting sqref="AC94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94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94">
    <cfRule type="expression" priority="1204" dxfId="3">
      <formula>AND(IF(OR($Q94=1,$Q94=2),1,0),IF($X94&lt;=20,1,0))</formula>
    </cfRule>
    <cfRule type="expression" priority="1205" dxfId="2">
      <formula>AND(IF($Q94=2,1,0),IF($X94&lt;30,1,0))</formula>
    </cfRule>
    <cfRule type="expression" priority="1206" dxfId="1">
      <formula>AND(IF($Q94=3,1,0),IF($X94&lt;30,1,0))</formula>
    </cfRule>
    <cfRule type="expression" priority="1207" dxfId="0">
      <formula>AND(IF($Q94=3,1,IF($Q94=4,1,0)),IF($F94&lt;=85,1,0))</formula>
    </cfRule>
  </conditionalFormatting>
  <conditionalFormatting sqref="X94">
    <cfRule type="expression" priority="1200" dxfId="3">
      <formula>AND(IF(OR($Q94=1,$Q94=2),1,0),IF($X94&lt;=20,1,0))</formula>
    </cfRule>
    <cfRule type="expression" priority="1201" dxfId="2">
      <formula>AND(IF($Q94=2,1,0),IF($X94&lt;30,1,0))</formula>
    </cfRule>
    <cfRule type="expression" priority="1202" dxfId="1">
      <formula>AND(IF($Q94=3,1,0),IF($X94&lt;30,1,0))</formula>
    </cfRule>
    <cfRule type="expression" priority="1203" dxfId="0">
      <formula>AND(IF($Q94=3,1,IF($Q94=4,1,0)),IF($F94&lt;=85,1,0))</formula>
    </cfRule>
  </conditionalFormatting>
  <conditionalFormatting sqref="AI94">
    <cfRule type="expression" priority="1196" dxfId="3">
      <formula>AND(IF(OR($Q94=1,$Q94=2),1,0),IF($X94&lt;=20,1,0))</formula>
    </cfRule>
    <cfRule type="expression" priority="1197" dxfId="2">
      <formula>AND(IF($Q94=2,1,0),IF($X94&lt;30,1,0))</formula>
    </cfRule>
    <cfRule type="expression" priority="1198" dxfId="1">
      <formula>AND(IF($Q94=3,1,0),IF($X94&lt;30,1,0))</formula>
    </cfRule>
    <cfRule type="expression" priority="1199" dxfId="0">
      <formula>AND(IF($Q94=3,1,IF($Q94=4,1,0)),IF($F94&lt;=85,1,0))</formula>
    </cfRule>
  </conditionalFormatting>
  <conditionalFormatting sqref="AV95">
    <cfRule type="expression" priority="1194" dxfId="17">
      <formula>AV95="X"</formula>
    </cfRule>
    <cfRule type="expression" priority="1195" dxfId="16">
      <formula>AV95="후보"</formula>
    </cfRule>
  </conditionalFormatting>
  <conditionalFormatting sqref="AC95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95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95">
    <cfRule type="expression" priority="1185" dxfId="3">
      <formula>AND(IF(OR($Q95=1,$Q95=2),1,0),IF($X95&lt;=20,1,0))</formula>
    </cfRule>
    <cfRule type="expression" priority="1186" dxfId="2">
      <formula>AND(IF($Q95=2,1,0),IF($X95&lt;30,1,0))</formula>
    </cfRule>
    <cfRule type="expression" priority="1187" dxfId="1">
      <formula>AND(IF($Q95=3,1,0),IF($X95&lt;30,1,0))</formula>
    </cfRule>
    <cfRule type="expression" priority="1188" dxfId="0">
      <formula>AND(IF($Q95=3,1,IF($Q95=4,1,0)),IF($F95&lt;=85,1,0))</formula>
    </cfRule>
  </conditionalFormatting>
  <conditionalFormatting sqref="X95">
    <cfRule type="expression" priority="1181" dxfId="3">
      <formula>AND(IF(OR($Q95=1,$Q95=2),1,0),IF($X95&lt;=20,1,0))</formula>
    </cfRule>
    <cfRule type="expression" priority="1182" dxfId="2">
      <formula>AND(IF($Q95=2,1,0),IF($X95&lt;30,1,0))</formula>
    </cfRule>
    <cfRule type="expression" priority="1183" dxfId="1">
      <formula>AND(IF($Q95=3,1,0),IF($X95&lt;30,1,0))</formula>
    </cfRule>
    <cfRule type="expression" priority="1184" dxfId="0">
      <formula>AND(IF($Q95=3,1,IF($Q95=4,1,0)),IF($F95&lt;=85,1,0))</formula>
    </cfRule>
  </conditionalFormatting>
  <conditionalFormatting sqref="AI95">
    <cfRule type="expression" priority="1177" dxfId="3">
      <formula>AND(IF(OR($Q95=1,$Q95=2),1,0),IF($X95&lt;=20,1,0))</formula>
    </cfRule>
    <cfRule type="expression" priority="1178" dxfId="2">
      <formula>AND(IF($Q95=2,1,0),IF($X95&lt;30,1,0))</formula>
    </cfRule>
    <cfRule type="expression" priority="1179" dxfId="1">
      <formula>AND(IF($Q95=3,1,0),IF($X95&lt;30,1,0))</formula>
    </cfRule>
    <cfRule type="expression" priority="1180" dxfId="0">
      <formula>AND(IF($Q95=3,1,IF($Q95=4,1,0)),IF($F95&lt;=85,1,0))</formula>
    </cfRule>
  </conditionalFormatting>
  <conditionalFormatting sqref="AV96">
    <cfRule type="expression" priority="1175" dxfId="17">
      <formula>AV96="X"</formula>
    </cfRule>
    <cfRule type="expression" priority="1176" dxfId="16">
      <formula>AV96="후보"</formula>
    </cfRule>
  </conditionalFormatting>
  <conditionalFormatting sqref="AC96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6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6">
    <cfRule type="expression" priority="1166" dxfId="3">
      <formula>AND(IF(OR($Q96=1,$Q96=2),1,0),IF($X96&lt;=20,1,0))</formula>
    </cfRule>
    <cfRule type="expression" priority="1167" dxfId="2">
      <formula>AND(IF($Q96=2,1,0),IF($X96&lt;30,1,0))</formula>
    </cfRule>
    <cfRule type="expression" priority="1168" dxfId="1">
      <formula>AND(IF($Q96=3,1,0),IF($X96&lt;30,1,0))</formula>
    </cfRule>
    <cfRule type="expression" priority="1169" dxfId="0">
      <formula>AND(IF($Q96=3,1,IF($Q96=4,1,0)),IF($F96&lt;=85,1,0))</formula>
    </cfRule>
  </conditionalFormatting>
  <conditionalFormatting sqref="X96">
    <cfRule type="expression" priority="1162" dxfId="3">
      <formula>AND(IF(OR($Q96=1,$Q96=2),1,0),IF($X96&lt;=20,1,0))</formula>
    </cfRule>
    <cfRule type="expression" priority="1163" dxfId="2">
      <formula>AND(IF($Q96=2,1,0),IF($X96&lt;30,1,0))</formula>
    </cfRule>
    <cfRule type="expression" priority="1164" dxfId="1">
      <formula>AND(IF($Q96=3,1,0),IF($X96&lt;30,1,0))</formula>
    </cfRule>
    <cfRule type="expression" priority="1165" dxfId="0">
      <formula>AND(IF($Q96=3,1,IF($Q96=4,1,0)),IF($F96&lt;=85,1,0))</formula>
    </cfRule>
  </conditionalFormatting>
  <conditionalFormatting sqref="AI96">
    <cfRule type="expression" priority="1158" dxfId="3">
      <formula>AND(IF(OR($Q96=1,$Q96=2),1,0),IF($X96&lt;=20,1,0))</formula>
    </cfRule>
    <cfRule type="expression" priority="1159" dxfId="2">
      <formula>AND(IF($Q96=2,1,0),IF($X96&lt;30,1,0))</formula>
    </cfRule>
    <cfRule type="expression" priority="1160" dxfId="1">
      <formula>AND(IF($Q96=3,1,0),IF($X96&lt;30,1,0))</formula>
    </cfRule>
    <cfRule type="expression" priority="1161" dxfId="0">
      <formula>AND(IF($Q96=3,1,IF($Q96=4,1,0)),IF($F96&lt;=85,1,0))</formula>
    </cfRule>
  </conditionalFormatting>
  <conditionalFormatting sqref="AV97">
    <cfRule type="expression" priority="1156" dxfId="17">
      <formula>AV97="X"</formula>
    </cfRule>
    <cfRule type="expression" priority="1157" dxfId="16">
      <formula>AV97="후보"</formula>
    </cfRule>
  </conditionalFormatting>
  <conditionalFormatting sqref="AC97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97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97">
    <cfRule type="expression" priority="1147" dxfId="3">
      <formula>AND(IF(OR($Q97=1,$Q97=2),1,0),IF($X97&lt;=20,1,0))</formula>
    </cfRule>
    <cfRule type="expression" priority="1148" dxfId="2">
      <formula>AND(IF($Q97=2,1,0),IF($X97&lt;30,1,0))</formula>
    </cfRule>
    <cfRule type="expression" priority="1149" dxfId="1">
      <formula>AND(IF($Q97=3,1,0),IF($X97&lt;30,1,0))</formula>
    </cfRule>
    <cfRule type="expression" priority="1150" dxfId="0">
      <formula>AND(IF($Q97=3,1,IF($Q97=4,1,0)),IF($F97&lt;=85,1,0))</formula>
    </cfRule>
  </conditionalFormatting>
  <conditionalFormatting sqref="X97">
    <cfRule type="expression" priority="1143" dxfId="3">
      <formula>AND(IF(OR($Q97=1,$Q97=2),1,0),IF($X97&lt;=20,1,0))</formula>
    </cfRule>
    <cfRule type="expression" priority="1144" dxfId="2">
      <formula>AND(IF($Q97=2,1,0),IF($X97&lt;30,1,0))</formula>
    </cfRule>
    <cfRule type="expression" priority="1145" dxfId="1">
      <formula>AND(IF($Q97=3,1,0),IF($X97&lt;30,1,0))</formula>
    </cfRule>
    <cfRule type="expression" priority="1146" dxfId="0">
      <formula>AND(IF($Q97=3,1,IF($Q97=4,1,0)),IF($F97&lt;=85,1,0))</formula>
    </cfRule>
  </conditionalFormatting>
  <conditionalFormatting sqref="AI97">
    <cfRule type="expression" priority="1139" dxfId="3">
      <formula>AND(IF(OR($Q97=1,$Q97=2),1,0),IF($X97&lt;=20,1,0))</formula>
    </cfRule>
    <cfRule type="expression" priority="1140" dxfId="2">
      <formula>AND(IF($Q97=2,1,0),IF($X97&lt;30,1,0))</formula>
    </cfRule>
    <cfRule type="expression" priority="1141" dxfId="1">
      <formula>AND(IF($Q97=3,1,0),IF($X97&lt;30,1,0))</formula>
    </cfRule>
    <cfRule type="expression" priority="1142" dxfId="0">
      <formula>AND(IF($Q97=3,1,IF($Q97=4,1,0)),IF($F97&lt;=85,1,0))</formula>
    </cfRule>
  </conditionalFormatting>
  <conditionalFormatting sqref="AV98">
    <cfRule type="expression" priority="1137" dxfId="17">
      <formula>AV98="X"</formula>
    </cfRule>
    <cfRule type="expression" priority="1138" dxfId="16">
      <formula>AV98="후보"</formula>
    </cfRule>
  </conditionalFormatting>
  <conditionalFormatting sqref="AC98 N98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99">
    <cfRule type="expression" priority="1132" dxfId="17">
      <formula>AV99="X"</formula>
    </cfRule>
    <cfRule type="expression" priority="1133" dxfId="16">
      <formula>AV99="후보"</formula>
    </cfRule>
  </conditionalFormatting>
  <conditionalFormatting sqref="AC9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9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99">
    <cfRule type="expression" priority="1123" dxfId="3">
      <formula>AND(IF(OR($Q99=1,$Q99=2),1,0),IF($X99&lt;=20,1,0))</formula>
    </cfRule>
    <cfRule type="expression" priority="1124" dxfId="2">
      <formula>AND(IF($Q99=2,1,0),IF($X99&lt;30,1,0))</formula>
    </cfRule>
    <cfRule type="expression" priority="1125" dxfId="1">
      <formula>AND(IF($Q99=3,1,0),IF($X99&lt;30,1,0))</formula>
    </cfRule>
    <cfRule type="expression" priority="1126" dxfId="0">
      <formula>AND(IF($Q99=3,1,IF($Q99=4,1,0)),IF($F99&lt;=85,1,0))</formula>
    </cfRule>
  </conditionalFormatting>
  <conditionalFormatting sqref="X99">
    <cfRule type="expression" priority="1119" dxfId="3">
      <formula>AND(IF(OR($Q99=1,$Q99=2),1,0),IF($X99&lt;=20,1,0))</formula>
    </cfRule>
    <cfRule type="expression" priority="1120" dxfId="2">
      <formula>AND(IF($Q99=2,1,0),IF($X99&lt;30,1,0))</formula>
    </cfRule>
    <cfRule type="expression" priority="1121" dxfId="1">
      <formula>AND(IF($Q99=3,1,0),IF($X99&lt;30,1,0))</formula>
    </cfRule>
    <cfRule type="expression" priority="1122" dxfId="0">
      <formula>AND(IF($Q99=3,1,IF($Q99=4,1,0)),IF($F99&lt;=85,1,0))</formula>
    </cfRule>
  </conditionalFormatting>
  <conditionalFormatting sqref="AI99">
    <cfRule type="expression" priority="1115" dxfId="3">
      <formula>AND(IF(OR($Q99=1,$Q99=2),1,0),IF($X99&lt;=20,1,0))</formula>
    </cfRule>
    <cfRule type="expression" priority="1116" dxfId="2">
      <formula>AND(IF($Q99=2,1,0),IF($X99&lt;30,1,0))</formula>
    </cfRule>
    <cfRule type="expression" priority="1117" dxfId="1">
      <formula>AND(IF($Q99=3,1,0),IF($X99&lt;30,1,0))</formula>
    </cfRule>
    <cfRule type="expression" priority="1118" dxfId="0">
      <formula>AND(IF($Q99=3,1,IF($Q99=4,1,0)),IF($F99&lt;=85,1,0))</formula>
    </cfRule>
  </conditionalFormatting>
  <conditionalFormatting sqref="AV100">
    <cfRule type="expression" priority="1113" dxfId="17">
      <formula>AV100="X"</formula>
    </cfRule>
    <cfRule type="expression" priority="1114" dxfId="16">
      <formula>AV100="후보"</formula>
    </cfRule>
  </conditionalFormatting>
  <conditionalFormatting sqref="AC100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00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00">
    <cfRule type="expression" priority="1104" dxfId="3">
      <formula>AND(IF(OR($Q100=1,$Q100=2),1,0),IF($X100&lt;=20,1,0))</formula>
    </cfRule>
    <cfRule type="expression" priority="1105" dxfId="2">
      <formula>AND(IF($Q100=2,1,0),IF($X100&lt;30,1,0))</formula>
    </cfRule>
    <cfRule type="expression" priority="1106" dxfId="1">
      <formula>AND(IF($Q100=3,1,0),IF($X100&lt;30,1,0))</formula>
    </cfRule>
    <cfRule type="expression" priority="1107" dxfId="0">
      <formula>AND(IF($Q100=3,1,IF($Q100=4,1,0)),IF($F100&lt;=85,1,0))</formula>
    </cfRule>
  </conditionalFormatting>
  <conditionalFormatting sqref="X100">
    <cfRule type="expression" priority="1100" dxfId="3">
      <formula>AND(IF(OR($Q100=1,$Q100=2),1,0),IF($X100&lt;=20,1,0))</formula>
    </cfRule>
    <cfRule type="expression" priority="1101" dxfId="2">
      <formula>AND(IF($Q100=2,1,0),IF($X100&lt;30,1,0))</formula>
    </cfRule>
    <cfRule type="expression" priority="1102" dxfId="1">
      <formula>AND(IF($Q100=3,1,0),IF($X100&lt;30,1,0))</formula>
    </cfRule>
    <cfRule type="expression" priority="1103" dxfId="0">
      <formula>AND(IF($Q100=3,1,IF($Q100=4,1,0)),IF($F100&lt;=85,1,0))</formula>
    </cfRule>
  </conditionalFormatting>
  <conditionalFormatting sqref="AI100">
    <cfRule type="expression" priority="1096" dxfId="3">
      <formula>AND(IF(OR($Q100=1,$Q100=2),1,0),IF($X100&lt;=20,1,0))</formula>
    </cfRule>
    <cfRule type="expression" priority="1097" dxfId="2">
      <formula>AND(IF($Q100=2,1,0),IF($X100&lt;30,1,0))</formula>
    </cfRule>
    <cfRule type="expression" priority="1098" dxfId="1">
      <formula>AND(IF($Q100=3,1,0),IF($X100&lt;30,1,0))</formula>
    </cfRule>
    <cfRule type="expression" priority="1099" dxfId="0">
      <formula>AND(IF($Q100=3,1,IF($Q100=4,1,0)),IF($F100&lt;=85,1,0))</formula>
    </cfRule>
  </conditionalFormatting>
  <conditionalFormatting sqref="AV101">
    <cfRule type="expression" priority="1094" dxfId="17">
      <formula>AV101="X"</formula>
    </cfRule>
    <cfRule type="expression" priority="1095" dxfId="16">
      <formula>AV101="후보"</formula>
    </cfRule>
  </conditionalFormatting>
  <conditionalFormatting sqref="AC101 N10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102">
    <cfRule type="expression" priority="1089" dxfId="17">
      <formula>AV102="X"</formula>
    </cfRule>
    <cfRule type="expression" priority="1090" dxfId="16">
      <formula>AV102="후보"</formula>
    </cfRule>
  </conditionalFormatting>
  <conditionalFormatting sqref="AC102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102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102">
    <cfRule type="expression" priority="1080" dxfId="3">
      <formula>AND(IF(OR($Q102=1,$Q102=2),1,0),IF($X102&lt;=20,1,0))</formula>
    </cfRule>
    <cfRule type="expression" priority="1081" dxfId="2">
      <formula>AND(IF($Q102=2,1,0),IF($X102&lt;30,1,0))</formula>
    </cfRule>
    <cfRule type="expression" priority="1082" dxfId="1">
      <formula>AND(IF($Q102=3,1,0),IF($X102&lt;30,1,0))</formula>
    </cfRule>
    <cfRule type="expression" priority="1083" dxfId="0">
      <formula>AND(IF($Q102=3,1,IF($Q102=4,1,0)),IF($F102&lt;=85,1,0))</formula>
    </cfRule>
  </conditionalFormatting>
  <conditionalFormatting sqref="X102">
    <cfRule type="expression" priority="1076" dxfId="3">
      <formula>AND(IF(OR($Q102=1,$Q102=2),1,0),IF($X102&lt;=20,1,0))</formula>
    </cfRule>
    <cfRule type="expression" priority="1077" dxfId="2">
      <formula>AND(IF($Q102=2,1,0),IF($X102&lt;30,1,0))</formula>
    </cfRule>
    <cfRule type="expression" priority="1078" dxfId="1">
      <formula>AND(IF($Q102=3,1,0),IF($X102&lt;30,1,0))</formula>
    </cfRule>
    <cfRule type="expression" priority="1079" dxfId="0">
      <formula>AND(IF($Q102=3,1,IF($Q102=4,1,0)),IF($F102&lt;=85,1,0))</formula>
    </cfRule>
  </conditionalFormatting>
  <conditionalFormatting sqref="AI102">
    <cfRule type="expression" priority="1072" dxfId="3">
      <formula>AND(IF(OR($Q102=1,$Q102=2),1,0),IF($X102&lt;=20,1,0))</formula>
    </cfRule>
    <cfRule type="expression" priority="1073" dxfId="2">
      <formula>AND(IF($Q102=2,1,0),IF($X102&lt;30,1,0))</formula>
    </cfRule>
    <cfRule type="expression" priority="1074" dxfId="1">
      <formula>AND(IF($Q102=3,1,0),IF($X102&lt;30,1,0))</formula>
    </cfRule>
    <cfRule type="expression" priority="1075" dxfId="0">
      <formula>AND(IF($Q102=3,1,IF($Q102=4,1,0)),IF($F102&lt;=85,1,0))</formula>
    </cfRule>
  </conditionalFormatting>
  <conditionalFormatting sqref="AV103">
    <cfRule type="expression" priority="1070" dxfId="17">
      <formula>AV103="X"</formula>
    </cfRule>
    <cfRule type="expression" priority="1071" dxfId="16">
      <formula>AV103="후보"</formula>
    </cfRule>
  </conditionalFormatting>
  <conditionalFormatting sqref="AC10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103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103">
    <cfRule type="expression" priority="1061" dxfId="3">
      <formula>AND(IF(OR($Q103=1,$Q103=2),1,0),IF($X103&lt;=20,1,0))</formula>
    </cfRule>
    <cfRule type="expression" priority="1062" dxfId="2">
      <formula>AND(IF($Q103=2,1,0),IF($X103&lt;30,1,0))</formula>
    </cfRule>
    <cfRule type="expression" priority="1063" dxfId="1">
      <formula>AND(IF($Q103=3,1,0),IF($X103&lt;30,1,0))</formula>
    </cfRule>
    <cfRule type="expression" priority="1064" dxfId="0">
      <formula>AND(IF($Q103=3,1,IF($Q103=4,1,0)),IF($F103&lt;=85,1,0))</formula>
    </cfRule>
  </conditionalFormatting>
  <conditionalFormatting sqref="X103">
    <cfRule type="expression" priority="1057" dxfId="3">
      <formula>AND(IF(OR($Q103=1,$Q103=2),1,0),IF($X103&lt;=20,1,0))</formula>
    </cfRule>
    <cfRule type="expression" priority="1058" dxfId="2">
      <formula>AND(IF($Q103=2,1,0),IF($X103&lt;30,1,0))</formula>
    </cfRule>
    <cfRule type="expression" priority="1059" dxfId="1">
      <formula>AND(IF($Q103=3,1,0),IF($X103&lt;30,1,0))</formula>
    </cfRule>
    <cfRule type="expression" priority="1060" dxfId="0">
      <formula>AND(IF($Q103=3,1,IF($Q103=4,1,0)),IF($F103&lt;=85,1,0))</formula>
    </cfRule>
  </conditionalFormatting>
  <conditionalFormatting sqref="AI103">
    <cfRule type="expression" priority="1053" dxfId="3">
      <formula>AND(IF(OR($Q103=1,$Q103=2),1,0),IF($X103&lt;=20,1,0))</formula>
    </cfRule>
    <cfRule type="expression" priority="1054" dxfId="2">
      <formula>AND(IF($Q103=2,1,0),IF($X103&lt;30,1,0))</formula>
    </cfRule>
    <cfRule type="expression" priority="1055" dxfId="1">
      <formula>AND(IF($Q103=3,1,0),IF($X103&lt;30,1,0))</formula>
    </cfRule>
    <cfRule type="expression" priority="1056" dxfId="0">
      <formula>AND(IF($Q103=3,1,IF($Q103=4,1,0)),IF($F103&lt;=85,1,0))</formula>
    </cfRule>
  </conditionalFormatting>
  <conditionalFormatting sqref="AV104">
    <cfRule type="expression" priority="1051" dxfId="17">
      <formula>AV104="X"</formula>
    </cfRule>
    <cfRule type="expression" priority="1052" dxfId="16">
      <formula>AV104="후보"</formula>
    </cfRule>
  </conditionalFormatting>
  <conditionalFormatting sqref="AC104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104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104">
    <cfRule type="expression" priority="1042" dxfId="3">
      <formula>AND(IF(OR($Q104=1,$Q104=2),1,0),IF($X104&lt;=20,1,0))</formula>
    </cfRule>
    <cfRule type="expression" priority="1043" dxfId="2">
      <formula>AND(IF($Q104=2,1,0),IF($X104&lt;30,1,0))</formula>
    </cfRule>
    <cfRule type="expression" priority="1044" dxfId="1">
      <formula>AND(IF($Q104=3,1,0),IF($X104&lt;30,1,0))</formula>
    </cfRule>
    <cfRule type="expression" priority="1045" dxfId="0">
      <formula>AND(IF($Q104=3,1,IF($Q104=4,1,0)),IF($F104&lt;=85,1,0))</formula>
    </cfRule>
  </conditionalFormatting>
  <conditionalFormatting sqref="X104">
    <cfRule type="expression" priority="1038" dxfId="3">
      <formula>AND(IF(OR($Q104=1,$Q104=2),1,0),IF($X104&lt;=20,1,0))</formula>
    </cfRule>
    <cfRule type="expression" priority="1039" dxfId="2">
      <formula>AND(IF($Q104=2,1,0),IF($X104&lt;30,1,0))</formula>
    </cfRule>
    <cfRule type="expression" priority="1040" dxfId="1">
      <formula>AND(IF($Q104=3,1,0),IF($X104&lt;30,1,0))</formula>
    </cfRule>
    <cfRule type="expression" priority="1041" dxfId="0">
      <formula>AND(IF($Q104=3,1,IF($Q104=4,1,0)),IF($F104&lt;=85,1,0))</formula>
    </cfRule>
  </conditionalFormatting>
  <conditionalFormatting sqref="AI104">
    <cfRule type="expression" priority="1034" dxfId="3">
      <formula>AND(IF(OR($Q104=1,$Q104=2),1,0),IF($X104&lt;=20,1,0))</formula>
    </cfRule>
    <cfRule type="expression" priority="1035" dxfId="2">
      <formula>AND(IF($Q104=2,1,0),IF($X104&lt;30,1,0))</formula>
    </cfRule>
    <cfRule type="expression" priority="1036" dxfId="1">
      <formula>AND(IF($Q104=3,1,0),IF($X104&lt;30,1,0))</formula>
    </cfRule>
    <cfRule type="expression" priority="1037" dxfId="0">
      <formula>AND(IF($Q104=3,1,IF($Q104=4,1,0)),IF($F104&lt;=85,1,0))</formula>
    </cfRule>
  </conditionalFormatting>
  <conditionalFormatting sqref="AV105">
    <cfRule type="expression" priority="1032" dxfId="17">
      <formula>AV105="X"</formula>
    </cfRule>
    <cfRule type="expression" priority="1033" dxfId="16">
      <formula>AV105="후보"</formula>
    </cfRule>
  </conditionalFormatting>
  <conditionalFormatting sqref="AC105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05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05">
    <cfRule type="expression" priority="1023" dxfId="3">
      <formula>AND(IF(OR($Q105=1,$Q105=2),1,0),IF($X105&lt;=20,1,0))</formula>
    </cfRule>
    <cfRule type="expression" priority="1024" dxfId="2">
      <formula>AND(IF($Q105=2,1,0),IF($X105&lt;30,1,0))</formula>
    </cfRule>
    <cfRule type="expression" priority="1025" dxfId="1">
      <formula>AND(IF($Q105=3,1,0),IF($X105&lt;30,1,0))</formula>
    </cfRule>
    <cfRule type="expression" priority="1026" dxfId="0">
      <formula>AND(IF($Q105=3,1,IF($Q105=4,1,0)),IF($F105&lt;=85,1,0))</formula>
    </cfRule>
  </conditionalFormatting>
  <conditionalFormatting sqref="X105">
    <cfRule type="expression" priority="1019" dxfId="3">
      <formula>AND(IF(OR($Q105=1,$Q105=2),1,0),IF($X105&lt;=20,1,0))</formula>
    </cfRule>
    <cfRule type="expression" priority="1020" dxfId="2">
      <formula>AND(IF($Q105=2,1,0),IF($X105&lt;30,1,0))</formula>
    </cfRule>
    <cfRule type="expression" priority="1021" dxfId="1">
      <formula>AND(IF($Q105=3,1,0),IF($X105&lt;30,1,0))</formula>
    </cfRule>
    <cfRule type="expression" priority="1022" dxfId="0">
      <formula>AND(IF($Q105=3,1,IF($Q105=4,1,0)),IF($F105&lt;=85,1,0))</formula>
    </cfRule>
  </conditionalFormatting>
  <conditionalFormatting sqref="AI105">
    <cfRule type="expression" priority="1015" dxfId="3">
      <formula>AND(IF(OR($Q105=1,$Q105=2),1,0),IF($X105&lt;=20,1,0))</formula>
    </cfRule>
    <cfRule type="expression" priority="1016" dxfId="2">
      <formula>AND(IF($Q105=2,1,0),IF($X105&lt;30,1,0))</formula>
    </cfRule>
    <cfRule type="expression" priority="1017" dxfId="1">
      <formula>AND(IF($Q105=3,1,0),IF($X105&lt;30,1,0))</formula>
    </cfRule>
    <cfRule type="expression" priority="1018" dxfId="0">
      <formula>AND(IF($Q105=3,1,IF($Q105=4,1,0)),IF($F105&lt;=85,1,0))</formula>
    </cfRule>
  </conditionalFormatting>
  <conditionalFormatting sqref="AV106">
    <cfRule type="expression" priority="1013" dxfId="17">
      <formula>AV106="X"</formula>
    </cfRule>
    <cfRule type="expression" priority="1014" dxfId="16">
      <formula>AV106="후보"</formula>
    </cfRule>
  </conditionalFormatting>
  <conditionalFormatting sqref="AC106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06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06">
    <cfRule type="expression" priority="1004" dxfId="3">
      <formula>AND(IF(OR($Q106=1,$Q106=2),1,0),IF($X106&lt;=20,1,0))</formula>
    </cfRule>
    <cfRule type="expression" priority="1005" dxfId="2">
      <formula>AND(IF($Q106=2,1,0),IF($X106&lt;30,1,0))</formula>
    </cfRule>
    <cfRule type="expression" priority="1006" dxfId="1">
      <formula>AND(IF($Q106=3,1,0),IF($X106&lt;30,1,0))</formula>
    </cfRule>
    <cfRule type="expression" priority="1007" dxfId="0">
      <formula>AND(IF($Q106=3,1,IF($Q106=4,1,0)),IF($F106&lt;=85,1,0))</formula>
    </cfRule>
  </conditionalFormatting>
  <conditionalFormatting sqref="X106">
    <cfRule type="expression" priority="1000" dxfId="3">
      <formula>AND(IF(OR($Q106=1,$Q106=2),1,0),IF($X106&lt;=20,1,0))</formula>
    </cfRule>
    <cfRule type="expression" priority="1001" dxfId="2">
      <formula>AND(IF($Q106=2,1,0),IF($X106&lt;30,1,0))</formula>
    </cfRule>
    <cfRule type="expression" priority="1002" dxfId="1">
      <formula>AND(IF($Q106=3,1,0),IF($X106&lt;30,1,0))</formula>
    </cfRule>
    <cfRule type="expression" priority="1003" dxfId="0">
      <formula>AND(IF($Q106=3,1,IF($Q106=4,1,0)),IF($F106&lt;=85,1,0))</formula>
    </cfRule>
  </conditionalFormatting>
  <conditionalFormatting sqref="AI106">
    <cfRule type="expression" priority="996" dxfId="3">
      <formula>AND(IF(OR($Q106=1,$Q106=2),1,0),IF($X106&lt;=20,1,0))</formula>
    </cfRule>
    <cfRule type="expression" priority="997" dxfId="2">
      <formula>AND(IF($Q106=2,1,0),IF($X106&lt;30,1,0))</formula>
    </cfRule>
    <cfRule type="expression" priority="998" dxfId="1">
      <formula>AND(IF($Q106=3,1,0),IF($X106&lt;30,1,0))</formula>
    </cfRule>
    <cfRule type="expression" priority="999" dxfId="0">
      <formula>AND(IF($Q106=3,1,IF($Q106=4,1,0)),IF($F106&lt;=85,1,0))</formula>
    </cfRule>
  </conditionalFormatting>
  <conditionalFormatting sqref="AV107">
    <cfRule type="expression" priority="994" dxfId="17">
      <formula>AV107="X"</formula>
    </cfRule>
    <cfRule type="expression" priority="995" dxfId="16">
      <formula>AV107="후보"</formula>
    </cfRule>
  </conditionalFormatting>
  <conditionalFormatting sqref="AC107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07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07">
    <cfRule type="expression" priority="985" dxfId="3">
      <formula>AND(IF(OR($Q107=1,$Q107=2),1,0),IF($X107&lt;=20,1,0))</formula>
    </cfRule>
    <cfRule type="expression" priority="986" dxfId="2">
      <formula>AND(IF($Q107=2,1,0),IF($X107&lt;30,1,0))</formula>
    </cfRule>
    <cfRule type="expression" priority="987" dxfId="1">
      <formula>AND(IF($Q107=3,1,0),IF($X107&lt;30,1,0))</formula>
    </cfRule>
    <cfRule type="expression" priority="988" dxfId="0">
      <formula>AND(IF($Q107=3,1,IF($Q107=4,1,0)),IF($F107&lt;=85,1,0))</formula>
    </cfRule>
  </conditionalFormatting>
  <conditionalFormatting sqref="X107">
    <cfRule type="expression" priority="981" dxfId="3">
      <formula>AND(IF(OR($Q107=1,$Q107=2),1,0),IF($X107&lt;=20,1,0))</formula>
    </cfRule>
    <cfRule type="expression" priority="982" dxfId="2">
      <formula>AND(IF($Q107=2,1,0),IF($X107&lt;30,1,0))</formula>
    </cfRule>
    <cfRule type="expression" priority="983" dxfId="1">
      <formula>AND(IF($Q107=3,1,0),IF($X107&lt;30,1,0))</formula>
    </cfRule>
    <cfRule type="expression" priority="984" dxfId="0">
      <formula>AND(IF($Q107=3,1,IF($Q107=4,1,0)),IF($F107&lt;=85,1,0))</formula>
    </cfRule>
  </conditionalFormatting>
  <conditionalFormatting sqref="AI107">
    <cfRule type="expression" priority="977" dxfId="3">
      <formula>AND(IF(OR($Q107=1,$Q107=2),1,0),IF($X107&lt;=20,1,0))</formula>
    </cfRule>
    <cfRule type="expression" priority="978" dxfId="2">
      <formula>AND(IF($Q107=2,1,0),IF($X107&lt;30,1,0))</formula>
    </cfRule>
    <cfRule type="expression" priority="979" dxfId="1">
      <formula>AND(IF($Q107=3,1,0),IF($X107&lt;30,1,0))</formula>
    </cfRule>
    <cfRule type="expression" priority="980" dxfId="0">
      <formula>AND(IF($Q107=3,1,IF($Q107=4,1,0)),IF($F107&lt;=85,1,0))</formula>
    </cfRule>
  </conditionalFormatting>
  <conditionalFormatting sqref="AV108">
    <cfRule type="expression" priority="975" dxfId="17">
      <formula>AV108="X"</formula>
    </cfRule>
    <cfRule type="expression" priority="976" dxfId="16">
      <formula>AV108="후보"</formula>
    </cfRule>
  </conditionalFormatting>
  <conditionalFormatting sqref="AC108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108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108">
    <cfRule type="expression" priority="966" dxfId="3">
      <formula>AND(IF(OR($Q108=1,$Q108=2),1,0),IF($X108&lt;=20,1,0))</formula>
    </cfRule>
    <cfRule type="expression" priority="967" dxfId="2">
      <formula>AND(IF($Q108=2,1,0),IF($X108&lt;30,1,0))</formula>
    </cfRule>
    <cfRule type="expression" priority="968" dxfId="1">
      <formula>AND(IF($Q108=3,1,0),IF($X108&lt;30,1,0))</formula>
    </cfRule>
    <cfRule type="expression" priority="969" dxfId="0">
      <formula>AND(IF($Q108=3,1,IF($Q108=4,1,0)),IF($F108&lt;=85,1,0))</formula>
    </cfRule>
  </conditionalFormatting>
  <conditionalFormatting sqref="X108">
    <cfRule type="expression" priority="962" dxfId="3">
      <formula>AND(IF(OR($Q108=1,$Q108=2),1,0),IF($X108&lt;=20,1,0))</formula>
    </cfRule>
    <cfRule type="expression" priority="963" dxfId="2">
      <formula>AND(IF($Q108=2,1,0),IF($X108&lt;30,1,0))</formula>
    </cfRule>
    <cfRule type="expression" priority="964" dxfId="1">
      <formula>AND(IF($Q108=3,1,0),IF($X108&lt;30,1,0))</formula>
    </cfRule>
    <cfRule type="expression" priority="965" dxfId="0">
      <formula>AND(IF($Q108=3,1,IF($Q108=4,1,0)),IF($F108&lt;=85,1,0))</formula>
    </cfRule>
  </conditionalFormatting>
  <conditionalFormatting sqref="AI108">
    <cfRule type="expression" priority="958" dxfId="3">
      <formula>AND(IF(OR($Q108=1,$Q108=2),1,0),IF($X108&lt;=20,1,0))</formula>
    </cfRule>
    <cfRule type="expression" priority="959" dxfId="2">
      <formula>AND(IF($Q108=2,1,0),IF($X108&lt;30,1,0))</formula>
    </cfRule>
    <cfRule type="expression" priority="960" dxfId="1">
      <formula>AND(IF($Q108=3,1,0),IF($X108&lt;30,1,0))</formula>
    </cfRule>
    <cfRule type="expression" priority="961" dxfId="0">
      <formula>AND(IF($Q108=3,1,IF($Q108=4,1,0)),IF($F108&lt;=85,1,0))</formula>
    </cfRule>
  </conditionalFormatting>
  <conditionalFormatting sqref="AV109">
    <cfRule type="expression" priority="956" dxfId="17">
      <formula>AV109="X"</formula>
    </cfRule>
    <cfRule type="expression" priority="957" dxfId="16">
      <formula>AV109="후보"</formula>
    </cfRule>
  </conditionalFormatting>
  <conditionalFormatting sqref="AC109 N109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AV110">
    <cfRule type="expression" priority="951" dxfId="17">
      <formula>AV110="X"</formula>
    </cfRule>
    <cfRule type="expression" priority="952" dxfId="16">
      <formula>AV110="후보"</formula>
    </cfRule>
  </conditionalFormatting>
  <conditionalFormatting sqref="AC110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10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10">
    <cfRule type="expression" priority="942" dxfId="3">
      <formula>AND(IF(OR($Q110=1,$Q110=2),1,0),IF($X110&lt;=20,1,0))</formula>
    </cfRule>
    <cfRule type="expression" priority="943" dxfId="2">
      <formula>AND(IF($Q110=2,1,0),IF($X110&lt;30,1,0))</formula>
    </cfRule>
    <cfRule type="expression" priority="944" dxfId="1">
      <formula>AND(IF($Q110=3,1,0),IF($X110&lt;30,1,0))</formula>
    </cfRule>
    <cfRule type="expression" priority="945" dxfId="0">
      <formula>AND(IF($Q110=3,1,IF($Q110=4,1,0)),IF($F110&lt;=85,1,0))</formula>
    </cfRule>
  </conditionalFormatting>
  <conditionalFormatting sqref="X110">
    <cfRule type="expression" priority="938" dxfId="3">
      <formula>AND(IF(OR($Q110=1,$Q110=2),1,0),IF($X110&lt;=20,1,0))</formula>
    </cfRule>
    <cfRule type="expression" priority="939" dxfId="2">
      <formula>AND(IF($Q110=2,1,0),IF($X110&lt;30,1,0))</formula>
    </cfRule>
    <cfRule type="expression" priority="940" dxfId="1">
      <formula>AND(IF($Q110=3,1,0),IF($X110&lt;30,1,0))</formula>
    </cfRule>
    <cfRule type="expression" priority="941" dxfId="0">
      <formula>AND(IF($Q110=3,1,IF($Q110=4,1,0)),IF($F110&lt;=85,1,0))</formula>
    </cfRule>
  </conditionalFormatting>
  <conditionalFormatting sqref="AI110">
    <cfRule type="expression" priority="934" dxfId="3">
      <formula>AND(IF(OR($Q110=1,$Q110=2),1,0),IF($X110&lt;=20,1,0))</formula>
    </cfRule>
    <cfRule type="expression" priority="935" dxfId="2">
      <formula>AND(IF($Q110=2,1,0),IF($X110&lt;30,1,0))</formula>
    </cfRule>
    <cfRule type="expression" priority="936" dxfId="1">
      <formula>AND(IF($Q110=3,1,0),IF($X110&lt;30,1,0))</formula>
    </cfRule>
    <cfRule type="expression" priority="937" dxfId="0">
      <formula>AND(IF($Q110=3,1,IF($Q110=4,1,0)),IF($F110&lt;=85,1,0))</formula>
    </cfRule>
  </conditionalFormatting>
  <conditionalFormatting sqref="AV111">
    <cfRule type="expression" priority="932" dxfId="17">
      <formula>AV111="X"</formula>
    </cfRule>
    <cfRule type="expression" priority="933" dxfId="16">
      <formula>AV111="후보"</formula>
    </cfRule>
  </conditionalFormatting>
  <conditionalFormatting sqref="AC111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11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11">
    <cfRule type="expression" priority="923" dxfId="3">
      <formula>AND(IF(OR($Q111=1,$Q111=2),1,0),IF($X111&lt;=20,1,0))</formula>
    </cfRule>
    <cfRule type="expression" priority="924" dxfId="2">
      <formula>AND(IF($Q111=2,1,0),IF($X111&lt;30,1,0))</formula>
    </cfRule>
    <cfRule type="expression" priority="925" dxfId="1">
      <formula>AND(IF($Q111=3,1,0),IF($X111&lt;30,1,0))</formula>
    </cfRule>
    <cfRule type="expression" priority="926" dxfId="0">
      <formula>AND(IF($Q111=3,1,IF($Q111=4,1,0)),IF($F111&lt;=85,1,0))</formula>
    </cfRule>
  </conditionalFormatting>
  <conditionalFormatting sqref="X111">
    <cfRule type="expression" priority="919" dxfId="3">
      <formula>AND(IF(OR($Q111=1,$Q111=2),1,0),IF($X111&lt;=20,1,0))</formula>
    </cfRule>
    <cfRule type="expression" priority="920" dxfId="2">
      <formula>AND(IF($Q111=2,1,0),IF($X111&lt;30,1,0))</formula>
    </cfRule>
    <cfRule type="expression" priority="921" dxfId="1">
      <formula>AND(IF($Q111=3,1,0),IF($X111&lt;30,1,0))</formula>
    </cfRule>
    <cfRule type="expression" priority="922" dxfId="0">
      <formula>AND(IF($Q111=3,1,IF($Q111=4,1,0)),IF($F111&lt;=85,1,0))</formula>
    </cfRule>
  </conditionalFormatting>
  <conditionalFormatting sqref="AI111">
    <cfRule type="expression" priority="915" dxfId="3">
      <formula>AND(IF(OR($Q111=1,$Q111=2),1,0),IF($X111&lt;=20,1,0))</formula>
    </cfRule>
    <cfRule type="expression" priority="916" dxfId="2">
      <formula>AND(IF($Q111=2,1,0),IF($X111&lt;30,1,0))</formula>
    </cfRule>
    <cfRule type="expression" priority="917" dxfId="1">
      <formula>AND(IF($Q111=3,1,0),IF($X111&lt;30,1,0))</formula>
    </cfRule>
    <cfRule type="expression" priority="918" dxfId="0">
      <formula>AND(IF($Q111=3,1,IF($Q111=4,1,0)),IF($F111&lt;=85,1,0))</formula>
    </cfRule>
  </conditionalFormatting>
  <conditionalFormatting sqref="AV112">
    <cfRule type="expression" priority="913" dxfId="17">
      <formula>AV112="X"</formula>
    </cfRule>
    <cfRule type="expression" priority="914" dxfId="16">
      <formula>AV112="후보"</formula>
    </cfRule>
  </conditionalFormatting>
  <conditionalFormatting sqref="AC112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12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12">
    <cfRule type="expression" priority="904" dxfId="3">
      <formula>AND(IF(OR($Q112=1,$Q112=2),1,0),IF($X112&lt;=20,1,0))</formula>
    </cfRule>
    <cfRule type="expression" priority="905" dxfId="2">
      <formula>AND(IF($Q112=2,1,0),IF($X112&lt;30,1,0))</formula>
    </cfRule>
    <cfRule type="expression" priority="906" dxfId="1">
      <formula>AND(IF($Q112=3,1,0),IF($X112&lt;30,1,0))</formula>
    </cfRule>
    <cfRule type="expression" priority="907" dxfId="0">
      <formula>AND(IF($Q112=3,1,IF($Q112=4,1,0)),IF($F112&lt;=85,1,0))</formula>
    </cfRule>
  </conditionalFormatting>
  <conditionalFormatting sqref="X112">
    <cfRule type="expression" priority="900" dxfId="3">
      <formula>AND(IF(OR($Q112=1,$Q112=2),1,0),IF($X112&lt;=20,1,0))</formula>
    </cfRule>
    <cfRule type="expression" priority="901" dxfId="2">
      <formula>AND(IF($Q112=2,1,0),IF($X112&lt;30,1,0))</formula>
    </cfRule>
    <cfRule type="expression" priority="902" dxfId="1">
      <formula>AND(IF($Q112=3,1,0),IF($X112&lt;30,1,0))</formula>
    </cfRule>
    <cfRule type="expression" priority="903" dxfId="0">
      <formula>AND(IF($Q112=3,1,IF($Q112=4,1,0)),IF($F112&lt;=85,1,0))</formula>
    </cfRule>
  </conditionalFormatting>
  <conditionalFormatting sqref="AI112">
    <cfRule type="expression" priority="896" dxfId="3">
      <formula>AND(IF(OR($Q112=1,$Q112=2),1,0),IF($X112&lt;=20,1,0))</formula>
    </cfRule>
    <cfRule type="expression" priority="897" dxfId="2">
      <formula>AND(IF($Q112=2,1,0),IF($X112&lt;30,1,0))</formula>
    </cfRule>
    <cfRule type="expression" priority="898" dxfId="1">
      <formula>AND(IF($Q112=3,1,0),IF($X112&lt;30,1,0))</formula>
    </cfRule>
    <cfRule type="expression" priority="899" dxfId="0">
      <formula>AND(IF($Q112=3,1,IF($Q112=4,1,0)),IF($F112&lt;=85,1,0))</formula>
    </cfRule>
  </conditionalFormatting>
  <conditionalFormatting sqref="AV113">
    <cfRule type="expression" priority="894" dxfId="17">
      <formula>AV113="X"</formula>
    </cfRule>
    <cfRule type="expression" priority="895" dxfId="16">
      <formula>AV113="후보"</formula>
    </cfRule>
  </conditionalFormatting>
  <conditionalFormatting sqref="AC113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113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113">
    <cfRule type="expression" priority="885" dxfId="3">
      <formula>AND(IF(OR($Q113=1,$Q113=2),1,0),IF($X113&lt;=20,1,0))</formula>
    </cfRule>
    <cfRule type="expression" priority="886" dxfId="2">
      <formula>AND(IF($Q113=2,1,0),IF($X113&lt;30,1,0))</formula>
    </cfRule>
    <cfRule type="expression" priority="887" dxfId="1">
      <formula>AND(IF($Q113=3,1,0),IF($X113&lt;30,1,0))</formula>
    </cfRule>
    <cfRule type="expression" priority="888" dxfId="0">
      <formula>AND(IF($Q113=3,1,IF($Q113=4,1,0)),IF($F113&lt;=85,1,0))</formula>
    </cfRule>
  </conditionalFormatting>
  <conditionalFormatting sqref="X113">
    <cfRule type="expression" priority="881" dxfId="3">
      <formula>AND(IF(OR($Q113=1,$Q113=2),1,0),IF($X113&lt;=20,1,0))</formula>
    </cfRule>
    <cfRule type="expression" priority="882" dxfId="2">
      <formula>AND(IF($Q113=2,1,0),IF($X113&lt;30,1,0))</formula>
    </cfRule>
    <cfRule type="expression" priority="883" dxfId="1">
      <formula>AND(IF($Q113=3,1,0),IF($X113&lt;30,1,0))</formula>
    </cfRule>
    <cfRule type="expression" priority="884" dxfId="0">
      <formula>AND(IF($Q113=3,1,IF($Q113=4,1,0)),IF($F113&lt;=85,1,0))</formula>
    </cfRule>
  </conditionalFormatting>
  <conditionalFormatting sqref="AI113">
    <cfRule type="expression" priority="877" dxfId="3">
      <formula>AND(IF(OR($Q113=1,$Q113=2),1,0),IF($X113&lt;=20,1,0))</formula>
    </cfRule>
    <cfRule type="expression" priority="878" dxfId="2">
      <formula>AND(IF($Q113=2,1,0),IF($X113&lt;30,1,0))</formula>
    </cfRule>
    <cfRule type="expression" priority="879" dxfId="1">
      <formula>AND(IF($Q113=3,1,0),IF($X113&lt;30,1,0))</formula>
    </cfRule>
    <cfRule type="expression" priority="880" dxfId="0">
      <formula>AND(IF($Q113=3,1,IF($Q113=4,1,0)),IF($F113&lt;=85,1,0))</formula>
    </cfRule>
  </conditionalFormatting>
  <conditionalFormatting sqref="AV114">
    <cfRule type="expression" priority="875" dxfId="17">
      <formula>AV114="X"</formula>
    </cfRule>
    <cfRule type="expression" priority="876" dxfId="16">
      <formula>AV114="후보"</formula>
    </cfRule>
  </conditionalFormatting>
  <conditionalFormatting sqref="AC114 N11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115">
    <cfRule type="expression" priority="870" dxfId="17">
      <formula>AV115="X"</formula>
    </cfRule>
    <cfRule type="expression" priority="871" dxfId="16">
      <formula>AV115="후보"</formula>
    </cfRule>
  </conditionalFormatting>
  <conditionalFormatting sqref="AC115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11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115">
    <cfRule type="expression" priority="861" dxfId="3">
      <formula>AND(IF(OR($Q115=1,$Q115=2),1,0),IF($X115&lt;=20,1,0))</formula>
    </cfRule>
    <cfRule type="expression" priority="862" dxfId="2">
      <formula>AND(IF($Q115=2,1,0),IF($X115&lt;30,1,0))</formula>
    </cfRule>
    <cfRule type="expression" priority="863" dxfId="1">
      <formula>AND(IF($Q115=3,1,0),IF($X115&lt;30,1,0))</formula>
    </cfRule>
    <cfRule type="expression" priority="864" dxfId="0">
      <formula>AND(IF($Q115=3,1,IF($Q115=4,1,0)),IF($F115&lt;=85,1,0))</formula>
    </cfRule>
  </conditionalFormatting>
  <conditionalFormatting sqref="X115">
    <cfRule type="expression" priority="857" dxfId="3">
      <formula>AND(IF(OR($Q115=1,$Q115=2),1,0),IF($X115&lt;=20,1,0))</formula>
    </cfRule>
    <cfRule type="expression" priority="858" dxfId="2">
      <formula>AND(IF($Q115=2,1,0),IF($X115&lt;30,1,0))</formula>
    </cfRule>
    <cfRule type="expression" priority="859" dxfId="1">
      <formula>AND(IF($Q115=3,1,0),IF($X115&lt;30,1,0))</formula>
    </cfRule>
    <cfRule type="expression" priority="860" dxfId="0">
      <formula>AND(IF($Q115=3,1,IF($Q115=4,1,0)),IF($F115&lt;=85,1,0))</formula>
    </cfRule>
  </conditionalFormatting>
  <conditionalFormatting sqref="AI115">
    <cfRule type="expression" priority="853" dxfId="3">
      <formula>AND(IF(OR($Q115=1,$Q115=2),1,0),IF($X115&lt;=20,1,0))</formula>
    </cfRule>
    <cfRule type="expression" priority="854" dxfId="2">
      <formula>AND(IF($Q115=2,1,0),IF($X115&lt;30,1,0))</formula>
    </cfRule>
    <cfRule type="expression" priority="855" dxfId="1">
      <formula>AND(IF($Q115=3,1,0),IF($X115&lt;30,1,0))</formula>
    </cfRule>
    <cfRule type="expression" priority="856" dxfId="0">
      <formula>AND(IF($Q115=3,1,IF($Q115=4,1,0)),IF($F115&lt;=85,1,0))</formula>
    </cfRule>
  </conditionalFormatting>
  <conditionalFormatting sqref="AV116">
    <cfRule type="expression" priority="851" dxfId="17">
      <formula>AV116="X"</formula>
    </cfRule>
    <cfRule type="expression" priority="852" dxfId="16">
      <formula>AV116="후보"</formula>
    </cfRule>
  </conditionalFormatting>
  <conditionalFormatting sqref="AC116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11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116">
    <cfRule type="expression" priority="842" dxfId="3">
      <formula>AND(IF(OR($Q116=1,$Q116=2),1,0),IF($X116&lt;=20,1,0))</formula>
    </cfRule>
    <cfRule type="expression" priority="843" dxfId="2">
      <formula>AND(IF($Q116=2,1,0),IF($X116&lt;30,1,0))</formula>
    </cfRule>
    <cfRule type="expression" priority="844" dxfId="1">
      <formula>AND(IF($Q116=3,1,0),IF($X116&lt;30,1,0))</formula>
    </cfRule>
    <cfRule type="expression" priority="845" dxfId="0">
      <formula>AND(IF($Q116=3,1,IF($Q116=4,1,0)),IF($F116&lt;=85,1,0))</formula>
    </cfRule>
  </conditionalFormatting>
  <conditionalFormatting sqref="X116">
    <cfRule type="expression" priority="838" dxfId="3">
      <formula>AND(IF(OR($Q116=1,$Q116=2),1,0),IF($X116&lt;=20,1,0))</formula>
    </cfRule>
    <cfRule type="expression" priority="839" dxfId="2">
      <formula>AND(IF($Q116=2,1,0),IF($X116&lt;30,1,0))</formula>
    </cfRule>
    <cfRule type="expression" priority="840" dxfId="1">
      <formula>AND(IF($Q116=3,1,0),IF($X116&lt;30,1,0))</formula>
    </cfRule>
    <cfRule type="expression" priority="841" dxfId="0">
      <formula>AND(IF($Q116=3,1,IF($Q116=4,1,0)),IF($F116&lt;=85,1,0))</formula>
    </cfRule>
  </conditionalFormatting>
  <conditionalFormatting sqref="AI116">
    <cfRule type="expression" priority="834" dxfId="3">
      <formula>AND(IF(OR($Q116=1,$Q116=2),1,0),IF($X116&lt;=20,1,0))</formula>
    </cfRule>
    <cfRule type="expression" priority="835" dxfId="2">
      <formula>AND(IF($Q116=2,1,0),IF($X116&lt;30,1,0))</formula>
    </cfRule>
    <cfRule type="expression" priority="836" dxfId="1">
      <formula>AND(IF($Q116=3,1,0),IF($X116&lt;30,1,0))</formula>
    </cfRule>
    <cfRule type="expression" priority="837" dxfId="0">
      <formula>AND(IF($Q116=3,1,IF($Q116=4,1,0)),IF($F116&lt;=85,1,0))</formula>
    </cfRule>
  </conditionalFormatting>
  <conditionalFormatting sqref="AV117">
    <cfRule type="expression" priority="832" dxfId="17">
      <formula>AV117="X"</formula>
    </cfRule>
    <cfRule type="expression" priority="833" dxfId="16">
      <formula>AV117="후보"</formula>
    </cfRule>
  </conditionalFormatting>
  <conditionalFormatting sqref="AC117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117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117">
    <cfRule type="expression" priority="823" dxfId="3">
      <formula>AND(IF(OR($Q117=1,$Q117=2),1,0),IF($X117&lt;=20,1,0))</formula>
    </cfRule>
    <cfRule type="expression" priority="824" dxfId="2">
      <formula>AND(IF($Q117=2,1,0),IF($X117&lt;30,1,0))</formula>
    </cfRule>
    <cfRule type="expression" priority="825" dxfId="1">
      <formula>AND(IF($Q117=3,1,0),IF($X117&lt;30,1,0))</formula>
    </cfRule>
    <cfRule type="expression" priority="826" dxfId="0">
      <formula>AND(IF($Q117=3,1,IF($Q117=4,1,0)),IF($F117&lt;=85,1,0))</formula>
    </cfRule>
  </conditionalFormatting>
  <conditionalFormatting sqref="X117">
    <cfRule type="expression" priority="819" dxfId="3">
      <formula>AND(IF(OR($Q117=1,$Q117=2),1,0),IF($X117&lt;=20,1,0))</formula>
    </cfRule>
    <cfRule type="expression" priority="820" dxfId="2">
      <formula>AND(IF($Q117=2,1,0),IF($X117&lt;30,1,0))</formula>
    </cfRule>
    <cfRule type="expression" priority="821" dxfId="1">
      <formula>AND(IF($Q117=3,1,0),IF($X117&lt;30,1,0))</formula>
    </cfRule>
    <cfRule type="expression" priority="822" dxfId="0">
      <formula>AND(IF($Q117=3,1,IF($Q117=4,1,0)),IF($F117&lt;=85,1,0))</formula>
    </cfRule>
  </conditionalFormatting>
  <conditionalFormatting sqref="AI117">
    <cfRule type="expression" priority="815" dxfId="3">
      <formula>AND(IF(OR($Q117=1,$Q117=2),1,0),IF($X117&lt;=20,1,0))</formula>
    </cfRule>
    <cfRule type="expression" priority="816" dxfId="2">
      <formula>AND(IF($Q117=2,1,0),IF($X117&lt;30,1,0))</formula>
    </cfRule>
    <cfRule type="expression" priority="817" dxfId="1">
      <formula>AND(IF($Q117=3,1,0),IF($X117&lt;30,1,0))</formula>
    </cfRule>
    <cfRule type="expression" priority="818" dxfId="0">
      <formula>AND(IF($Q117=3,1,IF($Q117=4,1,0)),IF($F117&lt;=85,1,0))</formula>
    </cfRule>
  </conditionalFormatting>
  <conditionalFormatting sqref="AV118">
    <cfRule type="expression" priority="813" dxfId="17">
      <formula>AV118="X"</formula>
    </cfRule>
    <cfRule type="expression" priority="814" dxfId="16">
      <formula>AV118="후보"</formula>
    </cfRule>
  </conditionalFormatting>
  <conditionalFormatting sqref="AC118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118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118">
    <cfRule type="expression" priority="804" dxfId="3">
      <formula>AND(IF(OR($Q118=1,$Q118=2),1,0),IF($X118&lt;=20,1,0))</formula>
    </cfRule>
    <cfRule type="expression" priority="805" dxfId="2">
      <formula>AND(IF($Q118=2,1,0),IF($X118&lt;30,1,0))</formula>
    </cfRule>
    <cfRule type="expression" priority="806" dxfId="1">
      <formula>AND(IF($Q118=3,1,0),IF($X118&lt;30,1,0))</formula>
    </cfRule>
    <cfRule type="expression" priority="807" dxfId="0">
      <formula>AND(IF($Q118=3,1,IF($Q118=4,1,0)),IF($F118&lt;=85,1,0))</formula>
    </cfRule>
  </conditionalFormatting>
  <conditionalFormatting sqref="X118">
    <cfRule type="expression" priority="800" dxfId="3">
      <formula>AND(IF(OR($Q118=1,$Q118=2),1,0),IF($X118&lt;=20,1,0))</formula>
    </cfRule>
    <cfRule type="expression" priority="801" dxfId="2">
      <formula>AND(IF($Q118=2,1,0),IF($X118&lt;30,1,0))</formula>
    </cfRule>
    <cfRule type="expression" priority="802" dxfId="1">
      <formula>AND(IF($Q118=3,1,0),IF($X118&lt;30,1,0))</formula>
    </cfRule>
    <cfRule type="expression" priority="803" dxfId="0">
      <formula>AND(IF($Q118=3,1,IF($Q118=4,1,0)),IF($F118&lt;=85,1,0))</formula>
    </cfRule>
  </conditionalFormatting>
  <conditionalFormatting sqref="AI118">
    <cfRule type="expression" priority="796" dxfId="3">
      <formula>AND(IF(OR($Q118=1,$Q118=2),1,0),IF($X118&lt;=20,1,0))</formula>
    </cfRule>
    <cfRule type="expression" priority="797" dxfId="2">
      <formula>AND(IF($Q118=2,1,0),IF($X118&lt;30,1,0))</formula>
    </cfRule>
    <cfRule type="expression" priority="798" dxfId="1">
      <formula>AND(IF($Q118=3,1,0),IF($X118&lt;30,1,0))</formula>
    </cfRule>
    <cfRule type="expression" priority="799" dxfId="0">
      <formula>AND(IF($Q118=3,1,IF($Q118=4,1,0)),IF($F118&lt;=85,1,0))</formula>
    </cfRule>
  </conditionalFormatting>
  <conditionalFormatting sqref="AV119">
    <cfRule type="expression" priority="794" dxfId="17">
      <formula>AV119="X"</formula>
    </cfRule>
    <cfRule type="expression" priority="795" dxfId="16">
      <formula>AV119="후보"</formula>
    </cfRule>
  </conditionalFormatting>
  <conditionalFormatting sqref="AC119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119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119">
    <cfRule type="expression" priority="785" dxfId="3">
      <formula>AND(IF(OR($Q119=1,$Q119=2),1,0),IF($X119&lt;=20,1,0))</formula>
    </cfRule>
    <cfRule type="expression" priority="786" dxfId="2">
      <formula>AND(IF($Q119=2,1,0),IF($X119&lt;30,1,0))</formula>
    </cfRule>
    <cfRule type="expression" priority="787" dxfId="1">
      <formula>AND(IF($Q119=3,1,0),IF($X119&lt;30,1,0))</formula>
    </cfRule>
    <cfRule type="expression" priority="788" dxfId="0">
      <formula>AND(IF($Q119=3,1,IF($Q119=4,1,0)),IF($F119&lt;=85,1,0))</formula>
    </cfRule>
  </conditionalFormatting>
  <conditionalFormatting sqref="X119">
    <cfRule type="expression" priority="781" dxfId="3">
      <formula>AND(IF(OR($Q119=1,$Q119=2),1,0),IF($X119&lt;=20,1,0))</formula>
    </cfRule>
    <cfRule type="expression" priority="782" dxfId="2">
      <formula>AND(IF($Q119=2,1,0),IF($X119&lt;30,1,0))</formula>
    </cfRule>
    <cfRule type="expression" priority="783" dxfId="1">
      <formula>AND(IF($Q119=3,1,0),IF($X119&lt;30,1,0))</formula>
    </cfRule>
    <cfRule type="expression" priority="784" dxfId="0">
      <formula>AND(IF($Q119=3,1,IF($Q119=4,1,0)),IF($F119&lt;=85,1,0))</formula>
    </cfRule>
  </conditionalFormatting>
  <conditionalFormatting sqref="AI119">
    <cfRule type="expression" priority="777" dxfId="3">
      <formula>AND(IF(OR($Q119=1,$Q119=2),1,0),IF($X119&lt;=20,1,0))</formula>
    </cfRule>
    <cfRule type="expression" priority="778" dxfId="2">
      <formula>AND(IF($Q119=2,1,0),IF($X119&lt;30,1,0))</formula>
    </cfRule>
    <cfRule type="expression" priority="779" dxfId="1">
      <formula>AND(IF($Q119=3,1,0),IF($X119&lt;30,1,0))</formula>
    </cfRule>
    <cfRule type="expression" priority="780" dxfId="0">
      <formula>AND(IF($Q119=3,1,IF($Q119=4,1,0)),IF($F119&lt;=85,1,0))</formula>
    </cfRule>
  </conditionalFormatting>
  <conditionalFormatting sqref="AV120">
    <cfRule type="expression" priority="775" dxfId="17">
      <formula>AV120="X"</formula>
    </cfRule>
    <cfRule type="expression" priority="776" dxfId="16">
      <formula>AV120="후보"</formula>
    </cfRule>
  </conditionalFormatting>
  <conditionalFormatting sqref="AC120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120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120">
    <cfRule type="expression" priority="766" dxfId="3">
      <formula>AND(IF(OR($Q120=1,$Q120=2),1,0),IF($X120&lt;=20,1,0))</formula>
    </cfRule>
    <cfRule type="expression" priority="767" dxfId="2">
      <formula>AND(IF($Q120=2,1,0),IF($X120&lt;30,1,0))</formula>
    </cfRule>
    <cfRule type="expression" priority="768" dxfId="1">
      <formula>AND(IF($Q120=3,1,0),IF($X120&lt;30,1,0))</formula>
    </cfRule>
    <cfRule type="expression" priority="769" dxfId="0">
      <formula>AND(IF($Q120=3,1,IF($Q120=4,1,0)),IF($F120&lt;=85,1,0))</formula>
    </cfRule>
  </conditionalFormatting>
  <conditionalFormatting sqref="X120">
    <cfRule type="expression" priority="762" dxfId="3">
      <formula>AND(IF(OR($Q120=1,$Q120=2),1,0),IF($X120&lt;=20,1,0))</formula>
    </cfRule>
    <cfRule type="expression" priority="763" dxfId="2">
      <formula>AND(IF($Q120=2,1,0),IF($X120&lt;30,1,0))</formula>
    </cfRule>
    <cfRule type="expression" priority="764" dxfId="1">
      <formula>AND(IF($Q120=3,1,0),IF($X120&lt;30,1,0))</formula>
    </cfRule>
    <cfRule type="expression" priority="765" dxfId="0">
      <formula>AND(IF($Q120=3,1,IF($Q120=4,1,0)),IF($F120&lt;=85,1,0))</formula>
    </cfRule>
  </conditionalFormatting>
  <conditionalFormatting sqref="AI120">
    <cfRule type="expression" priority="758" dxfId="3">
      <formula>AND(IF(OR($Q120=1,$Q120=2),1,0),IF($X120&lt;=20,1,0))</formula>
    </cfRule>
    <cfRule type="expression" priority="759" dxfId="2">
      <formula>AND(IF($Q120=2,1,0),IF($X120&lt;30,1,0))</formula>
    </cfRule>
    <cfRule type="expression" priority="760" dxfId="1">
      <formula>AND(IF($Q120=3,1,0),IF($X120&lt;30,1,0))</formula>
    </cfRule>
    <cfRule type="expression" priority="761" dxfId="0">
      <formula>AND(IF($Q120=3,1,IF($Q120=4,1,0)),IF($F120&lt;=85,1,0))</formula>
    </cfRule>
  </conditionalFormatting>
  <conditionalFormatting sqref="AV121">
    <cfRule type="expression" priority="756" dxfId="17">
      <formula>AV121="X"</formula>
    </cfRule>
    <cfRule type="expression" priority="757" dxfId="16">
      <formula>AV121="후보"</formula>
    </cfRule>
  </conditionalFormatting>
  <conditionalFormatting sqref="AC12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2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21">
    <cfRule type="expression" priority="747" dxfId="3">
      <formula>AND(IF(OR($Q121=1,$Q121=2),1,0),IF($X121&lt;=20,1,0))</formula>
    </cfRule>
    <cfRule type="expression" priority="748" dxfId="2">
      <formula>AND(IF($Q121=2,1,0),IF($X121&lt;30,1,0))</formula>
    </cfRule>
    <cfRule type="expression" priority="749" dxfId="1">
      <formula>AND(IF($Q121=3,1,0),IF($X121&lt;30,1,0))</formula>
    </cfRule>
    <cfRule type="expression" priority="750" dxfId="0">
      <formula>AND(IF($Q121=3,1,IF($Q121=4,1,0)),IF($F121&lt;=85,1,0))</formula>
    </cfRule>
  </conditionalFormatting>
  <conditionalFormatting sqref="X121">
    <cfRule type="expression" priority="743" dxfId="3">
      <formula>AND(IF(OR($Q121=1,$Q121=2),1,0),IF($X121&lt;=20,1,0))</formula>
    </cfRule>
    <cfRule type="expression" priority="744" dxfId="2">
      <formula>AND(IF($Q121=2,1,0),IF($X121&lt;30,1,0))</formula>
    </cfRule>
    <cfRule type="expression" priority="745" dxfId="1">
      <formula>AND(IF($Q121=3,1,0),IF($X121&lt;30,1,0))</formula>
    </cfRule>
    <cfRule type="expression" priority="746" dxfId="0">
      <formula>AND(IF($Q121=3,1,IF($Q121=4,1,0)),IF($F121&lt;=85,1,0))</formula>
    </cfRule>
  </conditionalFormatting>
  <conditionalFormatting sqref="AI121">
    <cfRule type="expression" priority="739" dxfId="3">
      <formula>AND(IF(OR($Q121=1,$Q121=2),1,0),IF($X121&lt;=20,1,0))</formula>
    </cfRule>
    <cfRule type="expression" priority="740" dxfId="2">
      <formula>AND(IF($Q121=2,1,0),IF($X121&lt;30,1,0))</formula>
    </cfRule>
    <cfRule type="expression" priority="741" dxfId="1">
      <formula>AND(IF($Q121=3,1,0),IF($X121&lt;30,1,0))</formula>
    </cfRule>
    <cfRule type="expression" priority="742" dxfId="0">
      <formula>AND(IF($Q121=3,1,IF($Q121=4,1,0)),IF($F121&lt;=85,1,0))</formula>
    </cfRule>
  </conditionalFormatting>
  <conditionalFormatting sqref="AV122">
    <cfRule type="expression" priority="737" dxfId="17">
      <formula>AV122="X"</formula>
    </cfRule>
    <cfRule type="expression" priority="738" dxfId="16">
      <formula>AV122="후보"</formula>
    </cfRule>
  </conditionalFormatting>
  <conditionalFormatting sqref="AC12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2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22">
    <cfRule type="expression" priority="728" dxfId="3">
      <formula>AND(IF(OR($Q122=1,$Q122=2),1,0),IF($X122&lt;=20,1,0))</formula>
    </cfRule>
    <cfRule type="expression" priority="729" dxfId="2">
      <formula>AND(IF($Q122=2,1,0),IF($X122&lt;30,1,0))</formula>
    </cfRule>
    <cfRule type="expression" priority="730" dxfId="1">
      <formula>AND(IF($Q122=3,1,0),IF($X122&lt;30,1,0))</formula>
    </cfRule>
    <cfRule type="expression" priority="731" dxfId="0">
      <formula>AND(IF($Q122=3,1,IF($Q122=4,1,0)),IF($F122&lt;=85,1,0))</formula>
    </cfRule>
  </conditionalFormatting>
  <conditionalFormatting sqref="X122">
    <cfRule type="expression" priority="724" dxfId="3">
      <formula>AND(IF(OR($Q122=1,$Q122=2),1,0),IF($X122&lt;=20,1,0))</formula>
    </cfRule>
    <cfRule type="expression" priority="725" dxfId="2">
      <formula>AND(IF($Q122=2,1,0),IF($X122&lt;30,1,0))</formula>
    </cfRule>
    <cfRule type="expression" priority="726" dxfId="1">
      <formula>AND(IF($Q122=3,1,0),IF($X122&lt;30,1,0))</formula>
    </cfRule>
    <cfRule type="expression" priority="727" dxfId="0">
      <formula>AND(IF($Q122=3,1,IF($Q122=4,1,0)),IF($F122&lt;=85,1,0))</formula>
    </cfRule>
  </conditionalFormatting>
  <conditionalFormatting sqref="AI122">
    <cfRule type="expression" priority="720" dxfId="3">
      <formula>AND(IF(OR($Q122=1,$Q122=2),1,0),IF($X122&lt;=20,1,0))</formula>
    </cfRule>
    <cfRule type="expression" priority="721" dxfId="2">
      <formula>AND(IF($Q122=2,1,0),IF($X122&lt;30,1,0))</formula>
    </cfRule>
    <cfRule type="expression" priority="722" dxfId="1">
      <formula>AND(IF($Q122=3,1,0),IF($X122&lt;30,1,0))</formula>
    </cfRule>
    <cfRule type="expression" priority="723" dxfId="0">
      <formula>AND(IF($Q122=3,1,IF($Q122=4,1,0)),IF($F122&lt;=85,1,0))</formula>
    </cfRule>
  </conditionalFormatting>
  <conditionalFormatting sqref="AV123">
    <cfRule type="expression" priority="718" dxfId="17">
      <formula>AV123="X"</formula>
    </cfRule>
    <cfRule type="expression" priority="719" dxfId="16">
      <formula>AV123="후보"</formula>
    </cfRule>
  </conditionalFormatting>
  <conditionalFormatting sqref="AC123 N12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124">
    <cfRule type="expression" priority="713" dxfId="17">
      <formula>AV124="X"</formula>
    </cfRule>
    <cfRule type="expression" priority="714" dxfId="16">
      <formula>AV124="후보"</formula>
    </cfRule>
  </conditionalFormatting>
  <conditionalFormatting sqref="AC124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4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4">
    <cfRule type="expression" priority="704" dxfId="3">
      <formula>AND(IF(OR($Q124=1,$Q124=2),1,0),IF($X124&lt;=20,1,0))</formula>
    </cfRule>
    <cfRule type="expression" priority="705" dxfId="2">
      <formula>AND(IF($Q124=2,1,0),IF($X124&lt;30,1,0))</formula>
    </cfRule>
    <cfRule type="expression" priority="706" dxfId="1">
      <formula>AND(IF($Q124=3,1,0),IF($X124&lt;30,1,0))</formula>
    </cfRule>
    <cfRule type="expression" priority="707" dxfId="0">
      <formula>AND(IF($Q124=3,1,IF($Q124=4,1,0)),IF($F124&lt;=85,1,0))</formula>
    </cfRule>
  </conditionalFormatting>
  <conditionalFormatting sqref="X124">
    <cfRule type="expression" priority="700" dxfId="3">
      <formula>AND(IF(OR($Q124=1,$Q124=2),1,0),IF($X124&lt;=20,1,0))</formula>
    </cfRule>
    <cfRule type="expression" priority="701" dxfId="2">
      <formula>AND(IF($Q124=2,1,0),IF($X124&lt;30,1,0))</formula>
    </cfRule>
    <cfRule type="expression" priority="702" dxfId="1">
      <formula>AND(IF($Q124=3,1,0),IF($X124&lt;30,1,0))</formula>
    </cfRule>
    <cfRule type="expression" priority="703" dxfId="0">
      <formula>AND(IF($Q124=3,1,IF($Q124=4,1,0)),IF($F124&lt;=85,1,0))</formula>
    </cfRule>
  </conditionalFormatting>
  <conditionalFormatting sqref="AI124">
    <cfRule type="expression" priority="696" dxfId="3">
      <formula>AND(IF(OR($Q124=1,$Q124=2),1,0),IF($X124&lt;=20,1,0))</formula>
    </cfRule>
    <cfRule type="expression" priority="697" dxfId="2">
      <formula>AND(IF($Q124=2,1,0),IF($X124&lt;30,1,0))</formula>
    </cfRule>
    <cfRule type="expression" priority="698" dxfId="1">
      <formula>AND(IF($Q124=3,1,0),IF($X124&lt;30,1,0))</formula>
    </cfRule>
    <cfRule type="expression" priority="699" dxfId="0">
      <formula>AND(IF($Q124=3,1,IF($Q124=4,1,0)),IF($F124&lt;=85,1,0))</formula>
    </cfRule>
  </conditionalFormatting>
  <conditionalFormatting sqref="AV125">
    <cfRule type="expression" priority="694" dxfId="17">
      <formula>AV125="X"</formula>
    </cfRule>
    <cfRule type="expression" priority="695" dxfId="16">
      <formula>AV125="후보"</formula>
    </cfRule>
  </conditionalFormatting>
  <conditionalFormatting sqref="AC125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5">
    <cfRule type="expression" priority="685" dxfId="3">
      <formula>AND(IF(OR($Q125=1,$Q125=2),1,0),IF($X125&lt;=20,1,0))</formula>
    </cfRule>
    <cfRule type="expression" priority="686" dxfId="2">
      <formula>AND(IF($Q125=2,1,0),IF($X125&lt;30,1,0))</formula>
    </cfRule>
    <cfRule type="expression" priority="687" dxfId="1">
      <formula>AND(IF($Q125=3,1,0),IF($X125&lt;30,1,0))</formula>
    </cfRule>
    <cfRule type="expression" priority="688" dxfId="0">
      <formula>AND(IF($Q125=3,1,IF($Q125=4,1,0)),IF($F125&lt;=85,1,0))</formula>
    </cfRule>
  </conditionalFormatting>
  <conditionalFormatting sqref="X125">
    <cfRule type="expression" priority="681" dxfId="3">
      <formula>AND(IF(OR($Q125=1,$Q125=2),1,0),IF($X125&lt;=20,1,0))</formula>
    </cfRule>
    <cfRule type="expression" priority="682" dxfId="2">
      <formula>AND(IF($Q125=2,1,0),IF($X125&lt;30,1,0))</formula>
    </cfRule>
    <cfRule type="expression" priority="683" dxfId="1">
      <formula>AND(IF($Q125=3,1,0),IF($X125&lt;30,1,0))</formula>
    </cfRule>
    <cfRule type="expression" priority="684" dxfId="0">
      <formula>AND(IF($Q125=3,1,IF($Q125=4,1,0)),IF($F125&lt;=85,1,0))</formula>
    </cfRule>
  </conditionalFormatting>
  <conditionalFormatting sqref="AI125">
    <cfRule type="expression" priority="677" dxfId="3">
      <formula>AND(IF(OR($Q125=1,$Q125=2),1,0),IF($X125&lt;=20,1,0))</formula>
    </cfRule>
    <cfRule type="expression" priority="678" dxfId="2">
      <formula>AND(IF($Q125=2,1,0),IF($X125&lt;30,1,0))</formula>
    </cfRule>
    <cfRule type="expression" priority="679" dxfId="1">
      <formula>AND(IF($Q125=3,1,0),IF($X125&lt;30,1,0))</formula>
    </cfRule>
    <cfRule type="expression" priority="680" dxfId="0">
      <formula>AND(IF($Q125=3,1,IF($Q125=4,1,0)),IF($F125&lt;=85,1,0))</formula>
    </cfRule>
  </conditionalFormatting>
  <conditionalFormatting sqref="AV126">
    <cfRule type="expression" priority="675" dxfId="17">
      <formula>AV126="X"</formula>
    </cfRule>
    <cfRule type="expression" priority="676" dxfId="16">
      <formula>AV126="후보"</formula>
    </cfRule>
  </conditionalFormatting>
  <conditionalFormatting sqref="AC126 N126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AV127">
    <cfRule type="expression" priority="670" dxfId="17">
      <formula>AV127="X"</formula>
    </cfRule>
    <cfRule type="expression" priority="671" dxfId="16">
      <formula>AV127="후보"</formula>
    </cfRule>
  </conditionalFormatting>
  <conditionalFormatting sqref="AC12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27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27">
    <cfRule type="expression" priority="661" dxfId="3">
      <formula>AND(IF(OR($Q127=1,$Q127=2),1,0),IF($X127&lt;=20,1,0))</formula>
    </cfRule>
    <cfRule type="expression" priority="662" dxfId="2">
      <formula>AND(IF($Q127=2,1,0),IF($X127&lt;30,1,0))</formula>
    </cfRule>
    <cfRule type="expression" priority="663" dxfId="1">
      <formula>AND(IF($Q127=3,1,0),IF($X127&lt;30,1,0))</formula>
    </cfRule>
    <cfRule type="expression" priority="664" dxfId="0">
      <formula>AND(IF($Q127=3,1,IF($Q127=4,1,0)),IF($F127&lt;=85,1,0))</formula>
    </cfRule>
  </conditionalFormatting>
  <conditionalFormatting sqref="X127">
    <cfRule type="expression" priority="657" dxfId="3">
      <formula>AND(IF(OR($Q127=1,$Q127=2),1,0),IF($X127&lt;=20,1,0))</formula>
    </cfRule>
    <cfRule type="expression" priority="658" dxfId="2">
      <formula>AND(IF($Q127=2,1,0),IF($X127&lt;30,1,0))</formula>
    </cfRule>
    <cfRule type="expression" priority="659" dxfId="1">
      <formula>AND(IF($Q127=3,1,0),IF($X127&lt;30,1,0))</formula>
    </cfRule>
    <cfRule type="expression" priority="660" dxfId="0">
      <formula>AND(IF($Q127=3,1,IF($Q127=4,1,0)),IF($F127&lt;=85,1,0))</formula>
    </cfRule>
  </conditionalFormatting>
  <conditionalFormatting sqref="AI127">
    <cfRule type="expression" priority="653" dxfId="3">
      <formula>AND(IF(OR($Q127=1,$Q127=2),1,0),IF($X127&lt;=20,1,0))</formula>
    </cfRule>
    <cfRule type="expression" priority="654" dxfId="2">
      <formula>AND(IF($Q127=2,1,0),IF($X127&lt;30,1,0))</formula>
    </cfRule>
    <cfRule type="expression" priority="655" dxfId="1">
      <formula>AND(IF($Q127=3,1,0),IF($X127&lt;30,1,0))</formula>
    </cfRule>
    <cfRule type="expression" priority="656" dxfId="0">
      <formula>AND(IF($Q127=3,1,IF($Q127=4,1,0)),IF($F127&lt;=85,1,0))</formula>
    </cfRule>
  </conditionalFormatting>
  <conditionalFormatting sqref="AV128">
    <cfRule type="expression" priority="651" dxfId="17">
      <formula>AV128="X"</formula>
    </cfRule>
    <cfRule type="expression" priority="652" dxfId="16">
      <formula>AV128="후보"</formula>
    </cfRule>
  </conditionalFormatting>
  <conditionalFormatting sqref="AC128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28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28">
    <cfRule type="expression" priority="642" dxfId="3">
      <formula>AND(IF(OR($Q128=1,$Q128=2),1,0),IF($X128&lt;=20,1,0))</formula>
    </cfRule>
    <cfRule type="expression" priority="643" dxfId="2">
      <formula>AND(IF($Q128=2,1,0),IF($X128&lt;30,1,0))</formula>
    </cfRule>
    <cfRule type="expression" priority="644" dxfId="1">
      <formula>AND(IF($Q128=3,1,0),IF($X128&lt;30,1,0))</formula>
    </cfRule>
    <cfRule type="expression" priority="645" dxfId="0">
      <formula>AND(IF($Q128=3,1,IF($Q128=4,1,0)),IF($F128&lt;=85,1,0))</formula>
    </cfRule>
  </conditionalFormatting>
  <conditionalFormatting sqref="X128">
    <cfRule type="expression" priority="638" dxfId="3">
      <formula>AND(IF(OR($Q128=1,$Q128=2),1,0),IF($X128&lt;=20,1,0))</formula>
    </cfRule>
    <cfRule type="expression" priority="639" dxfId="2">
      <formula>AND(IF($Q128=2,1,0),IF($X128&lt;30,1,0))</formula>
    </cfRule>
    <cfRule type="expression" priority="640" dxfId="1">
      <formula>AND(IF($Q128=3,1,0),IF($X128&lt;30,1,0))</formula>
    </cfRule>
    <cfRule type="expression" priority="641" dxfId="0">
      <formula>AND(IF($Q128=3,1,IF($Q128=4,1,0)),IF($F128&lt;=85,1,0))</formula>
    </cfRule>
  </conditionalFormatting>
  <conditionalFormatting sqref="AI128">
    <cfRule type="expression" priority="634" dxfId="3">
      <formula>AND(IF(OR($Q128=1,$Q128=2),1,0),IF($X128&lt;=20,1,0))</formula>
    </cfRule>
    <cfRule type="expression" priority="635" dxfId="2">
      <formula>AND(IF($Q128=2,1,0),IF($X128&lt;30,1,0))</formula>
    </cfRule>
    <cfRule type="expression" priority="636" dxfId="1">
      <formula>AND(IF($Q128=3,1,0),IF($X128&lt;30,1,0))</formula>
    </cfRule>
    <cfRule type="expression" priority="637" dxfId="0">
      <formula>AND(IF($Q128=3,1,IF($Q128=4,1,0)),IF($F128&lt;=85,1,0))</formula>
    </cfRule>
  </conditionalFormatting>
  <conditionalFormatting sqref="AV129">
    <cfRule type="expression" priority="632" dxfId="17">
      <formula>AV129="X"</formula>
    </cfRule>
    <cfRule type="expression" priority="633" dxfId="16">
      <formula>AV129="후보"</formula>
    </cfRule>
  </conditionalFormatting>
  <conditionalFormatting sqref="AC129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9">
    <cfRule type="expression" priority="623" dxfId="3">
      <formula>AND(IF(OR($Q129=1,$Q129=2),1,0),IF($X129&lt;=20,1,0))</formula>
    </cfRule>
    <cfRule type="expression" priority="624" dxfId="2">
      <formula>AND(IF($Q129=2,1,0),IF($X129&lt;30,1,0))</formula>
    </cfRule>
    <cfRule type="expression" priority="625" dxfId="1">
      <formula>AND(IF($Q129=3,1,0),IF($X129&lt;30,1,0))</formula>
    </cfRule>
    <cfRule type="expression" priority="626" dxfId="0">
      <formula>AND(IF($Q129=3,1,IF($Q129=4,1,0)),IF($F129&lt;=85,1,0))</formula>
    </cfRule>
  </conditionalFormatting>
  <conditionalFormatting sqref="X129">
    <cfRule type="expression" priority="619" dxfId="3">
      <formula>AND(IF(OR($Q129=1,$Q129=2),1,0),IF($X129&lt;=20,1,0))</formula>
    </cfRule>
    <cfRule type="expression" priority="620" dxfId="2">
      <formula>AND(IF($Q129=2,1,0),IF($X129&lt;30,1,0))</formula>
    </cfRule>
    <cfRule type="expression" priority="621" dxfId="1">
      <formula>AND(IF($Q129=3,1,0),IF($X129&lt;30,1,0))</formula>
    </cfRule>
    <cfRule type="expression" priority="622" dxfId="0">
      <formula>AND(IF($Q129=3,1,IF($Q129=4,1,0)),IF($F129&lt;=85,1,0))</formula>
    </cfRule>
  </conditionalFormatting>
  <conditionalFormatting sqref="AI129">
    <cfRule type="expression" priority="615" dxfId="3">
      <formula>AND(IF(OR($Q129=1,$Q129=2),1,0),IF($X129&lt;=20,1,0))</formula>
    </cfRule>
    <cfRule type="expression" priority="616" dxfId="2">
      <formula>AND(IF($Q129=2,1,0),IF($X129&lt;30,1,0))</formula>
    </cfRule>
    <cfRule type="expression" priority="617" dxfId="1">
      <formula>AND(IF($Q129=3,1,0),IF($X129&lt;30,1,0))</formula>
    </cfRule>
    <cfRule type="expression" priority="618" dxfId="0">
      <formula>AND(IF($Q129=3,1,IF($Q129=4,1,0)),IF($F129&lt;=85,1,0))</formula>
    </cfRule>
  </conditionalFormatting>
  <conditionalFormatting sqref="AV130">
    <cfRule type="expression" priority="613" dxfId="17">
      <formula>AV130="X"</formula>
    </cfRule>
    <cfRule type="expression" priority="614" dxfId="16">
      <formula>AV130="후보"</formula>
    </cfRule>
  </conditionalFormatting>
  <conditionalFormatting sqref="AC130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30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30">
    <cfRule type="expression" priority="604" dxfId="3">
      <formula>AND(IF(OR($Q130=1,$Q130=2),1,0),IF($X130&lt;=20,1,0))</formula>
    </cfRule>
    <cfRule type="expression" priority="605" dxfId="2">
      <formula>AND(IF($Q130=2,1,0),IF($X130&lt;30,1,0))</formula>
    </cfRule>
    <cfRule type="expression" priority="606" dxfId="1">
      <formula>AND(IF($Q130=3,1,0),IF($X130&lt;30,1,0))</formula>
    </cfRule>
    <cfRule type="expression" priority="607" dxfId="0">
      <formula>AND(IF($Q130=3,1,IF($Q130=4,1,0)),IF($F130&lt;=85,1,0))</formula>
    </cfRule>
  </conditionalFormatting>
  <conditionalFormatting sqref="X130">
    <cfRule type="expression" priority="600" dxfId="3">
      <formula>AND(IF(OR($Q130=1,$Q130=2),1,0),IF($X130&lt;=20,1,0))</formula>
    </cfRule>
    <cfRule type="expression" priority="601" dxfId="2">
      <formula>AND(IF($Q130=2,1,0),IF($X130&lt;30,1,0))</formula>
    </cfRule>
    <cfRule type="expression" priority="602" dxfId="1">
      <formula>AND(IF($Q130=3,1,0),IF($X130&lt;30,1,0))</formula>
    </cfRule>
    <cfRule type="expression" priority="603" dxfId="0">
      <formula>AND(IF($Q130=3,1,IF($Q130=4,1,0)),IF($F130&lt;=85,1,0))</formula>
    </cfRule>
  </conditionalFormatting>
  <conditionalFormatting sqref="AI130">
    <cfRule type="expression" priority="596" dxfId="3">
      <formula>AND(IF(OR($Q130=1,$Q130=2),1,0),IF($X130&lt;=20,1,0))</formula>
    </cfRule>
    <cfRule type="expression" priority="597" dxfId="2">
      <formula>AND(IF($Q130=2,1,0),IF($X130&lt;30,1,0))</formula>
    </cfRule>
    <cfRule type="expression" priority="598" dxfId="1">
      <formula>AND(IF($Q130=3,1,0),IF($X130&lt;30,1,0))</formula>
    </cfRule>
    <cfRule type="expression" priority="599" dxfId="0">
      <formula>AND(IF($Q130=3,1,IF($Q130=4,1,0)),IF($F130&lt;=85,1,0))</formula>
    </cfRule>
  </conditionalFormatting>
  <conditionalFormatting sqref="AV131">
    <cfRule type="expression" priority="594" dxfId="17">
      <formula>AV131="X"</formula>
    </cfRule>
    <cfRule type="expression" priority="595" dxfId="16">
      <formula>AV131="후보"</formula>
    </cfRule>
  </conditionalFormatting>
  <conditionalFormatting sqref="AC131 N13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132">
    <cfRule type="expression" priority="589" dxfId="17">
      <formula>AV132="X"</formula>
    </cfRule>
    <cfRule type="expression" priority="590" dxfId="16">
      <formula>AV132="후보"</formula>
    </cfRule>
  </conditionalFormatting>
  <conditionalFormatting sqref="AC132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32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32">
    <cfRule type="expression" priority="580" dxfId="3">
      <formula>AND(IF(OR($Q132=1,$Q132=2),1,0),IF($X132&lt;=20,1,0))</formula>
    </cfRule>
    <cfRule type="expression" priority="581" dxfId="2">
      <formula>AND(IF($Q132=2,1,0),IF($X132&lt;30,1,0))</formula>
    </cfRule>
    <cfRule type="expression" priority="582" dxfId="1">
      <formula>AND(IF($Q132=3,1,0),IF($X132&lt;30,1,0))</formula>
    </cfRule>
    <cfRule type="expression" priority="583" dxfId="0">
      <formula>AND(IF($Q132=3,1,IF($Q132=4,1,0)),IF($F132&lt;=85,1,0))</formula>
    </cfRule>
  </conditionalFormatting>
  <conditionalFormatting sqref="X132">
    <cfRule type="expression" priority="576" dxfId="3">
      <formula>AND(IF(OR($Q132=1,$Q132=2),1,0),IF($X132&lt;=20,1,0))</formula>
    </cfRule>
    <cfRule type="expression" priority="577" dxfId="2">
      <formula>AND(IF($Q132=2,1,0),IF($X132&lt;30,1,0))</formula>
    </cfRule>
    <cfRule type="expression" priority="578" dxfId="1">
      <formula>AND(IF($Q132=3,1,0),IF($X132&lt;30,1,0))</formula>
    </cfRule>
    <cfRule type="expression" priority="579" dxfId="0">
      <formula>AND(IF($Q132=3,1,IF($Q132=4,1,0)),IF($F132&lt;=85,1,0))</formula>
    </cfRule>
  </conditionalFormatting>
  <conditionalFormatting sqref="AI132">
    <cfRule type="expression" priority="572" dxfId="3">
      <formula>AND(IF(OR($Q132=1,$Q132=2),1,0),IF($X132&lt;=20,1,0))</formula>
    </cfRule>
    <cfRule type="expression" priority="573" dxfId="2">
      <formula>AND(IF($Q132=2,1,0),IF($X132&lt;30,1,0))</formula>
    </cfRule>
    <cfRule type="expression" priority="574" dxfId="1">
      <formula>AND(IF($Q132=3,1,0),IF($X132&lt;30,1,0))</formula>
    </cfRule>
    <cfRule type="expression" priority="575" dxfId="0">
      <formula>AND(IF($Q132=3,1,IF($Q132=4,1,0)),IF($F132&lt;=85,1,0))</formula>
    </cfRule>
  </conditionalFormatting>
  <conditionalFormatting sqref="AV133">
    <cfRule type="expression" priority="570" dxfId="17">
      <formula>AV133="X"</formula>
    </cfRule>
    <cfRule type="expression" priority="571" dxfId="16">
      <formula>AV133="후보"</formula>
    </cfRule>
  </conditionalFormatting>
  <conditionalFormatting sqref="AC133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3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33">
    <cfRule type="expression" priority="561" dxfId="3">
      <formula>AND(IF(OR($Q133=1,$Q133=2),1,0),IF($X133&lt;=20,1,0))</formula>
    </cfRule>
    <cfRule type="expression" priority="562" dxfId="2">
      <formula>AND(IF($Q133=2,1,0),IF($X133&lt;30,1,0))</formula>
    </cfRule>
    <cfRule type="expression" priority="563" dxfId="1">
      <formula>AND(IF($Q133=3,1,0),IF($X133&lt;30,1,0))</formula>
    </cfRule>
    <cfRule type="expression" priority="564" dxfId="0">
      <formula>AND(IF($Q133=3,1,IF($Q133=4,1,0)),IF($F133&lt;=85,1,0))</formula>
    </cfRule>
  </conditionalFormatting>
  <conditionalFormatting sqref="X133">
    <cfRule type="expression" priority="557" dxfId="3">
      <formula>AND(IF(OR($Q133=1,$Q133=2),1,0),IF($X133&lt;=20,1,0))</formula>
    </cfRule>
    <cfRule type="expression" priority="558" dxfId="2">
      <formula>AND(IF($Q133=2,1,0),IF($X133&lt;30,1,0))</formula>
    </cfRule>
    <cfRule type="expression" priority="559" dxfId="1">
      <formula>AND(IF($Q133=3,1,0),IF($X133&lt;30,1,0))</formula>
    </cfRule>
    <cfRule type="expression" priority="560" dxfId="0">
      <formula>AND(IF($Q133=3,1,IF($Q133=4,1,0)),IF($F133&lt;=85,1,0))</formula>
    </cfRule>
  </conditionalFormatting>
  <conditionalFormatting sqref="AI133">
    <cfRule type="expression" priority="553" dxfId="3">
      <formula>AND(IF(OR($Q133=1,$Q133=2),1,0),IF($X133&lt;=20,1,0))</formula>
    </cfRule>
    <cfRule type="expression" priority="554" dxfId="2">
      <formula>AND(IF($Q133=2,1,0),IF($X133&lt;30,1,0))</formula>
    </cfRule>
    <cfRule type="expression" priority="555" dxfId="1">
      <formula>AND(IF($Q133=3,1,0),IF($X133&lt;30,1,0))</formula>
    </cfRule>
    <cfRule type="expression" priority="556" dxfId="0">
      <formula>AND(IF($Q133=3,1,IF($Q133=4,1,0)),IF($F133&lt;=85,1,0))</formula>
    </cfRule>
  </conditionalFormatting>
  <conditionalFormatting sqref="AV134">
    <cfRule type="expression" priority="551" dxfId="17">
      <formula>AV134="X"</formula>
    </cfRule>
    <cfRule type="expression" priority="552" dxfId="16">
      <formula>AV134="후보"</formula>
    </cfRule>
  </conditionalFormatting>
  <conditionalFormatting sqref="AC134 N134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135">
    <cfRule type="expression" priority="546" dxfId="17">
      <formula>AV135="X"</formula>
    </cfRule>
    <cfRule type="expression" priority="547" dxfId="16">
      <formula>AV135="후보"</formula>
    </cfRule>
  </conditionalFormatting>
  <conditionalFormatting sqref="AC135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3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35">
    <cfRule type="expression" priority="537" dxfId="3">
      <formula>AND(IF(OR($Q135=1,$Q135=2),1,0),IF($X135&lt;=20,1,0))</formula>
    </cfRule>
    <cfRule type="expression" priority="538" dxfId="2">
      <formula>AND(IF($Q135=2,1,0),IF($X135&lt;30,1,0))</formula>
    </cfRule>
    <cfRule type="expression" priority="539" dxfId="1">
      <formula>AND(IF($Q135=3,1,0),IF($X135&lt;30,1,0))</formula>
    </cfRule>
    <cfRule type="expression" priority="540" dxfId="0">
      <formula>AND(IF($Q135=3,1,IF($Q135=4,1,0)),IF($F135&lt;=85,1,0))</formula>
    </cfRule>
  </conditionalFormatting>
  <conditionalFormatting sqref="X135">
    <cfRule type="expression" priority="533" dxfId="3">
      <formula>AND(IF(OR($Q135=1,$Q135=2),1,0),IF($X135&lt;=20,1,0))</formula>
    </cfRule>
    <cfRule type="expression" priority="534" dxfId="2">
      <formula>AND(IF($Q135=2,1,0),IF($X135&lt;30,1,0))</formula>
    </cfRule>
    <cfRule type="expression" priority="535" dxfId="1">
      <formula>AND(IF($Q135=3,1,0),IF($X135&lt;30,1,0))</formula>
    </cfRule>
    <cfRule type="expression" priority="536" dxfId="0">
      <formula>AND(IF($Q135=3,1,IF($Q135=4,1,0)),IF($F135&lt;=85,1,0))</formula>
    </cfRule>
  </conditionalFormatting>
  <conditionalFormatting sqref="AI135">
    <cfRule type="expression" priority="529" dxfId="3">
      <formula>AND(IF(OR($Q135=1,$Q135=2),1,0),IF($X135&lt;=20,1,0))</formula>
    </cfRule>
    <cfRule type="expression" priority="530" dxfId="2">
      <formula>AND(IF($Q135=2,1,0),IF($X135&lt;30,1,0))</formula>
    </cfRule>
    <cfRule type="expression" priority="531" dxfId="1">
      <formula>AND(IF($Q135=3,1,0),IF($X135&lt;30,1,0))</formula>
    </cfRule>
    <cfRule type="expression" priority="532" dxfId="0">
      <formula>AND(IF($Q135=3,1,IF($Q135=4,1,0)),IF($F135&lt;=85,1,0))</formula>
    </cfRule>
  </conditionalFormatting>
  <conditionalFormatting sqref="AV136">
    <cfRule type="expression" priority="527" dxfId="17">
      <formula>AV136="X"</formula>
    </cfRule>
    <cfRule type="expression" priority="528" dxfId="16">
      <formula>AV136="후보"</formula>
    </cfRule>
  </conditionalFormatting>
  <conditionalFormatting sqref="AC136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36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36">
    <cfRule type="expression" priority="518" dxfId="3">
      <formula>AND(IF(OR($Q136=1,$Q136=2),1,0),IF($X136&lt;=20,1,0))</formula>
    </cfRule>
    <cfRule type="expression" priority="519" dxfId="2">
      <formula>AND(IF($Q136=2,1,0),IF($X136&lt;30,1,0))</formula>
    </cfRule>
    <cfRule type="expression" priority="520" dxfId="1">
      <formula>AND(IF($Q136=3,1,0),IF($X136&lt;30,1,0))</formula>
    </cfRule>
    <cfRule type="expression" priority="521" dxfId="0">
      <formula>AND(IF($Q136=3,1,IF($Q136=4,1,0)),IF($F136&lt;=85,1,0))</formula>
    </cfRule>
  </conditionalFormatting>
  <conditionalFormatting sqref="X136">
    <cfRule type="expression" priority="514" dxfId="3">
      <formula>AND(IF(OR($Q136=1,$Q136=2),1,0),IF($X136&lt;=20,1,0))</formula>
    </cfRule>
    <cfRule type="expression" priority="515" dxfId="2">
      <formula>AND(IF($Q136=2,1,0),IF($X136&lt;30,1,0))</formula>
    </cfRule>
    <cfRule type="expression" priority="516" dxfId="1">
      <formula>AND(IF($Q136=3,1,0),IF($X136&lt;30,1,0))</formula>
    </cfRule>
    <cfRule type="expression" priority="517" dxfId="0">
      <formula>AND(IF($Q136=3,1,IF($Q136=4,1,0)),IF($F136&lt;=85,1,0))</formula>
    </cfRule>
  </conditionalFormatting>
  <conditionalFormatting sqref="AI136">
    <cfRule type="expression" priority="510" dxfId="3">
      <formula>AND(IF(OR($Q136=1,$Q136=2),1,0),IF($X136&lt;=20,1,0))</formula>
    </cfRule>
    <cfRule type="expression" priority="511" dxfId="2">
      <formula>AND(IF($Q136=2,1,0),IF($X136&lt;30,1,0))</formula>
    </cfRule>
    <cfRule type="expression" priority="512" dxfId="1">
      <formula>AND(IF($Q136=3,1,0),IF($X136&lt;30,1,0))</formula>
    </cfRule>
    <cfRule type="expression" priority="513" dxfId="0">
      <formula>AND(IF($Q136=3,1,IF($Q136=4,1,0)),IF($F136&lt;=85,1,0))</formula>
    </cfRule>
  </conditionalFormatting>
  <conditionalFormatting sqref="AV137">
    <cfRule type="expression" priority="508" dxfId="17">
      <formula>AV137="X"</formula>
    </cfRule>
    <cfRule type="expression" priority="509" dxfId="16">
      <formula>AV137="후보"</formula>
    </cfRule>
  </conditionalFormatting>
  <conditionalFormatting sqref="AC137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37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37">
    <cfRule type="expression" priority="499" dxfId="3">
      <formula>AND(IF(OR($Q137=1,$Q137=2),1,0),IF($X137&lt;=20,1,0))</formula>
    </cfRule>
    <cfRule type="expression" priority="500" dxfId="2">
      <formula>AND(IF($Q137=2,1,0),IF($X137&lt;30,1,0))</formula>
    </cfRule>
    <cfRule type="expression" priority="501" dxfId="1">
      <formula>AND(IF($Q137=3,1,0),IF($X137&lt;30,1,0))</formula>
    </cfRule>
    <cfRule type="expression" priority="502" dxfId="0">
      <formula>AND(IF($Q137=3,1,IF($Q137=4,1,0)),IF($F137&lt;=85,1,0))</formula>
    </cfRule>
  </conditionalFormatting>
  <conditionalFormatting sqref="X137">
    <cfRule type="expression" priority="495" dxfId="3">
      <formula>AND(IF(OR($Q137=1,$Q137=2),1,0),IF($X137&lt;=20,1,0))</formula>
    </cfRule>
    <cfRule type="expression" priority="496" dxfId="2">
      <formula>AND(IF($Q137=2,1,0),IF($X137&lt;30,1,0))</formula>
    </cfRule>
    <cfRule type="expression" priority="497" dxfId="1">
      <formula>AND(IF($Q137=3,1,0),IF($X137&lt;30,1,0))</formula>
    </cfRule>
    <cfRule type="expression" priority="498" dxfId="0">
      <formula>AND(IF($Q137=3,1,IF($Q137=4,1,0)),IF($F137&lt;=85,1,0))</formula>
    </cfRule>
  </conditionalFormatting>
  <conditionalFormatting sqref="AI137">
    <cfRule type="expression" priority="491" dxfId="3">
      <formula>AND(IF(OR($Q137=1,$Q137=2),1,0),IF($X137&lt;=20,1,0))</formula>
    </cfRule>
    <cfRule type="expression" priority="492" dxfId="2">
      <formula>AND(IF($Q137=2,1,0),IF($X137&lt;30,1,0))</formula>
    </cfRule>
    <cfRule type="expression" priority="493" dxfId="1">
      <formula>AND(IF($Q137=3,1,0),IF($X137&lt;30,1,0))</formula>
    </cfRule>
    <cfRule type="expression" priority="494" dxfId="0">
      <formula>AND(IF($Q137=3,1,IF($Q137=4,1,0)),IF($F137&lt;=85,1,0))</formula>
    </cfRule>
  </conditionalFormatting>
  <conditionalFormatting sqref="AV138">
    <cfRule type="expression" priority="489" dxfId="17">
      <formula>AV138="X"</formula>
    </cfRule>
    <cfRule type="expression" priority="490" dxfId="16">
      <formula>AV138="후보"</formula>
    </cfRule>
  </conditionalFormatting>
  <conditionalFormatting sqref="AC138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8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8">
    <cfRule type="expression" priority="480" dxfId="3">
      <formula>AND(IF(OR($Q138=1,$Q138=2),1,0),IF($X138&lt;=20,1,0))</formula>
    </cfRule>
    <cfRule type="expression" priority="481" dxfId="2">
      <formula>AND(IF($Q138=2,1,0),IF($X138&lt;30,1,0))</formula>
    </cfRule>
    <cfRule type="expression" priority="482" dxfId="1">
      <formula>AND(IF($Q138=3,1,0),IF($X138&lt;30,1,0))</formula>
    </cfRule>
    <cfRule type="expression" priority="483" dxfId="0">
      <formula>AND(IF($Q138=3,1,IF($Q138=4,1,0)),IF($F138&lt;=85,1,0))</formula>
    </cfRule>
  </conditionalFormatting>
  <conditionalFormatting sqref="X138">
    <cfRule type="expression" priority="476" dxfId="3">
      <formula>AND(IF(OR($Q138=1,$Q138=2),1,0),IF($X138&lt;=20,1,0))</formula>
    </cfRule>
    <cfRule type="expression" priority="477" dxfId="2">
      <formula>AND(IF($Q138=2,1,0),IF($X138&lt;30,1,0))</formula>
    </cfRule>
    <cfRule type="expression" priority="478" dxfId="1">
      <formula>AND(IF($Q138=3,1,0),IF($X138&lt;30,1,0))</formula>
    </cfRule>
    <cfRule type="expression" priority="479" dxfId="0">
      <formula>AND(IF($Q138=3,1,IF($Q138=4,1,0)),IF($F138&lt;=85,1,0))</formula>
    </cfRule>
  </conditionalFormatting>
  <conditionalFormatting sqref="AI138">
    <cfRule type="expression" priority="472" dxfId="3">
      <formula>AND(IF(OR($Q138=1,$Q138=2),1,0),IF($X138&lt;=20,1,0))</formula>
    </cfRule>
    <cfRule type="expression" priority="473" dxfId="2">
      <formula>AND(IF($Q138=2,1,0),IF($X138&lt;30,1,0))</formula>
    </cfRule>
    <cfRule type="expression" priority="474" dxfId="1">
      <formula>AND(IF($Q138=3,1,0),IF($X138&lt;30,1,0))</formula>
    </cfRule>
    <cfRule type="expression" priority="475" dxfId="0">
      <formula>AND(IF($Q138=3,1,IF($Q138=4,1,0)),IF($F138&lt;=85,1,0))</formula>
    </cfRule>
  </conditionalFormatting>
  <conditionalFormatting sqref="AV139">
    <cfRule type="expression" priority="470" dxfId="17">
      <formula>AV139="X"</formula>
    </cfRule>
    <cfRule type="expression" priority="471" dxfId="16">
      <formula>AV139="후보"</formula>
    </cfRule>
  </conditionalFormatting>
  <conditionalFormatting sqref="AC139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9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9">
    <cfRule type="expression" priority="461" dxfId="3">
      <formula>AND(IF(OR($Q139=1,$Q139=2),1,0),IF($X139&lt;=20,1,0))</formula>
    </cfRule>
    <cfRule type="expression" priority="462" dxfId="2">
      <formula>AND(IF($Q139=2,1,0),IF($X139&lt;30,1,0))</formula>
    </cfRule>
    <cfRule type="expression" priority="463" dxfId="1">
      <formula>AND(IF($Q139=3,1,0),IF($X139&lt;30,1,0))</formula>
    </cfRule>
    <cfRule type="expression" priority="464" dxfId="0">
      <formula>AND(IF($Q139=3,1,IF($Q139=4,1,0)),IF($F139&lt;=85,1,0))</formula>
    </cfRule>
  </conditionalFormatting>
  <conditionalFormatting sqref="X139">
    <cfRule type="expression" priority="457" dxfId="3">
      <formula>AND(IF(OR($Q139=1,$Q139=2),1,0),IF($X139&lt;=20,1,0))</formula>
    </cfRule>
    <cfRule type="expression" priority="458" dxfId="2">
      <formula>AND(IF($Q139=2,1,0),IF($X139&lt;30,1,0))</formula>
    </cfRule>
    <cfRule type="expression" priority="459" dxfId="1">
      <formula>AND(IF($Q139=3,1,0),IF($X139&lt;30,1,0))</formula>
    </cfRule>
    <cfRule type="expression" priority="460" dxfId="0">
      <formula>AND(IF($Q139=3,1,IF($Q139=4,1,0)),IF($F139&lt;=85,1,0))</formula>
    </cfRule>
  </conditionalFormatting>
  <conditionalFormatting sqref="AI139">
    <cfRule type="expression" priority="453" dxfId="3">
      <formula>AND(IF(OR($Q139=1,$Q139=2),1,0),IF($X139&lt;=20,1,0))</formula>
    </cfRule>
    <cfRule type="expression" priority="454" dxfId="2">
      <formula>AND(IF($Q139=2,1,0),IF($X139&lt;30,1,0))</formula>
    </cfRule>
    <cfRule type="expression" priority="455" dxfId="1">
      <formula>AND(IF($Q139=3,1,0),IF($X139&lt;30,1,0))</formula>
    </cfRule>
    <cfRule type="expression" priority="456" dxfId="0">
      <formula>AND(IF($Q139=3,1,IF($Q139=4,1,0)),IF($F139&lt;=85,1,0))</formula>
    </cfRule>
  </conditionalFormatting>
  <conditionalFormatting sqref="AV140">
    <cfRule type="expression" priority="451" dxfId="17">
      <formula>AV140="X"</formula>
    </cfRule>
    <cfRule type="expression" priority="452" dxfId="16">
      <formula>AV140="후보"</formula>
    </cfRule>
  </conditionalFormatting>
  <conditionalFormatting sqref="AC140 N140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141">
    <cfRule type="expression" priority="446" dxfId="17">
      <formula>AV141="X"</formula>
    </cfRule>
    <cfRule type="expression" priority="447" dxfId="16">
      <formula>AV141="후보"</formula>
    </cfRule>
  </conditionalFormatting>
  <conditionalFormatting sqref="AC141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141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141">
    <cfRule type="expression" priority="437" dxfId="3">
      <formula>AND(IF(OR($Q141=1,$Q141=2),1,0),IF($X141&lt;=20,1,0))</formula>
    </cfRule>
    <cfRule type="expression" priority="438" dxfId="2">
      <formula>AND(IF($Q141=2,1,0),IF($X141&lt;30,1,0))</formula>
    </cfRule>
    <cfRule type="expression" priority="439" dxfId="1">
      <formula>AND(IF($Q141=3,1,0),IF($X141&lt;30,1,0))</formula>
    </cfRule>
    <cfRule type="expression" priority="440" dxfId="0">
      <formula>AND(IF($Q141=3,1,IF($Q141=4,1,0)),IF($F141&lt;=85,1,0))</formula>
    </cfRule>
  </conditionalFormatting>
  <conditionalFormatting sqref="X141">
    <cfRule type="expression" priority="433" dxfId="3">
      <formula>AND(IF(OR($Q141=1,$Q141=2),1,0),IF($X141&lt;=20,1,0))</formula>
    </cfRule>
    <cfRule type="expression" priority="434" dxfId="2">
      <formula>AND(IF($Q141=2,1,0),IF($X141&lt;30,1,0))</formula>
    </cfRule>
    <cfRule type="expression" priority="435" dxfId="1">
      <formula>AND(IF($Q141=3,1,0),IF($X141&lt;30,1,0))</formula>
    </cfRule>
    <cfRule type="expression" priority="436" dxfId="0">
      <formula>AND(IF($Q141=3,1,IF($Q141=4,1,0)),IF($F141&lt;=85,1,0))</formula>
    </cfRule>
  </conditionalFormatting>
  <conditionalFormatting sqref="AI141">
    <cfRule type="expression" priority="429" dxfId="3">
      <formula>AND(IF(OR($Q141=1,$Q141=2),1,0),IF($X141&lt;=20,1,0))</formula>
    </cfRule>
    <cfRule type="expression" priority="430" dxfId="2">
      <formula>AND(IF($Q141=2,1,0),IF($X141&lt;30,1,0))</formula>
    </cfRule>
    <cfRule type="expression" priority="431" dxfId="1">
      <formula>AND(IF($Q141=3,1,0),IF($X141&lt;30,1,0))</formula>
    </cfRule>
    <cfRule type="expression" priority="432" dxfId="0">
      <formula>AND(IF($Q141=3,1,IF($Q141=4,1,0)),IF($F141&lt;=85,1,0))</formula>
    </cfRule>
  </conditionalFormatting>
  <conditionalFormatting sqref="AV142">
    <cfRule type="expression" priority="427" dxfId="17">
      <formula>AV142="X"</formula>
    </cfRule>
    <cfRule type="expression" priority="428" dxfId="16">
      <formula>AV142="후보"</formula>
    </cfRule>
  </conditionalFormatting>
  <conditionalFormatting sqref="AC142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42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42">
    <cfRule type="expression" priority="418" dxfId="3">
      <formula>AND(IF(OR($Q142=1,$Q142=2),1,0),IF($X142&lt;=20,1,0))</formula>
    </cfRule>
    <cfRule type="expression" priority="419" dxfId="2">
      <formula>AND(IF($Q142=2,1,0),IF($X142&lt;30,1,0))</formula>
    </cfRule>
    <cfRule type="expression" priority="420" dxfId="1">
      <formula>AND(IF($Q142=3,1,0),IF($X142&lt;30,1,0))</formula>
    </cfRule>
    <cfRule type="expression" priority="421" dxfId="0">
      <formula>AND(IF($Q142=3,1,IF($Q142=4,1,0)),IF($F142&lt;=85,1,0))</formula>
    </cfRule>
  </conditionalFormatting>
  <conditionalFormatting sqref="X142">
    <cfRule type="expression" priority="414" dxfId="3">
      <formula>AND(IF(OR($Q142=1,$Q142=2),1,0),IF($X142&lt;=20,1,0))</formula>
    </cfRule>
    <cfRule type="expression" priority="415" dxfId="2">
      <formula>AND(IF($Q142=2,1,0),IF($X142&lt;30,1,0))</formula>
    </cfRule>
    <cfRule type="expression" priority="416" dxfId="1">
      <formula>AND(IF($Q142=3,1,0),IF($X142&lt;30,1,0))</formula>
    </cfRule>
    <cfRule type="expression" priority="417" dxfId="0">
      <formula>AND(IF($Q142=3,1,IF($Q142=4,1,0)),IF($F142&lt;=85,1,0))</formula>
    </cfRule>
  </conditionalFormatting>
  <conditionalFormatting sqref="AI142">
    <cfRule type="expression" priority="410" dxfId="3">
      <formula>AND(IF(OR($Q142=1,$Q142=2),1,0),IF($X142&lt;=20,1,0))</formula>
    </cfRule>
    <cfRule type="expression" priority="411" dxfId="2">
      <formula>AND(IF($Q142=2,1,0),IF($X142&lt;30,1,0))</formula>
    </cfRule>
    <cfRule type="expression" priority="412" dxfId="1">
      <formula>AND(IF($Q142=3,1,0),IF($X142&lt;30,1,0))</formula>
    </cfRule>
    <cfRule type="expression" priority="413" dxfId="0">
      <formula>AND(IF($Q142=3,1,IF($Q142=4,1,0)),IF($F142&lt;=85,1,0))</formula>
    </cfRule>
  </conditionalFormatting>
  <conditionalFormatting sqref="AV143">
    <cfRule type="expression" priority="408" dxfId="17">
      <formula>AV143="X"</formula>
    </cfRule>
    <cfRule type="expression" priority="409" dxfId="16">
      <formula>AV143="후보"</formula>
    </cfRule>
  </conditionalFormatting>
  <conditionalFormatting sqref="AC143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43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43">
    <cfRule type="expression" priority="399" dxfId="3">
      <formula>AND(IF(OR($Q143=1,$Q143=2),1,0),IF($X143&lt;=20,1,0))</formula>
    </cfRule>
    <cfRule type="expression" priority="400" dxfId="2">
      <formula>AND(IF($Q143=2,1,0),IF($X143&lt;30,1,0))</formula>
    </cfRule>
    <cfRule type="expression" priority="401" dxfId="1">
      <formula>AND(IF($Q143=3,1,0),IF($X143&lt;30,1,0))</formula>
    </cfRule>
    <cfRule type="expression" priority="402" dxfId="0">
      <formula>AND(IF($Q143=3,1,IF($Q143=4,1,0)),IF($F143&lt;=85,1,0))</formula>
    </cfRule>
  </conditionalFormatting>
  <conditionalFormatting sqref="X143">
    <cfRule type="expression" priority="395" dxfId="3">
      <formula>AND(IF(OR($Q143=1,$Q143=2),1,0),IF($X143&lt;=20,1,0))</formula>
    </cfRule>
    <cfRule type="expression" priority="396" dxfId="2">
      <formula>AND(IF($Q143=2,1,0),IF($X143&lt;30,1,0))</formula>
    </cfRule>
    <cfRule type="expression" priority="397" dxfId="1">
      <formula>AND(IF($Q143=3,1,0),IF($X143&lt;30,1,0))</formula>
    </cfRule>
    <cfRule type="expression" priority="398" dxfId="0">
      <formula>AND(IF($Q143=3,1,IF($Q143=4,1,0)),IF($F143&lt;=85,1,0))</formula>
    </cfRule>
  </conditionalFormatting>
  <conditionalFormatting sqref="AI143">
    <cfRule type="expression" priority="391" dxfId="3">
      <formula>AND(IF(OR($Q143=1,$Q143=2),1,0),IF($X143&lt;=20,1,0))</formula>
    </cfRule>
    <cfRule type="expression" priority="392" dxfId="2">
      <formula>AND(IF($Q143=2,1,0),IF($X143&lt;30,1,0))</formula>
    </cfRule>
    <cfRule type="expression" priority="393" dxfId="1">
      <formula>AND(IF($Q143=3,1,0),IF($X143&lt;30,1,0))</formula>
    </cfRule>
    <cfRule type="expression" priority="394" dxfId="0">
      <formula>AND(IF($Q143=3,1,IF($Q143=4,1,0)),IF($F143&lt;=85,1,0))</formula>
    </cfRule>
  </conditionalFormatting>
  <conditionalFormatting sqref="AV144">
    <cfRule type="expression" priority="389" dxfId="17">
      <formula>AV144="X"</formula>
    </cfRule>
    <cfRule type="expression" priority="390" dxfId="16">
      <formula>AV144="후보"</formula>
    </cfRule>
  </conditionalFormatting>
  <conditionalFormatting sqref="AC144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4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4">
    <cfRule type="expression" priority="380" dxfId="3">
      <formula>AND(IF(OR($Q144=1,$Q144=2),1,0),IF($X144&lt;=20,1,0))</formula>
    </cfRule>
    <cfRule type="expression" priority="381" dxfId="2">
      <formula>AND(IF($Q144=2,1,0),IF($X144&lt;30,1,0))</formula>
    </cfRule>
    <cfRule type="expression" priority="382" dxfId="1">
      <formula>AND(IF($Q144=3,1,0),IF($X144&lt;30,1,0))</formula>
    </cfRule>
    <cfRule type="expression" priority="383" dxfId="0">
      <formula>AND(IF($Q144=3,1,IF($Q144=4,1,0)),IF($F144&lt;=85,1,0))</formula>
    </cfRule>
  </conditionalFormatting>
  <conditionalFormatting sqref="X144">
    <cfRule type="expression" priority="376" dxfId="3">
      <formula>AND(IF(OR($Q144=1,$Q144=2),1,0),IF($X144&lt;=20,1,0))</formula>
    </cfRule>
    <cfRule type="expression" priority="377" dxfId="2">
      <formula>AND(IF($Q144=2,1,0),IF($X144&lt;30,1,0))</formula>
    </cfRule>
    <cfRule type="expression" priority="378" dxfId="1">
      <formula>AND(IF($Q144=3,1,0),IF($X144&lt;30,1,0))</formula>
    </cfRule>
    <cfRule type="expression" priority="379" dxfId="0">
      <formula>AND(IF($Q144=3,1,IF($Q144=4,1,0)),IF($F144&lt;=85,1,0))</formula>
    </cfRule>
  </conditionalFormatting>
  <conditionalFormatting sqref="AI144">
    <cfRule type="expression" priority="372" dxfId="3">
      <formula>AND(IF(OR($Q144=1,$Q144=2),1,0),IF($X144&lt;=20,1,0))</formula>
    </cfRule>
    <cfRule type="expression" priority="373" dxfId="2">
      <formula>AND(IF($Q144=2,1,0),IF($X144&lt;30,1,0))</formula>
    </cfRule>
    <cfRule type="expression" priority="374" dxfId="1">
      <formula>AND(IF($Q144=3,1,0),IF($X144&lt;30,1,0))</formula>
    </cfRule>
    <cfRule type="expression" priority="375" dxfId="0">
      <formula>AND(IF($Q144=3,1,IF($Q144=4,1,0)),IF($F144&lt;=85,1,0))</formula>
    </cfRule>
  </conditionalFormatting>
  <conditionalFormatting sqref="AV145">
    <cfRule type="expression" priority="370" dxfId="17">
      <formula>AV145="X"</formula>
    </cfRule>
    <cfRule type="expression" priority="371" dxfId="16">
      <formula>AV145="후보"</formula>
    </cfRule>
  </conditionalFormatting>
  <conditionalFormatting sqref="AC145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5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5">
    <cfRule type="expression" priority="361" dxfId="3">
      <formula>AND(IF(OR($Q145=1,$Q145=2),1,0),IF($X145&lt;=20,1,0))</formula>
    </cfRule>
    <cfRule type="expression" priority="362" dxfId="2">
      <formula>AND(IF($Q145=2,1,0),IF($X145&lt;30,1,0))</formula>
    </cfRule>
    <cfRule type="expression" priority="363" dxfId="1">
      <formula>AND(IF($Q145=3,1,0),IF($X145&lt;30,1,0))</formula>
    </cfRule>
    <cfRule type="expression" priority="364" dxfId="0">
      <formula>AND(IF($Q145=3,1,IF($Q145=4,1,0)),IF($F145&lt;=85,1,0))</formula>
    </cfRule>
  </conditionalFormatting>
  <conditionalFormatting sqref="X145">
    <cfRule type="expression" priority="357" dxfId="3">
      <formula>AND(IF(OR($Q145=1,$Q145=2),1,0),IF($X145&lt;=20,1,0))</formula>
    </cfRule>
    <cfRule type="expression" priority="358" dxfId="2">
      <formula>AND(IF($Q145=2,1,0),IF($X145&lt;30,1,0))</formula>
    </cfRule>
    <cfRule type="expression" priority="359" dxfId="1">
      <formula>AND(IF($Q145=3,1,0),IF($X145&lt;30,1,0))</formula>
    </cfRule>
    <cfRule type="expression" priority="360" dxfId="0">
      <formula>AND(IF($Q145=3,1,IF($Q145=4,1,0)),IF($F145&lt;=85,1,0))</formula>
    </cfRule>
  </conditionalFormatting>
  <conditionalFormatting sqref="AI145">
    <cfRule type="expression" priority="353" dxfId="3">
      <formula>AND(IF(OR($Q145=1,$Q145=2),1,0),IF($X145&lt;=20,1,0))</formula>
    </cfRule>
    <cfRule type="expression" priority="354" dxfId="2">
      <formula>AND(IF($Q145=2,1,0),IF($X145&lt;30,1,0))</formula>
    </cfRule>
    <cfRule type="expression" priority="355" dxfId="1">
      <formula>AND(IF($Q145=3,1,0),IF($X145&lt;30,1,0))</formula>
    </cfRule>
    <cfRule type="expression" priority="356" dxfId="0">
      <formula>AND(IF($Q145=3,1,IF($Q145=4,1,0)),IF($F145&lt;=85,1,0))</formula>
    </cfRule>
  </conditionalFormatting>
  <conditionalFormatting sqref="AV146">
    <cfRule type="expression" priority="351" dxfId="17">
      <formula>AV146="X"</formula>
    </cfRule>
    <cfRule type="expression" priority="352" dxfId="16">
      <formula>AV146="후보"</formula>
    </cfRule>
  </conditionalFormatting>
  <conditionalFormatting sqref="AC146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6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6">
    <cfRule type="expression" priority="342" dxfId="3">
      <formula>AND(IF(OR($Q146=1,$Q146=2),1,0),IF($X146&lt;=20,1,0))</formula>
    </cfRule>
    <cfRule type="expression" priority="343" dxfId="2">
      <formula>AND(IF($Q146=2,1,0),IF($X146&lt;30,1,0))</formula>
    </cfRule>
    <cfRule type="expression" priority="344" dxfId="1">
      <formula>AND(IF($Q146=3,1,0),IF($X146&lt;30,1,0))</formula>
    </cfRule>
    <cfRule type="expression" priority="345" dxfId="0">
      <formula>AND(IF($Q146=3,1,IF($Q146=4,1,0)),IF($F146&lt;=85,1,0))</formula>
    </cfRule>
  </conditionalFormatting>
  <conditionalFormatting sqref="X146">
    <cfRule type="expression" priority="338" dxfId="3">
      <formula>AND(IF(OR($Q146=1,$Q146=2),1,0),IF($X146&lt;=20,1,0))</formula>
    </cfRule>
    <cfRule type="expression" priority="339" dxfId="2">
      <formula>AND(IF($Q146=2,1,0),IF($X146&lt;30,1,0))</formula>
    </cfRule>
    <cfRule type="expression" priority="340" dxfId="1">
      <formula>AND(IF($Q146=3,1,0),IF($X146&lt;30,1,0))</formula>
    </cfRule>
    <cfRule type="expression" priority="341" dxfId="0">
      <formula>AND(IF($Q146=3,1,IF($Q146=4,1,0)),IF($F146&lt;=85,1,0))</formula>
    </cfRule>
  </conditionalFormatting>
  <conditionalFormatting sqref="AI146">
    <cfRule type="expression" priority="334" dxfId="3">
      <formula>AND(IF(OR($Q146=1,$Q146=2),1,0),IF($X146&lt;=20,1,0))</formula>
    </cfRule>
    <cfRule type="expression" priority="335" dxfId="2">
      <formula>AND(IF($Q146=2,1,0),IF($X146&lt;30,1,0))</formula>
    </cfRule>
    <cfRule type="expression" priority="336" dxfId="1">
      <formula>AND(IF($Q146=3,1,0),IF($X146&lt;30,1,0))</formula>
    </cfRule>
    <cfRule type="expression" priority="337" dxfId="0">
      <formula>AND(IF($Q146=3,1,IF($Q146=4,1,0)),IF($F146&lt;=85,1,0))</formula>
    </cfRule>
  </conditionalFormatting>
  <conditionalFormatting sqref="AV147">
    <cfRule type="expression" priority="332" dxfId="17">
      <formula>AV147="X"</formula>
    </cfRule>
    <cfRule type="expression" priority="333" dxfId="16">
      <formula>AV147="후보"</formula>
    </cfRule>
  </conditionalFormatting>
  <conditionalFormatting sqref="AC147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7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7">
    <cfRule type="expression" priority="323" dxfId="3">
      <formula>AND(IF(OR($Q147=1,$Q147=2),1,0),IF($X147&lt;=20,1,0))</formula>
    </cfRule>
    <cfRule type="expression" priority="324" dxfId="2">
      <formula>AND(IF($Q147=2,1,0),IF($X147&lt;30,1,0))</formula>
    </cfRule>
    <cfRule type="expression" priority="325" dxfId="1">
      <formula>AND(IF($Q147=3,1,0),IF($X147&lt;30,1,0))</formula>
    </cfRule>
    <cfRule type="expression" priority="326" dxfId="0">
      <formula>AND(IF($Q147=3,1,IF($Q147=4,1,0)),IF($F147&lt;=85,1,0))</formula>
    </cfRule>
  </conditionalFormatting>
  <conditionalFormatting sqref="X147">
    <cfRule type="expression" priority="319" dxfId="3">
      <formula>AND(IF(OR($Q147=1,$Q147=2),1,0),IF($X147&lt;=20,1,0))</formula>
    </cfRule>
    <cfRule type="expression" priority="320" dxfId="2">
      <formula>AND(IF($Q147=2,1,0),IF($X147&lt;30,1,0))</formula>
    </cfRule>
    <cfRule type="expression" priority="321" dxfId="1">
      <formula>AND(IF($Q147=3,1,0),IF($X147&lt;30,1,0))</formula>
    </cfRule>
    <cfRule type="expression" priority="322" dxfId="0">
      <formula>AND(IF($Q147=3,1,IF($Q147=4,1,0)),IF($F147&lt;=85,1,0))</formula>
    </cfRule>
  </conditionalFormatting>
  <conditionalFormatting sqref="AI147">
    <cfRule type="expression" priority="315" dxfId="3">
      <formula>AND(IF(OR($Q147=1,$Q147=2),1,0),IF($X147&lt;=20,1,0))</formula>
    </cfRule>
    <cfRule type="expression" priority="316" dxfId="2">
      <formula>AND(IF($Q147=2,1,0),IF($X147&lt;30,1,0))</formula>
    </cfRule>
    <cfRule type="expression" priority="317" dxfId="1">
      <formula>AND(IF($Q147=3,1,0),IF($X147&lt;30,1,0))</formula>
    </cfRule>
    <cfRule type="expression" priority="318" dxfId="0">
      <formula>AND(IF($Q147=3,1,IF($Q147=4,1,0)),IF($F147&lt;=85,1,0))</formula>
    </cfRule>
  </conditionalFormatting>
  <conditionalFormatting sqref="AV148">
    <cfRule type="expression" priority="313" dxfId="17">
      <formula>AV148="X"</formula>
    </cfRule>
    <cfRule type="expression" priority="314" dxfId="16">
      <formula>AV148="후보"</formula>
    </cfRule>
  </conditionalFormatting>
  <conditionalFormatting sqref="AC148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8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8">
    <cfRule type="expression" priority="304" dxfId="3">
      <formula>AND(IF(OR($Q148=1,$Q148=2),1,0),IF($X148&lt;=20,1,0))</formula>
    </cfRule>
    <cfRule type="expression" priority="305" dxfId="2">
      <formula>AND(IF($Q148=2,1,0),IF($X148&lt;30,1,0))</formula>
    </cfRule>
    <cfRule type="expression" priority="306" dxfId="1">
      <formula>AND(IF($Q148=3,1,0),IF($X148&lt;30,1,0))</formula>
    </cfRule>
    <cfRule type="expression" priority="307" dxfId="0">
      <formula>AND(IF($Q148=3,1,IF($Q148=4,1,0)),IF($F148&lt;=85,1,0))</formula>
    </cfRule>
  </conditionalFormatting>
  <conditionalFormatting sqref="X148">
    <cfRule type="expression" priority="300" dxfId="3">
      <formula>AND(IF(OR($Q148=1,$Q148=2),1,0),IF($X148&lt;=20,1,0))</formula>
    </cfRule>
    <cfRule type="expression" priority="301" dxfId="2">
      <formula>AND(IF($Q148=2,1,0),IF($X148&lt;30,1,0))</formula>
    </cfRule>
    <cfRule type="expression" priority="302" dxfId="1">
      <formula>AND(IF($Q148=3,1,0),IF($X148&lt;30,1,0))</formula>
    </cfRule>
    <cfRule type="expression" priority="303" dxfId="0">
      <formula>AND(IF($Q148=3,1,IF($Q148=4,1,0)),IF($F148&lt;=85,1,0))</formula>
    </cfRule>
  </conditionalFormatting>
  <conditionalFormatting sqref="AI148">
    <cfRule type="expression" priority="296" dxfId="3">
      <formula>AND(IF(OR($Q148=1,$Q148=2),1,0),IF($X148&lt;=20,1,0))</formula>
    </cfRule>
    <cfRule type="expression" priority="297" dxfId="2">
      <formula>AND(IF($Q148=2,1,0),IF($X148&lt;30,1,0))</formula>
    </cfRule>
    <cfRule type="expression" priority="298" dxfId="1">
      <formula>AND(IF($Q148=3,1,0),IF($X148&lt;30,1,0))</formula>
    </cfRule>
    <cfRule type="expression" priority="299" dxfId="0">
      <formula>AND(IF($Q148=3,1,IF($Q148=4,1,0)),IF($F148&lt;=85,1,0))</formula>
    </cfRule>
  </conditionalFormatting>
  <conditionalFormatting sqref="AV149">
    <cfRule type="expression" priority="294" dxfId="17">
      <formula>AV149="X"</formula>
    </cfRule>
    <cfRule type="expression" priority="295" dxfId="16">
      <formula>AV149="후보"</formula>
    </cfRule>
  </conditionalFormatting>
  <conditionalFormatting sqref="AC149 N149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50">
    <cfRule type="expression" priority="289" dxfId="17">
      <formula>AV150="X"</formula>
    </cfRule>
    <cfRule type="expression" priority="290" dxfId="16">
      <formula>AV150="후보"</formula>
    </cfRule>
  </conditionalFormatting>
  <conditionalFormatting sqref="AC15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5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50">
    <cfRule type="expression" priority="280" dxfId="3">
      <formula>AND(IF(OR($Q150=1,$Q150=2),1,0),IF($X150&lt;=20,1,0))</formula>
    </cfRule>
    <cfRule type="expression" priority="281" dxfId="2">
      <formula>AND(IF($Q150=2,1,0),IF($X150&lt;30,1,0))</formula>
    </cfRule>
    <cfRule type="expression" priority="282" dxfId="1">
      <formula>AND(IF($Q150=3,1,0),IF($X150&lt;30,1,0))</formula>
    </cfRule>
    <cfRule type="expression" priority="283" dxfId="0">
      <formula>AND(IF($Q150=3,1,IF($Q150=4,1,0)),IF($F150&lt;=85,1,0))</formula>
    </cfRule>
  </conditionalFormatting>
  <conditionalFormatting sqref="X150">
    <cfRule type="expression" priority="276" dxfId="3">
      <formula>AND(IF(OR($Q150=1,$Q150=2),1,0),IF($X150&lt;=20,1,0))</formula>
    </cfRule>
    <cfRule type="expression" priority="277" dxfId="2">
      <formula>AND(IF($Q150=2,1,0),IF($X150&lt;30,1,0))</formula>
    </cfRule>
    <cfRule type="expression" priority="278" dxfId="1">
      <formula>AND(IF($Q150=3,1,0),IF($X150&lt;30,1,0))</formula>
    </cfRule>
    <cfRule type="expression" priority="279" dxfId="0">
      <formula>AND(IF($Q150=3,1,IF($Q150=4,1,0)),IF($F150&lt;=85,1,0))</formula>
    </cfRule>
  </conditionalFormatting>
  <conditionalFormatting sqref="AI150">
    <cfRule type="expression" priority="272" dxfId="3">
      <formula>AND(IF(OR($Q150=1,$Q150=2),1,0),IF($X150&lt;=20,1,0))</formula>
    </cfRule>
    <cfRule type="expression" priority="273" dxfId="2">
      <formula>AND(IF($Q150=2,1,0),IF($X150&lt;30,1,0))</formula>
    </cfRule>
    <cfRule type="expression" priority="274" dxfId="1">
      <formula>AND(IF($Q150=3,1,0),IF($X150&lt;30,1,0))</formula>
    </cfRule>
    <cfRule type="expression" priority="275" dxfId="0">
      <formula>AND(IF($Q150=3,1,IF($Q150=4,1,0)),IF($F150&lt;=85,1,0))</formula>
    </cfRule>
  </conditionalFormatting>
  <conditionalFormatting sqref="AV151">
    <cfRule type="expression" priority="270" dxfId="17">
      <formula>AV151="X"</formula>
    </cfRule>
    <cfRule type="expression" priority="271" dxfId="16">
      <formula>AV151="후보"</formula>
    </cfRule>
  </conditionalFormatting>
  <conditionalFormatting sqref="AC15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5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51">
    <cfRule type="expression" priority="261" dxfId="3">
      <formula>AND(IF(OR($Q151=1,$Q151=2),1,0),IF($X151&lt;=20,1,0))</formula>
    </cfRule>
    <cfRule type="expression" priority="262" dxfId="2">
      <formula>AND(IF($Q151=2,1,0),IF($X151&lt;30,1,0))</formula>
    </cfRule>
    <cfRule type="expression" priority="263" dxfId="1">
      <formula>AND(IF($Q151=3,1,0),IF($X151&lt;30,1,0))</formula>
    </cfRule>
    <cfRule type="expression" priority="264" dxfId="0">
      <formula>AND(IF($Q151=3,1,IF($Q151=4,1,0)),IF($F151&lt;=85,1,0))</formula>
    </cfRule>
  </conditionalFormatting>
  <conditionalFormatting sqref="X151">
    <cfRule type="expression" priority="257" dxfId="3">
      <formula>AND(IF(OR($Q151=1,$Q151=2),1,0),IF($X151&lt;=20,1,0))</formula>
    </cfRule>
    <cfRule type="expression" priority="258" dxfId="2">
      <formula>AND(IF($Q151=2,1,0),IF($X151&lt;30,1,0))</formula>
    </cfRule>
    <cfRule type="expression" priority="259" dxfId="1">
      <formula>AND(IF($Q151=3,1,0),IF($X151&lt;30,1,0))</formula>
    </cfRule>
    <cfRule type="expression" priority="260" dxfId="0">
      <formula>AND(IF($Q151=3,1,IF($Q151=4,1,0)),IF($F151&lt;=85,1,0))</formula>
    </cfRule>
  </conditionalFormatting>
  <conditionalFormatting sqref="AI151">
    <cfRule type="expression" priority="253" dxfId="3">
      <formula>AND(IF(OR($Q151=1,$Q151=2),1,0),IF($X151&lt;=20,1,0))</formula>
    </cfRule>
    <cfRule type="expression" priority="254" dxfId="2">
      <formula>AND(IF($Q151=2,1,0),IF($X151&lt;30,1,0))</formula>
    </cfRule>
    <cfRule type="expression" priority="255" dxfId="1">
      <formula>AND(IF($Q151=3,1,0),IF($X151&lt;30,1,0))</formula>
    </cfRule>
    <cfRule type="expression" priority="256" dxfId="0">
      <formula>AND(IF($Q151=3,1,IF($Q151=4,1,0)),IF($F151&lt;=85,1,0))</formula>
    </cfRule>
  </conditionalFormatting>
  <conditionalFormatting sqref="AV152">
    <cfRule type="expression" priority="251" dxfId="17">
      <formula>AV152="X"</formula>
    </cfRule>
    <cfRule type="expression" priority="252" dxfId="16">
      <formula>AV152="후보"</formula>
    </cfRule>
  </conditionalFormatting>
  <conditionalFormatting sqref="AC15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2">
    <cfRule type="expression" priority="242" dxfId="3">
      <formula>AND(IF(OR($Q152=1,$Q152=2),1,0),IF($X152&lt;=20,1,0))</formula>
    </cfRule>
    <cfRule type="expression" priority="243" dxfId="2">
      <formula>AND(IF($Q152=2,1,0),IF($X152&lt;30,1,0))</formula>
    </cfRule>
    <cfRule type="expression" priority="244" dxfId="1">
      <formula>AND(IF($Q152=3,1,0),IF($X152&lt;30,1,0))</formula>
    </cfRule>
    <cfRule type="expression" priority="245" dxfId="0">
      <formula>AND(IF($Q152=3,1,IF($Q152=4,1,0)),IF($F152&lt;=85,1,0))</formula>
    </cfRule>
  </conditionalFormatting>
  <conditionalFormatting sqref="X152">
    <cfRule type="expression" priority="238" dxfId="3">
      <formula>AND(IF(OR($Q152=1,$Q152=2),1,0),IF($X152&lt;=20,1,0))</formula>
    </cfRule>
    <cfRule type="expression" priority="239" dxfId="2">
      <formula>AND(IF($Q152=2,1,0),IF($X152&lt;30,1,0))</formula>
    </cfRule>
    <cfRule type="expression" priority="240" dxfId="1">
      <formula>AND(IF($Q152=3,1,0),IF($X152&lt;30,1,0))</formula>
    </cfRule>
    <cfRule type="expression" priority="241" dxfId="0">
      <formula>AND(IF($Q152=3,1,IF($Q152=4,1,0)),IF($F152&lt;=85,1,0))</formula>
    </cfRule>
  </conditionalFormatting>
  <conditionalFormatting sqref="AI152">
    <cfRule type="expression" priority="234" dxfId="3">
      <formula>AND(IF(OR($Q152=1,$Q152=2),1,0),IF($X152&lt;=20,1,0))</formula>
    </cfRule>
    <cfRule type="expression" priority="235" dxfId="2">
      <formula>AND(IF($Q152=2,1,0),IF($X152&lt;30,1,0))</formula>
    </cfRule>
    <cfRule type="expression" priority="236" dxfId="1">
      <formula>AND(IF($Q152=3,1,0),IF($X152&lt;30,1,0))</formula>
    </cfRule>
    <cfRule type="expression" priority="237" dxfId="0">
      <formula>AND(IF($Q152=3,1,IF($Q152=4,1,0)),IF($F152&lt;=85,1,0))</formula>
    </cfRule>
  </conditionalFormatting>
  <conditionalFormatting sqref="AV153">
    <cfRule type="expression" priority="232" dxfId="17">
      <formula>AV153="X"</formula>
    </cfRule>
    <cfRule type="expression" priority="233" dxfId="16">
      <formula>AV153="후보"</formula>
    </cfRule>
  </conditionalFormatting>
  <conditionalFormatting sqref="AC15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3">
    <cfRule type="expression" priority="223" dxfId="3">
      <formula>AND(IF(OR($Q153=1,$Q153=2),1,0),IF($X153&lt;=20,1,0))</formula>
    </cfRule>
    <cfRule type="expression" priority="224" dxfId="2">
      <formula>AND(IF($Q153=2,1,0),IF($X153&lt;30,1,0))</formula>
    </cfRule>
    <cfRule type="expression" priority="225" dxfId="1">
      <formula>AND(IF($Q153=3,1,0),IF($X153&lt;30,1,0))</formula>
    </cfRule>
    <cfRule type="expression" priority="226" dxfId="0">
      <formula>AND(IF($Q153=3,1,IF($Q153=4,1,0)),IF($F153&lt;=85,1,0))</formula>
    </cfRule>
  </conditionalFormatting>
  <conditionalFormatting sqref="X153">
    <cfRule type="expression" priority="219" dxfId="3">
      <formula>AND(IF(OR($Q153=1,$Q153=2),1,0),IF($X153&lt;=20,1,0))</formula>
    </cfRule>
    <cfRule type="expression" priority="220" dxfId="2">
      <formula>AND(IF($Q153=2,1,0),IF($X153&lt;30,1,0))</formula>
    </cfRule>
    <cfRule type="expression" priority="221" dxfId="1">
      <formula>AND(IF($Q153=3,1,0),IF($X153&lt;30,1,0))</formula>
    </cfRule>
    <cfRule type="expression" priority="222" dxfId="0">
      <formula>AND(IF($Q153=3,1,IF($Q153=4,1,0)),IF($F153&lt;=85,1,0))</formula>
    </cfRule>
  </conditionalFormatting>
  <conditionalFormatting sqref="AI153">
    <cfRule type="expression" priority="215" dxfId="3">
      <formula>AND(IF(OR($Q153=1,$Q153=2),1,0),IF($X153&lt;=20,1,0))</formula>
    </cfRule>
    <cfRule type="expression" priority="216" dxfId="2">
      <formula>AND(IF($Q153=2,1,0),IF($X153&lt;30,1,0))</formula>
    </cfRule>
    <cfRule type="expression" priority="217" dxfId="1">
      <formula>AND(IF($Q153=3,1,0),IF($X153&lt;30,1,0))</formula>
    </cfRule>
    <cfRule type="expression" priority="218" dxfId="0">
      <formula>AND(IF($Q153=3,1,IF($Q153=4,1,0)),IF($F153&lt;=85,1,0))</formula>
    </cfRule>
  </conditionalFormatting>
  <conditionalFormatting sqref="AV154">
    <cfRule type="expression" priority="213" dxfId="17">
      <formula>AV154="X"</formula>
    </cfRule>
    <cfRule type="expression" priority="214" dxfId="16">
      <formula>AV154="후보"</formula>
    </cfRule>
  </conditionalFormatting>
  <conditionalFormatting sqref="AC15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4">
    <cfRule type="expression" priority="204" dxfId="3">
      <formula>AND(IF(OR($Q154=1,$Q154=2),1,0),IF($X154&lt;=20,1,0))</formula>
    </cfRule>
    <cfRule type="expression" priority="205" dxfId="2">
      <formula>AND(IF($Q154=2,1,0),IF($X154&lt;30,1,0))</formula>
    </cfRule>
    <cfRule type="expression" priority="206" dxfId="1">
      <formula>AND(IF($Q154=3,1,0),IF($X154&lt;30,1,0))</formula>
    </cfRule>
    <cfRule type="expression" priority="207" dxfId="0">
      <formula>AND(IF($Q154=3,1,IF($Q154=4,1,0)),IF($F154&lt;=85,1,0))</formula>
    </cfRule>
  </conditionalFormatting>
  <conditionalFormatting sqref="X154">
    <cfRule type="expression" priority="200" dxfId="3">
      <formula>AND(IF(OR($Q154=1,$Q154=2),1,0),IF($X154&lt;=20,1,0))</formula>
    </cfRule>
    <cfRule type="expression" priority="201" dxfId="2">
      <formula>AND(IF($Q154=2,1,0),IF($X154&lt;30,1,0))</formula>
    </cfRule>
    <cfRule type="expression" priority="202" dxfId="1">
      <formula>AND(IF($Q154=3,1,0),IF($X154&lt;30,1,0))</formula>
    </cfRule>
    <cfRule type="expression" priority="203" dxfId="0">
      <formula>AND(IF($Q154=3,1,IF($Q154=4,1,0)),IF($F154&lt;=85,1,0))</formula>
    </cfRule>
  </conditionalFormatting>
  <conditionalFormatting sqref="AI154">
    <cfRule type="expression" priority="196" dxfId="3">
      <formula>AND(IF(OR($Q154=1,$Q154=2),1,0),IF($X154&lt;=20,1,0))</formula>
    </cfRule>
    <cfRule type="expression" priority="197" dxfId="2">
      <formula>AND(IF($Q154=2,1,0),IF($X154&lt;30,1,0))</formula>
    </cfRule>
    <cfRule type="expression" priority="198" dxfId="1">
      <formula>AND(IF($Q154=3,1,0),IF($X154&lt;30,1,0))</formula>
    </cfRule>
    <cfRule type="expression" priority="199" dxfId="0">
      <formula>AND(IF($Q154=3,1,IF($Q154=4,1,0)),IF($F154&lt;=85,1,0))</formula>
    </cfRule>
  </conditionalFormatting>
  <conditionalFormatting sqref="AV155">
    <cfRule type="expression" priority="194" dxfId="17">
      <formula>AV155="X"</formula>
    </cfRule>
    <cfRule type="expression" priority="195" dxfId="16">
      <formula>AV155="후보"</formula>
    </cfRule>
  </conditionalFormatting>
  <conditionalFormatting sqref="AC15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5">
    <cfRule type="expression" priority="185" dxfId="3">
      <formula>AND(IF(OR($Q155=1,$Q155=2),1,0),IF($X155&lt;=20,1,0))</formula>
    </cfRule>
    <cfRule type="expression" priority="186" dxfId="2">
      <formula>AND(IF($Q155=2,1,0),IF($X155&lt;30,1,0))</formula>
    </cfRule>
    <cfRule type="expression" priority="187" dxfId="1">
      <formula>AND(IF($Q155=3,1,0),IF($X155&lt;30,1,0))</formula>
    </cfRule>
    <cfRule type="expression" priority="188" dxfId="0">
      <formula>AND(IF($Q155=3,1,IF($Q155=4,1,0)),IF($F155&lt;=85,1,0))</formula>
    </cfRule>
  </conditionalFormatting>
  <conditionalFormatting sqref="X155">
    <cfRule type="expression" priority="181" dxfId="3">
      <formula>AND(IF(OR($Q155=1,$Q155=2),1,0),IF($X155&lt;=20,1,0))</formula>
    </cfRule>
    <cfRule type="expression" priority="182" dxfId="2">
      <formula>AND(IF($Q155=2,1,0),IF($X155&lt;30,1,0))</formula>
    </cfRule>
    <cfRule type="expression" priority="183" dxfId="1">
      <formula>AND(IF($Q155=3,1,0),IF($X155&lt;30,1,0))</formula>
    </cfRule>
    <cfRule type="expression" priority="184" dxfId="0">
      <formula>AND(IF($Q155=3,1,IF($Q155=4,1,0)),IF($F155&lt;=85,1,0))</formula>
    </cfRule>
  </conditionalFormatting>
  <conditionalFormatting sqref="AI155">
    <cfRule type="expression" priority="177" dxfId="3">
      <formula>AND(IF(OR($Q155=1,$Q155=2),1,0),IF($X155&lt;=20,1,0))</formula>
    </cfRule>
    <cfRule type="expression" priority="178" dxfId="2">
      <formula>AND(IF($Q155=2,1,0),IF($X155&lt;30,1,0))</formula>
    </cfRule>
    <cfRule type="expression" priority="179" dxfId="1">
      <formula>AND(IF($Q155=3,1,0),IF($X155&lt;30,1,0))</formula>
    </cfRule>
    <cfRule type="expression" priority="180" dxfId="0">
      <formula>AND(IF($Q155=3,1,IF($Q155=4,1,0)),IF($F155&lt;=85,1,0))</formula>
    </cfRule>
  </conditionalFormatting>
  <conditionalFormatting sqref="AV156">
    <cfRule type="expression" priority="175" dxfId="17">
      <formula>AV156="X"</formula>
    </cfRule>
    <cfRule type="expression" priority="176" dxfId="16">
      <formula>AV156="후보"</formula>
    </cfRule>
  </conditionalFormatting>
  <conditionalFormatting sqref="AC15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5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56">
    <cfRule type="expression" priority="166" dxfId="3">
      <formula>AND(IF(OR($Q156=1,$Q156=2),1,0),IF($X156&lt;=20,1,0))</formula>
    </cfRule>
    <cfRule type="expression" priority="167" dxfId="2">
      <formula>AND(IF($Q156=2,1,0),IF($X156&lt;30,1,0))</formula>
    </cfRule>
    <cfRule type="expression" priority="168" dxfId="1">
      <formula>AND(IF($Q156=3,1,0),IF($X156&lt;30,1,0))</formula>
    </cfRule>
    <cfRule type="expression" priority="169" dxfId="0">
      <formula>AND(IF($Q156=3,1,IF($Q156=4,1,0)),IF($F156&lt;=85,1,0))</formula>
    </cfRule>
  </conditionalFormatting>
  <conditionalFormatting sqref="X156">
    <cfRule type="expression" priority="162" dxfId="3">
      <formula>AND(IF(OR($Q156=1,$Q156=2),1,0),IF($X156&lt;=20,1,0))</formula>
    </cfRule>
    <cfRule type="expression" priority="163" dxfId="2">
      <formula>AND(IF($Q156=2,1,0),IF($X156&lt;30,1,0))</formula>
    </cfRule>
    <cfRule type="expression" priority="164" dxfId="1">
      <formula>AND(IF($Q156=3,1,0),IF($X156&lt;30,1,0))</formula>
    </cfRule>
    <cfRule type="expression" priority="165" dxfId="0">
      <formula>AND(IF($Q156=3,1,IF($Q156=4,1,0)),IF($F156&lt;=85,1,0))</formula>
    </cfRule>
  </conditionalFormatting>
  <conditionalFormatting sqref="AI156">
    <cfRule type="expression" priority="158" dxfId="3">
      <formula>AND(IF(OR($Q156=1,$Q156=2),1,0),IF($X156&lt;=20,1,0))</formula>
    </cfRule>
    <cfRule type="expression" priority="159" dxfId="2">
      <formula>AND(IF($Q156=2,1,0),IF($X156&lt;30,1,0))</formula>
    </cfRule>
    <cfRule type="expression" priority="160" dxfId="1">
      <formula>AND(IF($Q156=3,1,0),IF($X156&lt;30,1,0))</formula>
    </cfRule>
    <cfRule type="expression" priority="161" dxfId="0">
      <formula>AND(IF($Q156=3,1,IF($Q156=4,1,0)),IF($F156&lt;=85,1,0))</formula>
    </cfRule>
  </conditionalFormatting>
  <conditionalFormatting sqref="AV157">
    <cfRule type="expression" priority="156" dxfId="17">
      <formula>AV157="X"</formula>
    </cfRule>
    <cfRule type="expression" priority="157" dxfId="16">
      <formula>AV157="후보"</formula>
    </cfRule>
  </conditionalFormatting>
  <conditionalFormatting sqref="AC157 N15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58">
    <cfRule type="expression" priority="151" dxfId="17">
      <formula>AV158="X"</formula>
    </cfRule>
    <cfRule type="expression" priority="152" dxfId="16">
      <formula>AV158="후보"</formula>
    </cfRule>
  </conditionalFormatting>
  <conditionalFormatting sqref="AC15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8">
    <cfRule type="expression" priority="142" dxfId="3">
      <formula>AND(IF(OR($Q158=1,$Q158=2),1,0),IF($X158&lt;=20,1,0))</formula>
    </cfRule>
    <cfRule type="expression" priority="143" dxfId="2">
      <formula>AND(IF($Q158=2,1,0),IF($X158&lt;30,1,0))</formula>
    </cfRule>
    <cfRule type="expression" priority="144" dxfId="1">
      <formula>AND(IF($Q158=3,1,0),IF($X158&lt;30,1,0))</formula>
    </cfRule>
    <cfRule type="expression" priority="145" dxfId="0">
      <formula>AND(IF($Q158=3,1,IF($Q158=4,1,0)),IF($F158&lt;=85,1,0))</formula>
    </cfRule>
  </conditionalFormatting>
  <conditionalFormatting sqref="X158">
    <cfRule type="expression" priority="138" dxfId="3">
      <formula>AND(IF(OR($Q158=1,$Q158=2),1,0),IF($X158&lt;=20,1,0))</formula>
    </cfRule>
    <cfRule type="expression" priority="139" dxfId="2">
      <formula>AND(IF($Q158=2,1,0),IF($X158&lt;30,1,0))</formula>
    </cfRule>
    <cfRule type="expression" priority="140" dxfId="1">
      <formula>AND(IF($Q158=3,1,0),IF($X158&lt;30,1,0))</formula>
    </cfRule>
    <cfRule type="expression" priority="141" dxfId="0">
      <formula>AND(IF($Q158=3,1,IF($Q158=4,1,0)),IF($F158&lt;=85,1,0))</formula>
    </cfRule>
  </conditionalFormatting>
  <conditionalFormatting sqref="AI158">
    <cfRule type="expression" priority="134" dxfId="3">
      <formula>AND(IF(OR($Q158=1,$Q158=2),1,0),IF($X158&lt;=20,1,0))</formula>
    </cfRule>
    <cfRule type="expression" priority="135" dxfId="2">
      <formula>AND(IF($Q158=2,1,0),IF($X158&lt;30,1,0))</formula>
    </cfRule>
    <cfRule type="expression" priority="136" dxfId="1">
      <formula>AND(IF($Q158=3,1,0),IF($X158&lt;30,1,0))</formula>
    </cfRule>
    <cfRule type="expression" priority="137" dxfId="0">
      <formula>AND(IF($Q158=3,1,IF($Q158=4,1,0)),IF($F158&lt;=85,1,0))</formula>
    </cfRule>
  </conditionalFormatting>
  <conditionalFormatting sqref="AV159">
    <cfRule type="expression" priority="132" dxfId="17">
      <formula>AV159="X"</formula>
    </cfRule>
    <cfRule type="expression" priority="133" dxfId="16">
      <formula>AV159="후보"</formula>
    </cfRule>
  </conditionalFormatting>
  <conditionalFormatting sqref="AC15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9">
    <cfRule type="expression" priority="123" dxfId="3">
      <formula>AND(IF(OR($Q159=1,$Q159=2),1,0),IF($X159&lt;=20,1,0))</formula>
    </cfRule>
    <cfRule type="expression" priority="124" dxfId="2">
      <formula>AND(IF($Q159=2,1,0),IF($X159&lt;30,1,0))</formula>
    </cfRule>
    <cfRule type="expression" priority="125" dxfId="1">
      <formula>AND(IF($Q159=3,1,0),IF($X159&lt;30,1,0))</formula>
    </cfRule>
    <cfRule type="expression" priority="126" dxfId="0">
      <formula>AND(IF($Q159=3,1,IF($Q159=4,1,0)),IF($F159&lt;=85,1,0))</formula>
    </cfRule>
  </conditionalFormatting>
  <conditionalFormatting sqref="X159">
    <cfRule type="expression" priority="119" dxfId="3">
      <formula>AND(IF(OR($Q159=1,$Q159=2),1,0),IF($X159&lt;=20,1,0))</formula>
    </cfRule>
    <cfRule type="expression" priority="120" dxfId="2">
      <formula>AND(IF($Q159=2,1,0),IF($X159&lt;30,1,0))</formula>
    </cfRule>
    <cfRule type="expression" priority="121" dxfId="1">
      <formula>AND(IF($Q159=3,1,0),IF($X159&lt;30,1,0))</formula>
    </cfRule>
    <cfRule type="expression" priority="122" dxfId="0">
      <formula>AND(IF($Q159=3,1,IF($Q159=4,1,0)),IF($F159&lt;=85,1,0))</formula>
    </cfRule>
  </conditionalFormatting>
  <conditionalFormatting sqref="AI159">
    <cfRule type="expression" priority="115" dxfId="3">
      <formula>AND(IF(OR($Q159=1,$Q159=2),1,0),IF($X159&lt;=20,1,0))</formula>
    </cfRule>
    <cfRule type="expression" priority="116" dxfId="2">
      <formula>AND(IF($Q159=2,1,0),IF($X159&lt;30,1,0))</formula>
    </cfRule>
    <cfRule type="expression" priority="117" dxfId="1">
      <formula>AND(IF($Q159=3,1,0),IF($X159&lt;30,1,0))</formula>
    </cfRule>
    <cfRule type="expression" priority="118" dxfId="0">
      <formula>AND(IF($Q159=3,1,IF($Q159=4,1,0)),IF($F159&lt;=85,1,0))</formula>
    </cfRule>
  </conditionalFormatting>
  <conditionalFormatting sqref="AV160">
    <cfRule type="expression" priority="113" dxfId="17">
      <formula>AV160="X"</formula>
    </cfRule>
    <cfRule type="expression" priority="114" dxfId="16">
      <formula>AV160="후보"</formula>
    </cfRule>
  </conditionalFormatting>
  <conditionalFormatting sqref="AC16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6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60">
    <cfRule type="expression" priority="104" dxfId="3">
      <formula>AND(IF(OR($Q160=1,$Q160=2),1,0),IF($X160&lt;=20,1,0))</formula>
    </cfRule>
    <cfRule type="expression" priority="105" dxfId="2">
      <formula>AND(IF($Q160=2,1,0),IF($X160&lt;30,1,0))</formula>
    </cfRule>
    <cfRule type="expression" priority="106" dxfId="1">
      <formula>AND(IF($Q160=3,1,0),IF($X160&lt;30,1,0))</formula>
    </cfRule>
    <cfRule type="expression" priority="107" dxfId="0">
      <formula>AND(IF($Q160=3,1,IF($Q160=4,1,0)),IF($F160&lt;=85,1,0))</formula>
    </cfRule>
  </conditionalFormatting>
  <conditionalFormatting sqref="X160">
    <cfRule type="expression" priority="100" dxfId="3">
      <formula>AND(IF(OR($Q160=1,$Q160=2),1,0),IF($X160&lt;=20,1,0))</formula>
    </cfRule>
    <cfRule type="expression" priority="101" dxfId="2">
      <formula>AND(IF($Q160=2,1,0),IF($X160&lt;30,1,0))</formula>
    </cfRule>
    <cfRule type="expression" priority="102" dxfId="1">
      <formula>AND(IF($Q160=3,1,0),IF($X160&lt;30,1,0))</formula>
    </cfRule>
    <cfRule type="expression" priority="103" dxfId="0">
      <formula>AND(IF($Q160=3,1,IF($Q160=4,1,0)),IF($F160&lt;=85,1,0))</formula>
    </cfRule>
  </conditionalFormatting>
  <conditionalFormatting sqref="AI160">
    <cfRule type="expression" priority="96" dxfId="3">
      <formula>AND(IF(OR($Q160=1,$Q160=2),1,0),IF($X160&lt;=20,1,0))</formula>
    </cfRule>
    <cfRule type="expression" priority="97" dxfId="2">
      <formula>AND(IF($Q160=2,1,0),IF($X160&lt;30,1,0))</formula>
    </cfRule>
    <cfRule type="expression" priority="98" dxfId="1">
      <formula>AND(IF($Q160=3,1,0),IF($X160&lt;30,1,0))</formula>
    </cfRule>
    <cfRule type="expression" priority="99" dxfId="0">
      <formula>AND(IF($Q160=3,1,IF($Q160=4,1,0)),IF($F160&lt;=85,1,0))</formula>
    </cfRule>
  </conditionalFormatting>
  <conditionalFormatting sqref="AV161">
    <cfRule type="expression" priority="94" dxfId="17">
      <formula>AV161="X"</formula>
    </cfRule>
    <cfRule type="expression" priority="95" dxfId="16">
      <formula>AV161="후보"</formula>
    </cfRule>
  </conditionalFormatting>
  <conditionalFormatting sqref="AC16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1">
    <cfRule type="expression" priority="85" dxfId="3">
      <formula>AND(IF(OR($Q161=1,$Q161=2),1,0),IF($X161&lt;=20,1,0))</formula>
    </cfRule>
    <cfRule type="expression" priority="86" dxfId="2">
      <formula>AND(IF($Q161=2,1,0),IF($X161&lt;30,1,0))</formula>
    </cfRule>
    <cfRule type="expression" priority="87" dxfId="1">
      <formula>AND(IF($Q161=3,1,0),IF($X161&lt;30,1,0))</formula>
    </cfRule>
    <cfRule type="expression" priority="88" dxfId="0">
      <formula>AND(IF($Q161=3,1,IF($Q161=4,1,0)),IF($F161&lt;=85,1,0))</formula>
    </cfRule>
  </conditionalFormatting>
  <conditionalFormatting sqref="X161">
    <cfRule type="expression" priority="81" dxfId="3">
      <formula>AND(IF(OR($Q161=1,$Q161=2),1,0),IF($X161&lt;=20,1,0))</formula>
    </cfRule>
    <cfRule type="expression" priority="82" dxfId="2">
      <formula>AND(IF($Q161=2,1,0),IF($X161&lt;30,1,0))</formula>
    </cfRule>
    <cfRule type="expression" priority="83" dxfId="1">
      <formula>AND(IF($Q161=3,1,0),IF($X161&lt;30,1,0))</formula>
    </cfRule>
    <cfRule type="expression" priority="84" dxfId="0">
      <formula>AND(IF($Q161=3,1,IF($Q161=4,1,0)),IF($F161&lt;=85,1,0))</formula>
    </cfRule>
  </conditionalFormatting>
  <conditionalFormatting sqref="AI161">
    <cfRule type="expression" priority="77" dxfId="3">
      <formula>AND(IF(OR($Q161=1,$Q161=2),1,0),IF($X161&lt;=20,1,0))</formula>
    </cfRule>
    <cfRule type="expression" priority="78" dxfId="2">
      <formula>AND(IF($Q161=2,1,0),IF($X161&lt;30,1,0))</formula>
    </cfRule>
    <cfRule type="expression" priority="79" dxfId="1">
      <formula>AND(IF($Q161=3,1,0),IF($X161&lt;30,1,0))</formula>
    </cfRule>
    <cfRule type="expression" priority="80" dxfId="0">
      <formula>AND(IF($Q161=3,1,IF($Q161=4,1,0)),IF($F161&lt;=85,1,0))</formula>
    </cfRule>
  </conditionalFormatting>
  <conditionalFormatting sqref="AV162">
    <cfRule type="expression" priority="75" dxfId="17">
      <formula>AV162="X"</formula>
    </cfRule>
    <cfRule type="expression" priority="76" dxfId="16">
      <formula>AV162="후보"</formula>
    </cfRule>
  </conditionalFormatting>
  <conditionalFormatting sqref="AC16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2">
    <cfRule type="expression" priority="66" dxfId="3">
      <formula>AND(IF(OR($Q162=1,$Q162=2),1,0),IF($X162&lt;=20,1,0))</formula>
    </cfRule>
    <cfRule type="expression" priority="67" dxfId="2">
      <formula>AND(IF($Q162=2,1,0),IF($X162&lt;30,1,0))</formula>
    </cfRule>
    <cfRule type="expression" priority="68" dxfId="1">
      <formula>AND(IF($Q162=3,1,0),IF($X162&lt;30,1,0))</formula>
    </cfRule>
    <cfRule type="expression" priority="69" dxfId="0">
      <formula>AND(IF($Q162=3,1,IF($Q162=4,1,0)),IF($F162&lt;=85,1,0))</formula>
    </cfRule>
  </conditionalFormatting>
  <conditionalFormatting sqref="X162">
    <cfRule type="expression" priority="62" dxfId="3">
      <formula>AND(IF(OR($Q162=1,$Q162=2),1,0),IF($X162&lt;=20,1,0))</formula>
    </cfRule>
    <cfRule type="expression" priority="63" dxfId="2">
      <formula>AND(IF($Q162=2,1,0),IF($X162&lt;30,1,0))</formula>
    </cfRule>
    <cfRule type="expression" priority="64" dxfId="1">
      <formula>AND(IF($Q162=3,1,0),IF($X162&lt;30,1,0))</formula>
    </cfRule>
    <cfRule type="expression" priority="65" dxfId="0">
      <formula>AND(IF($Q162=3,1,IF($Q162=4,1,0)),IF($F162&lt;=85,1,0))</formula>
    </cfRule>
  </conditionalFormatting>
  <conditionalFormatting sqref="AI162">
    <cfRule type="expression" priority="58" dxfId="3">
      <formula>AND(IF(OR($Q162=1,$Q162=2),1,0),IF($X162&lt;=20,1,0))</formula>
    </cfRule>
    <cfRule type="expression" priority="59" dxfId="2">
      <formula>AND(IF($Q162=2,1,0),IF($X162&lt;30,1,0))</formula>
    </cfRule>
    <cfRule type="expression" priority="60" dxfId="1">
      <formula>AND(IF($Q162=3,1,0),IF($X162&lt;30,1,0))</formula>
    </cfRule>
    <cfRule type="expression" priority="61" dxfId="0">
      <formula>AND(IF($Q162=3,1,IF($Q162=4,1,0)),IF($F162&lt;=85,1,0))</formula>
    </cfRule>
  </conditionalFormatting>
  <conditionalFormatting sqref="AV163">
    <cfRule type="expression" priority="56" dxfId="17">
      <formula>AV163="X"</formula>
    </cfRule>
    <cfRule type="expression" priority="57" dxfId="16">
      <formula>AV163="후보"</formula>
    </cfRule>
  </conditionalFormatting>
  <conditionalFormatting sqref="AC16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3">
    <cfRule type="expression" priority="47" dxfId="3">
      <formula>AND(IF(OR($Q163=1,$Q163=2),1,0),IF($X163&lt;=20,1,0))</formula>
    </cfRule>
    <cfRule type="expression" priority="48" dxfId="2">
      <formula>AND(IF($Q163=2,1,0),IF($X163&lt;30,1,0))</formula>
    </cfRule>
    <cfRule type="expression" priority="49" dxfId="1">
      <formula>AND(IF($Q163=3,1,0),IF($X163&lt;30,1,0))</formula>
    </cfRule>
    <cfRule type="expression" priority="50" dxfId="0">
      <formula>AND(IF($Q163=3,1,IF($Q163=4,1,0)),IF($F163&lt;=85,1,0))</formula>
    </cfRule>
  </conditionalFormatting>
  <conditionalFormatting sqref="X163">
    <cfRule type="expression" priority="43" dxfId="3">
      <formula>AND(IF(OR($Q163=1,$Q163=2),1,0),IF($X163&lt;=20,1,0))</formula>
    </cfRule>
    <cfRule type="expression" priority="44" dxfId="2">
      <formula>AND(IF($Q163=2,1,0),IF($X163&lt;30,1,0))</formula>
    </cfRule>
    <cfRule type="expression" priority="45" dxfId="1">
      <formula>AND(IF($Q163=3,1,0),IF($X163&lt;30,1,0))</formula>
    </cfRule>
    <cfRule type="expression" priority="46" dxfId="0">
      <formula>AND(IF($Q163=3,1,IF($Q163=4,1,0)),IF($F163&lt;=85,1,0))</formula>
    </cfRule>
  </conditionalFormatting>
  <conditionalFormatting sqref="AI163">
    <cfRule type="expression" priority="39" dxfId="3">
      <formula>AND(IF(OR($Q163=1,$Q163=2),1,0),IF($X163&lt;=20,1,0))</formula>
    </cfRule>
    <cfRule type="expression" priority="40" dxfId="2">
      <formula>AND(IF($Q163=2,1,0),IF($X163&lt;30,1,0))</formula>
    </cfRule>
    <cfRule type="expression" priority="41" dxfId="1">
      <formula>AND(IF($Q163=3,1,0),IF($X163&lt;30,1,0))</formula>
    </cfRule>
    <cfRule type="expression" priority="42" dxfId="0">
      <formula>AND(IF($Q163=3,1,IF($Q163=4,1,0)),IF($F163&lt;=85,1,0))</formula>
    </cfRule>
  </conditionalFormatting>
  <conditionalFormatting sqref="AV164">
    <cfRule type="expression" priority="37" dxfId="17">
      <formula>AV164="X"</formula>
    </cfRule>
    <cfRule type="expression" priority="38" dxfId="16">
      <formula>AV164="후보"</formula>
    </cfRule>
  </conditionalFormatting>
  <conditionalFormatting sqref="AC1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4">
    <cfRule type="expression" priority="28" dxfId="3">
      <formula>AND(IF(OR($Q164=1,$Q164=2),1,0),IF($X164&lt;=20,1,0))</formula>
    </cfRule>
    <cfRule type="expression" priority="29" dxfId="2">
      <formula>AND(IF($Q164=2,1,0),IF($X164&lt;30,1,0))</formula>
    </cfRule>
    <cfRule type="expression" priority="30" dxfId="1">
      <formula>AND(IF($Q164=3,1,0),IF($X164&lt;30,1,0))</formula>
    </cfRule>
    <cfRule type="expression" priority="31" dxfId="0">
      <formula>AND(IF($Q164=3,1,IF($Q164=4,1,0)),IF($F164&lt;=85,1,0))</formula>
    </cfRule>
  </conditionalFormatting>
  <conditionalFormatting sqref="X164">
    <cfRule type="expression" priority="24" dxfId="3">
      <formula>AND(IF(OR($Q164=1,$Q164=2),1,0),IF($X164&lt;=20,1,0))</formula>
    </cfRule>
    <cfRule type="expression" priority="25" dxfId="2">
      <formula>AND(IF($Q164=2,1,0),IF($X164&lt;30,1,0))</formula>
    </cfRule>
    <cfRule type="expression" priority="26" dxfId="1">
      <formula>AND(IF($Q164=3,1,0),IF($X164&lt;30,1,0))</formula>
    </cfRule>
    <cfRule type="expression" priority="27" dxfId="0">
      <formula>AND(IF($Q164=3,1,IF($Q164=4,1,0)),IF($F164&lt;=85,1,0))</formula>
    </cfRule>
  </conditionalFormatting>
  <conditionalFormatting sqref="AI164">
    <cfRule type="expression" priority="20" dxfId="3">
      <formula>AND(IF(OR($Q164=1,$Q164=2),1,0),IF($X164&lt;=20,1,0))</formula>
    </cfRule>
    <cfRule type="expression" priority="21" dxfId="2">
      <formula>AND(IF($Q164=2,1,0),IF($X164&lt;30,1,0))</formula>
    </cfRule>
    <cfRule type="expression" priority="22" dxfId="1">
      <formula>AND(IF($Q164=3,1,0),IF($X164&lt;30,1,0))</formula>
    </cfRule>
    <cfRule type="expression" priority="23" dxfId="0">
      <formula>AND(IF($Q164=3,1,IF($Q164=4,1,0)),IF($F164&lt;=85,1,0))</formula>
    </cfRule>
  </conditionalFormatting>
  <conditionalFormatting sqref="AV165">
    <cfRule type="expression" priority="18" dxfId="17">
      <formula>AV165="X"</formula>
    </cfRule>
    <cfRule type="expression" priority="19" dxfId="16">
      <formula>AV165="후보"</formula>
    </cfRule>
  </conditionalFormatting>
  <conditionalFormatting sqref="AC1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5">
    <cfRule type="expression" priority="9" dxfId="3">
      <formula>AND(IF(OR($Q165=1,$Q165=2),1,0),IF($X165&lt;=20,1,0))</formula>
    </cfRule>
    <cfRule type="expression" priority="10" dxfId="2">
      <formula>AND(IF($Q165=2,1,0),IF($X165&lt;30,1,0))</formula>
    </cfRule>
    <cfRule type="expression" priority="11" dxfId="1">
      <formula>AND(IF($Q165=3,1,0),IF($X165&lt;30,1,0))</formula>
    </cfRule>
    <cfRule type="expression" priority="12" dxfId="0">
      <formula>AND(IF($Q165=3,1,IF($Q165=4,1,0)),IF($F165&lt;=85,1,0))</formula>
    </cfRule>
  </conditionalFormatting>
  <conditionalFormatting sqref="X165">
    <cfRule type="expression" priority="5" dxfId="3">
      <formula>AND(IF(OR($Q165=1,$Q165=2),1,0),IF($X165&lt;=20,1,0))</formula>
    </cfRule>
    <cfRule type="expression" priority="6" dxfId="2">
      <formula>AND(IF($Q165=2,1,0),IF($X165&lt;30,1,0))</formula>
    </cfRule>
    <cfRule type="expression" priority="7" dxfId="1">
      <formula>AND(IF($Q165=3,1,0),IF($X165&lt;30,1,0))</formula>
    </cfRule>
    <cfRule type="expression" priority="8" dxfId="0">
      <formula>AND(IF($Q165=3,1,IF($Q165=4,1,0)),IF($F165&lt;=85,1,0))</formula>
    </cfRule>
  </conditionalFormatting>
  <conditionalFormatting sqref="AI165">
    <cfRule type="expression" priority="1" dxfId="3">
      <formula>AND(IF(OR($Q165=1,$Q165=2),1,0),IF($X165&lt;=20,1,0))</formula>
    </cfRule>
    <cfRule type="expression" priority="2" dxfId="2">
      <formula>AND(IF($Q165=2,1,0),IF($X165&lt;30,1,0))</formula>
    </cfRule>
    <cfRule type="expression" priority="3" dxfId="1">
      <formula>AND(IF($Q165=3,1,0),IF($X165&lt;30,1,0))</formula>
    </cfRule>
    <cfRule type="expression" priority="4" dxfId="0">
      <formula>AND(IF($Q165=3,1,IF($Q165=4,1,0)),IF($F165&lt;=85,1,0))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도림아이파크</t>
        </is>
      </c>
      <c r="B6" s="16" t="inlineStr">
        <is>
          <t>'08.06.</t>
        </is>
      </c>
      <c r="C6" s="164" t="n">
        <v>349</v>
      </c>
      <c r="D6" s="161" t="n">
        <v>114.3</v>
      </c>
      <c r="E6" s="163" t="n">
        <v>35</v>
      </c>
      <c r="F6" s="161" t="n">
        <v>84.59999999999999</v>
      </c>
      <c r="G6" s="27" t="n">
        <v>26</v>
      </c>
      <c r="H6" s="164" t="n">
        <v>73</v>
      </c>
      <c r="I6" s="165" t="n">
        <v>45000</v>
      </c>
      <c r="J6" s="165" t="inlineStr">
        <is>
          <t>6</t>
        </is>
      </c>
      <c r="K6" s="165" t="n">
        <v>35000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합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도림아이파크</t>
        </is>
      </c>
      <c r="B7" s="16" t="inlineStr">
        <is>
          <t>'08.06.</t>
        </is>
      </c>
      <c r="C7" s="164" t="n">
        <v>349</v>
      </c>
      <c r="D7" s="161" t="n">
        <v>114.6</v>
      </c>
      <c r="E7" s="163" t="n">
        <v>35</v>
      </c>
      <c r="F7" s="161" t="n">
        <v>84.7</v>
      </c>
      <c r="G7" s="27" t="n">
        <v>26</v>
      </c>
      <c r="H7" s="164" t="n">
        <v>72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합</t>
        </is>
      </c>
      <c r="T7" s="8" t="inlineStr">
        <is>
          <t>114B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도림아이파크</t>
        </is>
      </c>
      <c r="B8" s="16" t="inlineStr">
        <is>
          <t>'08.06.</t>
        </is>
      </c>
      <c r="C8" s="164" t="n">
        <v>349</v>
      </c>
      <c r="D8" s="161" t="n">
        <v>137.7</v>
      </c>
      <c r="E8" s="163" t="n">
        <v>42</v>
      </c>
      <c r="F8" s="161" t="n">
        <v>101.7</v>
      </c>
      <c r="G8" s="27" t="n">
        <v>31</v>
      </c>
      <c r="H8" s="164" t="n">
        <v>109</v>
      </c>
      <c r="I8" s="165" t="n">
        <v>55000</v>
      </c>
      <c r="J8" s="165" t="inlineStr">
        <is>
          <t>고</t>
        </is>
      </c>
      <c r="K8" s="165" t="n">
        <v>37000</v>
      </c>
      <c r="L8" s="165" t="inlineStr">
        <is>
          <t>6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도림아이파크</t>
        </is>
      </c>
      <c r="B9" s="16" t="inlineStr">
        <is>
          <t>'08.06.</t>
        </is>
      </c>
      <c r="C9" s="164" t="n">
        <v>349</v>
      </c>
      <c r="D9" s="161" t="n">
        <v>142.7</v>
      </c>
      <c r="E9" s="163" t="n">
        <v>43</v>
      </c>
      <c r="F9" s="161" t="n">
        <v>107.3</v>
      </c>
      <c r="G9" s="27" t="n">
        <v>32</v>
      </c>
      <c r="H9" s="164" t="n">
        <v>19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도림아이파크</t>
        </is>
      </c>
      <c r="B10" s="16" t="inlineStr">
        <is>
          <t>'08.06.</t>
        </is>
      </c>
      <c r="C10" s="164" t="n">
        <v>349</v>
      </c>
      <c r="D10" s="161" t="n">
        <v>160.7</v>
      </c>
      <c r="E10" s="163" t="n">
        <v>49</v>
      </c>
      <c r="F10" s="161" t="n">
        <v>126.6</v>
      </c>
      <c r="G10" s="27" t="n">
        <v>38</v>
      </c>
      <c r="H10" s="164" t="n">
        <v>38</v>
      </c>
      <c r="I10" s="165" t="n">
        <v>59500</v>
      </c>
      <c r="J10" s="165" t="inlineStr">
        <is>
          <t>10</t>
        </is>
      </c>
      <c r="K10" s="165" t="n">
        <v>45000</v>
      </c>
      <c r="L10" s="165" t="inlineStr">
        <is>
          <t>19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합</t>
        </is>
      </c>
      <c r="T10" s="8" t="inlineStr">
        <is>
          <t>160B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도림아이파크</t>
        </is>
      </c>
      <c r="B11" s="16" t="inlineStr">
        <is>
          <t>'08.06.</t>
        </is>
      </c>
      <c r="C11" s="164" t="n">
        <v>349</v>
      </c>
      <c r="D11" s="161" t="n">
        <v>161.9</v>
      </c>
      <c r="E11" s="163" t="n">
        <v>49</v>
      </c>
      <c r="F11" s="161" t="n">
        <v>123.9</v>
      </c>
      <c r="G11" s="27" t="n">
        <v>37</v>
      </c>
      <c r="H11" s="164" t="n">
        <v>38</v>
      </c>
      <c r="I11" s="165" t="n">
        <v>65000</v>
      </c>
      <c r="J11" s="165" t="inlineStr">
        <is>
          <t>10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합</t>
        </is>
      </c>
      <c r="T11" s="8" t="inlineStr">
        <is>
          <t>161A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벽산블루밍</t>
        </is>
      </c>
      <c r="B13" s="16" t="inlineStr">
        <is>
          <t>'08.01.</t>
        </is>
      </c>
      <c r="C13" s="164" t="n">
        <v>342</v>
      </c>
      <c r="D13" s="161" t="n">
        <v>107.4</v>
      </c>
      <c r="E13" s="163" t="n">
        <v>32</v>
      </c>
      <c r="F13" s="161" t="n">
        <v>84.90000000000001</v>
      </c>
      <c r="G13" s="27" t="n">
        <v>26</v>
      </c>
      <c r="H13" s="164" t="n">
        <v>338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벽산블루밍</t>
        </is>
      </c>
      <c r="B14" s="16" t="inlineStr">
        <is>
          <t>'08.01.</t>
        </is>
      </c>
      <c r="C14" s="164" t="n">
        <v>342</v>
      </c>
      <c r="D14" s="161" t="n">
        <v>204.1</v>
      </c>
      <c r="E14" s="163" t="n">
        <v>62</v>
      </c>
      <c r="F14" s="161" t="n">
        <v>160.8</v>
      </c>
      <c r="G14" s="27" t="n">
        <v>49</v>
      </c>
      <c r="H14" s="164" t="n">
        <v>4</v>
      </c>
      <c r="I14" s="165" t="n">
        <v>84000</v>
      </c>
      <c r="J14" s="165" t="inlineStr">
        <is>
          <t>고</t>
        </is>
      </c>
      <c r="K14" s="165" t="n">
        <v>28000</v>
      </c>
      <c r="L14" s="165" t="inlineStr">
        <is>
          <t>17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204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도림주공그린빌2단지</t>
        </is>
      </c>
      <c r="B16" s="16" t="inlineStr">
        <is>
          <t>'03.10.</t>
        </is>
      </c>
      <c r="C16" s="164" t="n">
        <v>642</v>
      </c>
      <c r="D16" s="161" t="n">
        <v>99.7</v>
      </c>
      <c r="E16" s="163" t="n">
        <v>30</v>
      </c>
      <c r="F16" s="161" t="n">
        <v>76.3</v>
      </c>
      <c r="G16" s="27" t="n">
        <v>23</v>
      </c>
      <c r="H16" s="164" t="n">
        <v>190</v>
      </c>
      <c r="I16" s="165" t="n">
        <v>40000</v>
      </c>
      <c r="J16" s="165" t="inlineStr">
        <is>
          <t>16</t>
        </is>
      </c>
      <c r="K16" s="165" t="n">
        <v>32000</v>
      </c>
      <c r="L16" s="165" t="inlineStr">
        <is>
          <t>15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99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도림주공그린빌2단지</t>
        </is>
      </c>
      <c r="B17" s="16" t="inlineStr">
        <is>
          <t>'03.10.</t>
        </is>
      </c>
      <c r="C17" s="164" t="n">
        <v>642</v>
      </c>
      <c r="D17" s="161" t="n">
        <v>110.3</v>
      </c>
      <c r="E17" s="163" t="n">
        <v>33</v>
      </c>
      <c r="F17" s="161" t="n">
        <v>84.8</v>
      </c>
      <c r="G17" s="27" t="n">
        <v>26</v>
      </c>
      <c r="H17" s="164" t="n">
        <v>452</v>
      </c>
      <c r="I17" s="165" t="n">
        <v>42000</v>
      </c>
      <c r="J17" s="165" t="inlineStr">
        <is>
          <t>7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0">
    <cfRule type="expression" priority="114" dxfId="3">
      <formula>AND(IF(OR($Q10=1,$Q10=2),1,0),IF($X10&lt;=20,1,0))</formula>
    </cfRule>
    <cfRule type="expression" priority="115" dxfId="2">
      <formula>AND(IF($Q10=2,1,0),IF($X10&lt;30,1,0))</formula>
    </cfRule>
    <cfRule type="expression" priority="116" dxfId="1">
      <formula>AND(IF($Q10=3,1,0),IF($X10&lt;30,1,0))</formula>
    </cfRule>
    <cfRule type="expression" priority="117" dxfId="0">
      <formula>AND(IF($Q10=3,1,IF($Q10=4,1,0)),IF($F10&lt;=85,1,0))</formula>
    </cfRule>
  </conditionalFormatting>
  <conditionalFormatting sqref="X10">
    <cfRule type="expression" priority="110" dxfId="3">
      <formula>AND(IF(OR($Q10=1,$Q10=2),1,0),IF($X10&lt;=20,1,0))</formula>
    </cfRule>
    <cfRule type="expression" priority="111" dxfId="2">
      <formula>AND(IF($Q10=2,1,0),IF($X10&lt;30,1,0))</formula>
    </cfRule>
    <cfRule type="expression" priority="112" dxfId="1">
      <formula>AND(IF($Q10=3,1,0),IF($X10&lt;30,1,0))</formula>
    </cfRule>
    <cfRule type="expression" priority="113" dxfId="0">
      <formula>AND(IF($Q10=3,1,IF($Q10=4,1,0)),IF($F10&lt;=85,1,0))</formula>
    </cfRule>
  </conditionalFormatting>
  <conditionalFormatting sqref="AI10">
    <cfRule type="expression" priority="106" dxfId="3">
      <formula>AND(IF(OR($Q10=1,$Q10=2),1,0),IF($X10&lt;=20,1,0))</formula>
    </cfRule>
    <cfRule type="expression" priority="107" dxfId="2">
      <formula>AND(IF($Q10=2,1,0),IF($X10&lt;30,1,0))</formula>
    </cfRule>
    <cfRule type="expression" priority="108" dxfId="1">
      <formula>AND(IF($Q10=3,1,0),IF($X10&lt;30,1,0))</formula>
    </cfRule>
    <cfRule type="expression" priority="109" dxfId="0">
      <formula>AND(IF($Q10=3,1,IF($Q10=4,1,0)),IF($F10&lt;=85,1,0))</formula>
    </cfRule>
  </conditionalFormatting>
  <conditionalFormatting sqref="AV11">
    <cfRule type="expression" priority="104" dxfId="17">
      <formula>AV11="X"</formula>
    </cfRule>
    <cfRule type="expression" priority="105" dxfId="16">
      <formula>AV11="후보"</formula>
    </cfRule>
  </conditionalFormatting>
  <conditionalFormatting sqref="AC1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1">
    <cfRule type="expression" priority="95" dxfId="3">
      <formula>AND(IF(OR($Q11=1,$Q11=2),1,0),IF($X11&lt;=20,1,0))</formula>
    </cfRule>
    <cfRule type="expression" priority="96" dxfId="2">
      <formula>AND(IF($Q11=2,1,0),IF($X11&lt;30,1,0))</formula>
    </cfRule>
    <cfRule type="expression" priority="97" dxfId="1">
      <formula>AND(IF($Q11=3,1,0),IF($X11&lt;30,1,0))</formula>
    </cfRule>
    <cfRule type="expression" priority="98" dxfId="0">
      <formula>AND(IF($Q11=3,1,IF($Q11=4,1,0)),IF($F11&lt;=85,1,0))</formula>
    </cfRule>
  </conditionalFormatting>
  <conditionalFormatting sqref="X11">
    <cfRule type="expression" priority="91" dxfId="3">
      <formula>AND(IF(OR($Q11=1,$Q11=2),1,0),IF($X11&lt;=20,1,0))</formula>
    </cfRule>
    <cfRule type="expression" priority="92" dxfId="2">
      <formula>AND(IF($Q11=2,1,0),IF($X11&lt;30,1,0))</formula>
    </cfRule>
    <cfRule type="expression" priority="93" dxfId="1">
      <formula>AND(IF($Q11=3,1,0),IF($X11&lt;30,1,0))</formula>
    </cfRule>
    <cfRule type="expression" priority="94" dxfId="0">
      <formula>AND(IF($Q11=3,1,IF($Q11=4,1,0)),IF($F11&lt;=85,1,0))</formula>
    </cfRule>
  </conditionalFormatting>
  <conditionalFormatting sqref="AI11">
    <cfRule type="expression" priority="87" dxfId="3">
      <formula>AND(IF(OR($Q11=1,$Q11=2),1,0),IF($X11&lt;=20,1,0))</formula>
    </cfRule>
    <cfRule type="expression" priority="88" dxfId="2">
      <formula>AND(IF($Q11=2,1,0),IF($X11&lt;30,1,0))</formula>
    </cfRule>
    <cfRule type="expression" priority="89" dxfId="1">
      <formula>AND(IF($Q11=3,1,0),IF($X11&lt;30,1,0))</formula>
    </cfRule>
    <cfRule type="expression" priority="90" dxfId="0">
      <formula>AND(IF($Q11=3,1,IF($Q11=4,1,0)),IF($F11&lt;=85,1,0))</formula>
    </cfRule>
  </conditionalFormatting>
  <conditionalFormatting sqref="AV12">
    <cfRule type="expression" priority="85" dxfId="17">
      <formula>AV12="X"</formula>
    </cfRule>
    <cfRule type="expression" priority="86" dxfId="16">
      <formula>AV12="후보"</formula>
    </cfRule>
  </conditionalFormatting>
  <conditionalFormatting sqref="AC12 N1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17">
      <formula>AV14="X"</formula>
    </cfRule>
    <cfRule type="expression" priority="62" dxfId="16">
      <formula>AV14="후보"</formula>
    </cfRule>
  </conditionalFormatting>
  <conditionalFormatting sqref="AC1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4">
    <cfRule type="expression" priority="52" dxfId="3">
      <formula>AND(IF(OR($Q14=1,$Q14=2),1,0),IF($X14&lt;=20,1,0))</formula>
    </cfRule>
    <cfRule type="expression" priority="53" dxfId="2">
      <formula>AND(IF($Q14=2,1,0),IF($X14&lt;30,1,0))</formula>
    </cfRule>
    <cfRule type="expression" priority="54" dxfId="1">
      <formula>AND(IF($Q14=3,1,0),IF($X14&lt;30,1,0))</formula>
    </cfRule>
    <cfRule type="expression" priority="55" dxfId="0">
      <formula>AND(IF($Q14=3,1,IF($Q14=4,1,0)),IF($F14&lt;=85,1,0))</formula>
    </cfRule>
  </conditionalFormatting>
  <conditionalFormatting sqref="X14">
    <cfRule type="expression" priority="48" dxfId="3">
      <formula>AND(IF(OR($Q14=1,$Q14=2),1,0),IF($X14&lt;=20,1,0))</formula>
    </cfRule>
    <cfRule type="expression" priority="49" dxfId="2">
      <formula>AND(IF($Q14=2,1,0),IF($X14&lt;30,1,0))</formula>
    </cfRule>
    <cfRule type="expression" priority="50" dxfId="1">
      <formula>AND(IF($Q14=3,1,0),IF($X14&lt;30,1,0))</formula>
    </cfRule>
    <cfRule type="expression" priority="51" dxfId="0">
      <formula>AND(IF($Q14=3,1,IF($Q14=4,1,0)),IF($F14&lt;=85,1,0))</formula>
    </cfRule>
  </conditionalFormatting>
  <conditionalFormatting sqref="AI14">
    <cfRule type="expression" priority="44" dxfId="3">
      <formula>AND(IF(OR($Q14=1,$Q14=2),1,0),IF($X14&lt;=20,1,0))</formula>
    </cfRule>
    <cfRule type="expression" priority="45" dxfId="2">
      <formula>AND(IF($Q14=2,1,0),IF($X14&lt;30,1,0))</formula>
    </cfRule>
    <cfRule type="expression" priority="46" dxfId="1">
      <formula>AND(IF($Q14=3,1,0),IF($X14&lt;30,1,0))</formula>
    </cfRule>
    <cfRule type="expression" priority="47" dxfId="0">
      <formula>AND(IF($Q14=3,1,IF($Q14=4,1,0)),IF($F14&lt;=85,1,0))</formula>
    </cfRule>
  </conditionalFormatting>
  <conditionalFormatting sqref="AV15">
    <cfRule type="expression" priority="42" dxfId="17">
      <formula>AV15="X"</formula>
    </cfRule>
    <cfRule type="expression" priority="43" dxfId="16">
      <formula>AV15="후보"</formula>
    </cfRule>
  </conditionalFormatting>
  <conditionalFormatting sqref="AC15 N1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5" sqref="A185:XFD1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만수동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현대</t>
        </is>
      </c>
      <c r="B6" s="16" t="inlineStr">
        <is>
          <t>'93.10.</t>
        </is>
      </c>
      <c r="C6" s="164" t="n">
        <v>560</v>
      </c>
      <c r="D6" s="161" t="n">
        <v>126.8</v>
      </c>
      <c r="E6" s="163" t="n">
        <v>38</v>
      </c>
      <c r="F6" s="161" t="n">
        <v>101.9</v>
      </c>
      <c r="G6" s="27" t="n">
        <v>31</v>
      </c>
      <c r="H6" s="164" t="n">
        <v>160</v>
      </c>
      <c r="I6" s="165" t="n">
        <v>51000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4</v>
      </c>
      <c r="R6" s="113" t="n">
        <v>2</v>
      </c>
      <c r="S6" s="113" t="inlineStr">
        <is>
          <t>계</t>
        </is>
      </c>
      <c r="T6" s="8" t="n">
        <v>126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현대</t>
        </is>
      </c>
      <c r="B7" s="16" t="inlineStr">
        <is>
          <t>'93.10.</t>
        </is>
      </c>
      <c r="C7" s="164" t="n">
        <v>560</v>
      </c>
      <c r="D7" s="161" t="n">
        <v>153.9</v>
      </c>
      <c r="E7" s="163" t="n">
        <v>47</v>
      </c>
      <c r="F7" s="161" t="n">
        <v>125.9</v>
      </c>
      <c r="G7" s="27" t="n">
        <v>38</v>
      </c>
      <c r="H7" s="164" t="n">
        <v>320</v>
      </c>
      <c r="I7" s="165" t="n">
        <v>51000</v>
      </c>
      <c r="J7" s="165" t="inlineStr">
        <is>
          <t>13</t>
        </is>
      </c>
      <c r="K7" s="165" t="n">
        <v>45000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153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현대</t>
        </is>
      </c>
      <c r="B8" s="16" t="inlineStr">
        <is>
          <t>'93.10.</t>
        </is>
      </c>
      <c r="C8" s="164" t="n">
        <v>560</v>
      </c>
      <c r="D8" s="161" t="n">
        <v>196.7</v>
      </c>
      <c r="E8" s="163" t="n">
        <v>60</v>
      </c>
      <c r="F8" s="161" t="n">
        <v>163.7</v>
      </c>
      <c r="G8" s="27" t="n">
        <v>50</v>
      </c>
      <c r="H8" s="164" t="n">
        <v>80</v>
      </c>
      <c r="I8" s="165" t="n">
        <v>68000</v>
      </c>
      <c r="J8" s="165" t="inlineStr">
        <is>
          <t>16</t>
        </is>
      </c>
      <c r="K8" s="165" t="n">
        <v>45000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5</v>
      </c>
      <c r="R8" s="113" t="n">
        <v>2</v>
      </c>
      <c r="S8" s="113" t="inlineStr">
        <is>
          <t>계</t>
        </is>
      </c>
      <c r="T8" s="8" t="n">
        <v>196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대동(5-326)</t>
        </is>
      </c>
      <c r="B10" s="16" t="inlineStr">
        <is>
          <t>'87.11.</t>
        </is>
      </c>
      <c r="C10" s="164" t="n">
        <v>276</v>
      </c>
      <c r="D10" s="161" t="n">
        <v>49.2</v>
      </c>
      <c r="E10" s="163" t="n">
        <v>15</v>
      </c>
      <c r="F10" s="161" t="n">
        <v>39.3</v>
      </c>
      <c r="G10" s="27" t="n">
        <v>12</v>
      </c>
      <c r="H10" s="164" t="n">
        <v>240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49A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대동(5-326)</t>
        </is>
      </c>
      <c r="B11" s="16" t="inlineStr">
        <is>
          <t>'87.11.</t>
        </is>
      </c>
      <c r="C11" s="164" t="n">
        <v>276</v>
      </c>
      <c r="D11" s="161" t="n">
        <v>49.9</v>
      </c>
      <c r="E11" s="163" t="n">
        <v>15</v>
      </c>
      <c r="F11" s="161" t="n">
        <v>40</v>
      </c>
      <c r="G11" s="27" t="n">
        <v>12</v>
      </c>
      <c r="H11" s="164" t="n">
        <v>36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inlineStr">
        <is>
          <t>49B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만수주공1단지</t>
        </is>
      </c>
      <c r="B13" s="16" t="inlineStr">
        <is>
          <t>'85.10.</t>
        </is>
      </c>
      <c r="C13" s="164" t="n">
        <v>516</v>
      </c>
      <c r="D13" s="161" t="n">
        <v>44.5</v>
      </c>
      <c r="E13" s="163" t="n">
        <v>13</v>
      </c>
      <c r="F13" s="161" t="n">
        <v>39.9</v>
      </c>
      <c r="G13" s="27" t="n">
        <v>12</v>
      </c>
      <c r="H13" s="164" t="n">
        <v>1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44A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만수주공1단지</t>
        </is>
      </c>
      <c r="B14" s="16" t="inlineStr">
        <is>
          <t>'85.10.</t>
        </is>
      </c>
      <c r="C14" s="164" t="n">
        <v>516</v>
      </c>
      <c r="D14" s="161" t="n">
        <v>45.1</v>
      </c>
      <c r="E14" s="163" t="n">
        <v>14</v>
      </c>
      <c r="F14" s="161" t="n">
        <v>39.7</v>
      </c>
      <c r="G14" s="27" t="n">
        <v>12</v>
      </c>
      <c r="H14" s="164" t="n">
        <v>250</v>
      </c>
      <c r="I14" s="165" t="n">
        <v>24500</v>
      </c>
      <c r="J14" s="165" t="inlineStr">
        <is>
          <t>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45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만수주공1단지</t>
        </is>
      </c>
      <c r="B15" s="16" t="inlineStr">
        <is>
          <t>'85.10.</t>
        </is>
      </c>
      <c r="C15" s="164" t="n">
        <v>516</v>
      </c>
      <c r="D15" s="161" t="n">
        <v>52.5</v>
      </c>
      <c r="E15" s="163" t="n">
        <v>16</v>
      </c>
      <c r="F15" s="161" t="n">
        <v>47.1</v>
      </c>
      <c r="G15" s="27" t="n">
        <v>14</v>
      </c>
      <c r="H15" s="164" t="n">
        <v>104</v>
      </c>
      <c r="I15" s="165" t="n">
        <v>35000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inlineStr">
        <is>
          <t>52A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만수주공1단지</t>
        </is>
      </c>
      <c r="B16" s="16" t="inlineStr">
        <is>
          <t>'85.10.</t>
        </is>
      </c>
      <c r="C16" s="164" t="n">
        <v>516</v>
      </c>
      <c r="D16" s="161" t="n">
        <v>52.3</v>
      </c>
      <c r="E16" s="163" t="n">
        <v>16</v>
      </c>
      <c r="F16" s="161" t="n">
        <v>46.9</v>
      </c>
      <c r="G16" s="27" t="n">
        <v>14</v>
      </c>
      <c r="H16" s="164" t="n">
        <v>72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계</t>
        </is>
      </c>
      <c r="T16" s="8" t="inlineStr">
        <is>
          <t>52D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만수주공1단지</t>
        </is>
      </c>
      <c r="B17" s="16" t="inlineStr">
        <is>
          <t>'85.10.</t>
        </is>
      </c>
      <c r="C17" s="164" t="n">
        <v>516</v>
      </c>
      <c r="D17" s="161" t="n">
        <v>52.3</v>
      </c>
      <c r="E17" s="163" t="n">
        <v>16</v>
      </c>
      <c r="F17" s="161" t="n">
        <v>46.8</v>
      </c>
      <c r="G17" s="27" t="n">
        <v>14</v>
      </c>
      <c r="H17" s="164" t="n">
        <v>54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52C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만수주공1단지</t>
        </is>
      </c>
      <c r="B18" s="16" t="inlineStr">
        <is>
          <t>'85.10.</t>
        </is>
      </c>
      <c r="C18" s="164" t="n">
        <v>516</v>
      </c>
      <c r="D18" s="161" t="n">
        <v>52.1</v>
      </c>
      <c r="E18" s="163" t="n">
        <v>16</v>
      </c>
      <c r="F18" s="161" t="n">
        <v>46.7</v>
      </c>
      <c r="G18" s="27" t="n">
        <v>14</v>
      </c>
      <c r="H18" s="164" t="n">
        <v>30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만수주공1단지</t>
        </is>
      </c>
      <c r="B19" s="16" t="inlineStr">
        <is>
          <t>'85.10.</t>
        </is>
      </c>
      <c r="C19" s="164" t="n">
        <v>516</v>
      </c>
      <c r="D19" s="161" t="n">
        <v>52.4</v>
      </c>
      <c r="E19" s="163" t="n">
        <v>16</v>
      </c>
      <c r="F19" s="161" t="n">
        <v>47</v>
      </c>
      <c r="G19" s="27" t="n">
        <v>14</v>
      </c>
      <c r="H19" s="164" t="n">
        <v>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inlineStr">
        <is>
          <t>52B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만수뉴서울</t>
        </is>
      </c>
      <c r="B21" s="16" t="inlineStr">
        <is>
          <t>'92.07.</t>
        </is>
      </c>
      <c r="C21" s="164" t="n">
        <v>1234</v>
      </c>
      <c r="D21" s="161" t="n">
        <v>48.3</v>
      </c>
      <c r="E21" s="163" t="n">
        <v>15</v>
      </c>
      <c r="F21" s="161" t="n">
        <v>34.7</v>
      </c>
      <c r="G21" s="27" t="n">
        <v>10</v>
      </c>
      <c r="H21" s="164" t="n">
        <v>1234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48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삼환2차</t>
        </is>
      </c>
      <c r="B23" s="16" t="inlineStr">
        <is>
          <t>'90.10.</t>
        </is>
      </c>
      <c r="C23" s="164" t="n">
        <v>660</v>
      </c>
      <c r="D23" s="161" t="n">
        <v>53</v>
      </c>
      <c r="E23" s="163" t="n">
        <v>16</v>
      </c>
      <c r="F23" s="161" t="n">
        <v>43.6</v>
      </c>
      <c r="G23" s="27" t="n">
        <v>13</v>
      </c>
      <c r="H23" s="164" t="n">
        <v>150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53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삼환2차</t>
        </is>
      </c>
      <c r="B24" s="16" t="inlineStr">
        <is>
          <t>'90.10.</t>
        </is>
      </c>
      <c r="C24" s="164" t="n">
        <v>660</v>
      </c>
      <c r="D24" s="161" t="n">
        <v>63.4</v>
      </c>
      <c r="E24" s="163" t="n">
        <v>19</v>
      </c>
      <c r="F24" s="161" t="n">
        <v>50.3</v>
      </c>
      <c r="G24" s="27" t="n">
        <v>15</v>
      </c>
      <c r="H24" s="164" t="n">
        <v>180</v>
      </c>
      <c r="I24" s="165" t="n">
        <v>22000</v>
      </c>
      <c r="J24" s="165" t="inlineStr">
        <is>
          <t>5</t>
        </is>
      </c>
      <c r="K24" s="165" t="n">
        <v>18000</v>
      </c>
      <c r="L24" s="165" t="inlineStr">
        <is>
          <t>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63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삼환2차</t>
        </is>
      </c>
      <c r="B25" s="16" t="inlineStr">
        <is>
          <t>'90.10.</t>
        </is>
      </c>
      <c r="C25" s="164" t="n">
        <v>660</v>
      </c>
      <c r="D25" s="161" t="n">
        <v>74.5</v>
      </c>
      <c r="E25" s="163" t="n">
        <v>23</v>
      </c>
      <c r="F25" s="161" t="n">
        <v>59.1</v>
      </c>
      <c r="G25" s="27" t="n">
        <v>18</v>
      </c>
      <c r="H25" s="164" t="n">
        <v>180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74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삼환2차</t>
        </is>
      </c>
      <c r="B26" s="16" t="inlineStr">
        <is>
          <t>'90.10.</t>
        </is>
      </c>
      <c r="C26" s="164" t="n">
        <v>660</v>
      </c>
      <c r="D26" s="161" t="n">
        <v>83.2</v>
      </c>
      <c r="E26" s="163" t="n">
        <v>25</v>
      </c>
      <c r="F26" s="161" t="n">
        <v>68.40000000000001</v>
      </c>
      <c r="G26" s="27" t="n">
        <v>21</v>
      </c>
      <c r="H26" s="164" t="n">
        <v>150</v>
      </c>
      <c r="I26" s="165" t="n">
        <v>31000</v>
      </c>
      <c r="J26" s="165" t="inlineStr">
        <is>
          <t>15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계</t>
        </is>
      </c>
      <c r="T26" s="8" t="n">
        <v>83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만수주공11단지</t>
        </is>
      </c>
      <c r="B28" s="16" t="inlineStr">
        <is>
          <t>'97.11.</t>
        </is>
      </c>
      <c r="C28" s="164" t="n">
        <v>902</v>
      </c>
      <c r="D28" s="161" t="n">
        <v>57.3</v>
      </c>
      <c r="E28" s="163" t="n">
        <v>17</v>
      </c>
      <c r="F28" s="161" t="n">
        <v>39.4</v>
      </c>
      <c r="G28" s="27" t="n">
        <v>12</v>
      </c>
      <c r="H28" s="164" t="n">
        <v>119</v>
      </c>
      <c r="I28" s="165" t="n">
        <v>18000</v>
      </c>
      <c r="J28" s="165" t="inlineStr">
        <is>
          <t>중</t>
        </is>
      </c>
      <c r="K28" s="165" t="n">
        <v>14000</v>
      </c>
      <c r="L28" s="165" t="inlineStr">
        <is>
          <t>8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57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만수주공11단지</t>
        </is>
      </c>
      <c r="B29" s="16" t="inlineStr">
        <is>
          <t>'97.11.</t>
        </is>
      </c>
      <c r="C29" s="164" t="n">
        <v>902</v>
      </c>
      <c r="D29" s="161" t="n">
        <v>67.3</v>
      </c>
      <c r="E29" s="163" t="n">
        <v>20</v>
      </c>
      <c r="F29" s="161" t="n">
        <v>49.7</v>
      </c>
      <c r="G29" s="27" t="n">
        <v>15</v>
      </c>
      <c r="H29" s="164" t="n">
        <v>243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n">
        <v>67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만수주공11단지</t>
        </is>
      </c>
      <c r="B30" s="16" t="inlineStr">
        <is>
          <t>'97.11.</t>
        </is>
      </c>
      <c r="C30" s="164" t="n">
        <v>902</v>
      </c>
      <c r="D30" s="161" t="n">
        <v>76</v>
      </c>
      <c r="E30" s="163" t="n">
        <v>23</v>
      </c>
      <c r="F30" s="161" t="n">
        <v>60</v>
      </c>
      <c r="G30" s="27" t="n">
        <v>18</v>
      </c>
      <c r="H30" s="164" t="n">
        <v>180</v>
      </c>
      <c r="I30" s="165" t="n">
        <v>30000</v>
      </c>
      <c r="J30" s="165" t="inlineStr">
        <is>
          <t>14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만수주공11단지</t>
        </is>
      </c>
      <c r="B31" s="16" t="inlineStr">
        <is>
          <t>'97.11.</t>
        </is>
      </c>
      <c r="C31" s="164" t="n">
        <v>902</v>
      </c>
      <c r="D31" s="161" t="n">
        <v>79.40000000000001</v>
      </c>
      <c r="E31" s="163" t="n">
        <v>24</v>
      </c>
      <c r="F31" s="161" t="n">
        <v>60</v>
      </c>
      <c r="G31" s="27" t="n">
        <v>18</v>
      </c>
      <c r="H31" s="164" t="n">
        <v>160</v>
      </c>
      <c r="I31" s="165" t="n">
        <v>26000</v>
      </c>
      <c r="J31" s="165" t="inlineStr">
        <is>
          <t>고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79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만수주공11단지</t>
        </is>
      </c>
      <c r="B32" s="16" t="inlineStr">
        <is>
          <t>'97.11.</t>
        </is>
      </c>
      <c r="C32" s="164" t="n">
        <v>902</v>
      </c>
      <c r="D32" s="161" t="n">
        <v>102.3</v>
      </c>
      <c r="E32" s="163" t="n">
        <v>31</v>
      </c>
      <c r="F32" s="161" t="n">
        <v>84.90000000000001</v>
      </c>
      <c r="G32" s="27" t="n">
        <v>26</v>
      </c>
      <c r="H32" s="164" t="n">
        <v>120</v>
      </c>
      <c r="I32" s="165" t="n">
        <v>39000</v>
      </c>
      <c r="J32" s="165" t="inlineStr">
        <is>
          <t>13</t>
        </is>
      </c>
      <c r="K32" s="165" t="n">
        <v>28000</v>
      </c>
      <c r="L32" s="165" t="inlineStr">
        <is>
          <t>13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합</t>
        </is>
      </c>
      <c r="T32" s="8" t="n">
        <v>102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만수주공11단지</t>
        </is>
      </c>
      <c r="B33" s="16" t="inlineStr">
        <is>
          <t>'97.11.</t>
        </is>
      </c>
      <c r="C33" s="164" t="n">
        <v>902</v>
      </c>
      <c r="D33" s="161" t="n">
        <v>105.8</v>
      </c>
      <c r="E33" s="163" t="n">
        <v>32</v>
      </c>
      <c r="F33" s="161" t="n">
        <v>84.8</v>
      </c>
      <c r="G33" s="27" t="n">
        <v>26</v>
      </c>
      <c r="H33" s="164" t="n">
        <v>80</v>
      </c>
      <c r="I33" s="165" t="n">
        <v>41000</v>
      </c>
      <c r="J33" s="165" t="inlineStr">
        <is>
          <t>20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105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햇빛마을벽산</t>
        </is>
      </c>
      <c r="B35" s="16" t="inlineStr">
        <is>
          <t>'00.05.</t>
        </is>
      </c>
      <c r="C35" s="164" t="n">
        <v>2073</v>
      </c>
      <c r="D35" s="161" t="n">
        <v>81.2</v>
      </c>
      <c r="E35" s="163" t="n">
        <v>25</v>
      </c>
      <c r="F35" s="161" t="n">
        <v>59.8</v>
      </c>
      <c r="G35" s="27" t="n">
        <v>18</v>
      </c>
      <c r="H35" s="164" t="n">
        <v>638</v>
      </c>
      <c r="I35" s="165" t="n">
        <v>29000</v>
      </c>
      <c r="J35" s="165" t="inlineStr">
        <is>
          <t>5</t>
        </is>
      </c>
      <c r="K35" s="165" t="n">
        <v>24000</v>
      </c>
      <c r="L35" s="165" t="inlineStr">
        <is>
          <t>5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81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햇빛마을벽산</t>
        </is>
      </c>
      <c r="B36" s="16" t="inlineStr">
        <is>
          <t>'00.05.</t>
        </is>
      </c>
      <c r="C36" s="164" t="n">
        <v>2073</v>
      </c>
      <c r="D36" s="161" t="n">
        <v>109.2</v>
      </c>
      <c r="E36" s="163" t="n">
        <v>33</v>
      </c>
      <c r="F36" s="161" t="n">
        <v>84.90000000000001</v>
      </c>
      <c r="G36" s="27" t="n">
        <v>26</v>
      </c>
      <c r="H36" s="164" t="n">
        <v>1435</v>
      </c>
      <c r="I36" s="165" t="n">
        <v>35200</v>
      </c>
      <c r="J36" s="165" t="inlineStr">
        <is>
          <t>11</t>
        </is>
      </c>
      <c r="K36" s="165" t="n">
        <v>25000</v>
      </c>
      <c r="L36" s="165" t="inlineStr">
        <is>
          <t>7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담방마을</t>
        </is>
      </c>
      <c r="B38" s="16" t="inlineStr">
        <is>
          <t>'94.05.</t>
        </is>
      </c>
      <c r="C38" s="164" t="n">
        <v>1100</v>
      </c>
      <c r="D38" s="161" t="n">
        <v>59.3</v>
      </c>
      <c r="E38" s="163" t="n">
        <v>18</v>
      </c>
      <c r="F38" s="161" t="n">
        <v>46.1</v>
      </c>
      <c r="G38" s="27" t="n">
        <v>14</v>
      </c>
      <c r="H38" s="164" t="n">
        <v>38</v>
      </c>
      <c r="I38" s="165" t="n">
        <v>20000</v>
      </c>
      <c r="J38" s="165" t="inlineStr">
        <is>
          <t>11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inlineStr">
        <is>
          <t>59A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담방마을</t>
        </is>
      </c>
      <c r="B39" s="16" t="inlineStr">
        <is>
          <t>'94.05.</t>
        </is>
      </c>
      <c r="C39" s="164" t="n">
        <v>1100</v>
      </c>
      <c r="D39" s="161" t="n">
        <v>60.3</v>
      </c>
      <c r="E39" s="163" t="n">
        <v>18</v>
      </c>
      <c r="F39" s="161" t="n">
        <v>45.8</v>
      </c>
      <c r="G39" s="27" t="n">
        <v>14</v>
      </c>
      <c r="H39" s="164" t="n">
        <v>290</v>
      </c>
      <c r="I39" s="165" t="n">
        <v>18500</v>
      </c>
      <c r="J39" s="165" t="inlineStr">
        <is>
          <t>18</t>
        </is>
      </c>
      <c r="K39" s="165" t="n">
        <v>15500</v>
      </c>
      <c r="L39" s="165" t="inlineStr">
        <is>
          <t>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inlineStr">
        <is>
          <t>60C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담방마을</t>
        </is>
      </c>
      <c r="B40" s="16" t="inlineStr">
        <is>
          <t>'94.05.</t>
        </is>
      </c>
      <c r="C40" s="164" t="n">
        <v>1100</v>
      </c>
      <c r="D40" s="161" t="n">
        <v>61.1</v>
      </c>
      <c r="E40" s="163" t="n">
        <v>18</v>
      </c>
      <c r="F40" s="161" t="n">
        <v>46.1</v>
      </c>
      <c r="G40" s="27" t="n">
        <v>14</v>
      </c>
      <c r="H40" s="164" t="n">
        <v>242</v>
      </c>
      <c r="I40" s="165" t="n">
        <v>20000</v>
      </c>
      <c r="J40" s="165" t="inlineStr">
        <is>
          <t>16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61B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담방마을</t>
        </is>
      </c>
      <c r="B41" s="16" t="inlineStr">
        <is>
          <t>'94.05.</t>
        </is>
      </c>
      <c r="C41" s="164" t="n">
        <v>1100</v>
      </c>
      <c r="D41" s="161" t="n">
        <v>65.8</v>
      </c>
      <c r="E41" s="163" t="n">
        <v>20</v>
      </c>
      <c r="F41" s="161" t="n">
        <v>49.7</v>
      </c>
      <c r="G41" s="27" t="n">
        <v>15</v>
      </c>
      <c r="H41" s="164" t="n">
        <v>458</v>
      </c>
      <c r="I41" s="165" t="n">
        <v>20000</v>
      </c>
      <c r="J41" s="165" t="inlineStr">
        <is>
          <t>18</t>
        </is>
      </c>
      <c r="K41" s="165" t="n">
        <v>16000</v>
      </c>
      <c r="L41" s="165" t="inlineStr">
        <is>
          <t>17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65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담방마을</t>
        </is>
      </c>
      <c r="B42" s="16" t="inlineStr">
        <is>
          <t>'94.05.</t>
        </is>
      </c>
      <c r="C42" s="164" t="n">
        <v>1100</v>
      </c>
      <c r="D42" s="161" t="n">
        <v>65.40000000000001</v>
      </c>
      <c r="E42" s="163" t="n">
        <v>20</v>
      </c>
      <c r="F42" s="161" t="n">
        <v>49.9</v>
      </c>
      <c r="G42" s="27" t="n">
        <v>15</v>
      </c>
      <c r="H42" s="164" t="n">
        <v>36</v>
      </c>
      <c r="I42" s="165" t="n">
        <v>21000</v>
      </c>
      <c r="J42" s="165" t="inlineStr">
        <is>
          <t>15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inlineStr">
        <is>
          <t>65A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담방마을</t>
        </is>
      </c>
      <c r="B43" s="16" t="inlineStr">
        <is>
          <t>'94.05.</t>
        </is>
      </c>
      <c r="C43" s="164" t="n">
        <v>1100</v>
      </c>
      <c r="D43" s="161" t="n">
        <v>65.8</v>
      </c>
      <c r="E43" s="163" t="n">
        <v>20</v>
      </c>
      <c r="F43" s="161" t="n">
        <v>49.9</v>
      </c>
      <c r="G43" s="27" t="n">
        <v>15</v>
      </c>
      <c r="H43" s="164" t="n">
        <v>36</v>
      </c>
      <c r="I43" s="165" t="n">
        <v>25000</v>
      </c>
      <c r="J43" s="165" t="inlineStr">
        <is>
          <t>중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inlineStr">
        <is>
          <t>65B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하우스토리만수</t>
        </is>
      </c>
      <c r="B45" s="16" t="inlineStr">
        <is>
          <t>'20.07.</t>
        </is>
      </c>
      <c r="C45" s="164" t="n">
        <v>795</v>
      </c>
      <c r="D45" s="161" t="n">
        <v>81.40000000000001</v>
      </c>
      <c r="E45" s="163" t="n">
        <v>25</v>
      </c>
      <c r="F45" s="161" t="n">
        <v>60</v>
      </c>
      <c r="G45" s="27" t="n">
        <v>18</v>
      </c>
      <c r="H45" s="164" t="n">
        <v>366</v>
      </c>
      <c r="I45" s="165" t="n">
        <v>43900</v>
      </c>
      <c r="J45" s="165" t="inlineStr">
        <is>
          <t>7</t>
        </is>
      </c>
      <c r="K45" s="165" t="n">
        <v>29000</v>
      </c>
      <c r="L45" s="165" t="inlineStr">
        <is>
          <t>중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81A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하우스토리만수</t>
        </is>
      </c>
      <c r="B46" s="16" t="inlineStr">
        <is>
          <t>'20.07.</t>
        </is>
      </c>
      <c r="C46" s="164" t="n">
        <v>795</v>
      </c>
      <c r="D46" s="161" t="n">
        <v>81.3</v>
      </c>
      <c r="E46" s="163" t="n">
        <v>25</v>
      </c>
      <c r="F46" s="161" t="n">
        <v>60</v>
      </c>
      <c r="G46" s="27" t="n">
        <v>18</v>
      </c>
      <c r="H46" s="164" t="n">
        <v>205</v>
      </c>
      <c r="I46" s="165" t="n">
        <v>45000</v>
      </c>
      <c r="J46" s="165" t="inlineStr">
        <is>
          <t>11</t>
        </is>
      </c>
      <c r="K46" s="165" t="n">
        <v>30000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81B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하우스토리만수</t>
        </is>
      </c>
      <c r="B47" s="16" t="inlineStr">
        <is>
          <t>'20.07.</t>
        </is>
      </c>
      <c r="C47" s="164" t="n">
        <v>795</v>
      </c>
      <c r="D47" s="161" t="n">
        <v>82.3</v>
      </c>
      <c r="E47" s="163" t="n">
        <v>25</v>
      </c>
      <c r="F47" s="161" t="n">
        <v>60</v>
      </c>
      <c r="G47" s="27" t="n">
        <v>18</v>
      </c>
      <c r="H47" s="164" t="n">
        <v>224</v>
      </c>
      <c r="I47" s="165" t="n">
        <v>47000</v>
      </c>
      <c r="J47" s="165" t="inlineStr">
        <is>
          <t>6</t>
        </is>
      </c>
      <c r="K47" s="165" t="n">
        <v>30000</v>
      </c>
      <c r="L47" s="165" t="inlineStr">
        <is>
          <t>12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82C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이삭1단지</t>
        </is>
      </c>
      <c r="B49" s="16" t="inlineStr">
        <is>
          <t>'00.05.</t>
        </is>
      </c>
      <c r="C49" s="164" t="n">
        <v>299</v>
      </c>
      <c r="D49" s="161" t="n">
        <v>100.5</v>
      </c>
      <c r="E49" s="163" t="n">
        <v>30</v>
      </c>
      <c r="F49" s="161" t="n">
        <v>78.2</v>
      </c>
      <c r="G49" s="27" t="n">
        <v>24</v>
      </c>
      <c r="H49" s="164" t="n">
        <v>88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100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이삭1단지</t>
        </is>
      </c>
      <c r="B50" s="16" t="inlineStr">
        <is>
          <t>'00.05.</t>
        </is>
      </c>
      <c r="C50" s="164" t="n">
        <v>299</v>
      </c>
      <c r="D50" s="161" t="n">
        <v>109.1</v>
      </c>
      <c r="E50" s="163" t="n">
        <v>33</v>
      </c>
      <c r="F50" s="161" t="n">
        <v>84.90000000000001</v>
      </c>
      <c r="G50" s="27" t="n">
        <v>26</v>
      </c>
      <c r="H50" s="164" t="n">
        <v>144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109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이삭1단지</t>
        </is>
      </c>
      <c r="B51" s="16" t="inlineStr">
        <is>
          <t>'00.05.</t>
        </is>
      </c>
      <c r="C51" s="164" t="n">
        <v>299</v>
      </c>
      <c r="D51" s="161" t="n">
        <v>132.4</v>
      </c>
      <c r="E51" s="163" t="n">
        <v>40</v>
      </c>
      <c r="F51" s="161" t="n">
        <v>103.1</v>
      </c>
      <c r="G51" s="27" t="n">
        <v>31</v>
      </c>
      <c r="H51" s="164" t="n">
        <v>67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132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성신3차</t>
        </is>
      </c>
      <c r="B53" s="16" t="inlineStr">
        <is>
          <t>'87.10.</t>
        </is>
      </c>
      <c r="C53" s="164" t="n">
        <v>210</v>
      </c>
      <c r="D53" s="161" t="n">
        <v>58.8</v>
      </c>
      <c r="E53" s="163" t="n">
        <v>18</v>
      </c>
      <c r="F53" s="161" t="n">
        <v>44.4</v>
      </c>
      <c r="G53" s="27" t="n">
        <v>13</v>
      </c>
      <c r="H53" s="164" t="n">
        <v>5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n">
        <v>58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성신3차</t>
        </is>
      </c>
      <c r="B54" s="16" t="inlineStr">
        <is>
          <t>'87.10.</t>
        </is>
      </c>
      <c r="C54" s="164" t="n">
        <v>210</v>
      </c>
      <c r="D54" s="161" t="n">
        <v>62</v>
      </c>
      <c r="E54" s="163" t="n">
        <v>19</v>
      </c>
      <c r="F54" s="161" t="n">
        <v>49.2</v>
      </c>
      <c r="G54" s="27" t="n">
        <v>15</v>
      </c>
      <c r="H54" s="164" t="n">
        <v>200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n">
        <v>62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성신3차</t>
        </is>
      </c>
      <c r="B55" s="16" t="inlineStr">
        <is>
          <t>'87.10.</t>
        </is>
      </c>
      <c r="C55" s="164" t="n">
        <v>210</v>
      </c>
      <c r="D55" s="161" t="n">
        <v>83.5</v>
      </c>
      <c r="E55" s="163" t="n">
        <v>25</v>
      </c>
      <c r="F55" s="161" t="n">
        <v>64</v>
      </c>
      <c r="G55" s="27" t="n">
        <v>19</v>
      </c>
      <c r="H55" s="164" t="n">
        <v>5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합</t>
        </is>
      </c>
      <c r="T55" s="8" t="n">
        <v>83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대동(5-397)</t>
        </is>
      </c>
      <c r="B57" s="16" t="inlineStr">
        <is>
          <t>'89.10.</t>
        </is>
      </c>
      <c r="C57" s="164" t="n">
        <v>432</v>
      </c>
      <c r="D57" s="161" t="n">
        <v>59.2</v>
      </c>
      <c r="E57" s="163" t="n">
        <v>18</v>
      </c>
      <c r="F57" s="161" t="n">
        <v>46.7</v>
      </c>
      <c r="G57" s="27" t="n">
        <v>14</v>
      </c>
      <c r="H57" s="164" t="n">
        <v>84</v>
      </c>
      <c r="I57" s="165" t="n">
        <v>13500</v>
      </c>
      <c r="J57" s="165" t="inlineStr">
        <is>
          <t>6</t>
        </is>
      </c>
      <c r="K57" s="165" t="n">
        <v>9800</v>
      </c>
      <c r="L57" s="165" t="inlineStr">
        <is>
          <t>6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2</v>
      </c>
      <c r="R57" s="113" t="n">
        <v>1</v>
      </c>
      <c r="S57" s="113" t="inlineStr">
        <is>
          <t>계</t>
        </is>
      </c>
      <c r="T57" s="8" t="n">
        <v>59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대동(5-397)</t>
        </is>
      </c>
      <c r="B58" s="16" t="inlineStr">
        <is>
          <t>'89.10.</t>
        </is>
      </c>
      <c r="C58" s="164" t="n">
        <v>432</v>
      </c>
      <c r="D58" s="161" t="n">
        <v>70.3</v>
      </c>
      <c r="E58" s="163" t="n">
        <v>21</v>
      </c>
      <c r="F58" s="161" t="n">
        <v>56.6</v>
      </c>
      <c r="G58" s="27" t="n">
        <v>17</v>
      </c>
      <c r="H58" s="164" t="n">
        <v>144</v>
      </c>
      <c r="I58" s="165" t="n">
        <v>15000</v>
      </c>
      <c r="J58" s="165" t="inlineStr">
        <is>
          <t>6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70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대동(5-397)</t>
        </is>
      </c>
      <c r="B59" s="16" t="inlineStr">
        <is>
          <t>'89.10.</t>
        </is>
      </c>
      <c r="C59" s="164" t="n">
        <v>432</v>
      </c>
      <c r="D59" s="161" t="n">
        <v>74</v>
      </c>
      <c r="E59" s="163" t="n">
        <v>22</v>
      </c>
      <c r="F59" s="161" t="n">
        <v>59.8</v>
      </c>
      <c r="G59" s="27" t="n">
        <v>18</v>
      </c>
      <c r="H59" s="164" t="n">
        <v>144</v>
      </c>
      <c r="I59" s="165" t="n">
        <v>15500</v>
      </c>
      <c r="J59" s="165" t="inlineStr">
        <is>
          <t>6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74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대동(5-397)</t>
        </is>
      </c>
      <c r="B60" s="16" t="inlineStr">
        <is>
          <t>'89.10.</t>
        </is>
      </c>
      <c r="C60" s="164" t="n">
        <v>432</v>
      </c>
      <c r="D60" s="161" t="n">
        <v>82.8</v>
      </c>
      <c r="E60" s="163" t="n">
        <v>25</v>
      </c>
      <c r="F60" s="161" t="n">
        <v>67.7</v>
      </c>
      <c r="G60" s="27" t="n">
        <v>20</v>
      </c>
      <c r="H60" s="164" t="n">
        <v>60</v>
      </c>
      <c r="I60" s="165" t="n"/>
      <c r="J60" s="165" t="n"/>
      <c r="K60" s="165" t="n">
        <v>15000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82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만수주공6단지</t>
        </is>
      </c>
      <c r="B62" s="16" t="inlineStr">
        <is>
          <t>'86.10.</t>
        </is>
      </c>
      <c r="C62" s="164" t="n">
        <v>800</v>
      </c>
      <c r="D62" s="161" t="n">
        <v>43.9</v>
      </c>
      <c r="E62" s="163" t="n">
        <v>13</v>
      </c>
      <c r="F62" s="161" t="n">
        <v>38.5</v>
      </c>
      <c r="G62" s="27" t="n">
        <v>12</v>
      </c>
      <c r="H62" s="164" t="n">
        <v>440</v>
      </c>
      <c r="I62" s="165" t="n">
        <v>22000</v>
      </c>
      <c r="J62" s="165" t="inlineStr">
        <is>
          <t>5</t>
        </is>
      </c>
      <c r="K62" s="165" t="n">
        <v>14000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43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만수주공6단지</t>
        </is>
      </c>
      <c r="B63" s="16" t="inlineStr">
        <is>
          <t>'86.10.</t>
        </is>
      </c>
      <c r="C63" s="164" t="n">
        <v>800</v>
      </c>
      <c r="D63" s="161" t="n">
        <v>52.7</v>
      </c>
      <c r="E63" s="163" t="n">
        <v>16</v>
      </c>
      <c r="F63" s="161" t="n">
        <v>47.3</v>
      </c>
      <c r="G63" s="27" t="n">
        <v>14</v>
      </c>
      <c r="H63" s="164" t="n">
        <v>360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n">
        <v>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광명</t>
        </is>
      </c>
      <c r="B65" s="16" t="inlineStr">
        <is>
          <t>'91.11.</t>
        </is>
      </c>
      <c r="C65" s="164" t="n">
        <v>870</v>
      </c>
      <c r="D65" s="161" t="n">
        <v>91.90000000000001</v>
      </c>
      <c r="E65" s="163" t="n">
        <v>28</v>
      </c>
      <c r="F65" s="161" t="n">
        <v>74.7</v>
      </c>
      <c r="G65" s="27" t="n">
        <v>23</v>
      </c>
      <c r="H65" s="164" t="n">
        <v>120</v>
      </c>
      <c r="I65" s="165" t="n">
        <v>31000</v>
      </c>
      <c r="J65" s="165" t="inlineStr">
        <is>
          <t>15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91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광명</t>
        </is>
      </c>
      <c r="B66" s="16" t="inlineStr">
        <is>
          <t>'91.11.</t>
        </is>
      </c>
      <c r="C66" s="164" t="n">
        <v>870</v>
      </c>
      <c r="D66" s="161" t="n">
        <v>102.6</v>
      </c>
      <c r="E66" s="163" t="n">
        <v>31</v>
      </c>
      <c r="F66" s="161" t="n">
        <v>84.40000000000001</v>
      </c>
      <c r="G66" s="27" t="n">
        <v>26</v>
      </c>
      <c r="H66" s="164" t="n">
        <v>750</v>
      </c>
      <c r="I66" s="165" t="n">
        <v>33000</v>
      </c>
      <c r="J66" s="165" t="inlineStr">
        <is>
          <t>15</t>
        </is>
      </c>
      <c r="K66" s="165" t="n">
        <v>32500</v>
      </c>
      <c r="L66" s="165" t="inlineStr">
        <is>
          <t>5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102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별빛마을대성유니드</t>
        </is>
      </c>
      <c r="B68" s="16" t="inlineStr">
        <is>
          <t>'06.09.</t>
        </is>
      </c>
      <c r="C68" s="164" t="n">
        <v>364</v>
      </c>
      <c r="D68" s="161" t="n">
        <v>84.7</v>
      </c>
      <c r="E68" s="163" t="n">
        <v>26</v>
      </c>
      <c r="F68" s="161" t="n">
        <v>59.9</v>
      </c>
      <c r="G68" s="27" t="n">
        <v>18</v>
      </c>
      <c r="H68" s="164" t="n">
        <v>88</v>
      </c>
      <c r="I68" s="165" t="n">
        <v>34000</v>
      </c>
      <c r="J68" s="165" t="inlineStr">
        <is>
          <t>10</t>
        </is>
      </c>
      <c r="K68" s="165" t="n">
        <v>20000</v>
      </c>
      <c r="L68" s="165" t="inlineStr">
        <is>
          <t>9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84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별빛마을대성유니드</t>
        </is>
      </c>
      <c r="B69" s="16" t="inlineStr">
        <is>
          <t>'06.09.</t>
        </is>
      </c>
      <c r="C69" s="164" t="n">
        <v>364</v>
      </c>
      <c r="D69" s="161" t="n">
        <v>112.7</v>
      </c>
      <c r="E69" s="163" t="n">
        <v>34</v>
      </c>
      <c r="F69" s="161" t="n">
        <v>84.3</v>
      </c>
      <c r="G69" s="27" t="n">
        <v>26</v>
      </c>
      <c r="H69" s="164" t="n">
        <v>276</v>
      </c>
      <c r="I69" s="165" t="n">
        <v>39000</v>
      </c>
      <c r="J69" s="165" t="inlineStr">
        <is>
          <t>12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112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진흥</t>
        </is>
      </c>
      <c r="B71" s="16" t="inlineStr">
        <is>
          <t>'91.10.</t>
        </is>
      </c>
      <c r="C71" s="164" t="n">
        <v>300</v>
      </c>
      <c r="D71" s="161" t="n">
        <v>73.3</v>
      </c>
      <c r="E71" s="163" t="n">
        <v>22</v>
      </c>
      <c r="F71" s="161" t="n">
        <v>57.7</v>
      </c>
      <c r="G71" s="27" t="n">
        <v>17</v>
      </c>
      <c r="H71" s="164" t="n">
        <v>180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n">
        <v>73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진흥</t>
        </is>
      </c>
      <c r="B72" s="16" t="inlineStr">
        <is>
          <t>'91.10.</t>
        </is>
      </c>
      <c r="C72" s="164" t="n">
        <v>300</v>
      </c>
      <c r="D72" s="161" t="n">
        <v>107.1</v>
      </c>
      <c r="E72" s="163" t="n">
        <v>32</v>
      </c>
      <c r="F72" s="161" t="n">
        <v>84.7</v>
      </c>
      <c r="G72" s="27" t="n">
        <v>26</v>
      </c>
      <c r="H72" s="164" t="n">
        <v>120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107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남동</t>
        </is>
      </c>
      <c r="B74" s="16" t="inlineStr">
        <is>
          <t>'92.10.</t>
        </is>
      </c>
      <c r="C74" s="164" t="n">
        <v>770</v>
      </c>
      <c r="D74" s="161" t="n">
        <v>70.09999999999999</v>
      </c>
      <c r="E74" s="163" t="n">
        <v>21</v>
      </c>
      <c r="F74" s="161" t="n">
        <v>51.7</v>
      </c>
      <c r="G74" s="27" t="n">
        <v>16</v>
      </c>
      <c r="H74" s="164" t="n">
        <v>335</v>
      </c>
      <c r="I74" s="165" t="n">
        <v>21500</v>
      </c>
      <c r="J74" s="165" t="inlineStr">
        <is>
          <t>11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n">
        <v>70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남동</t>
        </is>
      </c>
      <c r="B75" s="16" t="inlineStr">
        <is>
          <t>'92.10.</t>
        </is>
      </c>
      <c r="C75" s="164" t="n">
        <v>770</v>
      </c>
      <c r="D75" s="161" t="n">
        <v>83.7</v>
      </c>
      <c r="E75" s="163" t="n">
        <v>25</v>
      </c>
      <c r="F75" s="161" t="n">
        <v>60</v>
      </c>
      <c r="G75" s="27" t="n">
        <v>18</v>
      </c>
      <c r="H75" s="164" t="n">
        <v>435</v>
      </c>
      <c r="I75" s="165" t="n">
        <v>28000</v>
      </c>
      <c r="J75" s="165" t="inlineStr">
        <is>
          <t>11</t>
        </is>
      </c>
      <c r="K75" s="165" t="n">
        <v>24000</v>
      </c>
      <c r="L75" s="165" t="inlineStr">
        <is>
          <t>6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복</t>
        </is>
      </c>
      <c r="T75" s="8" t="n">
        <v>83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만수주공4단지</t>
        </is>
      </c>
      <c r="B77" s="16" t="inlineStr">
        <is>
          <t>'87.07.</t>
        </is>
      </c>
      <c r="C77" s="164" t="n">
        <v>2220</v>
      </c>
      <c r="D77" s="161" t="n">
        <v>75.5</v>
      </c>
      <c r="E77" s="163" t="n">
        <v>23</v>
      </c>
      <c r="F77" s="161" t="n">
        <v>54.9</v>
      </c>
      <c r="G77" s="27" t="n">
        <v>17</v>
      </c>
      <c r="H77" s="164" t="n">
        <v>230</v>
      </c>
      <c r="I77" s="165" t="n">
        <v>28000</v>
      </c>
      <c r="J77" s="165" t="inlineStr">
        <is>
          <t>15</t>
        </is>
      </c>
      <c r="K77" s="165" t="n">
        <v>23000</v>
      </c>
      <c r="L77" s="165" t="inlineStr">
        <is>
          <t>11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복</t>
        </is>
      </c>
      <c r="T77" s="8" t="n">
        <v>75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만수주공4단지</t>
        </is>
      </c>
      <c r="B78" s="16" t="inlineStr">
        <is>
          <t>'87.07.</t>
        </is>
      </c>
      <c r="C78" s="164" t="n">
        <v>2220</v>
      </c>
      <c r="D78" s="161" t="n">
        <v>83.7</v>
      </c>
      <c r="E78" s="163" t="n">
        <v>25</v>
      </c>
      <c r="F78" s="161" t="n">
        <v>61.5</v>
      </c>
      <c r="G78" s="27" t="n">
        <v>19</v>
      </c>
      <c r="H78" s="164" t="n">
        <v>240</v>
      </c>
      <c r="I78" s="165" t="n">
        <v>36000</v>
      </c>
      <c r="J78" s="165" t="inlineStr">
        <is>
          <t>14</t>
        </is>
      </c>
      <c r="K78" s="165" t="n">
        <v>20000</v>
      </c>
      <c r="L78" s="165" t="inlineStr">
        <is>
          <t>13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만수주공4단지</t>
        </is>
      </c>
      <c r="B79" s="16" t="inlineStr">
        <is>
          <t>'87.07.</t>
        </is>
      </c>
      <c r="C79" s="164" t="n">
        <v>2220</v>
      </c>
      <c r="D79" s="161" t="n">
        <v>88.8</v>
      </c>
      <c r="E79" s="163" t="n">
        <v>27</v>
      </c>
      <c r="F79" s="161" t="n">
        <v>64.59999999999999</v>
      </c>
      <c r="G79" s="27" t="n">
        <v>20</v>
      </c>
      <c r="H79" s="164" t="n">
        <v>720</v>
      </c>
      <c r="I79" s="165" t="n">
        <v>40000</v>
      </c>
      <c r="J79" s="165" t="inlineStr">
        <is>
          <t>14</t>
        </is>
      </c>
      <c r="K79" s="165" t="n">
        <v>16800</v>
      </c>
      <c r="L79" s="165" t="inlineStr">
        <is>
          <t>15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inlineStr">
        <is>
          <t>88A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만수주공4단지</t>
        </is>
      </c>
      <c r="B80" s="16" t="inlineStr">
        <is>
          <t>'87.07.</t>
        </is>
      </c>
      <c r="C80" s="164" t="n">
        <v>2220</v>
      </c>
      <c r="D80" s="161" t="n">
        <v>90.59999999999999</v>
      </c>
      <c r="E80" s="163" t="n">
        <v>27</v>
      </c>
      <c r="F80" s="161" t="n">
        <v>66.59999999999999</v>
      </c>
      <c r="G80" s="27" t="n">
        <v>20</v>
      </c>
      <c r="H80" s="164" t="n">
        <v>120</v>
      </c>
      <c r="I80" s="165" t="n">
        <v>43000</v>
      </c>
      <c r="J80" s="165" t="inlineStr">
        <is>
          <t>12</t>
        </is>
      </c>
      <c r="K80" s="165" t="n">
        <v>21000</v>
      </c>
      <c r="L80" s="165" t="inlineStr">
        <is>
          <t>12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inlineStr">
        <is>
          <t>90C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만수주공4단지</t>
        </is>
      </c>
      <c r="B81" s="16" t="inlineStr">
        <is>
          <t>'87.07.</t>
        </is>
      </c>
      <c r="C81" s="164" t="n">
        <v>2220</v>
      </c>
      <c r="D81" s="161" t="n">
        <v>90.3</v>
      </c>
      <c r="E81" s="163" t="n">
        <v>27</v>
      </c>
      <c r="F81" s="161" t="n">
        <v>66.40000000000001</v>
      </c>
      <c r="G81" s="27" t="n">
        <v>20</v>
      </c>
      <c r="H81" s="164" t="n">
        <v>60</v>
      </c>
      <c r="I81" s="165" t="n">
        <v>37000</v>
      </c>
      <c r="J81" s="165" t="inlineStr">
        <is>
          <t>중</t>
        </is>
      </c>
      <c r="K81" s="165" t="n">
        <v>28000</v>
      </c>
      <c r="L81" s="165" t="inlineStr">
        <is>
          <t>5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inlineStr">
        <is>
          <t>90B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만수주공4단지</t>
        </is>
      </c>
      <c r="B82" s="16" t="inlineStr">
        <is>
          <t>'87.07.</t>
        </is>
      </c>
      <c r="C82" s="164" t="n">
        <v>2220</v>
      </c>
      <c r="D82" s="161" t="n">
        <v>91.59999999999999</v>
      </c>
      <c r="E82" s="163" t="n">
        <v>28</v>
      </c>
      <c r="F82" s="161" t="n">
        <v>67.3</v>
      </c>
      <c r="G82" s="27" t="n">
        <v>20</v>
      </c>
      <c r="H82" s="164" t="n">
        <v>60</v>
      </c>
      <c r="I82" s="165" t="n">
        <v>48000</v>
      </c>
      <c r="J82" s="165" t="inlineStr">
        <is>
          <t>12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91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만수주공4단지</t>
        </is>
      </c>
      <c r="B83" s="16" t="inlineStr">
        <is>
          <t>'87.07.</t>
        </is>
      </c>
      <c r="C83" s="164" t="n">
        <v>2220</v>
      </c>
      <c r="D83" s="161" t="n">
        <v>94.2</v>
      </c>
      <c r="E83" s="163" t="n">
        <v>29</v>
      </c>
      <c r="F83" s="161" t="n">
        <v>75.2</v>
      </c>
      <c r="G83" s="27" t="n">
        <v>23</v>
      </c>
      <c r="H83" s="164" t="n">
        <v>180</v>
      </c>
      <c r="I83" s="165" t="n">
        <v>46000</v>
      </c>
      <c r="J83" s="165" t="inlineStr">
        <is>
          <t>7</t>
        </is>
      </c>
      <c r="K83" s="165" t="n">
        <v>30000</v>
      </c>
      <c r="L83" s="165" t="inlineStr">
        <is>
          <t>6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1</v>
      </c>
      <c r="S83" s="113" t="inlineStr">
        <is>
          <t>계</t>
        </is>
      </c>
      <c r="T83" s="8" t="inlineStr">
        <is>
          <t>94A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만수주공4단지</t>
        </is>
      </c>
      <c r="B84" s="16" t="inlineStr">
        <is>
          <t>'87.07.</t>
        </is>
      </c>
      <c r="C84" s="164" t="n">
        <v>2220</v>
      </c>
      <c r="D84" s="161" t="n">
        <v>94.59999999999999</v>
      </c>
      <c r="E84" s="163" t="n">
        <v>29</v>
      </c>
      <c r="F84" s="161" t="n">
        <v>75.5</v>
      </c>
      <c r="G84" s="27" t="n">
        <v>23</v>
      </c>
      <c r="H84" s="164" t="n">
        <v>180</v>
      </c>
      <c r="I84" s="165" t="n">
        <v>50000</v>
      </c>
      <c r="J84" s="165" t="inlineStr">
        <is>
          <t>12</t>
        </is>
      </c>
      <c r="K84" s="165" t="n">
        <v>26000</v>
      </c>
      <c r="L84" s="165" t="inlineStr">
        <is>
          <t>12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inlineStr">
        <is>
          <t>94B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포레시안</t>
        </is>
      </c>
      <c r="B86" s="16" t="inlineStr">
        <is>
          <t>'11.05.</t>
        </is>
      </c>
      <c r="C86" s="164" t="n">
        <v>3208</v>
      </c>
      <c r="D86" s="161" t="n">
        <v>67.59999999999999</v>
      </c>
      <c r="E86" s="163" t="n">
        <v>20</v>
      </c>
      <c r="F86" s="161" t="n">
        <v>46.4</v>
      </c>
      <c r="G86" s="27" t="n">
        <v>14</v>
      </c>
      <c r="H86" s="164" t="n">
        <v>43</v>
      </c>
      <c r="I86" s="165" t="n">
        <v>29500</v>
      </c>
      <c r="J86" s="165" t="inlineStr">
        <is>
          <t>중</t>
        </is>
      </c>
      <c r="K86" s="165" t="n">
        <v>26000</v>
      </c>
      <c r="L86" s="165" t="inlineStr">
        <is>
          <t>16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복</t>
        </is>
      </c>
      <c r="T86" s="8" t="inlineStr">
        <is>
          <t>67C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포레시안</t>
        </is>
      </c>
      <c r="B87" s="16" t="inlineStr">
        <is>
          <t>'11.05.</t>
        </is>
      </c>
      <c r="C87" s="164" t="n">
        <v>3208</v>
      </c>
      <c r="D87" s="161" t="n">
        <v>68.3</v>
      </c>
      <c r="E87" s="163" t="n">
        <v>21</v>
      </c>
      <c r="F87" s="161" t="n">
        <v>46.9</v>
      </c>
      <c r="G87" s="27" t="n">
        <v>14</v>
      </c>
      <c r="H87" s="164" t="n">
        <v>264</v>
      </c>
      <c r="I87" s="165" t="n">
        <v>31000</v>
      </c>
      <c r="J87" s="165" t="inlineStr">
        <is>
          <t>8</t>
        </is>
      </c>
      <c r="K87" s="165" t="n">
        <v>23000</v>
      </c>
      <c r="L87" s="165" t="inlineStr">
        <is>
          <t>6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복</t>
        </is>
      </c>
      <c r="T87" s="8" t="inlineStr">
        <is>
          <t>68A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포레시안</t>
        </is>
      </c>
      <c r="B88" s="16" t="inlineStr">
        <is>
          <t>'11.05.</t>
        </is>
      </c>
      <c r="C88" s="164" t="n">
        <v>3208</v>
      </c>
      <c r="D88" s="161" t="n">
        <v>68.3</v>
      </c>
      <c r="E88" s="163" t="n">
        <v>21</v>
      </c>
      <c r="F88" s="161" t="n">
        <v>46.9</v>
      </c>
      <c r="G88" s="27" t="n">
        <v>14</v>
      </c>
      <c r="H88" s="164" t="n">
        <v>100</v>
      </c>
      <c r="I88" s="165" t="n">
        <v>31000</v>
      </c>
      <c r="J88" s="165" t="inlineStr">
        <is>
          <t>8</t>
        </is>
      </c>
      <c r="K88" s="165" t="n">
        <v>23000</v>
      </c>
      <c r="L88" s="165" t="inlineStr">
        <is>
          <t>6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복</t>
        </is>
      </c>
      <c r="T88" s="8" t="inlineStr">
        <is>
          <t>68B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포레시안</t>
        </is>
      </c>
      <c r="B89" s="16" t="inlineStr">
        <is>
          <t>'11.05.</t>
        </is>
      </c>
      <c r="C89" s="164" t="n">
        <v>3208</v>
      </c>
      <c r="D89" s="161" t="n">
        <v>83.40000000000001</v>
      </c>
      <c r="E89" s="163" t="n">
        <v>25</v>
      </c>
      <c r="F89" s="161" t="n">
        <v>59.8</v>
      </c>
      <c r="G89" s="27" t="n">
        <v>18</v>
      </c>
      <c r="H89" s="164" t="n">
        <v>222</v>
      </c>
      <c r="I89" s="165" t="n">
        <v>39000</v>
      </c>
      <c r="J89" s="165" t="inlineStr">
        <is>
          <t>5</t>
        </is>
      </c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83C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포레시안</t>
        </is>
      </c>
      <c r="B90" s="16" t="inlineStr">
        <is>
          <t>'11.05.</t>
        </is>
      </c>
      <c r="C90" s="164" t="n">
        <v>3208</v>
      </c>
      <c r="D90" s="161" t="n">
        <v>83.3</v>
      </c>
      <c r="E90" s="163" t="n">
        <v>25</v>
      </c>
      <c r="F90" s="161" t="n">
        <v>59.7</v>
      </c>
      <c r="G90" s="27" t="n">
        <v>18</v>
      </c>
      <c r="H90" s="164" t="n">
        <v>218</v>
      </c>
      <c r="I90" s="165" t="n">
        <v>39000</v>
      </c>
      <c r="J90" s="165" t="inlineStr">
        <is>
          <t>중</t>
        </is>
      </c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83D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포레시안</t>
        </is>
      </c>
      <c r="B91" s="16" t="inlineStr">
        <is>
          <t>'11.05.</t>
        </is>
      </c>
      <c r="C91" s="164" t="n">
        <v>3208</v>
      </c>
      <c r="D91" s="161" t="n">
        <v>83.40000000000001</v>
      </c>
      <c r="E91" s="163" t="n">
        <v>25</v>
      </c>
      <c r="F91" s="161" t="n">
        <v>59.8</v>
      </c>
      <c r="G91" s="27" t="n">
        <v>18</v>
      </c>
      <c r="H91" s="164" t="n">
        <v>22</v>
      </c>
      <c r="I91" s="165" t="n">
        <v>39000</v>
      </c>
      <c r="J91" s="165" t="inlineStr">
        <is>
          <t>5</t>
        </is>
      </c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83C1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포레시안</t>
        </is>
      </c>
      <c r="B92" s="16" t="inlineStr">
        <is>
          <t>'11.05.</t>
        </is>
      </c>
      <c r="C92" s="164" t="n">
        <v>3208</v>
      </c>
      <c r="D92" s="161" t="n">
        <v>85.3</v>
      </c>
      <c r="E92" s="163" t="n">
        <v>26</v>
      </c>
      <c r="F92" s="161" t="n">
        <v>59.7</v>
      </c>
      <c r="G92" s="27" t="n">
        <v>18</v>
      </c>
      <c r="H92" s="164" t="n">
        <v>359</v>
      </c>
      <c r="I92" s="165" t="n">
        <v>41000</v>
      </c>
      <c r="J92" s="165" t="inlineStr">
        <is>
          <t>16</t>
        </is>
      </c>
      <c r="K92" s="165" t="n">
        <v>31000</v>
      </c>
      <c r="L92" s="165" t="inlineStr">
        <is>
          <t>13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85A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포레시안</t>
        </is>
      </c>
      <c r="B93" s="16" t="inlineStr">
        <is>
          <t>'11.05.</t>
        </is>
      </c>
      <c r="C93" s="164" t="n">
        <v>3208</v>
      </c>
      <c r="D93" s="161" t="n">
        <v>85.09999999999999</v>
      </c>
      <c r="E93" s="163" t="n">
        <v>26</v>
      </c>
      <c r="F93" s="161" t="n">
        <v>59.6</v>
      </c>
      <c r="G93" s="27" t="n">
        <v>18</v>
      </c>
      <c r="H93" s="164" t="n">
        <v>25</v>
      </c>
      <c r="I93" s="165" t="n">
        <v>46000</v>
      </c>
      <c r="J93" s="165" t="inlineStr">
        <is>
          <t>25</t>
        </is>
      </c>
      <c r="K93" s="165" t="n">
        <v>28000</v>
      </c>
      <c r="L93" s="165" t="inlineStr">
        <is>
          <t>중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85B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포레시안</t>
        </is>
      </c>
      <c r="B94" s="16" t="inlineStr">
        <is>
          <t>'11.05.</t>
        </is>
      </c>
      <c r="C94" s="164" t="n">
        <v>3208</v>
      </c>
      <c r="D94" s="161" t="n">
        <v>100</v>
      </c>
      <c r="E94" s="163" t="n">
        <v>30</v>
      </c>
      <c r="F94" s="161" t="n">
        <v>74.90000000000001</v>
      </c>
      <c r="G94" s="27" t="n">
        <v>23</v>
      </c>
      <c r="H94" s="164" t="n">
        <v>212</v>
      </c>
      <c r="I94" s="165" t="n">
        <v>47000</v>
      </c>
      <c r="J94" s="165" t="inlineStr">
        <is>
          <t>8</t>
        </is>
      </c>
      <c r="K94" s="165" t="n">
        <v>40000</v>
      </c>
      <c r="L94" s="165" t="inlineStr">
        <is>
          <t>21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포레시안</t>
        </is>
      </c>
      <c r="B95" s="16" t="inlineStr">
        <is>
          <t>'11.05.</t>
        </is>
      </c>
      <c r="C95" s="164" t="n">
        <v>3208</v>
      </c>
      <c r="D95" s="161" t="n">
        <v>109</v>
      </c>
      <c r="E95" s="163" t="n">
        <v>33</v>
      </c>
      <c r="F95" s="161" t="n">
        <v>84.40000000000001</v>
      </c>
      <c r="G95" s="27" t="n">
        <v>26</v>
      </c>
      <c r="H95" s="164" t="n">
        <v>558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109D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포레시안</t>
        </is>
      </c>
      <c r="B96" s="16" t="inlineStr">
        <is>
          <t>'11.05.</t>
        </is>
      </c>
      <c r="C96" s="164" t="n">
        <v>3208</v>
      </c>
      <c r="D96" s="161" t="n">
        <v>109.8</v>
      </c>
      <c r="E96" s="163" t="n">
        <v>33</v>
      </c>
      <c r="F96" s="161" t="n">
        <v>84.90000000000001</v>
      </c>
      <c r="G96" s="27" t="n">
        <v>26</v>
      </c>
      <c r="H96" s="164" t="n">
        <v>544</v>
      </c>
      <c r="I96" s="165" t="n">
        <v>49000</v>
      </c>
      <c r="J96" s="165" t="inlineStr">
        <is>
          <t>7</t>
        </is>
      </c>
      <c r="K96" s="165" t="n">
        <v>32000</v>
      </c>
      <c r="L96" s="165" t="inlineStr">
        <is>
          <t>중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109E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포레시안</t>
        </is>
      </c>
      <c r="B97" s="16" t="inlineStr">
        <is>
          <t>'11.05.</t>
        </is>
      </c>
      <c r="C97" s="164" t="n">
        <v>3208</v>
      </c>
      <c r="D97" s="161" t="n">
        <v>109</v>
      </c>
      <c r="E97" s="163" t="n">
        <v>33</v>
      </c>
      <c r="F97" s="161" t="n">
        <v>84.40000000000001</v>
      </c>
      <c r="G97" s="27" t="n">
        <v>26</v>
      </c>
      <c r="H97" s="164" t="n">
        <v>42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109D1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포레시안</t>
        </is>
      </c>
      <c r="B98" s="16" t="inlineStr">
        <is>
          <t>'11.05.</t>
        </is>
      </c>
      <c r="C98" s="164" t="n">
        <v>3208</v>
      </c>
      <c r="D98" s="161" t="n">
        <v>111.6</v>
      </c>
      <c r="E98" s="163" t="n">
        <v>34</v>
      </c>
      <c r="F98" s="161" t="n">
        <v>74.8</v>
      </c>
      <c r="G98" s="27" t="n">
        <v>23</v>
      </c>
      <c r="H98" s="164" t="n">
        <v>12</v>
      </c>
      <c r="I98" s="165" t="n">
        <v>70000</v>
      </c>
      <c r="J98" s="165" t="inlineStr">
        <is>
          <t>중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111T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포레시안</t>
        </is>
      </c>
      <c r="B99" s="16" t="inlineStr">
        <is>
          <t>'11.05.</t>
        </is>
      </c>
      <c r="C99" s="164" t="n">
        <v>3208</v>
      </c>
      <c r="D99" s="161" t="n">
        <v>112.9</v>
      </c>
      <c r="E99" s="163" t="n">
        <v>34</v>
      </c>
      <c r="F99" s="161" t="n">
        <v>85</v>
      </c>
      <c r="G99" s="27" t="n">
        <v>26</v>
      </c>
      <c r="H99" s="164" t="n">
        <v>236</v>
      </c>
      <c r="I99" s="165" t="n">
        <v>56000</v>
      </c>
      <c r="J99" s="165" t="inlineStr">
        <is>
          <t>16</t>
        </is>
      </c>
      <c r="K99" s="165" t="n">
        <v>35000</v>
      </c>
      <c r="L99" s="165" t="inlineStr">
        <is>
          <t>5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112A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포레시안</t>
        </is>
      </c>
      <c r="B100" s="16" t="inlineStr">
        <is>
          <t>'11.05.</t>
        </is>
      </c>
      <c r="C100" s="164" t="n">
        <v>3208</v>
      </c>
      <c r="D100" s="161" t="n">
        <v>112.9</v>
      </c>
      <c r="E100" s="163" t="n">
        <v>34</v>
      </c>
      <c r="F100" s="161" t="n">
        <v>85</v>
      </c>
      <c r="G100" s="27" t="n">
        <v>26</v>
      </c>
      <c r="H100" s="164" t="n">
        <v>76</v>
      </c>
      <c r="I100" s="165" t="n">
        <v>56000</v>
      </c>
      <c r="J100" s="165" t="inlineStr">
        <is>
          <t>16</t>
        </is>
      </c>
      <c r="K100" s="165" t="n">
        <v>35000</v>
      </c>
      <c r="L100" s="165" t="inlineStr">
        <is>
          <t>5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112B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포레시안</t>
        </is>
      </c>
      <c r="B101" s="16" t="inlineStr">
        <is>
          <t>'11.05.</t>
        </is>
      </c>
      <c r="C101" s="164" t="n">
        <v>3208</v>
      </c>
      <c r="D101" s="161" t="n">
        <v>112.7</v>
      </c>
      <c r="E101" s="163" t="n">
        <v>34</v>
      </c>
      <c r="F101" s="161" t="n">
        <v>84.8</v>
      </c>
      <c r="G101" s="27" t="n">
        <v>26</v>
      </c>
      <c r="H101" s="164" t="n">
        <v>29</v>
      </c>
      <c r="I101" s="165" t="n">
        <v>58000</v>
      </c>
      <c r="J101" s="165" t="inlineStr">
        <is>
          <t>13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112C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포레시안</t>
        </is>
      </c>
      <c r="B102" s="16" t="inlineStr">
        <is>
          <t>'11.05.</t>
        </is>
      </c>
      <c r="C102" s="164" t="n">
        <v>3208</v>
      </c>
      <c r="D102" s="161" t="n">
        <v>113.6</v>
      </c>
      <c r="E102" s="163" t="n">
        <v>34</v>
      </c>
      <c r="F102" s="161" t="n">
        <v>84.90000000000001</v>
      </c>
      <c r="G102" s="27" t="n">
        <v>26</v>
      </c>
      <c r="H102" s="164" t="n">
        <v>4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113T-1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포레시안</t>
        </is>
      </c>
      <c r="B103" s="16" t="inlineStr">
        <is>
          <t>'11.05.</t>
        </is>
      </c>
      <c r="C103" s="164" t="n">
        <v>3208</v>
      </c>
      <c r="D103" s="161" t="n">
        <v>144.2</v>
      </c>
      <c r="E103" s="163" t="n">
        <v>44</v>
      </c>
      <c r="F103" s="161" t="n">
        <v>114</v>
      </c>
      <c r="G103" s="27" t="n">
        <v>34</v>
      </c>
      <c r="H103" s="164" t="n">
        <v>204</v>
      </c>
      <c r="I103" s="165" t="n">
        <v>69000</v>
      </c>
      <c r="J103" s="165" t="inlineStr">
        <is>
          <t>고</t>
        </is>
      </c>
      <c r="K103" s="165" t="n">
        <v>46000</v>
      </c>
      <c r="L103" s="165" t="inlineStr">
        <is>
          <t>중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144A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포레시안</t>
        </is>
      </c>
      <c r="B104" s="16" t="inlineStr">
        <is>
          <t>'11.05.</t>
        </is>
      </c>
      <c r="C104" s="164" t="n">
        <v>3208</v>
      </c>
      <c r="D104" s="161" t="n">
        <v>145</v>
      </c>
      <c r="E104" s="163" t="n">
        <v>44</v>
      </c>
      <c r="F104" s="161" t="n">
        <v>114.6</v>
      </c>
      <c r="G104" s="27" t="n">
        <v>35</v>
      </c>
      <c r="H104" s="164" t="n">
        <v>38</v>
      </c>
      <c r="I104" s="165" t="n">
        <v>65000</v>
      </c>
      <c r="J104" s="165" t="inlineStr">
        <is>
          <t>중</t>
        </is>
      </c>
      <c r="K104" s="165" t="n">
        <v>55000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144B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향촌휴먼시아2단지</t>
        </is>
      </c>
      <c r="B106" s="16" t="inlineStr">
        <is>
          <t>'12.05.</t>
        </is>
      </c>
      <c r="C106" s="164" t="n">
        <v>438</v>
      </c>
      <c r="D106" s="161" t="n">
        <v>53.3</v>
      </c>
      <c r="E106" s="163" t="n">
        <v>16</v>
      </c>
      <c r="F106" s="161" t="n">
        <v>39.8</v>
      </c>
      <c r="G106" s="27" t="n">
        <v>12</v>
      </c>
      <c r="H106" s="164" t="n">
        <v>42</v>
      </c>
      <c r="I106" s="165" t="n">
        <v>28000</v>
      </c>
      <c r="J106" s="165" t="inlineStr">
        <is>
          <t>9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2</v>
      </c>
      <c r="R106" s="113" t="n">
        <v>1</v>
      </c>
      <c r="S106" s="113" t="inlineStr">
        <is>
          <t>계</t>
        </is>
      </c>
      <c r="T106" s="8" t="n">
        <v>53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향촌휴먼시아2단지</t>
        </is>
      </c>
      <c r="B107" s="16" t="inlineStr">
        <is>
          <t>'12.05.</t>
        </is>
      </c>
      <c r="C107" s="164" t="n">
        <v>438</v>
      </c>
      <c r="D107" s="161" t="n">
        <v>79.5</v>
      </c>
      <c r="E107" s="163" t="n">
        <v>24</v>
      </c>
      <c r="F107" s="161" t="n">
        <v>60</v>
      </c>
      <c r="G107" s="27" t="n">
        <v>18</v>
      </c>
      <c r="H107" s="164" t="n">
        <v>48</v>
      </c>
      <c r="I107" s="165" t="n">
        <v>40000</v>
      </c>
      <c r="J107" s="165" t="inlineStr">
        <is>
          <t>중</t>
        </is>
      </c>
      <c r="K107" s="165" t="n">
        <v>30000</v>
      </c>
      <c r="L107" s="165" t="inlineStr">
        <is>
          <t>12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79A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향촌휴먼시아2단지</t>
        </is>
      </c>
      <c r="B108" s="16" t="inlineStr">
        <is>
          <t>'12.05.</t>
        </is>
      </c>
      <c r="C108" s="164" t="n">
        <v>438</v>
      </c>
      <c r="D108" s="161" t="n">
        <v>79.90000000000001</v>
      </c>
      <c r="E108" s="163" t="n">
        <v>24</v>
      </c>
      <c r="F108" s="161" t="n">
        <v>59.9</v>
      </c>
      <c r="G108" s="27" t="n">
        <v>18</v>
      </c>
      <c r="H108" s="164" t="n">
        <v>20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79B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향촌휴먼시아2단지</t>
        </is>
      </c>
      <c r="B109" s="16" t="inlineStr">
        <is>
          <t>'12.05.</t>
        </is>
      </c>
      <c r="C109" s="164" t="n">
        <v>438</v>
      </c>
      <c r="D109" s="161" t="n">
        <v>110.6</v>
      </c>
      <c r="E109" s="163" t="n">
        <v>33</v>
      </c>
      <c r="F109" s="161" t="n">
        <v>84.8</v>
      </c>
      <c r="G109" s="27" t="n">
        <v>26</v>
      </c>
      <c r="H109" s="164" t="n">
        <v>138</v>
      </c>
      <c r="I109" s="165" t="n">
        <v>48000</v>
      </c>
      <c r="J109" s="165" t="inlineStr">
        <is>
          <t>12</t>
        </is>
      </c>
      <c r="K109" s="165" t="n">
        <v>35000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110B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향촌휴먼시아2단지</t>
        </is>
      </c>
      <c r="B110" s="16" t="inlineStr">
        <is>
          <t>'12.05.</t>
        </is>
      </c>
      <c r="C110" s="164" t="n">
        <v>438</v>
      </c>
      <c r="D110" s="161" t="n">
        <v>112.2</v>
      </c>
      <c r="E110" s="163" t="n">
        <v>34</v>
      </c>
      <c r="F110" s="161" t="n">
        <v>85</v>
      </c>
      <c r="G110" s="27" t="n">
        <v>26</v>
      </c>
      <c r="H110" s="164" t="n">
        <v>186</v>
      </c>
      <c r="I110" s="165" t="n">
        <v>45000</v>
      </c>
      <c r="J110" s="165" t="inlineStr">
        <is>
          <t>5</t>
        </is>
      </c>
      <c r="K110" s="165" t="n">
        <v>33000</v>
      </c>
      <c r="L110" s="165" t="inlineStr">
        <is>
          <t>13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112A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향촌휴먼시아2단지</t>
        </is>
      </c>
      <c r="B111" s="16" t="inlineStr">
        <is>
          <t>'12.05.</t>
        </is>
      </c>
      <c r="C111" s="164" t="n">
        <v>438</v>
      </c>
      <c r="D111" s="161" t="n">
        <v>114.1</v>
      </c>
      <c r="E111" s="163" t="n">
        <v>35</v>
      </c>
      <c r="F111" s="161" t="n">
        <v>84.90000000000001</v>
      </c>
      <c r="G111" s="27" t="n">
        <v>26</v>
      </c>
      <c r="H111" s="164" t="n">
        <v>4</v>
      </c>
      <c r="I111" s="165" t="n">
        <v>73000</v>
      </c>
      <c r="J111" s="165" t="inlineStr">
        <is>
          <t>24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114C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삼익</t>
        </is>
      </c>
      <c r="B113" s="16" t="inlineStr">
        <is>
          <t>'92.08.</t>
        </is>
      </c>
      <c r="C113" s="164" t="n">
        <v>256</v>
      </c>
      <c r="D113" s="161" t="n">
        <v>156.9</v>
      </c>
      <c r="E113" s="163" t="n">
        <v>47</v>
      </c>
      <c r="F113" s="161" t="n">
        <v>132.8</v>
      </c>
      <c r="G113" s="27" t="n">
        <v>40</v>
      </c>
      <c r="H113" s="164" t="n">
        <v>192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n">
        <v>156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삼익</t>
        </is>
      </c>
      <c r="B114" s="16" t="inlineStr">
        <is>
          <t>'92.08.</t>
        </is>
      </c>
      <c r="C114" s="164" t="n">
        <v>256</v>
      </c>
      <c r="D114" s="161" t="n">
        <v>189.8</v>
      </c>
      <c r="E114" s="163" t="n">
        <v>57</v>
      </c>
      <c r="F114" s="161" t="n">
        <v>164.1</v>
      </c>
      <c r="G114" s="27" t="n">
        <v>50</v>
      </c>
      <c r="H114" s="164" t="n">
        <v>64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5</v>
      </c>
      <c r="R114" s="113" t="n">
        <v>2</v>
      </c>
      <c r="S114" s="113" t="inlineStr">
        <is>
          <t>계</t>
        </is>
      </c>
      <c r="T114" s="8" t="n">
        <v>189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신동아</t>
        </is>
      </c>
      <c r="B116" s="16" t="inlineStr">
        <is>
          <t>'90.10.</t>
        </is>
      </c>
      <c r="C116" s="164" t="n">
        <v>750</v>
      </c>
      <c r="D116" s="161" t="n">
        <v>81.3</v>
      </c>
      <c r="E116" s="163" t="n">
        <v>25</v>
      </c>
      <c r="F116" s="161" t="n">
        <v>67</v>
      </c>
      <c r="G116" s="27" t="n">
        <v>20</v>
      </c>
      <c r="H116" s="164" t="n">
        <v>209</v>
      </c>
      <c r="I116" s="165" t="n">
        <v>26000</v>
      </c>
      <c r="J116" s="165" t="inlineStr">
        <is>
          <t>7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신동아</t>
        </is>
      </c>
      <c r="B117" s="16" t="inlineStr">
        <is>
          <t>'90.10.</t>
        </is>
      </c>
      <c r="C117" s="164" t="n">
        <v>750</v>
      </c>
      <c r="D117" s="161" t="n">
        <v>81.90000000000001</v>
      </c>
      <c r="E117" s="163" t="n">
        <v>25</v>
      </c>
      <c r="F117" s="161" t="n">
        <v>67</v>
      </c>
      <c r="G117" s="27" t="n">
        <v>20</v>
      </c>
      <c r="H117" s="164" t="n">
        <v>1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신동아</t>
        </is>
      </c>
      <c r="B118" s="16" t="inlineStr">
        <is>
          <t>'90.10.</t>
        </is>
      </c>
      <c r="C118" s="164" t="n">
        <v>750</v>
      </c>
      <c r="D118" s="161" t="n">
        <v>89.8</v>
      </c>
      <c r="E118" s="163" t="n">
        <v>27</v>
      </c>
      <c r="F118" s="161" t="n">
        <v>74.90000000000001</v>
      </c>
      <c r="G118" s="27" t="n">
        <v>23</v>
      </c>
      <c r="H118" s="164" t="n">
        <v>210</v>
      </c>
      <c r="I118" s="165" t="n">
        <v>31000</v>
      </c>
      <c r="J118" s="165" t="inlineStr">
        <is>
          <t>14</t>
        </is>
      </c>
      <c r="K118" s="165" t="n">
        <v>25000</v>
      </c>
      <c r="L118" s="165" t="inlineStr">
        <is>
          <t>13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n">
        <v>89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신동아</t>
        </is>
      </c>
      <c r="B119" s="16" t="inlineStr">
        <is>
          <t>'90.10.</t>
        </is>
      </c>
      <c r="C119" s="164" t="n">
        <v>750</v>
      </c>
      <c r="D119" s="161" t="n">
        <v>101.7</v>
      </c>
      <c r="E119" s="163" t="n">
        <v>31</v>
      </c>
      <c r="F119" s="161" t="n">
        <v>84.90000000000001</v>
      </c>
      <c r="G119" s="27" t="n">
        <v>26</v>
      </c>
      <c r="H119" s="164" t="n">
        <v>270</v>
      </c>
      <c r="I119" s="165" t="n">
        <v>33000</v>
      </c>
      <c r="J119" s="165" t="inlineStr">
        <is>
          <t>고</t>
        </is>
      </c>
      <c r="K119" s="165" t="n">
        <v>27000</v>
      </c>
      <c r="L119" s="165" t="inlineStr">
        <is>
          <t>6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101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신동아</t>
        </is>
      </c>
      <c r="B120" s="16" t="inlineStr">
        <is>
          <t>'90.10.</t>
        </is>
      </c>
      <c r="C120" s="164" t="n">
        <v>750</v>
      </c>
      <c r="D120" s="161" t="n">
        <v>150.9</v>
      </c>
      <c r="E120" s="163" t="n">
        <v>46</v>
      </c>
      <c r="F120" s="161" t="n">
        <v>131.3</v>
      </c>
      <c r="G120" s="27" t="n">
        <v>40</v>
      </c>
      <c r="H120" s="164" t="n">
        <v>60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n">
        <v>150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n"/>
      <c r="B121" s="113" t="n"/>
      <c r="C121" s="10" t="n"/>
      <c r="D121" s="13" t="n"/>
      <c r="E121" s="20" t="n"/>
      <c r="F121" s="161" t="n"/>
      <c r="G121" s="13" t="n"/>
      <c r="H121" s="13" t="n"/>
      <c r="I121" s="13" t="n"/>
      <c r="J121" s="13" t="n"/>
      <c r="K121" s="13" t="n"/>
      <c r="L121" s="13" t="n"/>
      <c r="M121" s="13" t="n"/>
      <c r="N121" s="13" t="n"/>
      <c r="O121" s="162" t="n"/>
      <c r="P121" s="162" t="n"/>
      <c r="Q121" s="163" t="n"/>
      <c r="R121" s="163" t="n"/>
      <c r="S121" s="13" t="n"/>
      <c r="T121" s="70" t="n"/>
      <c r="U121" s="13" t="n"/>
      <c r="W121" s="107">
        <f>$A$4&amp;" "&amp;A122&amp;"("&amp;B122&amp;","&amp;C122&amp;"^)"</f>
        <v/>
      </c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9" t="n"/>
      <c r="AH121" s="36">
        <f>IF(A121="","",A121)</f>
        <v/>
      </c>
      <c r="AI121" s="160">
        <f>IF(E121="","",E121)</f>
        <v/>
      </c>
      <c r="AJ121" s="113" t="n"/>
      <c r="AK121" s="113" t="n"/>
      <c r="AL121" s="113" t="n"/>
      <c r="AM121" s="113" t="n"/>
      <c r="AN121" s="113" t="n"/>
      <c r="AO121" s="113" t="n"/>
      <c r="AP121" s="113" t="n"/>
      <c r="AQ121" s="113" t="n"/>
      <c r="AR121" s="113" t="n"/>
      <c r="AS121" s="113" t="n"/>
      <c r="AT121" s="113" t="n"/>
      <c r="AU121" s="113" t="n"/>
      <c r="AV121" s="113" t="n"/>
    </row>
    <row r="122">
      <c r="A122" s="13" t="inlineStr">
        <is>
          <t>만수주공8단지</t>
        </is>
      </c>
      <c r="B122" s="16" t="inlineStr">
        <is>
          <t>'90.12.</t>
        </is>
      </c>
      <c r="C122" s="164" t="n">
        <v>1440</v>
      </c>
      <c r="D122" s="161" t="n">
        <v>50.4</v>
      </c>
      <c r="E122" s="163" t="n">
        <v>15</v>
      </c>
      <c r="F122" s="161" t="n">
        <v>38.6</v>
      </c>
      <c r="G122" s="27" t="n">
        <v>12</v>
      </c>
      <c r="H122" s="164" t="n">
        <v>960</v>
      </c>
      <c r="I122" s="165" t="n">
        <v>18000</v>
      </c>
      <c r="J122" s="165" t="inlineStr">
        <is>
          <t>14</t>
        </is>
      </c>
      <c r="K122" s="165" t="n">
        <v>13000</v>
      </c>
      <c r="L122" s="165" t="inlineStr">
        <is>
          <t>14</t>
        </is>
      </c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2</v>
      </c>
      <c r="R122" s="113" t="n">
        <v>1</v>
      </c>
      <c r="S122" s="113" t="inlineStr">
        <is>
          <t>복</t>
        </is>
      </c>
      <c r="T122" s="8" t="n">
        <v>50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만수주공8단지</t>
        </is>
      </c>
      <c r="B123" s="16" t="inlineStr">
        <is>
          <t>'90.12.</t>
        </is>
      </c>
      <c r="C123" s="164" t="n">
        <v>1440</v>
      </c>
      <c r="D123" s="161" t="n">
        <v>58.6</v>
      </c>
      <c r="E123" s="163" t="n">
        <v>18</v>
      </c>
      <c r="F123" s="161" t="n">
        <v>44.9</v>
      </c>
      <c r="G123" s="27" t="n">
        <v>14</v>
      </c>
      <c r="H123" s="164" t="n">
        <v>477</v>
      </c>
      <c r="I123" s="165" t="n">
        <v>22500</v>
      </c>
      <c r="J123" s="165" t="inlineStr">
        <is>
          <t>15</t>
        </is>
      </c>
      <c r="K123" s="165" t="n">
        <v>15000</v>
      </c>
      <c r="L123" s="165" t="inlineStr">
        <is>
          <t>11</t>
        </is>
      </c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2</v>
      </c>
      <c r="R123" s="113" t="n">
        <v>1</v>
      </c>
      <c r="S123" s="113" t="inlineStr">
        <is>
          <t>복</t>
        </is>
      </c>
      <c r="T123" s="8" t="inlineStr">
        <is>
          <t>58C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만수주공8단지</t>
        </is>
      </c>
      <c r="B124" s="16" t="inlineStr">
        <is>
          <t>'90.12.</t>
        </is>
      </c>
      <c r="C124" s="164" t="n">
        <v>1440</v>
      </c>
      <c r="D124" s="161" t="n">
        <v>58.3</v>
      </c>
      <c r="E124" s="163" t="n">
        <v>18</v>
      </c>
      <c r="F124" s="161" t="n">
        <v>44.6</v>
      </c>
      <c r="G124" s="27" t="n">
        <v>14</v>
      </c>
      <c r="H124" s="164" t="n">
        <v>2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2</v>
      </c>
      <c r="R124" s="113" t="n">
        <v>1</v>
      </c>
      <c r="S124" s="113" t="inlineStr">
        <is>
          <t>계</t>
        </is>
      </c>
      <c r="T124" s="8" t="inlineStr">
        <is>
          <t>58A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만수주공8단지</t>
        </is>
      </c>
      <c r="B125" s="16" t="inlineStr">
        <is>
          <t>'90.12.</t>
        </is>
      </c>
      <c r="C125" s="164" t="n">
        <v>1440</v>
      </c>
      <c r="D125" s="161" t="n">
        <v>58.3</v>
      </c>
      <c r="E125" s="163" t="n">
        <v>18</v>
      </c>
      <c r="F125" s="161" t="n">
        <v>44.7</v>
      </c>
      <c r="G125" s="27" t="n">
        <v>14</v>
      </c>
      <c r="H125" s="164" t="n">
        <v>1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2</v>
      </c>
      <c r="R125" s="113" t="n">
        <v>1</v>
      </c>
      <c r="S125" s="113" t="inlineStr">
        <is>
          <t>계</t>
        </is>
      </c>
      <c r="T125" s="8" t="inlineStr">
        <is>
          <t>58B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대동(1018)</t>
        </is>
      </c>
      <c r="B127" s="16" t="inlineStr">
        <is>
          <t>'92.04.</t>
        </is>
      </c>
      <c r="C127" s="164" t="n">
        <v>560</v>
      </c>
      <c r="D127" s="161" t="n">
        <v>84.2</v>
      </c>
      <c r="E127" s="163" t="n">
        <v>25</v>
      </c>
      <c r="F127" s="161" t="n">
        <v>63.2</v>
      </c>
      <c r="G127" s="27" t="n">
        <v>19</v>
      </c>
      <c r="H127" s="164" t="n">
        <v>96</v>
      </c>
      <c r="I127" s="165" t="n">
        <v>30000</v>
      </c>
      <c r="J127" s="165" t="inlineStr">
        <is>
          <t>14</t>
        </is>
      </c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2</v>
      </c>
      <c r="R127" s="113" t="n">
        <v>1</v>
      </c>
      <c r="S127" s="113" t="inlineStr">
        <is>
          <t>복</t>
        </is>
      </c>
      <c r="T127" s="8" t="n">
        <v>84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대동(1018)</t>
        </is>
      </c>
      <c r="B128" s="16" t="inlineStr">
        <is>
          <t>'92.04.</t>
        </is>
      </c>
      <c r="C128" s="164" t="n">
        <v>560</v>
      </c>
      <c r="D128" s="161" t="n">
        <v>103.4</v>
      </c>
      <c r="E128" s="163" t="n">
        <v>31</v>
      </c>
      <c r="F128" s="161" t="n">
        <v>84.59999999999999</v>
      </c>
      <c r="G128" s="27" t="n">
        <v>26</v>
      </c>
      <c r="H128" s="164" t="n">
        <v>464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n">
        <v>103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n"/>
      <c r="B129" s="113" t="n"/>
      <c r="C129" s="10" t="n"/>
      <c r="D129" s="13" t="n"/>
      <c r="E129" s="20" t="n"/>
      <c r="F129" s="161" t="n"/>
      <c r="G129" s="13" t="n"/>
      <c r="H129" s="13" t="n"/>
      <c r="I129" s="13" t="n"/>
      <c r="J129" s="13" t="n"/>
      <c r="K129" s="13" t="n"/>
      <c r="L129" s="13" t="n"/>
      <c r="M129" s="13" t="n"/>
      <c r="N129" s="13" t="n"/>
      <c r="O129" s="162" t="n"/>
      <c r="P129" s="162" t="n"/>
      <c r="Q129" s="163" t="n"/>
      <c r="R129" s="163" t="n"/>
      <c r="S129" s="13" t="n"/>
      <c r="T129" s="70" t="n"/>
      <c r="U129" s="13" t="n"/>
      <c r="W129" s="107">
        <f>$A$4&amp;" "&amp;A130&amp;"("&amp;B130&amp;","&amp;C130&amp;"^)"</f>
        <v/>
      </c>
      <c r="X129" s="108" t="n"/>
      <c r="Y129" s="108" t="n"/>
      <c r="Z129" s="108" t="n"/>
      <c r="AA129" s="108" t="n"/>
      <c r="AB129" s="108" t="n"/>
      <c r="AC129" s="108" t="n"/>
      <c r="AD129" s="108" t="n"/>
      <c r="AE129" s="108" t="n"/>
      <c r="AF129" s="109" t="n"/>
      <c r="AH129" s="36">
        <f>IF(A129="","",A129)</f>
        <v/>
      </c>
      <c r="AI129" s="160">
        <f>IF(E129="","",E129)</f>
        <v/>
      </c>
      <c r="AJ129" s="113" t="n"/>
      <c r="AK129" s="113" t="n"/>
      <c r="AL129" s="113" t="n"/>
      <c r="AM129" s="113" t="n"/>
      <c r="AN129" s="113" t="n"/>
      <c r="AO129" s="113" t="n"/>
      <c r="AP129" s="113" t="n"/>
      <c r="AQ129" s="113" t="n"/>
      <c r="AR129" s="113" t="n"/>
      <c r="AS129" s="113" t="n"/>
      <c r="AT129" s="113" t="n"/>
      <c r="AU129" s="113" t="n"/>
      <c r="AV129" s="113" t="n"/>
    </row>
    <row r="130">
      <c r="A130" s="13" t="inlineStr">
        <is>
          <t>금호타운</t>
        </is>
      </c>
      <c r="B130" s="16" t="inlineStr">
        <is>
          <t>'92.10.</t>
        </is>
      </c>
      <c r="C130" s="164" t="n">
        <v>414</v>
      </c>
      <c r="D130" s="161" t="n">
        <v>122.4</v>
      </c>
      <c r="E130" s="163" t="n">
        <v>37</v>
      </c>
      <c r="F130" s="161" t="n">
        <v>101.9</v>
      </c>
      <c r="G130" s="27" t="n">
        <v>31</v>
      </c>
      <c r="H130" s="164" t="n">
        <v>148</v>
      </c>
      <c r="I130" s="165" t="n">
        <v>50000</v>
      </c>
      <c r="J130" s="165" t="inlineStr">
        <is>
          <t>11</t>
        </is>
      </c>
      <c r="K130" s="165" t="n">
        <v>40000</v>
      </c>
      <c r="L130" s="165" t="inlineStr">
        <is>
          <t>11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2</v>
      </c>
      <c r="S130" s="113" t="inlineStr">
        <is>
          <t>계</t>
        </is>
      </c>
      <c r="T130" s="8" t="n">
        <v>122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금호타운</t>
        </is>
      </c>
      <c r="B131" s="16" t="inlineStr">
        <is>
          <t>'92.10.</t>
        </is>
      </c>
      <c r="C131" s="164" t="n">
        <v>414</v>
      </c>
      <c r="D131" s="161" t="n">
        <v>146.2</v>
      </c>
      <c r="E131" s="163" t="n">
        <v>44</v>
      </c>
      <c r="F131" s="161" t="n">
        <v>124.1</v>
      </c>
      <c r="G131" s="27" t="n">
        <v>38</v>
      </c>
      <c r="H131" s="164" t="n">
        <v>190</v>
      </c>
      <c r="I131" s="165" t="n"/>
      <c r="J131" s="165" t="n"/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146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금호타운</t>
        </is>
      </c>
      <c r="B132" s="16" t="inlineStr">
        <is>
          <t>'92.10.</t>
        </is>
      </c>
      <c r="C132" s="164" t="n">
        <v>414</v>
      </c>
      <c r="D132" s="161" t="n">
        <v>165.6</v>
      </c>
      <c r="E132" s="163" t="n">
        <v>50</v>
      </c>
      <c r="F132" s="161" t="n">
        <v>141.8</v>
      </c>
      <c r="G132" s="27" t="n">
        <v>43</v>
      </c>
      <c r="H132" s="164" t="n">
        <v>76</v>
      </c>
      <c r="I132" s="165" t="n">
        <v>57000</v>
      </c>
      <c r="J132" s="165" t="inlineStr">
        <is>
          <t>15</t>
        </is>
      </c>
      <c r="K132" s="165" t="n">
        <v>42000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165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신한(2-21)</t>
        </is>
      </c>
      <c r="B134" s="16" t="inlineStr">
        <is>
          <t>'88.11.</t>
        </is>
      </c>
      <c r="C134" s="164" t="n">
        <v>240</v>
      </c>
      <c r="D134" s="161" t="n">
        <v>45.2</v>
      </c>
      <c r="E134" s="163" t="n">
        <v>14</v>
      </c>
      <c r="F134" s="161" t="n">
        <v>36</v>
      </c>
      <c r="G134" s="27" t="n">
        <v>11</v>
      </c>
      <c r="H134" s="164" t="n">
        <v>66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2</v>
      </c>
      <c r="R134" s="113" t="n">
        <v>1</v>
      </c>
      <c r="S134" s="113" t="inlineStr">
        <is>
          <t>계</t>
        </is>
      </c>
      <c r="T134" s="8" t="n">
        <v>45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신한(2-21)</t>
        </is>
      </c>
      <c r="B135" s="16" t="inlineStr">
        <is>
          <t>'88.11.</t>
        </is>
      </c>
      <c r="C135" s="164" t="n">
        <v>240</v>
      </c>
      <c r="D135" s="161" t="n">
        <v>48.1</v>
      </c>
      <c r="E135" s="163" t="n">
        <v>15</v>
      </c>
      <c r="F135" s="161" t="n">
        <v>38.6</v>
      </c>
      <c r="G135" s="27" t="n">
        <v>12</v>
      </c>
      <c r="H135" s="164" t="n">
        <v>48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2</v>
      </c>
      <c r="R135" s="113" t="n">
        <v>1</v>
      </c>
      <c r="S135" s="113" t="inlineStr">
        <is>
          <t>계</t>
        </is>
      </c>
      <c r="T135" s="8" t="inlineStr">
        <is>
          <t>48A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신한(2-21)</t>
        </is>
      </c>
      <c r="B136" s="16" t="inlineStr">
        <is>
          <t>'88.11.</t>
        </is>
      </c>
      <c r="C136" s="164" t="n">
        <v>240</v>
      </c>
      <c r="D136" s="161" t="n">
        <v>50.7</v>
      </c>
      <c r="E136" s="163" t="n">
        <v>15</v>
      </c>
      <c r="F136" s="161" t="n">
        <v>41</v>
      </c>
      <c r="G136" s="27" t="n">
        <v>12</v>
      </c>
      <c r="H136" s="164" t="n">
        <v>48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2</v>
      </c>
      <c r="R136" s="113" t="n">
        <v>1</v>
      </c>
      <c r="S136" s="113" t="inlineStr">
        <is>
          <t>계</t>
        </is>
      </c>
      <c r="T136" s="8" t="inlineStr">
        <is>
          <t>50C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신한(2-21)</t>
        </is>
      </c>
      <c r="B137" s="16" t="inlineStr">
        <is>
          <t>'88.11.</t>
        </is>
      </c>
      <c r="C137" s="164" t="n">
        <v>240</v>
      </c>
      <c r="D137" s="161" t="n">
        <v>51</v>
      </c>
      <c r="E137" s="163" t="n">
        <v>15</v>
      </c>
      <c r="F137" s="161" t="n">
        <v>41.2</v>
      </c>
      <c r="G137" s="27" t="n">
        <v>12</v>
      </c>
      <c r="H137" s="164" t="n">
        <v>18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2</v>
      </c>
      <c r="R137" s="113" t="n">
        <v>1</v>
      </c>
      <c r="S137" s="113" t="inlineStr">
        <is>
          <t>계</t>
        </is>
      </c>
      <c r="T137" s="8" t="inlineStr">
        <is>
          <t>51B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신한(2-21)</t>
        </is>
      </c>
      <c r="B138" s="16" t="inlineStr">
        <is>
          <t>'88.11.</t>
        </is>
      </c>
      <c r="C138" s="164" t="n">
        <v>240</v>
      </c>
      <c r="D138" s="161" t="n">
        <v>54</v>
      </c>
      <c r="E138" s="163" t="n">
        <v>16</v>
      </c>
      <c r="F138" s="161" t="n">
        <v>43.9</v>
      </c>
      <c r="G138" s="27" t="n">
        <v>13</v>
      </c>
      <c r="H138" s="164" t="n">
        <v>48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2</v>
      </c>
      <c r="R138" s="113" t="n">
        <v>1</v>
      </c>
      <c r="S138" s="113" t="inlineStr">
        <is>
          <t>계</t>
        </is>
      </c>
      <c r="T138" s="8" t="n">
        <v>53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신한(2-21)</t>
        </is>
      </c>
      <c r="B139" s="16" t="inlineStr">
        <is>
          <t>'88.11.</t>
        </is>
      </c>
      <c r="C139" s="164" t="n">
        <v>240</v>
      </c>
      <c r="D139" s="161" t="n">
        <v>93.8</v>
      </c>
      <c r="E139" s="163" t="n">
        <v>28</v>
      </c>
      <c r="F139" s="161" t="n">
        <v>79.90000000000001</v>
      </c>
      <c r="G139" s="27" t="n">
        <v>24</v>
      </c>
      <c r="H139" s="164" t="n">
        <v>6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1</v>
      </c>
      <c r="S139" s="113" t="inlineStr">
        <is>
          <t>계</t>
        </is>
      </c>
      <c r="T139" s="8" t="inlineStr">
        <is>
          <t>93A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신한(2-21)</t>
        </is>
      </c>
      <c r="B140" s="16" t="inlineStr">
        <is>
          <t>'88.11.</t>
        </is>
      </c>
      <c r="C140" s="164" t="n">
        <v>240</v>
      </c>
      <c r="D140" s="161" t="n">
        <v>94</v>
      </c>
      <c r="E140" s="163" t="n">
        <v>28</v>
      </c>
      <c r="F140" s="161" t="n">
        <v>80.09999999999999</v>
      </c>
      <c r="G140" s="27" t="n">
        <v>24</v>
      </c>
      <c r="H140" s="164" t="n">
        <v>6</v>
      </c>
      <c r="I140" s="165" t="n"/>
      <c r="J140" s="165" t="n"/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1</v>
      </c>
      <c r="S140" s="113" t="inlineStr">
        <is>
          <t>계</t>
        </is>
      </c>
      <c r="T140" s="8" t="inlineStr">
        <is>
          <t>94B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n"/>
      <c r="B141" s="113" t="n"/>
      <c r="C141" s="10" t="n"/>
      <c r="D141" s="13" t="n"/>
      <c r="E141" s="20" t="n"/>
      <c r="F141" s="161" t="n"/>
      <c r="G141" s="13" t="n"/>
      <c r="H141" s="13" t="n"/>
      <c r="I141" s="13" t="n"/>
      <c r="J141" s="13" t="n"/>
      <c r="K141" s="13" t="n"/>
      <c r="L141" s="13" t="n"/>
      <c r="M141" s="13" t="n"/>
      <c r="N141" s="13" t="n"/>
      <c r="O141" s="162" t="n"/>
      <c r="P141" s="162" t="n"/>
      <c r="Q141" s="163" t="n"/>
      <c r="R141" s="163" t="n"/>
      <c r="S141" s="13" t="n"/>
      <c r="T141" s="70" t="n"/>
      <c r="U141" s="13" t="n"/>
      <c r="W141" s="107">
        <f>$A$4&amp;" "&amp;A142&amp;"("&amp;B142&amp;","&amp;C142&amp;"^)"</f>
        <v/>
      </c>
      <c r="X141" s="108" t="n"/>
      <c r="Y141" s="108" t="n"/>
      <c r="Z141" s="108" t="n"/>
      <c r="AA141" s="108" t="n"/>
      <c r="AB141" s="108" t="n"/>
      <c r="AC141" s="108" t="n"/>
      <c r="AD141" s="108" t="n"/>
      <c r="AE141" s="108" t="n"/>
      <c r="AF141" s="109" t="n"/>
      <c r="AH141" s="36">
        <f>IF(A141="","",A141)</f>
        <v/>
      </c>
      <c r="AI141" s="160">
        <f>IF(E141="","",E141)</f>
        <v/>
      </c>
      <c r="AJ141" s="113" t="n"/>
      <c r="AK141" s="113" t="n"/>
      <c r="AL141" s="113" t="n"/>
      <c r="AM141" s="113" t="n"/>
      <c r="AN141" s="113" t="n"/>
      <c r="AO141" s="113" t="n"/>
      <c r="AP141" s="113" t="n"/>
      <c r="AQ141" s="113" t="n"/>
      <c r="AR141" s="113" t="n"/>
      <c r="AS141" s="113" t="n"/>
      <c r="AT141" s="113" t="n"/>
      <c r="AU141" s="113" t="n"/>
      <c r="AV141" s="113" t="n"/>
    </row>
    <row r="142">
      <c r="A142" s="13" t="inlineStr">
        <is>
          <t>만수주공3단지</t>
        </is>
      </c>
      <c r="B142" s="16" t="inlineStr">
        <is>
          <t>'86.10.</t>
        </is>
      </c>
      <c r="C142" s="164" t="n">
        <v>510</v>
      </c>
      <c r="D142" s="161" t="n">
        <v>59.2</v>
      </c>
      <c r="E142" s="163" t="n">
        <v>18</v>
      </c>
      <c r="F142" s="161" t="n">
        <v>53.9</v>
      </c>
      <c r="G142" s="27" t="n">
        <v>16</v>
      </c>
      <c r="H142" s="164" t="n">
        <v>219</v>
      </c>
      <c r="I142" s="165" t="n">
        <v>30000</v>
      </c>
      <c r="J142" s="165" t="inlineStr">
        <is>
          <t>고</t>
        </is>
      </c>
      <c r="K142" s="165" t="n">
        <v>13500</v>
      </c>
      <c r="L142" s="165" t="inlineStr">
        <is>
          <t>5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2</v>
      </c>
      <c r="R142" s="113" t="n">
        <v>1</v>
      </c>
      <c r="S142" s="113" t="inlineStr">
        <is>
          <t>계</t>
        </is>
      </c>
      <c r="T142" s="8" t="n">
        <v>59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만수주공3단지</t>
        </is>
      </c>
      <c r="B143" s="16" t="inlineStr">
        <is>
          <t>'86.10.</t>
        </is>
      </c>
      <c r="C143" s="164" t="n">
        <v>510</v>
      </c>
      <c r="D143" s="161" t="n">
        <v>59.6</v>
      </c>
      <c r="E143" s="163" t="n">
        <v>18</v>
      </c>
      <c r="F143" s="161" t="n">
        <v>55.5</v>
      </c>
      <c r="G143" s="27" t="n">
        <v>17</v>
      </c>
      <c r="H143" s="164" t="n">
        <v>48</v>
      </c>
      <c r="I143" s="165" t="n"/>
      <c r="J143" s="165" t="n"/>
      <c r="K143" s="165" t="n">
        <v>17000</v>
      </c>
      <c r="L143" s="165" t="inlineStr">
        <is>
          <t>고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2</v>
      </c>
      <c r="R143" s="113" t="n">
        <v>1</v>
      </c>
      <c r="S143" s="113" t="inlineStr">
        <is>
          <t>계</t>
        </is>
      </c>
      <c r="T143" s="8" t="n">
        <v>59</v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만수주공3단지</t>
        </is>
      </c>
      <c r="B144" s="16" t="inlineStr">
        <is>
          <t>'86.10.</t>
        </is>
      </c>
      <c r="C144" s="164" t="n">
        <v>510</v>
      </c>
      <c r="D144" s="161" t="n">
        <v>66.09999999999999</v>
      </c>
      <c r="E144" s="163" t="n">
        <v>20</v>
      </c>
      <c r="F144" s="161" t="n">
        <v>61.5</v>
      </c>
      <c r="G144" s="27" t="n">
        <v>19</v>
      </c>
      <c r="H144" s="164" t="n">
        <v>24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2</v>
      </c>
      <c r="R144" s="113" t="n">
        <v>1</v>
      </c>
      <c r="S144" s="113" t="inlineStr">
        <is>
          <t>계</t>
        </is>
      </c>
      <c r="T144" s="8" t="inlineStr">
        <is>
          <t>66A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만수주공3단지</t>
        </is>
      </c>
      <c r="B145" s="16" t="inlineStr">
        <is>
          <t>'86.10.</t>
        </is>
      </c>
      <c r="C145" s="164" t="n">
        <v>510</v>
      </c>
      <c r="D145" s="161" t="n">
        <v>67.90000000000001</v>
      </c>
      <c r="E145" s="163" t="n">
        <v>21</v>
      </c>
      <c r="F145" s="161" t="n">
        <v>61.8</v>
      </c>
      <c r="G145" s="27" t="n">
        <v>19</v>
      </c>
      <c r="H145" s="164" t="n">
        <v>158</v>
      </c>
      <c r="I145" s="165" t="n">
        <v>43000</v>
      </c>
      <c r="J145" s="165" t="inlineStr">
        <is>
          <t>고</t>
        </is>
      </c>
      <c r="K145" s="165" t="n">
        <v>20000</v>
      </c>
      <c r="L145" s="165" t="inlineStr">
        <is>
          <t>5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1</v>
      </c>
      <c r="S145" s="113" t="inlineStr">
        <is>
          <t>계</t>
        </is>
      </c>
      <c r="T145" s="8" t="n">
        <v>67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만수주공3단지</t>
        </is>
      </c>
      <c r="B146" s="16" t="inlineStr">
        <is>
          <t>'86.10.</t>
        </is>
      </c>
      <c r="C146" s="164" t="n">
        <v>510</v>
      </c>
      <c r="D146" s="161" t="n">
        <v>67.5</v>
      </c>
      <c r="E146" s="163" t="n">
        <v>20</v>
      </c>
      <c r="F146" s="161" t="n">
        <v>61.7</v>
      </c>
      <c r="G146" s="27" t="n">
        <v>19</v>
      </c>
      <c r="H146" s="164" t="n">
        <v>13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3</v>
      </c>
      <c r="R146" s="113" t="n">
        <v>1</v>
      </c>
      <c r="S146" s="113" t="inlineStr">
        <is>
          <t>계</t>
        </is>
      </c>
      <c r="T146" s="8" t="inlineStr">
        <is>
          <t>67B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만수주공3단지</t>
        </is>
      </c>
      <c r="B147" s="16" t="inlineStr">
        <is>
          <t>'86.10.</t>
        </is>
      </c>
      <c r="C147" s="164" t="n">
        <v>510</v>
      </c>
      <c r="D147" s="161" t="n">
        <v>76</v>
      </c>
      <c r="E147" s="163" t="n">
        <v>23</v>
      </c>
      <c r="F147" s="161" t="n">
        <v>70.8</v>
      </c>
      <c r="G147" s="27" t="n">
        <v>21</v>
      </c>
      <c r="H147" s="164" t="n">
        <v>48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1</v>
      </c>
      <c r="S147" s="113" t="inlineStr">
        <is>
          <t>계</t>
        </is>
      </c>
      <c r="T147" s="8" t="n">
        <v>75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삼환1차</t>
        </is>
      </c>
      <c r="B149" s="16" t="inlineStr">
        <is>
          <t>'89.10.</t>
        </is>
      </c>
      <c r="C149" s="164" t="n">
        <v>660</v>
      </c>
      <c r="D149" s="161" t="n">
        <v>53</v>
      </c>
      <c r="E149" s="163" t="n">
        <v>16</v>
      </c>
      <c r="F149" s="161" t="n">
        <v>43.6</v>
      </c>
      <c r="G149" s="27" t="n">
        <v>13</v>
      </c>
      <c r="H149" s="164" t="n">
        <v>150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2</v>
      </c>
      <c r="R149" s="113" t="n">
        <v>1</v>
      </c>
      <c r="S149" s="113" t="inlineStr">
        <is>
          <t>계</t>
        </is>
      </c>
      <c r="T149" s="8" t="n">
        <v>53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삼환1차</t>
        </is>
      </c>
      <c r="B150" s="16" t="inlineStr">
        <is>
          <t>'89.10.</t>
        </is>
      </c>
      <c r="C150" s="164" t="n">
        <v>660</v>
      </c>
      <c r="D150" s="161" t="n">
        <v>63.4</v>
      </c>
      <c r="E150" s="163" t="n">
        <v>19</v>
      </c>
      <c r="F150" s="161" t="n">
        <v>50.3</v>
      </c>
      <c r="G150" s="27" t="n">
        <v>15</v>
      </c>
      <c r="H150" s="164" t="n">
        <v>180</v>
      </c>
      <c r="I150" s="165" t="n">
        <v>22900</v>
      </c>
      <c r="J150" s="165" t="inlineStr">
        <is>
          <t>9</t>
        </is>
      </c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63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삼환1차</t>
        </is>
      </c>
      <c r="B151" s="16" t="inlineStr">
        <is>
          <t>'89.10.</t>
        </is>
      </c>
      <c r="C151" s="164" t="n">
        <v>660</v>
      </c>
      <c r="D151" s="161" t="n">
        <v>74.5</v>
      </c>
      <c r="E151" s="163" t="n">
        <v>23</v>
      </c>
      <c r="F151" s="161" t="n">
        <v>59.1</v>
      </c>
      <c r="G151" s="27" t="n">
        <v>18</v>
      </c>
      <c r="H151" s="164" t="n">
        <v>180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74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삼환1차</t>
        </is>
      </c>
      <c r="B152" s="16" t="inlineStr">
        <is>
          <t>'89.10.</t>
        </is>
      </c>
      <c r="C152" s="164" t="n">
        <v>660</v>
      </c>
      <c r="D152" s="161" t="n">
        <v>78.2</v>
      </c>
      <c r="E152" s="163" t="n">
        <v>24</v>
      </c>
      <c r="F152" s="161" t="n">
        <v>63.4</v>
      </c>
      <c r="G152" s="27" t="n">
        <v>19</v>
      </c>
      <c r="H152" s="164" t="n">
        <v>1</v>
      </c>
      <c r="I152" s="165" t="n">
        <v>37000</v>
      </c>
      <c r="J152" s="165" t="inlineStr">
        <is>
          <t>9</t>
        </is>
      </c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1</v>
      </c>
      <c r="S152" s="113" t="inlineStr">
        <is>
          <t>계</t>
        </is>
      </c>
      <c r="T152" s="8" t="n">
        <v>78</v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삼환1차</t>
        </is>
      </c>
      <c r="B153" s="16" t="inlineStr">
        <is>
          <t>'89.10.</t>
        </is>
      </c>
      <c r="C153" s="164" t="n">
        <v>660</v>
      </c>
      <c r="D153" s="161" t="n">
        <v>83.2</v>
      </c>
      <c r="E153" s="163" t="n">
        <v>25</v>
      </c>
      <c r="F153" s="161" t="n">
        <v>68.40000000000001</v>
      </c>
      <c r="G153" s="27" t="n">
        <v>21</v>
      </c>
      <c r="H153" s="164" t="n">
        <v>149</v>
      </c>
      <c r="I153" s="165" t="n">
        <v>30000</v>
      </c>
      <c r="J153" s="165" t="inlineStr">
        <is>
          <t>15</t>
        </is>
      </c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1</v>
      </c>
      <c r="S153" s="113" t="inlineStr">
        <is>
          <t>계</t>
        </is>
      </c>
      <c r="T153" s="8" t="n">
        <v>83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n"/>
      <c r="B154" s="113" t="n"/>
      <c r="C154" s="10" t="n"/>
      <c r="D154" s="13" t="n"/>
      <c r="E154" s="20" t="n"/>
      <c r="F154" s="161" t="n"/>
      <c r="G154" s="13" t="n"/>
      <c r="H154" s="13" t="n"/>
      <c r="I154" s="13" t="n"/>
      <c r="J154" s="13" t="n"/>
      <c r="K154" s="13" t="n"/>
      <c r="L154" s="13" t="n"/>
      <c r="M154" s="13" t="n"/>
      <c r="N154" s="13" t="n"/>
      <c r="O154" s="162" t="n"/>
      <c r="P154" s="162" t="n"/>
      <c r="Q154" s="163" t="n"/>
      <c r="R154" s="163" t="n"/>
      <c r="S154" s="13" t="n"/>
      <c r="T154" s="70" t="n"/>
      <c r="U154" s="13" t="n"/>
      <c r="W154" s="107">
        <f>$A$4&amp;" "&amp;A155&amp;"("&amp;B155&amp;","&amp;C155&amp;"^)"</f>
        <v/>
      </c>
      <c r="X154" s="108" t="n"/>
      <c r="Y154" s="108" t="n"/>
      <c r="Z154" s="108" t="n"/>
      <c r="AA154" s="108" t="n"/>
      <c r="AB154" s="108" t="n"/>
      <c r="AC154" s="108" t="n"/>
      <c r="AD154" s="108" t="n"/>
      <c r="AE154" s="108" t="n"/>
      <c r="AF154" s="109" t="n"/>
      <c r="AH154" s="36">
        <f>IF(A154="","",A154)</f>
        <v/>
      </c>
      <c r="AI154" s="160">
        <f>IF(E154="","",E154)</f>
        <v/>
      </c>
      <c r="AJ154" s="113" t="n"/>
      <c r="AK154" s="113" t="n"/>
      <c r="AL154" s="113" t="n"/>
      <c r="AM154" s="113" t="n"/>
      <c r="AN154" s="113" t="n"/>
      <c r="AO154" s="113" t="n"/>
      <c r="AP154" s="113" t="n"/>
      <c r="AQ154" s="113" t="n"/>
      <c r="AR154" s="113" t="n"/>
      <c r="AS154" s="113" t="n"/>
      <c r="AT154" s="113" t="n"/>
      <c r="AU154" s="113" t="n"/>
      <c r="AV154" s="113" t="n"/>
    </row>
    <row r="155">
      <c r="A155" s="13" t="inlineStr">
        <is>
          <t>만수주공2단지</t>
        </is>
      </c>
      <c r="B155" s="16" t="inlineStr">
        <is>
          <t>'87.07.</t>
        </is>
      </c>
      <c r="C155" s="164" t="n">
        <v>1920</v>
      </c>
      <c r="D155" s="161" t="n">
        <v>75.5</v>
      </c>
      <c r="E155" s="163" t="n">
        <v>23</v>
      </c>
      <c r="F155" s="161" t="n">
        <v>54.9</v>
      </c>
      <c r="G155" s="27" t="n">
        <v>17</v>
      </c>
      <c r="H155" s="164" t="n">
        <v>480</v>
      </c>
      <c r="I155" s="165" t="n">
        <v>38000</v>
      </c>
      <c r="J155" s="165" t="inlineStr">
        <is>
          <t>9</t>
        </is>
      </c>
      <c r="K155" s="165" t="n">
        <v>18000</v>
      </c>
      <c r="L155" s="165" t="inlineStr">
        <is>
          <t>10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2</v>
      </c>
      <c r="R155" s="113" t="n">
        <v>1</v>
      </c>
      <c r="S155" s="113" t="inlineStr">
        <is>
          <t>복</t>
        </is>
      </c>
      <c r="T155" s="8" t="n">
        <v>75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만수주공2단지</t>
        </is>
      </c>
      <c r="B156" s="16" t="inlineStr">
        <is>
          <t>'87.07.</t>
        </is>
      </c>
      <c r="C156" s="164" t="n">
        <v>1920</v>
      </c>
      <c r="D156" s="161" t="n">
        <v>83.7</v>
      </c>
      <c r="E156" s="163" t="n">
        <v>25</v>
      </c>
      <c r="F156" s="161" t="n">
        <v>61.5</v>
      </c>
      <c r="G156" s="27" t="n">
        <v>19</v>
      </c>
      <c r="H156" s="164" t="n">
        <v>240</v>
      </c>
      <c r="I156" s="165" t="n">
        <v>40000</v>
      </c>
      <c r="J156" s="165" t="inlineStr">
        <is>
          <t>14</t>
        </is>
      </c>
      <c r="K156" s="165" t="n">
        <v>18000</v>
      </c>
      <c r="L156" s="165" t="inlineStr">
        <is>
          <t>14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2</v>
      </c>
      <c r="R156" s="113" t="n">
        <v>1</v>
      </c>
      <c r="S156" s="113" t="inlineStr">
        <is>
          <t>복</t>
        </is>
      </c>
      <c r="T156" s="8" t="n">
        <v>83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만수주공2단지</t>
        </is>
      </c>
      <c r="B157" s="16" t="inlineStr">
        <is>
          <t>'87.07.</t>
        </is>
      </c>
      <c r="C157" s="164" t="n">
        <v>1920</v>
      </c>
      <c r="D157" s="161" t="n">
        <v>88.8</v>
      </c>
      <c r="E157" s="163" t="n">
        <v>27</v>
      </c>
      <c r="F157" s="161" t="n">
        <v>64.59999999999999</v>
      </c>
      <c r="G157" s="27" t="n">
        <v>20</v>
      </c>
      <c r="H157" s="164" t="n">
        <v>300</v>
      </c>
      <c r="I157" s="165" t="n">
        <v>39500</v>
      </c>
      <c r="J157" s="165" t="inlineStr">
        <is>
          <t>10</t>
        </is>
      </c>
      <c r="K157" s="165" t="n">
        <v>23000</v>
      </c>
      <c r="L157" s="165" t="inlineStr">
        <is>
          <t>11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1</v>
      </c>
      <c r="S157" s="113" t="inlineStr">
        <is>
          <t>계</t>
        </is>
      </c>
      <c r="T157" s="8" t="inlineStr">
        <is>
          <t>88D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만수주공2단지</t>
        </is>
      </c>
      <c r="B158" s="16" t="inlineStr">
        <is>
          <t>'87.07.</t>
        </is>
      </c>
      <c r="C158" s="164" t="n">
        <v>1920</v>
      </c>
      <c r="D158" s="161" t="n">
        <v>89.90000000000001</v>
      </c>
      <c r="E158" s="163" t="n">
        <v>27</v>
      </c>
      <c r="F158" s="161" t="n">
        <v>64.59999999999999</v>
      </c>
      <c r="G158" s="27" t="n">
        <v>20</v>
      </c>
      <c r="H158" s="164" t="n">
        <v>240</v>
      </c>
      <c r="I158" s="165" t="n">
        <v>43000</v>
      </c>
      <c r="J158" s="165" t="inlineStr">
        <is>
          <t>9</t>
        </is>
      </c>
      <c r="K158" s="165" t="n">
        <v>22000</v>
      </c>
      <c r="L158" s="165" t="inlineStr">
        <is>
          <t>7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1</v>
      </c>
      <c r="S158" s="113" t="inlineStr">
        <is>
          <t>복</t>
        </is>
      </c>
      <c r="T158" s="8" t="inlineStr">
        <is>
          <t>89A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만수주공2단지</t>
        </is>
      </c>
      <c r="B159" s="16" t="inlineStr">
        <is>
          <t>'87.07.</t>
        </is>
      </c>
      <c r="C159" s="164" t="n">
        <v>1920</v>
      </c>
      <c r="D159" s="161" t="n">
        <v>90.59999999999999</v>
      </c>
      <c r="E159" s="163" t="n">
        <v>27</v>
      </c>
      <c r="F159" s="161" t="n">
        <v>66.59999999999999</v>
      </c>
      <c r="G159" s="27" t="n">
        <v>20</v>
      </c>
      <c r="H159" s="164" t="n">
        <v>120</v>
      </c>
      <c r="I159" s="165" t="n">
        <v>45000</v>
      </c>
      <c r="J159" s="165" t="inlineStr">
        <is>
          <t>10</t>
        </is>
      </c>
      <c r="K159" s="165" t="n">
        <v>21000</v>
      </c>
      <c r="L159" s="165" t="inlineStr">
        <is>
          <t>6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1</v>
      </c>
      <c r="S159" s="113" t="inlineStr">
        <is>
          <t>복</t>
        </is>
      </c>
      <c r="T159" s="8" t="inlineStr">
        <is>
          <t>90B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만수주공2단지</t>
        </is>
      </c>
      <c r="B160" s="16" t="inlineStr">
        <is>
          <t>'87.07.</t>
        </is>
      </c>
      <c r="C160" s="164" t="n">
        <v>1920</v>
      </c>
      <c r="D160" s="161" t="n">
        <v>90.3</v>
      </c>
      <c r="E160" s="163" t="n">
        <v>27</v>
      </c>
      <c r="F160" s="161" t="n">
        <v>66.40000000000001</v>
      </c>
      <c r="G160" s="27" t="n">
        <v>20</v>
      </c>
      <c r="H160" s="164" t="n">
        <v>60</v>
      </c>
      <c r="I160" s="165" t="n"/>
      <c r="J160" s="165" t="n"/>
      <c r="K160" s="165" t="n">
        <v>19000</v>
      </c>
      <c r="L160" s="165" t="inlineStr">
        <is>
          <t>8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1</v>
      </c>
      <c r="S160" s="113" t="inlineStr">
        <is>
          <t>복</t>
        </is>
      </c>
      <c r="T160" s="8" t="inlineStr">
        <is>
          <t>90C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만수주공2단지</t>
        </is>
      </c>
      <c r="B161" s="16" t="inlineStr">
        <is>
          <t>'87.07.</t>
        </is>
      </c>
      <c r="C161" s="164" t="n">
        <v>1920</v>
      </c>
      <c r="D161" s="161" t="n">
        <v>91.59999999999999</v>
      </c>
      <c r="E161" s="163" t="n">
        <v>28</v>
      </c>
      <c r="F161" s="161" t="n">
        <v>67.3</v>
      </c>
      <c r="G161" s="27" t="n">
        <v>20</v>
      </c>
      <c r="H161" s="164" t="n">
        <v>60</v>
      </c>
      <c r="I161" s="165" t="n">
        <v>45000</v>
      </c>
      <c r="J161" s="165" t="inlineStr">
        <is>
          <t>15</t>
        </is>
      </c>
      <c r="K161" s="165" t="n">
        <v>25000</v>
      </c>
      <c r="L161" s="165" t="inlineStr">
        <is>
          <t>15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1</v>
      </c>
      <c r="S161" s="113" t="inlineStr">
        <is>
          <t>복</t>
        </is>
      </c>
      <c r="T161" s="8" t="n">
        <v>91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만수주공2단지</t>
        </is>
      </c>
      <c r="B162" s="16" t="inlineStr">
        <is>
          <t>'87.07.</t>
        </is>
      </c>
      <c r="C162" s="164" t="n">
        <v>1920</v>
      </c>
      <c r="D162" s="161" t="n">
        <v>94.59999999999999</v>
      </c>
      <c r="E162" s="163" t="n">
        <v>29</v>
      </c>
      <c r="F162" s="161" t="n">
        <v>75.5</v>
      </c>
      <c r="G162" s="27" t="n">
        <v>23</v>
      </c>
      <c r="H162" s="164" t="n">
        <v>210</v>
      </c>
      <c r="I162" s="165" t="n"/>
      <c r="J162" s="165" t="n"/>
      <c r="K162" s="165" t="n">
        <v>21000</v>
      </c>
      <c r="L162" s="165" t="inlineStr">
        <is>
          <t>6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3</v>
      </c>
      <c r="R162" s="113" t="n">
        <v>1</v>
      </c>
      <c r="S162" s="113" t="inlineStr">
        <is>
          <t>합</t>
        </is>
      </c>
      <c r="T162" s="8" t="inlineStr">
        <is>
          <t>94A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만수주공2단지</t>
        </is>
      </c>
      <c r="B163" s="16" t="inlineStr">
        <is>
          <t>'87.07.</t>
        </is>
      </c>
      <c r="C163" s="164" t="n">
        <v>1920</v>
      </c>
      <c r="D163" s="161" t="n">
        <v>94.2</v>
      </c>
      <c r="E163" s="163" t="n">
        <v>29</v>
      </c>
      <c r="F163" s="161" t="n">
        <v>75.2</v>
      </c>
      <c r="G163" s="27" t="n">
        <v>23</v>
      </c>
      <c r="H163" s="164" t="n">
        <v>210</v>
      </c>
      <c r="I163" s="165" t="n">
        <v>48000</v>
      </c>
      <c r="J163" s="165" t="inlineStr">
        <is>
          <t>9</t>
        </is>
      </c>
      <c r="K163" s="165" t="n">
        <v>25000</v>
      </c>
      <c r="L163" s="165" t="inlineStr">
        <is>
          <t>6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3</v>
      </c>
      <c r="R163" s="113" t="n">
        <v>1</v>
      </c>
      <c r="S163" s="113" t="inlineStr">
        <is>
          <t>계</t>
        </is>
      </c>
      <c r="T163" s="8" t="inlineStr">
        <is>
          <t>94B</t>
        </is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n"/>
      <c r="B164" s="113" t="n"/>
      <c r="C164" s="10" t="n"/>
      <c r="D164" s="13" t="n"/>
      <c r="E164" s="20" t="n"/>
      <c r="F164" s="161" t="n"/>
      <c r="G164" s="13" t="n"/>
      <c r="H164" s="13" t="n"/>
      <c r="I164" s="13" t="n"/>
      <c r="J164" s="13" t="n"/>
      <c r="K164" s="13" t="n"/>
      <c r="L164" s="13" t="n"/>
      <c r="M164" s="13" t="n"/>
      <c r="N164" s="13" t="n"/>
      <c r="O164" s="162" t="n"/>
      <c r="P164" s="162" t="n"/>
      <c r="Q164" s="163" t="n"/>
      <c r="R164" s="163" t="n"/>
      <c r="S164" s="13" t="n"/>
      <c r="T164" s="70" t="n"/>
      <c r="U164" s="13" t="n"/>
      <c r="W164" s="107">
        <f>$A$4&amp;" "&amp;A165&amp;"("&amp;B165&amp;","&amp;C165&amp;"^)"</f>
        <v/>
      </c>
      <c r="X164" s="108" t="n"/>
      <c r="Y164" s="108" t="n"/>
      <c r="Z164" s="108" t="n"/>
      <c r="AA164" s="108" t="n"/>
      <c r="AB164" s="108" t="n"/>
      <c r="AC164" s="108" t="n"/>
      <c r="AD164" s="108" t="n"/>
      <c r="AE164" s="108" t="n"/>
      <c r="AF164" s="109" t="n"/>
      <c r="AH164" s="36">
        <f>IF(A164="","",A164)</f>
        <v/>
      </c>
      <c r="AI164" s="160">
        <f>IF(E164="","",E164)</f>
        <v/>
      </c>
      <c r="AJ164" s="113" t="n"/>
      <c r="AK164" s="113" t="n"/>
      <c r="AL164" s="113" t="n"/>
      <c r="AM164" s="113" t="n"/>
      <c r="AN164" s="113" t="n"/>
      <c r="AO164" s="113" t="n"/>
      <c r="AP164" s="113" t="n"/>
      <c r="AQ164" s="113" t="n"/>
      <c r="AR164" s="113" t="n"/>
      <c r="AS164" s="113" t="n"/>
      <c r="AT164" s="113" t="n"/>
      <c r="AU164" s="113" t="n"/>
      <c r="AV164" s="113" t="n"/>
    </row>
    <row r="165">
      <c r="A165" s="13" t="inlineStr">
        <is>
          <t>한국</t>
        </is>
      </c>
      <c r="B165" s="16" t="inlineStr">
        <is>
          <t>'92.04.</t>
        </is>
      </c>
      <c r="C165" s="164" t="n">
        <v>608</v>
      </c>
      <c r="D165" s="161" t="n">
        <v>103.7</v>
      </c>
      <c r="E165" s="163" t="n">
        <v>31</v>
      </c>
      <c r="F165" s="161" t="n">
        <v>84.2</v>
      </c>
      <c r="G165" s="27" t="n">
        <v>25</v>
      </c>
      <c r="H165" s="164" t="n">
        <v>320</v>
      </c>
      <c r="I165" s="165" t="n">
        <v>36800</v>
      </c>
      <c r="J165" s="165" t="inlineStr">
        <is>
          <t>6</t>
        </is>
      </c>
      <c r="K165" s="165" t="n"/>
      <c r="L165" s="165" t="n"/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3</v>
      </c>
      <c r="R165" s="113" t="n">
        <v>2</v>
      </c>
      <c r="S165" s="113" t="inlineStr">
        <is>
          <t>계</t>
        </is>
      </c>
      <c r="T165" s="8" t="inlineStr">
        <is>
          <t>103A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inlineStr">
        <is>
          <t>한국</t>
        </is>
      </c>
      <c r="B166" s="16" t="inlineStr">
        <is>
          <t>'92.04.</t>
        </is>
      </c>
      <c r="C166" s="164" t="n">
        <v>608</v>
      </c>
      <c r="D166" s="161" t="n">
        <v>104.5</v>
      </c>
      <c r="E166" s="163" t="n">
        <v>32</v>
      </c>
      <c r="F166" s="161" t="n">
        <v>84.7</v>
      </c>
      <c r="G166" s="27" t="n">
        <v>26</v>
      </c>
      <c r="H166" s="164" t="n">
        <v>288</v>
      </c>
      <c r="I166" s="165" t="n">
        <v>35000</v>
      </c>
      <c r="J166" s="165" t="inlineStr">
        <is>
          <t>16</t>
        </is>
      </c>
      <c r="K166" s="165" t="n">
        <v>30000</v>
      </c>
      <c r="L166" s="165" t="inlineStr">
        <is>
          <t>16</t>
        </is>
      </c>
      <c r="M166" s="166">
        <f>I166-K166</f>
        <v/>
      </c>
      <c r="N166" s="7">
        <f>IF(ISERROR(K166/I166),"",K166/I166)</f>
        <v/>
      </c>
      <c r="O166" s="162">
        <f>I166/E166</f>
        <v/>
      </c>
      <c r="P166" s="162">
        <f>K166/E166</f>
        <v/>
      </c>
      <c r="Q166" s="113" t="n">
        <v>3</v>
      </c>
      <c r="R166" s="113" t="n">
        <v>2</v>
      </c>
      <c r="S166" s="113" t="inlineStr">
        <is>
          <t>계</t>
        </is>
      </c>
      <c r="T166" s="8" t="inlineStr">
        <is>
          <t>104B</t>
        </is>
      </c>
      <c r="U166" s="13" t="n"/>
      <c r="W166" s="161">
        <f>D166</f>
        <v/>
      </c>
      <c r="X166" s="163">
        <f>E166</f>
        <v/>
      </c>
      <c r="Y166" s="159">
        <f>H166</f>
        <v/>
      </c>
      <c r="Z166" s="166">
        <f>I166</f>
        <v/>
      </c>
      <c r="AA166" s="166">
        <f>K166</f>
        <v/>
      </c>
      <c r="AB166" s="166">
        <f>M166</f>
        <v/>
      </c>
      <c r="AC166" s="7">
        <f>N166</f>
        <v/>
      </c>
      <c r="AD166" s="162">
        <f>O166</f>
        <v/>
      </c>
      <c r="AE166" s="113">
        <f>S166</f>
        <v/>
      </c>
      <c r="AF166" s="113">
        <f>Q166&amp;"/"&amp;R166</f>
        <v/>
      </c>
      <c r="AH166" s="36">
        <f>IF(A166="","",A166)</f>
        <v/>
      </c>
      <c r="AI166" s="163">
        <f>IF(E166="","",E166)</f>
        <v/>
      </c>
      <c r="AJ166" s="113">
        <f>IF(AI166="","",$AJ$2)</f>
        <v/>
      </c>
      <c r="AK166" s="113" t="inlineStr">
        <is>
          <t>A</t>
        </is>
      </c>
      <c r="AL166" s="113" t="inlineStr">
        <is>
          <t>A+</t>
        </is>
      </c>
      <c r="AM166" s="113" t="inlineStr">
        <is>
          <t>B+</t>
        </is>
      </c>
      <c r="AN166" s="113">
        <f>IF(AI166="","",$AN$2)</f>
        <v/>
      </c>
      <c r="AO166" s="113">
        <f>IF(N166="","",IF(N166&gt;=$AO$1/100,"O","X"))</f>
        <v/>
      </c>
      <c r="AP166" s="113">
        <f>IF(I166="","",IF(I166&lt;=$AP$1,"O","X"))</f>
        <v/>
      </c>
      <c r="AQ166" s="113">
        <f>IF(O166="","",IF(O166&lt;=$AQ$1,"O","X"))</f>
        <v/>
      </c>
      <c r="AR166" s="113">
        <f>IF(M166="","",IF(M166&lt;=$AR$1,"O","X"))</f>
        <v/>
      </c>
      <c r="AS166" s="113" t="inlineStr">
        <is>
          <t>X</t>
        </is>
      </c>
      <c r="AT166" s="113">
        <f>IF(OR(F166="",AI166=""),"",IF(AND((F166&lt;=85),(AI166&gt;=15)),"O","X"))</f>
        <v/>
      </c>
      <c r="AU166" s="113">
        <f>IF(C166="","",IF(C166&gt;=$AU$1,"O","X"))</f>
        <v/>
      </c>
      <c r="AV166" s="113">
        <f>IF(AO166="","",IF(AND(AO166="O",AP166="O",AR166="O",AT166="O",AU166="O"),"후보","X"))</f>
        <v/>
      </c>
    </row>
    <row r="167">
      <c r="A167" s="13" t="n"/>
      <c r="B167" s="113" t="n"/>
      <c r="C167" s="10" t="n"/>
      <c r="D167" s="13" t="n"/>
      <c r="E167" s="20" t="n"/>
      <c r="F167" s="161" t="n"/>
      <c r="G167" s="13" t="n"/>
      <c r="H167" s="13" t="n"/>
      <c r="I167" s="13" t="n"/>
      <c r="J167" s="13" t="n"/>
      <c r="K167" s="13" t="n"/>
      <c r="L167" s="13" t="n"/>
      <c r="M167" s="13" t="n"/>
      <c r="N167" s="13" t="n"/>
      <c r="O167" s="162" t="n"/>
      <c r="P167" s="162" t="n"/>
      <c r="Q167" s="163" t="n"/>
      <c r="R167" s="163" t="n"/>
      <c r="S167" s="13" t="n"/>
      <c r="T167" s="70" t="n"/>
      <c r="U167" s="13" t="n"/>
      <c r="W167" s="107">
        <f>$A$4&amp;" "&amp;A168&amp;"("&amp;B168&amp;","&amp;C168&amp;"^)"</f>
        <v/>
      </c>
      <c r="X167" s="108" t="n"/>
      <c r="Y167" s="108" t="n"/>
      <c r="Z167" s="108" t="n"/>
      <c r="AA167" s="108" t="n"/>
      <c r="AB167" s="108" t="n"/>
      <c r="AC167" s="108" t="n"/>
      <c r="AD167" s="108" t="n"/>
      <c r="AE167" s="108" t="n"/>
      <c r="AF167" s="109" t="n"/>
      <c r="AH167" s="36">
        <f>IF(A167="","",A167)</f>
        <v/>
      </c>
      <c r="AI167" s="160">
        <f>IF(E167="","",E167)</f>
        <v/>
      </c>
      <c r="AJ167" s="113" t="n"/>
      <c r="AK167" s="113" t="n"/>
      <c r="AL167" s="113" t="n"/>
      <c r="AM167" s="113" t="n"/>
      <c r="AN167" s="113" t="n"/>
      <c r="AO167" s="113" t="n"/>
      <c r="AP167" s="113" t="n"/>
      <c r="AQ167" s="113" t="n"/>
      <c r="AR167" s="113" t="n"/>
      <c r="AS167" s="113" t="n"/>
      <c r="AT167" s="113" t="n"/>
      <c r="AU167" s="113" t="n"/>
      <c r="AV167" s="113" t="n"/>
    </row>
    <row r="168">
      <c r="A168" s="13" t="inlineStr">
        <is>
          <t>만수주공10단지</t>
        </is>
      </c>
      <c r="B168" s="16" t="inlineStr">
        <is>
          <t>'94.05.</t>
        </is>
      </c>
      <c r="C168" s="164" t="n">
        <v>420</v>
      </c>
      <c r="D168" s="161" t="n">
        <v>69.59999999999999</v>
      </c>
      <c r="E168" s="163" t="n">
        <v>21</v>
      </c>
      <c r="F168" s="161" t="n">
        <v>49.8</v>
      </c>
      <c r="G168" s="27" t="n">
        <v>15</v>
      </c>
      <c r="H168" s="164" t="n">
        <v>420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2</v>
      </c>
      <c r="R168" s="113" t="n">
        <v>1</v>
      </c>
      <c r="S168" s="113" t="inlineStr">
        <is>
          <t>복</t>
        </is>
      </c>
      <c r="T168" s="8" t="n">
        <v>69</v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n"/>
      <c r="B169" s="113" t="n"/>
      <c r="C169" s="10" t="n"/>
      <c r="D169" s="13" t="n"/>
      <c r="E169" s="20" t="n"/>
      <c r="F169" s="161" t="n"/>
      <c r="G169" s="13" t="n"/>
      <c r="H169" s="13" t="n"/>
      <c r="I169" s="13" t="n"/>
      <c r="J169" s="13" t="n"/>
      <c r="K169" s="13" t="n"/>
      <c r="L169" s="13" t="n"/>
      <c r="M169" s="13" t="n"/>
      <c r="N169" s="13" t="n"/>
      <c r="O169" s="162" t="n"/>
      <c r="P169" s="162" t="n"/>
      <c r="Q169" s="163" t="n"/>
      <c r="R169" s="163" t="n"/>
      <c r="S169" s="13" t="n"/>
      <c r="T169" s="70" t="n"/>
      <c r="U169" s="13" t="n"/>
      <c r="W169" s="107">
        <f>$A$4&amp;" "&amp;A170&amp;"("&amp;B170&amp;","&amp;C170&amp;"^)"</f>
        <v/>
      </c>
      <c r="X169" s="108" t="n"/>
      <c r="Y169" s="108" t="n"/>
      <c r="Z169" s="108" t="n"/>
      <c r="AA169" s="108" t="n"/>
      <c r="AB169" s="108" t="n"/>
      <c r="AC169" s="108" t="n"/>
      <c r="AD169" s="108" t="n"/>
      <c r="AE169" s="108" t="n"/>
      <c r="AF169" s="109" t="n"/>
      <c r="AH169" s="36">
        <f>IF(A169="","",A169)</f>
        <v/>
      </c>
      <c r="AI169" s="160">
        <f>IF(E169="","",E169)</f>
        <v/>
      </c>
      <c r="AJ169" s="113" t="n"/>
      <c r="AK169" s="113" t="n"/>
      <c r="AL169" s="113" t="n"/>
      <c r="AM169" s="113" t="n"/>
      <c r="AN169" s="113" t="n"/>
      <c r="AO169" s="113" t="n"/>
      <c r="AP169" s="113" t="n"/>
      <c r="AQ169" s="113" t="n"/>
      <c r="AR169" s="113" t="n"/>
      <c r="AS169" s="113" t="n"/>
      <c r="AT169" s="113" t="n"/>
      <c r="AU169" s="113" t="n"/>
      <c r="AV169" s="113" t="n"/>
    </row>
    <row r="170">
      <c r="A170" s="13" t="inlineStr">
        <is>
          <t>만수주공5단지</t>
        </is>
      </c>
      <c r="B170" s="16" t="inlineStr">
        <is>
          <t>'87.09.</t>
        </is>
      </c>
      <c r="C170" s="164" t="n">
        <v>900</v>
      </c>
      <c r="D170" s="161" t="n">
        <v>46</v>
      </c>
      <c r="E170" s="163" t="n">
        <v>14</v>
      </c>
      <c r="F170" s="161" t="n">
        <v>32.4</v>
      </c>
      <c r="G170" s="27" t="n">
        <v>10</v>
      </c>
      <c r="H170" s="164" t="n">
        <v>270</v>
      </c>
      <c r="I170" s="165" t="n">
        <v>18000</v>
      </c>
      <c r="J170" s="165" t="inlineStr">
        <is>
          <t>8</t>
        </is>
      </c>
      <c r="K170" s="165" t="n">
        <v>11000</v>
      </c>
      <c r="L170" s="165" t="inlineStr">
        <is>
          <t>12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1</v>
      </c>
      <c r="R170" s="113" t="n">
        <v>1</v>
      </c>
      <c r="S170" s="113" t="inlineStr">
        <is>
          <t>복</t>
        </is>
      </c>
      <c r="T170" s="8" t="n">
        <v>45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만수주공5단지</t>
        </is>
      </c>
      <c r="B171" s="16" t="inlineStr">
        <is>
          <t>'87.09.</t>
        </is>
      </c>
      <c r="C171" s="164" t="n">
        <v>900</v>
      </c>
      <c r="D171" s="161" t="n">
        <v>57.9</v>
      </c>
      <c r="E171" s="163" t="n">
        <v>18</v>
      </c>
      <c r="F171" s="161" t="n">
        <v>41.3</v>
      </c>
      <c r="G171" s="27" t="n">
        <v>12</v>
      </c>
      <c r="H171" s="164" t="n">
        <v>450</v>
      </c>
      <c r="I171" s="165" t="n">
        <v>24000</v>
      </c>
      <c r="J171" s="165" t="inlineStr">
        <is>
          <t>6</t>
        </is>
      </c>
      <c r="K171" s="165" t="n">
        <v>13000</v>
      </c>
      <c r="L171" s="165" t="inlineStr">
        <is>
          <t>9</t>
        </is>
      </c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2</v>
      </c>
      <c r="R171" s="113" t="n">
        <v>1</v>
      </c>
      <c r="S171" s="113" t="inlineStr">
        <is>
          <t>복</t>
        </is>
      </c>
      <c r="T171" s="8" t="n">
        <v>57</v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inlineStr">
        <is>
          <t>만수주공5단지</t>
        </is>
      </c>
      <c r="B172" s="16" t="inlineStr">
        <is>
          <t>'87.09.</t>
        </is>
      </c>
      <c r="C172" s="164" t="n">
        <v>900</v>
      </c>
      <c r="D172" s="161" t="n">
        <v>68.90000000000001</v>
      </c>
      <c r="E172" s="163" t="n">
        <v>21</v>
      </c>
      <c r="F172" s="161" t="n">
        <v>49.9</v>
      </c>
      <c r="G172" s="27" t="n">
        <v>15</v>
      </c>
      <c r="H172" s="164" t="n">
        <v>180</v>
      </c>
      <c r="I172" s="165" t="n">
        <v>31000</v>
      </c>
      <c r="J172" s="165" t="inlineStr">
        <is>
          <t>9</t>
        </is>
      </c>
      <c r="K172" s="165" t="n">
        <v>16000</v>
      </c>
      <c r="L172" s="165" t="inlineStr">
        <is>
          <t>12</t>
        </is>
      </c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2</v>
      </c>
      <c r="R172" s="113" t="n">
        <v>1</v>
      </c>
      <c r="S172" s="113" t="inlineStr">
        <is>
          <t>복</t>
        </is>
      </c>
      <c r="T172" s="8" t="n">
        <v>68</v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n"/>
      <c r="B173" s="113" t="n"/>
      <c r="C173" s="10" t="n"/>
      <c r="D173" s="13" t="n"/>
      <c r="E173" s="20" t="n"/>
      <c r="F173" s="161" t="n"/>
      <c r="G173" s="13" t="n"/>
      <c r="H173" s="13" t="n"/>
      <c r="I173" s="13" t="n"/>
      <c r="J173" s="13" t="n"/>
      <c r="K173" s="13" t="n"/>
      <c r="L173" s="13" t="n"/>
      <c r="M173" s="13" t="n"/>
      <c r="N173" s="13" t="n"/>
      <c r="O173" s="162" t="n"/>
      <c r="P173" s="162" t="n"/>
      <c r="Q173" s="163" t="n"/>
      <c r="R173" s="163" t="n"/>
      <c r="S173" s="13" t="n"/>
      <c r="T173" s="70" t="n"/>
      <c r="U173" s="13" t="n"/>
      <c r="W173" s="107">
        <f>$A$4&amp;" "&amp;A174&amp;"("&amp;B174&amp;","&amp;C174&amp;"^)"</f>
        <v/>
      </c>
      <c r="X173" s="108" t="n"/>
      <c r="Y173" s="108" t="n"/>
      <c r="Z173" s="108" t="n"/>
      <c r="AA173" s="108" t="n"/>
      <c r="AB173" s="108" t="n"/>
      <c r="AC173" s="108" t="n"/>
      <c r="AD173" s="108" t="n"/>
      <c r="AE173" s="108" t="n"/>
      <c r="AF173" s="109" t="n"/>
      <c r="AH173" s="36">
        <f>IF(A173="","",A173)</f>
        <v/>
      </c>
      <c r="AI173" s="160">
        <f>IF(E173="","",E173)</f>
        <v/>
      </c>
      <c r="AJ173" s="113" t="n"/>
      <c r="AK173" s="113" t="n"/>
      <c r="AL173" s="113" t="n"/>
      <c r="AM173" s="113" t="n"/>
      <c r="AN173" s="113" t="n"/>
      <c r="AO173" s="113" t="n"/>
      <c r="AP173" s="113" t="n"/>
      <c r="AQ173" s="113" t="n"/>
      <c r="AR173" s="113" t="n"/>
      <c r="AS173" s="113" t="n"/>
      <c r="AT173" s="113" t="n"/>
      <c r="AU173" s="113" t="n"/>
      <c r="AV173" s="113" t="n"/>
    </row>
    <row r="174">
      <c r="A174" s="13" t="inlineStr">
        <is>
          <t>아주2차</t>
        </is>
      </c>
      <c r="B174" s="16" t="inlineStr">
        <is>
          <t>'88.04.</t>
        </is>
      </c>
      <c r="C174" s="164" t="n">
        <v>210</v>
      </c>
      <c r="D174" s="161" t="n">
        <v>48.8</v>
      </c>
      <c r="E174" s="163" t="n">
        <v>15</v>
      </c>
      <c r="F174" s="161" t="n">
        <v>39.7</v>
      </c>
      <c r="G174" s="27" t="n">
        <v>12</v>
      </c>
      <c r="H174" s="164" t="n">
        <v>48</v>
      </c>
      <c r="I174" s="165" t="n"/>
      <c r="J174" s="165" t="n"/>
      <c r="K174" s="165" t="n"/>
      <c r="L174" s="165" t="n"/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2</v>
      </c>
      <c r="R174" s="113" t="n">
        <v>1</v>
      </c>
      <c r="S174" s="113" t="inlineStr">
        <is>
          <t>계</t>
        </is>
      </c>
      <c r="T174" s="8" t="n">
        <v>48</v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아주2차</t>
        </is>
      </c>
      <c r="B175" s="16" t="inlineStr">
        <is>
          <t>'88.04.</t>
        </is>
      </c>
      <c r="C175" s="164" t="n">
        <v>210</v>
      </c>
      <c r="D175" s="161" t="n">
        <v>53.4</v>
      </c>
      <c r="E175" s="163" t="n">
        <v>16</v>
      </c>
      <c r="F175" s="161" t="n">
        <v>43.8</v>
      </c>
      <c r="G175" s="27" t="n">
        <v>13</v>
      </c>
      <c r="H175" s="164" t="n">
        <v>156</v>
      </c>
      <c r="I175" s="165" t="n"/>
      <c r="J175" s="165" t="n"/>
      <c r="K175" s="165" t="n"/>
      <c r="L175" s="165" t="n"/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2</v>
      </c>
      <c r="R175" s="113" t="n">
        <v>1</v>
      </c>
      <c r="S175" s="113" t="inlineStr">
        <is>
          <t>계</t>
        </is>
      </c>
      <c r="T175" s="8" t="n">
        <v>53</v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아주2차</t>
        </is>
      </c>
      <c r="B176" s="16" t="inlineStr">
        <is>
          <t>'88.04.</t>
        </is>
      </c>
      <c r="C176" s="164" t="n">
        <v>210</v>
      </c>
      <c r="D176" s="161" t="n">
        <v>68.3</v>
      </c>
      <c r="E176" s="163" t="n">
        <v>21</v>
      </c>
      <c r="F176" s="161" t="n">
        <v>52.6</v>
      </c>
      <c r="G176" s="27" t="n">
        <v>16</v>
      </c>
      <c r="H176" s="164" t="n">
        <v>6</v>
      </c>
      <c r="I176" s="165" t="n"/>
      <c r="J176" s="165" t="n"/>
      <c r="K176" s="165" t="n"/>
      <c r="L176" s="165" t="n"/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1</v>
      </c>
      <c r="S176" s="113" t="inlineStr">
        <is>
          <t>계</t>
        </is>
      </c>
      <c r="T176" s="8" t="n">
        <v>68</v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효성</t>
        </is>
      </c>
      <c r="B178" s="16" t="inlineStr">
        <is>
          <t>'85.06.</t>
        </is>
      </c>
      <c r="C178" s="164" t="n">
        <v>720</v>
      </c>
      <c r="D178" s="161" t="n">
        <v>79</v>
      </c>
      <c r="E178" s="163" t="n">
        <v>24</v>
      </c>
      <c r="F178" s="161" t="n">
        <v>60.3</v>
      </c>
      <c r="G178" s="27" t="n">
        <v>18</v>
      </c>
      <c r="H178" s="164" t="n">
        <v>60</v>
      </c>
      <c r="I178" s="165" t="n">
        <v>34500</v>
      </c>
      <c r="J178" s="165" t="inlineStr">
        <is>
          <t>9</t>
        </is>
      </c>
      <c r="K178" s="165" t="n">
        <v>24000</v>
      </c>
      <c r="L178" s="165" t="inlineStr">
        <is>
          <t>9</t>
        </is>
      </c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2</v>
      </c>
      <c r="R178" s="113" t="n">
        <v>1</v>
      </c>
      <c r="S178" s="113" t="inlineStr">
        <is>
          <t>복</t>
        </is>
      </c>
      <c r="T178" s="8" t="inlineStr">
        <is>
          <t>78A</t>
        </is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inlineStr">
        <is>
          <t>효성</t>
        </is>
      </c>
      <c r="B179" s="16" t="inlineStr">
        <is>
          <t>'85.06.</t>
        </is>
      </c>
      <c r="C179" s="164" t="n">
        <v>720</v>
      </c>
      <c r="D179" s="161" t="n">
        <v>82.90000000000001</v>
      </c>
      <c r="E179" s="163" t="n">
        <v>25</v>
      </c>
      <c r="F179" s="161" t="n">
        <v>62.1</v>
      </c>
      <c r="G179" s="27" t="n">
        <v>19</v>
      </c>
      <c r="H179" s="164" t="n">
        <v>1</v>
      </c>
      <c r="I179" s="165" t="n"/>
      <c r="J179" s="165" t="n"/>
      <c r="K179" s="165" t="n"/>
      <c r="L179" s="165" t="n"/>
      <c r="M179" s="166">
        <f>I179-K179</f>
        <v/>
      </c>
      <c r="N179" s="7">
        <f>IF(ISERROR(K179/I179),"",K179/I179)</f>
        <v/>
      </c>
      <c r="O179" s="162">
        <f>I179/E179</f>
        <v/>
      </c>
      <c r="P179" s="162">
        <f>K179/E179</f>
        <v/>
      </c>
      <c r="Q179" s="113" t="n">
        <v>3</v>
      </c>
      <c r="R179" s="113" t="n">
        <v>2</v>
      </c>
      <c r="S179" s="113" t="inlineStr">
        <is>
          <t>계</t>
        </is>
      </c>
      <c r="T179" s="8" t="inlineStr">
        <is>
          <t>82B</t>
        </is>
      </c>
      <c r="U179" s="13" t="n"/>
      <c r="W179" s="161">
        <f>D179</f>
        <v/>
      </c>
      <c r="X179" s="163">
        <f>E179</f>
        <v/>
      </c>
      <c r="Y179" s="159">
        <f>H179</f>
        <v/>
      </c>
      <c r="Z179" s="166">
        <f>I179</f>
        <v/>
      </c>
      <c r="AA179" s="166">
        <f>K179</f>
        <v/>
      </c>
      <c r="AB179" s="166">
        <f>M179</f>
        <v/>
      </c>
      <c r="AC179" s="7">
        <f>N179</f>
        <v/>
      </c>
      <c r="AD179" s="162">
        <f>O179</f>
        <v/>
      </c>
      <c r="AE179" s="113">
        <f>S179</f>
        <v/>
      </c>
      <c r="AF179" s="113">
        <f>Q179&amp;"/"&amp;R179</f>
        <v/>
      </c>
      <c r="AH179" s="36">
        <f>IF(A179="","",A179)</f>
        <v/>
      </c>
      <c r="AI179" s="163">
        <f>IF(E179="","",E179)</f>
        <v/>
      </c>
      <c r="AJ179" s="113">
        <f>IF(AI179="","",$AJ$2)</f>
        <v/>
      </c>
      <c r="AK179" s="113" t="inlineStr">
        <is>
          <t>A</t>
        </is>
      </c>
      <c r="AL179" s="113" t="inlineStr">
        <is>
          <t>A+</t>
        </is>
      </c>
      <c r="AM179" s="113" t="inlineStr">
        <is>
          <t>B+</t>
        </is>
      </c>
      <c r="AN179" s="113">
        <f>IF(AI179="","",$AN$2)</f>
        <v/>
      </c>
      <c r="AO179" s="113">
        <f>IF(N179="","",IF(N179&gt;=$AO$1/100,"O","X"))</f>
        <v/>
      </c>
      <c r="AP179" s="113">
        <f>IF(I179="","",IF(I179&lt;=$AP$1,"O","X"))</f>
        <v/>
      </c>
      <c r="AQ179" s="113">
        <f>IF(O179="","",IF(O179&lt;=$AQ$1,"O","X"))</f>
        <v/>
      </c>
      <c r="AR179" s="113">
        <f>IF(M179="","",IF(M179&lt;=$AR$1,"O","X"))</f>
        <v/>
      </c>
      <c r="AS179" s="113" t="inlineStr">
        <is>
          <t>X</t>
        </is>
      </c>
      <c r="AT179" s="113">
        <f>IF(OR(F179="",AI179=""),"",IF(AND((F179&lt;=85),(AI179&gt;=15)),"O","X"))</f>
        <v/>
      </c>
      <c r="AU179" s="113">
        <f>IF(C179="","",IF(C179&gt;=$AU$1,"O","X"))</f>
        <v/>
      </c>
      <c r="AV179" s="113">
        <f>IF(AO179="","",IF(AND(AO179="O",AP179="O",AR179="O",AT179="O",AU179="O"),"후보","X"))</f>
        <v/>
      </c>
    </row>
    <row r="180">
      <c r="A180" s="13" t="inlineStr">
        <is>
          <t>효성</t>
        </is>
      </c>
      <c r="B180" s="16" t="inlineStr">
        <is>
          <t>'85.06.</t>
        </is>
      </c>
      <c r="C180" s="164" t="n">
        <v>720</v>
      </c>
      <c r="D180" s="161" t="n">
        <v>88.09999999999999</v>
      </c>
      <c r="E180" s="163" t="n">
        <v>27</v>
      </c>
      <c r="F180" s="161" t="n">
        <v>78.09999999999999</v>
      </c>
      <c r="G180" s="27" t="n">
        <v>24</v>
      </c>
      <c r="H180" s="164" t="n">
        <v>180</v>
      </c>
      <c r="I180" s="165" t="n">
        <v>43000</v>
      </c>
      <c r="J180" s="165" t="inlineStr">
        <is>
          <t>6</t>
        </is>
      </c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88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효성</t>
        </is>
      </c>
      <c r="B181" s="16" t="inlineStr">
        <is>
          <t>'85.06.</t>
        </is>
      </c>
      <c r="C181" s="164" t="n">
        <v>720</v>
      </c>
      <c r="D181" s="161" t="n">
        <v>89.90000000000001</v>
      </c>
      <c r="E181" s="163" t="n">
        <v>27</v>
      </c>
      <c r="F181" s="161" t="n">
        <v>69.09999999999999</v>
      </c>
      <c r="G181" s="27" t="n">
        <v>21</v>
      </c>
      <c r="H181" s="164" t="n">
        <v>59</v>
      </c>
      <c r="I181" s="165" t="n">
        <v>40000</v>
      </c>
      <c r="J181" s="165" t="inlineStr">
        <is>
          <t>13</t>
        </is>
      </c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3</v>
      </c>
      <c r="R181" s="113" t="n">
        <v>1</v>
      </c>
      <c r="S181" s="113" t="inlineStr">
        <is>
          <t>복</t>
        </is>
      </c>
      <c r="T181" s="8" t="n">
        <v>89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효성</t>
        </is>
      </c>
      <c r="B182" s="16" t="inlineStr">
        <is>
          <t>'85.06.</t>
        </is>
      </c>
      <c r="C182" s="164" t="n">
        <v>720</v>
      </c>
      <c r="D182" s="161" t="n">
        <v>100.9</v>
      </c>
      <c r="E182" s="163" t="n">
        <v>31</v>
      </c>
      <c r="F182" s="161" t="n">
        <v>85</v>
      </c>
      <c r="G182" s="27" t="n">
        <v>26</v>
      </c>
      <c r="H182" s="164" t="n">
        <v>180</v>
      </c>
      <c r="I182" s="165" t="n">
        <v>43000</v>
      </c>
      <c r="J182" s="165" t="inlineStr">
        <is>
          <t>고</t>
        </is>
      </c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inlineStr">
        <is>
          <t>100B</t>
        </is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효성</t>
        </is>
      </c>
      <c r="B183" s="16" t="inlineStr">
        <is>
          <t>'85.06.</t>
        </is>
      </c>
      <c r="C183" s="164" t="n">
        <v>720</v>
      </c>
      <c r="D183" s="161" t="n">
        <v>101.8</v>
      </c>
      <c r="E183" s="163" t="n">
        <v>31</v>
      </c>
      <c r="F183" s="161" t="n">
        <v>84.7</v>
      </c>
      <c r="G183" s="27" t="n">
        <v>26</v>
      </c>
      <c r="H183" s="164" t="n">
        <v>180</v>
      </c>
      <c r="I183" s="165" t="n">
        <v>40000</v>
      </c>
      <c r="J183" s="165" t="inlineStr">
        <is>
          <t>15</t>
        </is>
      </c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1</v>
      </c>
      <c r="S183" s="113" t="inlineStr">
        <is>
          <t>계</t>
        </is>
      </c>
      <c r="T183" s="8" t="inlineStr">
        <is>
          <t>101A</t>
        </is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효성</t>
        </is>
      </c>
      <c r="B184" s="16" t="inlineStr">
        <is>
          <t>'85.06.</t>
        </is>
      </c>
      <c r="C184" s="164" t="n">
        <v>720</v>
      </c>
      <c r="D184" s="161" t="n">
        <v>141.2</v>
      </c>
      <c r="E184" s="163" t="n">
        <v>43</v>
      </c>
      <c r="F184" s="161" t="n">
        <v>121.2</v>
      </c>
      <c r="G184" s="27" t="n">
        <v>37</v>
      </c>
      <c r="H184" s="164" t="n">
        <v>59</v>
      </c>
      <c r="I184" s="165" t="n">
        <v>58000</v>
      </c>
      <c r="J184" s="165" t="inlineStr">
        <is>
          <t>고</t>
        </is>
      </c>
      <c r="K184" s="165" t="n">
        <v>38000</v>
      </c>
      <c r="L184" s="165" t="inlineStr">
        <is>
          <t>7</t>
        </is>
      </c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4</v>
      </c>
      <c r="R184" s="113" t="n">
        <v>2</v>
      </c>
      <c r="S184" s="113" t="inlineStr">
        <is>
          <t>계</t>
        </is>
      </c>
      <c r="T184" s="8" t="n">
        <v>141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inlineStr">
        <is>
          <t>효성</t>
        </is>
      </c>
      <c r="B185" s="16" t="inlineStr">
        <is>
          <t>'85.06.</t>
        </is>
      </c>
      <c r="C185" s="164" t="n">
        <v>720</v>
      </c>
      <c r="D185" s="161" t="n">
        <v>141.2</v>
      </c>
      <c r="E185" s="163" t="n">
        <v>43</v>
      </c>
      <c r="F185" s="161" t="n">
        <v>132.2</v>
      </c>
      <c r="G185" s="27" t="n">
        <v>40</v>
      </c>
      <c r="H185" s="164" t="n">
        <v>1</v>
      </c>
      <c r="I185" s="165" t="n"/>
      <c r="J185" s="165" t="n"/>
      <c r="K185" s="165" t="n"/>
      <c r="L185" s="165" t="n"/>
      <c r="M185" s="166">
        <f>I185-K185</f>
        <v/>
      </c>
      <c r="N185" s="7">
        <f>IF(ISERROR(K185/I185),"",K185/I185)</f>
        <v/>
      </c>
      <c r="O185" s="162">
        <f>I185/E185</f>
        <v/>
      </c>
      <c r="P185" s="162">
        <f>K185/E185</f>
        <v/>
      </c>
      <c r="Q185" s="113" t="n">
        <v>4</v>
      </c>
      <c r="R185" s="113" t="n">
        <v>2</v>
      </c>
      <c r="S185" s="113" t="inlineStr">
        <is>
          <t>계</t>
        </is>
      </c>
      <c r="T185" s="8" t="n">
        <v>141</v>
      </c>
      <c r="U185" s="13" t="n"/>
      <c r="W185" s="161">
        <f>D185</f>
        <v/>
      </c>
      <c r="X185" s="163">
        <f>E185</f>
        <v/>
      </c>
      <c r="Y185" s="159">
        <f>H185</f>
        <v/>
      </c>
      <c r="Z185" s="166">
        <f>I185</f>
        <v/>
      </c>
      <c r="AA185" s="166">
        <f>K185</f>
        <v/>
      </c>
      <c r="AB185" s="166">
        <f>M185</f>
        <v/>
      </c>
      <c r="AC185" s="7">
        <f>N185</f>
        <v/>
      </c>
      <c r="AD185" s="162">
        <f>O185</f>
        <v/>
      </c>
      <c r="AE185" s="113">
        <f>S185</f>
        <v/>
      </c>
      <c r="AF185" s="113">
        <f>Q185&amp;"/"&amp;R185</f>
        <v/>
      </c>
      <c r="AH185" s="36">
        <f>IF(A185="","",A185)</f>
        <v/>
      </c>
      <c r="AI185" s="163">
        <f>IF(E185="","",E185)</f>
        <v/>
      </c>
      <c r="AJ185" s="113">
        <f>IF(AI185="","",$AJ$2)</f>
        <v/>
      </c>
      <c r="AK185" s="113" t="inlineStr">
        <is>
          <t>A</t>
        </is>
      </c>
      <c r="AL185" s="113" t="inlineStr">
        <is>
          <t>A+</t>
        </is>
      </c>
      <c r="AM185" s="113" t="inlineStr">
        <is>
          <t>B+</t>
        </is>
      </c>
      <c r="AN185" s="113">
        <f>IF(AI185="","",$AN$2)</f>
        <v/>
      </c>
      <c r="AO185" s="113">
        <f>IF(N185="","",IF(N185&gt;=$AO$1/100,"O","X"))</f>
        <v/>
      </c>
      <c r="AP185" s="113">
        <f>IF(I185="","",IF(I185&lt;=$AP$1,"O","X"))</f>
        <v/>
      </c>
      <c r="AQ185" s="113">
        <f>IF(O185="","",IF(O185&lt;=$AQ$1,"O","X"))</f>
        <v/>
      </c>
      <c r="AR185" s="113">
        <f>IF(M185="","",IF(M185&lt;=$AR$1,"O","X"))</f>
        <v/>
      </c>
      <c r="AS185" s="113" t="inlineStr">
        <is>
          <t>X</t>
        </is>
      </c>
      <c r="AT185" s="113">
        <f>IF(OR(F185="",AI185=""),"",IF(AND((F185&lt;=85),(AI185&gt;=15)),"O","X"))</f>
        <v/>
      </c>
      <c r="AU185" s="113">
        <f>IF(C185="","",IF(C185&gt;=$AU$1,"O","X"))</f>
        <v/>
      </c>
      <c r="AV185" s="113">
        <f>IF(AO185="","",IF(AND(AO185="O",AP185="O",AR185="O",AT185="O",AU185="O"),"후보","X"))</f>
        <v/>
      </c>
    </row>
  </sheetData>
  <mergeCells count="1">
    <mergeCell ref="AJ1:AN1"/>
  </mergeCells>
  <conditionalFormatting sqref="AV4:AV6">
    <cfRule type="expression" priority="2959" dxfId="17">
      <formula>AV4="X"</formula>
    </cfRule>
    <cfRule type="expression" priority="2960" dxfId="16">
      <formula>AV4="후보"</formula>
    </cfRule>
  </conditionalFormatting>
  <conditionalFormatting sqref="AC1:AC2 AC4:AC6 N4:N5">
    <cfRule type="cellIs" priority="2956" operator="greaterThan" dxfId="13">
      <formula>0.9</formula>
    </cfRule>
    <cfRule type="cellIs" priority="2957" operator="greaterThan" dxfId="12">
      <formula>0.85</formula>
    </cfRule>
  </conditionalFormatting>
  <conditionalFormatting sqref="N1:N2">
    <cfRule type="cellIs" priority="2954" operator="greaterThan" dxfId="13">
      <formula>0.9</formula>
    </cfRule>
    <cfRule type="cellIs" priority="2955" operator="greaterThan" dxfId="12">
      <formula>0.85</formula>
    </cfRule>
  </conditionalFormatting>
  <conditionalFormatting sqref="N6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E6">
    <cfRule type="expression" priority="2948" dxfId="3">
      <formula>AND(IF(OR($Q6=1,$Q6=2),1,0),IF($X6&lt;=20,1,0))</formula>
    </cfRule>
    <cfRule type="expression" priority="2949" dxfId="2">
      <formula>AND(IF($Q6=2,1,0),IF($X6&lt;30,1,0))</formula>
    </cfRule>
    <cfRule type="expression" priority="2950" dxfId="1">
      <formula>AND(IF($Q6=3,1,0),IF($X6&lt;30,1,0))</formula>
    </cfRule>
    <cfRule type="expression" priority="2951" dxfId="0">
      <formula>AND(IF($Q6=3,1,IF($Q6=4,1,0)),IF($F6&lt;=85,1,0))</formula>
    </cfRule>
  </conditionalFormatting>
  <conditionalFormatting sqref="X6">
    <cfRule type="expression" priority="2944" dxfId="3">
      <formula>AND(IF(OR($Q6=1,$Q6=2),1,0),IF($X6&lt;=20,1,0))</formula>
    </cfRule>
    <cfRule type="expression" priority="2945" dxfId="2">
      <formula>AND(IF($Q6=2,1,0),IF($X6&lt;30,1,0))</formula>
    </cfRule>
    <cfRule type="expression" priority="2946" dxfId="1">
      <formula>AND(IF($Q6=3,1,0),IF($X6&lt;30,1,0))</formula>
    </cfRule>
    <cfRule type="expression" priority="2947" dxfId="0">
      <formula>AND(IF($Q6=3,1,IF($Q6=4,1,0)),IF($F6&lt;=85,1,0))</formula>
    </cfRule>
  </conditionalFormatting>
  <conditionalFormatting sqref="AI6">
    <cfRule type="expression" priority="2940" dxfId="3">
      <formula>AND(IF(OR($Q6=1,$Q6=2),1,0),IF($X6&lt;=20,1,0))</formula>
    </cfRule>
    <cfRule type="expression" priority="2941" dxfId="2">
      <formula>AND(IF($Q6=2,1,0),IF($X6&lt;30,1,0))</formula>
    </cfRule>
    <cfRule type="expression" priority="2942" dxfId="1">
      <formula>AND(IF($Q6=3,1,0),IF($X6&lt;30,1,0))</formula>
    </cfRule>
    <cfRule type="expression" priority="2943" dxfId="0">
      <formula>AND(IF($Q6=3,1,IF($Q6=4,1,0)),IF($F6&lt;=85,1,0))</formula>
    </cfRule>
  </conditionalFormatting>
  <conditionalFormatting sqref="AV7">
    <cfRule type="expression" priority="2938" dxfId="17">
      <formula>AV7="X"</formula>
    </cfRule>
    <cfRule type="expression" priority="2939" dxfId="16">
      <formula>AV7="후보"</formula>
    </cfRule>
  </conditionalFormatting>
  <conditionalFormatting sqref="AC7">
    <cfRule type="cellIs" priority="2935" operator="greaterThan" dxfId="13">
      <formula>0.9</formula>
    </cfRule>
    <cfRule type="cellIs" priority="2936" operator="greaterThan" dxfId="12">
      <formula>0.85</formula>
    </cfRule>
  </conditionalFormatting>
  <conditionalFormatting sqref="N7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E7">
    <cfRule type="expression" priority="2929" dxfId="3">
      <formula>AND(IF(OR($Q7=1,$Q7=2),1,0),IF($X7&lt;=20,1,0))</formula>
    </cfRule>
    <cfRule type="expression" priority="2930" dxfId="2">
      <formula>AND(IF($Q7=2,1,0),IF($X7&lt;30,1,0))</formula>
    </cfRule>
    <cfRule type="expression" priority="2931" dxfId="1">
      <formula>AND(IF($Q7=3,1,0),IF($X7&lt;30,1,0))</formula>
    </cfRule>
    <cfRule type="expression" priority="2932" dxfId="0">
      <formula>AND(IF($Q7=3,1,IF($Q7=4,1,0)),IF($F7&lt;=85,1,0))</formula>
    </cfRule>
  </conditionalFormatting>
  <conditionalFormatting sqref="X7">
    <cfRule type="expression" priority="2925" dxfId="3">
      <formula>AND(IF(OR($Q7=1,$Q7=2),1,0),IF($X7&lt;=20,1,0))</formula>
    </cfRule>
    <cfRule type="expression" priority="2926" dxfId="2">
      <formula>AND(IF($Q7=2,1,0),IF($X7&lt;30,1,0))</formula>
    </cfRule>
    <cfRule type="expression" priority="2927" dxfId="1">
      <formula>AND(IF($Q7=3,1,0),IF($X7&lt;30,1,0))</formula>
    </cfRule>
    <cfRule type="expression" priority="2928" dxfId="0">
      <formula>AND(IF($Q7=3,1,IF($Q7=4,1,0)),IF($F7&lt;=85,1,0))</formula>
    </cfRule>
  </conditionalFormatting>
  <conditionalFormatting sqref="AI7">
    <cfRule type="expression" priority="2921" dxfId="3">
      <formula>AND(IF(OR($Q7=1,$Q7=2),1,0),IF($X7&lt;=20,1,0))</formula>
    </cfRule>
    <cfRule type="expression" priority="2922" dxfId="2">
      <formula>AND(IF($Q7=2,1,0),IF($X7&lt;30,1,0))</formula>
    </cfRule>
    <cfRule type="expression" priority="2923" dxfId="1">
      <formula>AND(IF($Q7=3,1,0),IF($X7&lt;30,1,0))</formula>
    </cfRule>
    <cfRule type="expression" priority="2924" dxfId="0">
      <formula>AND(IF($Q7=3,1,IF($Q7=4,1,0)),IF($F7&lt;=85,1,0))</formula>
    </cfRule>
  </conditionalFormatting>
  <conditionalFormatting sqref="AV8">
    <cfRule type="expression" priority="2919" dxfId="17">
      <formula>AV8="X"</formula>
    </cfRule>
    <cfRule type="expression" priority="2920" dxfId="16">
      <formula>AV8="후보"</formula>
    </cfRule>
  </conditionalFormatting>
  <conditionalFormatting sqref="AC8">
    <cfRule type="cellIs" priority="2916" operator="greaterThan" dxfId="13">
      <formula>0.9</formula>
    </cfRule>
    <cfRule type="cellIs" priority="2917" operator="greaterThan" dxfId="12">
      <formula>0.85</formula>
    </cfRule>
  </conditionalFormatting>
  <conditionalFormatting sqref="N8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E8">
    <cfRule type="expression" priority="2910" dxfId="3">
      <formula>AND(IF(OR($Q8=1,$Q8=2),1,0),IF($X8&lt;=20,1,0))</formula>
    </cfRule>
    <cfRule type="expression" priority="2911" dxfId="2">
      <formula>AND(IF($Q8=2,1,0),IF($X8&lt;30,1,0))</formula>
    </cfRule>
    <cfRule type="expression" priority="2912" dxfId="1">
      <formula>AND(IF($Q8=3,1,0),IF($X8&lt;30,1,0))</formula>
    </cfRule>
    <cfRule type="expression" priority="2913" dxfId="0">
      <formula>AND(IF($Q8=3,1,IF($Q8=4,1,0)),IF($F8&lt;=85,1,0))</formula>
    </cfRule>
  </conditionalFormatting>
  <conditionalFormatting sqref="X8">
    <cfRule type="expression" priority="2906" dxfId="3">
      <formula>AND(IF(OR($Q8=1,$Q8=2),1,0),IF($X8&lt;=20,1,0))</formula>
    </cfRule>
    <cfRule type="expression" priority="2907" dxfId="2">
      <formula>AND(IF($Q8=2,1,0),IF($X8&lt;30,1,0))</formula>
    </cfRule>
    <cfRule type="expression" priority="2908" dxfId="1">
      <formula>AND(IF($Q8=3,1,0),IF($X8&lt;30,1,0))</formula>
    </cfRule>
    <cfRule type="expression" priority="2909" dxfId="0">
      <formula>AND(IF($Q8=3,1,IF($Q8=4,1,0)),IF($F8&lt;=85,1,0))</formula>
    </cfRule>
  </conditionalFormatting>
  <conditionalFormatting sqref="AI8">
    <cfRule type="expression" priority="2902" dxfId="3">
      <formula>AND(IF(OR($Q8=1,$Q8=2),1,0),IF($X8&lt;=20,1,0))</formula>
    </cfRule>
    <cfRule type="expression" priority="2903" dxfId="2">
      <formula>AND(IF($Q8=2,1,0),IF($X8&lt;30,1,0))</formula>
    </cfRule>
    <cfRule type="expression" priority="2904" dxfId="1">
      <formula>AND(IF($Q8=3,1,0),IF($X8&lt;30,1,0))</formula>
    </cfRule>
    <cfRule type="expression" priority="2905" dxfId="0">
      <formula>AND(IF($Q8=3,1,IF($Q8=4,1,0)),IF($F8&lt;=85,1,0))</formula>
    </cfRule>
  </conditionalFormatting>
  <conditionalFormatting sqref="AV9">
    <cfRule type="expression" priority="2900" dxfId="17">
      <formula>AV9="X"</formula>
    </cfRule>
    <cfRule type="expression" priority="2901" dxfId="16">
      <formula>AV9="후보"</formula>
    </cfRule>
  </conditionalFormatting>
  <conditionalFormatting sqref="AC9 N9">
    <cfRule type="cellIs" priority="2897" operator="greaterThan" dxfId="13">
      <formula>0.9</formula>
    </cfRule>
    <cfRule type="cellIs" priority="2898" operator="greaterThan" dxfId="12">
      <formula>0.85</formula>
    </cfRule>
  </conditionalFormatting>
  <conditionalFormatting sqref="AV10">
    <cfRule type="expression" priority="2895" dxfId="17">
      <formula>AV10="X"</formula>
    </cfRule>
    <cfRule type="expression" priority="2896" dxfId="16">
      <formula>AV10="후보"</formula>
    </cfRule>
  </conditionalFormatting>
  <conditionalFormatting sqref="AC10">
    <cfRule type="cellIs" priority="2892" operator="greaterThan" dxfId="13">
      <formula>0.9</formula>
    </cfRule>
    <cfRule type="cellIs" priority="2893" operator="greaterThan" dxfId="12">
      <formula>0.85</formula>
    </cfRule>
  </conditionalFormatting>
  <conditionalFormatting sqref="N10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E10">
    <cfRule type="expression" priority="2886" dxfId="3">
      <formula>AND(IF(OR($Q10=1,$Q10=2),1,0),IF($X10&lt;=20,1,0))</formula>
    </cfRule>
    <cfRule type="expression" priority="2887" dxfId="2">
      <formula>AND(IF($Q10=2,1,0),IF($X10&lt;30,1,0))</formula>
    </cfRule>
    <cfRule type="expression" priority="2888" dxfId="1">
      <formula>AND(IF($Q10=3,1,0),IF($X10&lt;30,1,0))</formula>
    </cfRule>
    <cfRule type="expression" priority="2889" dxfId="0">
      <formula>AND(IF($Q10=3,1,IF($Q10=4,1,0)),IF($F10&lt;=85,1,0))</formula>
    </cfRule>
  </conditionalFormatting>
  <conditionalFormatting sqref="X10">
    <cfRule type="expression" priority="2882" dxfId="3">
      <formula>AND(IF(OR($Q10=1,$Q10=2),1,0),IF($X10&lt;=20,1,0))</formula>
    </cfRule>
    <cfRule type="expression" priority="2883" dxfId="2">
      <formula>AND(IF($Q10=2,1,0),IF($X10&lt;30,1,0))</formula>
    </cfRule>
    <cfRule type="expression" priority="2884" dxfId="1">
      <formula>AND(IF($Q10=3,1,0),IF($X10&lt;30,1,0))</formula>
    </cfRule>
    <cfRule type="expression" priority="2885" dxfId="0">
      <formula>AND(IF($Q10=3,1,IF($Q10=4,1,0)),IF($F10&lt;=85,1,0))</formula>
    </cfRule>
  </conditionalFormatting>
  <conditionalFormatting sqref="AI10">
    <cfRule type="expression" priority="2878" dxfId="3">
      <formula>AND(IF(OR($Q10=1,$Q10=2),1,0),IF($X10&lt;=20,1,0))</formula>
    </cfRule>
    <cfRule type="expression" priority="2879" dxfId="2">
      <formula>AND(IF($Q10=2,1,0),IF($X10&lt;30,1,0))</formula>
    </cfRule>
    <cfRule type="expression" priority="2880" dxfId="1">
      <formula>AND(IF($Q10=3,1,0),IF($X10&lt;30,1,0))</formula>
    </cfRule>
    <cfRule type="expression" priority="2881" dxfId="0">
      <formula>AND(IF($Q10=3,1,IF($Q10=4,1,0)),IF($F10&lt;=85,1,0))</formula>
    </cfRule>
  </conditionalFormatting>
  <conditionalFormatting sqref="AV11">
    <cfRule type="expression" priority="2876" dxfId="17">
      <formula>AV11="X"</formula>
    </cfRule>
    <cfRule type="expression" priority="2877" dxfId="16">
      <formula>AV11="후보"</formula>
    </cfRule>
  </conditionalFormatting>
  <conditionalFormatting sqref="AC11">
    <cfRule type="cellIs" priority="2873" operator="greaterThan" dxfId="13">
      <formula>0.9</formula>
    </cfRule>
    <cfRule type="cellIs" priority="2874" operator="greaterThan" dxfId="12">
      <formula>0.85</formula>
    </cfRule>
  </conditionalFormatting>
  <conditionalFormatting sqref="N11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E11">
    <cfRule type="expression" priority="2867" dxfId="3">
      <formula>AND(IF(OR($Q11=1,$Q11=2),1,0),IF($X11&lt;=20,1,0))</formula>
    </cfRule>
    <cfRule type="expression" priority="2868" dxfId="2">
      <formula>AND(IF($Q11=2,1,0),IF($X11&lt;30,1,0))</formula>
    </cfRule>
    <cfRule type="expression" priority="2869" dxfId="1">
      <formula>AND(IF($Q11=3,1,0),IF($X11&lt;30,1,0))</formula>
    </cfRule>
    <cfRule type="expression" priority="2870" dxfId="0">
      <formula>AND(IF($Q11=3,1,IF($Q11=4,1,0)),IF($F11&lt;=85,1,0))</formula>
    </cfRule>
  </conditionalFormatting>
  <conditionalFormatting sqref="X11">
    <cfRule type="expression" priority="2863" dxfId="3">
      <formula>AND(IF(OR($Q11=1,$Q11=2),1,0),IF($X11&lt;=20,1,0))</formula>
    </cfRule>
    <cfRule type="expression" priority="2864" dxfId="2">
      <formula>AND(IF($Q11=2,1,0),IF($X11&lt;30,1,0))</formula>
    </cfRule>
    <cfRule type="expression" priority="2865" dxfId="1">
      <formula>AND(IF($Q11=3,1,0),IF($X11&lt;30,1,0))</formula>
    </cfRule>
    <cfRule type="expression" priority="2866" dxfId="0">
      <formula>AND(IF($Q11=3,1,IF($Q11=4,1,0)),IF($F11&lt;=85,1,0))</formula>
    </cfRule>
  </conditionalFormatting>
  <conditionalFormatting sqref="AI11">
    <cfRule type="expression" priority="2859" dxfId="3">
      <formula>AND(IF(OR($Q11=1,$Q11=2),1,0),IF($X11&lt;=20,1,0))</formula>
    </cfRule>
    <cfRule type="expression" priority="2860" dxfId="2">
      <formula>AND(IF($Q11=2,1,0),IF($X11&lt;30,1,0))</formula>
    </cfRule>
    <cfRule type="expression" priority="2861" dxfId="1">
      <formula>AND(IF($Q11=3,1,0),IF($X11&lt;30,1,0))</formula>
    </cfRule>
    <cfRule type="expression" priority="2862" dxfId="0">
      <formula>AND(IF($Q11=3,1,IF($Q11=4,1,0)),IF($F11&lt;=85,1,0))</formula>
    </cfRule>
  </conditionalFormatting>
  <conditionalFormatting sqref="AV12">
    <cfRule type="expression" priority="2857" dxfId="17">
      <formula>AV12="X"</formula>
    </cfRule>
    <cfRule type="expression" priority="2858" dxfId="16">
      <formula>AV12="후보"</formula>
    </cfRule>
  </conditionalFormatting>
  <conditionalFormatting sqref="AC12 N12">
    <cfRule type="cellIs" priority="2854" operator="greaterThan" dxfId="13">
      <formula>0.9</formula>
    </cfRule>
    <cfRule type="cellIs" priority="2855" operator="greaterThan" dxfId="12">
      <formula>0.85</formula>
    </cfRule>
  </conditionalFormatting>
  <conditionalFormatting sqref="AV13">
    <cfRule type="expression" priority="2852" dxfId="17">
      <formula>AV13="X"</formula>
    </cfRule>
    <cfRule type="expression" priority="2853" dxfId="16">
      <formula>AV13="후보"</formula>
    </cfRule>
  </conditionalFormatting>
  <conditionalFormatting sqref="AC13">
    <cfRule type="cellIs" priority="2849" operator="greaterThan" dxfId="13">
      <formula>0.9</formula>
    </cfRule>
    <cfRule type="cellIs" priority="2850" operator="greaterThan" dxfId="12">
      <formula>0.85</formula>
    </cfRule>
  </conditionalFormatting>
  <conditionalFormatting sqref="N13">
    <cfRule type="cellIs" priority="2847" operator="greaterThan" dxfId="13">
      <formula>0.9</formula>
    </cfRule>
    <cfRule type="cellIs" priority="2848" operator="greaterThan" dxfId="12">
      <formula>0.85</formula>
    </cfRule>
  </conditionalFormatting>
  <conditionalFormatting sqref="E13">
    <cfRule type="expression" priority="2843" dxfId="3">
      <formula>AND(IF(OR($Q13=1,$Q13=2),1,0),IF($X13&lt;=20,1,0))</formula>
    </cfRule>
    <cfRule type="expression" priority="2844" dxfId="2">
      <formula>AND(IF($Q13=2,1,0),IF($X13&lt;30,1,0))</formula>
    </cfRule>
    <cfRule type="expression" priority="2845" dxfId="1">
      <formula>AND(IF($Q13=3,1,0),IF($X13&lt;30,1,0))</formula>
    </cfRule>
    <cfRule type="expression" priority="2846" dxfId="0">
      <formula>AND(IF($Q13=3,1,IF($Q13=4,1,0)),IF($F13&lt;=85,1,0))</formula>
    </cfRule>
  </conditionalFormatting>
  <conditionalFormatting sqref="X13">
    <cfRule type="expression" priority="2839" dxfId="3">
      <formula>AND(IF(OR($Q13=1,$Q13=2),1,0),IF($X13&lt;=20,1,0))</formula>
    </cfRule>
    <cfRule type="expression" priority="2840" dxfId="2">
      <formula>AND(IF($Q13=2,1,0),IF($X13&lt;30,1,0))</formula>
    </cfRule>
    <cfRule type="expression" priority="2841" dxfId="1">
      <formula>AND(IF($Q13=3,1,0),IF($X13&lt;30,1,0))</formula>
    </cfRule>
    <cfRule type="expression" priority="2842" dxfId="0">
      <formula>AND(IF($Q13=3,1,IF($Q13=4,1,0)),IF($F13&lt;=85,1,0))</formula>
    </cfRule>
  </conditionalFormatting>
  <conditionalFormatting sqref="AI13">
    <cfRule type="expression" priority="2835" dxfId="3">
      <formula>AND(IF(OR($Q13=1,$Q13=2),1,0),IF($X13&lt;=20,1,0))</formula>
    </cfRule>
    <cfRule type="expression" priority="2836" dxfId="2">
      <formula>AND(IF($Q13=2,1,0),IF($X13&lt;30,1,0))</formula>
    </cfRule>
    <cfRule type="expression" priority="2837" dxfId="1">
      <formula>AND(IF($Q13=3,1,0),IF($X13&lt;30,1,0))</formula>
    </cfRule>
    <cfRule type="expression" priority="2838" dxfId="0">
      <formula>AND(IF($Q13=3,1,IF($Q13=4,1,0)),IF($F13&lt;=85,1,0))</formula>
    </cfRule>
  </conditionalFormatting>
  <conditionalFormatting sqref="AV14">
    <cfRule type="expression" priority="2833" dxfId="17">
      <formula>AV14="X"</formula>
    </cfRule>
    <cfRule type="expression" priority="2834" dxfId="16">
      <formula>AV14="후보"</formula>
    </cfRule>
  </conditionalFormatting>
  <conditionalFormatting sqref="AC14">
    <cfRule type="cellIs" priority="2830" operator="greaterThan" dxfId="13">
      <formula>0.9</formula>
    </cfRule>
    <cfRule type="cellIs" priority="2831" operator="greaterThan" dxfId="12">
      <formula>0.85</formula>
    </cfRule>
  </conditionalFormatting>
  <conditionalFormatting sqref="N14">
    <cfRule type="cellIs" priority="2828" operator="greaterThan" dxfId="13">
      <formula>0.9</formula>
    </cfRule>
    <cfRule type="cellIs" priority="2829" operator="greaterThan" dxfId="12">
      <formula>0.85</formula>
    </cfRule>
  </conditionalFormatting>
  <conditionalFormatting sqref="E14">
    <cfRule type="expression" priority="2824" dxfId="3">
      <formula>AND(IF(OR($Q14=1,$Q14=2),1,0),IF($X14&lt;=20,1,0))</formula>
    </cfRule>
    <cfRule type="expression" priority="2825" dxfId="2">
      <formula>AND(IF($Q14=2,1,0),IF($X14&lt;30,1,0))</formula>
    </cfRule>
    <cfRule type="expression" priority="2826" dxfId="1">
      <formula>AND(IF($Q14=3,1,0),IF($X14&lt;30,1,0))</formula>
    </cfRule>
    <cfRule type="expression" priority="2827" dxfId="0">
      <formula>AND(IF($Q14=3,1,IF($Q14=4,1,0)),IF($F14&lt;=85,1,0))</formula>
    </cfRule>
  </conditionalFormatting>
  <conditionalFormatting sqref="X14">
    <cfRule type="expression" priority="2820" dxfId="3">
      <formula>AND(IF(OR($Q14=1,$Q14=2),1,0),IF($X14&lt;=20,1,0))</formula>
    </cfRule>
    <cfRule type="expression" priority="2821" dxfId="2">
      <formula>AND(IF($Q14=2,1,0),IF($X14&lt;30,1,0))</formula>
    </cfRule>
    <cfRule type="expression" priority="2822" dxfId="1">
      <formula>AND(IF($Q14=3,1,0),IF($X14&lt;30,1,0))</formula>
    </cfRule>
    <cfRule type="expression" priority="2823" dxfId="0">
      <formula>AND(IF($Q14=3,1,IF($Q14=4,1,0)),IF($F14&lt;=85,1,0))</formula>
    </cfRule>
  </conditionalFormatting>
  <conditionalFormatting sqref="AI14">
    <cfRule type="expression" priority="2816" dxfId="3">
      <formula>AND(IF(OR($Q14=1,$Q14=2),1,0),IF($X14&lt;=20,1,0))</formula>
    </cfRule>
    <cfRule type="expression" priority="2817" dxfId="2">
      <formula>AND(IF($Q14=2,1,0),IF($X14&lt;30,1,0))</formula>
    </cfRule>
    <cfRule type="expression" priority="2818" dxfId="1">
      <formula>AND(IF($Q14=3,1,0),IF($X14&lt;30,1,0))</formula>
    </cfRule>
    <cfRule type="expression" priority="2819" dxfId="0">
      <formula>AND(IF($Q14=3,1,IF($Q14=4,1,0)),IF($F14&lt;=85,1,0))</formula>
    </cfRule>
  </conditionalFormatting>
  <conditionalFormatting sqref="AV15">
    <cfRule type="expression" priority="2814" dxfId="17">
      <formula>AV15="X"</formula>
    </cfRule>
    <cfRule type="expression" priority="2815" dxfId="16">
      <formula>AV15="후보"</formula>
    </cfRule>
  </conditionalFormatting>
  <conditionalFormatting sqref="AC15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15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15">
    <cfRule type="expression" priority="2805" dxfId="3">
      <formula>AND(IF(OR($Q15=1,$Q15=2),1,0),IF($X15&lt;=20,1,0))</formula>
    </cfRule>
    <cfRule type="expression" priority="2806" dxfId="2">
      <formula>AND(IF($Q15=2,1,0),IF($X15&lt;30,1,0))</formula>
    </cfRule>
    <cfRule type="expression" priority="2807" dxfId="1">
      <formula>AND(IF($Q15=3,1,0),IF($X15&lt;30,1,0))</formula>
    </cfRule>
    <cfRule type="expression" priority="2808" dxfId="0">
      <formula>AND(IF($Q15=3,1,IF($Q15=4,1,0)),IF($F15&lt;=85,1,0))</formula>
    </cfRule>
  </conditionalFormatting>
  <conditionalFormatting sqref="X15">
    <cfRule type="expression" priority="2801" dxfId="3">
      <formula>AND(IF(OR($Q15=1,$Q15=2),1,0),IF($X15&lt;=20,1,0))</formula>
    </cfRule>
    <cfRule type="expression" priority="2802" dxfId="2">
      <formula>AND(IF($Q15=2,1,0),IF($X15&lt;30,1,0))</formula>
    </cfRule>
    <cfRule type="expression" priority="2803" dxfId="1">
      <formula>AND(IF($Q15=3,1,0),IF($X15&lt;30,1,0))</formula>
    </cfRule>
    <cfRule type="expression" priority="2804" dxfId="0">
      <formula>AND(IF($Q15=3,1,IF($Q15=4,1,0)),IF($F15&lt;=85,1,0))</formula>
    </cfRule>
  </conditionalFormatting>
  <conditionalFormatting sqref="AI15">
    <cfRule type="expression" priority="2797" dxfId="3">
      <formula>AND(IF(OR($Q15=1,$Q15=2),1,0),IF($X15&lt;=20,1,0))</formula>
    </cfRule>
    <cfRule type="expression" priority="2798" dxfId="2">
      <formula>AND(IF($Q15=2,1,0),IF($X15&lt;30,1,0))</formula>
    </cfRule>
    <cfRule type="expression" priority="2799" dxfId="1">
      <formula>AND(IF($Q15=3,1,0),IF($X15&lt;30,1,0))</formula>
    </cfRule>
    <cfRule type="expression" priority="2800" dxfId="0">
      <formula>AND(IF($Q15=3,1,IF($Q15=4,1,0)),IF($F15&lt;=85,1,0))</formula>
    </cfRule>
  </conditionalFormatting>
  <conditionalFormatting sqref="AV16">
    <cfRule type="expression" priority="2795" dxfId="17">
      <formula>AV16="X"</formula>
    </cfRule>
    <cfRule type="expression" priority="2796" dxfId="16">
      <formula>AV16="후보"</formula>
    </cfRule>
  </conditionalFormatting>
  <conditionalFormatting sqref="AC16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16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16">
    <cfRule type="expression" priority="2786" dxfId="3">
      <formula>AND(IF(OR($Q16=1,$Q16=2),1,0),IF($X16&lt;=20,1,0))</formula>
    </cfRule>
    <cfRule type="expression" priority="2787" dxfId="2">
      <formula>AND(IF($Q16=2,1,0),IF($X16&lt;30,1,0))</formula>
    </cfRule>
    <cfRule type="expression" priority="2788" dxfId="1">
      <formula>AND(IF($Q16=3,1,0),IF($X16&lt;30,1,0))</formula>
    </cfRule>
    <cfRule type="expression" priority="2789" dxfId="0">
      <formula>AND(IF($Q16=3,1,IF($Q16=4,1,0)),IF($F16&lt;=85,1,0))</formula>
    </cfRule>
  </conditionalFormatting>
  <conditionalFormatting sqref="X16">
    <cfRule type="expression" priority="2782" dxfId="3">
      <formula>AND(IF(OR($Q16=1,$Q16=2),1,0),IF($X16&lt;=20,1,0))</formula>
    </cfRule>
    <cfRule type="expression" priority="2783" dxfId="2">
      <formula>AND(IF($Q16=2,1,0),IF($X16&lt;30,1,0))</formula>
    </cfRule>
    <cfRule type="expression" priority="2784" dxfId="1">
      <formula>AND(IF($Q16=3,1,0),IF($X16&lt;30,1,0))</formula>
    </cfRule>
    <cfRule type="expression" priority="2785" dxfId="0">
      <formula>AND(IF($Q16=3,1,IF($Q16=4,1,0)),IF($F16&lt;=85,1,0))</formula>
    </cfRule>
  </conditionalFormatting>
  <conditionalFormatting sqref="AI16">
    <cfRule type="expression" priority="2778" dxfId="3">
      <formula>AND(IF(OR($Q16=1,$Q16=2),1,0),IF($X16&lt;=20,1,0))</formula>
    </cfRule>
    <cfRule type="expression" priority="2779" dxfId="2">
      <formula>AND(IF($Q16=2,1,0),IF($X16&lt;30,1,0))</formula>
    </cfRule>
    <cfRule type="expression" priority="2780" dxfId="1">
      <formula>AND(IF($Q16=3,1,0),IF($X16&lt;30,1,0))</formula>
    </cfRule>
    <cfRule type="expression" priority="2781" dxfId="0">
      <formula>AND(IF($Q16=3,1,IF($Q16=4,1,0)),IF($F16&lt;=85,1,0))</formula>
    </cfRule>
  </conditionalFormatting>
  <conditionalFormatting sqref="AV17">
    <cfRule type="expression" priority="2776" dxfId="17">
      <formula>AV17="X"</formula>
    </cfRule>
    <cfRule type="expression" priority="2777" dxfId="16">
      <formula>AV17="후보"</formula>
    </cfRule>
  </conditionalFormatting>
  <conditionalFormatting sqref="AC17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17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17">
    <cfRule type="expression" priority="2767" dxfId="3">
      <formula>AND(IF(OR($Q17=1,$Q17=2),1,0),IF($X17&lt;=20,1,0))</formula>
    </cfRule>
    <cfRule type="expression" priority="2768" dxfId="2">
      <formula>AND(IF($Q17=2,1,0),IF($X17&lt;30,1,0))</formula>
    </cfRule>
    <cfRule type="expression" priority="2769" dxfId="1">
      <formula>AND(IF($Q17=3,1,0),IF($X17&lt;30,1,0))</formula>
    </cfRule>
    <cfRule type="expression" priority="2770" dxfId="0">
      <formula>AND(IF($Q17=3,1,IF($Q17=4,1,0)),IF($F17&lt;=85,1,0))</formula>
    </cfRule>
  </conditionalFormatting>
  <conditionalFormatting sqref="X17">
    <cfRule type="expression" priority="2763" dxfId="3">
      <formula>AND(IF(OR($Q17=1,$Q17=2),1,0),IF($X17&lt;=20,1,0))</formula>
    </cfRule>
    <cfRule type="expression" priority="2764" dxfId="2">
      <formula>AND(IF($Q17=2,1,0),IF($X17&lt;30,1,0))</formula>
    </cfRule>
    <cfRule type="expression" priority="2765" dxfId="1">
      <formula>AND(IF($Q17=3,1,0),IF($X17&lt;30,1,0))</formula>
    </cfRule>
    <cfRule type="expression" priority="2766" dxfId="0">
      <formula>AND(IF($Q17=3,1,IF($Q17=4,1,0)),IF($F17&lt;=85,1,0))</formula>
    </cfRule>
  </conditionalFormatting>
  <conditionalFormatting sqref="AI17">
    <cfRule type="expression" priority="2759" dxfId="3">
      <formula>AND(IF(OR($Q17=1,$Q17=2),1,0),IF($X17&lt;=20,1,0))</formula>
    </cfRule>
    <cfRule type="expression" priority="2760" dxfId="2">
      <formula>AND(IF($Q17=2,1,0),IF($X17&lt;30,1,0))</formula>
    </cfRule>
    <cfRule type="expression" priority="2761" dxfId="1">
      <formula>AND(IF($Q17=3,1,0),IF($X17&lt;30,1,0))</formula>
    </cfRule>
    <cfRule type="expression" priority="2762" dxfId="0">
      <formula>AND(IF($Q17=3,1,IF($Q17=4,1,0)),IF($F17&lt;=85,1,0))</formula>
    </cfRule>
  </conditionalFormatting>
  <conditionalFormatting sqref="AV18">
    <cfRule type="expression" priority="2757" dxfId="17">
      <formula>AV18="X"</formula>
    </cfRule>
    <cfRule type="expression" priority="2758" dxfId="16">
      <formula>AV18="후보"</formula>
    </cfRule>
  </conditionalFormatting>
  <conditionalFormatting sqref="AC18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18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18">
    <cfRule type="expression" priority="2748" dxfId="3">
      <formula>AND(IF(OR($Q18=1,$Q18=2),1,0),IF($X18&lt;=20,1,0))</formula>
    </cfRule>
    <cfRule type="expression" priority="2749" dxfId="2">
      <formula>AND(IF($Q18=2,1,0),IF($X18&lt;30,1,0))</formula>
    </cfRule>
    <cfRule type="expression" priority="2750" dxfId="1">
      <formula>AND(IF($Q18=3,1,0),IF($X18&lt;30,1,0))</formula>
    </cfRule>
    <cfRule type="expression" priority="2751" dxfId="0">
      <formula>AND(IF($Q18=3,1,IF($Q18=4,1,0)),IF($F18&lt;=85,1,0))</formula>
    </cfRule>
  </conditionalFormatting>
  <conditionalFormatting sqref="X18">
    <cfRule type="expression" priority="2744" dxfId="3">
      <formula>AND(IF(OR($Q18=1,$Q18=2),1,0),IF($X18&lt;=20,1,0))</formula>
    </cfRule>
    <cfRule type="expression" priority="2745" dxfId="2">
      <formula>AND(IF($Q18=2,1,0),IF($X18&lt;30,1,0))</formula>
    </cfRule>
    <cfRule type="expression" priority="2746" dxfId="1">
      <formula>AND(IF($Q18=3,1,0),IF($X18&lt;30,1,0))</formula>
    </cfRule>
    <cfRule type="expression" priority="2747" dxfId="0">
      <formula>AND(IF($Q18=3,1,IF($Q18=4,1,0)),IF($F18&lt;=85,1,0))</formula>
    </cfRule>
  </conditionalFormatting>
  <conditionalFormatting sqref="AI18">
    <cfRule type="expression" priority="2740" dxfId="3">
      <formula>AND(IF(OR($Q18=1,$Q18=2),1,0),IF($X18&lt;=20,1,0))</formula>
    </cfRule>
    <cfRule type="expression" priority="2741" dxfId="2">
      <formula>AND(IF($Q18=2,1,0),IF($X18&lt;30,1,0))</formula>
    </cfRule>
    <cfRule type="expression" priority="2742" dxfId="1">
      <formula>AND(IF($Q18=3,1,0),IF($X18&lt;30,1,0))</formula>
    </cfRule>
    <cfRule type="expression" priority="2743" dxfId="0">
      <formula>AND(IF($Q18=3,1,IF($Q18=4,1,0)),IF($F18&lt;=85,1,0))</formula>
    </cfRule>
  </conditionalFormatting>
  <conditionalFormatting sqref="AV19">
    <cfRule type="expression" priority="2738" dxfId="17">
      <formula>AV19="X"</formula>
    </cfRule>
    <cfRule type="expression" priority="2739" dxfId="16">
      <formula>AV19="후보"</formula>
    </cfRule>
  </conditionalFormatting>
  <conditionalFormatting sqref="AC19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N1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E19">
    <cfRule type="expression" priority="2729" dxfId="3">
      <formula>AND(IF(OR($Q19=1,$Q19=2),1,0),IF($X19&lt;=20,1,0))</formula>
    </cfRule>
    <cfRule type="expression" priority="2730" dxfId="2">
      <formula>AND(IF($Q19=2,1,0),IF($X19&lt;30,1,0))</formula>
    </cfRule>
    <cfRule type="expression" priority="2731" dxfId="1">
      <formula>AND(IF($Q19=3,1,0),IF($X19&lt;30,1,0))</formula>
    </cfRule>
    <cfRule type="expression" priority="2732" dxfId="0">
      <formula>AND(IF($Q19=3,1,IF($Q19=4,1,0)),IF($F19&lt;=85,1,0))</formula>
    </cfRule>
  </conditionalFormatting>
  <conditionalFormatting sqref="X19">
    <cfRule type="expression" priority="2725" dxfId="3">
      <formula>AND(IF(OR($Q19=1,$Q19=2),1,0),IF($X19&lt;=20,1,0))</formula>
    </cfRule>
    <cfRule type="expression" priority="2726" dxfId="2">
      <formula>AND(IF($Q19=2,1,0),IF($X19&lt;30,1,0))</formula>
    </cfRule>
    <cfRule type="expression" priority="2727" dxfId="1">
      <formula>AND(IF($Q19=3,1,0),IF($X19&lt;30,1,0))</formula>
    </cfRule>
    <cfRule type="expression" priority="2728" dxfId="0">
      <formula>AND(IF($Q19=3,1,IF($Q19=4,1,0)),IF($F19&lt;=85,1,0))</formula>
    </cfRule>
  </conditionalFormatting>
  <conditionalFormatting sqref="AI19">
    <cfRule type="expression" priority="2721" dxfId="3">
      <formula>AND(IF(OR($Q19=1,$Q19=2),1,0),IF($X19&lt;=20,1,0))</formula>
    </cfRule>
    <cfRule type="expression" priority="2722" dxfId="2">
      <formula>AND(IF($Q19=2,1,0),IF($X19&lt;30,1,0))</formula>
    </cfRule>
    <cfRule type="expression" priority="2723" dxfId="1">
      <formula>AND(IF($Q19=3,1,0),IF($X19&lt;30,1,0))</formula>
    </cfRule>
    <cfRule type="expression" priority="2724" dxfId="0">
      <formula>AND(IF($Q19=3,1,IF($Q19=4,1,0)),IF($F19&lt;=85,1,0))</formula>
    </cfRule>
  </conditionalFormatting>
  <conditionalFormatting sqref="AV20">
    <cfRule type="expression" priority="2719" dxfId="17">
      <formula>AV20="X"</formula>
    </cfRule>
    <cfRule type="expression" priority="2720" dxfId="16">
      <formula>AV20="후보"</formula>
    </cfRule>
  </conditionalFormatting>
  <conditionalFormatting sqref="AC20 N20">
    <cfRule type="cellIs" priority="2716" operator="greaterThan" dxfId="13">
      <formula>0.9</formula>
    </cfRule>
    <cfRule type="cellIs" priority="2717" operator="greaterThan" dxfId="12">
      <formula>0.85</formula>
    </cfRule>
  </conditionalFormatting>
  <conditionalFormatting sqref="AV21">
    <cfRule type="expression" priority="2714" dxfId="17">
      <formula>AV21="X"</formula>
    </cfRule>
    <cfRule type="expression" priority="2715" dxfId="16">
      <formula>AV21="후보"</formula>
    </cfRule>
  </conditionalFormatting>
  <conditionalFormatting sqref="AC21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N21">
    <cfRule type="cellIs" priority="2709" operator="greaterThan" dxfId="13">
      <formula>0.9</formula>
    </cfRule>
    <cfRule type="cellIs" priority="2710" operator="greaterThan" dxfId="12">
      <formula>0.85</formula>
    </cfRule>
  </conditionalFormatting>
  <conditionalFormatting sqref="E21">
    <cfRule type="expression" priority="2705" dxfId="3">
      <formula>AND(IF(OR($Q21=1,$Q21=2),1,0),IF($X21&lt;=20,1,0))</formula>
    </cfRule>
    <cfRule type="expression" priority="2706" dxfId="2">
      <formula>AND(IF($Q21=2,1,0),IF($X21&lt;30,1,0))</formula>
    </cfRule>
    <cfRule type="expression" priority="2707" dxfId="1">
      <formula>AND(IF($Q21=3,1,0),IF($X21&lt;30,1,0))</formula>
    </cfRule>
    <cfRule type="expression" priority="2708" dxfId="0">
      <formula>AND(IF($Q21=3,1,IF($Q21=4,1,0)),IF($F21&lt;=85,1,0))</formula>
    </cfRule>
  </conditionalFormatting>
  <conditionalFormatting sqref="X21">
    <cfRule type="expression" priority="2701" dxfId="3">
      <formula>AND(IF(OR($Q21=1,$Q21=2),1,0),IF($X21&lt;=20,1,0))</formula>
    </cfRule>
    <cfRule type="expression" priority="2702" dxfId="2">
      <formula>AND(IF($Q21=2,1,0),IF($X21&lt;30,1,0))</formula>
    </cfRule>
    <cfRule type="expression" priority="2703" dxfId="1">
      <formula>AND(IF($Q21=3,1,0),IF($X21&lt;30,1,0))</formula>
    </cfRule>
    <cfRule type="expression" priority="2704" dxfId="0">
      <formula>AND(IF($Q21=3,1,IF($Q21=4,1,0)),IF($F21&lt;=85,1,0))</formula>
    </cfRule>
  </conditionalFormatting>
  <conditionalFormatting sqref="AI21">
    <cfRule type="expression" priority="2697" dxfId="3">
      <formula>AND(IF(OR($Q21=1,$Q21=2),1,0),IF($X21&lt;=20,1,0))</formula>
    </cfRule>
    <cfRule type="expression" priority="2698" dxfId="2">
      <formula>AND(IF($Q21=2,1,0),IF($X21&lt;30,1,0))</formula>
    </cfRule>
    <cfRule type="expression" priority="2699" dxfId="1">
      <formula>AND(IF($Q21=3,1,0),IF($X21&lt;30,1,0))</formula>
    </cfRule>
    <cfRule type="expression" priority="2700" dxfId="0">
      <formula>AND(IF($Q21=3,1,IF($Q21=4,1,0)),IF($F21&lt;=85,1,0))</formula>
    </cfRule>
  </conditionalFormatting>
  <conditionalFormatting sqref="AV22">
    <cfRule type="expression" priority="2695" dxfId="17">
      <formula>AV22="X"</formula>
    </cfRule>
    <cfRule type="expression" priority="2696" dxfId="16">
      <formula>AV22="후보"</formula>
    </cfRule>
  </conditionalFormatting>
  <conditionalFormatting sqref="AC22 N22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AV23">
    <cfRule type="expression" priority="2690" dxfId="17">
      <formula>AV23="X"</formula>
    </cfRule>
    <cfRule type="expression" priority="2691" dxfId="16">
      <formula>AV23="후보"</formula>
    </cfRule>
  </conditionalFormatting>
  <conditionalFormatting sqref="AC23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23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23">
    <cfRule type="expression" priority="2681" dxfId="3">
      <formula>AND(IF(OR($Q23=1,$Q23=2),1,0),IF($X23&lt;=20,1,0))</formula>
    </cfRule>
    <cfRule type="expression" priority="2682" dxfId="2">
      <formula>AND(IF($Q23=2,1,0),IF($X23&lt;30,1,0))</formula>
    </cfRule>
    <cfRule type="expression" priority="2683" dxfId="1">
      <formula>AND(IF($Q23=3,1,0),IF($X23&lt;30,1,0))</formula>
    </cfRule>
    <cfRule type="expression" priority="2684" dxfId="0">
      <formula>AND(IF($Q23=3,1,IF($Q23=4,1,0)),IF($F23&lt;=85,1,0))</formula>
    </cfRule>
  </conditionalFormatting>
  <conditionalFormatting sqref="X23">
    <cfRule type="expression" priority="2677" dxfId="3">
      <formula>AND(IF(OR($Q23=1,$Q23=2),1,0),IF($X23&lt;=20,1,0))</formula>
    </cfRule>
    <cfRule type="expression" priority="2678" dxfId="2">
      <formula>AND(IF($Q23=2,1,0),IF($X23&lt;30,1,0))</formula>
    </cfRule>
    <cfRule type="expression" priority="2679" dxfId="1">
      <formula>AND(IF($Q23=3,1,0),IF($X23&lt;30,1,0))</formula>
    </cfRule>
    <cfRule type="expression" priority="2680" dxfId="0">
      <formula>AND(IF($Q23=3,1,IF($Q23=4,1,0)),IF($F23&lt;=85,1,0))</formula>
    </cfRule>
  </conditionalFormatting>
  <conditionalFormatting sqref="AI23">
    <cfRule type="expression" priority="2673" dxfId="3">
      <formula>AND(IF(OR($Q23=1,$Q23=2),1,0),IF($X23&lt;=20,1,0))</formula>
    </cfRule>
    <cfRule type="expression" priority="2674" dxfId="2">
      <formula>AND(IF($Q23=2,1,0),IF($X23&lt;30,1,0))</formula>
    </cfRule>
    <cfRule type="expression" priority="2675" dxfId="1">
      <formula>AND(IF($Q23=3,1,0),IF($X23&lt;30,1,0))</formula>
    </cfRule>
    <cfRule type="expression" priority="2676" dxfId="0">
      <formula>AND(IF($Q23=3,1,IF($Q23=4,1,0)),IF($F23&lt;=85,1,0))</formula>
    </cfRule>
  </conditionalFormatting>
  <conditionalFormatting sqref="AV24">
    <cfRule type="expression" priority="2671" dxfId="17">
      <formula>AV24="X"</formula>
    </cfRule>
    <cfRule type="expression" priority="2672" dxfId="16">
      <formula>AV24="후보"</formula>
    </cfRule>
  </conditionalFormatting>
  <conditionalFormatting sqref="AC24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24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24">
    <cfRule type="expression" priority="2662" dxfId="3">
      <formula>AND(IF(OR($Q24=1,$Q24=2),1,0),IF($X24&lt;=20,1,0))</formula>
    </cfRule>
    <cfRule type="expression" priority="2663" dxfId="2">
      <formula>AND(IF($Q24=2,1,0),IF($X24&lt;30,1,0))</formula>
    </cfRule>
    <cfRule type="expression" priority="2664" dxfId="1">
      <formula>AND(IF($Q24=3,1,0),IF($X24&lt;30,1,0))</formula>
    </cfRule>
    <cfRule type="expression" priority="2665" dxfId="0">
      <formula>AND(IF($Q24=3,1,IF($Q24=4,1,0)),IF($F24&lt;=85,1,0))</formula>
    </cfRule>
  </conditionalFormatting>
  <conditionalFormatting sqref="X24">
    <cfRule type="expression" priority="2658" dxfId="3">
      <formula>AND(IF(OR($Q24=1,$Q24=2),1,0),IF($X24&lt;=20,1,0))</formula>
    </cfRule>
    <cfRule type="expression" priority="2659" dxfId="2">
      <formula>AND(IF($Q24=2,1,0),IF($X24&lt;30,1,0))</formula>
    </cfRule>
    <cfRule type="expression" priority="2660" dxfId="1">
      <formula>AND(IF($Q24=3,1,0),IF($X24&lt;30,1,0))</formula>
    </cfRule>
    <cfRule type="expression" priority="2661" dxfId="0">
      <formula>AND(IF($Q24=3,1,IF($Q24=4,1,0)),IF($F24&lt;=85,1,0))</formula>
    </cfRule>
  </conditionalFormatting>
  <conditionalFormatting sqref="AI24">
    <cfRule type="expression" priority="2654" dxfId="3">
      <formula>AND(IF(OR($Q24=1,$Q24=2),1,0),IF($X24&lt;=20,1,0))</formula>
    </cfRule>
    <cfRule type="expression" priority="2655" dxfId="2">
      <formula>AND(IF($Q24=2,1,0),IF($X24&lt;30,1,0))</formula>
    </cfRule>
    <cfRule type="expression" priority="2656" dxfId="1">
      <formula>AND(IF($Q24=3,1,0),IF($X24&lt;30,1,0))</formula>
    </cfRule>
    <cfRule type="expression" priority="2657" dxfId="0">
      <formula>AND(IF($Q24=3,1,IF($Q24=4,1,0)),IF($F24&lt;=85,1,0))</formula>
    </cfRule>
  </conditionalFormatting>
  <conditionalFormatting sqref="AV25">
    <cfRule type="expression" priority="2652" dxfId="17">
      <formula>AV25="X"</formula>
    </cfRule>
    <cfRule type="expression" priority="2653" dxfId="16">
      <formula>AV25="후보"</formula>
    </cfRule>
  </conditionalFormatting>
  <conditionalFormatting sqref="AC25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25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25">
    <cfRule type="expression" priority="2643" dxfId="3">
      <formula>AND(IF(OR($Q25=1,$Q25=2),1,0),IF($X25&lt;=20,1,0))</formula>
    </cfRule>
    <cfRule type="expression" priority="2644" dxfId="2">
      <formula>AND(IF($Q25=2,1,0),IF($X25&lt;30,1,0))</formula>
    </cfRule>
    <cfRule type="expression" priority="2645" dxfId="1">
      <formula>AND(IF($Q25=3,1,0),IF($X25&lt;30,1,0))</formula>
    </cfRule>
    <cfRule type="expression" priority="2646" dxfId="0">
      <formula>AND(IF($Q25=3,1,IF($Q25=4,1,0)),IF($F25&lt;=85,1,0))</formula>
    </cfRule>
  </conditionalFormatting>
  <conditionalFormatting sqref="X25">
    <cfRule type="expression" priority="2639" dxfId="3">
      <formula>AND(IF(OR($Q25=1,$Q25=2),1,0),IF($X25&lt;=20,1,0))</formula>
    </cfRule>
    <cfRule type="expression" priority="2640" dxfId="2">
      <formula>AND(IF($Q25=2,1,0),IF($X25&lt;30,1,0))</formula>
    </cfRule>
    <cfRule type="expression" priority="2641" dxfId="1">
      <formula>AND(IF($Q25=3,1,0),IF($X25&lt;30,1,0))</formula>
    </cfRule>
    <cfRule type="expression" priority="2642" dxfId="0">
      <formula>AND(IF($Q25=3,1,IF($Q25=4,1,0)),IF($F25&lt;=85,1,0))</formula>
    </cfRule>
  </conditionalFormatting>
  <conditionalFormatting sqref="AI25">
    <cfRule type="expression" priority="2635" dxfId="3">
      <formula>AND(IF(OR($Q25=1,$Q25=2),1,0),IF($X25&lt;=20,1,0))</formula>
    </cfRule>
    <cfRule type="expression" priority="2636" dxfId="2">
      <formula>AND(IF($Q25=2,1,0),IF($X25&lt;30,1,0))</formula>
    </cfRule>
    <cfRule type="expression" priority="2637" dxfId="1">
      <formula>AND(IF($Q25=3,1,0),IF($X25&lt;30,1,0))</formula>
    </cfRule>
    <cfRule type="expression" priority="2638" dxfId="0">
      <formula>AND(IF($Q25=3,1,IF($Q25=4,1,0)),IF($F25&lt;=85,1,0))</formula>
    </cfRule>
  </conditionalFormatting>
  <conditionalFormatting sqref="AV26">
    <cfRule type="expression" priority="2633" dxfId="17">
      <formula>AV26="X"</formula>
    </cfRule>
    <cfRule type="expression" priority="2634" dxfId="16">
      <formula>AV26="후보"</formula>
    </cfRule>
  </conditionalFormatting>
  <conditionalFormatting sqref="AC26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N26">
    <cfRule type="cellIs" priority="2628" operator="greaterThan" dxfId="13">
      <formula>0.9</formula>
    </cfRule>
    <cfRule type="cellIs" priority="2629" operator="greaterThan" dxfId="12">
      <formula>0.85</formula>
    </cfRule>
  </conditionalFormatting>
  <conditionalFormatting sqref="E26">
    <cfRule type="expression" priority="2624" dxfId="3">
      <formula>AND(IF(OR($Q26=1,$Q26=2),1,0),IF($X26&lt;=20,1,0))</formula>
    </cfRule>
    <cfRule type="expression" priority="2625" dxfId="2">
      <formula>AND(IF($Q26=2,1,0),IF($X26&lt;30,1,0))</formula>
    </cfRule>
    <cfRule type="expression" priority="2626" dxfId="1">
      <formula>AND(IF($Q26=3,1,0),IF($X26&lt;30,1,0))</formula>
    </cfRule>
    <cfRule type="expression" priority="2627" dxfId="0">
      <formula>AND(IF($Q26=3,1,IF($Q26=4,1,0)),IF($F26&lt;=85,1,0))</formula>
    </cfRule>
  </conditionalFormatting>
  <conditionalFormatting sqref="X26">
    <cfRule type="expression" priority="2620" dxfId="3">
      <formula>AND(IF(OR($Q26=1,$Q26=2),1,0),IF($X26&lt;=20,1,0))</formula>
    </cfRule>
    <cfRule type="expression" priority="2621" dxfId="2">
      <formula>AND(IF($Q26=2,1,0),IF($X26&lt;30,1,0))</formula>
    </cfRule>
    <cfRule type="expression" priority="2622" dxfId="1">
      <formula>AND(IF($Q26=3,1,0),IF($X26&lt;30,1,0))</formula>
    </cfRule>
    <cfRule type="expression" priority="2623" dxfId="0">
      <formula>AND(IF($Q26=3,1,IF($Q26=4,1,0)),IF($F26&lt;=85,1,0))</formula>
    </cfRule>
  </conditionalFormatting>
  <conditionalFormatting sqref="AI26">
    <cfRule type="expression" priority="2616" dxfId="3">
      <formula>AND(IF(OR($Q26=1,$Q26=2),1,0),IF($X26&lt;=20,1,0))</formula>
    </cfRule>
    <cfRule type="expression" priority="2617" dxfId="2">
      <formula>AND(IF($Q26=2,1,0),IF($X26&lt;30,1,0))</formula>
    </cfRule>
    <cfRule type="expression" priority="2618" dxfId="1">
      <formula>AND(IF($Q26=3,1,0),IF($X26&lt;30,1,0))</formula>
    </cfRule>
    <cfRule type="expression" priority="2619" dxfId="0">
      <formula>AND(IF($Q26=3,1,IF($Q26=4,1,0)),IF($F26&lt;=85,1,0))</formula>
    </cfRule>
  </conditionalFormatting>
  <conditionalFormatting sqref="AV27">
    <cfRule type="expression" priority="2614" dxfId="17">
      <formula>AV27="X"</formula>
    </cfRule>
    <cfRule type="expression" priority="2615" dxfId="16">
      <formula>AV27="후보"</formula>
    </cfRule>
  </conditionalFormatting>
  <conditionalFormatting sqref="AC27 N27">
    <cfRule type="cellIs" priority="2611" operator="greaterThan" dxfId="13">
      <formula>0.9</formula>
    </cfRule>
    <cfRule type="cellIs" priority="2612" operator="greaterThan" dxfId="12">
      <formula>0.85</formula>
    </cfRule>
  </conditionalFormatting>
  <conditionalFormatting sqref="AV28">
    <cfRule type="expression" priority="2609" dxfId="17">
      <formula>AV28="X"</formula>
    </cfRule>
    <cfRule type="expression" priority="2610" dxfId="16">
      <formula>AV28="후보"</formula>
    </cfRule>
  </conditionalFormatting>
  <conditionalFormatting sqref="AC28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28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28">
    <cfRule type="expression" priority="2600" dxfId="3">
      <formula>AND(IF(OR($Q28=1,$Q28=2),1,0),IF($X28&lt;=20,1,0))</formula>
    </cfRule>
    <cfRule type="expression" priority="2601" dxfId="2">
      <formula>AND(IF($Q28=2,1,0),IF($X28&lt;30,1,0))</formula>
    </cfRule>
    <cfRule type="expression" priority="2602" dxfId="1">
      <formula>AND(IF($Q28=3,1,0),IF($X28&lt;30,1,0))</formula>
    </cfRule>
    <cfRule type="expression" priority="2603" dxfId="0">
      <formula>AND(IF($Q28=3,1,IF($Q28=4,1,0)),IF($F28&lt;=85,1,0))</formula>
    </cfRule>
  </conditionalFormatting>
  <conditionalFormatting sqref="X28">
    <cfRule type="expression" priority="2596" dxfId="3">
      <formula>AND(IF(OR($Q28=1,$Q28=2),1,0),IF($X28&lt;=20,1,0))</formula>
    </cfRule>
    <cfRule type="expression" priority="2597" dxfId="2">
      <formula>AND(IF($Q28=2,1,0),IF($X28&lt;30,1,0))</formula>
    </cfRule>
    <cfRule type="expression" priority="2598" dxfId="1">
      <formula>AND(IF($Q28=3,1,0),IF($X28&lt;30,1,0))</formula>
    </cfRule>
    <cfRule type="expression" priority="2599" dxfId="0">
      <formula>AND(IF($Q28=3,1,IF($Q28=4,1,0)),IF($F28&lt;=85,1,0))</formula>
    </cfRule>
  </conditionalFormatting>
  <conditionalFormatting sqref="AI28">
    <cfRule type="expression" priority="2592" dxfId="3">
      <formula>AND(IF(OR($Q28=1,$Q28=2),1,0),IF($X28&lt;=20,1,0))</formula>
    </cfRule>
    <cfRule type="expression" priority="2593" dxfId="2">
      <formula>AND(IF($Q28=2,1,0),IF($X28&lt;30,1,0))</formula>
    </cfRule>
    <cfRule type="expression" priority="2594" dxfId="1">
      <formula>AND(IF($Q28=3,1,0),IF($X28&lt;30,1,0))</formula>
    </cfRule>
    <cfRule type="expression" priority="2595" dxfId="0">
      <formula>AND(IF($Q28=3,1,IF($Q28=4,1,0)),IF($F28&lt;=85,1,0))</formula>
    </cfRule>
  </conditionalFormatting>
  <conditionalFormatting sqref="AV29">
    <cfRule type="expression" priority="2590" dxfId="17">
      <formula>AV29="X"</formula>
    </cfRule>
    <cfRule type="expression" priority="2591" dxfId="16">
      <formula>AV29="후보"</formula>
    </cfRule>
  </conditionalFormatting>
  <conditionalFormatting sqref="AC29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9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E29">
    <cfRule type="expression" priority="2581" dxfId="3">
      <formula>AND(IF(OR($Q29=1,$Q29=2),1,0),IF($X29&lt;=20,1,0))</formula>
    </cfRule>
    <cfRule type="expression" priority="2582" dxfId="2">
      <formula>AND(IF($Q29=2,1,0),IF($X29&lt;30,1,0))</formula>
    </cfRule>
    <cfRule type="expression" priority="2583" dxfId="1">
      <formula>AND(IF($Q29=3,1,0),IF($X29&lt;30,1,0))</formula>
    </cfRule>
    <cfRule type="expression" priority="2584" dxfId="0">
      <formula>AND(IF($Q29=3,1,IF($Q29=4,1,0)),IF($F29&lt;=85,1,0))</formula>
    </cfRule>
  </conditionalFormatting>
  <conditionalFormatting sqref="X29">
    <cfRule type="expression" priority="2577" dxfId="3">
      <formula>AND(IF(OR($Q29=1,$Q29=2),1,0),IF($X29&lt;=20,1,0))</formula>
    </cfRule>
    <cfRule type="expression" priority="2578" dxfId="2">
      <formula>AND(IF($Q29=2,1,0),IF($X29&lt;30,1,0))</formula>
    </cfRule>
    <cfRule type="expression" priority="2579" dxfId="1">
      <formula>AND(IF($Q29=3,1,0),IF($X29&lt;30,1,0))</formula>
    </cfRule>
    <cfRule type="expression" priority="2580" dxfId="0">
      <formula>AND(IF($Q29=3,1,IF($Q29=4,1,0)),IF($F29&lt;=85,1,0))</formula>
    </cfRule>
  </conditionalFormatting>
  <conditionalFormatting sqref="AI29">
    <cfRule type="expression" priority="2573" dxfId="3">
      <formula>AND(IF(OR($Q29=1,$Q29=2),1,0),IF($X29&lt;=20,1,0))</formula>
    </cfRule>
    <cfRule type="expression" priority="2574" dxfId="2">
      <formula>AND(IF($Q29=2,1,0),IF($X29&lt;30,1,0))</formula>
    </cfRule>
    <cfRule type="expression" priority="2575" dxfId="1">
      <formula>AND(IF($Q29=3,1,0),IF($X29&lt;30,1,0))</formula>
    </cfRule>
    <cfRule type="expression" priority="2576" dxfId="0">
      <formula>AND(IF($Q29=3,1,IF($Q29=4,1,0)),IF($F29&lt;=85,1,0))</formula>
    </cfRule>
  </conditionalFormatting>
  <conditionalFormatting sqref="AV30">
    <cfRule type="expression" priority="2571" dxfId="17">
      <formula>AV30="X"</formula>
    </cfRule>
    <cfRule type="expression" priority="2572" dxfId="16">
      <formula>AV30="후보"</formula>
    </cfRule>
  </conditionalFormatting>
  <conditionalFormatting sqref="AC30">
    <cfRule type="cellIs" priority="2568" operator="greaterThan" dxfId="13">
      <formula>0.9</formula>
    </cfRule>
    <cfRule type="cellIs" priority="2569" operator="greaterThan" dxfId="12">
      <formula>0.85</formula>
    </cfRule>
  </conditionalFormatting>
  <conditionalFormatting sqref="N30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E30">
    <cfRule type="expression" priority="2562" dxfId="3">
      <formula>AND(IF(OR($Q30=1,$Q30=2),1,0),IF($X30&lt;=20,1,0))</formula>
    </cfRule>
    <cfRule type="expression" priority="2563" dxfId="2">
      <formula>AND(IF($Q30=2,1,0),IF($X30&lt;30,1,0))</formula>
    </cfRule>
    <cfRule type="expression" priority="2564" dxfId="1">
      <formula>AND(IF($Q30=3,1,0),IF($X30&lt;30,1,0))</formula>
    </cfRule>
    <cfRule type="expression" priority="2565" dxfId="0">
      <formula>AND(IF($Q30=3,1,IF($Q30=4,1,0)),IF($F30&lt;=85,1,0))</formula>
    </cfRule>
  </conditionalFormatting>
  <conditionalFormatting sqref="X30">
    <cfRule type="expression" priority="2558" dxfId="3">
      <formula>AND(IF(OR($Q30=1,$Q30=2),1,0),IF($X30&lt;=20,1,0))</formula>
    </cfRule>
    <cfRule type="expression" priority="2559" dxfId="2">
      <formula>AND(IF($Q30=2,1,0),IF($X30&lt;30,1,0))</formula>
    </cfRule>
    <cfRule type="expression" priority="2560" dxfId="1">
      <formula>AND(IF($Q30=3,1,0),IF($X30&lt;30,1,0))</formula>
    </cfRule>
    <cfRule type="expression" priority="2561" dxfId="0">
      <formula>AND(IF($Q30=3,1,IF($Q30=4,1,0)),IF($F30&lt;=85,1,0))</formula>
    </cfRule>
  </conditionalFormatting>
  <conditionalFormatting sqref="AI30">
    <cfRule type="expression" priority="2554" dxfId="3">
      <formula>AND(IF(OR($Q30=1,$Q30=2),1,0),IF($X30&lt;=20,1,0))</formula>
    </cfRule>
    <cfRule type="expression" priority="2555" dxfId="2">
      <formula>AND(IF($Q30=2,1,0),IF($X30&lt;30,1,0))</formula>
    </cfRule>
    <cfRule type="expression" priority="2556" dxfId="1">
      <formula>AND(IF($Q30=3,1,0),IF($X30&lt;30,1,0))</formula>
    </cfRule>
    <cfRule type="expression" priority="2557" dxfId="0">
      <formula>AND(IF($Q30=3,1,IF($Q30=4,1,0)),IF($F30&lt;=85,1,0))</formula>
    </cfRule>
  </conditionalFormatting>
  <conditionalFormatting sqref="AV31">
    <cfRule type="expression" priority="2552" dxfId="17">
      <formula>AV31="X"</formula>
    </cfRule>
    <cfRule type="expression" priority="2553" dxfId="16">
      <formula>AV31="후보"</formula>
    </cfRule>
  </conditionalFormatting>
  <conditionalFormatting sqref="AC31">
    <cfRule type="cellIs" priority="2549" operator="greaterThan" dxfId="13">
      <formula>0.9</formula>
    </cfRule>
    <cfRule type="cellIs" priority="2550" operator="greaterThan" dxfId="12">
      <formula>0.85</formula>
    </cfRule>
  </conditionalFormatting>
  <conditionalFormatting sqref="N31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E31">
    <cfRule type="expression" priority="2543" dxfId="3">
      <formula>AND(IF(OR($Q31=1,$Q31=2),1,0),IF($X31&lt;=20,1,0))</formula>
    </cfRule>
    <cfRule type="expression" priority="2544" dxfId="2">
      <formula>AND(IF($Q31=2,1,0),IF($X31&lt;30,1,0))</formula>
    </cfRule>
    <cfRule type="expression" priority="2545" dxfId="1">
      <formula>AND(IF($Q31=3,1,0),IF($X31&lt;30,1,0))</formula>
    </cfRule>
    <cfRule type="expression" priority="2546" dxfId="0">
      <formula>AND(IF($Q31=3,1,IF($Q31=4,1,0)),IF($F31&lt;=85,1,0))</formula>
    </cfRule>
  </conditionalFormatting>
  <conditionalFormatting sqref="X31">
    <cfRule type="expression" priority="2539" dxfId="3">
      <formula>AND(IF(OR($Q31=1,$Q31=2),1,0),IF($X31&lt;=20,1,0))</formula>
    </cfRule>
    <cfRule type="expression" priority="2540" dxfId="2">
      <formula>AND(IF($Q31=2,1,0),IF($X31&lt;30,1,0))</formula>
    </cfRule>
    <cfRule type="expression" priority="2541" dxfId="1">
      <formula>AND(IF($Q31=3,1,0),IF($X31&lt;30,1,0))</formula>
    </cfRule>
    <cfRule type="expression" priority="2542" dxfId="0">
      <formula>AND(IF($Q31=3,1,IF($Q31=4,1,0)),IF($F31&lt;=85,1,0))</formula>
    </cfRule>
  </conditionalFormatting>
  <conditionalFormatting sqref="AI31">
    <cfRule type="expression" priority="2535" dxfId="3">
      <formula>AND(IF(OR($Q31=1,$Q31=2),1,0),IF($X31&lt;=20,1,0))</formula>
    </cfRule>
    <cfRule type="expression" priority="2536" dxfId="2">
      <formula>AND(IF($Q31=2,1,0),IF($X31&lt;30,1,0))</formula>
    </cfRule>
    <cfRule type="expression" priority="2537" dxfId="1">
      <formula>AND(IF($Q31=3,1,0),IF($X31&lt;30,1,0))</formula>
    </cfRule>
    <cfRule type="expression" priority="2538" dxfId="0">
      <formula>AND(IF($Q31=3,1,IF($Q31=4,1,0)),IF($F31&lt;=85,1,0))</formula>
    </cfRule>
  </conditionalFormatting>
  <conditionalFormatting sqref="AV32">
    <cfRule type="expression" priority="2533" dxfId="17">
      <formula>AV32="X"</formula>
    </cfRule>
    <cfRule type="expression" priority="2534" dxfId="16">
      <formula>AV32="후보"</formula>
    </cfRule>
  </conditionalFormatting>
  <conditionalFormatting sqref="AC32">
    <cfRule type="cellIs" priority="2530" operator="greaterThan" dxfId="13">
      <formula>0.9</formula>
    </cfRule>
    <cfRule type="cellIs" priority="2531" operator="greaterThan" dxfId="12">
      <formula>0.85</formula>
    </cfRule>
  </conditionalFormatting>
  <conditionalFormatting sqref="N32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E32">
    <cfRule type="expression" priority="2524" dxfId="3">
      <formula>AND(IF(OR($Q32=1,$Q32=2),1,0),IF($X32&lt;=20,1,0))</formula>
    </cfRule>
    <cfRule type="expression" priority="2525" dxfId="2">
      <formula>AND(IF($Q32=2,1,0),IF($X32&lt;30,1,0))</formula>
    </cfRule>
    <cfRule type="expression" priority="2526" dxfId="1">
      <formula>AND(IF($Q32=3,1,0),IF($X32&lt;30,1,0))</formula>
    </cfRule>
    <cfRule type="expression" priority="2527" dxfId="0">
      <formula>AND(IF($Q32=3,1,IF($Q32=4,1,0)),IF($F32&lt;=85,1,0))</formula>
    </cfRule>
  </conditionalFormatting>
  <conditionalFormatting sqref="X32">
    <cfRule type="expression" priority="2520" dxfId="3">
      <formula>AND(IF(OR($Q32=1,$Q32=2),1,0),IF($X32&lt;=20,1,0))</formula>
    </cfRule>
    <cfRule type="expression" priority="2521" dxfId="2">
      <formula>AND(IF($Q32=2,1,0),IF($X32&lt;30,1,0))</formula>
    </cfRule>
    <cfRule type="expression" priority="2522" dxfId="1">
      <formula>AND(IF($Q32=3,1,0),IF($X32&lt;30,1,0))</formula>
    </cfRule>
    <cfRule type="expression" priority="2523" dxfId="0">
      <formula>AND(IF($Q32=3,1,IF($Q32=4,1,0)),IF($F32&lt;=85,1,0))</formula>
    </cfRule>
  </conditionalFormatting>
  <conditionalFormatting sqref="AI32">
    <cfRule type="expression" priority="2516" dxfId="3">
      <formula>AND(IF(OR($Q32=1,$Q32=2),1,0),IF($X32&lt;=20,1,0))</formula>
    </cfRule>
    <cfRule type="expression" priority="2517" dxfId="2">
      <formula>AND(IF($Q32=2,1,0),IF($X32&lt;30,1,0))</formula>
    </cfRule>
    <cfRule type="expression" priority="2518" dxfId="1">
      <formula>AND(IF($Q32=3,1,0),IF($X32&lt;30,1,0))</formula>
    </cfRule>
    <cfRule type="expression" priority="2519" dxfId="0">
      <formula>AND(IF($Q32=3,1,IF($Q32=4,1,0)),IF($F32&lt;=85,1,0))</formula>
    </cfRule>
  </conditionalFormatting>
  <conditionalFormatting sqref="AV33">
    <cfRule type="expression" priority="2514" dxfId="17">
      <formula>AV33="X"</formula>
    </cfRule>
    <cfRule type="expression" priority="2515" dxfId="16">
      <formula>AV33="후보"</formula>
    </cfRule>
  </conditionalFormatting>
  <conditionalFormatting sqref="AC33">
    <cfRule type="cellIs" priority="2511" operator="greaterThan" dxfId="13">
      <formula>0.9</formula>
    </cfRule>
    <cfRule type="cellIs" priority="2512" operator="greaterThan" dxfId="12">
      <formula>0.85</formula>
    </cfRule>
  </conditionalFormatting>
  <conditionalFormatting sqref="N33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E33">
    <cfRule type="expression" priority="2505" dxfId="3">
      <formula>AND(IF(OR($Q33=1,$Q33=2),1,0),IF($X33&lt;=20,1,0))</formula>
    </cfRule>
    <cfRule type="expression" priority="2506" dxfId="2">
      <formula>AND(IF($Q33=2,1,0),IF($X33&lt;30,1,0))</formula>
    </cfRule>
    <cfRule type="expression" priority="2507" dxfId="1">
      <formula>AND(IF($Q33=3,1,0),IF($X33&lt;30,1,0))</formula>
    </cfRule>
    <cfRule type="expression" priority="2508" dxfId="0">
      <formula>AND(IF($Q33=3,1,IF($Q33=4,1,0)),IF($F33&lt;=85,1,0))</formula>
    </cfRule>
  </conditionalFormatting>
  <conditionalFormatting sqref="X33">
    <cfRule type="expression" priority="2501" dxfId="3">
      <formula>AND(IF(OR($Q33=1,$Q33=2),1,0),IF($X33&lt;=20,1,0))</formula>
    </cfRule>
    <cfRule type="expression" priority="2502" dxfId="2">
      <formula>AND(IF($Q33=2,1,0),IF($X33&lt;30,1,0))</formula>
    </cfRule>
    <cfRule type="expression" priority="2503" dxfId="1">
      <formula>AND(IF($Q33=3,1,0),IF($X33&lt;30,1,0))</formula>
    </cfRule>
    <cfRule type="expression" priority="2504" dxfId="0">
      <formula>AND(IF($Q33=3,1,IF($Q33=4,1,0)),IF($F33&lt;=85,1,0))</formula>
    </cfRule>
  </conditionalFormatting>
  <conditionalFormatting sqref="AI33">
    <cfRule type="expression" priority="2497" dxfId="3">
      <formula>AND(IF(OR($Q33=1,$Q33=2),1,0),IF($X33&lt;=20,1,0))</formula>
    </cfRule>
    <cfRule type="expression" priority="2498" dxfId="2">
      <formula>AND(IF($Q33=2,1,0),IF($X33&lt;30,1,0))</formula>
    </cfRule>
    <cfRule type="expression" priority="2499" dxfId="1">
      <formula>AND(IF($Q33=3,1,0),IF($X33&lt;30,1,0))</formula>
    </cfRule>
    <cfRule type="expression" priority="2500" dxfId="0">
      <formula>AND(IF($Q33=3,1,IF($Q33=4,1,0)),IF($F33&lt;=85,1,0))</formula>
    </cfRule>
  </conditionalFormatting>
  <conditionalFormatting sqref="AV34">
    <cfRule type="expression" priority="2495" dxfId="17">
      <formula>AV34="X"</formula>
    </cfRule>
    <cfRule type="expression" priority="2496" dxfId="16">
      <formula>AV34="후보"</formula>
    </cfRule>
  </conditionalFormatting>
  <conditionalFormatting sqref="AC34 N34">
    <cfRule type="cellIs" priority="2492" operator="greaterThan" dxfId="13">
      <formula>0.9</formula>
    </cfRule>
    <cfRule type="cellIs" priority="2493" operator="greaterThan" dxfId="12">
      <formula>0.85</formula>
    </cfRule>
  </conditionalFormatting>
  <conditionalFormatting sqref="AV35">
    <cfRule type="expression" priority="2490" dxfId="17">
      <formula>AV35="X"</formula>
    </cfRule>
    <cfRule type="expression" priority="2491" dxfId="16">
      <formula>AV35="후보"</formula>
    </cfRule>
  </conditionalFormatting>
  <conditionalFormatting sqref="AC35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N35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E35">
    <cfRule type="expression" priority="2481" dxfId="3">
      <formula>AND(IF(OR($Q35=1,$Q35=2),1,0),IF($X35&lt;=20,1,0))</formula>
    </cfRule>
    <cfRule type="expression" priority="2482" dxfId="2">
      <formula>AND(IF($Q35=2,1,0),IF($X35&lt;30,1,0))</formula>
    </cfRule>
    <cfRule type="expression" priority="2483" dxfId="1">
      <formula>AND(IF($Q35=3,1,0),IF($X35&lt;30,1,0))</formula>
    </cfRule>
    <cfRule type="expression" priority="2484" dxfId="0">
      <formula>AND(IF($Q35=3,1,IF($Q35=4,1,0)),IF($F35&lt;=85,1,0))</formula>
    </cfRule>
  </conditionalFormatting>
  <conditionalFormatting sqref="X35">
    <cfRule type="expression" priority="2477" dxfId="3">
      <formula>AND(IF(OR($Q35=1,$Q35=2),1,0),IF($X35&lt;=20,1,0))</formula>
    </cfRule>
    <cfRule type="expression" priority="2478" dxfId="2">
      <formula>AND(IF($Q35=2,1,0),IF($X35&lt;30,1,0))</formula>
    </cfRule>
    <cfRule type="expression" priority="2479" dxfId="1">
      <formula>AND(IF($Q35=3,1,0),IF($X35&lt;30,1,0))</formula>
    </cfRule>
    <cfRule type="expression" priority="2480" dxfId="0">
      <formula>AND(IF($Q35=3,1,IF($Q35=4,1,0)),IF($F35&lt;=85,1,0))</formula>
    </cfRule>
  </conditionalFormatting>
  <conditionalFormatting sqref="AI35">
    <cfRule type="expression" priority="2473" dxfId="3">
      <formula>AND(IF(OR($Q35=1,$Q35=2),1,0),IF($X35&lt;=20,1,0))</formula>
    </cfRule>
    <cfRule type="expression" priority="2474" dxfId="2">
      <formula>AND(IF($Q35=2,1,0),IF($X35&lt;30,1,0))</formula>
    </cfRule>
    <cfRule type="expression" priority="2475" dxfId="1">
      <formula>AND(IF($Q35=3,1,0),IF($X35&lt;30,1,0))</formula>
    </cfRule>
    <cfRule type="expression" priority="2476" dxfId="0">
      <formula>AND(IF($Q35=3,1,IF($Q35=4,1,0)),IF($F35&lt;=85,1,0))</formula>
    </cfRule>
  </conditionalFormatting>
  <conditionalFormatting sqref="AV36">
    <cfRule type="expression" priority="2471" dxfId="17">
      <formula>AV36="X"</formula>
    </cfRule>
    <cfRule type="expression" priority="2472" dxfId="16">
      <formula>AV36="후보"</formula>
    </cfRule>
  </conditionalFormatting>
  <conditionalFormatting sqref="AC36">
    <cfRule type="cellIs" priority="2468" operator="greaterThan" dxfId="13">
      <formula>0.9</formula>
    </cfRule>
    <cfRule type="cellIs" priority="2469" operator="greaterThan" dxfId="12">
      <formula>0.85</formula>
    </cfRule>
  </conditionalFormatting>
  <conditionalFormatting sqref="N36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E36">
    <cfRule type="expression" priority="2462" dxfId="3">
      <formula>AND(IF(OR($Q36=1,$Q36=2),1,0),IF($X36&lt;=20,1,0))</formula>
    </cfRule>
    <cfRule type="expression" priority="2463" dxfId="2">
      <formula>AND(IF($Q36=2,1,0),IF($X36&lt;30,1,0))</formula>
    </cfRule>
    <cfRule type="expression" priority="2464" dxfId="1">
      <formula>AND(IF($Q36=3,1,0),IF($X36&lt;30,1,0))</formula>
    </cfRule>
    <cfRule type="expression" priority="2465" dxfId="0">
      <formula>AND(IF($Q36=3,1,IF($Q36=4,1,0)),IF($F36&lt;=85,1,0))</formula>
    </cfRule>
  </conditionalFormatting>
  <conditionalFormatting sqref="X36">
    <cfRule type="expression" priority="2458" dxfId="3">
      <formula>AND(IF(OR($Q36=1,$Q36=2),1,0),IF($X36&lt;=20,1,0))</formula>
    </cfRule>
    <cfRule type="expression" priority="2459" dxfId="2">
      <formula>AND(IF($Q36=2,1,0),IF($X36&lt;30,1,0))</formula>
    </cfRule>
    <cfRule type="expression" priority="2460" dxfId="1">
      <formula>AND(IF($Q36=3,1,0),IF($X36&lt;30,1,0))</formula>
    </cfRule>
    <cfRule type="expression" priority="2461" dxfId="0">
      <formula>AND(IF($Q36=3,1,IF($Q36=4,1,0)),IF($F36&lt;=85,1,0))</formula>
    </cfRule>
  </conditionalFormatting>
  <conditionalFormatting sqref="AI36">
    <cfRule type="expression" priority="2454" dxfId="3">
      <formula>AND(IF(OR($Q36=1,$Q36=2),1,0),IF($X36&lt;=20,1,0))</formula>
    </cfRule>
    <cfRule type="expression" priority="2455" dxfId="2">
      <formula>AND(IF($Q36=2,1,0),IF($X36&lt;30,1,0))</formula>
    </cfRule>
    <cfRule type="expression" priority="2456" dxfId="1">
      <formula>AND(IF($Q36=3,1,0),IF($X36&lt;30,1,0))</formula>
    </cfRule>
    <cfRule type="expression" priority="2457" dxfId="0">
      <formula>AND(IF($Q36=3,1,IF($Q36=4,1,0)),IF($F36&lt;=85,1,0))</formula>
    </cfRule>
  </conditionalFormatting>
  <conditionalFormatting sqref="AV37">
    <cfRule type="expression" priority="2452" dxfId="17">
      <formula>AV37="X"</formula>
    </cfRule>
    <cfRule type="expression" priority="2453" dxfId="16">
      <formula>AV37="후보"</formula>
    </cfRule>
  </conditionalFormatting>
  <conditionalFormatting sqref="AC37 N37">
    <cfRule type="cellIs" priority="2449" operator="greaterThan" dxfId="13">
      <formula>0.9</formula>
    </cfRule>
    <cfRule type="cellIs" priority="2450" operator="greaterThan" dxfId="12">
      <formula>0.85</formula>
    </cfRule>
  </conditionalFormatting>
  <conditionalFormatting sqref="AV38">
    <cfRule type="expression" priority="2447" dxfId="17">
      <formula>AV38="X"</formula>
    </cfRule>
    <cfRule type="expression" priority="2448" dxfId="16">
      <formula>AV38="후보"</formula>
    </cfRule>
  </conditionalFormatting>
  <conditionalFormatting sqref="AC3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38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38">
    <cfRule type="expression" priority="2438" dxfId="3">
      <formula>AND(IF(OR($Q38=1,$Q38=2),1,0),IF($X38&lt;=20,1,0))</formula>
    </cfRule>
    <cfRule type="expression" priority="2439" dxfId="2">
      <formula>AND(IF($Q38=2,1,0),IF($X38&lt;30,1,0))</formula>
    </cfRule>
    <cfRule type="expression" priority="2440" dxfId="1">
      <formula>AND(IF($Q38=3,1,0),IF($X38&lt;30,1,0))</formula>
    </cfRule>
    <cfRule type="expression" priority="2441" dxfId="0">
      <formula>AND(IF($Q38=3,1,IF($Q38=4,1,0)),IF($F38&lt;=85,1,0))</formula>
    </cfRule>
  </conditionalFormatting>
  <conditionalFormatting sqref="X38">
    <cfRule type="expression" priority="2434" dxfId="3">
      <formula>AND(IF(OR($Q38=1,$Q38=2),1,0),IF($X38&lt;=20,1,0))</formula>
    </cfRule>
    <cfRule type="expression" priority="2435" dxfId="2">
      <formula>AND(IF($Q38=2,1,0),IF($X38&lt;30,1,0))</formula>
    </cfRule>
    <cfRule type="expression" priority="2436" dxfId="1">
      <formula>AND(IF($Q38=3,1,0),IF($X38&lt;30,1,0))</formula>
    </cfRule>
    <cfRule type="expression" priority="2437" dxfId="0">
      <formula>AND(IF($Q38=3,1,IF($Q38=4,1,0)),IF($F38&lt;=85,1,0))</formula>
    </cfRule>
  </conditionalFormatting>
  <conditionalFormatting sqref="AI38">
    <cfRule type="expression" priority="2430" dxfId="3">
      <formula>AND(IF(OR($Q38=1,$Q38=2),1,0),IF($X38&lt;=20,1,0))</formula>
    </cfRule>
    <cfRule type="expression" priority="2431" dxfId="2">
      <formula>AND(IF($Q38=2,1,0),IF($X38&lt;30,1,0))</formula>
    </cfRule>
    <cfRule type="expression" priority="2432" dxfId="1">
      <formula>AND(IF($Q38=3,1,0),IF($X38&lt;30,1,0))</formula>
    </cfRule>
    <cfRule type="expression" priority="2433" dxfId="0">
      <formula>AND(IF($Q38=3,1,IF($Q38=4,1,0)),IF($F38&lt;=85,1,0))</formula>
    </cfRule>
  </conditionalFormatting>
  <conditionalFormatting sqref="AV39">
    <cfRule type="expression" priority="2428" dxfId="17">
      <formula>AV39="X"</formula>
    </cfRule>
    <cfRule type="expression" priority="2429" dxfId="16">
      <formula>AV39="후보"</formula>
    </cfRule>
  </conditionalFormatting>
  <conditionalFormatting sqref="AC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39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39">
    <cfRule type="expression" priority="2419" dxfId="3">
      <formula>AND(IF(OR($Q39=1,$Q39=2),1,0),IF($X39&lt;=20,1,0))</formula>
    </cfRule>
    <cfRule type="expression" priority="2420" dxfId="2">
      <formula>AND(IF($Q39=2,1,0),IF($X39&lt;30,1,0))</formula>
    </cfRule>
    <cfRule type="expression" priority="2421" dxfId="1">
      <formula>AND(IF($Q39=3,1,0),IF($X39&lt;30,1,0))</formula>
    </cfRule>
    <cfRule type="expression" priority="2422" dxfId="0">
      <formula>AND(IF($Q39=3,1,IF($Q39=4,1,0)),IF($F39&lt;=85,1,0))</formula>
    </cfRule>
  </conditionalFormatting>
  <conditionalFormatting sqref="X39">
    <cfRule type="expression" priority="2415" dxfId="3">
      <formula>AND(IF(OR($Q39=1,$Q39=2),1,0),IF($X39&lt;=20,1,0))</formula>
    </cfRule>
    <cfRule type="expression" priority="2416" dxfId="2">
      <formula>AND(IF($Q39=2,1,0),IF($X39&lt;30,1,0))</formula>
    </cfRule>
    <cfRule type="expression" priority="2417" dxfId="1">
      <formula>AND(IF($Q39=3,1,0),IF($X39&lt;30,1,0))</formula>
    </cfRule>
    <cfRule type="expression" priority="2418" dxfId="0">
      <formula>AND(IF($Q39=3,1,IF($Q39=4,1,0)),IF($F39&lt;=85,1,0))</formula>
    </cfRule>
  </conditionalFormatting>
  <conditionalFormatting sqref="AI39">
    <cfRule type="expression" priority="2411" dxfId="3">
      <formula>AND(IF(OR($Q39=1,$Q39=2),1,0),IF($X39&lt;=20,1,0))</formula>
    </cfRule>
    <cfRule type="expression" priority="2412" dxfId="2">
      <formula>AND(IF($Q39=2,1,0),IF($X39&lt;30,1,0))</formula>
    </cfRule>
    <cfRule type="expression" priority="2413" dxfId="1">
      <formula>AND(IF($Q39=3,1,0),IF($X39&lt;30,1,0))</formula>
    </cfRule>
    <cfRule type="expression" priority="2414" dxfId="0">
      <formula>AND(IF($Q39=3,1,IF($Q39=4,1,0)),IF($F39&lt;=85,1,0))</formula>
    </cfRule>
  </conditionalFormatting>
  <conditionalFormatting sqref="AV40">
    <cfRule type="expression" priority="2409" dxfId="17">
      <formula>AV40="X"</formula>
    </cfRule>
    <cfRule type="expression" priority="2410" dxfId="16">
      <formula>AV40="후보"</formula>
    </cfRule>
  </conditionalFormatting>
  <conditionalFormatting sqref="AC40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N40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E40">
    <cfRule type="expression" priority="2400" dxfId="3">
      <formula>AND(IF(OR($Q40=1,$Q40=2),1,0),IF($X40&lt;=20,1,0))</formula>
    </cfRule>
    <cfRule type="expression" priority="2401" dxfId="2">
      <formula>AND(IF($Q40=2,1,0),IF($X40&lt;30,1,0))</formula>
    </cfRule>
    <cfRule type="expression" priority="2402" dxfId="1">
      <formula>AND(IF($Q40=3,1,0),IF($X40&lt;30,1,0))</formula>
    </cfRule>
    <cfRule type="expression" priority="2403" dxfId="0">
      <formula>AND(IF($Q40=3,1,IF($Q40=4,1,0)),IF($F40&lt;=85,1,0))</formula>
    </cfRule>
  </conditionalFormatting>
  <conditionalFormatting sqref="X40">
    <cfRule type="expression" priority="2396" dxfId="3">
      <formula>AND(IF(OR($Q40=1,$Q40=2),1,0),IF($X40&lt;=20,1,0))</formula>
    </cfRule>
    <cfRule type="expression" priority="2397" dxfId="2">
      <formula>AND(IF($Q40=2,1,0),IF($X40&lt;30,1,0))</formula>
    </cfRule>
    <cfRule type="expression" priority="2398" dxfId="1">
      <formula>AND(IF($Q40=3,1,0),IF($X40&lt;30,1,0))</formula>
    </cfRule>
    <cfRule type="expression" priority="2399" dxfId="0">
      <formula>AND(IF($Q40=3,1,IF($Q40=4,1,0)),IF($F40&lt;=85,1,0))</formula>
    </cfRule>
  </conditionalFormatting>
  <conditionalFormatting sqref="AI40">
    <cfRule type="expression" priority="2392" dxfId="3">
      <formula>AND(IF(OR($Q40=1,$Q40=2),1,0),IF($X40&lt;=20,1,0))</formula>
    </cfRule>
    <cfRule type="expression" priority="2393" dxfId="2">
      <formula>AND(IF($Q40=2,1,0),IF($X40&lt;30,1,0))</formula>
    </cfRule>
    <cfRule type="expression" priority="2394" dxfId="1">
      <formula>AND(IF($Q40=3,1,0),IF($X40&lt;30,1,0))</formula>
    </cfRule>
    <cfRule type="expression" priority="2395" dxfId="0">
      <formula>AND(IF($Q40=3,1,IF($Q40=4,1,0)),IF($F40&lt;=85,1,0))</formula>
    </cfRule>
  </conditionalFormatting>
  <conditionalFormatting sqref="AV41">
    <cfRule type="expression" priority="2390" dxfId="17">
      <formula>AV41="X"</formula>
    </cfRule>
    <cfRule type="expression" priority="2391" dxfId="16">
      <formula>AV41="후보"</formula>
    </cfRule>
  </conditionalFormatting>
  <conditionalFormatting sqref="AC41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N41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E41">
    <cfRule type="expression" priority="2381" dxfId="3">
      <formula>AND(IF(OR($Q41=1,$Q41=2),1,0),IF($X41&lt;=20,1,0))</formula>
    </cfRule>
    <cfRule type="expression" priority="2382" dxfId="2">
      <formula>AND(IF($Q41=2,1,0),IF($X41&lt;30,1,0))</formula>
    </cfRule>
    <cfRule type="expression" priority="2383" dxfId="1">
      <formula>AND(IF($Q41=3,1,0),IF($X41&lt;30,1,0))</formula>
    </cfRule>
    <cfRule type="expression" priority="2384" dxfId="0">
      <formula>AND(IF($Q41=3,1,IF($Q41=4,1,0)),IF($F41&lt;=85,1,0))</formula>
    </cfRule>
  </conditionalFormatting>
  <conditionalFormatting sqref="X41">
    <cfRule type="expression" priority="2377" dxfId="3">
      <formula>AND(IF(OR($Q41=1,$Q41=2),1,0),IF($X41&lt;=20,1,0))</formula>
    </cfRule>
    <cfRule type="expression" priority="2378" dxfId="2">
      <formula>AND(IF($Q41=2,1,0),IF($X41&lt;30,1,0))</formula>
    </cfRule>
    <cfRule type="expression" priority="2379" dxfId="1">
      <formula>AND(IF($Q41=3,1,0),IF($X41&lt;30,1,0))</formula>
    </cfRule>
    <cfRule type="expression" priority="2380" dxfId="0">
      <formula>AND(IF($Q41=3,1,IF($Q41=4,1,0)),IF($F41&lt;=85,1,0))</formula>
    </cfRule>
  </conditionalFormatting>
  <conditionalFormatting sqref="AI41">
    <cfRule type="expression" priority="2373" dxfId="3">
      <formula>AND(IF(OR($Q41=1,$Q41=2),1,0),IF($X41&lt;=20,1,0))</formula>
    </cfRule>
    <cfRule type="expression" priority="2374" dxfId="2">
      <formula>AND(IF($Q41=2,1,0),IF($X41&lt;30,1,0))</formula>
    </cfRule>
    <cfRule type="expression" priority="2375" dxfId="1">
      <formula>AND(IF($Q41=3,1,0),IF($X41&lt;30,1,0))</formula>
    </cfRule>
    <cfRule type="expression" priority="2376" dxfId="0">
      <formula>AND(IF($Q41=3,1,IF($Q41=4,1,0)),IF($F41&lt;=85,1,0))</formula>
    </cfRule>
  </conditionalFormatting>
  <conditionalFormatting sqref="AV42">
    <cfRule type="expression" priority="2371" dxfId="17">
      <formula>AV42="X"</formula>
    </cfRule>
    <cfRule type="expression" priority="2372" dxfId="16">
      <formula>AV42="후보"</formula>
    </cfRule>
  </conditionalFormatting>
  <conditionalFormatting sqref="AC42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N42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E42">
    <cfRule type="expression" priority="2362" dxfId="3">
      <formula>AND(IF(OR($Q42=1,$Q42=2),1,0),IF($X42&lt;=20,1,0))</formula>
    </cfRule>
    <cfRule type="expression" priority="2363" dxfId="2">
      <formula>AND(IF($Q42=2,1,0),IF($X42&lt;30,1,0))</formula>
    </cfRule>
    <cfRule type="expression" priority="2364" dxfId="1">
      <formula>AND(IF($Q42=3,1,0),IF($X42&lt;30,1,0))</formula>
    </cfRule>
    <cfRule type="expression" priority="2365" dxfId="0">
      <formula>AND(IF($Q42=3,1,IF($Q42=4,1,0)),IF($F42&lt;=85,1,0))</formula>
    </cfRule>
  </conditionalFormatting>
  <conditionalFormatting sqref="X42">
    <cfRule type="expression" priority="2358" dxfId="3">
      <formula>AND(IF(OR($Q42=1,$Q42=2),1,0),IF($X42&lt;=20,1,0))</formula>
    </cfRule>
    <cfRule type="expression" priority="2359" dxfId="2">
      <formula>AND(IF($Q42=2,1,0),IF($X42&lt;30,1,0))</formula>
    </cfRule>
    <cfRule type="expression" priority="2360" dxfId="1">
      <formula>AND(IF($Q42=3,1,0),IF($X42&lt;30,1,0))</formula>
    </cfRule>
    <cfRule type="expression" priority="2361" dxfId="0">
      <formula>AND(IF($Q42=3,1,IF($Q42=4,1,0)),IF($F42&lt;=85,1,0))</formula>
    </cfRule>
  </conditionalFormatting>
  <conditionalFormatting sqref="AI42">
    <cfRule type="expression" priority="2354" dxfId="3">
      <formula>AND(IF(OR($Q42=1,$Q42=2),1,0),IF($X42&lt;=20,1,0))</formula>
    </cfRule>
    <cfRule type="expression" priority="2355" dxfId="2">
      <formula>AND(IF($Q42=2,1,0),IF($X42&lt;30,1,0))</formula>
    </cfRule>
    <cfRule type="expression" priority="2356" dxfId="1">
      <formula>AND(IF($Q42=3,1,0),IF($X42&lt;30,1,0))</formula>
    </cfRule>
    <cfRule type="expression" priority="2357" dxfId="0">
      <formula>AND(IF($Q42=3,1,IF($Q42=4,1,0)),IF($F42&lt;=85,1,0))</formula>
    </cfRule>
  </conditionalFormatting>
  <conditionalFormatting sqref="AV43">
    <cfRule type="expression" priority="2352" dxfId="17">
      <formula>AV43="X"</formula>
    </cfRule>
    <cfRule type="expression" priority="2353" dxfId="16">
      <formula>AV43="후보"</formula>
    </cfRule>
  </conditionalFormatting>
  <conditionalFormatting sqref="AC43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N43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E43">
    <cfRule type="expression" priority="2343" dxfId="3">
      <formula>AND(IF(OR($Q43=1,$Q43=2),1,0),IF($X43&lt;=20,1,0))</formula>
    </cfRule>
    <cfRule type="expression" priority="2344" dxfId="2">
      <formula>AND(IF($Q43=2,1,0),IF($X43&lt;30,1,0))</formula>
    </cfRule>
    <cfRule type="expression" priority="2345" dxfId="1">
      <formula>AND(IF($Q43=3,1,0),IF($X43&lt;30,1,0))</formula>
    </cfRule>
    <cfRule type="expression" priority="2346" dxfId="0">
      <formula>AND(IF($Q43=3,1,IF($Q43=4,1,0)),IF($F43&lt;=85,1,0))</formula>
    </cfRule>
  </conditionalFormatting>
  <conditionalFormatting sqref="X43">
    <cfRule type="expression" priority="2339" dxfId="3">
      <formula>AND(IF(OR($Q43=1,$Q43=2),1,0),IF($X43&lt;=20,1,0))</formula>
    </cfRule>
    <cfRule type="expression" priority="2340" dxfId="2">
      <formula>AND(IF($Q43=2,1,0),IF($X43&lt;30,1,0))</formula>
    </cfRule>
    <cfRule type="expression" priority="2341" dxfId="1">
      <formula>AND(IF($Q43=3,1,0),IF($X43&lt;30,1,0))</formula>
    </cfRule>
    <cfRule type="expression" priority="2342" dxfId="0">
      <formula>AND(IF($Q43=3,1,IF($Q43=4,1,0)),IF($F43&lt;=85,1,0))</formula>
    </cfRule>
  </conditionalFormatting>
  <conditionalFormatting sqref="AI43">
    <cfRule type="expression" priority="2335" dxfId="3">
      <formula>AND(IF(OR($Q43=1,$Q43=2),1,0),IF($X43&lt;=20,1,0))</formula>
    </cfRule>
    <cfRule type="expression" priority="2336" dxfId="2">
      <formula>AND(IF($Q43=2,1,0),IF($X43&lt;30,1,0))</formula>
    </cfRule>
    <cfRule type="expression" priority="2337" dxfId="1">
      <formula>AND(IF($Q43=3,1,0),IF($X43&lt;30,1,0))</formula>
    </cfRule>
    <cfRule type="expression" priority="2338" dxfId="0">
      <formula>AND(IF($Q43=3,1,IF($Q43=4,1,0)),IF($F43&lt;=85,1,0))</formula>
    </cfRule>
  </conditionalFormatting>
  <conditionalFormatting sqref="AV44">
    <cfRule type="expression" priority="2333" dxfId="17">
      <formula>AV44="X"</formula>
    </cfRule>
    <cfRule type="expression" priority="2334" dxfId="16">
      <formula>AV44="후보"</formula>
    </cfRule>
  </conditionalFormatting>
  <conditionalFormatting sqref="AC44 N44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AV45">
    <cfRule type="expression" priority="2328" dxfId="17">
      <formula>AV45="X"</formula>
    </cfRule>
    <cfRule type="expression" priority="2329" dxfId="16">
      <formula>AV45="후보"</formula>
    </cfRule>
  </conditionalFormatting>
  <conditionalFormatting sqref="AC45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45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45">
    <cfRule type="expression" priority="2319" dxfId="3">
      <formula>AND(IF(OR($Q45=1,$Q45=2),1,0),IF($X45&lt;=20,1,0))</formula>
    </cfRule>
    <cfRule type="expression" priority="2320" dxfId="2">
      <formula>AND(IF($Q45=2,1,0),IF($X45&lt;30,1,0))</formula>
    </cfRule>
    <cfRule type="expression" priority="2321" dxfId="1">
      <formula>AND(IF($Q45=3,1,0),IF($X45&lt;30,1,0))</formula>
    </cfRule>
    <cfRule type="expression" priority="2322" dxfId="0">
      <formula>AND(IF($Q45=3,1,IF($Q45=4,1,0)),IF($F45&lt;=85,1,0))</formula>
    </cfRule>
  </conditionalFormatting>
  <conditionalFormatting sqref="X45">
    <cfRule type="expression" priority="2315" dxfId="3">
      <formula>AND(IF(OR($Q45=1,$Q45=2),1,0),IF($X45&lt;=20,1,0))</formula>
    </cfRule>
    <cfRule type="expression" priority="2316" dxfId="2">
      <formula>AND(IF($Q45=2,1,0),IF($X45&lt;30,1,0))</formula>
    </cfRule>
    <cfRule type="expression" priority="2317" dxfId="1">
      <formula>AND(IF($Q45=3,1,0),IF($X45&lt;30,1,0))</formula>
    </cfRule>
    <cfRule type="expression" priority="2318" dxfId="0">
      <formula>AND(IF($Q45=3,1,IF($Q45=4,1,0)),IF($F45&lt;=85,1,0))</formula>
    </cfRule>
  </conditionalFormatting>
  <conditionalFormatting sqref="AI45">
    <cfRule type="expression" priority="2311" dxfId="3">
      <formula>AND(IF(OR($Q45=1,$Q45=2),1,0),IF($X45&lt;=20,1,0))</formula>
    </cfRule>
    <cfRule type="expression" priority="2312" dxfId="2">
      <formula>AND(IF($Q45=2,1,0),IF($X45&lt;30,1,0))</formula>
    </cfRule>
    <cfRule type="expression" priority="2313" dxfId="1">
      <formula>AND(IF($Q45=3,1,0),IF($X45&lt;30,1,0))</formula>
    </cfRule>
    <cfRule type="expression" priority="2314" dxfId="0">
      <formula>AND(IF($Q45=3,1,IF($Q45=4,1,0)),IF($F45&lt;=85,1,0))</formula>
    </cfRule>
  </conditionalFormatting>
  <conditionalFormatting sqref="AV46">
    <cfRule type="expression" priority="2309" dxfId="17">
      <formula>AV46="X"</formula>
    </cfRule>
    <cfRule type="expression" priority="2310" dxfId="16">
      <formula>AV46="후보"</formula>
    </cfRule>
  </conditionalFormatting>
  <conditionalFormatting sqref="AC46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46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46">
    <cfRule type="expression" priority="2300" dxfId="3">
      <formula>AND(IF(OR($Q46=1,$Q46=2),1,0),IF($X46&lt;=20,1,0))</formula>
    </cfRule>
    <cfRule type="expression" priority="2301" dxfId="2">
      <formula>AND(IF($Q46=2,1,0),IF($X46&lt;30,1,0))</formula>
    </cfRule>
    <cfRule type="expression" priority="2302" dxfId="1">
      <formula>AND(IF($Q46=3,1,0),IF($X46&lt;30,1,0))</formula>
    </cfRule>
    <cfRule type="expression" priority="2303" dxfId="0">
      <formula>AND(IF($Q46=3,1,IF($Q46=4,1,0)),IF($F46&lt;=85,1,0))</formula>
    </cfRule>
  </conditionalFormatting>
  <conditionalFormatting sqref="X46">
    <cfRule type="expression" priority="2296" dxfId="3">
      <formula>AND(IF(OR($Q46=1,$Q46=2),1,0),IF($X46&lt;=20,1,0))</formula>
    </cfRule>
    <cfRule type="expression" priority="2297" dxfId="2">
      <formula>AND(IF($Q46=2,1,0),IF($X46&lt;30,1,0))</formula>
    </cfRule>
    <cfRule type="expression" priority="2298" dxfId="1">
      <formula>AND(IF($Q46=3,1,0),IF($X46&lt;30,1,0))</formula>
    </cfRule>
    <cfRule type="expression" priority="2299" dxfId="0">
      <formula>AND(IF($Q46=3,1,IF($Q46=4,1,0)),IF($F46&lt;=85,1,0))</formula>
    </cfRule>
  </conditionalFormatting>
  <conditionalFormatting sqref="AI46">
    <cfRule type="expression" priority="2292" dxfId="3">
      <formula>AND(IF(OR($Q46=1,$Q46=2),1,0),IF($X46&lt;=20,1,0))</formula>
    </cfRule>
    <cfRule type="expression" priority="2293" dxfId="2">
      <formula>AND(IF($Q46=2,1,0),IF($X46&lt;30,1,0))</formula>
    </cfRule>
    <cfRule type="expression" priority="2294" dxfId="1">
      <formula>AND(IF($Q46=3,1,0),IF($X46&lt;30,1,0))</formula>
    </cfRule>
    <cfRule type="expression" priority="2295" dxfId="0">
      <formula>AND(IF($Q46=3,1,IF($Q46=4,1,0)),IF($F46&lt;=85,1,0))</formula>
    </cfRule>
  </conditionalFormatting>
  <conditionalFormatting sqref="AV47">
    <cfRule type="expression" priority="2290" dxfId="17">
      <formula>AV47="X"</formula>
    </cfRule>
    <cfRule type="expression" priority="2291" dxfId="16">
      <formula>AV47="후보"</formula>
    </cfRule>
  </conditionalFormatting>
  <conditionalFormatting sqref="AC47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47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47">
    <cfRule type="expression" priority="2281" dxfId="3">
      <formula>AND(IF(OR($Q47=1,$Q47=2),1,0),IF($X47&lt;=20,1,0))</formula>
    </cfRule>
    <cfRule type="expression" priority="2282" dxfId="2">
      <formula>AND(IF($Q47=2,1,0),IF($X47&lt;30,1,0))</formula>
    </cfRule>
    <cfRule type="expression" priority="2283" dxfId="1">
      <formula>AND(IF($Q47=3,1,0),IF($X47&lt;30,1,0))</formula>
    </cfRule>
    <cfRule type="expression" priority="2284" dxfId="0">
      <formula>AND(IF($Q47=3,1,IF($Q47=4,1,0)),IF($F47&lt;=85,1,0))</formula>
    </cfRule>
  </conditionalFormatting>
  <conditionalFormatting sqref="X47">
    <cfRule type="expression" priority="2277" dxfId="3">
      <formula>AND(IF(OR($Q47=1,$Q47=2),1,0),IF($X47&lt;=20,1,0))</formula>
    </cfRule>
    <cfRule type="expression" priority="2278" dxfId="2">
      <formula>AND(IF($Q47=2,1,0),IF($X47&lt;30,1,0))</formula>
    </cfRule>
    <cfRule type="expression" priority="2279" dxfId="1">
      <formula>AND(IF($Q47=3,1,0),IF($X47&lt;30,1,0))</formula>
    </cfRule>
    <cfRule type="expression" priority="2280" dxfId="0">
      <formula>AND(IF($Q47=3,1,IF($Q47=4,1,0)),IF($F47&lt;=85,1,0))</formula>
    </cfRule>
  </conditionalFormatting>
  <conditionalFormatting sqref="AI47">
    <cfRule type="expression" priority="2273" dxfId="3">
      <formula>AND(IF(OR($Q47=1,$Q47=2),1,0),IF($X47&lt;=20,1,0))</formula>
    </cfRule>
    <cfRule type="expression" priority="2274" dxfId="2">
      <formula>AND(IF($Q47=2,1,0),IF($X47&lt;30,1,0))</formula>
    </cfRule>
    <cfRule type="expression" priority="2275" dxfId="1">
      <formula>AND(IF($Q47=3,1,0),IF($X47&lt;30,1,0))</formula>
    </cfRule>
    <cfRule type="expression" priority="2276" dxfId="0">
      <formula>AND(IF($Q47=3,1,IF($Q47=4,1,0)),IF($F47&lt;=85,1,0))</formula>
    </cfRule>
  </conditionalFormatting>
  <conditionalFormatting sqref="AV48">
    <cfRule type="expression" priority="2271" dxfId="17">
      <formula>AV48="X"</formula>
    </cfRule>
    <cfRule type="expression" priority="2272" dxfId="16">
      <formula>AV48="후보"</formula>
    </cfRule>
  </conditionalFormatting>
  <conditionalFormatting sqref="AC48 N48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AV49">
    <cfRule type="expression" priority="2266" dxfId="17">
      <formula>AV49="X"</formula>
    </cfRule>
    <cfRule type="expression" priority="2267" dxfId="16">
      <formula>AV49="후보"</formula>
    </cfRule>
  </conditionalFormatting>
  <conditionalFormatting sqref="AC49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49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49">
    <cfRule type="expression" priority="2257" dxfId="3">
      <formula>AND(IF(OR($Q49=1,$Q49=2),1,0),IF($X49&lt;=20,1,0))</formula>
    </cfRule>
    <cfRule type="expression" priority="2258" dxfId="2">
      <formula>AND(IF($Q49=2,1,0),IF($X49&lt;30,1,0))</formula>
    </cfRule>
    <cfRule type="expression" priority="2259" dxfId="1">
      <formula>AND(IF($Q49=3,1,0),IF($X49&lt;30,1,0))</formula>
    </cfRule>
    <cfRule type="expression" priority="2260" dxfId="0">
      <formula>AND(IF($Q49=3,1,IF($Q49=4,1,0)),IF($F49&lt;=85,1,0))</formula>
    </cfRule>
  </conditionalFormatting>
  <conditionalFormatting sqref="X49">
    <cfRule type="expression" priority="2253" dxfId="3">
      <formula>AND(IF(OR($Q49=1,$Q49=2),1,0),IF($X49&lt;=20,1,0))</formula>
    </cfRule>
    <cfRule type="expression" priority="2254" dxfId="2">
      <formula>AND(IF($Q49=2,1,0),IF($X49&lt;30,1,0))</formula>
    </cfRule>
    <cfRule type="expression" priority="2255" dxfId="1">
      <formula>AND(IF($Q49=3,1,0),IF($X49&lt;30,1,0))</formula>
    </cfRule>
    <cfRule type="expression" priority="2256" dxfId="0">
      <formula>AND(IF($Q49=3,1,IF($Q49=4,1,0)),IF($F49&lt;=85,1,0))</formula>
    </cfRule>
  </conditionalFormatting>
  <conditionalFormatting sqref="AI49">
    <cfRule type="expression" priority="2249" dxfId="3">
      <formula>AND(IF(OR($Q49=1,$Q49=2),1,0),IF($X49&lt;=20,1,0))</formula>
    </cfRule>
    <cfRule type="expression" priority="2250" dxfId="2">
      <formula>AND(IF($Q49=2,1,0),IF($X49&lt;30,1,0))</formula>
    </cfRule>
    <cfRule type="expression" priority="2251" dxfId="1">
      <formula>AND(IF($Q49=3,1,0),IF($X49&lt;30,1,0))</formula>
    </cfRule>
    <cfRule type="expression" priority="2252" dxfId="0">
      <formula>AND(IF($Q49=3,1,IF($Q49=4,1,0)),IF($F49&lt;=85,1,0))</formula>
    </cfRule>
  </conditionalFormatting>
  <conditionalFormatting sqref="AV50">
    <cfRule type="expression" priority="2247" dxfId="17">
      <formula>AV50="X"</formula>
    </cfRule>
    <cfRule type="expression" priority="2248" dxfId="16">
      <formula>AV50="후보"</formula>
    </cfRule>
  </conditionalFormatting>
  <conditionalFormatting sqref="AC50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50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50">
    <cfRule type="expression" priority="2238" dxfId="3">
      <formula>AND(IF(OR($Q50=1,$Q50=2),1,0),IF($X50&lt;=20,1,0))</formula>
    </cfRule>
    <cfRule type="expression" priority="2239" dxfId="2">
      <formula>AND(IF($Q50=2,1,0),IF($X50&lt;30,1,0))</formula>
    </cfRule>
    <cfRule type="expression" priority="2240" dxfId="1">
      <formula>AND(IF($Q50=3,1,0),IF($X50&lt;30,1,0))</formula>
    </cfRule>
    <cfRule type="expression" priority="2241" dxfId="0">
      <formula>AND(IF($Q50=3,1,IF($Q50=4,1,0)),IF($F50&lt;=85,1,0))</formula>
    </cfRule>
  </conditionalFormatting>
  <conditionalFormatting sqref="X50">
    <cfRule type="expression" priority="2234" dxfId="3">
      <formula>AND(IF(OR($Q50=1,$Q50=2),1,0),IF($X50&lt;=20,1,0))</formula>
    </cfRule>
    <cfRule type="expression" priority="2235" dxfId="2">
      <formula>AND(IF($Q50=2,1,0),IF($X50&lt;30,1,0))</formula>
    </cfRule>
    <cfRule type="expression" priority="2236" dxfId="1">
      <formula>AND(IF($Q50=3,1,0),IF($X50&lt;30,1,0))</formula>
    </cfRule>
    <cfRule type="expression" priority="2237" dxfId="0">
      <formula>AND(IF($Q50=3,1,IF($Q50=4,1,0)),IF($F50&lt;=85,1,0))</formula>
    </cfRule>
  </conditionalFormatting>
  <conditionalFormatting sqref="AI50">
    <cfRule type="expression" priority="2230" dxfId="3">
      <formula>AND(IF(OR($Q50=1,$Q50=2),1,0),IF($X50&lt;=20,1,0))</formula>
    </cfRule>
    <cfRule type="expression" priority="2231" dxfId="2">
      <formula>AND(IF($Q50=2,1,0),IF($X50&lt;30,1,0))</formula>
    </cfRule>
    <cfRule type="expression" priority="2232" dxfId="1">
      <formula>AND(IF($Q50=3,1,0),IF($X50&lt;30,1,0))</formula>
    </cfRule>
    <cfRule type="expression" priority="2233" dxfId="0">
      <formula>AND(IF($Q50=3,1,IF($Q50=4,1,0)),IF($F50&lt;=85,1,0))</formula>
    </cfRule>
  </conditionalFormatting>
  <conditionalFormatting sqref="AV51">
    <cfRule type="expression" priority="2228" dxfId="17">
      <formula>AV51="X"</formula>
    </cfRule>
    <cfRule type="expression" priority="2229" dxfId="16">
      <formula>AV51="후보"</formula>
    </cfRule>
  </conditionalFormatting>
  <conditionalFormatting sqref="AC51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51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51">
    <cfRule type="expression" priority="2219" dxfId="3">
      <formula>AND(IF(OR($Q51=1,$Q51=2),1,0),IF($X51&lt;=20,1,0))</formula>
    </cfRule>
    <cfRule type="expression" priority="2220" dxfId="2">
      <formula>AND(IF($Q51=2,1,0),IF($X51&lt;30,1,0))</formula>
    </cfRule>
    <cfRule type="expression" priority="2221" dxfId="1">
      <formula>AND(IF($Q51=3,1,0),IF($X51&lt;30,1,0))</formula>
    </cfRule>
    <cfRule type="expression" priority="2222" dxfId="0">
      <formula>AND(IF($Q51=3,1,IF($Q51=4,1,0)),IF($F51&lt;=85,1,0))</formula>
    </cfRule>
  </conditionalFormatting>
  <conditionalFormatting sqref="X51">
    <cfRule type="expression" priority="2215" dxfId="3">
      <formula>AND(IF(OR($Q51=1,$Q51=2),1,0),IF($X51&lt;=20,1,0))</formula>
    </cfRule>
    <cfRule type="expression" priority="2216" dxfId="2">
      <formula>AND(IF($Q51=2,1,0),IF($X51&lt;30,1,0))</formula>
    </cfRule>
    <cfRule type="expression" priority="2217" dxfId="1">
      <formula>AND(IF($Q51=3,1,0),IF($X51&lt;30,1,0))</formula>
    </cfRule>
    <cfRule type="expression" priority="2218" dxfId="0">
      <formula>AND(IF($Q51=3,1,IF($Q51=4,1,0)),IF($F51&lt;=85,1,0))</formula>
    </cfRule>
  </conditionalFormatting>
  <conditionalFormatting sqref="AI51">
    <cfRule type="expression" priority="2211" dxfId="3">
      <formula>AND(IF(OR($Q51=1,$Q51=2),1,0),IF($X51&lt;=20,1,0))</formula>
    </cfRule>
    <cfRule type="expression" priority="2212" dxfId="2">
      <formula>AND(IF($Q51=2,1,0),IF($X51&lt;30,1,0))</formula>
    </cfRule>
    <cfRule type="expression" priority="2213" dxfId="1">
      <formula>AND(IF($Q51=3,1,0),IF($X51&lt;30,1,0))</formula>
    </cfRule>
    <cfRule type="expression" priority="2214" dxfId="0">
      <formula>AND(IF($Q51=3,1,IF($Q51=4,1,0)),IF($F51&lt;=85,1,0))</formula>
    </cfRule>
  </conditionalFormatting>
  <conditionalFormatting sqref="AV52">
    <cfRule type="expression" priority="2209" dxfId="17">
      <formula>AV52="X"</formula>
    </cfRule>
    <cfRule type="expression" priority="2210" dxfId="16">
      <formula>AV52="후보"</formula>
    </cfRule>
  </conditionalFormatting>
  <conditionalFormatting sqref="AC52 N52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AV53">
    <cfRule type="expression" priority="2204" dxfId="17">
      <formula>AV53="X"</formula>
    </cfRule>
    <cfRule type="expression" priority="2205" dxfId="16">
      <formula>AV53="후보"</formula>
    </cfRule>
  </conditionalFormatting>
  <conditionalFormatting sqref="AC5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5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53">
    <cfRule type="expression" priority="2195" dxfId="3">
      <formula>AND(IF(OR($Q53=1,$Q53=2),1,0),IF($X53&lt;=20,1,0))</formula>
    </cfRule>
    <cfRule type="expression" priority="2196" dxfId="2">
      <formula>AND(IF($Q53=2,1,0),IF($X53&lt;30,1,0))</formula>
    </cfRule>
    <cfRule type="expression" priority="2197" dxfId="1">
      <formula>AND(IF($Q53=3,1,0),IF($X53&lt;30,1,0))</formula>
    </cfRule>
    <cfRule type="expression" priority="2198" dxfId="0">
      <formula>AND(IF($Q53=3,1,IF($Q53=4,1,0)),IF($F53&lt;=85,1,0))</formula>
    </cfRule>
  </conditionalFormatting>
  <conditionalFormatting sqref="X53">
    <cfRule type="expression" priority="2191" dxfId="3">
      <formula>AND(IF(OR($Q53=1,$Q53=2),1,0),IF($X53&lt;=20,1,0))</formula>
    </cfRule>
    <cfRule type="expression" priority="2192" dxfId="2">
      <formula>AND(IF($Q53=2,1,0),IF($X53&lt;30,1,0))</formula>
    </cfRule>
    <cfRule type="expression" priority="2193" dxfId="1">
      <formula>AND(IF($Q53=3,1,0),IF($X53&lt;30,1,0))</formula>
    </cfRule>
    <cfRule type="expression" priority="2194" dxfId="0">
      <formula>AND(IF($Q53=3,1,IF($Q53=4,1,0)),IF($F53&lt;=85,1,0))</formula>
    </cfRule>
  </conditionalFormatting>
  <conditionalFormatting sqref="AI53">
    <cfRule type="expression" priority="2187" dxfId="3">
      <formula>AND(IF(OR($Q53=1,$Q53=2),1,0),IF($X53&lt;=20,1,0))</formula>
    </cfRule>
    <cfRule type="expression" priority="2188" dxfId="2">
      <formula>AND(IF($Q53=2,1,0),IF($X53&lt;30,1,0))</formula>
    </cfRule>
    <cfRule type="expression" priority="2189" dxfId="1">
      <formula>AND(IF($Q53=3,1,0),IF($X53&lt;30,1,0))</formula>
    </cfRule>
    <cfRule type="expression" priority="2190" dxfId="0">
      <formula>AND(IF($Q53=3,1,IF($Q53=4,1,0)),IF($F53&lt;=85,1,0))</formula>
    </cfRule>
  </conditionalFormatting>
  <conditionalFormatting sqref="AV54">
    <cfRule type="expression" priority="2185" dxfId="17">
      <formula>AV54="X"</formula>
    </cfRule>
    <cfRule type="expression" priority="2186" dxfId="16">
      <formula>AV54="후보"</formula>
    </cfRule>
  </conditionalFormatting>
  <conditionalFormatting sqref="AC5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5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54">
    <cfRule type="expression" priority="2176" dxfId="3">
      <formula>AND(IF(OR($Q54=1,$Q54=2),1,0),IF($X54&lt;=20,1,0))</formula>
    </cfRule>
    <cfRule type="expression" priority="2177" dxfId="2">
      <formula>AND(IF($Q54=2,1,0),IF($X54&lt;30,1,0))</formula>
    </cfRule>
    <cfRule type="expression" priority="2178" dxfId="1">
      <formula>AND(IF($Q54=3,1,0),IF($X54&lt;30,1,0))</formula>
    </cfRule>
    <cfRule type="expression" priority="2179" dxfId="0">
      <formula>AND(IF($Q54=3,1,IF($Q54=4,1,0)),IF($F54&lt;=85,1,0))</formula>
    </cfRule>
  </conditionalFormatting>
  <conditionalFormatting sqref="X54">
    <cfRule type="expression" priority="2172" dxfId="3">
      <formula>AND(IF(OR($Q54=1,$Q54=2),1,0),IF($X54&lt;=20,1,0))</formula>
    </cfRule>
    <cfRule type="expression" priority="2173" dxfId="2">
      <formula>AND(IF($Q54=2,1,0),IF($X54&lt;30,1,0))</formula>
    </cfRule>
    <cfRule type="expression" priority="2174" dxfId="1">
      <formula>AND(IF($Q54=3,1,0),IF($X54&lt;30,1,0))</formula>
    </cfRule>
    <cfRule type="expression" priority="2175" dxfId="0">
      <formula>AND(IF($Q54=3,1,IF($Q54=4,1,0)),IF($F54&lt;=85,1,0))</formula>
    </cfRule>
  </conditionalFormatting>
  <conditionalFormatting sqref="AI54">
    <cfRule type="expression" priority="2168" dxfId="3">
      <formula>AND(IF(OR($Q54=1,$Q54=2),1,0),IF($X54&lt;=20,1,0))</formula>
    </cfRule>
    <cfRule type="expression" priority="2169" dxfId="2">
      <formula>AND(IF($Q54=2,1,0),IF($X54&lt;30,1,0))</formula>
    </cfRule>
    <cfRule type="expression" priority="2170" dxfId="1">
      <formula>AND(IF($Q54=3,1,0),IF($X54&lt;30,1,0))</formula>
    </cfRule>
    <cfRule type="expression" priority="2171" dxfId="0">
      <formula>AND(IF($Q54=3,1,IF($Q54=4,1,0)),IF($F54&lt;=85,1,0))</formula>
    </cfRule>
  </conditionalFormatting>
  <conditionalFormatting sqref="AV55">
    <cfRule type="expression" priority="2166" dxfId="17">
      <formula>AV55="X"</formula>
    </cfRule>
    <cfRule type="expression" priority="2167" dxfId="16">
      <formula>AV55="후보"</formula>
    </cfRule>
  </conditionalFormatting>
  <conditionalFormatting sqref="AC5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55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55">
    <cfRule type="expression" priority="2157" dxfId="3">
      <formula>AND(IF(OR($Q55=1,$Q55=2),1,0),IF($X55&lt;=20,1,0))</formula>
    </cfRule>
    <cfRule type="expression" priority="2158" dxfId="2">
      <formula>AND(IF($Q55=2,1,0),IF($X55&lt;30,1,0))</formula>
    </cfRule>
    <cfRule type="expression" priority="2159" dxfId="1">
      <formula>AND(IF($Q55=3,1,0),IF($X55&lt;30,1,0))</formula>
    </cfRule>
    <cfRule type="expression" priority="2160" dxfId="0">
      <formula>AND(IF($Q55=3,1,IF($Q55=4,1,0)),IF($F55&lt;=85,1,0))</formula>
    </cfRule>
  </conditionalFormatting>
  <conditionalFormatting sqref="X55">
    <cfRule type="expression" priority="2153" dxfId="3">
      <formula>AND(IF(OR($Q55=1,$Q55=2),1,0),IF($X55&lt;=20,1,0))</formula>
    </cfRule>
    <cfRule type="expression" priority="2154" dxfId="2">
      <formula>AND(IF($Q55=2,1,0),IF($X55&lt;30,1,0))</formula>
    </cfRule>
    <cfRule type="expression" priority="2155" dxfId="1">
      <formula>AND(IF($Q55=3,1,0),IF($X55&lt;30,1,0))</formula>
    </cfRule>
    <cfRule type="expression" priority="2156" dxfId="0">
      <formula>AND(IF($Q55=3,1,IF($Q55=4,1,0)),IF($F55&lt;=85,1,0))</formula>
    </cfRule>
  </conditionalFormatting>
  <conditionalFormatting sqref="AI55">
    <cfRule type="expression" priority="2149" dxfId="3">
      <formula>AND(IF(OR($Q55=1,$Q55=2),1,0),IF($X55&lt;=20,1,0))</formula>
    </cfRule>
    <cfRule type="expression" priority="2150" dxfId="2">
      <formula>AND(IF($Q55=2,1,0),IF($X55&lt;30,1,0))</formula>
    </cfRule>
    <cfRule type="expression" priority="2151" dxfId="1">
      <formula>AND(IF($Q55=3,1,0),IF($X55&lt;30,1,0))</formula>
    </cfRule>
    <cfRule type="expression" priority="2152" dxfId="0">
      <formula>AND(IF($Q55=3,1,IF($Q55=4,1,0)),IF($F55&lt;=85,1,0))</formula>
    </cfRule>
  </conditionalFormatting>
  <conditionalFormatting sqref="AV56">
    <cfRule type="expression" priority="2147" dxfId="17">
      <formula>AV56="X"</formula>
    </cfRule>
    <cfRule type="expression" priority="2148" dxfId="16">
      <formula>AV56="후보"</formula>
    </cfRule>
  </conditionalFormatting>
  <conditionalFormatting sqref="AC56 N5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AV57">
    <cfRule type="expression" priority="2142" dxfId="17">
      <formula>AV57="X"</formula>
    </cfRule>
    <cfRule type="expression" priority="2143" dxfId="16">
      <formula>AV57="후보"</formula>
    </cfRule>
  </conditionalFormatting>
  <conditionalFormatting sqref="AC5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5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57">
    <cfRule type="expression" priority="2133" dxfId="3">
      <formula>AND(IF(OR($Q57=1,$Q57=2),1,0),IF($X57&lt;=20,1,0))</formula>
    </cfRule>
    <cfRule type="expression" priority="2134" dxfId="2">
      <formula>AND(IF($Q57=2,1,0),IF($X57&lt;30,1,0))</formula>
    </cfRule>
    <cfRule type="expression" priority="2135" dxfId="1">
      <formula>AND(IF($Q57=3,1,0),IF($X57&lt;30,1,0))</formula>
    </cfRule>
    <cfRule type="expression" priority="2136" dxfId="0">
      <formula>AND(IF($Q57=3,1,IF($Q57=4,1,0)),IF($F57&lt;=85,1,0))</formula>
    </cfRule>
  </conditionalFormatting>
  <conditionalFormatting sqref="X57">
    <cfRule type="expression" priority="2129" dxfId="3">
      <formula>AND(IF(OR($Q57=1,$Q57=2),1,0),IF($X57&lt;=20,1,0))</formula>
    </cfRule>
    <cfRule type="expression" priority="2130" dxfId="2">
      <formula>AND(IF($Q57=2,1,0),IF($X57&lt;30,1,0))</formula>
    </cfRule>
    <cfRule type="expression" priority="2131" dxfId="1">
      <formula>AND(IF($Q57=3,1,0),IF($X57&lt;30,1,0))</formula>
    </cfRule>
    <cfRule type="expression" priority="2132" dxfId="0">
      <formula>AND(IF($Q57=3,1,IF($Q57=4,1,0)),IF($F57&lt;=85,1,0))</formula>
    </cfRule>
  </conditionalFormatting>
  <conditionalFormatting sqref="AI57">
    <cfRule type="expression" priority="2125" dxfId="3">
      <formula>AND(IF(OR($Q57=1,$Q57=2),1,0),IF($X57&lt;=20,1,0))</formula>
    </cfRule>
    <cfRule type="expression" priority="2126" dxfId="2">
      <formula>AND(IF($Q57=2,1,0),IF($X57&lt;30,1,0))</formula>
    </cfRule>
    <cfRule type="expression" priority="2127" dxfId="1">
      <formula>AND(IF($Q57=3,1,0),IF($X57&lt;30,1,0))</formula>
    </cfRule>
    <cfRule type="expression" priority="2128" dxfId="0">
      <formula>AND(IF($Q57=3,1,IF($Q57=4,1,0)),IF($F57&lt;=85,1,0))</formula>
    </cfRule>
  </conditionalFormatting>
  <conditionalFormatting sqref="AV58">
    <cfRule type="expression" priority="2123" dxfId="17">
      <formula>AV58="X"</formula>
    </cfRule>
    <cfRule type="expression" priority="2124" dxfId="16">
      <formula>AV58="후보"</formula>
    </cfRule>
  </conditionalFormatting>
  <conditionalFormatting sqref="AC5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5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58">
    <cfRule type="expression" priority="2114" dxfId="3">
      <formula>AND(IF(OR($Q58=1,$Q58=2),1,0),IF($X58&lt;=20,1,0))</formula>
    </cfRule>
    <cfRule type="expression" priority="2115" dxfId="2">
      <formula>AND(IF($Q58=2,1,0),IF($X58&lt;30,1,0))</formula>
    </cfRule>
    <cfRule type="expression" priority="2116" dxfId="1">
      <formula>AND(IF($Q58=3,1,0),IF($X58&lt;30,1,0))</formula>
    </cfRule>
    <cfRule type="expression" priority="2117" dxfId="0">
      <formula>AND(IF($Q58=3,1,IF($Q58=4,1,0)),IF($F58&lt;=85,1,0))</formula>
    </cfRule>
  </conditionalFormatting>
  <conditionalFormatting sqref="X58">
    <cfRule type="expression" priority="2110" dxfId="3">
      <formula>AND(IF(OR($Q58=1,$Q58=2),1,0),IF($X58&lt;=20,1,0))</formula>
    </cfRule>
    <cfRule type="expression" priority="2111" dxfId="2">
      <formula>AND(IF($Q58=2,1,0),IF($X58&lt;30,1,0))</formula>
    </cfRule>
    <cfRule type="expression" priority="2112" dxfId="1">
      <formula>AND(IF($Q58=3,1,0),IF($X58&lt;30,1,0))</formula>
    </cfRule>
    <cfRule type="expression" priority="2113" dxfId="0">
      <formula>AND(IF($Q58=3,1,IF($Q58=4,1,0)),IF($F58&lt;=85,1,0))</formula>
    </cfRule>
  </conditionalFormatting>
  <conditionalFormatting sqref="AI58">
    <cfRule type="expression" priority="2106" dxfId="3">
      <formula>AND(IF(OR($Q58=1,$Q58=2),1,0),IF($X58&lt;=20,1,0))</formula>
    </cfRule>
    <cfRule type="expression" priority="2107" dxfId="2">
      <formula>AND(IF($Q58=2,1,0),IF($X58&lt;30,1,0))</formula>
    </cfRule>
    <cfRule type="expression" priority="2108" dxfId="1">
      <formula>AND(IF($Q58=3,1,0),IF($X58&lt;30,1,0))</formula>
    </cfRule>
    <cfRule type="expression" priority="2109" dxfId="0">
      <formula>AND(IF($Q58=3,1,IF($Q58=4,1,0)),IF($F58&lt;=85,1,0))</formula>
    </cfRule>
  </conditionalFormatting>
  <conditionalFormatting sqref="AV59">
    <cfRule type="expression" priority="2104" dxfId="17">
      <formula>AV59="X"</formula>
    </cfRule>
    <cfRule type="expression" priority="2105" dxfId="16">
      <formula>AV59="후보"</formula>
    </cfRule>
  </conditionalFormatting>
  <conditionalFormatting sqref="AC5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5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59">
    <cfRule type="expression" priority="2095" dxfId="3">
      <formula>AND(IF(OR($Q59=1,$Q59=2),1,0),IF($X59&lt;=20,1,0))</formula>
    </cfRule>
    <cfRule type="expression" priority="2096" dxfId="2">
      <formula>AND(IF($Q59=2,1,0),IF($X59&lt;30,1,0))</formula>
    </cfRule>
    <cfRule type="expression" priority="2097" dxfId="1">
      <formula>AND(IF($Q59=3,1,0),IF($X59&lt;30,1,0))</formula>
    </cfRule>
    <cfRule type="expression" priority="2098" dxfId="0">
      <formula>AND(IF($Q59=3,1,IF($Q59=4,1,0)),IF($F59&lt;=85,1,0))</formula>
    </cfRule>
  </conditionalFormatting>
  <conditionalFormatting sqref="X59">
    <cfRule type="expression" priority="2091" dxfId="3">
      <formula>AND(IF(OR($Q59=1,$Q59=2),1,0),IF($X59&lt;=20,1,0))</formula>
    </cfRule>
    <cfRule type="expression" priority="2092" dxfId="2">
      <formula>AND(IF($Q59=2,1,0),IF($X59&lt;30,1,0))</formula>
    </cfRule>
    <cfRule type="expression" priority="2093" dxfId="1">
      <formula>AND(IF($Q59=3,1,0),IF($X59&lt;30,1,0))</formula>
    </cfRule>
    <cfRule type="expression" priority="2094" dxfId="0">
      <formula>AND(IF($Q59=3,1,IF($Q59=4,1,0)),IF($F59&lt;=85,1,0))</formula>
    </cfRule>
  </conditionalFormatting>
  <conditionalFormatting sqref="AI59">
    <cfRule type="expression" priority="2087" dxfId="3">
      <formula>AND(IF(OR($Q59=1,$Q59=2),1,0),IF($X59&lt;=20,1,0))</formula>
    </cfRule>
    <cfRule type="expression" priority="2088" dxfId="2">
      <formula>AND(IF($Q59=2,1,0),IF($X59&lt;30,1,0))</formula>
    </cfRule>
    <cfRule type="expression" priority="2089" dxfId="1">
      <formula>AND(IF($Q59=3,1,0),IF($X59&lt;30,1,0))</formula>
    </cfRule>
    <cfRule type="expression" priority="2090" dxfId="0">
      <formula>AND(IF($Q59=3,1,IF($Q59=4,1,0)),IF($F59&lt;=85,1,0))</formula>
    </cfRule>
  </conditionalFormatting>
  <conditionalFormatting sqref="AV60">
    <cfRule type="expression" priority="2085" dxfId="17">
      <formula>AV60="X"</formula>
    </cfRule>
    <cfRule type="expression" priority="2086" dxfId="16">
      <formula>AV60="후보"</formula>
    </cfRule>
  </conditionalFormatting>
  <conditionalFormatting sqref="AC6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6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60">
    <cfRule type="expression" priority="2076" dxfId="3">
      <formula>AND(IF(OR($Q60=1,$Q60=2),1,0),IF($X60&lt;=20,1,0))</formula>
    </cfRule>
    <cfRule type="expression" priority="2077" dxfId="2">
      <formula>AND(IF($Q60=2,1,0),IF($X60&lt;30,1,0))</formula>
    </cfRule>
    <cfRule type="expression" priority="2078" dxfId="1">
      <formula>AND(IF($Q60=3,1,0),IF($X60&lt;30,1,0))</formula>
    </cfRule>
    <cfRule type="expression" priority="2079" dxfId="0">
      <formula>AND(IF($Q60=3,1,IF($Q60=4,1,0)),IF($F60&lt;=85,1,0))</formula>
    </cfRule>
  </conditionalFormatting>
  <conditionalFormatting sqref="X60">
    <cfRule type="expression" priority="2072" dxfId="3">
      <formula>AND(IF(OR($Q60=1,$Q60=2),1,0),IF($X60&lt;=20,1,0))</formula>
    </cfRule>
    <cfRule type="expression" priority="2073" dxfId="2">
      <formula>AND(IF($Q60=2,1,0),IF($X60&lt;30,1,0))</formula>
    </cfRule>
    <cfRule type="expression" priority="2074" dxfId="1">
      <formula>AND(IF($Q60=3,1,0),IF($X60&lt;30,1,0))</formula>
    </cfRule>
    <cfRule type="expression" priority="2075" dxfId="0">
      <formula>AND(IF($Q60=3,1,IF($Q60=4,1,0)),IF($F60&lt;=85,1,0))</formula>
    </cfRule>
  </conditionalFormatting>
  <conditionalFormatting sqref="AI60">
    <cfRule type="expression" priority="2068" dxfId="3">
      <formula>AND(IF(OR($Q60=1,$Q60=2),1,0),IF($X60&lt;=20,1,0))</formula>
    </cfRule>
    <cfRule type="expression" priority="2069" dxfId="2">
      <formula>AND(IF($Q60=2,1,0),IF($X60&lt;30,1,0))</formula>
    </cfRule>
    <cfRule type="expression" priority="2070" dxfId="1">
      <formula>AND(IF($Q60=3,1,0),IF($X60&lt;30,1,0))</formula>
    </cfRule>
    <cfRule type="expression" priority="2071" dxfId="0">
      <formula>AND(IF($Q60=3,1,IF($Q60=4,1,0)),IF($F60&lt;=85,1,0))</formula>
    </cfRule>
  </conditionalFormatting>
  <conditionalFormatting sqref="AV61">
    <cfRule type="expression" priority="2066" dxfId="17">
      <formula>AV61="X"</formula>
    </cfRule>
    <cfRule type="expression" priority="2067" dxfId="16">
      <formula>AV61="후보"</formula>
    </cfRule>
  </conditionalFormatting>
  <conditionalFormatting sqref="AC61 N6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62">
    <cfRule type="expression" priority="2061" dxfId="17">
      <formula>AV62="X"</formula>
    </cfRule>
    <cfRule type="expression" priority="2062" dxfId="16">
      <formula>AV62="후보"</formula>
    </cfRule>
  </conditionalFormatting>
  <conditionalFormatting sqref="AC6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6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62">
    <cfRule type="expression" priority="2052" dxfId="3">
      <formula>AND(IF(OR($Q62=1,$Q62=2),1,0),IF($X62&lt;=20,1,0))</formula>
    </cfRule>
    <cfRule type="expression" priority="2053" dxfId="2">
      <formula>AND(IF($Q62=2,1,0),IF($X62&lt;30,1,0))</formula>
    </cfRule>
    <cfRule type="expression" priority="2054" dxfId="1">
      <formula>AND(IF($Q62=3,1,0),IF($X62&lt;30,1,0))</formula>
    </cfRule>
    <cfRule type="expression" priority="2055" dxfId="0">
      <formula>AND(IF($Q62=3,1,IF($Q62=4,1,0)),IF($F62&lt;=85,1,0))</formula>
    </cfRule>
  </conditionalFormatting>
  <conditionalFormatting sqref="X62">
    <cfRule type="expression" priority="2048" dxfId="3">
      <formula>AND(IF(OR($Q62=1,$Q62=2),1,0),IF($X62&lt;=20,1,0))</formula>
    </cfRule>
    <cfRule type="expression" priority="2049" dxfId="2">
      <formula>AND(IF($Q62=2,1,0),IF($X62&lt;30,1,0))</formula>
    </cfRule>
    <cfRule type="expression" priority="2050" dxfId="1">
      <formula>AND(IF($Q62=3,1,0),IF($X62&lt;30,1,0))</formula>
    </cfRule>
    <cfRule type="expression" priority="2051" dxfId="0">
      <formula>AND(IF($Q62=3,1,IF($Q62=4,1,0)),IF($F62&lt;=85,1,0))</formula>
    </cfRule>
  </conditionalFormatting>
  <conditionalFormatting sqref="AI62">
    <cfRule type="expression" priority="2044" dxfId="3">
      <formula>AND(IF(OR($Q62=1,$Q62=2),1,0),IF($X62&lt;=20,1,0))</formula>
    </cfRule>
    <cfRule type="expression" priority="2045" dxfId="2">
      <formula>AND(IF($Q62=2,1,0),IF($X62&lt;30,1,0))</formula>
    </cfRule>
    <cfRule type="expression" priority="2046" dxfId="1">
      <formula>AND(IF($Q62=3,1,0),IF($X62&lt;30,1,0))</formula>
    </cfRule>
    <cfRule type="expression" priority="2047" dxfId="0">
      <formula>AND(IF($Q62=3,1,IF($Q62=4,1,0)),IF($F62&lt;=85,1,0))</formula>
    </cfRule>
  </conditionalFormatting>
  <conditionalFormatting sqref="AV63">
    <cfRule type="expression" priority="2042" dxfId="17">
      <formula>AV63="X"</formula>
    </cfRule>
    <cfRule type="expression" priority="2043" dxfId="16">
      <formula>AV63="후보"</formula>
    </cfRule>
  </conditionalFormatting>
  <conditionalFormatting sqref="AC6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N63">
    <cfRule type="cellIs" priority="2037" operator="greaterThan" dxfId="13">
      <formula>0.9</formula>
    </cfRule>
    <cfRule type="cellIs" priority="2038" operator="greaterThan" dxfId="12">
      <formula>0.85</formula>
    </cfRule>
  </conditionalFormatting>
  <conditionalFormatting sqref="E63">
    <cfRule type="expression" priority="2033" dxfId="3">
      <formula>AND(IF(OR($Q63=1,$Q63=2),1,0),IF($X63&lt;=20,1,0))</formula>
    </cfRule>
    <cfRule type="expression" priority="2034" dxfId="2">
      <formula>AND(IF($Q63=2,1,0),IF($X63&lt;30,1,0))</formula>
    </cfRule>
    <cfRule type="expression" priority="2035" dxfId="1">
      <formula>AND(IF($Q63=3,1,0),IF($X63&lt;30,1,0))</formula>
    </cfRule>
    <cfRule type="expression" priority="2036" dxfId="0">
      <formula>AND(IF($Q63=3,1,IF($Q63=4,1,0)),IF($F63&lt;=85,1,0))</formula>
    </cfRule>
  </conditionalFormatting>
  <conditionalFormatting sqref="X63">
    <cfRule type="expression" priority="2029" dxfId="3">
      <formula>AND(IF(OR($Q63=1,$Q63=2),1,0),IF($X63&lt;=20,1,0))</formula>
    </cfRule>
    <cfRule type="expression" priority="2030" dxfId="2">
      <formula>AND(IF($Q63=2,1,0),IF($X63&lt;30,1,0))</formula>
    </cfRule>
    <cfRule type="expression" priority="2031" dxfId="1">
      <formula>AND(IF($Q63=3,1,0),IF($X63&lt;30,1,0))</formula>
    </cfRule>
    <cfRule type="expression" priority="2032" dxfId="0">
      <formula>AND(IF($Q63=3,1,IF($Q63=4,1,0)),IF($F63&lt;=85,1,0))</formula>
    </cfRule>
  </conditionalFormatting>
  <conditionalFormatting sqref="AI63">
    <cfRule type="expression" priority="2025" dxfId="3">
      <formula>AND(IF(OR($Q63=1,$Q63=2),1,0),IF($X63&lt;=20,1,0))</formula>
    </cfRule>
    <cfRule type="expression" priority="2026" dxfId="2">
      <formula>AND(IF($Q63=2,1,0),IF($X63&lt;30,1,0))</formula>
    </cfRule>
    <cfRule type="expression" priority="2027" dxfId="1">
      <formula>AND(IF($Q63=3,1,0),IF($X63&lt;30,1,0))</formula>
    </cfRule>
    <cfRule type="expression" priority="2028" dxfId="0">
      <formula>AND(IF($Q63=3,1,IF($Q63=4,1,0)),IF($F63&lt;=85,1,0))</formula>
    </cfRule>
  </conditionalFormatting>
  <conditionalFormatting sqref="AV64">
    <cfRule type="expression" priority="2023" dxfId="17">
      <formula>AV64="X"</formula>
    </cfRule>
    <cfRule type="expression" priority="2024" dxfId="16">
      <formula>AV64="후보"</formula>
    </cfRule>
  </conditionalFormatting>
  <conditionalFormatting sqref="AC64 N64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AV65">
    <cfRule type="expression" priority="2018" dxfId="17">
      <formula>AV65="X"</formula>
    </cfRule>
    <cfRule type="expression" priority="2019" dxfId="16">
      <formula>AV65="후보"</formula>
    </cfRule>
  </conditionalFormatting>
  <conditionalFormatting sqref="AC6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6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65">
    <cfRule type="expression" priority="2009" dxfId="3">
      <formula>AND(IF(OR($Q65=1,$Q65=2),1,0),IF($X65&lt;=20,1,0))</formula>
    </cfRule>
    <cfRule type="expression" priority="2010" dxfId="2">
      <formula>AND(IF($Q65=2,1,0),IF($X65&lt;30,1,0))</formula>
    </cfRule>
    <cfRule type="expression" priority="2011" dxfId="1">
      <formula>AND(IF($Q65=3,1,0),IF($X65&lt;30,1,0))</formula>
    </cfRule>
    <cfRule type="expression" priority="2012" dxfId="0">
      <formula>AND(IF($Q65=3,1,IF($Q65=4,1,0)),IF($F65&lt;=85,1,0))</formula>
    </cfRule>
  </conditionalFormatting>
  <conditionalFormatting sqref="X65">
    <cfRule type="expression" priority="2005" dxfId="3">
      <formula>AND(IF(OR($Q65=1,$Q65=2),1,0),IF($X65&lt;=20,1,0))</formula>
    </cfRule>
    <cfRule type="expression" priority="2006" dxfId="2">
      <formula>AND(IF($Q65=2,1,0),IF($X65&lt;30,1,0))</formula>
    </cfRule>
    <cfRule type="expression" priority="2007" dxfId="1">
      <formula>AND(IF($Q65=3,1,0),IF($X65&lt;30,1,0))</formula>
    </cfRule>
    <cfRule type="expression" priority="2008" dxfId="0">
      <formula>AND(IF($Q65=3,1,IF($Q65=4,1,0)),IF($F65&lt;=85,1,0))</formula>
    </cfRule>
  </conditionalFormatting>
  <conditionalFormatting sqref="AI65">
    <cfRule type="expression" priority="2001" dxfId="3">
      <formula>AND(IF(OR($Q65=1,$Q65=2),1,0),IF($X65&lt;=20,1,0))</formula>
    </cfRule>
    <cfRule type="expression" priority="2002" dxfId="2">
      <formula>AND(IF($Q65=2,1,0),IF($X65&lt;30,1,0))</formula>
    </cfRule>
    <cfRule type="expression" priority="2003" dxfId="1">
      <formula>AND(IF($Q65=3,1,0),IF($X65&lt;30,1,0))</formula>
    </cfRule>
    <cfRule type="expression" priority="2004" dxfId="0">
      <formula>AND(IF($Q65=3,1,IF($Q65=4,1,0)),IF($F65&lt;=85,1,0))</formula>
    </cfRule>
  </conditionalFormatting>
  <conditionalFormatting sqref="AV66">
    <cfRule type="expression" priority="1999" dxfId="17">
      <formula>AV66="X"</formula>
    </cfRule>
    <cfRule type="expression" priority="2000" dxfId="16">
      <formula>AV66="후보"</formula>
    </cfRule>
  </conditionalFormatting>
  <conditionalFormatting sqref="AC6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6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66">
    <cfRule type="expression" priority="1990" dxfId="3">
      <formula>AND(IF(OR($Q66=1,$Q66=2),1,0),IF($X66&lt;=20,1,0))</formula>
    </cfRule>
    <cfRule type="expression" priority="1991" dxfId="2">
      <formula>AND(IF($Q66=2,1,0),IF($X66&lt;30,1,0))</formula>
    </cfRule>
    <cfRule type="expression" priority="1992" dxfId="1">
      <formula>AND(IF($Q66=3,1,0),IF($X66&lt;30,1,0))</formula>
    </cfRule>
    <cfRule type="expression" priority="1993" dxfId="0">
      <formula>AND(IF($Q66=3,1,IF($Q66=4,1,0)),IF($F66&lt;=85,1,0))</formula>
    </cfRule>
  </conditionalFormatting>
  <conditionalFormatting sqref="X66">
    <cfRule type="expression" priority="1986" dxfId="3">
      <formula>AND(IF(OR($Q66=1,$Q66=2),1,0),IF($X66&lt;=20,1,0))</formula>
    </cfRule>
    <cfRule type="expression" priority="1987" dxfId="2">
      <formula>AND(IF($Q66=2,1,0),IF($X66&lt;30,1,0))</formula>
    </cfRule>
    <cfRule type="expression" priority="1988" dxfId="1">
      <formula>AND(IF($Q66=3,1,0),IF($X66&lt;30,1,0))</formula>
    </cfRule>
    <cfRule type="expression" priority="1989" dxfId="0">
      <formula>AND(IF($Q66=3,1,IF($Q66=4,1,0)),IF($F66&lt;=85,1,0))</formula>
    </cfRule>
  </conditionalFormatting>
  <conditionalFormatting sqref="AI66">
    <cfRule type="expression" priority="1982" dxfId="3">
      <formula>AND(IF(OR($Q66=1,$Q66=2),1,0),IF($X66&lt;=20,1,0))</formula>
    </cfRule>
    <cfRule type="expression" priority="1983" dxfId="2">
      <formula>AND(IF($Q66=2,1,0),IF($X66&lt;30,1,0))</formula>
    </cfRule>
    <cfRule type="expression" priority="1984" dxfId="1">
      <formula>AND(IF($Q66=3,1,0),IF($X66&lt;30,1,0))</formula>
    </cfRule>
    <cfRule type="expression" priority="1985" dxfId="0">
      <formula>AND(IF($Q66=3,1,IF($Q66=4,1,0)),IF($F66&lt;=85,1,0))</formula>
    </cfRule>
  </conditionalFormatting>
  <conditionalFormatting sqref="AV67">
    <cfRule type="expression" priority="1980" dxfId="17">
      <formula>AV67="X"</formula>
    </cfRule>
    <cfRule type="expression" priority="1981" dxfId="16">
      <formula>AV67="후보"</formula>
    </cfRule>
  </conditionalFormatting>
  <conditionalFormatting sqref="AC67 N6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AV68">
    <cfRule type="expression" priority="1975" dxfId="17">
      <formula>AV68="X"</formula>
    </cfRule>
    <cfRule type="expression" priority="1976" dxfId="16">
      <formula>AV68="후보"</formula>
    </cfRule>
  </conditionalFormatting>
  <conditionalFormatting sqref="AC68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N68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E68">
    <cfRule type="expression" priority="1966" dxfId="3">
      <formula>AND(IF(OR($Q68=1,$Q68=2),1,0),IF($X68&lt;=20,1,0))</formula>
    </cfRule>
    <cfRule type="expression" priority="1967" dxfId="2">
      <formula>AND(IF($Q68=2,1,0),IF($X68&lt;30,1,0))</formula>
    </cfRule>
    <cfRule type="expression" priority="1968" dxfId="1">
      <formula>AND(IF($Q68=3,1,0),IF($X68&lt;30,1,0))</formula>
    </cfRule>
    <cfRule type="expression" priority="1969" dxfId="0">
      <formula>AND(IF($Q68=3,1,IF($Q68=4,1,0)),IF($F68&lt;=85,1,0))</formula>
    </cfRule>
  </conditionalFormatting>
  <conditionalFormatting sqref="X68">
    <cfRule type="expression" priority="1962" dxfId="3">
      <formula>AND(IF(OR($Q68=1,$Q68=2),1,0),IF($X68&lt;=20,1,0))</formula>
    </cfRule>
    <cfRule type="expression" priority="1963" dxfId="2">
      <formula>AND(IF($Q68=2,1,0),IF($X68&lt;30,1,0))</formula>
    </cfRule>
    <cfRule type="expression" priority="1964" dxfId="1">
      <formula>AND(IF($Q68=3,1,0),IF($X68&lt;30,1,0))</formula>
    </cfRule>
    <cfRule type="expression" priority="1965" dxfId="0">
      <formula>AND(IF($Q68=3,1,IF($Q68=4,1,0)),IF($F68&lt;=85,1,0))</formula>
    </cfRule>
  </conditionalFormatting>
  <conditionalFormatting sqref="AI68">
    <cfRule type="expression" priority="1958" dxfId="3">
      <formula>AND(IF(OR($Q68=1,$Q68=2),1,0),IF($X68&lt;=20,1,0))</formula>
    </cfRule>
    <cfRule type="expression" priority="1959" dxfId="2">
      <formula>AND(IF($Q68=2,1,0),IF($X68&lt;30,1,0))</formula>
    </cfRule>
    <cfRule type="expression" priority="1960" dxfId="1">
      <formula>AND(IF($Q68=3,1,0),IF($X68&lt;30,1,0))</formula>
    </cfRule>
    <cfRule type="expression" priority="1961" dxfId="0">
      <formula>AND(IF($Q68=3,1,IF($Q68=4,1,0)),IF($F68&lt;=85,1,0))</formula>
    </cfRule>
  </conditionalFormatting>
  <conditionalFormatting sqref="AV69">
    <cfRule type="expression" priority="1956" dxfId="17">
      <formula>AV69="X"</formula>
    </cfRule>
    <cfRule type="expression" priority="1957" dxfId="16">
      <formula>AV69="후보"</formula>
    </cfRule>
  </conditionalFormatting>
  <conditionalFormatting sqref="AC69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69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E69">
    <cfRule type="expression" priority="1947" dxfId="3">
      <formula>AND(IF(OR($Q69=1,$Q69=2),1,0),IF($X69&lt;=20,1,0))</formula>
    </cfRule>
    <cfRule type="expression" priority="1948" dxfId="2">
      <formula>AND(IF($Q69=2,1,0),IF($X69&lt;30,1,0))</formula>
    </cfRule>
    <cfRule type="expression" priority="1949" dxfId="1">
      <formula>AND(IF($Q69=3,1,0),IF($X69&lt;30,1,0))</formula>
    </cfRule>
    <cfRule type="expression" priority="1950" dxfId="0">
      <formula>AND(IF($Q69=3,1,IF($Q69=4,1,0)),IF($F69&lt;=85,1,0))</formula>
    </cfRule>
  </conditionalFormatting>
  <conditionalFormatting sqref="X69">
    <cfRule type="expression" priority="1943" dxfId="3">
      <formula>AND(IF(OR($Q69=1,$Q69=2),1,0),IF($X69&lt;=20,1,0))</formula>
    </cfRule>
    <cfRule type="expression" priority="1944" dxfId="2">
      <formula>AND(IF($Q69=2,1,0),IF($X69&lt;30,1,0))</formula>
    </cfRule>
    <cfRule type="expression" priority="1945" dxfId="1">
      <formula>AND(IF($Q69=3,1,0),IF($X69&lt;30,1,0))</formula>
    </cfRule>
    <cfRule type="expression" priority="1946" dxfId="0">
      <formula>AND(IF($Q69=3,1,IF($Q69=4,1,0)),IF($F69&lt;=85,1,0))</formula>
    </cfRule>
  </conditionalFormatting>
  <conditionalFormatting sqref="AI69">
    <cfRule type="expression" priority="1939" dxfId="3">
      <formula>AND(IF(OR($Q69=1,$Q69=2),1,0),IF($X69&lt;=20,1,0))</formula>
    </cfRule>
    <cfRule type="expression" priority="1940" dxfId="2">
      <formula>AND(IF($Q69=2,1,0),IF($X69&lt;30,1,0))</formula>
    </cfRule>
    <cfRule type="expression" priority="1941" dxfId="1">
      <formula>AND(IF($Q69=3,1,0),IF($X69&lt;30,1,0))</formula>
    </cfRule>
    <cfRule type="expression" priority="1942" dxfId="0">
      <formula>AND(IF($Q69=3,1,IF($Q69=4,1,0)),IF($F69&lt;=85,1,0))</formula>
    </cfRule>
  </conditionalFormatting>
  <conditionalFormatting sqref="AV70">
    <cfRule type="expression" priority="1937" dxfId="17">
      <formula>AV70="X"</formula>
    </cfRule>
    <cfRule type="expression" priority="1938" dxfId="16">
      <formula>AV70="후보"</formula>
    </cfRule>
  </conditionalFormatting>
  <conditionalFormatting sqref="AC70 N7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AV71">
    <cfRule type="expression" priority="1932" dxfId="17">
      <formula>AV71="X"</formula>
    </cfRule>
    <cfRule type="expression" priority="1933" dxfId="16">
      <formula>AV71="후보"</formula>
    </cfRule>
  </conditionalFormatting>
  <conditionalFormatting sqref="AC71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71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71">
    <cfRule type="expression" priority="1923" dxfId="3">
      <formula>AND(IF(OR($Q71=1,$Q71=2),1,0),IF($X71&lt;=20,1,0))</formula>
    </cfRule>
    <cfRule type="expression" priority="1924" dxfId="2">
      <formula>AND(IF($Q71=2,1,0),IF($X71&lt;30,1,0))</formula>
    </cfRule>
    <cfRule type="expression" priority="1925" dxfId="1">
      <formula>AND(IF($Q71=3,1,0),IF($X71&lt;30,1,0))</formula>
    </cfRule>
    <cfRule type="expression" priority="1926" dxfId="0">
      <formula>AND(IF($Q71=3,1,IF($Q71=4,1,0)),IF($F71&lt;=85,1,0))</formula>
    </cfRule>
  </conditionalFormatting>
  <conditionalFormatting sqref="X71">
    <cfRule type="expression" priority="1919" dxfId="3">
      <formula>AND(IF(OR($Q71=1,$Q71=2),1,0),IF($X71&lt;=20,1,0))</formula>
    </cfRule>
    <cfRule type="expression" priority="1920" dxfId="2">
      <formula>AND(IF($Q71=2,1,0),IF($X71&lt;30,1,0))</formula>
    </cfRule>
    <cfRule type="expression" priority="1921" dxfId="1">
      <formula>AND(IF($Q71=3,1,0),IF($X71&lt;30,1,0))</formula>
    </cfRule>
    <cfRule type="expression" priority="1922" dxfId="0">
      <formula>AND(IF($Q71=3,1,IF($Q71=4,1,0)),IF($F71&lt;=85,1,0))</formula>
    </cfRule>
  </conditionalFormatting>
  <conditionalFormatting sqref="AI71">
    <cfRule type="expression" priority="1915" dxfId="3">
      <formula>AND(IF(OR($Q71=1,$Q71=2),1,0),IF($X71&lt;=20,1,0))</formula>
    </cfRule>
    <cfRule type="expression" priority="1916" dxfId="2">
      <formula>AND(IF($Q71=2,1,0),IF($X71&lt;30,1,0))</formula>
    </cfRule>
    <cfRule type="expression" priority="1917" dxfId="1">
      <formula>AND(IF($Q71=3,1,0),IF($X71&lt;30,1,0))</formula>
    </cfRule>
    <cfRule type="expression" priority="1918" dxfId="0">
      <formula>AND(IF($Q71=3,1,IF($Q71=4,1,0)),IF($F71&lt;=85,1,0))</formula>
    </cfRule>
  </conditionalFormatting>
  <conditionalFormatting sqref="AV72">
    <cfRule type="expression" priority="1913" dxfId="17">
      <formula>AV72="X"</formula>
    </cfRule>
    <cfRule type="expression" priority="1914" dxfId="16">
      <formula>AV72="후보"</formula>
    </cfRule>
  </conditionalFormatting>
  <conditionalFormatting sqref="AC72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72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72">
    <cfRule type="expression" priority="1904" dxfId="3">
      <formula>AND(IF(OR($Q72=1,$Q72=2),1,0),IF($X72&lt;=20,1,0))</formula>
    </cfRule>
    <cfRule type="expression" priority="1905" dxfId="2">
      <formula>AND(IF($Q72=2,1,0),IF($X72&lt;30,1,0))</formula>
    </cfRule>
    <cfRule type="expression" priority="1906" dxfId="1">
      <formula>AND(IF($Q72=3,1,0),IF($X72&lt;30,1,0))</formula>
    </cfRule>
    <cfRule type="expression" priority="1907" dxfId="0">
      <formula>AND(IF($Q72=3,1,IF($Q72=4,1,0)),IF($F72&lt;=85,1,0))</formula>
    </cfRule>
  </conditionalFormatting>
  <conditionalFormatting sqref="X72">
    <cfRule type="expression" priority="1900" dxfId="3">
      <formula>AND(IF(OR($Q72=1,$Q72=2),1,0),IF($X72&lt;=20,1,0))</formula>
    </cfRule>
    <cfRule type="expression" priority="1901" dxfId="2">
      <formula>AND(IF($Q72=2,1,0),IF($X72&lt;30,1,0))</formula>
    </cfRule>
    <cfRule type="expression" priority="1902" dxfId="1">
      <formula>AND(IF($Q72=3,1,0),IF($X72&lt;30,1,0))</formula>
    </cfRule>
    <cfRule type="expression" priority="1903" dxfId="0">
      <formula>AND(IF($Q72=3,1,IF($Q72=4,1,0)),IF($F72&lt;=85,1,0))</formula>
    </cfRule>
  </conditionalFormatting>
  <conditionalFormatting sqref="AI72">
    <cfRule type="expression" priority="1896" dxfId="3">
      <formula>AND(IF(OR($Q72=1,$Q72=2),1,0),IF($X72&lt;=20,1,0))</formula>
    </cfRule>
    <cfRule type="expression" priority="1897" dxfId="2">
      <formula>AND(IF($Q72=2,1,0),IF($X72&lt;30,1,0))</formula>
    </cfRule>
    <cfRule type="expression" priority="1898" dxfId="1">
      <formula>AND(IF($Q72=3,1,0),IF($X72&lt;30,1,0))</formula>
    </cfRule>
    <cfRule type="expression" priority="1899" dxfId="0">
      <formula>AND(IF($Q72=3,1,IF($Q72=4,1,0)),IF($F72&lt;=85,1,0))</formula>
    </cfRule>
  </conditionalFormatting>
  <conditionalFormatting sqref="AV73">
    <cfRule type="expression" priority="1894" dxfId="17">
      <formula>AV73="X"</formula>
    </cfRule>
    <cfRule type="expression" priority="1895" dxfId="16">
      <formula>AV73="후보"</formula>
    </cfRule>
  </conditionalFormatting>
  <conditionalFormatting sqref="AC73 N73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AV74">
    <cfRule type="expression" priority="1889" dxfId="17">
      <formula>AV74="X"</formula>
    </cfRule>
    <cfRule type="expression" priority="1890" dxfId="16">
      <formula>AV74="후보"</formula>
    </cfRule>
  </conditionalFormatting>
  <conditionalFormatting sqref="AC74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74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74">
    <cfRule type="expression" priority="1880" dxfId="3">
      <formula>AND(IF(OR($Q74=1,$Q74=2),1,0),IF($X74&lt;=20,1,0))</formula>
    </cfRule>
    <cfRule type="expression" priority="1881" dxfId="2">
      <formula>AND(IF($Q74=2,1,0),IF($X74&lt;30,1,0))</formula>
    </cfRule>
    <cfRule type="expression" priority="1882" dxfId="1">
      <formula>AND(IF($Q74=3,1,0),IF($X74&lt;30,1,0))</formula>
    </cfRule>
    <cfRule type="expression" priority="1883" dxfId="0">
      <formula>AND(IF($Q74=3,1,IF($Q74=4,1,0)),IF($F74&lt;=85,1,0))</formula>
    </cfRule>
  </conditionalFormatting>
  <conditionalFormatting sqref="X74">
    <cfRule type="expression" priority="1876" dxfId="3">
      <formula>AND(IF(OR($Q74=1,$Q74=2),1,0),IF($X74&lt;=20,1,0))</formula>
    </cfRule>
    <cfRule type="expression" priority="1877" dxfId="2">
      <formula>AND(IF($Q74=2,1,0),IF($X74&lt;30,1,0))</formula>
    </cfRule>
    <cfRule type="expression" priority="1878" dxfId="1">
      <formula>AND(IF($Q74=3,1,0),IF($X74&lt;30,1,0))</formula>
    </cfRule>
    <cfRule type="expression" priority="1879" dxfId="0">
      <formula>AND(IF($Q74=3,1,IF($Q74=4,1,0)),IF($F74&lt;=85,1,0))</formula>
    </cfRule>
  </conditionalFormatting>
  <conditionalFormatting sqref="AI74">
    <cfRule type="expression" priority="1872" dxfId="3">
      <formula>AND(IF(OR($Q74=1,$Q74=2),1,0),IF($X74&lt;=20,1,0))</formula>
    </cfRule>
    <cfRule type="expression" priority="1873" dxfId="2">
      <formula>AND(IF($Q74=2,1,0),IF($X74&lt;30,1,0))</formula>
    </cfRule>
    <cfRule type="expression" priority="1874" dxfId="1">
      <formula>AND(IF($Q74=3,1,0),IF($X74&lt;30,1,0))</formula>
    </cfRule>
    <cfRule type="expression" priority="1875" dxfId="0">
      <formula>AND(IF($Q74=3,1,IF($Q74=4,1,0)),IF($F74&lt;=85,1,0))</formula>
    </cfRule>
  </conditionalFormatting>
  <conditionalFormatting sqref="AV75">
    <cfRule type="expression" priority="1870" dxfId="17">
      <formula>AV75="X"</formula>
    </cfRule>
    <cfRule type="expression" priority="1871" dxfId="16">
      <formula>AV75="후보"</formula>
    </cfRule>
  </conditionalFormatting>
  <conditionalFormatting sqref="AC7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75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75">
    <cfRule type="expression" priority="1861" dxfId="3">
      <formula>AND(IF(OR($Q75=1,$Q75=2),1,0),IF($X75&lt;=20,1,0))</formula>
    </cfRule>
    <cfRule type="expression" priority="1862" dxfId="2">
      <formula>AND(IF($Q75=2,1,0),IF($X75&lt;30,1,0))</formula>
    </cfRule>
    <cfRule type="expression" priority="1863" dxfId="1">
      <formula>AND(IF($Q75=3,1,0),IF($X75&lt;30,1,0))</formula>
    </cfRule>
    <cfRule type="expression" priority="1864" dxfId="0">
      <formula>AND(IF($Q75=3,1,IF($Q75=4,1,0)),IF($F75&lt;=85,1,0))</formula>
    </cfRule>
  </conditionalFormatting>
  <conditionalFormatting sqref="X75">
    <cfRule type="expression" priority="1857" dxfId="3">
      <formula>AND(IF(OR($Q75=1,$Q75=2),1,0),IF($X75&lt;=20,1,0))</formula>
    </cfRule>
    <cfRule type="expression" priority="1858" dxfId="2">
      <formula>AND(IF($Q75=2,1,0),IF($X75&lt;30,1,0))</formula>
    </cfRule>
    <cfRule type="expression" priority="1859" dxfId="1">
      <formula>AND(IF($Q75=3,1,0),IF($X75&lt;30,1,0))</formula>
    </cfRule>
    <cfRule type="expression" priority="1860" dxfId="0">
      <formula>AND(IF($Q75=3,1,IF($Q75=4,1,0)),IF($F75&lt;=85,1,0))</formula>
    </cfRule>
  </conditionalFormatting>
  <conditionalFormatting sqref="AI75">
    <cfRule type="expression" priority="1853" dxfId="3">
      <formula>AND(IF(OR($Q75=1,$Q75=2),1,0),IF($X75&lt;=20,1,0))</formula>
    </cfRule>
    <cfRule type="expression" priority="1854" dxfId="2">
      <formula>AND(IF($Q75=2,1,0),IF($X75&lt;30,1,0))</formula>
    </cfRule>
    <cfRule type="expression" priority="1855" dxfId="1">
      <formula>AND(IF($Q75=3,1,0),IF($X75&lt;30,1,0))</formula>
    </cfRule>
    <cfRule type="expression" priority="1856" dxfId="0">
      <formula>AND(IF($Q75=3,1,IF($Q75=4,1,0)),IF($F75&lt;=85,1,0))</formula>
    </cfRule>
  </conditionalFormatting>
  <conditionalFormatting sqref="AV76">
    <cfRule type="expression" priority="1851" dxfId="17">
      <formula>AV76="X"</formula>
    </cfRule>
    <cfRule type="expression" priority="1852" dxfId="16">
      <formula>AV76="후보"</formula>
    </cfRule>
  </conditionalFormatting>
  <conditionalFormatting sqref="AC76 N76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AV77">
    <cfRule type="expression" priority="1846" dxfId="17">
      <formula>AV77="X"</formula>
    </cfRule>
    <cfRule type="expression" priority="1847" dxfId="16">
      <formula>AV77="후보"</formula>
    </cfRule>
  </conditionalFormatting>
  <conditionalFormatting sqref="AC77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N77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E77">
    <cfRule type="expression" priority="1837" dxfId="3">
      <formula>AND(IF(OR($Q77=1,$Q77=2),1,0),IF($X77&lt;=20,1,0))</formula>
    </cfRule>
    <cfRule type="expression" priority="1838" dxfId="2">
      <formula>AND(IF($Q77=2,1,0),IF($X77&lt;30,1,0))</formula>
    </cfRule>
    <cfRule type="expression" priority="1839" dxfId="1">
      <formula>AND(IF($Q77=3,1,0),IF($X77&lt;30,1,0))</formula>
    </cfRule>
    <cfRule type="expression" priority="1840" dxfId="0">
      <formula>AND(IF($Q77=3,1,IF($Q77=4,1,0)),IF($F77&lt;=85,1,0))</formula>
    </cfRule>
  </conditionalFormatting>
  <conditionalFormatting sqref="X77">
    <cfRule type="expression" priority="1833" dxfId="3">
      <formula>AND(IF(OR($Q77=1,$Q77=2),1,0),IF($X77&lt;=20,1,0))</formula>
    </cfRule>
    <cfRule type="expression" priority="1834" dxfId="2">
      <formula>AND(IF($Q77=2,1,0),IF($X77&lt;30,1,0))</formula>
    </cfRule>
    <cfRule type="expression" priority="1835" dxfId="1">
      <formula>AND(IF($Q77=3,1,0),IF($X77&lt;30,1,0))</formula>
    </cfRule>
    <cfRule type="expression" priority="1836" dxfId="0">
      <formula>AND(IF($Q77=3,1,IF($Q77=4,1,0)),IF($F77&lt;=85,1,0))</formula>
    </cfRule>
  </conditionalFormatting>
  <conditionalFormatting sqref="AI77">
    <cfRule type="expression" priority="1829" dxfId="3">
      <formula>AND(IF(OR($Q77=1,$Q77=2),1,0),IF($X77&lt;=20,1,0))</formula>
    </cfRule>
    <cfRule type="expression" priority="1830" dxfId="2">
      <formula>AND(IF($Q77=2,1,0),IF($X77&lt;30,1,0))</formula>
    </cfRule>
    <cfRule type="expression" priority="1831" dxfId="1">
      <formula>AND(IF($Q77=3,1,0),IF($X77&lt;30,1,0))</formula>
    </cfRule>
    <cfRule type="expression" priority="1832" dxfId="0">
      <formula>AND(IF($Q77=3,1,IF($Q77=4,1,0)),IF($F77&lt;=85,1,0))</formula>
    </cfRule>
  </conditionalFormatting>
  <conditionalFormatting sqref="AV78">
    <cfRule type="expression" priority="1827" dxfId="17">
      <formula>AV78="X"</formula>
    </cfRule>
    <cfRule type="expression" priority="1828" dxfId="16">
      <formula>AV78="후보"</formula>
    </cfRule>
  </conditionalFormatting>
  <conditionalFormatting sqref="AC78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78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78">
    <cfRule type="expression" priority="1818" dxfId="3">
      <formula>AND(IF(OR($Q78=1,$Q78=2),1,0),IF($X78&lt;=20,1,0))</formula>
    </cfRule>
    <cfRule type="expression" priority="1819" dxfId="2">
      <formula>AND(IF($Q78=2,1,0),IF($X78&lt;30,1,0))</formula>
    </cfRule>
    <cfRule type="expression" priority="1820" dxfId="1">
      <formula>AND(IF($Q78=3,1,0),IF($X78&lt;30,1,0))</formula>
    </cfRule>
    <cfRule type="expression" priority="1821" dxfId="0">
      <formula>AND(IF($Q78=3,1,IF($Q78=4,1,0)),IF($F78&lt;=85,1,0))</formula>
    </cfRule>
  </conditionalFormatting>
  <conditionalFormatting sqref="X78">
    <cfRule type="expression" priority="1814" dxfId="3">
      <formula>AND(IF(OR($Q78=1,$Q78=2),1,0),IF($X78&lt;=20,1,0))</formula>
    </cfRule>
    <cfRule type="expression" priority="1815" dxfId="2">
      <formula>AND(IF($Q78=2,1,0),IF($X78&lt;30,1,0))</formula>
    </cfRule>
    <cfRule type="expression" priority="1816" dxfId="1">
      <formula>AND(IF($Q78=3,1,0),IF($X78&lt;30,1,0))</formula>
    </cfRule>
    <cfRule type="expression" priority="1817" dxfId="0">
      <formula>AND(IF($Q78=3,1,IF($Q78=4,1,0)),IF($F78&lt;=85,1,0))</formula>
    </cfRule>
  </conditionalFormatting>
  <conditionalFormatting sqref="AI78">
    <cfRule type="expression" priority="1810" dxfId="3">
      <formula>AND(IF(OR($Q78=1,$Q78=2),1,0),IF($X78&lt;=20,1,0))</formula>
    </cfRule>
    <cfRule type="expression" priority="1811" dxfId="2">
      <formula>AND(IF($Q78=2,1,0),IF($X78&lt;30,1,0))</formula>
    </cfRule>
    <cfRule type="expression" priority="1812" dxfId="1">
      <formula>AND(IF($Q78=3,1,0),IF($X78&lt;30,1,0))</formula>
    </cfRule>
    <cfRule type="expression" priority="1813" dxfId="0">
      <formula>AND(IF($Q78=3,1,IF($Q78=4,1,0)),IF($F78&lt;=85,1,0))</formula>
    </cfRule>
  </conditionalFormatting>
  <conditionalFormatting sqref="AV79">
    <cfRule type="expression" priority="1808" dxfId="17">
      <formula>AV79="X"</formula>
    </cfRule>
    <cfRule type="expression" priority="1809" dxfId="16">
      <formula>AV79="후보"</formula>
    </cfRule>
  </conditionalFormatting>
  <conditionalFormatting sqref="AC79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79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79">
    <cfRule type="expression" priority="1799" dxfId="3">
      <formula>AND(IF(OR($Q79=1,$Q79=2),1,0),IF($X79&lt;=20,1,0))</formula>
    </cfRule>
    <cfRule type="expression" priority="1800" dxfId="2">
      <formula>AND(IF($Q79=2,1,0),IF($X79&lt;30,1,0))</formula>
    </cfRule>
    <cfRule type="expression" priority="1801" dxfId="1">
      <formula>AND(IF($Q79=3,1,0),IF($X79&lt;30,1,0))</formula>
    </cfRule>
    <cfRule type="expression" priority="1802" dxfId="0">
      <formula>AND(IF($Q79=3,1,IF($Q79=4,1,0)),IF($F79&lt;=85,1,0))</formula>
    </cfRule>
  </conditionalFormatting>
  <conditionalFormatting sqref="X79">
    <cfRule type="expression" priority="1795" dxfId="3">
      <formula>AND(IF(OR($Q79=1,$Q79=2),1,0),IF($X79&lt;=20,1,0))</formula>
    </cfRule>
    <cfRule type="expression" priority="1796" dxfId="2">
      <formula>AND(IF($Q79=2,1,0),IF($X79&lt;30,1,0))</formula>
    </cfRule>
    <cfRule type="expression" priority="1797" dxfId="1">
      <formula>AND(IF($Q79=3,1,0),IF($X79&lt;30,1,0))</formula>
    </cfRule>
    <cfRule type="expression" priority="1798" dxfId="0">
      <formula>AND(IF($Q79=3,1,IF($Q79=4,1,0)),IF($F79&lt;=85,1,0))</formula>
    </cfRule>
  </conditionalFormatting>
  <conditionalFormatting sqref="AI79">
    <cfRule type="expression" priority="1791" dxfId="3">
      <formula>AND(IF(OR($Q79=1,$Q79=2),1,0),IF($X79&lt;=20,1,0))</formula>
    </cfRule>
    <cfRule type="expression" priority="1792" dxfId="2">
      <formula>AND(IF($Q79=2,1,0),IF($X79&lt;30,1,0))</formula>
    </cfRule>
    <cfRule type="expression" priority="1793" dxfId="1">
      <formula>AND(IF($Q79=3,1,0),IF($X79&lt;30,1,0))</formula>
    </cfRule>
    <cfRule type="expression" priority="1794" dxfId="0">
      <formula>AND(IF($Q79=3,1,IF($Q79=4,1,0)),IF($F79&lt;=85,1,0))</formula>
    </cfRule>
  </conditionalFormatting>
  <conditionalFormatting sqref="AV80">
    <cfRule type="expression" priority="1789" dxfId="17">
      <formula>AV80="X"</formula>
    </cfRule>
    <cfRule type="expression" priority="1790" dxfId="16">
      <formula>AV80="후보"</formula>
    </cfRule>
  </conditionalFormatting>
  <conditionalFormatting sqref="AC80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80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80">
    <cfRule type="expression" priority="1780" dxfId="3">
      <formula>AND(IF(OR($Q80=1,$Q80=2),1,0),IF($X80&lt;=20,1,0))</formula>
    </cfRule>
    <cfRule type="expression" priority="1781" dxfId="2">
      <formula>AND(IF($Q80=2,1,0),IF($X80&lt;30,1,0))</formula>
    </cfRule>
    <cfRule type="expression" priority="1782" dxfId="1">
      <formula>AND(IF($Q80=3,1,0),IF($X80&lt;30,1,0))</formula>
    </cfRule>
    <cfRule type="expression" priority="1783" dxfId="0">
      <formula>AND(IF($Q80=3,1,IF($Q80=4,1,0)),IF($F80&lt;=85,1,0))</formula>
    </cfRule>
  </conditionalFormatting>
  <conditionalFormatting sqref="X80">
    <cfRule type="expression" priority="1776" dxfId="3">
      <formula>AND(IF(OR($Q80=1,$Q80=2),1,0),IF($X80&lt;=20,1,0))</formula>
    </cfRule>
    <cfRule type="expression" priority="1777" dxfId="2">
      <formula>AND(IF($Q80=2,1,0),IF($X80&lt;30,1,0))</formula>
    </cfRule>
    <cfRule type="expression" priority="1778" dxfId="1">
      <formula>AND(IF($Q80=3,1,0),IF($X80&lt;30,1,0))</formula>
    </cfRule>
    <cfRule type="expression" priority="1779" dxfId="0">
      <formula>AND(IF($Q80=3,1,IF($Q80=4,1,0)),IF($F80&lt;=85,1,0))</formula>
    </cfRule>
  </conditionalFormatting>
  <conditionalFormatting sqref="AI80">
    <cfRule type="expression" priority="1772" dxfId="3">
      <formula>AND(IF(OR($Q80=1,$Q80=2),1,0),IF($X80&lt;=20,1,0))</formula>
    </cfRule>
    <cfRule type="expression" priority="1773" dxfId="2">
      <formula>AND(IF($Q80=2,1,0),IF($X80&lt;30,1,0))</formula>
    </cfRule>
    <cfRule type="expression" priority="1774" dxfId="1">
      <formula>AND(IF($Q80=3,1,0),IF($X80&lt;30,1,0))</formula>
    </cfRule>
    <cfRule type="expression" priority="1775" dxfId="0">
      <formula>AND(IF($Q80=3,1,IF($Q80=4,1,0)),IF($F80&lt;=85,1,0))</formula>
    </cfRule>
  </conditionalFormatting>
  <conditionalFormatting sqref="AV81">
    <cfRule type="expression" priority="1770" dxfId="17">
      <formula>AV81="X"</formula>
    </cfRule>
    <cfRule type="expression" priority="1771" dxfId="16">
      <formula>AV81="후보"</formula>
    </cfRule>
  </conditionalFormatting>
  <conditionalFormatting sqref="AC81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81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81">
    <cfRule type="expression" priority="1761" dxfId="3">
      <formula>AND(IF(OR($Q81=1,$Q81=2),1,0),IF($X81&lt;=20,1,0))</formula>
    </cfRule>
    <cfRule type="expression" priority="1762" dxfId="2">
      <formula>AND(IF($Q81=2,1,0),IF($X81&lt;30,1,0))</formula>
    </cfRule>
    <cfRule type="expression" priority="1763" dxfId="1">
      <formula>AND(IF($Q81=3,1,0),IF($X81&lt;30,1,0))</formula>
    </cfRule>
    <cfRule type="expression" priority="1764" dxfId="0">
      <formula>AND(IF($Q81=3,1,IF($Q81=4,1,0)),IF($F81&lt;=85,1,0))</formula>
    </cfRule>
  </conditionalFormatting>
  <conditionalFormatting sqref="X81">
    <cfRule type="expression" priority="1757" dxfId="3">
      <formula>AND(IF(OR($Q81=1,$Q81=2),1,0),IF($X81&lt;=20,1,0))</formula>
    </cfRule>
    <cfRule type="expression" priority="1758" dxfId="2">
      <formula>AND(IF($Q81=2,1,0),IF($X81&lt;30,1,0))</formula>
    </cfRule>
    <cfRule type="expression" priority="1759" dxfId="1">
      <formula>AND(IF($Q81=3,1,0),IF($X81&lt;30,1,0))</formula>
    </cfRule>
    <cfRule type="expression" priority="1760" dxfId="0">
      <formula>AND(IF($Q81=3,1,IF($Q81=4,1,0)),IF($F81&lt;=85,1,0))</formula>
    </cfRule>
  </conditionalFormatting>
  <conditionalFormatting sqref="AI81">
    <cfRule type="expression" priority="1753" dxfId="3">
      <formula>AND(IF(OR($Q81=1,$Q81=2),1,0),IF($X81&lt;=20,1,0))</formula>
    </cfRule>
    <cfRule type="expression" priority="1754" dxfId="2">
      <formula>AND(IF($Q81=2,1,0),IF($X81&lt;30,1,0))</formula>
    </cfRule>
    <cfRule type="expression" priority="1755" dxfId="1">
      <formula>AND(IF($Q81=3,1,0),IF($X81&lt;30,1,0))</formula>
    </cfRule>
    <cfRule type="expression" priority="1756" dxfId="0">
      <formula>AND(IF($Q81=3,1,IF($Q81=4,1,0)),IF($F81&lt;=85,1,0))</formula>
    </cfRule>
  </conditionalFormatting>
  <conditionalFormatting sqref="AV82">
    <cfRule type="expression" priority="1751" dxfId="17">
      <formula>AV82="X"</formula>
    </cfRule>
    <cfRule type="expression" priority="1752" dxfId="16">
      <formula>AV82="후보"</formula>
    </cfRule>
  </conditionalFormatting>
  <conditionalFormatting sqref="AC82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82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82">
    <cfRule type="expression" priority="1742" dxfId="3">
      <formula>AND(IF(OR($Q82=1,$Q82=2),1,0),IF($X82&lt;=20,1,0))</formula>
    </cfRule>
    <cfRule type="expression" priority="1743" dxfId="2">
      <formula>AND(IF($Q82=2,1,0),IF($X82&lt;30,1,0))</formula>
    </cfRule>
    <cfRule type="expression" priority="1744" dxfId="1">
      <formula>AND(IF($Q82=3,1,0),IF($X82&lt;30,1,0))</formula>
    </cfRule>
    <cfRule type="expression" priority="1745" dxfId="0">
      <formula>AND(IF($Q82=3,1,IF($Q82=4,1,0)),IF($F82&lt;=85,1,0))</formula>
    </cfRule>
  </conditionalFormatting>
  <conditionalFormatting sqref="X82">
    <cfRule type="expression" priority="1738" dxfId="3">
      <formula>AND(IF(OR($Q82=1,$Q82=2),1,0),IF($X82&lt;=20,1,0))</formula>
    </cfRule>
    <cfRule type="expression" priority="1739" dxfId="2">
      <formula>AND(IF($Q82=2,1,0),IF($X82&lt;30,1,0))</formula>
    </cfRule>
    <cfRule type="expression" priority="1740" dxfId="1">
      <formula>AND(IF($Q82=3,1,0),IF($X82&lt;30,1,0))</formula>
    </cfRule>
    <cfRule type="expression" priority="1741" dxfId="0">
      <formula>AND(IF($Q82=3,1,IF($Q82=4,1,0)),IF($F82&lt;=85,1,0))</formula>
    </cfRule>
  </conditionalFormatting>
  <conditionalFormatting sqref="AI82">
    <cfRule type="expression" priority="1734" dxfId="3">
      <formula>AND(IF(OR($Q82=1,$Q82=2),1,0),IF($X82&lt;=20,1,0))</formula>
    </cfRule>
    <cfRule type="expression" priority="1735" dxfId="2">
      <formula>AND(IF($Q82=2,1,0),IF($X82&lt;30,1,0))</formula>
    </cfRule>
    <cfRule type="expression" priority="1736" dxfId="1">
      <formula>AND(IF($Q82=3,1,0),IF($X82&lt;30,1,0))</formula>
    </cfRule>
    <cfRule type="expression" priority="1737" dxfId="0">
      <formula>AND(IF($Q82=3,1,IF($Q82=4,1,0)),IF($F82&lt;=85,1,0))</formula>
    </cfRule>
  </conditionalFormatting>
  <conditionalFormatting sqref="AV83">
    <cfRule type="expression" priority="1732" dxfId="17">
      <formula>AV83="X"</formula>
    </cfRule>
    <cfRule type="expression" priority="1733" dxfId="16">
      <formula>AV83="후보"</formula>
    </cfRule>
  </conditionalFormatting>
  <conditionalFormatting sqref="AC8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83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83">
    <cfRule type="expression" priority="1723" dxfId="3">
      <formula>AND(IF(OR($Q83=1,$Q83=2),1,0),IF($X83&lt;=20,1,0))</formula>
    </cfRule>
    <cfRule type="expression" priority="1724" dxfId="2">
      <formula>AND(IF($Q83=2,1,0),IF($X83&lt;30,1,0))</formula>
    </cfRule>
    <cfRule type="expression" priority="1725" dxfId="1">
      <formula>AND(IF($Q83=3,1,0),IF($X83&lt;30,1,0))</formula>
    </cfRule>
    <cfRule type="expression" priority="1726" dxfId="0">
      <formula>AND(IF($Q83=3,1,IF($Q83=4,1,0)),IF($F83&lt;=85,1,0))</formula>
    </cfRule>
  </conditionalFormatting>
  <conditionalFormatting sqref="X83">
    <cfRule type="expression" priority="1719" dxfId="3">
      <formula>AND(IF(OR($Q83=1,$Q83=2),1,0),IF($X83&lt;=20,1,0))</formula>
    </cfRule>
    <cfRule type="expression" priority="1720" dxfId="2">
      <formula>AND(IF($Q83=2,1,0),IF($X83&lt;30,1,0))</formula>
    </cfRule>
    <cfRule type="expression" priority="1721" dxfId="1">
      <formula>AND(IF($Q83=3,1,0),IF($X83&lt;30,1,0))</formula>
    </cfRule>
    <cfRule type="expression" priority="1722" dxfId="0">
      <formula>AND(IF($Q83=3,1,IF($Q83=4,1,0)),IF($F83&lt;=85,1,0))</formula>
    </cfRule>
  </conditionalFormatting>
  <conditionalFormatting sqref="AI83">
    <cfRule type="expression" priority="1715" dxfId="3">
      <formula>AND(IF(OR($Q83=1,$Q83=2),1,0),IF($X83&lt;=20,1,0))</formula>
    </cfRule>
    <cfRule type="expression" priority="1716" dxfId="2">
      <formula>AND(IF($Q83=2,1,0),IF($X83&lt;30,1,0))</formula>
    </cfRule>
    <cfRule type="expression" priority="1717" dxfId="1">
      <formula>AND(IF($Q83=3,1,0),IF($X83&lt;30,1,0))</formula>
    </cfRule>
    <cfRule type="expression" priority="1718" dxfId="0">
      <formula>AND(IF($Q83=3,1,IF($Q83=4,1,0)),IF($F83&lt;=85,1,0))</formula>
    </cfRule>
  </conditionalFormatting>
  <conditionalFormatting sqref="AV84">
    <cfRule type="expression" priority="1713" dxfId="17">
      <formula>AV84="X"</formula>
    </cfRule>
    <cfRule type="expression" priority="1714" dxfId="16">
      <formula>AV84="후보"</formula>
    </cfRule>
  </conditionalFormatting>
  <conditionalFormatting sqref="AC8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84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84">
    <cfRule type="expression" priority="1704" dxfId="3">
      <formula>AND(IF(OR($Q84=1,$Q84=2),1,0),IF($X84&lt;=20,1,0))</formula>
    </cfRule>
    <cfRule type="expression" priority="1705" dxfId="2">
      <formula>AND(IF($Q84=2,1,0),IF($X84&lt;30,1,0))</formula>
    </cfRule>
    <cfRule type="expression" priority="1706" dxfId="1">
      <formula>AND(IF($Q84=3,1,0),IF($X84&lt;30,1,0))</formula>
    </cfRule>
    <cfRule type="expression" priority="1707" dxfId="0">
      <formula>AND(IF($Q84=3,1,IF($Q84=4,1,0)),IF($F84&lt;=85,1,0))</formula>
    </cfRule>
  </conditionalFormatting>
  <conditionalFormatting sqref="X84">
    <cfRule type="expression" priority="1700" dxfId="3">
      <formula>AND(IF(OR($Q84=1,$Q84=2),1,0),IF($X84&lt;=20,1,0))</formula>
    </cfRule>
    <cfRule type="expression" priority="1701" dxfId="2">
      <formula>AND(IF($Q84=2,1,0),IF($X84&lt;30,1,0))</formula>
    </cfRule>
    <cfRule type="expression" priority="1702" dxfId="1">
      <formula>AND(IF($Q84=3,1,0),IF($X84&lt;30,1,0))</formula>
    </cfRule>
    <cfRule type="expression" priority="1703" dxfId="0">
      <formula>AND(IF($Q84=3,1,IF($Q84=4,1,0)),IF($F84&lt;=85,1,0))</formula>
    </cfRule>
  </conditionalFormatting>
  <conditionalFormatting sqref="AI84">
    <cfRule type="expression" priority="1696" dxfId="3">
      <formula>AND(IF(OR($Q84=1,$Q84=2),1,0),IF($X84&lt;=20,1,0))</formula>
    </cfRule>
    <cfRule type="expression" priority="1697" dxfId="2">
      <formula>AND(IF($Q84=2,1,0),IF($X84&lt;30,1,0))</formula>
    </cfRule>
    <cfRule type="expression" priority="1698" dxfId="1">
      <formula>AND(IF($Q84=3,1,0),IF($X84&lt;30,1,0))</formula>
    </cfRule>
    <cfRule type="expression" priority="1699" dxfId="0">
      <formula>AND(IF($Q84=3,1,IF($Q84=4,1,0)),IF($F84&lt;=85,1,0))</formula>
    </cfRule>
  </conditionalFormatting>
  <conditionalFormatting sqref="AV85">
    <cfRule type="expression" priority="1694" dxfId="17">
      <formula>AV85="X"</formula>
    </cfRule>
    <cfRule type="expression" priority="1695" dxfId="16">
      <formula>AV85="후보"</formula>
    </cfRule>
  </conditionalFormatting>
  <conditionalFormatting sqref="AC85 N8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AV86">
    <cfRule type="expression" priority="1689" dxfId="17">
      <formula>AV86="X"</formula>
    </cfRule>
    <cfRule type="expression" priority="1690" dxfId="16">
      <formula>AV86="후보"</formula>
    </cfRule>
  </conditionalFormatting>
  <conditionalFormatting sqref="AC86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86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86">
    <cfRule type="expression" priority="1680" dxfId="3">
      <formula>AND(IF(OR($Q86=1,$Q86=2),1,0),IF($X86&lt;=20,1,0))</formula>
    </cfRule>
    <cfRule type="expression" priority="1681" dxfId="2">
      <formula>AND(IF($Q86=2,1,0),IF($X86&lt;30,1,0))</formula>
    </cfRule>
    <cfRule type="expression" priority="1682" dxfId="1">
      <formula>AND(IF($Q86=3,1,0),IF($X86&lt;30,1,0))</formula>
    </cfRule>
    <cfRule type="expression" priority="1683" dxfId="0">
      <formula>AND(IF($Q86=3,1,IF($Q86=4,1,0)),IF($F86&lt;=85,1,0))</formula>
    </cfRule>
  </conditionalFormatting>
  <conditionalFormatting sqref="X86">
    <cfRule type="expression" priority="1676" dxfId="3">
      <formula>AND(IF(OR($Q86=1,$Q86=2),1,0),IF($X86&lt;=20,1,0))</formula>
    </cfRule>
    <cfRule type="expression" priority="1677" dxfId="2">
      <formula>AND(IF($Q86=2,1,0),IF($X86&lt;30,1,0))</formula>
    </cfRule>
    <cfRule type="expression" priority="1678" dxfId="1">
      <formula>AND(IF($Q86=3,1,0),IF($X86&lt;30,1,0))</formula>
    </cfRule>
    <cfRule type="expression" priority="1679" dxfId="0">
      <formula>AND(IF($Q86=3,1,IF($Q86=4,1,0)),IF($F86&lt;=85,1,0))</formula>
    </cfRule>
  </conditionalFormatting>
  <conditionalFormatting sqref="AI86">
    <cfRule type="expression" priority="1672" dxfId="3">
      <formula>AND(IF(OR($Q86=1,$Q86=2),1,0),IF($X86&lt;=20,1,0))</formula>
    </cfRule>
    <cfRule type="expression" priority="1673" dxfId="2">
      <formula>AND(IF($Q86=2,1,0),IF($X86&lt;30,1,0))</formula>
    </cfRule>
    <cfRule type="expression" priority="1674" dxfId="1">
      <formula>AND(IF($Q86=3,1,0),IF($X86&lt;30,1,0))</formula>
    </cfRule>
    <cfRule type="expression" priority="1675" dxfId="0">
      <formula>AND(IF($Q86=3,1,IF($Q86=4,1,0)),IF($F86&lt;=85,1,0))</formula>
    </cfRule>
  </conditionalFormatting>
  <conditionalFormatting sqref="AV87">
    <cfRule type="expression" priority="1670" dxfId="17">
      <formula>AV87="X"</formula>
    </cfRule>
    <cfRule type="expression" priority="1671" dxfId="16">
      <formula>AV87="후보"</formula>
    </cfRule>
  </conditionalFormatting>
  <conditionalFormatting sqref="AC87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87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87">
    <cfRule type="expression" priority="1661" dxfId="3">
      <formula>AND(IF(OR($Q87=1,$Q87=2),1,0),IF($X87&lt;=20,1,0))</formula>
    </cfRule>
    <cfRule type="expression" priority="1662" dxfId="2">
      <formula>AND(IF($Q87=2,1,0),IF($X87&lt;30,1,0))</formula>
    </cfRule>
    <cfRule type="expression" priority="1663" dxfId="1">
      <formula>AND(IF($Q87=3,1,0),IF($X87&lt;30,1,0))</formula>
    </cfRule>
    <cfRule type="expression" priority="1664" dxfId="0">
      <formula>AND(IF($Q87=3,1,IF($Q87=4,1,0)),IF($F87&lt;=85,1,0))</formula>
    </cfRule>
  </conditionalFormatting>
  <conditionalFormatting sqref="X87">
    <cfRule type="expression" priority="1657" dxfId="3">
      <formula>AND(IF(OR($Q87=1,$Q87=2),1,0),IF($X87&lt;=20,1,0))</formula>
    </cfRule>
    <cfRule type="expression" priority="1658" dxfId="2">
      <formula>AND(IF($Q87=2,1,0),IF($X87&lt;30,1,0))</formula>
    </cfRule>
    <cfRule type="expression" priority="1659" dxfId="1">
      <formula>AND(IF($Q87=3,1,0),IF($X87&lt;30,1,0))</formula>
    </cfRule>
    <cfRule type="expression" priority="1660" dxfId="0">
      <formula>AND(IF($Q87=3,1,IF($Q87=4,1,0)),IF($F87&lt;=85,1,0))</formula>
    </cfRule>
  </conditionalFormatting>
  <conditionalFormatting sqref="AI87">
    <cfRule type="expression" priority="1653" dxfId="3">
      <formula>AND(IF(OR($Q87=1,$Q87=2),1,0),IF($X87&lt;=20,1,0))</formula>
    </cfRule>
    <cfRule type="expression" priority="1654" dxfId="2">
      <formula>AND(IF($Q87=2,1,0),IF($X87&lt;30,1,0))</formula>
    </cfRule>
    <cfRule type="expression" priority="1655" dxfId="1">
      <formula>AND(IF($Q87=3,1,0),IF($X87&lt;30,1,0))</formula>
    </cfRule>
    <cfRule type="expression" priority="1656" dxfId="0">
      <formula>AND(IF($Q87=3,1,IF($Q87=4,1,0)),IF($F87&lt;=85,1,0))</formula>
    </cfRule>
  </conditionalFormatting>
  <conditionalFormatting sqref="AV88">
    <cfRule type="expression" priority="1651" dxfId="17">
      <formula>AV88="X"</formula>
    </cfRule>
    <cfRule type="expression" priority="1652" dxfId="16">
      <formula>AV88="후보"</formula>
    </cfRule>
  </conditionalFormatting>
  <conditionalFormatting sqref="AC88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88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88">
    <cfRule type="expression" priority="1642" dxfId="3">
      <formula>AND(IF(OR($Q88=1,$Q88=2),1,0),IF($X88&lt;=20,1,0))</formula>
    </cfRule>
    <cfRule type="expression" priority="1643" dxfId="2">
      <formula>AND(IF($Q88=2,1,0),IF($X88&lt;30,1,0))</formula>
    </cfRule>
    <cfRule type="expression" priority="1644" dxfId="1">
      <formula>AND(IF($Q88=3,1,0),IF($X88&lt;30,1,0))</formula>
    </cfRule>
    <cfRule type="expression" priority="1645" dxfId="0">
      <formula>AND(IF($Q88=3,1,IF($Q88=4,1,0)),IF($F88&lt;=85,1,0))</formula>
    </cfRule>
  </conditionalFormatting>
  <conditionalFormatting sqref="X88">
    <cfRule type="expression" priority="1638" dxfId="3">
      <formula>AND(IF(OR($Q88=1,$Q88=2),1,0),IF($X88&lt;=20,1,0))</formula>
    </cfRule>
    <cfRule type="expression" priority="1639" dxfId="2">
      <formula>AND(IF($Q88=2,1,0),IF($X88&lt;30,1,0))</formula>
    </cfRule>
    <cfRule type="expression" priority="1640" dxfId="1">
      <formula>AND(IF($Q88=3,1,0),IF($X88&lt;30,1,0))</formula>
    </cfRule>
    <cfRule type="expression" priority="1641" dxfId="0">
      <formula>AND(IF($Q88=3,1,IF($Q88=4,1,0)),IF($F88&lt;=85,1,0))</formula>
    </cfRule>
  </conditionalFormatting>
  <conditionalFormatting sqref="AI88">
    <cfRule type="expression" priority="1634" dxfId="3">
      <formula>AND(IF(OR($Q88=1,$Q88=2),1,0),IF($X88&lt;=20,1,0))</formula>
    </cfRule>
    <cfRule type="expression" priority="1635" dxfId="2">
      <formula>AND(IF($Q88=2,1,0),IF($X88&lt;30,1,0))</formula>
    </cfRule>
    <cfRule type="expression" priority="1636" dxfId="1">
      <formula>AND(IF($Q88=3,1,0),IF($X88&lt;30,1,0))</formula>
    </cfRule>
    <cfRule type="expression" priority="1637" dxfId="0">
      <formula>AND(IF($Q88=3,1,IF($Q88=4,1,0)),IF($F88&lt;=85,1,0))</formula>
    </cfRule>
  </conditionalFormatting>
  <conditionalFormatting sqref="AV89">
    <cfRule type="expression" priority="1632" dxfId="17">
      <formula>AV89="X"</formula>
    </cfRule>
    <cfRule type="expression" priority="1633" dxfId="16">
      <formula>AV89="후보"</formula>
    </cfRule>
  </conditionalFormatting>
  <conditionalFormatting sqref="AC89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89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89">
    <cfRule type="expression" priority="1623" dxfId="3">
      <formula>AND(IF(OR($Q89=1,$Q89=2),1,0),IF($X89&lt;=20,1,0))</formula>
    </cfRule>
    <cfRule type="expression" priority="1624" dxfId="2">
      <formula>AND(IF($Q89=2,1,0),IF($X89&lt;30,1,0))</formula>
    </cfRule>
    <cfRule type="expression" priority="1625" dxfId="1">
      <formula>AND(IF($Q89=3,1,0),IF($X89&lt;30,1,0))</formula>
    </cfRule>
    <cfRule type="expression" priority="1626" dxfId="0">
      <formula>AND(IF($Q89=3,1,IF($Q89=4,1,0)),IF($F89&lt;=85,1,0))</formula>
    </cfRule>
  </conditionalFormatting>
  <conditionalFormatting sqref="X89">
    <cfRule type="expression" priority="1619" dxfId="3">
      <formula>AND(IF(OR($Q89=1,$Q89=2),1,0),IF($X89&lt;=20,1,0))</formula>
    </cfRule>
    <cfRule type="expression" priority="1620" dxfId="2">
      <formula>AND(IF($Q89=2,1,0),IF($X89&lt;30,1,0))</formula>
    </cfRule>
    <cfRule type="expression" priority="1621" dxfId="1">
      <formula>AND(IF($Q89=3,1,0),IF($X89&lt;30,1,0))</formula>
    </cfRule>
    <cfRule type="expression" priority="1622" dxfId="0">
      <formula>AND(IF($Q89=3,1,IF($Q89=4,1,0)),IF($F89&lt;=85,1,0))</formula>
    </cfRule>
  </conditionalFormatting>
  <conditionalFormatting sqref="AI89">
    <cfRule type="expression" priority="1615" dxfId="3">
      <formula>AND(IF(OR($Q89=1,$Q89=2),1,0),IF($X89&lt;=20,1,0))</formula>
    </cfRule>
    <cfRule type="expression" priority="1616" dxfId="2">
      <formula>AND(IF($Q89=2,1,0),IF($X89&lt;30,1,0))</formula>
    </cfRule>
    <cfRule type="expression" priority="1617" dxfId="1">
      <formula>AND(IF($Q89=3,1,0),IF($X89&lt;30,1,0))</formula>
    </cfRule>
    <cfRule type="expression" priority="1618" dxfId="0">
      <formula>AND(IF($Q89=3,1,IF($Q89=4,1,0)),IF($F89&lt;=85,1,0))</formula>
    </cfRule>
  </conditionalFormatting>
  <conditionalFormatting sqref="AV90">
    <cfRule type="expression" priority="1613" dxfId="17">
      <formula>AV90="X"</formula>
    </cfRule>
    <cfRule type="expression" priority="1614" dxfId="16">
      <formula>AV90="후보"</formula>
    </cfRule>
  </conditionalFormatting>
  <conditionalFormatting sqref="AC90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90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90">
    <cfRule type="expression" priority="1604" dxfId="3">
      <formula>AND(IF(OR($Q90=1,$Q90=2),1,0),IF($X90&lt;=20,1,0))</formula>
    </cfRule>
    <cfRule type="expression" priority="1605" dxfId="2">
      <formula>AND(IF($Q90=2,1,0),IF($X90&lt;30,1,0))</formula>
    </cfRule>
    <cfRule type="expression" priority="1606" dxfId="1">
      <formula>AND(IF($Q90=3,1,0),IF($X90&lt;30,1,0))</formula>
    </cfRule>
    <cfRule type="expression" priority="1607" dxfId="0">
      <formula>AND(IF($Q90=3,1,IF($Q90=4,1,0)),IF($F90&lt;=85,1,0))</formula>
    </cfRule>
  </conditionalFormatting>
  <conditionalFormatting sqref="X90">
    <cfRule type="expression" priority="1600" dxfId="3">
      <formula>AND(IF(OR($Q90=1,$Q90=2),1,0),IF($X90&lt;=20,1,0))</formula>
    </cfRule>
    <cfRule type="expression" priority="1601" dxfId="2">
      <formula>AND(IF($Q90=2,1,0),IF($X90&lt;30,1,0))</formula>
    </cfRule>
    <cfRule type="expression" priority="1602" dxfId="1">
      <formula>AND(IF($Q90=3,1,0),IF($X90&lt;30,1,0))</formula>
    </cfRule>
    <cfRule type="expression" priority="1603" dxfId="0">
      <formula>AND(IF($Q90=3,1,IF($Q90=4,1,0)),IF($F90&lt;=85,1,0))</formula>
    </cfRule>
  </conditionalFormatting>
  <conditionalFormatting sqref="AI90">
    <cfRule type="expression" priority="1596" dxfId="3">
      <formula>AND(IF(OR($Q90=1,$Q90=2),1,0),IF($X90&lt;=20,1,0))</formula>
    </cfRule>
    <cfRule type="expression" priority="1597" dxfId="2">
      <formula>AND(IF($Q90=2,1,0),IF($X90&lt;30,1,0))</formula>
    </cfRule>
    <cfRule type="expression" priority="1598" dxfId="1">
      <formula>AND(IF($Q90=3,1,0),IF($X90&lt;30,1,0))</formula>
    </cfRule>
    <cfRule type="expression" priority="1599" dxfId="0">
      <formula>AND(IF($Q90=3,1,IF($Q90=4,1,0)),IF($F90&lt;=85,1,0))</formula>
    </cfRule>
  </conditionalFormatting>
  <conditionalFormatting sqref="AV91">
    <cfRule type="expression" priority="1594" dxfId="17">
      <formula>AV91="X"</formula>
    </cfRule>
    <cfRule type="expression" priority="1595" dxfId="16">
      <formula>AV91="후보"</formula>
    </cfRule>
  </conditionalFormatting>
  <conditionalFormatting sqref="AC91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91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91">
    <cfRule type="expression" priority="1585" dxfId="3">
      <formula>AND(IF(OR($Q91=1,$Q91=2),1,0),IF($X91&lt;=20,1,0))</formula>
    </cfRule>
    <cfRule type="expression" priority="1586" dxfId="2">
      <formula>AND(IF($Q91=2,1,0),IF($X91&lt;30,1,0))</formula>
    </cfRule>
    <cfRule type="expression" priority="1587" dxfId="1">
      <formula>AND(IF($Q91=3,1,0),IF($X91&lt;30,1,0))</formula>
    </cfRule>
    <cfRule type="expression" priority="1588" dxfId="0">
      <formula>AND(IF($Q91=3,1,IF($Q91=4,1,0)),IF($F91&lt;=85,1,0))</formula>
    </cfRule>
  </conditionalFormatting>
  <conditionalFormatting sqref="X91">
    <cfRule type="expression" priority="1581" dxfId="3">
      <formula>AND(IF(OR($Q91=1,$Q91=2),1,0),IF($X91&lt;=20,1,0))</formula>
    </cfRule>
    <cfRule type="expression" priority="1582" dxfId="2">
      <formula>AND(IF($Q91=2,1,0),IF($X91&lt;30,1,0))</formula>
    </cfRule>
    <cfRule type="expression" priority="1583" dxfId="1">
      <formula>AND(IF($Q91=3,1,0),IF($X91&lt;30,1,0))</formula>
    </cfRule>
    <cfRule type="expression" priority="1584" dxfId="0">
      <formula>AND(IF($Q91=3,1,IF($Q91=4,1,0)),IF($F91&lt;=85,1,0))</formula>
    </cfRule>
  </conditionalFormatting>
  <conditionalFormatting sqref="AI91">
    <cfRule type="expression" priority="1577" dxfId="3">
      <formula>AND(IF(OR($Q91=1,$Q91=2),1,0),IF($X91&lt;=20,1,0))</formula>
    </cfRule>
    <cfRule type="expression" priority="1578" dxfId="2">
      <formula>AND(IF($Q91=2,1,0),IF($X91&lt;30,1,0))</formula>
    </cfRule>
    <cfRule type="expression" priority="1579" dxfId="1">
      <formula>AND(IF($Q91=3,1,0),IF($X91&lt;30,1,0))</formula>
    </cfRule>
    <cfRule type="expression" priority="1580" dxfId="0">
      <formula>AND(IF($Q91=3,1,IF($Q91=4,1,0)),IF($F91&lt;=85,1,0))</formula>
    </cfRule>
  </conditionalFormatting>
  <conditionalFormatting sqref="AV92">
    <cfRule type="expression" priority="1575" dxfId="17">
      <formula>AV92="X"</formula>
    </cfRule>
    <cfRule type="expression" priority="1576" dxfId="16">
      <formula>AV92="후보"</formula>
    </cfRule>
  </conditionalFormatting>
  <conditionalFormatting sqref="AC92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92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92">
    <cfRule type="expression" priority="1566" dxfId="3">
      <formula>AND(IF(OR($Q92=1,$Q92=2),1,0),IF($X92&lt;=20,1,0))</formula>
    </cfRule>
    <cfRule type="expression" priority="1567" dxfId="2">
      <formula>AND(IF($Q92=2,1,0),IF($X92&lt;30,1,0))</formula>
    </cfRule>
    <cfRule type="expression" priority="1568" dxfId="1">
      <formula>AND(IF($Q92=3,1,0),IF($X92&lt;30,1,0))</formula>
    </cfRule>
    <cfRule type="expression" priority="1569" dxfId="0">
      <formula>AND(IF($Q92=3,1,IF($Q92=4,1,0)),IF($F92&lt;=85,1,0))</formula>
    </cfRule>
  </conditionalFormatting>
  <conditionalFormatting sqref="X92">
    <cfRule type="expression" priority="1562" dxfId="3">
      <formula>AND(IF(OR($Q92=1,$Q92=2),1,0),IF($X92&lt;=20,1,0))</formula>
    </cfRule>
    <cfRule type="expression" priority="1563" dxfId="2">
      <formula>AND(IF($Q92=2,1,0),IF($X92&lt;30,1,0))</formula>
    </cfRule>
    <cfRule type="expression" priority="1564" dxfId="1">
      <formula>AND(IF($Q92=3,1,0),IF($X92&lt;30,1,0))</formula>
    </cfRule>
    <cfRule type="expression" priority="1565" dxfId="0">
      <formula>AND(IF($Q92=3,1,IF($Q92=4,1,0)),IF($F92&lt;=85,1,0))</formula>
    </cfRule>
  </conditionalFormatting>
  <conditionalFormatting sqref="AI92">
    <cfRule type="expression" priority="1558" dxfId="3">
      <formula>AND(IF(OR($Q92=1,$Q92=2),1,0),IF($X92&lt;=20,1,0))</formula>
    </cfRule>
    <cfRule type="expression" priority="1559" dxfId="2">
      <formula>AND(IF($Q92=2,1,0),IF($X92&lt;30,1,0))</formula>
    </cfRule>
    <cfRule type="expression" priority="1560" dxfId="1">
      <formula>AND(IF($Q92=3,1,0),IF($X92&lt;30,1,0))</formula>
    </cfRule>
    <cfRule type="expression" priority="1561" dxfId="0">
      <formula>AND(IF($Q92=3,1,IF($Q92=4,1,0)),IF($F92&lt;=85,1,0))</formula>
    </cfRule>
  </conditionalFormatting>
  <conditionalFormatting sqref="AV93">
    <cfRule type="expression" priority="1556" dxfId="17">
      <formula>AV93="X"</formula>
    </cfRule>
    <cfRule type="expression" priority="1557" dxfId="16">
      <formula>AV93="후보"</formula>
    </cfRule>
  </conditionalFormatting>
  <conditionalFormatting sqref="AC9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9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93">
    <cfRule type="expression" priority="1547" dxfId="3">
      <formula>AND(IF(OR($Q93=1,$Q93=2),1,0),IF($X93&lt;=20,1,0))</formula>
    </cfRule>
    <cfRule type="expression" priority="1548" dxfId="2">
      <formula>AND(IF($Q93=2,1,0),IF($X93&lt;30,1,0))</formula>
    </cfRule>
    <cfRule type="expression" priority="1549" dxfId="1">
      <formula>AND(IF($Q93=3,1,0),IF($X93&lt;30,1,0))</formula>
    </cfRule>
    <cfRule type="expression" priority="1550" dxfId="0">
      <formula>AND(IF($Q93=3,1,IF($Q93=4,1,0)),IF($F93&lt;=85,1,0))</formula>
    </cfRule>
  </conditionalFormatting>
  <conditionalFormatting sqref="X93">
    <cfRule type="expression" priority="1543" dxfId="3">
      <formula>AND(IF(OR($Q93=1,$Q93=2),1,0),IF($X93&lt;=20,1,0))</formula>
    </cfRule>
    <cfRule type="expression" priority="1544" dxfId="2">
      <formula>AND(IF($Q93=2,1,0),IF($X93&lt;30,1,0))</formula>
    </cfRule>
    <cfRule type="expression" priority="1545" dxfId="1">
      <formula>AND(IF($Q93=3,1,0),IF($X93&lt;30,1,0))</formula>
    </cfRule>
    <cfRule type="expression" priority="1546" dxfId="0">
      <formula>AND(IF($Q93=3,1,IF($Q93=4,1,0)),IF($F93&lt;=85,1,0))</formula>
    </cfRule>
  </conditionalFormatting>
  <conditionalFormatting sqref="AI93">
    <cfRule type="expression" priority="1539" dxfId="3">
      <formula>AND(IF(OR($Q93=1,$Q93=2),1,0),IF($X93&lt;=20,1,0))</formula>
    </cfRule>
    <cfRule type="expression" priority="1540" dxfId="2">
      <formula>AND(IF($Q93=2,1,0),IF($X93&lt;30,1,0))</formula>
    </cfRule>
    <cfRule type="expression" priority="1541" dxfId="1">
      <formula>AND(IF($Q93=3,1,0),IF($X93&lt;30,1,0))</formula>
    </cfRule>
    <cfRule type="expression" priority="1542" dxfId="0">
      <formula>AND(IF($Q93=3,1,IF($Q93=4,1,0)),IF($F93&lt;=85,1,0))</formula>
    </cfRule>
  </conditionalFormatting>
  <conditionalFormatting sqref="AV94">
    <cfRule type="expression" priority="1537" dxfId="17">
      <formula>AV94="X"</formula>
    </cfRule>
    <cfRule type="expression" priority="1538" dxfId="16">
      <formula>AV94="후보"</formula>
    </cfRule>
  </conditionalFormatting>
  <conditionalFormatting sqref="AC9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9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94">
    <cfRule type="expression" priority="1528" dxfId="3">
      <formula>AND(IF(OR($Q94=1,$Q94=2),1,0),IF($X94&lt;=20,1,0))</formula>
    </cfRule>
    <cfRule type="expression" priority="1529" dxfId="2">
      <formula>AND(IF($Q94=2,1,0),IF($X94&lt;30,1,0))</formula>
    </cfRule>
    <cfRule type="expression" priority="1530" dxfId="1">
      <formula>AND(IF($Q94=3,1,0),IF($X94&lt;30,1,0))</formula>
    </cfRule>
    <cfRule type="expression" priority="1531" dxfId="0">
      <formula>AND(IF($Q94=3,1,IF($Q94=4,1,0)),IF($F94&lt;=85,1,0))</formula>
    </cfRule>
  </conditionalFormatting>
  <conditionalFormatting sqref="X94">
    <cfRule type="expression" priority="1524" dxfId="3">
      <formula>AND(IF(OR($Q94=1,$Q94=2),1,0),IF($X94&lt;=20,1,0))</formula>
    </cfRule>
    <cfRule type="expression" priority="1525" dxfId="2">
      <formula>AND(IF($Q94=2,1,0),IF($X94&lt;30,1,0))</formula>
    </cfRule>
    <cfRule type="expression" priority="1526" dxfId="1">
      <formula>AND(IF($Q94=3,1,0),IF($X94&lt;30,1,0))</formula>
    </cfRule>
    <cfRule type="expression" priority="1527" dxfId="0">
      <formula>AND(IF($Q94=3,1,IF($Q94=4,1,0)),IF($F94&lt;=85,1,0))</formula>
    </cfRule>
  </conditionalFormatting>
  <conditionalFormatting sqref="AI94">
    <cfRule type="expression" priority="1520" dxfId="3">
      <formula>AND(IF(OR($Q94=1,$Q94=2),1,0),IF($X94&lt;=20,1,0))</formula>
    </cfRule>
    <cfRule type="expression" priority="1521" dxfId="2">
      <formula>AND(IF($Q94=2,1,0),IF($X94&lt;30,1,0))</formula>
    </cfRule>
    <cfRule type="expression" priority="1522" dxfId="1">
      <formula>AND(IF($Q94=3,1,0),IF($X94&lt;30,1,0))</formula>
    </cfRule>
    <cfRule type="expression" priority="1523" dxfId="0">
      <formula>AND(IF($Q94=3,1,IF($Q94=4,1,0)),IF($F94&lt;=85,1,0))</formula>
    </cfRule>
  </conditionalFormatting>
  <conditionalFormatting sqref="AV95">
    <cfRule type="expression" priority="1518" dxfId="17">
      <formula>AV95="X"</formula>
    </cfRule>
    <cfRule type="expression" priority="1519" dxfId="16">
      <formula>AV95="후보"</formula>
    </cfRule>
  </conditionalFormatting>
  <conditionalFormatting sqref="AC9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9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95">
    <cfRule type="expression" priority="1509" dxfId="3">
      <formula>AND(IF(OR($Q95=1,$Q95=2),1,0),IF($X95&lt;=20,1,0))</formula>
    </cfRule>
    <cfRule type="expression" priority="1510" dxfId="2">
      <formula>AND(IF($Q95=2,1,0),IF($X95&lt;30,1,0))</formula>
    </cfRule>
    <cfRule type="expression" priority="1511" dxfId="1">
      <formula>AND(IF($Q95=3,1,0),IF($X95&lt;30,1,0))</formula>
    </cfRule>
    <cfRule type="expression" priority="1512" dxfId="0">
      <formula>AND(IF($Q95=3,1,IF($Q95=4,1,0)),IF($F95&lt;=85,1,0))</formula>
    </cfRule>
  </conditionalFormatting>
  <conditionalFormatting sqref="X95">
    <cfRule type="expression" priority="1505" dxfId="3">
      <formula>AND(IF(OR($Q95=1,$Q95=2),1,0),IF($X95&lt;=20,1,0))</formula>
    </cfRule>
    <cfRule type="expression" priority="1506" dxfId="2">
      <formula>AND(IF($Q95=2,1,0),IF($X95&lt;30,1,0))</formula>
    </cfRule>
    <cfRule type="expression" priority="1507" dxfId="1">
      <formula>AND(IF($Q95=3,1,0),IF($X95&lt;30,1,0))</formula>
    </cfRule>
    <cfRule type="expression" priority="1508" dxfId="0">
      <formula>AND(IF($Q95=3,1,IF($Q95=4,1,0)),IF($F95&lt;=85,1,0))</formula>
    </cfRule>
  </conditionalFormatting>
  <conditionalFormatting sqref="AI95">
    <cfRule type="expression" priority="1501" dxfId="3">
      <formula>AND(IF(OR($Q95=1,$Q95=2),1,0),IF($X95&lt;=20,1,0))</formula>
    </cfRule>
    <cfRule type="expression" priority="1502" dxfId="2">
      <formula>AND(IF($Q95=2,1,0),IF($X95&lt;30,1,0))</formula>
    </cfRule>
    <cfRule type="expression" priority="1503" dxfId="1">
      <formula>AND(IF($Q95=3,1,0),IF($X95&lt;30,1,0))</formula>
    </cfRule>
    <cfRule type="expression" priority="1504" dxfId="0">
      <formula>AND(IF($Q95=3,1,IF($Q95=4,1,0)),IF($F95&lt;=85,1,0))</formula>
    </cfRule>
  </conditionalFormatting>
  <conditionalFormatting sqref="AV96">
    <cfRule type="expression" priority="1499" dxfId="17">
      <formula>AV96="X"</formula>
    </cfRule>
    <cfRule type="expression" priority="1500" dxfId="16">
      <formula>AV96="후보"</formula>
    </cfRule>
  </conditionalFormatting>
  <conditionalFormatting sqref="AC9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9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96">
    <cfRule type="expression" priority="1490" dxfId="3">
      <formula>AND(IF(OR($Q96=1,$Q96=2),1,0),IF($X96&lt;=20,1,0))</formula>
    </cfRule>
    <cfRule type="expression" priority="1491" dxfId="2">
      <formula>AND(IF($Q96=2,1,0),IF($X96&lt;30,1,0))</formula>
    </cfRule>
    <cfRule type="expression" priority="1492" dxfId="1">
      <formula>AND(IF($Q96=3,1,0),IF($X96&lt;30,1,0))</formula>
    </cfRule>
    <cfRule type="expression" priority="1493" dxfId="0">
      <formula>AND(IF($Q96=3,1,IF($Q96=4,1,0)),IF($F96&lt;=85,1,0))</formula>
    </cfRule>
  </conditionalFormatting>
  <conditionalFormatting sqref="X96">
    <cfRule type="expression" priority="1486" dxfId="3">
      <formula>AND(IF(OR($Q96=1,$Q96=2),1,0),IF($X96&lt;=20,1,0))</formula>
    </cfRule>
    <cfRule type="expression" priority="1487" dxfId="2">
      <formula>AND(IF($Q96=2,1,0),IF($X96&lt;30,1,0))</formula>
    </cfRule>
    <cfRule type="expression" priority="1488" dxfId="1">
      <formula>AND(IF($Q96=3,1,0),IF($X96&lt;30,1,0))</formula>
    </cfRule>
    <cfRule type="expression" priority="1489" dxfId="0">
      <formula>AND(IF($Q96=3,1,IF($Q96=4,1,0)),IF($F96&lt;=85,1,0))</formula>
    </cfRule>
  </conditionalFormatting>
  <conditionalFormatting sqref="AI96">
    <cfRule type="expression" priority="1482" dxfId="3">
      <formula>AND(IF(OR($Q96=1,$Q96=2),1,0),IF($X96&lt;=20,1,0))</formula>
    </cfRule>
    <cfRule type="expression" priority="1483" dxfId="2">
      <formula>AND(IF($Q96=2,1,0),IF($X96&lt;30,1,0))</formula>
    </cfRule>
    <cfRule type="expression" priority="1484" dxfId="1">
      <formula>AND(IF($Q96=3,1,0),IF($X96&lt;30,1,0))</formula>
    </cfRule>
    <cfRule type="expression" priority="1485" dxfId="0">
      <formula>AND(IF($Q96=3,1,IF($Q96=4,1,0)),IF($F96&lt;=85,1,0))</formula>
    </cfRule>
  </conditionalFormatting>
  <conditionalFormatting sqref="AV97">
    <cfRule type="expression" priority="1480" dxfId="17">
      <formula>AV97="X"</formula>
    </cfRule>
    <cfRule type="expression" priority="1481" dxfId="16">
      <formula>AV97="후보"</formula>
    </cfRule>
  </conditionalFormatting>
  <conditionalFormatting sqref="AC9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97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97">
    <cfRule type="expression" priority="1471" dxfId="3">
      <formula>AND(IF(OR($Q97=1,$Q97=2),1,0),IF($X97&lt;=20,1,0))</formula>
    </cfRule>
    <cfRule type="expression" priority="1472" dxfId="2">
      <formula>AND(IF($Q97=2,1,0),IF($X97&lt;30,1,0))</formula>
    </cfRule>
    <cfRule type="expression" priority="1473" dxfId="1">
      <formula>AND(IF($Q97=3,1,0),IF($X97&lt;30,1,0))</formula>
    </cfRule>
    <cfRule type="expression" priority="1474" dxfId="0">
      <formula>AND(IF($Q97=3,1,IF($Q97=4,1,0)),IF($F97&lt;=85,1,0))</formula>
    </cfRule>
  </conditionalFormatting>
  <conditionalFormatting sqref="X97">
    <cfRule type="expression" priority="1467" dxfId="3">
      <formula>AND(IF(OR($Q97=1,$Q97=2),1,0),IF($X97&lt;=20,1,0))</formula>
    </cfRule>
    <cfRule type="expression" priority="1468" dxfId="2">
      <formula>AND(IF($Q97=2,1,0),IF($X97&lt;30,1,0))</formula>
    </cfRule>
    <cfRule type="expression" priority="1469" dxfId="1">
      <formula>AND(IF($Q97=3,1,0),IF($X97&lt;30,1,0))</formula>
    </cfRule>
    <cfRule type="expression" priority="1470" dxfId="0">
      <formula>AND(IF($Q97=3,1,IF($Q97=4,1,0)),IF($F97&lt;=85,1,0))</formula>
    </cfRule>
  </conditionalFormatting>
  <conditionalFormatting sqref="AI97">
    <cfRule type="expression" priority="1463" dxfId="3">
      <formula>AND(IF(OR($Q97=1,$Q97=2),1,0),IF($X97&lt;=20,1,0))</formula>
    </cfRule>
    <cfRule type="expression" priority="1464" dxfId="2">
      <formula>AND(IF($Q97=2,1,0),IF($X97&lt;30,1,0))</formula>
    </cfRule>
    <cfRule type="expression" priority="1465" dxfId="1">
      <formula>AND(IF($Q97=3,1,0),IF($X97&lt;30,1,0))</formula>
    </cfRule>
    <cfRule type="expression" priority="1466" dxfId="0">
      <formula>AND(IF($Q97=3,1,IF($Q97=4,1,0)),IF($F97&lt;=85,1,0))</formula>
    </cfRule>
  </conditionalFormatting>
  <conditionalFormatting sqref="AV98">
    <cfRule type="expression" priority="1461" dxfId="17">
      <formula>AV98="X"</formula>
    </cfRule>
    <cfRule type="expression" priority="1462" dxfId="16">
      <formula>AV98="후보"</formula>
    </cfRule>
  </conditionalFormatting>
  <conditionalFormatting sqref="AC98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98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98">
    <cfRule type="expression" priority="1452" dxfId="3">
      <formula>AND(IF(OR($Q98=1,$Q98=2),1,0),IF($X98&lt;=20,1,0))</formula>
    </cfRule>
    <cfRule type="expression" priority="1453" dxfId="2">
      <formula>AND(IF($Q98=2,1,0),IF($X98&lt;30,1,0))</formula>
    </cfRule>
    <cfRule type="expression" priority="1454" dxfId="1">
      <formula>AND(IF($Q98=3,1,0),IF($X98&lt;30,1,0))</formula>
    </cfRule>
    <cfRule type="expression" priority="1455" dxfId="0">
      <formula>AND(IF($Q98=3,1,IF($Q98=4,1,0)),IF($F98&lt;=85,1,0))</formula>
    </cfRule>
  </conditionalFormatting>
  <conditionalFormatting sqref="X98">
    <cfRule type="expression" priority="1448" dxfId="3">
      <formula>AND(IF(OR($Q98=1,$Q98=2),1,0),IF($X98&lt;=20,1,0))</formula>
    </cfRule>
    <cfRule type="expression" priority="1449" dxfId="2">
      <formula>AND(IF($Q98=2,1,0),IF($X98&lt;30,1,0))</formula>
    </cfRule>
    <cfRule type="expression" priority="1450" dxfId="1">
      <formula>AND(IF($Q98=3,1,0),IF($X98&lt;30,1,0))</formula>
    </cfRule>
    <cfRule type="expression" priority="1451" dxfId="0">
      <formula>AND(IF($Q98=3,1,IF($Q98=4,1,0)),IF($F98&lt;=85,1,0))</formula>
    </cfRule>
  </conditionalFormatting>
  <conditionalFormatting sqref="AI98">
    <cfRule type="expression" priority="1444" dxfId="3">
      <formula>AND(IF(OR($Q98=1,$Q98=2),1,0),IF($X98&lt;=20,1,0))</formula>
    </cfRule>
    <cfRule type="expression" priority="1445" dxfId="2">
      <formula>AND(IF($Q98=2,1,0),IF($X98&lt;30,1,0))</formula>
    </cfRule>
    <cfRule type="expression" priority="1446" dxfId="1">
      <formula>AND(IF($Q98=3,1,0),IF($X98&lt;30,1,0))</formula>
    </cfRule>
    <cfRule type="expression" priority="1447" dxfId="0">
      <formula>AND(IF($Q98=3,1,IF($Q98=4,1,0)),IF($F98&lt;=85,1,0))</formula>
    </cfRule>
  </conditionalFormatting>
  <conditionalFormatting sqref="AV99">
    <cfRule type="expression" priority="1442" dxfId="17">
      <formula>AV99="X"</formula>
    </cfRule>
    <cfRule type="expression" priority="1443" dxfId="16">
      <formula>AV99="후보"</formula>
    </cfRule>
  </conditionalFormatting>
  <conditionalFormatting sqref="AC99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N99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E99">
    <cfRule type="expression" priority="1433" dxfId="3">
      <formula>AND(IF(OR($Q99=1,$Q99=2),1,0),IF($X99&lt;=20,1,0))</formula>
    </cfRule>
    <cfRule type="expression" priority="1434" dxfId="2">
      <formula>AND(IF($Q99=2,1,0),IF($X99&lt;30,1,0))</formula>
    </cfRule>
    <cfRule type="expression" priority="1435" dxfId="1">
      <formula>AND(IF($Q99=3,1,0),IF($X99&lt;30,1,0))</formula>
    </cfRule>
    <cfRule type="expression" priority="1436" dxfId="0">
      <formula>AND(IF($Q99=3,1,IF($Q99=4,1,0)),IF($F99&lt;=85,1,0))</formula>
    </cfRule>
  </conditionalFormatting>
  <conditionalFormatting sqref="X99">
    <cfRule type="expression" priority="1429" dxfId="3">
      <formula>AND(IF(OR($Q99=1,$Q99=2),1,0),IF($X99&lt;=20,1,0))</formula>
    </cfRule>
    <cfRule type="expression" priority="1430" dxfId="2">
      <formula>AND(IF($Q99=2,1,0),IF($X99&lt;30,1,0))</formula>
    </cfRule>
    <cfRule type="expression" priority="1431" dxfId="1">
      <formula>AND(IF($Q99=3,1,0),IF($X99&lt;30,1,0))</formula>
    </cfRule>
    <cfRule type="expression" priority="1432" dxfId="0">
      <formula>AND(IF($Q99=3,1,IF($Q99=4,1,0)),IF($F99&lt;=85,1,0))</formula>
    </cfRule>
  </conditionalFormatting>
  <conditionalFormatting sqref="AI99">
    <cfRule type="expression" priority="1425" dxfId="3">
      <formula>AND(IF(OR($Q99=1,$Q99=2),1,0),IF($X99&lt;=20,1,0))</formula>
    </cfRule>
    <cfRule type="expression" priority="1426" dxfId="2">
      <formula>AND(IF($Q99=2,1,0),IF($X99&lt;30,1,0))</formula>
    </cfRule>
    <cfRule type="expression" priority="1427" dxfId="1">
      <formula>AND(IF($Q99=3,1,0),IF($X99&lt;30,1,0))</formula>
    </cfRule>
    <cfRule type="expression" priority="1428" dxfId="0">
      <formula>AND(IF($Q99=3,1,IF($Q99=4,1,0)),IF($F99&lt;=85,1,0))</formula>
    </cfRule>
  </conditionalFormatting>
  <conditionalFormatting sqref="AV100">
    <cfRule type="expression" priority="1423" dxfId="17">
      <formula>AV100="X"</formula>
    </cfRule>
    <cfRule type="expression" priority="1424" dxfId="16">
      <formula>AV100="후보"</formula>
    </cfRule>
  </conditionalFormatting>
  <conditionalFormatting sqref="AC100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N100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E100">
    <cfRule type="expression" priority="1414" dxfId="3">
      <formula>AND(IF(OR($Q100=1,$Q100=2),1,0),IF($X100&lt;=20,1,0))</formula>
    </cfRule>
    <cfRule type="expression" priority="1415" dxfId="2">
      <formula>AND(IF($Q100=2,1,0),IF($X100&lt;30,1,0))</formula>
    </cfRule>
    <cfRule type="expression" priority="1416" dxfId="1">
      <formula>AND(IF($Q100=3,1,0),IF($X100&lt;30,1,0))</formula>
    </cfRule>
    <cfRule type="expression" priority="1417" dxfId="0">
      <formula>AND(IF($Q100=3,1,IF($Q100=4,1,0)),IF($F100&lt;=85,1,0))</formula>
    </cfRule>
  </conditionalFormatting>
  <conditionalFormatting sqref="X100">
    <cfRule type="expression" priority="1410" dxfId="3">
      <formula>AND(IF(OR($Q100=1,$Q100=2),1,0),IF($X100&lt;=20,1,0))</formula>
    </cfRule>
    <cfRule type="expression" priority="1411" dxfId="2">
      <formula>AND(IF($Q100=2,1,0),IF($X100&lt;30,1,0))</formula>
    </cfRule>
    <cfRule type="expression" priority="1412" dxfId="1">
      <formula>AND(IF($Q100=3,1,0),IF($X100&lt;30,1,0))</formula>
    </cfRule>
    <cfRule type="expression" priority="1413" dxfId="0">
      <formula>AND(IF($Q100=3,1,IF($Q100=4,1,0)),IF($F100&lt;=85,1,0))</formula>
    </cfRule>
  </conditionalFormatting>
  <conditionalFormatting sqref="AI100">
    <cfRule type="expression" priority="1406" dxfId="3">
      <formula>AND(IF(OR($Q100=1,$Q100=2),1,0),IF($X100&lt;=20,1,0))</formula>
    </cfRule>
    <cfRule type="expression" priority="1407" dxfId="2">
      <formula>AND(IF($Q100=2,1,0),IF($X100&lt;30,1,0))</formula>
    </cfRule>
    <cfRule type="expression" priority="1408" dxfId="1">
      <formula>AND(IF($Q100=3,1,0),IF($X100&lt;30,1,0))</formula>
    </cfRule>
    <cfRule type="expression" priority="1409" dxfId="0">
      <formula>AND(IF($Q100=3,1,IF($Q100=4,1,0)),IF($F100&lt;=85,1,0))</formula>
    </cfRule>
  </conditionalFormatting>
  <conditionalFormatting sqref="AV101">
    <cfRule type="expression" priority="1404" dxfId="17">
      <formula>AV101="X"</formula>
    </cfRule>
    <cfRule type="expression" priority="1405" dxfId="16">
      <formula>AV101="후보"</formula>
    </cfRule>
  </conditionalFormatting>
  <conditionalFormatting sqref="AC101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0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01">
    <cfRule type="expression" priority="1395" dxfId="3">
      <formula>AND(IF(OR($Q101=1,$Q101=2),1,0),IF($X101&lt;=20,1,0))</formula>
    </cfRule>
    <cfRule type="expression" priority="1396" dxfId="2">
      <formula>AND(IF($Q101=2,1,0),IF($X101&lt;30,1,0))</formula>
    </cfRule>
    <cfRule type="expression" priority="1397" dxfId="1">
      <formula>AND(IF($Q101=3,1,0),IF($X101&lt;30,1,0))</formula>
    </cfRule>
    <cfRule type="expression" priority="1398" dxfId="0">
      <formula>AND(IF($Q101=3,1,IF($Q101=4,1,0)),IF($F101&lt;=85,1,0))</formula>
    </cfRule>
  </conditionalFormatting>
  <conditionalFormatting sqref="X101">
    <cfRule type="expression" priority="1391" dxfId="3">
      <formula>AND(IF(OR($Q101=1,$Q101=2),1,0),IF($X101&lt;=20,1,0))</formula>
    </cfRule>
    <cfRule type="expression" priority="1392" dxfId="2">
      <formula>AND(IF($Q101=2,1,0),IF($X101&lt;30,1,0))</formula>
    </cfRule>
    <cfRule type="expression" priority="1393" dxfId="1">
      <formula>AND(IF($Q101=3,1,0),IF($X101&lt;30,1,0))</formula>
    </cfRule>
    <cfRule type="expression" priority="1394" dxfId="0">
      <formula>AND(IF($Q101=3,1,IF($Q101=4,1,0)),IF($F101&lt;=85,1,0))</formula>
    </cfRule>
  </conditionalFormatting>
  <conditionalFormatting sqref="AI101">
    <cfRule type="expression" priority="1387" dxfId="3">
      <formula>AND(IF(OR($Q101=1,$Q101=2),1,0),IF($X101&lt;=20,1,0))</formula>
    </cfRule>
    <cfRule type="expression" priority="1388" dxfId="2">
      <formula>AND(IF($Q101=2,1,0),IF($X101&lt;30,1,0))</formula>
    </cfRule>
    <cfRule type="expression" priority="1389" dxfId="1">
      <formula>AND(IF($Q101=3,1,0),IF($X101&lt;30,1,0))</formula>
    </cfRule>
    <cfRule type="expression" priority="1390" dxfId="0">
      <formula>AND(IF($Q101=3,1,IF($Q101=4,1,0)),IF($F101&lt;=85,1,0))</formula>
    </cfRule>
  </conditionalFormatting>
  <conditionalFormatting sqref="AV102">
    <cfRule type="expression" priority="1385" dxfId="17">
      <formula>AV102="X"</formula>
    </cfRule>
    <cfRule type="expression" priority="1386" dxfId="16">
      <formula>AV102="후보"</formula>
    </cfRule>
  </conditionalFormatting>
  <conditionalFormatting sqref="AC102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02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02">
    <cfRule type="expression" priority="1376" dxfId="3">
      <formula>AND(IF(OR($Q102=1,$Q102=2),1,0),IF($X102&lt;=20,1,0))</formula>
    </cfRule>
    <cfRule type="expression" priority="1377" dxfId="2">
      <formula>AND(IF($Q102=2,1,0),IF($X102&lt;30,1,0))</formula>
    </cfRule>
    <cfRule type="expression" priority="1378" dxfId="1">
      <formula>AND(IF($Q102=3,1,0),IF($X102&lt;30,1,0))</formula>
    </cfRule>
    <cfRule type="expression" priority="1379" dxfId="0">
      <formula>AND(IF($Q102=3,1,IF($Q102=4,1,0)),IF($F102&lt;=85,1,0))</formula>
    </cfRule>
  </conditionalFormatting>
  <conditionalFormatting sqref="X102">
    <cfRule type="expression" priority="1372" dxfId="3">
      <formula>AND(IF(OR($Q102=1,$Q102=2),1,0),IF($X102&lt;=20,1,0))</formula>
    </cfRule>
    <cfRule type="expression" priority="1373" dxfId="2">
      <formula>AND(IF($Q102=2,1,0),IF($X102&lt;30,1,0))</formula>
    </cfRule>
    <cfRule type="expression" priority="1374" dxfId="1">
      <formula>AND(IF($Q102=3,1,0),IF($X102&lt;30,1,0))</formula>
    </cfRule>
    <cfRule type="expression" priority="1375" dxfId="0">
      <formula>AND(IF($Q102=3,1,IF($Q102=4,1,0)),IF($F102&lt;=85,1,0))</formula>
    </cfRule>
  </conditionalFormatting>
  <conditionalFormatting sqref="AI102">
    <cfRule type="expression" priority="1368" dxfId="3">
      <formula>AND(IF(OR($Q102=1,$Q102=2),1,0),IF($X102&lt;=20,1,0))</formula>
    </cfRule>
    <cfRule type="expression" priority="1369" dxfId="2">
      <formula>AND(IF($Q102=2,1,0),IF($X102&lt;30,1,0))</formula>
    </cfRule>
    <cfRule type="expression" priority="1370" dxfId="1">
      <formula>AND(IF($Q102=3,1,0),IF($X102&lt;30,1,0))</formula>
    </cfRule>
    <cfRule type="expression" priority="1371" dxfId="0">
      <formula>AND(IF($Q102=3,1,IF($Q102=4,1,0)),IF($F102&lt;=85,1,0))</formula>
    </cfRule>
  </conditionalFormatting>
  <conditionalFormatting sqref="AV103">
    <cfRule type="expression" priority="1366" dxfId="17">
      <formula>AV103="X"</formula>
    </cfRule>
    <cfRule type="expression" priority="1367" dxfId="16">
      <formula>AV103="후보"</formula>
    </cfRule>
  </conditionalFormatting>
  <conditionalFormatting sqref="AC10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03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03">
    <cfRule type="expression" priority="1357" dxfId="3">
      <formula>AND(IF(OR($Q103=1,$Q103=2),1,0),IF($X103&lt;=20,1,0))</formula>
    </cfRule>
    <cfRule type="expression" priority="1358" dxfId="2">
      <formula>AND(IF($Q103=2,1,0),IF($X103&lt;30,1,0))</formula>
    </cfRule>
    <cfRule type="expression" priority="1359" dxfId="1">
      <formula>AND(IF($Q103=3,1,0),IF($X103&lt;30,1,0))</formula>
    </cfRule>
    <cfRule type="expression" priority="1360" dxfId="0">
      <formula>AND(IF($Q103=3,1,IF($Q103=4,1,0)),IF($F103&lt;=85,1,0))</formula>
    </cfRule>
  </conditionalFormatting>
  <conditionalFormatting sqref="X103">
    <cfRule type="expression" priority="1353" dxfId="3">
      <formula>AND(IF(OR($Q103=1,$Q103=2),1,0),IF($X103&lt;=20,1,0))</formula>
    </cfRule>
    <cfRule type="expression" priority="1354" dxfId="2">
      <formula>AND(IF($Q103=2,1,0),IF($X103&lt;30,1,0))</formula>
    </cfRule>
    <cfRule type="expression" priority="1355" dxfId="1">
      <formula>AND(IF($Q103=3,1,0),IF($X103&lt;30,1,0))</formula>
    </cfRule>
    <cfRule type="expression" priority="1356" dxfId="0">
      <formula>AND(IF($Q103=3,1,IF($Q103=4,1,0)),IF($F103&lt;=85,1,0))</formula>
    </cfRule>
  </conditionalFormatting>
  <conditionalFormatting sqref="AI103">
    <cfRule type="expression" priority="1349" dxfId="3">
      <formula>AND(IF(OR($Q103=1,$Q103=2),1,0),IF($X103&lt;=20,1,0))</formula>
    </cfRule>
    <cfRule type="expression" priority="1350" dxfId="2">
      <formula>AND(IF($Q103=2,1,0),IF($X103&lt;30,1,0))</formula>
    </cfRule>
    <cfRule type="expression" priority="1351" dxfId="1">
      <formula>AND(IF($Q103=3,1,0),IF($X103&lt;30,1,0))</formula>
    </cfRule>
    <cfRule type="expression" priority="1352" dxfId="0">
      <formula>AND(IF($Q103=3,1,IF($Q103=4,1,0)),IF($F103&lt;=85,1,0))</formula>
    </cfRule>
  </conditionalFormatting>
  <conditionalFormatting sqref="AV104">
    <cfRule type="expression" priority="1347" dxfId="17">
      <formula>AV104="X"</formula>
    </cfRule>
    <cfRule type="expression" priority="1348" dxfId="16">
      <formula>AV104="후보"</formula>
    </cfRule>
  </conditionalFormatting>
  <conditionalFormatting sqref="AC104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04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04">
    <cfRule type="expression" priority="1338" dxfId="3">
      <formula>AND(IF(OR($Q104=1,$Q104=2),1,0),IF($X104&lt;=20,1,0))</formula>
    </cfRule>
    <cfRule type="expression" priority="1339" dxfId="2">
      <formula>AND(IF($Q104=2,1,0),IF($X104&lt;30,1,0))</formula>
    </cfRule>
    <cfRule type="expression" priority="1340" dxfId="1">
      <formula>AND(IF($Q104=3,1,0),IF($X104&lt;30,1,0))</formula>
    </cfRule>
    <cfRule type="expression" priority="1341" dxfId="0">
      <formula>AND(IF($Q104=3,1,IF($Q104=4,1,0)),IF($F104&lt;=85,1,0))</formula>
    </cfRule>
  </conditionalFormatting>
  <conditionalFormatting sqref="X104">
    <cfRule type="expression" priority="1334" dxfId="3">
      <formula>AND(IF(OR($Q104=1,$Q104=2),1,0),IF($X104&lt;=20,1,0))</formula>
    </cfRule>
    <cfRule type="expression" priority="1335" dxfId="2">
      <formula>AND(IF($Q104=2,1,0),IF($X104&lt;30,1,0))</formula>
    </cfRule>
    <cfRule type="expression" priority="1336" dxfId="1">
      <formula>AND(IF($Q104=3,1,0),IF($X104&lt;30,1,0))</formula>
    </cfRule>
    <cfRule type="expression" priority="1337" dxfId="0">
      <formula>AND(IF($Q104=3,1,IF($Q104=4,1,0)),IF($F104&lt;=85,1,0))</formula>
    </cfRule>
  </conditionalFormatting>
  <conditionalFormatting sqref="AI104">
    <cfRule type="expression" priority="1330" dxfId="3">
      <formula>AND(IF(OR($Q104=1,$Q104=2),1,0),IF($X104&lt;=20,1,0))</formula>
    </cfRule>
    <cfRule type="expression" priority="1331" dxfId="2">
      <formula>AND(IF($Q104=2,1,0),IF($X104&lt;30,1,0))</formula>
    </cfRule>
    <cfRule type="expression" priority="1332" dxfId="1">
      <formula>AND(IF($Q104=3,1,0),IF($X104&lt;30,1,0))</formula>
    </cfRule>
    <cfRule type="expression" priority="1333" dxfId="0">
      <formula>AND(IF($Q104=3,1,IF($Q104=4,1,0)),IF($F104&lt;=85,1,0))</formula>
    </cfRule>
  </conditionalFormatting>
  <conditionalFormatting sqref="AV105">
    <cfRule type="expression" priority="1328" dxfId="17">
      <formula>AV105="X"</formula>
    </cfRule>
    <cfRule type="expression" priority="1329" dxfId="16">
      <formula>AV105="후보"</formula>
    </cfRule>
  </conditionalFormatting>
  <conditionalFormatting sqref="AC105 N10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AV106">
    <cfRule type="expression" priority="1323" dxfId="17">
      <formula>AV106="X"</formula>
    </cfRule>
    <cfRule type="expression" priority="1324" dxfId="16">
      <formula>AV106="후보"</formula>
    </cfRule>
  </conditionalFormatting>
  <conditionalFormatting sqref="AC106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106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106">
    <cfRule type="expression" priority="1314" dxfId="3">
      <formula>AND(IF(OR($Q106=1,$Q106=2),1,0),IF($X106&lt;=20,1,0))</formula>
    </cfRule>
    <cfRule type="expression" priority="1315" dxfId="2">
      <formula>AND(IF($Q106=2,1,0),IF($X106&lt;30,1,0))</formula>
    </cfRule>
    <cfRule type="expression" priority="1316" dxfId="1">
      <formula>AND(IF($Q106=3,1,0),IF($X106&lt;30,1,0))</formula>
    </cfRule>
    <cfRule type="expression" priority="1317" dxfId="0">
      <formula>AND(IF($Q106=3,1,IF($Q106=4,1,0)),IF($F106&lt;=85,1,0))</formula>
    </cfRule>
  </conditionalFormatting>
  <conditionalFormatting sqref="X106">
    <cfRule type="expression" priority="1310" dxfId="3">
      <formula>AND(IF(OR($Q106=1,$Q106=2),1,0),IF($X106&lt;=20,1,0))</formula>
    </cfRule>
    <cfRule type="expression" priority="1311" dxfId="2">
      <formula>AND(IF($Q106=2,1,0),IF($X106&lt;30,1,0))</formula>
    </cfRule>
    <cfRule type="expression" priority="1312" dxfId="1">
      <formula>AND(IF($Q106=3,1,0),IF($X106&lt;30,1,0))</formula>
    </cfRule>
    <cfRule type="expression" priority="1313" dxfId="0">
      <formula>AND(IF($Q106=3,1,IF($Q106=4,1,0)),IF($F106&lt;=85,1,0))</formula>
    </cfRule>
  </conditionalFormatting>
  <conditionalFormatting sqref="AI106">
    <cfRule type="expression" priority="1306" dxfId="3">
      <formula>AND(IF(OR($Q106=1,$Q106=2),1,0),IF($X106&lt;=20,1,0))</formula>
    </cfRule>
    <cfRule type="expression" priority="1307" dxfId="2">
      <formula>AND(IF($Q106=2,1,0),IF($X106&lt;30,1,0))</formula>
    </cfRule>
    <cfRule type="expression" priority="1308" dxfId="1">
      <formula>AND(IF($Q106=3,1,0),IF($X106&lt;30,1,0))</formula>
    </cfRule>
    <cfRule type="expression" priority="1309" dxfId="0">
      <formula>AND(IF($Q106=3,1,IF($Q106=4,1,0)),IF($F106&lt;=85,1,0))</formula>
    </cfRule>
  </conditionalFormatting>
  <conditionalFormatting sqref="AV107">
    <cfRule type="expression" priority="1304" dxfId="17">
      <formula>AV107="X"</formula>
    </cfRule>
    <cfRule type="expression" priority="1305" dxfId="16">
      <formula>AV107="후보"</formula>
    </cfRule>
  </conditionalFormatting>
  <conditionalFormatting sqref="AC107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107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107">
    <cfRule type="expression" priority="1295" dxfId="3">
      <formula>AND(IF(OR($Q107=1,$Q107=2),1,0),IF($X107&lt;=20,1,0))</formula>
    </cfRule>
    <cfRule type="expression" priority="1296" dxfId="2">
      <formula>AND(IF($Q107=2,1,0),IF($X107&lt;30,1,0))</formula>
    </cfRule>
    <cfRule type="expression" priority="1297" dxfId="1">
      <formula>AND(IF($Q107=3,1,0),IF($X107&lt;30,1,0))</formula>
    </cfRule>
    <cfRule type="expression" priority="1298" dxfId="0">
      <formula>AND(IF($Q107=3,1,IF($Q107=4,1,0)),IF($F107&lt;=85,1,0))</formula>
    </cfRule>
  </conditionalFormatting>
  <conditionalFormatting sqref="X107">
    <cfRule type="expression" priority="1291" dxfId="3">
      <formula>AND(IF(OR($Q107=1,$Q107=2),1,0),IF($X107&lt;=20,1,0))</formula>
    </cfRule>
    <cfRule type="expression" priority="1292" dxfId="2">
      <formula>AND(IF($Q107=2,1,0),IF($X107&lt;30,1,0))</formula>
    </cfRule>
    <cfRule type="expression" priority="1293" dxfId="1">
      <formula>AND(IF($Q107=3,1,0),IF($X107&lt;30,1,0))</formula>
    </cfRule>
    <cfRule type="expression" priority="1294" dxfId="0">
      <formula>AND(IF($Q107=3,1,IF($Q107=4,1,0)),IF($F107&lt;=85,1,0))</formula>
    </cfRule>
  </conditionalFormatting>
  <conditionalFormatting sqref="AI107">
    <cfRule type="expression" priority="1287" dxfId="3">
      <formula>AND(IF(OR($Q107=1,$Q107=2),1,0),IF($X107&lt;=20,1,0))</formula>
    </cfRule>
    <cfRule type="expression" priority="1288" dxfId="2">
      <formula>AND(IF($Q107=2,1,0),IF($X107&lt;30,1,0))</formula>
    </cfRule>
    <cfRule type="expression" priority="1289" dxfId="1">
      <formula>AND(IF($Q107=3,1,0),IF($X107&lt;30,1,0))</formula>
    </cfRule>
    <cfRule type="expression" priority="1290" dxfId="0">
      <formula>AND(IF($Q107=3,1,IF($Q107=4,1,0)),IF($F107&lt;=85,1,0))</formula>
    </cfRule>
  </conditionalFormatting>
  <conditionalFormatting sqref="AV108">
    <cfRule type="expression" priority="1285" dxfId="17">
      <formula>AV108="X"</formula>
    </cfRule>
    <cfRule type="expression" priority="1286" dxfId="16">
      <formula>AV108="후보"</formula>
    </cfRule>
  </conditionalFormatting>
  <conditionalFormatting sqref="AC108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08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08">
    <cfRule type="expression" priority="1276" dxfId="3">
      <formula>AND(IF(OR($Q108=1,$Q108=2),1,0),IF($X108&lt;=20,1,0))</formula>
    </cfRule>
    <cfRule type="expression" priority="1277" dxfId="2">
      <formula>AND(IF($Q108=2,1,0),IF($X108&lt;30,1,0))</formula>
    </cfRule>
    <cfRule type="expression" priority="1278" dxfId="1">
      <formula>AND(IF($Q108=3,1,0),IF($X108&lt;30,1,0))</formula>
    </cfRule>
    <cfRule type="expression" priority="1279" dxfId="0">
      <formula>AND(IF($Q108=3,1,IF($Q108=4,1,0)),IF($F108&lt;=85,1,0))</formula>
    </cfRule>
  </conditionalFormatting>
  <conditionalFormatting sqref="X108">
    <cfRule type="expression" priority="1272" dxfId="3">
      <formula>AND(IF(OR($Q108=1,$Q108=2),1,0),IF($X108&lt;=20,1,0))</formula>
    </cfRule>
    <cfRule type="expression" priority="1273" dxfId="2">
      <formula>AND(IF($Q108=2,1,0),IF($X108&lt;30,1,0))</formula>
    </cfRule>
    <cfRule type="expression" priority="1274" dxfId="1">
      <formula>AND(IF($Q108=3,1,0),IF($X108&lt;30,1,0))</formula>
    </cfRule>
    <cfRule type="expression" priority="1275" dxfId="0">
      <formula>AND(IF($Q108=3,1,IF($Q108=4,1,0)),IF($F108&lt;=85,1,0))</formula>
    </cfRule>
  </conditionalFormatting>
  <conditionalFormatting sqref="AI108">
    <cfRule type="expression" priority="1268" dxfId="3">
      <formula>AND(IF(OR($Q108=1,$Q108=2),1,0),IF($X108&lt;=20,1,0))</formula>
    </cfRule>
    <cfRule type="expression" priority="1269" dxfId="2">
      <formula>AND(IF($Q108=2,1,0),IF($X108&lt;30,1,0))</formula>
    </cfRule>
    <cfRule type="expression" priority="1270" dxfId="1">
      <formula>AND(IF($Q108=3,1,0),IF($X108&lt;30,1,0))</formula>
    </cfRule>
    <cfRule type="expression" priority="1271" dxfId="0">
      <formula>AND(IF($Q108=3,1,IF($Q108=4,1,0)),IF($F108&lt;=85,1,0))</formula>
    </cfRule>
  </conditionalFormatting>
  <conditionalFormatting sqref="AV109">
    <cfRule type="expression" priority="1266" dxfId="17">
      <formula>AV109="X"</formula>
    </cfRule>
    <cfRule type="expression" priority="1267" dxfId="16">
      <formula>AV109="후보"</formula>
    </cfRule>
  </conditionalFormatting>
  <conditionalFormatting sqref="AC109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09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09">
    <cfRule type="expression" priority="1257" dxfId="3">
      <formula>AND(IF(OR($Q109=1,$Q109=2),1,0),IF($X109&lt;=20,1,0))</formula>
    </cfRule>
    <cfRule type="expression" priority="1258" dxfId="2">
      <formula>AND(IF($Q109=2,1,0),IF($X109&lt;30,1,0))</formula>
    </cfRule>
    <cfRule type="expression" priority="1259" dxfId="1">
      <formula>AND(IF($Q109=3,1,0),IF($X109&lt;30,1,0))</formula>
    </cfRule>
    <cfRule type="expression" priority="1260" dxfId="0">
      <formula>AND(IF($Q109=3,1,IF($Q109=4,1,0)),IF($F109&lt;=85,1,0))</formula>
    </cfRule>
  </conditionalFormatting>
  <conditionalFormatting sqref="X109">
    <cfRule type="expression" priority="1253" dxfId="3">
      <formula>AND(IF(OR($Q109=1,$Q109=2),1,0),IF($X109&lt;=20,1,0))</formula>
    </cfRule>
    <cfRule type="expression" priority="1254" dxfId="2">
      <formula>AND(IF($Q109=2,1,0),IF($X109&lt;30,1,0))</formula>
    </cfRule>
    <cfRule type="expression" priority="1255" dxfId="1">
      <formula>AND(IF($Q109=3,1,0),IF($X109&lt;30,1,0))</formula>
    </cfRule>
    <cfRule type="expression" priority="1256" dxfId="0">
      <formula>AND(IF($Q109=3,1,IF($Q109=4,1,0)),IF($F109&lt;=85,1,0))</formula>
    </cfRule>
  </conditionalFormatting>
  <conditionalFormatting sqref="AI109">
    <cfRule type="expression" priority="1249" dxfId="3">
      <formula>AND(IF(OR($Q109=1,$Q109=2),1,0),IF($X109&lt;=20,1,0))</formula>
    </cfRule>
    <cfRule type="expression" priority="1250" dxfId="2">
      <formula>AND(IF($Q109=2,1,0),IF($X109&lt;30,1,0))</formula>
    </cfRule>
    <cfRule type="expression" priority="1251" dxfId="1">
      <formula>AND(IF($Q109=3,1,0),IF($X109&lt;30,1,0))</formula>
    </cfRule>
    <cfRule type="expression" priority="1252" dxfId="0">
      <formula>AND(IF($Q109=3,1,IF($Q109=4,1,0)),IF($F109&lt;=85,1,0))</formula>
    </cfRule>
  </conditionalFormatting>
  <conditionalFormatting sqref="AV110">
    <cfRule type="expression" priority="1247" dxfId="17">
      <formula>AV110="X"</formula>
    </cfRule>
    <cfRule type="expression" priority="1248" dxfId="16">
      <formula>AV110="후보"</formula>
    </cfRule>
  </conditionalFormatting>
  <conditionalFormatting sqref="AC11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1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10">
    <cfRule type="expression" priority="1238" dxfId="3">
      <formula>AND(IF(OR($Q110=1,$Q110=2),1,0),IF($X110&lt;=20,1,0))</formula>
    </cfRule>
    <cfRule type="expression" priority="1239" dxfId="2">
      <formula>AND(IF($Q110=2,1,0),IF($X110&lt;30,1,0))</formula>
    </cfRule>
    <cfRule type="expression" priority="1240" dxfId="1">
      <formula>AND(IF($Q110=3,1,0),IF($X110&lt;30,1,0))</formula>
    </cfRule>
    <cfRule type="expression" priority="1241" dxfId="0">
      <formula>AND(IF($Q110=3,1,IF($Q110=4,1,0)),IF($F110&lt;=85,1,0))</formula>
    </cfRule>
  </conditionalFormatting>
  <conditionalFormatting sqref="X110">
    <cfRule type="expression" priority="1234" dxfId="3">
      <formula>AND(IF(OR($Q110=1,$Q110=2),1,0),IF($X110&lt;=20,1,0))</formula>
    </cfRule>
    <cfRule type="expression" priority="1235" dxfId="2">
      <formula>AND(IF($Q110=2,1,0),IF($X110&lt;30,1,0))</formula>
    </cfRule>
    <cfRule type="expression" priority="1236" dxfId="1">
      <formula>AND(IF($Q110=3,1,0),IF($X110&lt;30,1,0))</formula>
    </cfRule>
    <cfRule type="expression" priority="1237" dxfId="0">
      <formula>AND(IF($Q110=3,1,IF($Q110=4,1,0)),IF($F110&lt;=85,1,0))</formula>
    </cfRule>
  </conditionalFormatting>
  <conditionalFormatting sqref="AI110">
    <cfRule type="expression" priority="1230" dxfId="3">
      <formula>AND(IF(OR($Q110=1,$Q110=2),1,0),IF($X110&lt;=20,1,0))</formula>
    </cfRule>
    <cfRule type="expression" priority="1231" dxfId="2">
      <formula>AND(IF($Q110=2,1,0),IF($X110&lt;30,1,0))</formula>
    </cfRule>
    <cfRule type="expression" priority="1232" dxfId="1">
      <formula>AND(IF($Q110=3,1,0),IF($X110&lt;30,1,0))</formula>
    </cfRule>
    <cfRule type="expression" priority="1233" dxfId="0">
      <formula>AND(IF($Q110=3,1,IF($Q110=4,1,0)),IF($F110&lt;=85,1,0))</formula>
    </cfRule>
  </conditionalFormatting>
  <conditionalFormatting sqref="AV111">
    <cfRule type="expression" priority="1228" dxfId="17">
      <formula>AV111="X"</formula>
    </cfRule>
    <cfRule type="expression" priority="1229" dxfId="16">
      <formula>AV111="후보"</formula>
    </cfRule>
  </conditionalFormatting>
  <conditionalFormatting sqref="AC11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1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11">
    <cfRule type="expression" priority="1219" dxfId="3">
      <formula>AND(IF(OR($Q111=1,$Q111=2),1,0),IF($X111&lt;=20,1,0))</formula>
    </cfRule>
    <cfRule type="expression" priority="1220" dxfId="2">
      <formula>AND(IF($Q111=2,1,0),IF($X111&lt;30,1,0))</formula>
    </cfRule>
    <cfRule type="expression" priority="1221" dxfId="1">
      <formula>AND(IF($Q111=3,1,0),IF($X111&lt;30,1,0))</formula>
    </cfRule>
    <cfRule type="expression" priority="1222" dxfId="0">
      <formula>AND(IF($Q111=3,1,IF($Q111=4,1,0)),IF($F111&lt;=85,1,0))</formula>
    </cfRule>
  </conditionalFormatting>
  <conditionalFormatting sqref="X111">
    <cfRule type="expression" priority="1215" dxfId="3">
      <formula>AND(IF(OR($Q111=1,$Q111=2),1,0),IF($X111&lt;=20,1,0))</formula>
    </cfRule>
    <cfRule type="expression" priority="1216" dxfId="2">
      <formula>AND(IF($Q111=2,1,0),IF($X111&lt;30,1,0))</formula>
    </cfRule>
    <cfRule type="expression" priority="1217" dxfId="1">
      <formula>AND(IF($Q111=3,1,0),IF($X111&lt;30,1,0))</formula>
    </cfRule>
    <cfRule type="expression" priority="1218" dxfId="0">
      <formula>AND(IF($Q111=3,1,IF($Q111=4,1,0)),IF($F111&lt;=85,1,0))</formula>
    </cfRule>
  </conditionalFormatting>
  <conditionalFormatting sqref="AI111">
    <cfRule type="expression" priority="1211" dxfId="3">
      <formula>AND(IF(OR($Q111=1,$Q111=2),1,0),IF($X111&lt;=20,1,0))</formula>
    </cfRule>
    <cfRule type="expression" priority="1212" dxfId="2">
      <formula>AND(IF($Q111=2,1,0),IF($X111&lt;30,1,0))</formula>
    </cfRule>
    <cfRule type="expression" priority="1213" dxfId="1">
      <formula>AND(IF($Q111=3,1,0),IF($X111&lt;30,1,0))</formula>
    </cfRule>
    <cfRule type="expression" priority="1214" dxfId="0">
      <formula>AND(IF($Q111=3,1,IF($Q111=4,1,0)),IF($F111&lt;=85,1,0))</formula>
    </cfRule>
  </conditionalFormatting>
  <conditionalFormatting sqref="AV112">
    <cfRule type="expression" priority="1209" dxfId="17">
      <formula>AV112="X"</formula>
    </cfRule>
    <cfRule type="expression" priority="1210" dxfId="16">
      <formula>AV112="후보"</formula>
    </cfRule>
  </conditionalFormatting>
  <conditionalFormatting sqref="AC112 N11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13">
    <cfRule type="expression" priority="1204" dxfId="17">
      <formula>AV113="X"</formula>
    </cfRule>
    <cfRule type="expression" priority="1205" dxfId="16">
      <formula>AV113="후보"</formula>
    </cfRule>
  </conditionalFormatting>
  <conditionalFormatting sqref="AC11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13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13">
    <cfRule type="expression" priority="1195" dxfId="3">
      <formula>AND(IF(OR($Q113=1,$Q113=2),1,0),IF($X113&lt;=20,1,0))</formula>
    </cfRule>
    <cfRule type="expression" priority="1196" dxfId="2">
      <formula>AND(IF($Q113=2,1,0),IF($X113&lt;30,1,0))</formula>
    </cfRule>
    <cfRule type="expression" priority="1197" dxfId="1">
      <formula>AND(IF($Q113=3,1,0),IF($X113&lt;30,1,0))</formula>
    </cfRule>
    <cfRule type="expression" priority="1198" dxfId="0">
      <formula>AND(IF($Q113=3,1,IF($Q113=4,1,0)),IF($F113&lt;=85,1,0))</formula>
    </cfRule>
  </conditionalFormatting>
  <conditionalFormatting sqref="X113">
    <cfRule type="expression" priority="1191" dxfId="3">
      <formula>AND(IF(OR($Q113=1,$Q113=2),1,0),IF($X113&lt;=20,1,0))</formula>
    </cfRule>
    <cfRule type="expression" priority="1192" dxfId="2">
      <formula>AND(IF($Q113=2,1,0),IF($X113&lt;30,1,0))</formula>
    </cfRule>
    <cfRule type="expression" priority="1193" dxfId="1">
      <formula>AND(IF($Q113=3,1,0),IF($X113&lt;30,1,0))</formula>
    </cfRule>
    <cfRule type="expression" priority="1194" dxfId="0">
      <formula>AND(IF($Q113=3,1,IF($Q113=4,1,0)),IF($F113&lt;=85,1,0))</formula>
    </cfRule>
  </conditionalFormatting>
  <conditionalFormatting sqref="AI113">
    <cfRule type="expression" priority="1187" dxfId="3">
      <formula>AND(IF(OR($Q113=1,$Q113=2),1,0),IF($X113&lt;=20,1,0))</formula>
    </cfRule>
    <cfRule type="expression" priority="1188" dxfId="2">
      <formula>AND(IF($Q113=2,1,0),IF($X113&lt;30,1,0))</formula>
    </cfRule>
    <cfRule type="expression" priority="1189" dxfId="1">
      <formula>AND(IF($Q113=3,1,0),IF($X113&lt;30,1,0))</formula>
    </cfRule>
    <cfRule type="expression" priority="1190" dxfId="0">
      <formula>AND(IF($Q113=3,1,IF($Q113=4,1,0)),IF($F113&lt;=85,1,0))</formula>
    </cfRule>
  </conditionalFormatting>
  <conditionalFormatting sqref="AV114">
    <cfRule type="expression" priority="1185" dxfId="17">
      <formula>AV114="X"</formula>
    </cfRule>
    <cfRule type="expression" priority="1186" dxfId="16">
      <formula>AV114="후보"</formula>
    </cfRule>
  </conditionalFormatting>
  <conditionalFormatting sqref="AC114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114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114">
    <cfRule type="expression" priority="1176" dxfId="3">
      <formula>AND(IF(OR($Q114=1,$Q114=2),1,0),IF($X114&lt;=20,1,0))</formula>
    </cfRule>
    <cfRule type="expression" priority="1177" dxfId="2">
      <formula>AND(IF($Q114=2,1,0),IF($X114&lt;30,1,0))</formula>
    </cfRule>
    <cfRule type="expression" priority="1178" dxfId="1">
      <formula>AND(IF($Q114=3,1,0),IF($X114&lt;30,1,0))</formula>
    </cfRule>
    <cfRule type="expression" priority="1179" dxfId="0">
      <formula>AND(IF($Q114=3,1,IF($Q114=4,1,0)),IF($F114&lt;=85,1,0))</formula>
    </cfRule>
  </conditionalFormatting>
  <conditionalFormatting sqref="X114">
    <cfRule type="expression" priority="1172" dxfId="3">
      <formula>AND(IF(OR($Q114=1,$Q114=2),1,0),IF($X114&lt;=20,1,0))</formula>
    </cfRule>
    <cfRule type="expression" priority="1173" dxfId="2">
      <formula>AND(IF($Q114=2,1,0),IF($X114&lt;30,1,0))</formula>
    </cfRule>
    <cfRule type="expression" priority="1174" dxfId="1">
      <formula>AND(IF($Q114=3,1,0),IF($X114&lt;30,1,0))</formula>
    </cfRule>
    <cfRule type="expression" priority="1175" dxfId="0">
      <formula>AND(IF($Q114=3,1,IF($Q114=4,1,0)),IF($F114&lt;=85,1,0))</formula>
    </cfRule>
  </conditionalFormatting>
  <conditionalFormatting sqref="AI114">
    <cfRule type="expression" priority="1168" dxfId="3">
      <formula>AND(IF(OR($Q114=1,$Q114=2),1,0),IF($X114&lt;=20,1,0))</formula>
    </cfRule>
    <cfRule type="expression" priority="1169" dxfId="2">
      <formula>AND(IF($Q114=2,1,0),IF($X114&lt;30,1,0))</formula>
    </cfRule>
    <cfRule type="expression" priority="1170" dxfId="1">
      <formula>AND(IF($Q114=3,1,0),IF($X114&lt;30,1,0))</formula>
    </cfRule>
    <cfRule type="expression" priority="1171" dxfId="0">
      <formula>AND(IF($Q114=3,1,IF($Q114=4,1,0)),IF($F114&lt;=85,1,0))</formula>
    </cfRule>
  </conditionalFormatting>
  <conditionalFormatting sqref="AV115">
    <cfRule type="expression" priority="1166" dxfId="17">
      <formula>AV115="X"</formula>
    </cfRule>
    <cfRule type="expression" priority="1167" dxfId="16">
      <formula>AV115="후보"</formula>
    </cfRule>
  </conditionalFormatting>
  <conditionalFormatting sqref="AC115 N11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116">
    <cfRule type="expression" priority="1161" dxfId="17">
      <formula>AV116="X"</formula>
    </cfRule>
    <cfRule type="expression" priority="1162" dxfId="16">
      <formula>AV116="후보"</formula>
    </cfRule>
  </conditionalFormatting>
  <conditionalFormatting sqref="AC116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16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16">
    <cfRule type="expression" priority="1152" dxfId="3">
      <formula>AND(IF(OR($Q116=1,$Q116=2),1,0),IF($X116&lt;=20,1,0))</formula>
    </cfRule>
    <cfRule type="expression" priority="1153" dxfId="2">
      <formula>AND(IF($Q116=2,1,0),IF($X116&lt;30,1,0))</formula>
    </cfRule>
    <cfRule type="expression" priority="1154" dxfId="1">
      <formula>AND(IF($Q116=3,1,0),IF($X116&lt;30,1,0))</formula>
    </cfRule>
    <cfRule type="expression" priority="1155" dxfId="0">
      <formula>AND(IF($Q116=3,1,IF($Q116=4,1,0)),IF($F116&lt;=85,1,0))</formula>
    </cfRule>
  </conditionalFormatting>
  <conditionalFormatting sqref="X116">
    <cfRule type="expression" priority="1148" dxfId="3">
      <formula>AND(IF(OR($Q116=1,$Q116=2),1,0),IF($X116&lt;=20,1,0))</formula>
    </cfRule>
    <cfRule type="expression" priority="1149" dxfId="2">
      <formula>AND(IF($Q116=2,1,0),IF($X116&lt;30,1,0))</formula>
    </cfRule>
    <cfRule type="expression" priority="1150" dxfId="1">
      <formula>AND(IF($Q116=3,1,0),IF($X116&lt;30,1,0))</formula>
    </cfRule>
    <cfRule type="expression" priority="1151" dxfId="0">
      <formula>AND(IF($Q116=3,1,IF($Q116=4,1,0)),IF($F116&lt;=85,1,0))</formula>
    </cfRule>
  </conditionalFormatting>
  <conditionalFormatting sqref="AI116">
    <cfRule type="expression" priority="1144" dxfId="3">
      <formula>AND(IF(OR($Q116=1,$Q116=2),1,0),IF($X116&lt;=20,1,0))</formula>
    </cfRule>
    <cfRule type="expression" priority="1145" dxfId="2">
      <formula>AND(IF($Q116=2,1,0),IF($X116&lt;30,1,0))</formula>
    </cfRule>
    <cfRule type="expression" priority="1146" dxfId="1">
      <formula>AND(IF($Q116=3,1,0),IF($X116&lt;30,1,0))</formula>
    </cfRule>
    <cfRule type="expression" priority="1147" dxfId="0">
      <formula>AND(IF($Q116=3,1,IF($Q116=4,1,0)),IF($F116&lt;=85,1,0))</formula>
    </cfRule>
  </conditionalFormatting>
  <conditionalFormatting sqref="AV117">
    <cfRule type="expression" priority="1142" dxfId="17">
      <formula>AV117="X"</formula>
    </cfRule>
    <cfRule type="expression" priority="1143" dxfId="16">
      <formula>AV117="후보"</formula>
    </cfRule>
  </conditionalFormatting>
  <conditionalFormatting sqref="AC117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17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17">
    <cfRule type="expression" priority="1133" dxfId="3">
      <formula>AND(IF(OR($Q117=1,$Q117=2),1,0),IF($X117&lt;=20,1,0))</formula>
    </cfRule>
    <cfRule type="expression" priority="1134" dxfId="2">
      <formula>AND(IF($Q117=2,1,0),IF($X117&lt;30,1,0))</formula>
    </cfRule>
    <cfRule type="expression" priority="1135" dxfId="1">
      <formula>AND(IF($Q117=3,1,0),IF($X117&lt;30,1,0))</formula>
    </cfRule>
    <cfRule type="expression" priority="1136" dxfId="0">
      <formula>AND(IF($Q117=3,1,IF($Q117=4,1,0)),IF($F117&lt;=85,1,0))</formula>
    </cfRule>
  </conditionalFormatting>
  <conditionalFormatting sqref="X117">
    <cfRule type="expression" priority="1129" dxfId="3">
      <formula>AND(IF(OR($Q117=1,$Q117=2),1,0),IF($X117&lt;=20,1,0))</formula>
    </cfRule>
    <cfRule type="expression" priority="1130" dxfId="2">
      <formula>AND(IF($Q117=2,1,0),IF($X117&lt;30,1,0))</formula>
    </cfRule>
    <cfRule type="expression" priority="1131" dxfId="1">
      <formula>AND(IF($Q117=3,1,0),IF($X117&lt;30,1,0))</formula>
    </cfRule>
    <cfRule type="expression" priority="1132" dxfId="0">
      <formula>AND(IF($Q117=3,1,IF($Q117=4,1,0)),IF($F117&lt;=85,1,0))</formula>
    </cfRule>
  </conditionalFormatting>
  <conditionalFormatting sqref="AI117">
    <cfRule type="expression" priority="1125" dxfId="3">
      <formula>AND(IF(OR($Q117=1,$Q117=2),1,0),IF($X117&lt;=20,1,0))</formula>
    </cfRule>
    <cfRule type="expression" priority="1126" dxfId="2">
      <formula>AND(IF($Q117=2,1,0),IF($X117&lt;30,1,0))</formula>
    </cfRule>
    <cfRule type="expression" priority="1127" dxfId="1">
      <formula>AND(IF($Q117=3,1,0),IF($X117&lt;30,1,0))</formula>
    </cfRule>
    <cfRule type="expression" priority="1128" dxfId="0">
      <formula>AND(IF($Q117=3,1,IF($Q117=4,1,0)),IF($F117&lt;=85,1,0))</formula>
    </cfRule>
  </conditionalFormatting>
  <conditionalFormatting sqref="AV118">
    <cfRule type="expression" priority="1123" dxfId="17">
      <formula>AV118="X"</formula>
    </cfRule>
    <cfRule type="expression" priority="1124" dxfId="16">
      <formula>AV118="후보"</formula>
    </cfRule>
  </conditionalFormatting>
  <conditionalFormatting sqref="AC118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18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18">
    <cfRule type="expression" priority="1114" dxfId="3">
      <formula>AND(IF(OR($Q118=1,$Q118=2),1,0),IF($X118&lt;=20,1,0))</formula>
    </cfRule>
    <cfRule type="expression" priority="1115" dxfId="2">
      <formula>AND(IF($Q118=2,1,0),IF($X118&lt;30,1,0))</formula>
    </cfRule>
    <cfRule type="expression" priority="1116" dxfId="1">
      <formula>AND(IF($Q118=3,1,0),IF($X118&lt;30,1,0))</formula>
    </cfRule>
    <cfRule type="expression" priority="1117" dxfId="0">
      <formula>AND(IF($Q118=3,1,IF($Q118=4,1,0)),IF($F118&lt;=85,1,0))</formula>
    </cfRule>
  </conditionalFormatting>
  <conditionalFormatting sqref="X118">
    <cfRule type="expression" priority="1110" dxfId="3">
      <formula>AND(IF(OR($Q118=1,$Q118=2),1,0),IF($X118&lt;=20,1,0))</formula>
    </cfRule>
    <cfRule type="expression" priority="1111" dxfId="2">
      <formula>AND(IF($Q118=2,1,0),IF($X118&lt;30,1,0))</formula>
    </cfRule>
    <cfRule type="expression" priority="1112" dxfId="1">
      <formula>AND(IF($Q118=3,1,0),IF($X118&lt;30,1,0))</formula>
    </cfRule>
    <cfRule type="expression" priority="1113" dxfId="0">
      <formula>AND(IF($Q118=3,1,IF($Q118=4,1,0)),IF($F118&lt;=85,1,0))</formula>
    </cfRule>
  </conditionalFormatting>
  <conditionalFormatting sqref="AI118">
    <cfRule type="expression" priority="1106" dxfId="3">
      <formula>AND(IF(OR($Q118=1,$Q118=2),1,0),IF($X118&lt;=20,1,0))</formula>
    </cfRule>
    <cfRule type="expression" priority="1107" dxfId="2">
      <formula>AND(IF($Q118=2,1,0),IF($X118&lt;30,1,0))</formula>
    </cfRule>
    <cfRule type="expression" priority="1108" dxfId="1">
      <formula>AND(IF($Q118=3,1,0),IF($X118&lt;30,1,0))</formula>
    </cfRule>
    <cfRule type="expression" priority="1109" dxfId="0">
      <formula>AND(IF($Q118=3,1,IF($Q118=4,1,0)),IF($F118&lt;=85,1,0))</formula>
    </cfRule>
  </conditionalFormatting>
  <conditionalFormatting sqref="AV119">
    <cfRule type="expression" priority="1104" dxfId="17">
      <formula>AV119="X"</formula>
    </cfRule>
    <cfRule type="expression" priority="1105" dxfId="16">
      <formula>AV119="후보"</formula>
    </cfRule>
  </conditionalFormatting>
  <conditionalFormatting sqref="AC119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19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19">
    <cfRule type="expression" priority="1095" dxfId="3">
      <formula>AND(IF(OR($Q119=1,$Q119=2),1,0),IF($X119&lt;=20,1,0))</formula>
    </cfRule>
    <cfRule type="expression" priority="1096" dxfId="2">
      <formula>AND(IF($Q119=2,1,0),IF($X119&lt;30,1,0))</formula>
    </cfRule>
    <cfRule type="expression" priority="1097" dxfId="1">
      <formula>AND(IF($Q119=3,1,0),IF($X119&lt;30,1,0))</formula>
    </cfRule>
    <cfRule type="expression" priority="1098" dxfId="0">
      <formula>AND(IF($Q119=3,1,IF($Q119=4,1,0)),IF($F119&lt;=85,1,0))</formula>
    </cfRule>
  </conditionalFormatting>
  <conditionalFormatting sqref="X119">
    <cfRule type="expression" priority="1091" dxfId="3">
      <formula>AND(IF(OR($Q119=1,$Q119=2),1,0),IF($X119&lt;=20,1,0))</formula>
    </cfRule>
    <cfRule type="expression" priority="1092" dxfId="2">
      <formula>AND(IF($Q119=2,1,0),IF($X119&lt;30,1,0))</formula>
    </cfRule>
    <cfRule type="expression" priority="1093" dxfId="1">
      <formula>AND(IF($Q119=3,1,0),IF($X119&lt;30,1,0))</formula>
    </cfRule>
    <cfRule type="expression" priority="1094" dxfId="0">
      <formula>AND(IF($Q119=3,1,IF($Q119=4,1,0)),IF($F119&lt;=85,1,0))</formula>
    </cfRule>
  </conditionalFormatting>
  <conditionalFormatting sqref="AI119">
    <cfRule type="expression" priority="1087" dxfId="3">
      <formula>AND(IF(OR($Q119=1,$Q119=2),1,0),IF($X119&lt;=20,1,0))</formula>
    </cfRule>
    <cfRule type="expression" priority="1088" dxfId="2">
      <formula>AND(IF($Q119=2,1,0),IF($X119&lt;30,1,0))</formula>
    </cfRule>
    <cfRule type="expression" priority="1089" dxfId="1">
      <formula>AND(IF($Q119=3,1,0),IF($X119&lt;30,1,0))</formula>
    </cfRule>
    <cfRule type="expression" priority="1090" dxfId="0">
      <formula>AND(IF($Q119=3,1,IF($Q119=4,1,0)),IF($F119&lt;=85,1,0))</formula>
    </cfRule>
  </conditionalFormatting>
  <conditionalFormatting sqref="AV120">
    <cfRule type="expression" priority="1085" dxfId="17">
      <formula>AV120="X"</formula>
    </cfRule>
    <cfRule type="expression" priority="1086" dxfId="16">
      <formula>AV120="후보"</formula>
    </cfRule>
  </conditionalFormatting>
  <conditionalFormatting sqref="AC120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120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120">
    <cfRule type="expression" priority="1076" dxfId="3">
      <formula>AND(IF(OR($Q120=1,$Q120=2),1,0),IF($X120&lt;=20,1,0))</formula>
    </cfRule>
    <cfRule type="expression" priority="1077" dxfId="2">
      <formula>AND(IF($Q120=2,1,0),IF($X120&lt;30,1,0))</formula>
    </cfRule>
    <cfRule type="expression" priority="1078" dxfId="1">
      <formula>AND(IF($Q120=3,1,0),IF($X120&lt;30,1,0))</formula>
    </cfRule>
    <cfRule type="expression" priority="1079" dxfId="0">
      <formula>AND(IF($Q120=3,1,IF($Q120=4,1,0)),IF($F120&lt;=85,1,0))</formula>
    </cfRule>
  </conditionalFormatting>
  <conditionalFormatting sqref="X120">
    <cfRule type="expression" priority="1072" dxfId="3">
      <formula>AND(IF(OR($Q120=1,$Q120=2),1,0),IF($X120&lt;=20,1,0))</formula>
    </cfRule>
    <cfRule type="expression" priority="1073" dxfId="2">
      <formula>AND(IF($Q120=2,1,0),IF($X120&lt;30,1,0))</formula>
    </cfRule>
    <cfRule type="expression" priority="1074" dxfId="1">
      <formula>AND(IF($Q120=3,1,0),IF($X120&lt;30,1,0))</formula>
    </cfRule>
    <cfRule type="expression" priority="1075" dxfId="0">
      <formula>AND(IF($Q120=3,1,IF($Q120=4,1,0)),IF($F120&lt;=85,1,0))</formula>
    </cfRule>
  </conditionalFormatting>
  <conditionalFormatting sqref="AI120">
    <cfRule type="expression" priority="1068" dxfId="3">
      <formula>AND(IF(OR($Q120=1,$Q120=2),1,0),IF($X120&lt;=20,1,0))</formula>
    </cfRule>
    <cfRule type="expression" priority="1069" dxfId="2">
      <formula>AND(IF($Q120=2,1,0),IF($X120&lt;30,1,0))</formula>
    </cfRule>
    <cfRule type="expression" priority="1070" dxfId="1">
      <formula>AND(IF($Q120=3,1,0),IF($X120&lt;30,1,0))</formula>
    </cfRule>
    <cfRule type="expression" priority="1071" dxfId="0">
      <formula>AND(IF($Q120=3,1,IF($Q120=4,1,0)),IF($F120&lt;=85,1,0))</formula>
    </cfRule>
  </conditionalFormatting>
  <conditionalFormatting sqref="AV121">
    <cfRule type="expression" priority="1066" dxfId="17">
      <formula>AV121="X"</formula>
    </cfRule>
    <cfRule type="expression" priority="1067" dxfId="16">
      <formula>AV121="후보"</formula>
    </cfRule>
  </conditionalFormatting>
  <conditionalFormatting sqref="AC121 N121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122">
    <cfRule type="expression" priority="1061" dxfId="17">
      <formula>AV122="X"</formula>
    </cfRule>
    <cfRule type="expression" priority="1062" dxfId="16">
      <formula>AV122="후보"</formula>
    </cfRule>
  </conditionalFormatting>
  <conditionalFormatting sqref="AC122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22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22">
    <cfRule type="expression" priority="1052" dxfId="3">
      <formula>AND(IF(OR($Q122=1,$Q122=2),1,0),IF($X122&lt;=20,1,0))</formula>
    </cfRule>
    <cfRule type="expression" priority="1053" dxfId="2">
      <formula>AND(IF($Q122=2,1,0),IF($X122&lt;30,1,0))</formula>
    </cfRule>
    <cfRule type="expression" priority="1054" dxfId="1">
      <formula>AND(IF($Q122=3,1,0),IF($X122&lt;30,1,0))</formula>
    </cfRule>
    <cfRule type="expression" priority="1055" dxfId="0">
      <formula>AND(IF($Q122=3,1,IF($Q122=4,1,0)),IF($F122&lt;=85,1,0))</formula>
    </cfRule>
  </conditionalFormatting>
  <conditionalFormatting sqref="X122">
    <cfRule type="expression" priority="1048" dxfId="3">
      <formula>AND(IF(OR($Q122=1,$Q122=2),1,0),IF($X122&lt;=20,1,0))</formula>
    </cfRule>
    <cfRule type="expression" priority="1049" dxfId="2">
      <formula>AND(IF($Q122=2,1,0),IF($X122&lt;30,1,0))</formula>
    </cfRule>
    <cfRule type="expression" priority="1050" dxfId="1">
      <formula>AND(IF($Q122=3,1,0),IF($X122&lt;30,1,0))</formula>
    </cfRule>
    <cfRule type="expression" priority="1051" dxfId="0">
      <formula>AND(IF($Q122=3,1,IF($Q122=4,1,0)),IF($F122&lt;=85,1,0))</formula>
    </cfRule>
  </conditionalFormatting>
  <conditionalFormatting sqref="AI122">
    <cfRule type="expression" priority="1044" dxfId="3">
      <formula>AND(IF(OR($Q122=1,$Q122=2),1,0),IF($X122&lt;=20,1,0))</formula>
    </cfRule>
    <cfRule type="expression" priority="1045" dxfId="2">
      <formula>AND(IF($Q122=2,1,0),IF($X122&lt;30,1,0))</formula>
    </cfRule>
    <cfRule type="expression" priority="1046" dxfId="1">
      <formula>AND(IF($Q122=3,1,0),IF($X122&lt;30,1,0))</formula>
    </cfRule>
    <cfRule type="expression" priority="1047" dxfId="0">
      <formula>AND(IF($Q122=3,1,IF($Q122=4,1,0)),IF($F122&lt;=85,1,0))</formula>
    </cfRule>
  </conditionalFormatting>
  <conditionalFormatting sqref="AV123">
    <cfRule type="expression" priority="1042" dxfId="17">
      <formula>AV123="X"</formula>
    </cfRule>
    <cfRule type="expression" priority="1043" dxfId="16">
      <formula>AV123="후보"</formula>
    </cfRule>
  </conditionalFormatting>
  <conditionalFormatting sqref="AC12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23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23">
    <cfRule type="expression" priority="1033" dxfId="3">
      <formula>AND(IF(OR($Q123=1,$Q123=2),1,0),IF($X123&lt;=20,1,0))</formula>
    </cfRule>
    <cfRule type="expression" priority="1034" dxfId="2">
      <formula>AND(IF($Q123=2,1,0),IF($X123&lt;30,1,0))</formula>
    </cfRule>
    <cfRule type="expression" priority="1035" dxfId="1">
      <formula>AND(IF($Q123=3,1,0),IF($X123&lt;30,1,0))</formula>
    </cfRule>
    <cfRule type="expression" priority="1036" dxfId="0">
      <formula>AND(IF($Q123=3,1,IF($Q123=4,1,0)),IF($F123&lt;=85,1,0))</formula>
    </cfRule>
  </conditionalFormatting>
  <conditionalFormatting sqref="X123">
    <cfRule type="expression" priority="1029" dxfId="3">
      <formula>AND(IF(OR($Q123=1,$Q123=2),1,0),IF($X123&lt;=20,1,0))</formula>
    </cfRule>
    <cfRule type="expression" priority="1030" dxfId="2">
      <formula>AND(IF($Q123=2,1,0),IF($X123&lt;30,1,0))</formula>
    </cfRule>
    <cfRule type="expression" priority="1031" dxfId="1">
      <formula>AND(IF($Q123=3,1,0),IF($X123&lt;30,1,0))</formula>
    </cfRule>
    <cfRule type="expression" priority="1032" dxfId="0">
      <formula>AND(IF($Q123=3,1,IF($Q123=4,1,0)),IF($F123&lt;=85,1,0))</formula>
    </cfRule>
  </conditionalFormatting>
  <conditionalFormatting sqref="AI123">
    <cfRule type="expression" priority="1025" dxfId="3">
      <formula>AND(IF(OR($Q123=1,$Q123=2),1,0),IF($X123&lt;=20,1,0))</formula>
    </cfRule>
    <cfRule type="expression" priority="1026" dxfId="2">
      <formula>AND(IF($Q123=2,1,0),IF($X123&lt;30,1,0))</formula>
    </cfRule>
    <cfRule type="expression" priority="1027" dxfId="1">
      <formula>AND(IF($Q123=3,1,0),IF($X123&lt;30,1,0))</formula>
    </cfRule>
    <cfRule type="expression" priority="1028" dxfId="0">
      <formula>AND(IF($Q123=3,1,IF($Q123=4,1,0)),IF($F123&lt;=85,1,0))</formula>
    </cfRule>
  </conditionalFormatting>
  <conditionalFormatting sqref="AV124">
    <cfRule type="expression" priority="1023" dxfId="17">
      <formula>AV124="X"</formula>
    </cfRule>
    <cfRule type="expression" priority="1024" dxfId="16">
      <formula>AV124="후보"</formula>
    </cfRule>
  </conditionalFormatting>
  <conditionalFormatting sqref="AC124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24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24">
    <cfRule type="expression" priority="1014" dxfId="3">
      <formula>AND(IF(OR($Q124=1,$Q124=2),1,0),IF($X124&lt;=20,1,0))</formula>
    </cfRule>
    <cfRule type="expression" priority="1015" dxfId="2">
      <formula>AND(IF($Q124=2,1,0),IF($X124&lt;30,1,0))</formula>
    </cfRule>
    <cfRule type="expression" priority="1016" dxfId="1">
      <formula>AND(IF($Q124=3,1,0),IF($X124&lt;30,1,0))</formula>
    </cfRule>
    <cfRule type="expression" priority="1017" dxfId="0">
      <formula>AND(IF($Q124=3,1,IF($Q124=4,1,0)),IF($F124&lt;=85,1,0))</formula>
    </cfRule>
  </conditionalFormatting>
  <conditionalFormatting sqref="X124">
    <cfRule type="expression" priority="1010" dxfId="3">
      <formula>AND(IF(OR($Q124=1,$Q124=2),1,0),IF($X124&lt;=20,1,0))</formula>
    </cfRule>
    <cfRule type="expression" priority="1011" dxfId="2">
      <formula>AND(IF($Q124=2,1,0),IF($X124&lt;30,1,0))</formula>
    </cfRule>
    <cfRule type="expression" priority="1012" dxfId="1">
      <formula>AND(IF($Q124=3,1,0),IF($X124&lt;30,1,0))</formula>
    </cfRule>
    <cfRule type="expression" priority="1013" dxfId="0">
      <formula>AND(IF($Q124=3,1,IF($Q124=4,1,0)),IF($F124&lt;=85,1,0))</formula>
    </cfRule>
  </conditionalFormatting>
  <conditionalFormatting sqref="AI124">
    <cfRule type="expression" priority="1006" dxfId="3">
      <formula>AND(IF(OR($Q124=1,$Q124=2),1,0),IF($X124&lt;=20,1,0))</formula>
    </cfRule>
    <cfRule type="expression" priority="1007" dxfId="2">
      <formula>AND(IF($Q124=2,1,0),IF($X124&lt;30,1,0))</formula>
    </cfRule>
    <cfRule type="expression" priority="1008" dxfId="1">
      <formula>AND(IF($Q124=3,1,0),IF($X124&lt;30,1,0))</formula>
    </cfRule>
    <cfRule type="expression" priority="1009" dxfId="0">
      <formula>AND(IF($Q124=3,1,IF($Q124=4,1,0)),IF($F124&lt;=85,1,0))</formula>
    </cfRule>
  </conditionalFormatting>
  <conditionalFormatting sqref="AV125">
    <cfRule type="expression" priority="1004" dxfId="17">
      <formula>AV125="X"</formula>
    </cfRule>
    <cfRule type="expression" priority="1005" dxfId="16">
      <formula>AV125="후보"</formula>
    </cfRule>
  </conditionalFormatting>
  <conditionalFormatting sqref="AC12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2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25">
    <cfRule type="expression" priority="995" dxfId="3">
      <formula>AND(IF(OR($Q125=1,$Q125=2),1,0),IF($X125&lt;=20,1,0))</formula>
    </cfRule>
    <cfRule type="expression" priority="996" dxfId="2">
      <formula>AND(IF($Q125=2,1,0),IF($X125&lt;30,1,0))</formula>
    </cfRule>
    <cfRule type="expression" priority="997" dxfId="1">
      <formula>AND(IF($Q125=3,1,0),IF($X125&lt;30,1,0))</formula>
    </cfRule>
    <cfRule type="expression" priority="998" dxfId="0">
      <formula>AND(IF($Q125=3,1,IF($Q125=4,1,0)),IF($F125&lt;=85,1,0))</formula>
    </cfRule>
  </conditionalFormatting>
  <conditionalFormatting sqref="X125">
    <cfRule type="expression" priority="991" dxfId="3">
      <formula>AND(IF(OR($Q125=1,$Q125=2),1,0),IF($X125&lt;=20,1,0))</formula>
    </cfRule>
    <cfRule type="expression" priority="992" dxfId="2">
      <formula>AND(IF($Q125=2,1,0),IF($X125&lt;30,1,0))</formula>
    </cfRule>
    <cfRule type="expression" priority="993" dxfId="1">
      <formula>AND(IF($Q125=3,1,0),IF($X125&lt;30,1,0))</formula>
    </cfRule>
    <cfRule type="expression" priority="994" dxfId="0">
      <formula>AND(IF($Q125=3,1,IF($Q125=4,1,0)),IF($F125&lt;=85,1,0))</formula>
    </cfRule>
  </conditionalFormatting>
  <conditionalFormatting sqref="AI125">
    <cfRule type="expression" priority="987" dxfId="3">
      <formula>AND(IF(OR($Q125=1,$Q125=2),1,0),IF($X125&lt;=20,1,0))</formula>
    </cfRule>
    <cfRule type="expression" priority="988" dxfId="2">
      <formula>AND(IF($Q125=2,1,0),IF($X125&lt;30,1,0))</formula>
    </cfRule>
    <cfRule type="expression" priority="989" dxfId="1">
      <formula>AND(IF($Q125=3,1,0),IF($X125&lt;30,1,0))</formula>
    </cfRule>
    <cfRule type="expression" priority="990" dxfId="0">
      <formula>AND(IF($Q125=3,1,IF($Q125=4,1,0)),IF($F125&lt;=85,1,0))</formula>
    </cfRule>
  </conditionalFormatting>
  <conditionalFormatting sqref="AV126">
    <cfRule type="expression" priority="985" dxfId="17">
      <formula>AV126="X"</formula>
    </cfRule>
    <cfRule type="expression" priority="986" dxfId="16">
      <formula>AV126="후보"</formula>
    </cfRule>
  </conditionalFormatting>
  <conditionalFormatting sqref="AC126 N12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27">
    <cfRule type="expression" priority="980" dxfId="17">
      <formula>AV127="X"</formula>
    </cfRule>
    <cfRule type="expression" priority="981" dxfId="16">
      <formula>AV127="후보"</formula>
    </cfRule>
  </conditionalFormatting>
  <conditionalFormatting sqref="AC127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27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27">
    <cfRule type="expression" priority="971" dxfId="3">
      <formula>AND(IF(OR($Q127=1,$Q127=2),1,0),IF($X127&lt;=20,1,0))</formula>
    </cfRule>
    <cfRule type="expression" priority="972" dxfId="2">
      <formula>AND(IF($Q127=2,1,0),IF($X127&lt;30,1,0))</formula>
    </cfRule>
    <cfRule type="expression" priority="973" dxfId="1">
      <formula>AND(IF($Q127=3,1,0),IF($X127&lt;30,1,0))</formula>
    </cfRule>
    <cfRule type="expression" priority="974" dxfId="0">
      <formula>AND(IF($Q127=3,1,IF($Q127=4,1,0)),IF($F127&lt;=85,1,0))</formula>
    </cfRule>
  </conditionalFormatting>
  <conditionalFormatting sqref="X127">
    <cfRule type="expression" priority="967" dxfId="3">
      <formula>AND(IF(OR($Q127=1,$Q127=2),1,0),IF($X127&lt;=20,1,0))</formula>
    </cfRule>
    <cfRule type="expression" priority="968" dxfId="2">
      <formula>AND(IF($Q127=2,1,0),IF($X127&lt;30,1,0))</formula>
    </cfRule>
    <cfRule type="expression" priority="969" dxfId="1">
      <formula>AND(IF($Q127=3,1,0),IF($X127&lt;30,1,0))</formula>
    </cfRule>
    <cfRule type="expression" priority="970" dxfId="0">
      <formula>AND(IF($Q127=3,1,IF($Q127=4,1,0)),IF($F127&lt;=85,1,0))</formula>
    </cfRule>
  </conditionalFormatting>
  <conditionalFormatting sqref="AI127">
    <cfRule type="expression" priority="963" dxfId="3">
      <formula>AND(IF(OR($Q127=1,$Q127=2),1,0),IF($X127&lt;=20,1,0))</formula>
    </cfRule>
    <cfRule type="expression" priority="964" dxfId="2">
      <formula>AND(IF($Q127=2,1,0),IF($X127&lt;30,1,0))</formula>
    </cfRule>
    <cfRule type="expression" priority="965" dxfId="1">
      <formula>AND(IF($Q127=3,1,0),IF($X127&lt;30,1,0))</formula>
    </cfRule>
    <cfRule type="expression" priority="966" dxfId="0">
      <formula>AND(IF($Q127=3,1,IF($Q127=4,1,0)),IF($F127&lt;=85,1,0))</formula>
    </cfRule>
  </conditionalFormatting>
  <conditionalFormatting sqref="AV128">
    <cfRule type="expression" priority="961" dxfId="17">
      <formula>AV128="X"</formula>
    </cfRule>
    <cfRule type="expression" priority="962" dxfId="16">
      <formula>AV128="후보"</formula>
    </cfRule>
  </conditionalFormatting>
  <conditionalFormatting sqref="AC128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28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28">
    <cfRule type="expression" priority="952" dxfId="3">
      <formula>AND(IF(OR($Q128=1,$Q128=2),1,0),IF($X128&lt;=20,1,0))</formula>
    </cfRule>
    <cfRule type="expression" priority="953" dxfId="2">
      <formula>AND(IF($Q128=2,1,0),IF($X128&lt;30,1,0))</formula>
    </cfRule>
    <cfRule type="expression" priority="954" dxfId="1">
      <formula>AND(IF($Q128=3,1,0),IF($X128&lt;30,1,0))</formula>
    </cfRule>
    <cfRule type="expression" priority="955" dxfId="0">
      <formula>AND(IF($Q128=3,1,IF($Q128=4,1,0)),IF($F128&lt;=85,1,0))</formula>
    </cfRule>
  </conditionalFormatting>
  <conditionalFormatting sqref="X128">
    <cfRule type="expression" priority="948" dxfId="3">
      <formula>AND(IF(OR($Q128=1,$Q128=2),1,0),IF($X128&lt;=20,1,0))</formula>
    </cfRule>
    <cfRule type="expression" priority="949" dxfId="2">
      <formula>AND(IF($Q128=2,1,0),IF($X128&lt;30,1,0))</formula>
    </cfRule>
    <cfRule type="expression" priority="950" dxfId="1">
      <formula>AND(IF($Q128=3,1,0),IF($X128&lt;30,1,0))</formula>
    </cfRule>
    <cfRule type="expression" priority="951" dxfId="0">
      <formula>AND(IF($Q128=3,1,IF($Q128=4,1,0)),IF($F128&lt;=85,1,0))</formula>
    </cfRule>
  </conditionalFormatting>
  <conditionalFormatting sqref="AI128">
    <cfRule type="expression" priority="944" dxfId="3">
      <formula>AND(IF(OR($Q128=1,$Q128=2),1,0),IF($X128&lt;=20,1,0))</formula>
    </cfRule>
    <cfRule type="expression" priority="945" dxfId="2">
      <formula>AND(IF($Q128=2,1,0),IF($X128&lt;30,1,0))</formula>
    </cfRule>
    <cfRule type="expression" priority="946" dxfId="1">
      <formula>AND(IF($Q128=3,1,0),IF($X128&lt;30,1,0))</formula>
    </cfRule>
    <cfRule type="expression" priority="947" dxfId="0">
      <formula>AND(IF($Q128=3,1,IF($Q128=4,1,0)),IF($F128&lt;=85,1,0))</formula>
    </cfRule>
  </conditionalFormatting>
  <conditionalFormatting sqref="AV129">
    <cfRule type="expression" priority="942" dxfId="17">
      <formula>AV129="X"</formula>
    </cfRule>
    <cfRule type="expression" priority="943" dxfId="16">
      <formula>AV129="후보"</formula>
    </cfRule>
  </conditionalFormatting>
  <conditionalFormatting sqref="AC129 N129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130">
    <cfRule type="expression" priority="937" dxfId="17">
      <formula>AV130="X"</formula>
    </cfRule>
    <cfRule type="expression" priority="938" dxfId="16">
      <formula>AV130="후보"</formula>
    </cfRule>
  </conditionalFormatting>
  <conditionalFormatting sqref="AC130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130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130">
    <cfRule type="expression" priority="928" dxfId="3">
      <formula>AND(IF(OR($Q130=1,$Q130=2),1,0),IF($X130&lt;=20,1,0))</formula>
    </cfRule>
    <cfRule type="expression" priority="929" dxfId="2">
      <formula>AND(IF($Q130=2,1,0),IF($X130&lt;30,1,0))</formula>
    </cfRule>
    <cfRule type="expression" priority="930" dxfId="1">
      <formula>AND(IF($Q130=3,1,0),IF($X130&lt;30,1,0))</formula>
    </cfRule>
    <cfRule type="expression" priority="931" dxfId="0">
      <formula>AND(IF($Q130=3,1,IF($Q130=4,1,0)),IF($F130&lt;=85,1,0))</formula>
    </cfRule>
  </conditionalFormatting>
  <conditionalFormatting sqref="X130">
    <cfRule type="expression" priority="924" dxfId="3">
      <formula>AND(IF(OR($Q130=1,$Q130=2),1,0),IF($X130&lt;=20,1,0))</formula>
    </cfRule>
    <cfRule type="expression" priority="925" dxfId="2">
      <formula>AND(IF($Q130=2,1,0),IF($X130&lt;30,1,0))</formula>
    </cfRule>
    <cfRule type="expression" priority="926" dxfId="1">
      <formula>AND(IF($Q130=3,1,0),IF($X130&lt;30,1,0))</formula>
    </cfRule>
    <cfRule type="expression" priority="927" dxfId="0">
      <formula>AND(IF($Q130=3,1,IF($Q130=4,1,0)),IF($F130&lt;=85,1,0))</formula>
    </cfRule>
  </conditionalFormatting>
  <conditionalFormatting sqref="AI130">
    <cfRule type="expression" priority="920" dxfId="3">
      <formula>AND(IF(OR($Q130=1,$Q130=2),1,0),IF($X130&lt;=20,1,0))</formula>
    </cfRule>
    <cfRule type="expression" priority="921" dxfId="2">
      <formula>AND(IF($Q130=2,1,0),IF($X130&lt;30,1,0))</formula>
    </cfRule>
    <cfRule type="expression" priority="922" dxfId="1">
      <formula>AND(IF($Q130=3,1,0),IF($X130&lt;30,1,0))</formula>
    </cfRule>
    <cfRule type="expression" priority="923" dxfId="0">
      <formula>AND(IF($Q130=3,1,IF($Q130=4,1,0)),IF($F130&lt;=85,1,0))</formula>
    </cfRule>
  </conditionalFormatting>
  <conditionalFormatting sqref="AV131">
    <cfRule type="expression" priority="918" dxfId="17">
      <formula>AV131="X"</formula>
    </cfRule>
    <cfRule type="expression" priority="919" dxfId="16">
      <formula>AV131="후보"</formula>
    </cfRule>
  </conditionalFormatting>
  <conditionalFormatting sqref="AC131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1">
    <cfRule type="expression" priority="909" dxfId="3">
      <formula>AND(IF(OR($Q131=1,$Q131=2),1,0),IF($X131&lt;=20,1,0))</formula>
    </cfRule>
    <cfRule type="expression" priority="910" dxfId="2">
      <formula>AND(IF($Q131=2,1,0),IF($X131&lt;30,1,0))</formula>
    </cfRule>
    <cfRule type="expression" priority="911" dxfId="1">
      <formula>AND(IF($Q131=3,1,0),IF($X131&lt;30,1,0))</formula>
    </cfRule>
    <cfRule type="expression" priority="912" dxfId="0">
      <formula>AND(IF($Q131=3,1,IF($Q131=4,1,0)),IF($F131&lt;=85,1,0))</formula>
    </cfRule>
  </conditionalFormatting>
  <conditionalFormatting sqref="X131">
    <cfRule type="expression" priority="905" dxfId="3">
      <formula>AND(IF(OR($Q131=1,$Q131=2),1,0),IF($X131&lt;=20,1,0))</formula>
    </cfRule>
    <cfRule type="expression" priority="906" dxfId="2">
      <formula>AND(IF($Q131=2,1,0),IF($X131&lt;30,1,0))</formula>
    </cfRule>
    <cfRule type="expression" priority="907" dxfId="1">
      <formula>AND(IF($Q131=3,1,0),IF($X131&lt;30,1,0))</formula>
    </cfRule>
    <cfRule type="expression" priority="908" dxfId="0">
      <formula>AND(IF($Q131=3,1,IF($Q131=4,1,0)),IF($F131&lt;=85,1,0))</formula>
    </cfRule>
  </conditionalFormatting>
  <conditionalFormatting sqref="AI131">
    <cfRule type="expression" priority="901" dxfId="3">
      <formula>AND(IF(OR($Q131=1,$Q131=2),1,0),IF($X131&lt;=20,1,0))</formula>
    </cfRule>
    <cfRule type="expression" priority="902" dxfId="2">
      <formula>AND(IF($Q131=2,1,0),IF($X131&lt;30,1,0))</formula>
    </cfRule>
    <cfRule type="expression" priority="903" dxfId="1">
      <formula>AND(IF($Q131=3,1,0),IF($X131&lt;30,1,0))</formula>
    </cfRule>
    <cfRule type="expression" priority="904" dxfId="0">
      <formula>AND(IF($Q131=3,1,IF($Q131=4,1,0)),IF($F131&lt;=85,1,0))</formula>
    </cfRule>
  </conditionalFormatting>
  <conditionalFormatting sqref="AV132">
    <cfRule type="expression" priority="899" dxfId="17">
      <formula>AV132="X"</formula>
    </cfRule>
    <cfRule type="expression" priority="900" dxfId="16">
      <formula>AV132="후보"</formula>
    </cfRule>
  </conditionalFormatting>
  <conditionalFormatting sqref="AC13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32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32">
    <cfRule type="expression" priority="890" dxfId="3">
      <formula>AND(IF(OR($Q132=1,$Q132=2),1,0),IF($X132&lt;=20,1,0))</formula>
    </cfRule>
    <cfRule type="expression" priority="891" dxfId="2">
      <formula>AND(IF($Q132=2,1,0),IF($X132&lt;30,1,0))</formula>
    </cfRule>
    <cfRule type="expression" priority="892" dxfId="1">
      <formula>AND(IF($Q132=3,1,0),IF($X132&lt;30,1,0))</formula>
    </cfRule>
    <cfRule type="expression" priority="893" dxfId="0">
      <formula>AND(IF($Q132=3,1,IF($Q132=4,1,0)),IF($F132&lt;=85,1,0))</formula>
    </cfRule>
  </conditionalFormatting>
  <conditionalFormatting sqref="X132">
    <cfRule type="expression" priority="886" dxfId="3">
      <formula>AND(IF(OR($Q132=1,$Q132=2),1,0),IF($X132&lt;=20,1,0))</formula>
    </cfRule>
    <cfRule type="expression" priority="887" dxfId="2">
      <formula>AND(IF($Q132=2,1,0),IF($X132&lt;30,1,0))</formula>
    </cfRule>
    <cfRule type="expression" priority="888" dxfId="1">
      <formula>AND(IF($Q132=3,1,0),IF($X132&lt;30,1,0))</formula>
    </cfRule>
    <cfRule type="expression" priority="889" dxfId="0">
      <formula>AND(IF($Q132=3,1,IF($Q132=4,1,0)),IF($F132&lt;=85,1,0))</formula>
    </cfRule>
  </conditionalFormatting>
  <conditionalFormatting sqref="AI132">
    <cfRule type="expression" priority="882" dxfId="3">
      <formula>AND(IF(OR($Q132=1,$Q132=2),1,0),IF($X132&lt;=20,1,0))</formula>
    </cfRule>
    <cfRule type="expression" priority="883" dxfId="2">
      <formula>AND(IF($Q132=2,1,0),IF($X132&lt;30,1,0))</formula>
    </cfRule>
    <cfRule type="expression" priority="884" dxfId="1">
      <formula>AND(IF($Q132=3,1,0),IF($X132&lt;30,1,0))</formula>
    </cfRule>
    <cfRule type="expression" priority="885" dxfId="0">
      <formula>AND(IF($Q132=3,1,IF($Q132=4,1,0)),IF($F132&lt;=85,1,0))</formula>
    </cfRule>
  </conditionalFormatting>
  <conditionalFormatting sqref="AV133">
    <cfRule type="expression" priority="880" dxfId="17">
      <formula>AV133="X"</formula>
    </cfRule>
    <cfRule type="expression" priority="881" dxfId="16">
      <formula>AV133="후보"</formula>
    </cfRule>
  </conditionalFormatting>
  <conditionalFormatting sqref="AC133 N13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134">
    <cfRule type="expression" priority="875" dxfId="17">
      <formula>AV134="X"</formula>
    </cfRule>
    <cfRule type="expression" priority="876" dxfId="16">
      <formula>AV134="후보"</formula>
    </cfRule>
  </conditionalFormatting>
  <conditionalFormatting sqref="AC13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134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134">
    <cfRule type="expression" priority="866" dxfId="3">
      <formula>AND(IF(OR($Q134=1,$Q134=2),1,0),IF($X134&lt;=20,1,0))</formula>
    </cfRule>
    <cfRule type="expression" priority="867" dxfId="2">
      <formula>AND(IF($Q134=2,1,0),IF($X134&lt;30,1,0))</formula>
    </cfRule>
    <cfRule type="expression" priority="868" dxfId="1">
      <formula>AND(IF($Q134=3,1,0),IF($X134&lt;30,1,0))</formula>
    </cfRule>
    <cfRule type="expression" priority="869" dxfId="0">
      <formula>AND(IF($Q134=3,1,IF($Q134=4,1,0)),IF($F134&lt;=85,1,0))</formula>
    </cfRule>
  </conditionalFormatting>
  <conditionalFormatting sqref="X134">
    <cfRule type="expression" priority="862" dxfId="3">
      <formula>AND(IF(OR($Q134=1,$Q134=2),1,0),IF($X134&lt;=20,1,0))</formula>
    </cfRule>
    <cfRule type="expression" priority="863" dxfId="2">
      <formula>AND(IF($Q134=2,1,0),IF($X134&lt;30,1,0))</formula>
    </cfRule>
    <cfRule type="expression" priority="864" dxfId="1">
      <formula>AND(IF($Q134=3,1,0),IF($X134&lt;30,1,0))</formula>
    </cfRule>
    <cfRule type="expression" priority="865" dxfId="0">
      <formula>AND(IF($Q134=3,1,IF($Q134=4,1,0)),IF($F134&lt;=85,1,0))</formula>
    </cfRule>
  </conditionalFormatting>
  <conditionalFormatting sqref="AI134">
    <cfRule type="expression" priority="858" dxfId="3">
      <formula>AND(IF(OR($Q134=1,$Q134=2),1,0),IF($X134&lt;=20,1,0))</formula>
    </cfRule>
    <cfRule type="expression" priority="859" dxfId="2">
      <formula>AND(IF($Q134=2,1,0),IF($X134&lt;30,1,0))</formula>
    </cfRule>
    <cfRule type="expression" priority="860" dxfId="1">
      <formula>AND(IF($Q134=3,1,0),IF($X134&lt;30,1,0))</formula>
    </cfRule>
    <cfRule type="expression" priority="861" dxfId="0">
      <formula>AND(IF($Q134=3,1,IF($Q134=4,1,0)),IF($F134&lt;=85,1,0))</formula>
    </cfRule>
  </conditionalFormatting>
  <conditionalFormatting sqref="AV135">
    <cfRule type="expression" priority="856" dxfId="17">
      <formula>AV135="X"</formula>
    </cfRule>
    <cfRule type="expression" priority="857" dxfId="16">
      <formula>AV135="후보"</formula>
    </cfRule>
  </conditionalFormatting>
  <conditionalFormatting sqref="AC135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135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135">
    <cfRule type="expression" priority="847" dxfId="3">
      <formula>AND(IF(OR($Q135=1,$Q135=2),1,0),IF($X135&lt;=20,1,0))</formula>
    </cfRule>
    <cfRule type="expression" priority="848" dxfId="2">
      <formula>AND(IF($Q135=2,1,0),IF($X135&lt;30,1,0))</formula>
    </cfRule>
    <cfRule type="expression" priority="849" dxfId="1">
      <formula>AND(IF($Q135=3,1,0),IF($X135&lt;30,1,0))</formula>
    </cfRule>
    <cfRule type="expression" priority="850" dxfId="0">
      <formula>AND(IF($Q135=3,1,IF($Q135=4,1,0)),IF($F135&lt;=85,1,0))</formula>
    </cfRule>
  </conditionalFormatting>
  <conditionalFormatting sqref="X135">
    <cfRule type="expression" priority="843" dxfId="3">
      <formula>AND(IF(OR($Q135=1,$Q135=2),1,0),IF($X135&lt;=20,1,0))</formula>
    </cfRule>
    <cfRule type="expression" priority="844" dxfId="2">
      <formula>AND(IF($Q135=2,1,0),IF($X135&lt;30,1,0))</formula>
    </cfRule>
    <cfRule type="expression" priority="845" dxfId="1">
      <formula>AND(IF($Q135=3,1,0),IF($X135&lt;30,1,0))</formula>
    </cfRule>
    <cfRule type="expression" priority="846" dxfId="0">
      <formula>AND(IF($Q135=3,1,IF($Q135=4,1,0)),IF($F135&lt;=85,1,0))</formula>
    </cfRule>
  </conditionalFormatting>
  <conditionalFormatting sqref="AI135">
    <cfRule type="expression" priority="839" dxfId="3">
      <formula>AND(IF(OR($Q135=1,$Q135=2),1,0),IF($X135&lt;=20,1,0))</formula>
    </cfRule>
    <cfRule type="expression" priority="840" dxfId="2">
      <formula>AND(IF($Q135=2,1,0),IF($X135&lt;30,1,0))</formula>
    </cfRule>
    <cfRule type="expression" priority="841" dxfId="1">
      <formula>AND(IF($Q135=3,1,0),IF($X135&lt;30,1,0))</formula>
    </cfRule>
    <cfRule type="expression" priority="842" dxfId="0">
      <formula>AND(IF($Q135=3,1,IF($Q135=4,1,0)),IF($F135&lt;=85,1,0))</formula>
    </cfRule>
  </conditionalFormatting>
  <conditionalFormatting sqref="AV136">
    <cfRule type="expression" priority="837" dxfId="17">
      <formula>AV136="X"</formula>
    </cfRule>
    <cfRule type="expression" priority="838" dxfId="16">
      <formula>AV136="후보"</formula>
    </cfRule>
  </conditionalFormatting>
  <conditionalFormatting sqref="AC136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36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36">
    <cfRule type="expression" priority="828" dxfId="3">
      <formula>AND(IF(OR($Q136=1,$Q136=2),1,0),IF($X136&lt;=20,1,0))</formula>
    </cfRule>
    <cfRule type="expression" priority="829" dxfId="2">
      <formula>AND(IF($Q136=2,1,0),IF($X136&lt;30,1,0))</formula>
    </cfRule>
    <cfRule type="expression" priority="830" dxfId="1">
      <formula>AND(IF($Q136=3,1,0),IF($X136&lt;30,1,0))</formula>
    </cfRule>
    <cfRule type="expression" priority="831" dxfId="0">
      <formula>AND(IF($Q136=3,1,IF($Q136=4,1,0)),IF($F136&lt;=85,1,0))</formula>
    </cfRule>
  </conditionalFormatting>
  <conditionalFormatting sqref="X136">
    <cfRule type="expression" priority="824" dxfId="3">
      <formula>AND(IF(OR($Q136=1,$Q136=2),1,0),IF($X136&lt;=20,1,0))</formula>
    </cfRule>
    <cfRule type="expression" priority="825" dxfId="2">
      <formula>AND(IF($Q136=2,1,0),IF($X136&lt;30,1,0))</formula>
    </cfRule>
    <cfRule type="expression" priority="826" dxfId="1">
      <formula>AND(IF($Q136=3,1,0),IF($X136&lt;30,1,0))</formula>
    </cfRule>
    <cfRule type="expression" priority="827" dxfId="0">
      <formula>AND(IF($Q136=3,1,IF($Q136=4,1,0)),IF($F136&lt;=85,1,0))</formula>
    </cfRule>
  </conditionalFormatting>
  <conditionalFormatting sqref="AI136">
    <cfRule type="expression" priority="820" dxfId="3">
      <formula>AND(IF(OR($Q136=1,$Q136=2),1,0),IF($X136&lt;=20,1,0))</formula>
    </cfRule>
    <cfRule type="expression" priority="821" dxfId="2">
      <formula>AND(IF($Q136=2,1,0),IF($X136&lt;30,1,0))</formula>
    </cfRule>
    <cfRule type="expression" priority="822" dxfId="1">
      <formula>AND(IF($Q136=3,1,0),IF($X136&lt;30,1,0))</formula>
    </cfRule>
    <cfRule type="expression" priority="823" dxfId="0">
      <formula>AND(IF($Q136=3,1,IF($Q136=4,1,0)),IF($F136&lt;=85,1,0))</formula>
    </cfRule>
  </conditionalFormatting>
  <conditionalFormatting sqref="AV137">
    <cfRule type="expression" priority="818" dxfId="17">
      <formula>AV137="X"</formula>
    </cfRule>
    <cfRule type="expression" priority="819" dxfId="16">
      <formula>AV137="후보"</formula>
    </cfRule>
  </conditionalFormatting>
  <conditionalFormatting sqref="AC137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37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37">
    <cfRule type="expression" priority="809" dxfId="3">
      <formula>AND(IF(OR($Q137=1,$Q137=2),1,0),IF($X137&lt;=20,1,0))</formula>
    </cfRule>
    <cfRule type="expression" priority="810" dxfId="2">
      <formula>AND(IF($Q137=2,1,0),IF($X137&lt;30,1,0))</formula>
    </cfRule>
    <cfRule type="expression" priority="811" dxfId="1">
      <formula>AND(IF($Q137=3,1,0),IF($X137&lt;30,1,0))</formula>
    </cfRule>
    <cfRule type="expression" priority="812" dxfId="0">
      <formula>AND(IF($Q137=3,1,IF($Q137=4,1,0)),IF($F137&lt;=85,1,0))</formula>
    </cfRule>
  </conditionalFormatting>
  <conditionalFormatting sqref="X137">
    <cfRule type="expression" priority="805" dxfId="3">
      <formula>AND(IF(OR($Q137=1,$Q137=2),1,0),IF($X137&lt;=20,1,0))</formula>
    </cfRule>
    <cfRule type="expression" priority="806" dxfId="2">
      <formula>AND(IF($Q137=2,1,0),IF($X137&lt;30,1,0))</formula>
    </cfRule>
    <cfRule type="expression" priority="807" dxfId="1">
      <formula>AND(IF($Q137=3,1,0),IF($X137&lt;30,1,0))</formula>
    </cfRule>
    <cfRule type="expression" priority="808" dxfId="0">
      <formula>AND(IF($Q137=3,1,IF($Q137=4,1,0)),IF($F137&lt;=85,1,0))</formula>
    </cfRule>
  </conditionalFormatting>
  <conditionalFormatting sqref="AI137">
    <cfRule type="expression" priority="801" dxfId="3">
      <formula>AND(IF(OR($Q137=1,$Q137=2),1,0),IF($X137&lt;=20,1,0))</formula>
    </cfRule>
    <cfRule type="expression" priority="802" dxfId="2">
      <formula>AND(IF($Q137=2,1,0),IF($X137&lt;30,1,0))</formula>
    </cfRule>
    <cfRule type="expression" priority="803" dxfId="1">
      <formula>AND(IF($Q137=3,1,0),IF($X137&lt;30,1,0))</formula>
    </cfRule>
    <cfRule type="expression" priority="804" dxfId="0">
      <formula>AND(IF($Q137=3,1,IF($Q137=4,1,0)),IF($F137&lt;=85,1,0))</formula>
    </cfRule>
  </conditionalFormatting>
  <conditionalFormatting sqref="AV138">
    <cfRule type="expression" priority="799" dxfId="17">
      <formula>AV138="X"</formula>
    </cfRule>
    <cfRule type="expression" priority="800" dxfId="16">
      <formula>AV138="후보"</formula>
    </cfRule>
  </conditionalFormatting>
  <conditionalFormatting sqref="AC138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38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38">
    <cfRule type="expression" priority="790" dxfId="3">
      <formula>AND(IF(OR($Q138=1,$Q138=2),1,0),IF($X138&lt;=20,1,0))</formula>
    </cfRule>
    <cfRule type="expression" priority="791" dxfId="2">
      <formula>AND(IF($Q138=2,1,0),IF($X138&lt;30,1,0))</formula>
    </cfRule>
    <cfRule type="expression" priority="792" dxfId="1">
      <formula>AND(IF($Q138=3,1,0),IF($X138&lt;30,1,0))</formula>
    </cfRule>
    <cfRule type="expression" priority="793" dxfId="0">
      <formula>AND(IF($Q138=3,1,IF($Q138=4,1,0)),IF($F138&lt;=85,1,0))</formula>
    </cfRule>
  </conditionalFormatting>
  <conditionalFormatting sqref="X138">
    <cfRule type="expression" priority="786" dxfId="3">
      <formula>AND(IF(OR($Q138=1,$Q138=2),1,0),IF($X138&lt;=20,1,0))</formula>
    </cfRule>
    <cfRule type="expression" priority="787" dxfId="2">
      <formula>AND(IF($Q138=2,1,0),IF($X138&lt;30,1,0))</formula>
    </cfRule>
    <cfRule type="expression" priority="788" dxfId="1">
      <formula>AND(IF($Q138=3,1,0),IF($X138&lt;30,1,0))</formula>
    </cfRule>
    <cfRule type="expression" priority="789" dxfId="0">
      <formula>AND(IF($Q138=3,1,IF($Q138=4,1,0)),IF($F138&lt;=85,1,0))</formula>
    </cfRule>
  </conditionalFormatting>
  <conditionalFormatting sqref="AI138">
    <cfRule type="expression" priority="782" dxfId="3">
      <formula>AND(IF(OR($Q138=1,$Q138=2),1,0),IF($X138&lt;=20,1,0))</formula>
    </cfRule>
    <cfRule type="expression" priority="783" dxfId="2">
      <formula>AND(IF($Q138=2,1,0),IF($X138&lt;30,1,0))</formula>
    </cfRule>
    <cfRule type="expression" priority="784" dxfId="1">
      <formula>AND(IF($Q138=3,1,0),IF($X138&lt;30,1,0))</formula>
    </cfRule>
    <cfRule type="expression" priority="785" dxfId="0">
      <formula>AND(IF($Q138=3,1,IF($Q138=4,1,0)),IF($F138&lt;=85,1,0))</formula>
    </cfRule>
  </conditionalFormatting>
  <conditionalFormatting sqref="AV139">
    <cfRule type="expression" priority="780" dxfId="17">
      <formula>AV139="X"</formula>
    </cfRule>
    <cfRule type="expression" priority="781" dxfId="16">
      <formula>AV139="후보"</formula>
    </cfRule>
  </conditionalFormatting>
  <conditionalFormatting sqref="AC139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9">
    <cfRule type="expression" priority="771" dxfId="3">
      <formula>AND(IF(OR($Q139=1,$Q139=2),1,0),IF($X139&lt;=20,1,0))</formula>
    </cfRule>
    <cfRule type="expression" priority="772" dxfId="2">
      <formula>AND(IF($Q139=2,1,0),IF($X139&lt;30,1,0))</formula>
    </cfRule>
    <cfRule type="expression" priority="773" dxfId="1">
      <formula>AND(IF($Q139=3,1,0),IF($X139&lt;30,1,0))</formula>
    </cfRule>
    <cfRule type="expression" priority="774" dxfId="0">
      <formula>AND(IF($Q139=3,1,IF($Q139=4,1,0)),IF($F139&lt;=85,1,0))</formula>
    </cfRule>
  </conditionalFormatting>
  <conditionalFormatting sqref="X139">
    <cfRule type="expression" priority="767" dxfId="3">
      <formula>AND(IF(OR($Q139=1,$Q139=2),1,0),IF($X139&lt;=20,1,0))</formula>
    </cfRule>
    <cfRule type="expression" priority="768" dxfId="2">
      <formula>AND(IF($Q139=2,1,0),IF($X139&lt;30,1,0))</formula>
    </cfRule>
    <cfRule type="expression" priority="769" dxfId="1">
      <formula>AND(IF($Q139=3,1,0),IF($X139&lt;30,1,0))</formula>
    </cfRule>
    <cfRule type="expression" priority="770" dxfId="0">
      <formula>AND(IF($Q139=3,1,IF($Q139=4,1,0)),IF($F139&lt;=85,1,0))</formula>
    </cfRule>
  </conditionalFormatting>
  <conditionalFormatting sqref="AI139">
    <cfRule type="expression" priority="763" dxfId="3">
      <formula>AND(IF(OR($Q139=1,$Q139=2),1,0),IF($X139&lt;=20,1,0))</formula>
    </cfRule>
    <cfRule type="expression" priority="764" dxfId="2">
      <formula>AND(IF($Q139=2,1,0),IF($X139&lt;30,1,0))</formula>
    </cfRule>
    <cfRule type="expression" priority="765" dxfId="1">
      <formula>AND(IF($Q139=3,1,0),IF($X139&lt;30,1,0))</formula>
    </cfRule>
    <cfRule type="expression" priority="766" dxfId="0">
      <formula>AND(IF($Q139=3,1,IF($Q139=4,1,0)),IF($F139&lt;=85,1,0))</formula>
    </cfRule>
  </conditionalFormatting>
  <conditionalFormatting sqref="AV140">
    <cfRule type="expression" priority="761" dxfId="17">
      <formula>AV140="X"</formula>
    </cfRule>
    <cfRule type="expression" priority="762" dxfId="16">
      <formula>AV140="후보"</formula>
    </cfRule>
  </conditionalFormatting>
  <conditionalFormatting sqref="AC140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40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40">
    <cfRule type="expression" priority="752" dxfId="3">
      <formula>AND(IF(OR($Q140=1,$Q140=2),1,0),IF($X140&lt;=20,1,0))</formula>
    </cfRule>
    <cfRule type="expression" priority="753" dxfId="2">
      <formula>AND(IF($Q140=2,1,0),IF($X140&lt;30,1,0))</formula>
    </cfRule>
    <cfRule type="expression" priority="754" dxfId="1">
      <formula>AND(IF($Q140=3,1,0),IF($X140&lt;30,1,0))</formula>
    </cfRule>
    <cfRule type="expression" priority="755" dxfId="0">
      <formula>AND(IF($Q140=3,1,IF($Q140=4,1,0)),IF($F140&lt;=85,1,0))</formula>
    </cfRule>
  </conditionalFormatting>
  <conditionalFormatting sqref="X140">
    <cfRule type="expression" priority="748" dxfId="3">
      <formula>AND(IF(OR($Q140=1,$Q140=2),1,0),IF($X140&lt;=20,1,0))</formula>
    </cfRule>
    <cfRule type="expression" priority="749" dxfId="2">
      <formula>AND(IF($Q140=2,1,0),IF($X140&lt;30,1,0))</formula>
    </cfRule>
    <cfRule type="expression" priority="750" dxfId="1">
      <formula>AND(IF($Q140=3,1,0),IF($X140&lt;30,1,0))</formula>
    </cfRule>
    <cfRule type="expression" priority="751" dxfId="0">
      <formula>AND(IF($Q140=3,1,IF($Q140=4,1,0)),IF($F140&lt;=85,1,0))</formula>
    </cfRule>
  </conditionalFormatting>
  <conditionalFormatting sqref="AI140">
    <cfRule type="expression" priority="744" dxfId="3">
      <formula>AND(IF(OR($Q140=1,$Q140=2),1,0),IF($X140&lt;=20,1,0))</formula>
    </cfRule>
    <cfRule type="expression" priority="745" dxfId="2">
      <formula>AND(IF($Q140=2,1,0),IF($X140&lt;30,1,0))</formula>
    </cfRule>
    <cfRule type="expression" priority="746" dxfId="1">
      <formula>AND(IF($Q140=3,1,0),IF($X140&lt;30,1,0))</formula>
    </cfRule>
    <cfRule type="expression" priority="747" dxfId="0">
      <formula>AND(IF($Q140=3,1,IF($Q140=4,1,0)),IF($F140&lt;=85,1,0))</formula>
    </cfRule>
  </conditionalFormatting>
  <conditionalFormatting sqref="AV141">
    <cfRule type="expression" priority="742" dxfId="17">
      <formula>AV141="X"</formula>
    </cfRule>
    <cfRule type="expression" priority="743" dxfId="16">
      <formula>AV141="후보"</formula>
    </cfRule>
  </conditionalFormatting>
  <conditionalFormatting sqref="AC141 N141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142">
    <cfRule type="expression" priority="737" dxfId="17">
      <formula>AV142="X"</formula>
    </cfRule>
    <cfRule type="expression" priority="738" dxfId="16">
      <formula>AV142="후보"</formula>
    </cfRule>
  </conditionalFormatting>
  <conditionalFormatting sqref="AC14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4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42">
    <cfRule type="expression" priority="728" dxfId="3">
      <formula>AND(IF(OR($Q142=1,$Q142=2),1,0),IF($X142&lt;=20,1,0))</formula>
    </cfRule>
    <cfRule type="expression" priority="729" dxfId="2">
      <formula>AND(IF($Q142=2,1,0),IF($X142&lt;30,1,0))</formula>
    </cfRule>
    <cfRule type="expression" priority="730" dxfId="1">
      <formula>AND(IF($Q142=3,1,0),IF($X142&lt;30,1,0))</formula>
    </cfRule>
    <cfRule type="expression" priority="731" dxfId="0">
      <formula>AND(IF($Q142=3,1,IF($Q142=4,1,0)),IF($F142&lt;=85,1,0))</formula>
    </cfRule>
  </conditionalFormatting>
  <conditionalFormatting sqref="X142">
    <cfRule type="expression" priority="724" dxfId="3">
      <formula>AND(IF(OR($Q142=1,$Q142=2),1,0),IF($X142&lt;=20,1,0))</formula>
    </cfRule>
    <cfRule type="expression" priority="725" dxfId="2">
      <formula>AND(IF($Q142=2,1,0),IF($X142&lt;30,1,0))</formula>
    </cfRule>
    <cfRule type="expression" priority="726" dxfId="1">
      <formula>AND(IF($Q142=3,1,0),IF($X142&lt;30,1,0))</formula>
    </cfRule>
    <cfRule type="expression" priority="727" dxfId="0">
      <formula>AND(IF($Q142=3,1,IF($Q142=4,1,0)),IF($F142&lt;=85,1,0))</formula>
    </cfRule>
  </conditionalFormatting>
  <conditionalFormatting sqref="AI142">
    <cfRule type="expression" priority="720" dxfId="3">
      <formula>AND(IF(OR($Q142=1,$Q142=2),1,0),IF($X142&lt;=20,1,0))</formula>
    </cfRule>
    <cfRule type="expression" priority="721" dxfId="2">
      <formula>AND(IF($Q142=2,1,0),IF($X142&lt;30,1,0))</formula>
    </cfRule>
    <cfRule type="expression" priority="722" dxfId="1">
      <formula>AND(IF($Q142=3,1,0),IF($X142&lt;30,1,0))</formula>
    </cfRule>
    <cfRule type="expression" priority="723" dxfId="0">
      <formula>AND(IF($Q142=3,1,IF($Q142=4,1,0)),IF($F142&lt;=85,1,0))</formula>
    </cfRule>
  </conditionalFormatting>
  <conditionalFormatting sqref="AV143">
    <cfRule type="expression" priority="718" dxfId="17">
      <formula>AV143="X"</formula>
    </cfRule>
    <cfRule type="expression" priority="719" dxfId="16">
      <formula>AV143="후보"</formula>
    </cfRule>
  </conditionalFormatting>
  <conditionalFormatting sqref="AC14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43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43">
    <cfRule type="expression" priority="709" dxfId="3">
      <formula>AND(IF(OR($Q143=1,$Q143=2),1,0),IF($X143&lt;=20,1,0))</formula>
    </cfRule>
    <cfRule type="expression" priority="710" dxfId="2">
      <formula>AND(IF($Q143=2,1,0),IF($X143&lt;30,1,0))</formula>
    </cfRule>
    <cfRule type="expression" priority="711" dxfId="1">
      <formula>AND(IF($Q143=3,1,0),IF($X143&lt;30,1,0))</formula>
    </cfRule>
    <cfRule type="expression" priority="712" dxfId="0">
      <formula>AND(IF($Q143=3,1,IF($Q143=4,1,0)),IF($F143&lt;=85,1,0))</formula>
    </cfRule>
  </conditionalFormatting>
  <conditionalFormatting sqref="X143">
    <cfRule type="expression" priority="705" dxfId="3">
      <formula>AND(IF(OR($Q143=1,$Q143=2),1,0),IF($X143&lt;=20,1,0))</formula>
    </cfRule>
    <cfRule type="expression" priority="706" dxfId="2">
      <formula>AND(IF($Q143=2,1,0),IF($X143&lt;30,1,0))</formula>
    </cfRule>
    <cfRule type="expression" priority="707" dxfId="1">
      <formula>AND(IF($Q143=3,1,0),IF($X143&lt;30,1,0))</formula>
    </cfRule>
    <cfRule type="expression" priority="708" dxfId="0">
      <formula>AND(IF($Q143=3,1,IF($Q143=4,1,0)),IF($F143&lt;=85,1,0))</formula>
    </cfRule>
  </conditionalFormatting>
  <conditionalFormatting sqref="AI143">
    <cfRule type="expression" priority="701" dxfId="3">
      <formula>AND(IF(OR($Q143=1,$Q143=2),1,0),IF($X143&lt;=20,1,0))</formula>
    </cfRule>
    <cfRule type="expression" priority="702" dxfId="2">
      <formula>AND(IF($Q143=2,1,0),IF($X143&lt;30,1,0))</formula>
    </cfRule>
    <cfRule type="expression" priority="703" dxfId="1">
      <formula>AND(IF($Q143=3,1,0),IF($X143&lt;30,1,0))</formula>
    </cfRule>
    <cfRule type="expression" priority="704" dxfId="0">
      <formula>AND(IF($Q143=3,1,IF($Q143=4,1,0)),IF($F143&lt;=85,1,0))</formula>
    </cfRule>
  </conditionalFormatting>
  <conditionalFormatting sqref="AV144">
    <cfRule type="expression" priority="699" dxfId="17">
      <formula>AV144="X"</formula>
    </cfRule>
    <cfRule type="expression" priority="700" dxfId="16">
      <formula>AV144="후보"</formula>
    </cfRule>
  </conditionalFormatting>
  <conditionalFormatting sqref="AC144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44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44">
    <cfRule type="expression" priority="690" dxfId="3">
      <formula>AND(IF(OR($Q144=1,$Q144=2),1,0),IF($X144&lt;=20,1,0))</formula>
    </cfRule>
    <cfRule type="expression" priority="691" dxfId="2">
      <formula>AND(IF($Q144=2,1,0),IF($X144&lt;30,1,0))</formula>
    </cfRule>
    <cfRule type="expression" priority="692" dxfId="1">
      <formula>AND(IF($Q144=3,1,0),IF($X144&lt;30,1,0))</formula>
    </cfRule>
    <cfRule type="expression" priority="693" dxfId="0">
      <formula>AND(IF($Q144=3,1,IF($Q144=4,1,0)),IF($F144&lt;=85,1,0))</formula>
    </cfRule>
  </conditionalFormatting>
  <conditionalFormatting sqref="X144">
    <cfRule type="expression" priority="686" dxfId="3">
      <formula>AND(IF(OR($Q144=1,$Q144=2),1,0),IF($X144&lt;=20,1,0))</formula>
    </cfRule>
    <cfRule type="expression" priority="687" dxfId="2">
      <formula>AND(IF($Q144=2,1,0),IF($X144&lt;30,1,0))</formula>
    </cfRule>
    <cfRule type="expression" priority="688" dxfId="1">
      <formula>AND(IF($Q144=3,1,0),IF($X144&lt;30,1,0))</formula>
    </cfRule>
    <cfRule type="expression" priority="689" dxfId="0">
      <formula>AND(IF($Q144=3,1,IF($Q144=4,1,0)),IF($F144&lt;=85,1,0))</formula>
    </cfRule>
  </conditionalFormatting>
  <conditionalFormatting sqref="AI144">
    <cfRule type="expression" priority="682" dxfId="3">
      <formula>AND(IF(OR($Q144=1,$Q144=2),1,0),IF($X144&lt;=20,1,0))</formula>
    </cfRule>
    <cfRule type="expression" priority="683" dxfId="2">
      <formula>AND(IF($Q144=2,1,0),IF($X144&lt;30,1,0))</formula>
    </cfRule>
    <cfRule type="expression" priority="684" dxfId="1">
      <formula>AND(IF($Q144=3,1,0),IF($X144&lt;30,1,0))</formula>
    </cfRule>
    <cfRule type="expression" priority="685" dxfId="0">
      <formula>AND(IF($Q144=3,1,IF($Q144=4,1,0)),IF($F144&lt;=85,1,0))</formula>
    </cfRule>
  </conditionalFormatting>
  <conditionalFormatting sqref="AV145">
    <cfRule type="expression" priority="680" dxfId="17">
      <formula>AV145="X"</formula>
    </cfRule>
    <cfRule type="expression" priority="681" dxfId="16">
      <formula>AV145="후보"</formula>
    </cfRule>
  </conditionalFormatting>
  <conditionalFormatting sqref="AC145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45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45">
    <cfRule type="expression" priority="671" dxfId="3">
      <formula>AND(IF(OR($Q145=1,$Q145=2),1,0),IF($X145&lt;=20,1,0))</formula>
    </cfRule>
    <cfRule type="expression" priority="672" dxfId="2">
      <formula>AND(IF($Q145=2,1,0),IF($X145&lt;30,1,0))</formula>
    </cfRule>
    <cfRule type="expression" priority="673" dxfId="1">
      <formula>AND(IF($Q145=3,1,0),IF($X145&lt;30,1,0))</formula>
    </cfRule>
    <cfRule type="expression" priority="674" dxfId="0">
      <formula>AND(IF($Q145=3,1,IF($Q145=4,1,0)),IF($F145&lt;=85,1,0))</formula>
    </cfRule>
  </conditionalFormatting>
  <conditionalFormatting sqref="X145">
    <cfRule type="expression" priority="667" dxfId="3">
      <formula>AND(IF(OR($Q145=1,$Q145=2),1,0),IF($X145&lt;=20,1,0))</formula>
    </cfRule>
    <cfRule type="expression" priority="668" dxfId="2">
      <formula>AND(IF($Q145=2,1,0),IF($X145&lt;30,1,0))</formula>
    </cfRule>
    <cfRule type="expression" priority="669" dxfId="1">
      <formula>AND(IF($Q145=3,1,0),IF($X145&lt;30,1,0))</formula>
    </cfRule>
    <cfRule type="expression" priority="670" dxfId="0">
      <formula>AND(IF($Q145=3,1,IF($Q145=4,1,0)),IF($F145&lt;=85,1,0))</formula>
    </cfRule>
  </conditionalFormatting>
  <conditionalFormatting sqref="AI145">
    <cfRule type="expression" priority="663" dxfId="3">
      <formula>AND(IF(OR($Q145=1,$Q145=2),1,0),IF($X145&lt;=20,1,0))</formula>
    </cfRule>
    <cfRule type="expression" priority="664" dxfId="2">
      <formula>AND(IF($Q145=2,1,0),IF($X145&lt;30,1,0))</formula>
    </cfRule>
    <cfRule type="expression" priority="665" dxfId="1">
      <formula>AND(IF($Q145=3,1,0),IF($X145&lt;30,1,0))</formula>
    </cfRule>
    <cfRule type="expression" priority="666" dxfId="0">
      <formula>AND(IF($Q145=3,1,IF($Q145=4,1,0)),IF($F145&lt;=85,1,0))</formula>
    </cfRule>
  </conditionalFormatting>
  <conditionalFormatting sqref="AV146">
    <cfRule type="expression" priority="661" dxfId="17">
      <formula>AV146="X"</formula>
    </cfRule>
    <cfRule type="expression" priority="662" dxfId="16">
      <formula>AV146="후보"</formula>
    </cfRule>
  </conditionalFormatting>
  <conditionalFormatting sqref="AC146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46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46">
    <cfRule type="expression" priority="652" dxfId="3">
      <formula>AND(IF(OR($Q146=1,$Q146=2),1,0),IF($X146&lt;=20,1,0))</formula>
    </cfRule>
    <cfRule type="expression" priority="653" dxfId="2">
      <formula>AND(IF($Q146=2,1,0),IF($X146&lt;30,1,0))</formula>
    </cfRule>
    <cfRule type="expression" priority="654" dxfId="1">
      <formula>AND(IF($Q146=3,1,0),IF($X146&lt;30,1,0))</formula>
    </cfRule>
    <cfRule type="expression" priority="655" dxfId="0">
      <formula>AND(IF($Q146=3,1,IF($Q146=4,1,0)),IF($F146&lt;=85,1,0))</formula>
    </cfRule>
  </conditionalFormatting>
  <conditionalFormatting sqref="X146">
    <cfRule type="expression" priority="648" dxfId="3">
      <formula>AND(IF(OR($Q146=1,$Q146=2),1,0),IF($X146&lt;=20,1,0))</formula>
    </cfRule>
    <cfRule type="expression" priority="649" dxfId="2">
      <formula>AND(IF($Q146=2,1,0),IF($X146&lt;30,1,0))</formula>
    </cfRule>
    <cfRule type="expression" priority="650" dxfId="1">
      <formula>AND(IF($Q146=3,1,0),IF($X146&lt;30,1,0))</formula>
    </cfRule>
    <cfRule type="expression" priority="651" dxfId="0">
      <formula>AND(IF($Q146=3,1,IF($Q146=4,1,0)),IF($F146&lt;=85,1,0))</formula>
    </cfRule>
  </conditionalFormatting>
  <conditionalFormatting sqref="AI146">
    <cfRule type="expression" priority="644" dxfId="3">
      <formula>AND(IF(OR($Q146=1,$Q146=2),1,0),IF($X146&lt;=20,1,0))</formula>
    </cfRule>
    <cfRule type="expression" priority="645" dxfId="2">
      <formula>AND(IF($Q146=2,1,0),IF($X146&lt;30,1,0))</formula>
    </cfRule>
    <cfRule type="expression" priority="646" dxfId="1">
      <formula>AND(IF($Q146=3,1,0),IF($X146&lt;30,1,0))</formula>
    </cfRule>
    <cfRule type="expression" priority="647" dxfId="0">
      <formula>AND(IF($Q146=3,1,IF($Q146=4,1,0)),IF($F146&lt;=85,1,0))</formula>
    </cfRule>
  </conditionalFormatting>
  <conditionalFormatting sqref="AV147">
    <cfRule type="expression" priority="642" dxfId="17">
      <formula>AV147="X"</formula>
    </cfRule>
    <cfRule type="expression" priority="643" dxfId="16">
      <formula>AV147="후보"</formula>
    </cfRule>
  </conditionalFormatting>
  <conditionalFormatting sqref="AC14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4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47">
    <cfRule type="expression" priority="633" dxfId="3">
      <formula>AND(IF(OR($Q147=1,$Q147=2),1,0),IF($X147&lt;=20,1,0))</formula>
    </cfRule>
    <cfRule type="expression" priority="634" dxfId="2">
      <formula>AND(IF($Q147=2,1,0),IF($X147&lt;30,1,0))</formula>
    </cfRule>
    <cfRule type="expression" priority="635" dxfId="1">
      <formula>AND(IF($Q147=3,1,0),IF($X147&lt;30,1,0))</formula>
    </cfRule>
    <cfRule type="expression" priority="636" dxfId="0">
      <formula>AND(IF($Q147=3,1,IF($Q147=4,1,0)),IF($F147&lt;=85,1,0))</formula>
    </cfRule>
  </conditionalFormatting>
  <conditionalFormatting sqref="X147">
    <cfRule type="expression" priority="629" dxfId="3">
      <formula>AND(IF(OR($Q147=1,$Q147=2),1,0),IF($X147&lt;=20,1,0))</formula>
    </cfRule>
    <cfRule type="expression" priority="630" dxfId="2">
      <formula>AND(IF($Q147=2,1,0),IF($X147&lt;30,1,0))</formula>
    </cfRule>
    <cfRule type="expression" priority="631" dxfId="1">
      <formula>AND(IF($Q147=3,1,0),IF($X147&lt;30,1,0))</formula>
    </cfRule>
    <cfRule type="expression" priority="632" dxfId="0">
      <formula>AND(IF($Q147=3,1,IF($Q147=4,1,0)),IF($F147&lt;=85,1,0))</formula>
    </cfRule>
  </conditionalFormatting>
  <conditionalFormatting sqref="AI147">
    <cfRule type="expression" priority="625" dxfId="3">
      <formula>AND(IF(OR($Q147=1,$Q147=2),1,0),IF($X147&lt;=20,1,0))</formula>
    </cfRule>
    <cfRule type="expression" priority="626" dxfId="2">
      <formula>AND(IF($Q147=2,1,0),IF($X147&lt;30,1,0))</formula>
    </cfRule>
    <cfRule type="expression" priority="627" dxfId="1">
      <formula>AND(IF($Q147=3,1,0),IF($X147&lt;30,1,0))</formula>
    </cfRule>
    <cfRule type="expression" priority="628" dxfId="0">
      <formula>AND(IF($Q147=3,1,IF($Q147=4,1,0)),IF($F147&lt;=85,1,0))</formula>
    </cfRule>
  </conditionalFormatting>
  <conditionalFormatting sqref="AV148">
    <cfRule type="expression" priority="623" dxfId="17">
      <formula>AV148="X"</formula>
    </cfRule>
    <cfRule type="expression" priority="624" dxfId="16">
      <formula>AV148="후보"</formula>
    </cfRule>
  </conditionalFormatting>
  <conditionalFormatting sqref="AC148 N14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49">
    <cfRule type="expression" priority="618" dxfId="17">
      <formula>AV149="X"</formula>
    </cfRule>
    <cfRule type="expression" priority="619" dxfId="16">
      <formula>AV149="후보"</formula>
    </cfRule>
  </conditionalFormatting>
  <conditionalFormatting sqref="AC149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49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49">
    <cfRule type="expression" priority="609" dxfId="3">
      <formula>AND(IF(OR($Q149=1,$Q149=2),1,0),IF($X149&lt;=20,1,0))</formula>
    </cfRule>
    <cfRule type="expression" priority="610" dxfId="2">
      <formula>AND(IF($Q149=2,1,0),IF($X149&lt;30,1,0))</formula>
    </cfRule>
    <cfRule type="expression" priority="611" dxfId="1">
      <formula>AND(IF($Q149=3,1,0),IF($X149&lt;30,1,0))</formula>
    </cfRule>
    <cfRule type="expression" priority="612" dxfId="0">
      <formula>AND(IF($Q149=3,1,IF($Q149=4,1,0)),IF($F149&lt;=85,1,0))</formula>
    </cfRule>
  </conditionalFormatting>
  <conditionalFormatting sqref="X149">
    <cfRule type="expression" priority="605" dxfId="3">
      <formula>AND(IF(OR($Q149=1,$Q149=2),1,0),IF($X149&lt;=20,1,0))</formula>
    </cfRule>
    <cfRule type="expression" priority="606" dxfId="2">
      <formula>AND(IF($Q149=2,1,0),IF($X149&lt;30,1,0))</formula>
    </cfRule>
    <cfRule type="expression" priority="607" dxfId="1">
      <formula>AND(IF($Q149=3,1,0),IF($X149&lt;30,1,0))</formula>
    </cfRule>
    <cfRule type="expression" priority="608" dxfId="0">
      <formula>AND(IF($Q149=3,1,IF($Q149=4,1,0)),IF($F149&lt;=85,1,0))</formula>
    </cfRule>
  </conditionalFormatting>
  <conditionalFormatting sqref="AI149">
    <cfRule type="expression" priority="601" dxfId="3">
      <formula>AND(IF(OR($Q149=1,$Q149=2),1,0),IF($X149&lt;=20,1,0))</formula>
    </cfRule>
    <cfRule type="expression" priority="602" dxfId="2">
      <formula>AND(IF($Q149=2,1,0),IF($X149&lt;30,1,0))</formula>
    </cfRule>
    <cfRule type="expression" priority="603" dxfId="1">
      <formula>AND(IF($Q149=3,1,0),IF($X149&lt;30,1,0))</formula>
    </cfRule>
    <cfRule type="expression" priority="604" dxfId="0">
      <formula>AND(IF($Q149=3,1,IF($Q149=4,1,0)),IF($F149&lt;=85,1,0))</formula>
    </cfRule>
  </conditionalFormatting>
  <conditionalFormatting sqref="AV150">
    <cfRule type="expression" priority="599" dxfId="17">
      <formula>AV150="X"</formula>
    </cfRule>
    <cfRule type="expression" priority="600" dxfId="16">
      <formula>AV150="후보"</formula>
    </cfRule>
  </conditionalFormatting>
  <conditionalFormatting sqref="AC150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50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50">
    <cfRule type="expression" priority="590" dxfId="3">
      <formula>AND(IF(OR($Q150=1,$Q150=2),1,0),IF($X150&lt;=20,1,0))</formula>
    </cfRule>
    <cfRule type="expression" priority="591" dxfId="2">
      <formula>AND(IF($Q150=2,1,0),IF($X150&lt;30,1,0))</formula>
    </cfRule>
    <cfRule type="expression" priority="592" dxfId="1">
      <formula>AND(IF($Q150=3,1,0),IF($X150&lt;30,1,0))</formula>
    </cfRule>
    <cfRule type="expression" priority="593" dxfId="0">
      <formula>AND(IF($Q150=3,1,IF($Q150=4,1,0)),IF($F150&lt;=85,1,0))</formula>
    </cfRule>
  </conditionalFormatting>
  <conditionalFormatting sqref="X150">
    <cfRule type="expression" priority="586" dxfId="3">
      <formula>AND(IF(OR($Q150=1,$Q150=2),1,0),IF($X150&lt;=20,1,0))</formula>
    </cfRule>
    <cfRule type="expression" priority="587" dxfId="2">
      <formula>AND(IF($Q150=2,1,0),IF($X150&lt;30,1,0))</formula>
    </cfRule>
    <cfRule type="expression" priority="588" dxfId="1">
      <formula>AND(IF($Q150=3,1,0),IF($X150&lt;30,1,0))</formula>
    </cfRule>
    <cfRule type="expression" priority="589" dxfId="0">
      <formula>AND(IF($Q150=3,1,IF($Q150=4,1,0)),IF($F150&lt;=85,1,0))</formula>
    </cfRule>
  </conditionalFormatting>
  <conditionalFormatting sqref="AI150">
    <cfRule type="expression" priority="582" dxfId="3">
      <formula>AND(IF(OR($Q150=1,$Q150=2),1,0),IF($X150&lt;=20,1,0))</formula>
    </cfRule>
    <cfRule type="expression" priority="583" dxfId="2">
      <formula>AND(IF($Q150=2,1,0),IF($X150&lt;30,1,0))</formula>
    </cfRule>
    <cfRule type="expression" priority="584" dxfId="1">
      <formula>AND(IF($Q150=3,1,0),IF($X150&lt;30,1,0))</formula>
    </cfRule>
    <cfRule type="expression" priority="585" dxfId="0">
      <formula>AND(IF($Q150=3,1,IF($Q150=4,1,0)),IF($F150&lt;=85,1,0))</formula>
    </cfRule>
  </conditionalFormatting>
  <conditionalFormatting sqref="AV151">
    <cfRule type="expression" priority="580" dxfId="17">
      <formula>AV151="X"</formula>
    </cfRule>
    <cfRule type="expression" priority="581" dxfId="16">
      <formula>AV151="후보"</formula>
    </cfRule>
  </conditionalFormatting>
  <conditionalFormatting sqref="AC151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51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51">
    <cfRule type="expression" priority="571" dxfId="3">
      <formula>AND(IF(OR($Q151=1,$Q151=2),1,0),IF($X151&lt;=20,1,0))</formula>
    </cfRule>
    <cfRule type="expression" priority="572" dxfId="2">
      <formula>AND(IF($Q151=2,1,0),IF($X151&lt;30,1,0))</formula>
    </cfRule>
    <cfRule type="expression" priority="573" dxfId="1">
      <formula>AND(IF($Q151=3,1,0),IF($X151&lt;30,1,0))</formula>
    </cfRule>
    <cfRule type="expression" priority="574" dxfId="0">
      <formula>AND(IF($Q151=3,1,IF($Q151=4,1,0)),IF($F151&lt;=85,1,0))</formula>
    </cfRule>
  </conditionalFormatting>
  <conditionalFormatting sqref="X151">
    <cfRule type="expression" priority="567" dxfId="3">
      <formula>AND(IF(OR($Q151=1,$Q151=2),1,0),IF($X151&lt;=20,1,0))</formula>
    </cfRule>
    <cfRule type="expression" priority="568" dxfId="2">
      <formula>AND(IF($Q151=2,1,0),IF($X151&lt;30,1,0))</formula>
    </cfRule>
    <cfRule type="expression" priority="569" dxfId="1">
      <formula>AND(IF($Q151=3,1,0),IF($X151&lt;30,1,0))</formula>
    </cfRule>
    <cfRule type="expression" priority="570" dxfId="0">
      <formula>AND(IF($Q151=3,1,IF($Q151=4,1,0)),IF($F151&lt;=85,1,0))</formula>
    </cfRule>
  </conditionalFormatting>
  <conditionalFormatting sqref="AI151">
    <cfRule type="expression" priority="563" dxfId="3">
      <formula>AND(IF(OR($Q151=1,$Q151=2),1,0),IF($X151&lt;=20,1,0))</formula>
    </cfRule>
    <cfRule type="expression" priority="564" dxfId="2">
      <formula>AND(IF($Q151=2,1,0),IF($X151&lt;30,1,0))</formula>
    </cfRule>
    <cfRule type="expression" priority="565" dxfId="1">
      <formula>AND(IF($Q151=3,1,0),IF($X151&lt;30,1,0))</formula>
    </cfRule>
    <cfRule type="expression" priority="566" dxfId="0">
      <formula>AND(IF($Q151=3,1,IF($Q151=4,1,0)),IF($F151&lt;=85,1,0))</formula>
    </cfRule>
  </conditionalFormatting>
  <conditionalFormatting sqref="AV152">
    <cfRule type="expression" priority="561" dxfId="17">
      <formula>AV152="X"</formula>
    </cfRule>
    <cfRule type="expression" priority="562" dxfId="16">
      <formula>AV152="후보"</formula>
    </cfRule>
  </conditionalFormatting>
  <conditionalFormatting sqref="AC152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52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52">
    <cfRule type="expression" priority="552" dxfId="3">
      <formula>AND(IF(OR($Q152=1,$Q152=2),1,0),IF($X152&lt;=20,1,0))</formula>
    </cfRule>
    <cfRule type="expression" priority="553" dxfId="2">
      <formula>AND(IF($Q152=2,1,0),IF($X152&lt;30,1,0))</formula>
    </cfRule>
    <cfRule type="expression" priority="554" dxfId="1">
      <formula>AND(IF($Q152=3,1,0),IF($X152&lt;30,1,0))</formula>
    </cfRule>
    <cfRule type="expression" priority="555" dxfId="0">
      <formula>AND(IF($Q152=3,1,IF($Q152=4,1,0)),IF($F152&lt;=85,1,0))</formula>
    </cfRule>
  </conditionalFormatting>
  <conditionalFormatting sqref="X152">
    <cfRule type="expression" priority="548" dxfId="3">
      <formula>AND(IF(OR($Q152=1,$Q152=2),1,0),IF($X152&lt;=20,1,0))</formula>
    </cfRule>
    <cfRule type="expression" priority="549" dxfId="2">
      <formula>AND(IF($Q152=2,1,0),IF($X152&lt;30,1,0))</formula>
    </cfRule>
    <cfRule type="expression" priority="550" dxfId="1">
      <formula>AND(IF($Q152=3,1,0),IF($X152&lt;30,1,0))</formula>
    </cfRule>
    <cfRule type="expression" priority="551" dxfId="0">
      <formula>AND(IF($Q152=3,1,IF($Q152=4,1,0)),IF($F152&lt;=85,1,0))</formula>
    </cfRule>
  </conditionalFormatting>
  <conditionalFormatting sqref="AI152">
    <cfRule type="expression" priority="544" dxfId="3">
      <formula>AND(IF(OR($Q152=1,$Q152=2),1,0),IF($X152&lt;=20,1,0))</formula>
    </cfRule>
    <cfRule type="expression" priority="545" dxfId="2">
      <formula>AND(IF($Q152=2,1,0),IF($X152&lt;30,1,0))</formula>
    </cfRule>
    <cfRule type="expression" priority="546" dxfId="1">
      <formula>AND(IF($Q152=3,1,0),IF($X152&lt;30,1,0))</formula>
    </cfRule>
    <cfRule type="expression" priority="547" dxfId="0">
      <formula>AND(IF($Q152=3,1,IF($Q152=4,1,0)),IF($F152&lt;=85,1,0))</formula>
    </cfRule>
  </conditionalFormatting>
  <conditionalFormatting sqref="AV153">
    <cfRule type="expression" priority="542" dxfId="17">
      <formula>AV153="X"</formula>
    </cfRule>
    <cfRule type="expression" priority="543" dxfId="16">
      <formula>AV153="후보"</formula>
    </cfRule>
  </conditionalFormatting>
  <conditionalFormatting sqref="AC153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5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53">
    <cfRule type="expression" priority="533" dxfId="3">
      <formula>AND(IF(OR($Q153=1,$Q153=2),1,0),IF($X153&lt;=20,1,0))</formula>
    </cfRule>
    <cfRule type="expression" priority="534" dxfId="2">
      <formula>AND(IF($Q153=2,1,0),IF($X153&lt;30,1,0))</formula>
    </cfRule>
    <cfRule type="expression" priority="535" dxfId="1">
      <formula>AND(IF($Q153=3,1,0),IF($X153&lt;30,1,0))</formula>
    </cfRule>
    <cfRule type="expression" priority="536" dxfId="0">
      <formula>AND(IF($Q153=3,1,IF($Q153=4,1,0)),IF($F153&lt;=85,1,0))</formula>
    </cfRule>
  </conditionalFormatting>
  <conditionalFormatting sqref="X153">
    <cfRule type="expression" priority="529" dxfId="3">
      <formula>AND(IF(OR($Q153=1,$Q153=2),1,0),IF($X153&lt;=20,1,0))</formula>
    </cfRule>
    <cfRule type="expression" priority="530" dxfId="2">
      <formula>AND(IF($Q153=2,1,0),IF($X153&lt;30,1,0))</formula>
    </cfRule>
    <cfRule type="expression" priority="531" dxfId="1">
      <formula>AND(IF($Q153=3,1,0),IF($X153&lt;30,1,0))</formula>
    </cfRule>
    <cfRule type="expression" priority="532" dxfId="0">
      <formula>AND(IF($Q153=3,1,IF($Q153=4,1,0)),IF($F153&lt;=85,1,0))</formula>
    </cfRule>
  </conditionalFormatting>
  <conditionalFormatting sqref="AI153">
    <cfRule type="expression" priority="525" dxfId="3">
      <formula>AND(IF(OR($Q153=1,$Q153=2),1,0),IF($X153&lt;=20,1,0))</formula>
    </cfRule>
    <cfRule type="expression" priority="526" dxfId="2">
      <formula>AND(IF($Q153=2,1,0),IF($X153&lt;30,1,0))</formula>
    </cfRule>
    <cfRule type="expression" priority="527" dxfId="1">
      <formula>AND(IF($Q153=3,1,0),IF($X153&lt;30,1,0))</formula>
    </cfRule>
    <cfRule type="expression" priority="528" dxfId="0">
      <formula>AND(IF($Q153=3,1,IF($Q153=4,1,0)),IF($F153&lt;=85,1,0))</formula>
    </cfRule>
  </conditionalFormatting>
  <conditionalFormatting sqref="AV154">
    <cfRule type="expression" priority="523" dxfId="17">
      <formula>AV154="X"</formula>
    </cfRule>
    <cfRule type="expression" priority="524" dxfId="16">
      <formula>AV154="후보"</formula>
    </cfRule>
  </conditionalFormatting>
  <conditionalFormatting sqref="AC154 N154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155">
    <cfRule type="expression" priority="518" dxfId="17">
      <formula>AV155="X"</formula>
    </cfRule>
    <cfRule type="expression" priority="519" dxfId="16">
      <formula>AV155="후보"</formula>
    </cfRule>
  </conditionalFormatting>
  <conditionalFormatting sqref="AC15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5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55">
    <cfRule type="expression" priority="509" dxfId="3">
      <formula>AND(IF(OR($Q155=1,$Q155=2),1,0),IF($X155&lt;=20,1,0))</formula>
    </cfRule>
    <cfRule type="expression" priority="510" dxfId="2">
      <formula>AND(IF($Q155=2,1,0),IF($X155&lt;30,1,0))</formula>
    </cfRule>
    <cfRule type="expression" priority="511" dxfId="1">
      <formula>AND(IF($Q155=3,1,0),IF($X155&lt;30,1,0))</formula>
    </cfRule>
    <cfRule type="expression" priority="512" dxfId="0">
      <formula>AND(IF($Q155=3,1,IF($Q155=4,1,0)),IF($F155&lt;=85,1,0))</formula>
    </cfRule>
  </conditionalFormatting>
  <conditionalFormatting sqref="X155">
    <cfRule type="expression" priority="505" dxfId="3">
      <formula>AND(IF(OR($Q155=1,$Q155=2),1,0),IF($X155&lt;=20,1,0))</formula>
    </cfRule>
    <cfRule type="expression" priority="506" dxfId="2">
      <formula>AND(IF($Q155=2,1,0),IF($X155&lt;30,1,0))</formula>
    </cfRule>
    <cfRule type="expression" priority="507" dxfId="1">
      <formula>AND(IF($Q155=3,1,0),IF($X155&lt;30,1,0))</formula>
    </cfRule>
    <cfRule type="expression" priority="508" dxfId="0">
      <formula>AND(IF($Q155=3,1,IF($Q155=4,1,0)),IF($F155&lt;=85,1,0))</formula>
    </cfRule>
  </conditionalFormatting>
  <conditionalFormatting sqref="AI155">
    <cfRule type="expression" priority="501" dxfId="3">
      <formula>AND(IF(OR($Q155=1,$Q155=2),1,0),IF($X155&lt;=20,1,0))</formula>
    </cfRule>
    <cfRule type="expression" priority="502" dxfId="2">
      <formula>AND(IF($Q155=2,1,0),IF($X155&lt;30,1,0))</formula>
    </cfRule>
    <cfRule type="expression" priority="503" dxfId="1">
      <formula>AND(IF($Q155=3,1,0),IF($X155&lt;30,1,0))</formula>
    </cfRule>
    <cfRule type="expression" priority="504" dxfId="0">
      <formula>AND(IF($Q155=3,1,IF($Q155=4,1,0)),IF($F155&lt;=85,1,0))</formula>
    </cfRule>
  </conditionalFormatting>
  <conditionalFormatting sqref="AV156">
    <cfRule type="expression" priority="499" dxfId="17">
      <formula>AV156="X"</formula>
    </cfRule>
    <cfRule type="expression" priority="500" dxfId="16">
      <formula>AV156="후보"</formula>
    </cfRule>
  </conditionalFormatting>
  <conditionalFormatting sqref="AC15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5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56">
    <cfRule type="expression" priority="490" dxfId="3">
      <formula>AND(IF(OR($Q156=1,$Q156=2),1,0),IF($X156&lt;=20,1,0))</formula>
    </cfRule>
    <cfRule type="expression" priority="491" dxfId="2">
      <formula>AND(IF($Q156=2,1,0),IF($X156&lt;30,1,0))</formula>
    </cfRule>
    <cfRule type="expression" priority="492" dxfId="1">
      <formula>AND(IF($Q156=3,1,0),IF($X156&lt;30,1,0))</formula>
    </cfRule>
    <cfRule type="expression" priority="493" dxfId="0">
      <formula>AND(IF($Q156=3,1,IF($Q156=4,1,0)),IF($F156&lt;=85,1,0))</formula>
    </cfRule>
  </conditionalFormatting>
  <conditionalFormatting sqref="X156">
    <cfRule type="expression" priority="486" dxfId="3">
      <formula>AND(IF(OR($Q156=1,$Q156=2),1,0),IF($X156&lt;=20,1,0))</formula>
    </cfRule>
    <cfRule type="expression" priority="487" dxfId="2">
      <formula>AND(IF($Q156=2,1,0),IF($X156&lt;30,1,0))</formula>
    </cfRule>
    <cfRule type="expression" priority="488" dxfId="1">
      <formula>AND(IF($Q156=3,1,0),IF($X156&lt;30,1,0))</formula>
    </cfRule>
    <cfRule type="expression" priority="489" dxfId="0">
      <formula>AND(IF($Q156=3,1,IF($Q156=4,1,0)),IF($F156&lt;=85,1,0))</formula>
    </cfRule>
  </conditionalFormatting>
  <conditionalFormatting sqref="AI156">
    <cfRule type="expression" priority="482" dxfId="3">
      <formula>AND(IF(OR($Q156=1,$Q156=2),1,0),IF($X156&lt;=20,1,0))</formula>
    </cfRule>
    <cfRule type="expression" priority="483" dxfId="2">
      <formula>AND(IF($Q156=2,1,0),IF($X156&lt;30,1,0))</formula>
    </cfRule>
    <cfRule type="expression" priority="484" dxfId="1">
      <formula>AND(IF($Q156=3,1,0),IF($X156&lt;30,1,0))</formula>
    </cfRule>
    <cfRule type="expression" priority="485" dxfId="0">
      <formula>AND(IF($Q156=3,1,IF($Q156=4,1,0)),IF($F156&lt;=85,1,0))</formula>
    </cfRule>
  </conditionalFormatting>
  <conditionalFormatting sqref="AV157">
    <cfRule type="expression" priority="480" dxfId="17">
      <formula>AV157="X"</formula>
    </cfRule>
    <cfRule type="expression" priority="481" dxfId="16">
      <formula>AV157="후보"</formula>
    </cfRule>
  </conditionalFormatting>
  <conditionalFormatting sqref="AC15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5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57">
    <cfRule type="expression" priority="471" dxfId="3">
      <formula>AND(IF(OR($Q157=1,$Q157=2),1,0),IF($X157&lt;=20,1,0))</formula>
    </cfRule>
    <cfRule type="expression" priority="472" dxfId="2">
      <formula>AND(IF($Q157=2,1,0),IF($X157&lt;30,1,0))</formula>
    </cfRule>
    <cfRule type="expression" priority="473" dxfId="1">
      <formula>AND(IF($Q157=3,1,0),IF($X157&lt;30,1,0))</formula>
    </cfRule>
    <cfRule type="expression" priority="474" dxfId="0">
      <formula>AND(IF($Q157=3,1,IF($Q157=4,1,0)),IF($F157&lt;=85,1,0))</formula>
    </cfRule>
  </conditionalFormatting>
  <conditionalFormatting sqref="X157">
    <cfRule type="expression" priority="467" dxfId="3">
      <formula>AND(IF(OR($Q157=1,$Q157=2),1,0),IF($X157&lt;=20,1,0))</formula>
    </cfRule>
    <cfRule type="expression" priority="468" dxfId="2">
      <formula>AND(IF($Q157=2,1,0),IF($X157&lt;30,1,0))</formula>
    </cfRule>
    <cfRule type="expression" priority="469" dxfId="1">
      <formula>AND(IF($Q157=3,1,0),IF($X157&lt;30,1,0))</formula>
    </cfRule>
    <cfRule type="expression" priority="470" dxfId="0">
      <formula>AND(IF($Q157=3,1,IF($Q157=4,1,0)),IF($F157&lt;=85,1,0))</formula>
    </cfRule>
  </conditionalFormatting>
  <conditionalFormatting sqref="AI157">
    <cfRule type="expression" priority="463" dxfId="3">
      <formula>AND(IF(OR($Q157=1,$Q157=2),1,0),IF($X157&lt;=20,1,0))</formula>
    </cfRule>
    <cfRule type="expression" priority="464" dxfId="2">
      <formula>AND(IF($Q157=2,1,0),IF($X157&lt;30,1,0))</formula>
    </cfRule>
    <cfRule type="expression" priority="465" dxfId="1">
      <formula>AND(IF($Q157=3,1,0),IF($X157&lt;30,1,0))</formula>
    </cfRule>
    <cfRule type="expression" priority="466" dxfId="0">
      <formula>AND(IF($Q157=3,1,IF($Q157=4,1,0)),IF($F157&lt;=85,1,0))</formula>
    </cfRule>
  </conditionalFormatting>
  <conditionalFormatting sqref="AV158">
    <cfRule type="expression" priority="461" dxfId="17">
      <formula>AV158="X"</formula>
    </cfRule>
    <cfRule type="expression" priority="462" dxfId="16">
      <formula>AV158="후보"</formula>
    </cfRule>
  </conditionalFormatting>
  <conditionalFormatting sqref="AC15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5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58">
    <cfRule type="expression" priority="452" dxfId="3">
      <formula>AND(IF(OR($Q158=1,$Q158=2),1,0),IF($X158&lt;=20,1,0))</formula>
    </cfRule>
    <cfRule type="expression" priority="453" dxfId="2">
      <formula>AND(IF($Q158=2,1,0),IF($X158&lt;30,1,0))</formula>
    </cfRule>
    <cfRule type="expression" priority="454" dxfId="1">
      <formula>AND(IF($Q158=3,1,0),IF($X158&lt;30,1,0))</formula>
    </cfRule>
    <cfRule type="expression" priority="455" dxfId="0">
      <formula>AND(IF($Q158=3,1,IF($Q158=4,1,0)),IF($F158&lt;=85,1,0))</formula>
    </cfRule>
  </conditionalFormatting>
  <conditionalFormatting sqref="X158">
    <cfRule type="expression" priority="448" dxfId="3">
      <formula>AND(IF(OR($Q158=1,$Q158=2),1,0),IF($X158&lt;=20,1,0))</formula>
    </cfRule>
    <cfRule type="expression" priority="449" dxfId="2">
      <formula>AND(IF($Q158=2,1,0),IF($X158&lt;30,1,0))</formula>
    </cfRule>
    <cfRule type="expression" priority="450" dxfId="1">
      <formula>AND(IF($Q158=3,1,0),IF($X158&lt;30,1,0))</formula>
    </cfRule>
    <cfRule type="expression" priority="451" dxfId="0">
      <formula>AND(IF($Q158=3,1,IF($Q158=4,1,0)),IF($F158&lt;=85,1,0))</formula>
    </cfRule>
  </conditionalFormatting>
  <conditionalFormatting sqref="AI158">
    <cfRule type="expression" priority="444" dxfId="3">
      <formula>AND(IF(OR($Q158=1,$Q158=2),1,0),IF($X158&lt;=20,1,0))</formula>
    </cfRule>
    <cfRule type="expression" priority="445" dxfId="2">
      <formula>AND(IF($Q158=2,1,0),IF($X158&lt;30,1,0))</formula>
    </cfRule>
    <cfRule type="expression" priority="446" dxfId="1">
      <formula>AND(IF($Q158=3,1,0),IF($X158&lt;30,1,0))</formula>
    </cfRule>
    <cfRule type="expression" priority="447" dxfId="0">
      <formula>AND(IF($Q158=3,1,IF($Q158=4,1,0)),IF($F158&lt;=85,1,0))</formula>
    </cfRule>
  </conditionalFormatting>
  <conditionalFormatting sqref="AV159">
    <cfRule type="expression" priority="442" dxfId="17">
      <formula>AV159="X"</formula>
    </cfRule>
    <cfRule type="expression" priority="443" dxfId="16">
      <formula>AV159="후보"</formula>
    </cfRule>
  </conditionalFormatting>
  <conditionalFormatting sqref="AC15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5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59">
    <cfRule type="expression" priority="433" dxfId="3">
      <formula>AND(IF(OR($Q159=1,$Q159=2),1,0),IF($X159&lt;=20,1,0))</formula>
    </cfRule>
    <cfRule type="expression" priority="434" dxfId="2">
      <formula>AND(IF($Q159=2,1,0),IF($X159&lt;30,1,0))</formula>
    </cfRule>
    <cfRule type="expression" priority="435" dxfId="1">
      <formula>AND(IF($Q159=3,1,0),IF($X159&lt;30,1,0))</formula>
    </cfRule>
    <cfRule type="expression" priority="436" dxfId="0">
      <formula>AND(IF($Q159=3,1,IF($Q159=4,1,0)),IF($F159&lt;=85,1,0))</formula>
    </cfRule>
  </conditionalFormatting>
  <conditionalFormatting sqref="X159">
    <cfRule type="expression" priority="429" dxfId="3">
      <formula>AND(IF(OR($Q159=1,$Q159=2),1,0),IF($X159&lt;=20,1,0))</formula>
    </cfRule>
    <cfRule type="expression" priority="430" dxfId="2">
      <formula>AND(IF($Q159=2,1,0),IF($X159&lt;30,1,0))</formula>
    </cfRule>
    <cfRule type="expression" priority="431" dxfId="1">
      <formula>AND(IF($Q159=3,1,0),IF($X159&lt;30,1,0))</formula>
    </cfRule>
    <cfRule type="expression" priority="432" dxfId="0">
      <formula>AND(IF($Q159=3,1,IF($Q159=4,1,0)),IF($F159&lt;=85,1,0))</formula>
    </cfRule>
  </conditionalFormatting>
  <conditionalFormatting sqref="AI159">
    <cfRule type="expression" priority="425" dxfId="3">
      <formula>AND(IF(OR($Q159=1,$Q159=2),1,0),IF($X159&lt;=20,1,0))</formula>
    </cfRule>
    <cfRule type="expression" priority="426" dxfId="2">
      <formula>AND(IF($Q159=2,1,0),IF($X159&lt;30,1,0))</formula>
    </cfRule>
    <cfRule type="expression" priority="427" dxfId="1">
      <formula>AND(IF($Q159=3,1,0),IF($X159&lt;30,1,0))</formula>
    </cfRule>
    <cfRule type="expression" priority="428" dxfId="0">
      <formula>AND(IF($Q159=3,1,IF($Q159=4,1,0)),IF($F159&lt;=85,1,0))</formula>
    </cfRule>
  </conditionalFormatting>
  <conditionalFormatting sqref="AV160">
    <cfRule type="expression" priority="423" dxfId="17">
      <formula>AV160="X"</formula>
    </cfRule>
    <cfRule type="expression" priority="424" dxfId="16">
      <formula>AV160="후보"</formula>
    </cfRule>
  </conditionalFormatting>
  <conditionalFormatting sqref="AC16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6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60">
    <cfRule type="expression" priority="414" dxfId="3">
      <formula>AND(IF(OR($Q160=1,$Q160=2),1,0),IF($X160&lt;=20,1,0))</formula>
    </cfRule>
    <cfRule type="expression" priority="415" dxfId="2">
      <formula>AND(IF($Q160=2,1,0),IF($X160&lt;30,1,0))</formula>
    </cfRule>
    <cfRule type="expression" priority="416" dxfId="1">
      <formula>AND(IF($Q160=3,1,0),IF($X160&lt;30,1,0))</formula>
    </cfRule>
    <cfRule type="expression" priority="417" dxfId="0">
      <formula>AND(IF($Q160=3,1,IF($Q160=4,1,0)),IF($F160&lt;=85,1,0))</formula>
    </cfRule>
  </conditionalFormatting>
  <conditionalFormatting sqref="X160">
    <cfRule type="expression" priority="410" dxfId="3">
      <formula>AND(IF(OR($Q160=1,$Q160=2),1,0),IF($X160&lt;=20,1,0))</formula>
    </cfRule>
    <cfRule type="expression" priority="411" dxfId="2">
      <formula>AND(IF($Q160=2,1,0),IF($X160&lt;30,1,0))</formula>
    </cfRule>
    <cfRule type="expression" priority="412" dxfId="1">
      <formula>AND(IF($Q160=3,1,0),IF($X160&lt;30,1,0))</formula>
    </cfRule>
    <cfRule type="expression" priority="413" dxfId="0">
      <formula>AND(IF($Q160=3,1,IF($Q160=4,1,0)),IF($F160&lt;=85,1,0))</formula>
    </cfRule>
  </conditionalFormatting>
  <conditionalFormatting sqref="AI160">
    <cfRule type="expression" priority="406" dxfId="3">
      <formula>AND(IF(OR($Q160=1,$Q160=2),1,0),IF($X160&lt;=20,1,0))</formula>
    </cfRule>
    <cfRule type="expression" priority="407" dxfId="2">
      <formula>AND(IF($Q160=2,1,0),IF($X160&lt;30,1,0))</formula>
    </cfRule>
    <cfRule type="expression" priority="408" dxfId="1">
      <formula>AND(IF($Q160=3,1,0),IF($X160&lt;30,1,0))</formula>
    </cfRule>
    <cfRule type="expression" priority="409" dxfId="0">
      <formula>AND(IF($Q160=3,1,IF($Q160=4,1,0)),IF($F160&lt;=85,1,0))</formula>
    </cfRule>
  </conditionalFormatting>
  <conditionalFormatting sqref="AV161">
    <cfRule type="expression" priority="404" dxfId="17">
      <formula>AV161="X"</formula>
    </cfRule>
    <cfRule type="expression" priority="405" dxfId="16">
      <formula>AV161="후보"</formula>
    </cfRule>
  </conditionalFormatting>
  <conditionalFormatting sqref="AC16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6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61">
    <cfRule type="expression" priority="395" dxfId="3">
      <formula>AND(IF(OR($Q161=1,$Q161=2),1,0),IF($X161&lt;=20,1,0))</formula>
    </cfRule>
    <cfRule type="expression" priority="396" dxfId="2">
      <formula>AND(IF($Q161=2,1,0),IF($X161&lt;30,1,0))</formula>
    </cfRule>
    <cfRule type="expression" priority="397" dxfId="1">
      <formula>AND(IF($Q161=3,1,0),IF($X161&lt;30,1,0))</formula>
    </cfRule>
    <cfRule type="expression" priority="398" dxfId="0">
      <formula>AND(IF($Q161=3,1,IF($Q161=4,1,0)),IF($F161&lt;=85,1,0))</formula>
    </cfRule>
  </conditionalFormatting>
  <conditionalFormatting sqref="X161">
    <cfRule type="expression" priority="391" dxfId="3">
      <formula>AND(IF(OR($Q161=1,$Q161=2),1,0),IF($X161&lt;=20,1,0))</formula>
    </cfRule>
    <cfRule type="expression" priority="392" dxfId="2">
      <formula>AND(IF($Q161=2,1,0),IF($X161&lt;30,1,0))</formula>
    </cfRule>
    <cfRule type="expression" priority="393" dxfId="1">
      <formula>AND(IF($Q161=3,1,0),IF($X161&lt;30,1,0))</formula>
    </cfRule>
    <cfRule type="expression" priority="394" dxfId="0">
      <formula>AND(IF($Q161=3,1,IF($Q161=4,1,0)),IF($F161&lt;=85,1,0))</formula>
    </cfRule>
  </conditionalFormatting>
  <conditionalFormatting sqref="AI161">
    <cfRule type="expression" priority="387" dxfId="3">
      <formula>AND(IF(OR($Q161=1,$Q161=2),1,0),IF($X161&lt;=20,1,0))</formula>
    </cfRule>
    <cfRule type="expression" priority="388" dxfId="2">
      <formula>AND(IF($Q161=2,1,0),IF($X161&lt;30,1,0))</formula>
    </cfRule>
    <cfRule type="expression" priority="389" dxfId="1">
      <formula>AND(IF($Q161=3,1,0),IF($X161&lt;30,1,0))</formula>
    </cfRule>
    <cfRule type="expression" priority="390" dxfId="0">
      <formula>AND(IF($Q161=3,1,IF($Q161=4,1,0)),IF($F161&lt;=85,1,0))</formula>
    </cfRule>
  </conditionalFormatting>
  <conditionalFormatting sqref="AV162">
    <cfRule type="expression" priority="385" dxfId="17">
      <formula>AV162="X"</formula>
    </cfRule>
    <cfRule type="expression" priority="386" dxfId="16">
      <formula>AV162="후보"</formula>
    </cfRule>
  </conditionalFormatting>
  <conditionalFormatting sqref="AC16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6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62">
    <cfRule type="expression" priority="376" dxfId="3">
      <formula>AND(IF(OR($Q162=1,$Q162=2),1,0),IF($X162&lt;=20,1,0))</formula>
    </cfRule>
    <cfRule type="expression" priority="377" dxfId="2">
      <formula>AND(IF($Q162=2,1,0),IF($X162&lt;30,1,0))</formula>
    </cfRule>
    <cfRule type="expression" priority="378" dxfId="1">
      <formula>AND(IF($Q162=3,1,0),IF($X162&lt;30,1,0))</formula>
    </cfRule>
    <cfRule type="expression" priority="379" dxfId="0">
      <formula>AND(IF($Q162=3,1,IF($Q162=4,1,0)),IF($F162&lt;=85,1,0))</formula>
    </cfRule>
  </conditionalFormatting>
  <conditionalFormatting sqref="X162">
    <cfRule type="expression" priority="372" dxfId="3">
      <formula>AND(IF(OR($Q162=1,$Q162=2),1,0),IF($X162&lt;=20,1,0))</formula>
    </cfRule>
    <cfRule type="expression" priority="373" dxfId="2">
      <formula>AND(IF($Q162=2,1,0),IF($X162&lt;30,1,0))</formula>
    </cfRule>
    <cfRule type="expression" priority="374" dxfId="1">
      <formula>AND(IF($Q162=3,1,0),IF($X162&lt;30,1,0))</formula>
    </cfRule>
    <cfRule type="expression" priority="375" dxfId="0">
      <formula>AND(IF($Q162=3,1,IF($Q162=4,1,0)),IF($F162&lt;=85,1,0))</formula>
    </cfRule>
  </conditionalFormatting>
  <conditionalFormatting sqref="AI162">
    <cfRule type="expression" priority="368" dxfId="3">
      <formula>AND(IF(OR($Q162=1,$Q162=2),1,0),IF($X162&lt;=20,1,0))</formula>
    </cfRule>
    <cfRule type="expression" priority="369" dxfId="2">
      <formula>AND(IF($Q162=2,1,0),IF($X162&lt;30,1,0))</formula>
    </cfRule>
    <cfRule type="expression" priority="370" dxfId="1">
      <formula>AND(IF($Q162=3,1,0),IF($X162&lt;30,1,0))</formula>
    </cfRule>
    <cfRule type="expression" priority="371" dxfId="0">
      <formula>AND(IF($Q162=3,1,IF($Q162=4,1,0)),IF($F162&lt;=85,1,0))</formula>
    </cfRule>
  </conditionalFormatting>
  <conditionalFormatting sqref="AV163">
    <cfRule type="expression" priority="366" dxfId="17">
      <formula>AV163="X"</formula>
    </cfRule>
    <cfRule type="expression" priority="367" dxfId="16">
      <formula>AV163="후보"</formula>
    </cfRule>
  </conditionalFormatting>
  <conditionalFormatting sqref="AC16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6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63">
    <cfRule type="expression" priority="357" dxfId="3">
      <formula>AND(IF(OR($Q163=1,$Q163=2),1,0),IF($X163&lt;=20,1,0))</formula>
    </cfRule>
    <cfRule type="expression" priority="358" dxfId="2">
      <formula>AND(IF($Q163=2,1,0),IF($X163&lt;30,1,0))</formula>
    </cfRule>
    <cfRule type="expression" priority="359" dxfId="1">
      <formula>AND(IF($Q163=3,1,0),IF($X163&lt;30,1,0))</formula>
    </cfRule>
    <cfRule type="expression" priority="360" dxfId="0">
      <formula>AND(IF($Q163=3,1,IF($Q163=4,1,0)),IF($F163&lt;=85,1,0))</formula>
    </cfRule>
  </conditionalFormatting>
  <conditionalFormatting sqref="X163">
    <cfRule type="expression" priority="353" dxfId="3">
      <formula>AND(IF(OR($Q163=1,$Q163=2),1,0),IF($X163&lt;=20,1,0))</formula>
    </cfRule>
    <cfRule type="expression" priority="354" dxfId="2">
      <formula>AND(IF($Q163=2,1,0),IF($X163&lt;30,1,0))</formula>
    </cfRule>
    <cfRule type="expression" priority="355" dxfId="1">
      <formula>AND(IF($Q163=3,1,0),IF($X163&lt;30,1,0))</formula>
    </cfRule>
    <cfRule type="expression" priority="356" dxfId="0">
      <formula>AND(IF($Q163=3,1,IF($Q163=4,1,0)),IF($F163&lt;=85,1,0))</formula>
    </cfRule>
  </conditionalFormatting>
  <conditionalFormatting sqref="AI163">
    <cfRule type="expression" priority="349" dxfId="3">
      <formula>AND(IF(OR($Q163=1,$Q163=2),1,0),IF($X163&lt;=20,1,0))</formula>
    </cfRule>
    <cfRule type="expression" priority="350" dxfId="2">
      <formula>AND(IF($Q163=2,1,0),IF($X163&lt;30,1,0))</formula>
    </cfRule>
    <cfRule type="expression" priority="351" dxfId="1">
      <formula>AND(IF($Q163=3,1,0),IF($X163&lt;30,1,0))</formula>
    </cfRule>
    <cfRule type="expression" priority="352" dxfId="0">
      <formula>AND(IF($Q163=3,1,IF($Q163=4,1,0)),IF($F163&lt;=85,1,0))</formula>
    </cfRule>
  </conditionalFormatting>
  <conditionalFormatting sqref="AV164">
    <cfRule type="expression" priority="347" dxfId="17">
      <formula>AV164="X"</formula>
    </cfRule>
    <cfRule type="expression" priority="348" dxfId="16">
      <formula>AV164="후보"</formula>
    </cfRule>
  </conditionalFormatting>
  <conditionalFormatting sqref="AC164 N16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65">
    <cfRule type="expression" priority="342" dxfId="17">
      <formula>AV165="X"</formula>
    </cfRule>
    <cfRule type="expression" priority="343" dxfId="16">
      <formula>AV165="후보"</formula>
    </cfRule>
  </conditionalFormatting>
  <conditionalFormatting sqref="AC16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5">
    <cfRule type="expression" priority="333" dxfId="3">
      <formula>AND(IF(OR($Q165=1,$Q165=2),1,0),IF($X165&lt;=20,1,0))</formula>
    </cfRule>
    <cfRule type="expression" priority="334" dxfId="2">
      <formula>AND(IF($Q165=2,1,0),IF($X165&lt;30,1,0))</formula>
    </cfRule>
    <cfRule type="expression" priority="335" dxfId="1">
      <formula>AND(IF($Q165=3,1,0),IF($X165&lt;30,1,0))</formula>
    </cfRule>
    <cfRule type="expression" priority="336" dxfId="0">
      <formula>AND(IF($Q165=3,1,IF($Q165=4,1,0)),IF($F165&lt;=85,1,0))</formula>
    </cfRule>
  </conditionalFormatting>
  <conditionalFormatting sqref="X165">
    <cfRule type="expression" priority="329" dxfId="3">
      <formula>AND(IF(OR($Q165=1,$Q165=2),1,0),IF($X165&lt;=20,1,0))</formula>
    </cfRule>
    <cfRule type="expression" priority="330" dxfId="2">
      <formula>AND(IF($Q165=2,1,0),IF($X165&lt;30,1,0))</formula>
    </cfRule>
    <cfRule type="expression" priority="331" dxfId="1">
      <formula>AND(IF($Q165=3,1,0),IF($X165&lt;30,1,0))</formula>
    </cfRule>
    <cfRule type="expression" priority="332" dxfId="0">
      <formula>AND(IF($Q165=3,1,IF($Q165=4,1,0)),IF($F165&lt;=85,1,0))</formula>
    </cfRule>
  </conditionalFormatting>
  <conditionalFormatting sqref="AI165">
    <cfRule type="expression" priority="325" dxfId="3">
      <formula>AND(IF(OR($Q165=1,$Q165=2),1,0),IF($X165&lt;=20,1,0))</formula>
    </cfRule>
    <cfRule type="expression" priority="326" dxfId="2">
      <formula>AND(IF($Q165=2,1,0),IF($X165&lt;30,1,0))</formula>
    </cfRule>
    <cfRule type="expression" priority="327" dxfId="1">
      <formula>AND(IF($Q165=3,1,0),IF($X165&lt;30,1,0))</formula>
    </cfRule>
    <cfRule type="expression" priority="328" dxfId="0">
      <formula>AND(IF($Q165=3,1,IF($Q165=4,1,0)),IF($F165&lt;=85,1,0))</formula>
    </cfRule>
  </conditionalFormatting>
  <conditionalFormatting sqref="AV166">
    <cfRule type="expression" priority="323" dxfId="17">
      <formula>AV166="X"</formula>
    </cfRule>
    <cfRule type="expression" priority="324" dxfId="16">
      <formula>AV166="후보"</formula>
    </cfRule>
  </conditionalFormatting>
  <conditionalFormatting sqref="AC16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6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66">
    <cfRule type="expression" priority="314" dxfId="3">
      <formula>AND(IF(OR($Q166=1,$Q166=2),1,0),IF($X166&lt;=20,1,0))</formula>
    </cfRule>
    <cfRule type="expression" priority="315" dxfId="2">
      <formula>AND(IF($Q166=2,1,0),IF($X166&lt;30,1,0))</formula>
    </cfRule>
    <cfRule type="expression" priority="316" dxfId="1">
      <formula>AND(IF($Q166=3,1,0),IF($X166&lt;30,1,0))</formula>
    </cfRule>
    <cfRule type="expression" priority="317" dxfId="0">
      <formula>AND(IF($Q166=3,1,IF($Q166=4,1,0)),IF($F166&lt;=85,1,0))</formula>
    </cfRule>
  </conditionalFormatting>
  <conditionalFormatting sqref="X166">
    <cfRule type="expression" priority="310" dxfId="3">
      <formula>AND(IF(OR($Q166=1,$Q166=2),1,0),IF($X166&lt;=20,1,0))</formula>
    </cfRule>
    <cfRule type="expression" priority="311" dxfId="2">
      <formula>AND(IF($Q166=2,1,0),IF($X166&lt;30,1,0))</formula>
    </cfRule>
    <cfRule type="expression" priority="312" dxfId="1">
      <formula>AND(IF($Q166=3,1,0),IF($X166&lt;30,1,0))</formula>
    </cfRule>
    <cfRule type="expression" priority="313" dxfId="0">
      <formula>AND(IF($Q166=3,1,IF($Q166=4,1,0)),IF($F166&lt;=85,1,0))</formula>
    </cfRule>
  </conditionalFormatting>
  <conditionalFormatting sqref="AI166">
    <cfRule type="expression" priority="306" dxfId="3">
      <formula>AND(IF(OR($Q166=1,$Q166=2),1,0),IF($X166&lt;=20,1,0))</formula>
    </cfRule>
    <cfRule type="expression" priority="307" dxfId="2">
      <formula>AND(IF($Q166=2,1,0),IF($X166&lt;30,1,0))</formula>
    </cfRule>
    <cfRule type="expression" priority="308" dxfId="1">
      <formula>AND(IF($Q166=3,1,0),IF($X166&lt;30,1,0))</formula>
    </cfRule>
    <cfRule type="expression" priority="309" dxfId="0">
      <formula>AND(IF($Q166=3,1,IF($Q166=4,1,0)),IF($F166&lt;=85,1,0))</formula>
    </cfRule>
  </conditionalFormatting>
  <conditionalFormatting sqref="AV167">
    <cfRule type="expression" priority="304" dxfId="17">
      <formula>AV167="X"</formula>
    </cfRule>
    <cfRule type="expression" priority="305" dxfId="16">
      <formula>AV167="후보"</formula>
    </cfRule>
  </conditionalFormatting>
  <conditionalFormatting sqref="AC167 N16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8">
    <cfRule type="expression" priority="299" dxfId="17">
      <formula>AV168="X"</formula>
    </cfRule>
    <cfRule type="expression" priority="300" dxfId="16">
      <formula>AV168="후보"</formula>
    </cfRule>
  </conditionalFormatting>
  <conditionalFormatting sqref="AC16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8">
    <cfRule type="expression" priority="290" dxfId="3">
      <formula>AND(IF(OR($Q168=1,$Q168=2),1,0),IF($X168&lt;=20,1,0))</formula>
    </cfRule>
    <cfRule type="expression" priority="291" dxfId="2">
      <formula>AND(IF($Q168=2,1,0),IF($X168&lt;30,1,0))</formula>
    </cfRule>
    <cfRule type="expression" priority="292" dxfId="1">
      <formula>AND(IF($Q168=3,1,0),IF($X168&lt;30,1,0))</formula>
    </cfRule>
    <cfRule type="expression" priority="293" dxfId="0">
      <formula>AND(IF($Q168=3,1,IF($Q168=4,1,0)),IF($F168&lt;=85,1,0))</formula>
    </cfRule>
  </conditionalFormatting>
  <conditionalFormatting sqref="X168">
    <cfRule type="expression" priority="286" dxfId="3">
      <formula>AND(IF(OR($Q168=1,$Q168=2),1,0),IF($X168&lt;=20,1,0))</formula>
    </cfRule>
    <cfRule type="expression" priority="287" dxfId="2">
      <formula>AND(IF($Q168=2,1,0),IF($X168&lt;30,1,0))</formula>
    </cfRule>
    <cfRule type="expression" priority="288" dxfId="1">
      <formula>AND(IF($Q168=3,1,0),IF($X168&lt;30,1,0))</formula>
    </cfRule>
    <cfRule type="expression" priority="289" dxfId="0">
      <formula>AND(IF($Q168=3,1,IF($Q168=4,1,0)),IF($F168&lt;=85,1,0))</formula>
    </cfRule>
  </conditionalFormatting>
  <conditionalFormatting sqref="AI168">
    <cfRule type="expression" priority="282" dxfId="3">
      <formula>AND(IF(OR($Q168=1,$Q168=2),1,0),IF($X168&lt;=20,1,0))</formula>
    </cfRule>
    <cfRule type="expression" priority="283" dxfId="2">
      <formula>AND(IF($Q168=2,1,0),IF($X168&lt;30,1,0))</formula>
    </cfRule>
    <cfRule type="expression" priority="284" dxfId="1">
      <formula>AND(IF($Q168=3,1,0),IF($X168&lt;30,1,0))</formula>
    </cfRule>
    <cfRule type="expression" priority="285" dxfId="0">
      <formula>AND(IF($Q168=3,1,IF($Q168=4,1,0)),IF($F168&lt;=85,1,0))</formula>
    </cfRule>
  </conditionalFormatting>
  <conditionalFormatting sqref="AV169">
    <cfRule type="expression" priority="280" dxfId="17">
      <formula>AV169="X"</formula>
    </cfRule>
    <cfRule type="expression" priority="281" dxfId="16">
      <formula>AV169="후보"</formula>
    </cfRule>
  </conditionalFormatting>
  <conditionalFormatting sqref="AC169 N16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70">
    <cfRule type="expression" priority="275" dxfId="17">
      <formula>AV170="X"</formula>
    </cfRule>
    <cfRule type="expression" priority="276" dxfId="16">
      <formula>AV170="후보"</formula>
    </cfRule>
  </conditionalFormatting>
  <conditionalFormatting sqref="AC170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70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70">
    <cfRule type="expression" priority="266" dxfId="3">
      <formula>AND(IF(OR($Q170=1,$Q170=2),1,0),IF($X170&lt;=20,1,0))</formula>
    </cfRule>
    <cfRule type="expression" priority="267" dxfId="2">
      <formula>AND(IF($Q170=2,1,0),IF($X170&lt;30,1,0))</formula>
    </cfRule>
    <cfRule type="expression" priority="268" dxfId="1">
      <formula>AND(IF($Q170=3,1,0),IF($X170&lt;30,1,0))</formula>
    </cfRule>
    <cfRule type="expression" priority="269" dxfId="0">
      <formula>AND(IF($Q170=3,1,IF($Q170=4,1,0)),IF($F170&lt;=85,1,0))</formula>
    </cfRule>
  </conditionalFormatting>
  <conditionalFormatting sqref="X170">
    <cfRule type="expression" priority="262" dxfId="3">
      <formula>AND(IF(OR($Q170=1,$Q170=2),1,0),IF($X170&lt;=20,1,0))</formula>
    </cfRule>
    <cfRule type="expression" priority="263" dxfId="2">
      <formula>AND(IF($Q170=2,1,0),IF($X170&lt;30,1,0))</formula>
    </cfRule>
    <cfRule type="expression" priority="264" dxfId="1">
      <formula>AND(IF($Q170=3,1,0),IF($X170&lt;30,1,0))</formula>
    </cfRule>
    <cfRule type="expression" priority="265" dxfId="0">
      <formula>AND(IF($Q170=3,1,IF($Q170=4,1,0)),IF($F170&lt;=85,1,0))</formula>
    </cfRule>
  </conditionalFormatting>
  <conditionalFormatting sqref="AI170">
    <cfRule type="expression" priority="258" dxfId="3">
      <formula>AND(IF(OR($Q170=1,$Q170=2),1,0),IF($X170&lt;=20,1,0))</formula>
    </cfRule>
    <cfRule type="expression" priority="259" dxfId="2">
      <formula>AND(IF($Q170=2,1,0),IF($X170&lt;30,1,0))</formula>
    </cfRule>
    <cfRule type="expression" priority="260" dxfId="1">
      <formula>AND(IF($Q170=3,1,0),IF($X170&lt;30,1,0))</formula>
    </cfRule>
    <cfRule type="expression" priority="261" dxfId="0">
      <formula>AND(IF($Q170=3,1,IF($Q170=4,1,0)),IF($F170&lt;=85,1,0))</formula>
    </cfRule>
  </conditionalFormatting>
  <conditionalFormatting sqref="AV171">
    <cfRule type="expression" priority="256" dxfId="17">
      <formula>AV171="X"</formula>
    </cfRule>
    <cfRule type="expression" priority="257" dxfId="16">
      <formula>AV171="후보"</formula>
    </cfRule>
  </conditionalFormatting>
  <conditionalFormatting sqref="AC171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71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71">
    <cfRule type="expression" priority="247" dxfId="3">
      <formula>AND(IF(OR($Q171=1,$Q171=2),1,0),IF($X171&lt;=20,1,0))</formula>
    </cfRule>
    <cfRule type="expression" priority="248" dxfId="2">
      <formula>AND(IF($Q171=2,1,0),IF($X171&lt;30,1,0))</formula>
    </cfRule>
    <cfRule type="expression" priority="249" dxfId="1">
      <formula>AND(IF($Q171=3,1,0),IF($X171&lt;30,1,0))</formula>
    </cfRule>
    <cfRule type="expression" priority="250" dxfId="0">
      <formula>AND(IF($Q171=3,1,IF($Q171=4,1,0)),IF($F171&lt;=85,1,0))</formula>
    </cfRule>
  </conditionalFormatting>
  <conditionalFormatting sqref="X171">
    <cfRule type="expression" priority="243" dxfId="3">
      <formula>AND(IF(OR($Q171=1,$Q171=2),1,0),IF($X171&lt;=20,1,0))</formula>
    </cfRule>
    <cfRule type="expression" priority="244" dxfId="2">
      <formula>AND(IF($Q171=2,1,0),IF($X171&lt;30,1,0))</formula>
    </cfRule>
    <cfRule type="expression" priority="245" dxfId="1">
      <formula>AND(IF($Q171=3,1,0),IF($X171&lt;30,1,0))</formula>
    </cfRule>
    <cfRule type="expression" priority="246" dxfId="0">
      <formula>AND(IF($Q171=3,1,IF($Q171=4,1,0)),IF($F171&lt;=85,1,0))</formula>
    </cfRule>
  </conditionalFormatting>
  <conditionalFormatting sqref="AI171">
    <cfRule type="expression" priority="239" dxfId="3">
      <formula>AND(IF(OR($Q171=1,$Q171=2),1,0),IF($X171&lt;=20,1,0))</formula>
    </cfRule>
    <cfRule type="expression" priority="240" dxfId="2">
      <formula>AND(IF($Q171=2,1,0),IF($X171&lt;30,1,0))</formula>
    </cfRule>
    <cfRule type="expression" priority="241" dxfId="1">
      <formula>AND(IF($Q171=3,1,0),IF($X171&lt;30,1,0))</formula>
    </cfRule>
    <cfRule type="expression" priority="242" dxfId="0">
      <formula>AND(IF($Q171=3,1,IF($Q171=4,1,0)),IF($F171&lt;=85,1,0))</formula>
    </cfRule>
  </conditionalFormatting>
  <conditionalFormatting sqref="AV172">
    <cfRule type="expression" priority="237" dxfId="17">
      <formula>AV172="X"</formula>
    </cfRule>
    <cfRule type="expression" priority="238" dxfId="16">
      <formula>AV172="후보"</formula>
    </cfRule>
  </conditionalFormatting>
  <conditionalFormatting sqref="AC17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72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72">
    <cfRule type="expression" priority="228" dxfId="3">
      <formula>AND(IF(OR($Q172=1,$Q172=2),1,0),IF($X172&lt;=20,1,0))</formula>
    </cfRule>
    <cfRule type="expression" priority="229" dxfId="2">
      <formula>AND(IF($Q172=2,1,0),IF($X172&lt;30,1,0))</formula>
    </cfRule>
    <cfRule type="expression" priority="230" dxfId="1">
      <formula>AND(IF($Q172=3,1,0),IF($X172&lt;30,1,0))</formula>
    </cfRule>
    <cfRule type="expression" priority="231" dxfId="0">
      <formula>AND(IF($Q172=3,1,IF($Q172=4,1,0)),IF($F172&lt;=85,1,0))</formula>
    </cfRule>
  </conditionalFormatting>
  <conditionalFormatting sqref="X172">
    <cfRule type="expression" priority="224" dxfId="3">
      <formula>AND(IF(OR($Q172=1,$Q172=2),1,0),IF($X172&lt;=20,1,0))</formula>
    </cfRule>
    <cfRule type="expression" priority="225" dxfId="2">
      <formula>AND(IF($Q172=2,1,0),IF($X172&lt;30,1,0))</formula>
    </cfRule>
    <cfRule type="expression" priority="226" dxfId="1">
      <formula>AND(IF($Q172=3,1,0),IF($X172&lt;30,1,0))</formula>
    </cfRule>
    <cfRule type="expression" priority="227" dxfId="0">
      <formula>AND(IF($Q172=3,1,IF($Q172=4,1,0)),IF($F172&lt;=85,1,0))</formula>
    </cfRule>
  </conditionalFormatting>
  <conditionalFormatting sqref="AI172">
    <cfRule type="expression" priority="220" dxfId="3">
      <formula>AND(IF(OR($Q172=1,$Q172=2),1,0),IF($X172&lt;=20,1,0))</formula>
    </cfRule>
    <cfRule type="expression" priority="221" dxfId="2">
      <formula>AND(IF($Q172=2,1,0),IF($X172&lt;30,1,0))</formula>
    </cfRule>
    <cfRule type="expression" priority="222" dxfId="1">
      <formula>AND(IF($Q172=3,1,0),IF($X172&lt;30,1,0))</formula>
    </cfRule>
    <cfRule type="expression" priority="223" dxfId="0">
      <formula>AND(IF($Q172=3,1,IF($Q172=4,1,0)),IF($F172&lt;=85,1,0))</formula>
    </cfRule>
  </conditionalFormatting>
  <conditionalFormatting sqref="AV173">
    <cfRule type="expression" priority="218" dxfId="17">
      <formula>AV173="X"</formula>
    </cfRule>
    <cfRule type="expression" priority="219" dxfId="16">
      <formula>AV173="후보"</formula>
    </cfRule>
  </conditionalFormatting>
  <conditionalFormatting sqref="AC173 N17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74">
    <cfRule type="expression" priority="213" dxfId="17">
      <formula>AV174="X"</formula>
    </cfRule>
    <cfRule type="expression" priority="214" dxfId="16">
      <formula>AV174="후보"</formula>
    </cfRule>
  </conditionalFormatting>
  <conditionalFormatting sqref="AC17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7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74">
    <cfRule type="expression" priority="204" dxfId="3">
      <formula>AND(IF(OR($Q174=1,$Q174=2),1,0),IF($X174&lt;=20,1,0))</formula>
    </cfRule>
    <cfRule type="expression" priority="205" dxfId="2">
      <formula>AND(IF($Q174=2,1,0),IF($X174&lt;30,1,0))</formula>
    </cfRule>
    <cfRule type="expression" priority="206" dxfId="1">
      <formula>AND(IF($Q174=3,1,0),IF($X174&lt;30,1,0))</formula>
    </cfRule>
    <cfRule type="expression" priority="207" dxfId="0">
      <formula>AND(IF($Q174=3,1,IF($Q174=4,1,0)),IF($F174&lt;=85,1,0))</formula>
    </cfRule>
  </conditionalFormatting>
  <conditionalFormatting sqref="X174">
    <cfRule type="expression" priority="200" dxfId="3">
      <formula>AND(IF(OR($Q174=1,$Q174=2),1,0),IF($X174&lt;=20,1,0))</formula>
    </cfRule>
    <cfRule type="expression" priority="201" dxfId="2">
      <formula>AND(IF($Q174=2,1,0),IF($X174&lt;30,1,0))</formula>
    </cfRule>
    <cfRule type="expression" priority="202" dxfId="1">
      <formula>AND(IF($Q174=3,1,0),IF($X174&lt;30,1,0))</formula>
    </cfRule>
    <cfRule type="expression" priority="203" dxfId="0">
      <formula>AND(IF($Q174=3,1,IF($Q174=4,1,0)),IF($F174&lt;=85,1,0))</formula>
    </cfRule>
  </conditionalFormatting>
  <conditionalFormatting sqref="AI174">
    <cfRule type="expression" priority="196" dxfId="3">
      <formula>AND(IF(OR($Q174=1,$Q174=2),1,0),IF($X174&lt;=20,1,0))</formula>
    </cfRule>
    <cfRule type="expression" priority="197" dxfId="2">
      <formula>AND(IF($Q174=2,1,0),IF($X174&lt;30,1,0))</formula>
    </cfRule>
    <cfRule type="expression" priority="198" dxfId="1">
      <formula>AND(IF($Q174=3,1,0),IF($X174&lt;30,1,0))</formula>
    </cfRule>
    <cfRule type="expression" priority="199" dxfId="0">
      <formula>AND(IF($Q174=3,1,IF($Q174=4,1,0)),IF($F174&lt;=85,1,0))</formula>
    </cfRule>
  </conditionalFormatting>
  <conditionalFormatting sqref="AV175">
    <cfRule type="expression" priority="194" dxfId="17">
      <formula>AV175="X"</formula>
    </cfRule>
    <cfRule type="expression" priority="195" dxfId="16">
      <formula>AV175="후보"</formula>
    </cfRule>
  </conditionalFormatting>
  <conditionalFormatting sqref="AC17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5">
    <cfRule type="expression" priority="185" dxfId="3">
      <formula>AND(IF(OR($Q175=1,$Q175=2),1,0),IF($X175&lt;=20,1,0))</formula>
    </cfRule>
    <cfRule type="expression" priority="186" dxfId="2">
      <formula>AND(IF($Q175=2,1,0),IF($X175&lt;30,1,0))</formula>
    </cfRule>
    <cfRule type="expression" priority="187" dxfId="1">
      <formula>AND(IF($Q175=3,1,0),IF($X175&lt;30,1,0))</formula>
    </cfRule>
    <cfRule type="expression" priority="188" dxfId="0">
      <formula>AND(IF($Q175=3,1,IF($Q175=4,1,0)),IF($F175&lt;=85,1,0))</formula>
    </cfRule>
  </conditionalFormatting>
  <conditionalFormatting sqref="X175">
    <cfRule type="expression" priority="181" dxfId="3">
      <formula>AND(IF(OR($Q175=1,$Q175=2),1,0),IF($X175&lt;=20,1,0))</formula>
    </cfRule>
    <cfRule type="expression" priority="182" dxfId="2">
      <formula>AND(IF($Q175=2,1,0),IF($X175&lt;30,1,0))</formula>
    </cfRule>
    <cfRule type="expression" priority="183" dxfId="1">
      <formula>AND(IF($Q175=3,1,0),IF($X175&lt;30,1,0))</formula>
    </cfRule>
    <cfRule type="expression" priority="184" dxfId="0">
      <formula>AND(IF($Q175=3,1,IF($Q175=4,1,0)),IF($F175&lt;=85,1,0))</formula>
    </cfRule>
  </conditionalFormatting>
  <conditionalFormatting sqref="AI175">
    <cfRule type="expression" priority="177" dxfId="3">
      <formula>AND(IF(OR($Q175=1,$Q175=2),1,0),IF($X175&lt;=20,1,0))</formula>
    </cfRule>
    <cfRule type="expression" priority="178" dxfId="2">
      <formula>AND(IF($Q175=2,1,0),IF($X175&lt;30,1,0))</formula>
    </cfRule>
    <cfRule type="expression" priority="179" dxfId="1">
      <formula>AND(IF($Q175=3,1,0),IF($X175&lt;30,1,0))</formula>
    </cfRule>
    <cfRule type="expression" priority="180" dxfId="0">
      <formula>AND(IF($Q175=3,1,IF($Q175=4,1,0)),IF($F175&lt;=85,1,0))</formula>
    </cfRule>
  </conditionalFormatting>
  <conditionalFormatting sqref="AV176">
    <cfRule type="expression" priority="175" dxfId="17">
      <formula>AV176="X"</formula>
    </cfRule>
    <cfRule type="expression" priority="176" dxfId="16">
      <formula>AV176="후보"</formula>
    </cfRule>
  </conditionalFormatting>
  <conditionalFormatting sqref="AC17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6">
    <cfRule type="expression" priority="166" dxfId="3">
      <formula>AND(IF(OR($Q176=1,$Q176=2),1,0),IF($X176&lt;=20,1,0))</formula>
    </cfRule>
    <cfRule type="expression" priority="167" dxfId="2">
      <formula>AND(IF($Q176=2,1,0),IF($X176&lt;30,1,0))</formula>
    </cfRule>
    <cfRule type="expression" priority="168" dxfId="1">
      <formula>AND(IF($Q176=3,1,0),IF($X176&lt;30,1,0))</formula>
    </cfRule>
    <cfRule type="expression" priority="169" dxfId="0">
      <formula>AND(IF($Q176=3,1,IF($Q176=4,1,0)),IF($F176&lt;=85,1,0))</formula>
    </cfRule>
  </conditionalFormatting>
  <conditionalFormatting sqref="X176">
    <cfRule type="expression" priority="162" dxfId="3">
      <formula>AND(IF(OR($Q176=1,$Q176=2),1,0),IF($X176&lt;=20,1,0))</formula>
    </cfRule>
    <cfRule type="expression" priority="163" dxfId="2">
      <formula>AND(IF($Q176=2,1,0),IF($X176&lt;30,1,0))</formula>
    </cfRule>
    <cfRule type="expression" priority="164" dxfId="1">
      <formula>AND(IF($Q176=3,1,0),IF($X176&lt;30,1,0))</formula>
    </cfRule>
    <cfRule type="expression" priority="165" dxfId="0">
      <formula>AND(IF($Q176=3,1,IF($Q176=4,1,0)),IF($F176&lt;=85,1,0))</formula>
    </cfRule>
  </conditionalFormatting>
  <conditionalFormatting sqref="AI176">
    <cfRule type="expression" priority="158" dxfId="3">
      <formula>AND(IF(OR($Q176=1,$Q176=2),1,0),IF($X176&lt;=20,1,0))</formula>
    </cfRule>
    <cfRule type="expression" priority="159" dxfId="2">
      <formula>AND(IF($Q176=2,1,0),IF($X176&lt;30,1,0))</formula>
    </cfRule>
    <cfRule type="expression" priority="160" dxfId="1">
      <formula>AND(IF($Q176=3,1,0),IF($X176&lt;30,1,0))</formula>
    </cfRule>
    <cfRule type="expression" priority="161" dxfId="0">
      <formula>AND(IF($Q176=3,1,IF($Q176=4,1,0)),IF($F176&lt;=85,1,0))</formula>
    </cfRule>
  </conditionalFormatting>
  <conditionalFormatting sqref="AV177">
    <cfRule type="expression" priority="156" dxfId="17">
      <formula>AV177="X"</formula>
    </cfRule>
    <cfRule type="expression" priority="157" dxfId="16">
      <formula>AV177="후보"</formula>
    </cfRule>
  </conditionalFormatting>
  <conditionalFormatting sqref="AC177 N17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78">
    <cfRule type="expression" priority="151" dxfId="17">
      <formula>AV178="X"</formula>
    </cfRule>
    <cfRule type="expression" priority="152" dxfId="16">
      <formula>AV178="후보"</formula>
    </cfRule>
  </conditionalFormatting>
  <conditionalFormatting sqref="AC17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7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78">
    <cfRule type="expression" priority="142" dxfId="3">
      <formula>AND(IF(OR($Q178=1,$Q178=2),1,0),IF($X178&lt;=20,1,0))</formula>
    </cfRule>
    <cfRule type="expression" priority="143" dxfId="2">
      <formula>AND(IF($Q178=2,1,0),IF($X178&lt;30,1,0))</formula>
    </cfRule>
    <cfRule type="expression" priority="144" dxfId="1">
      <formula>AND(IF($Q178=3,1,0),IF($X178&lt;30,1,0))</formula>
    </cfRule>
    <cfRule type="expression" priority="145" dxfId="0">
      <formula>AND(IF($Q178=3,1,IF($Q178=4,1,0)),IF($F178&lt;=85,1,0))</formula>
    </cfRule>
  </conditionalFormatting>
  <conditionalFormatting sqref="X178">
    <cfRule type="expression" priority="138" dxfId="3">
      <formula>AND(IF(OR($Q178=1,$Q178=2),1,0),IF($X178&lt;=20,1,0))</formula>
    </cfRule>
    <cfRule type="expression" priority="139" dxfId="2">
      <formula>AND(IF($Q178=2,1,0),IF($X178&lt;30,1,0))</formula>
    </cfRule>
    <cfRule type="expression" priority="140" dxfId="1">
      <formula>AND(IF($Q178=3,1,0),IF($X178&lt;30,1,0))</formula>
    </cfRule>
    <cfRule type="expression" priority="141" dxfId="0">
      <formula>AND(IF($Q178=3,1,IF($Q178=4,1,0)),IF($F178&lt;=85,1,0))</formula>
    </cfRule>
  </conditionalFormatting>
  <conditionalFormatting sqref="AI178">
    <cfRule type="expression" priority="134" dxfId="3">
      <formula>AND(IF(OR($Q178=1,$Q178=2),1,0),IF($X178&lt;=20,1,0))</formula>
    </cfRule>
    <cfRule type="expression" priority="135" dxfId="2">
      <formula>AND(IF($Q178=2,1,0),IF($X178&lt;30,1,0))</formula>
    </cfRule>
    <cfRule type="expression" priority="136" dxfId="1">
      <formula>AND(IF($Q178=3,1,0),IF($X178&lt;30,1,0))</formula>
    </cfRule>
    <cfRule type="expression" priority="137" dxfId="0">
      <formula>AND(IF($Q178=3,1,IF($Q178=4,1,0)),IF($F178&lt;=85,1,0))</formula>
    </cfRule>
  </conditionalFormatting>
  <conditionalFormatting sqref="AV179">
    <cfRule type="expression" priority="132" dxfId="17">
      <formula>AV179="X"</formula>
    </cfRule>
    <cfRule type="expression" priority="133" dxfId="16">
      <formula>AV179="후보"</formula>
    </cfRule>
  </conditionalFormatting>
  <conditionalFormatting sqref="AC17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7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79">
    <cfRule type="expression" priority="123" dxfId="3">
      <formula>AND(IF(OR($Q179=1,$Q179=2),1,0),IF($X179&lt;=20,1,0))</formula>
    </cfRule>
    <cfRule type="expression" priority="124" dxfId="2">
      <formula>AND(IF($Q179=2,1,0),IF($X179&lt;30,1,0))</formula>
    </cfRule>
    <cfRule type="expression" priority="125" dxfId="1">
      <formula>AND(IF($Q179=3,1,0),IF($X179&lt;30,1,0))</formula>
    </cfRule>
    <cfRule type="expression" priority="126" dxfId="0">
      <formula>AND(IF($Q179=3,1,IF($Q179=4,1,0)),IF($F179&lt;=85,1,0))</formula>
    </cfRule>
  </conditionalFormatting>
  <conditionalFormatting sqref="X179">
    <cfRule type="expression" priority="119" dxfId="3">
      <formula>AND(IF(OR($Q179=1,$Q179=2),1,0),IF($X179&lt;=20,1,0))</formula>
    </cfRule>
    <cfRule type="expression" priority="120" dxfId="2">
      <formula>AND(IF($Q179=2,1,0),IF($X179&lt;30,1,0))</formula>
    </cfRule>
    <cfRule type="expression" priority="121" dxfId="1">
      <formula>AND(IF($Q179=3,1,0),IF($X179&lt;30,1,0))</formula>
    </cfRule>
    <cfRule type="expression" priority="122" dxfId="0">
      <formula>AND(IF($Q179=3,1,IF($Q179=4,1,0)),IF($F179&lt;=85,1,0))</formula>
    </cfRule>
  </conditionalFormatting>
  <conditionalFormatting sqref="AI179">
    <cfRule type="expression" priority="115" dxfId="3">
      <formula>AND(IF(OR($Q179=1,$Q179=2),1,0),IF($X179&lt;=20,1,0))</formula>
    </cfRule>
    <cfRule type="expression" priority="116" dxfId="2">
      <formula>AND(IF($Q179=2,1,0),IF($X179&lt;30,1,0))</formula>
    </cfRule>
    <cfRule type="expression" priority="117" dxfId="1">
      <formula>AND(IF($Q179=3,1,0),IF($X179&lt;30,1,0))</formula>
    </cfRule>
    <cfRule type="expression" priority="118" dxfId="0">
      <formula>AND(IF($Q179=3,1,IF($Q179=4,1,0)),IF($F179&lt;=85,1,0))</formula>
    </cfRule>
  </conditionalFormatting>
  <conditionalFormatting sqref="AV180">
    <cfRule type="expression" priority="113" dxfId="17">
      <formula>AV180="X"</formula>
    </cfRule>
    <cfRule type="expression" priority="114" dxfId="16">
      <formula>AV180="후보"</formula>
    </cfRule>
  </conditionalFormatting>
  <conditionalFormatting sqref="AC18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0">
    <cfRule type="expression" priority="104" dxfId="3">
      <formula>AND(IF(OR($Q180=1,$Q180=2),1,0),IF($X180&lt;=20,1,0))</formula>
    </cfRule>
    <cfRule type="expression" priority="105" dxfId="2">
      <formula>AND(IF($Q180=2,1,0),IF($X180&lt;30,1,0))</formula>
    </cfRule>
    <cfRule type="expression" priority="106" dxfId="1">
      <formula>AND(IF($Q180=3,1,0),IF($X180&lt;30,1,0))</formula>
    </cfRule>
    <cfRule type="expression" priority="107" dxfId="0">
      <formula>AND(IF($Q180=3,1,IF($Q180=4,1,0)),IF($F180&lt;=85,1,0))</formula>
    </cfRule>
  </conditionalFormatting>
  <conditionalFormatting sqref="X180">
    <cfRule type="expression" priority="100" dxfId="3">
      <formula>AND(IF(OR($Q180=1,$Q180=2),1,0),IF($X180&lt;=20,1,0))</formula>
    </cfRule>
    <cfRule type="expression" priority="101" dxfId="2">
      <formula>AND(IF($Q180=2,1,0),IF($X180&lt;30,1,0))</formula>
    </cfRule>
    <cfRule type="expression" priority="102" dxfId="1">
      <formula>AND(IF($Q180=3,1,0),IF($X180&lt;30,1,0))</formula>
    </cfRule>
    <cfRule type="expression" priority="103" dxfId="0">
      <formula>AND(IF($Q180=3,1,IF($Q180=4,1,0)),IF($F180&lt;=85,1,0))</formula>
    </cfRule>
  </conditionalFormatting>
  <conditionalFormatting sqref="AI180">
    <cfRule type="expression" priority="96" dxfId="3">
      <formula>AND(IF(OR($Q180=1,$Q180=2),1,0),IF($X180&lt;=20,1,0))</formula>
    </cfRule>
    <cfRule type="expression" priority="97" dxfId="2">
      <formula>AND(IF($Q180=2,1,0),IF($X180&lt;30,1,0))</formula>
    </cfRule>
    <cfRule type="expression" priority="98" dxfId="1">
      <formula>AND(IF($Q180=3,1,0),IF($X180&lt;30,1,0))</formula>
    </cfRule>
    <cfRule type="expression" priority="99" dxfId="0">
      <formula>AND(IF($Q180=3,1,IF($Q180=4,1,0)),IF($F180&lt;=85,1,0))</formula>
    </cfRule>
  </conditionalFormatting>
  <conditionalFormatting sqref="AV181">
    <cfRule type="expression" priority="94" dxfId="17">
      <formula>AV181="X"</formula>
    </cfRule>
    <cfRule type="expression" priority="95" dxfId="16">
      <formula>AV181="후보"</formula>
    </cfRule>
  </conditionalFormatting>
  <conditionalFormatting sqref="AC18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1">
    <cfRule type="expression" priority="85" dxfId="3">
      <formula>AND(IF(OR($Q181=1,$Q181=2),1,0),IF($X181&lt;=20,1,0))</formula>
    </cfRule>
    <cfRule type="expression" priority="86" dxfId="2">
      <formula>AND(IF($Q181=2,1,0),IF($X181&lt;30,1,0))</formula>
    </cfRule>
    <cfRule type="expression" priority="87" dxfId="1">
      <formula>AND(IF($Q181=3,1,0),IF($X181&lt;30,1,0))</formula>
    </cfRule>
    <cfRule type="expression" priority="88" dxfId="0">
      <formula>AND(IF($Q181=3,1,IF($Q181=4,1,0)),IF($F181&lt;=85,1,0))</formula>
    </cfRule>
  </conditionalFormatting>
  <conditionalFormatting sqref="X181">
    <cfRule type="expression" priority="81" dxfId="3">
      <formula>AND(IF(OR($Q181=1,$Q181=2),1,0),IF($X181&lt;=20,1,0))</formula>
    </cfRule>
    <cfRule type="expression" priority="82" dxfId="2">
      <formula>AND(IF($Q181=2,1,0),IF($X181&lt;30,1,0))</formula>
    </cfRule>
    <cfRule type="expression" priority="83" dxfId="1">
      <formula>AND(IF($Q181=3,1,0),IF($X181&lt;30,1,0))</formula>
    </cfRule>
    <cfRule type="expression" priority="84" dxfId="0">
      <formula>AND(IF($Q181=3,1,IF($Q181=4,1,0)),IF($F181&lt;=85,1,0))</formula>
    </cfRule>
  </conditionalFormatting>
  <conditionalFormatting sqref="AI181">
    <cfRule type="expression" priority="77" dxfId="3">
      <formula>AND(IF(OR($Q181=1,$Q181=2),1,0),IF($X181&lt;=20,1,0))</formula>
    </cfRule>
    <cfRule type="expression" priority="78" dxfId="2">
      <formula>AND(IF($Q181=2,1,0),IF($X181&lt;30,1,0))</formula>
    </cfRule>
    <cfRule type="expression" priority="79" dxfId="1">
      <formula>AND(IF($Q181=3,1,0),IF($X181&lt;30,1,0))</formula>
    </cfRule>
    <cfRule type="expression" priority="80" dxfId="0">
      <formula>AND(IF($Q181=3,1,IF($Q181=4,1,0)),IF($F181&lt;=85,1,0))</formula>
    </cfRule>
  </conditionalFormatting>
  <conditionalFormatting sqref="AV182">
    <cfRule type="expression" priority="75" dxfId="17">
      <formula>AV182="X"</formula>
    </cfRule>
    <cfRule type="expression" priority="76" dxfId="16">
      <formula>AV182="후보"</formula>
    </cfRule>
  </conditionalFormatting>
  <conditionalFormatting sqref="AC18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8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82">
    <cfRule type="expression" priority="66" dxfId="3">
      <formula>AND(IF(OR($Q182=1,$Q182=2),1,0),IF($X182&lt;=20,1,0))</formula>
    </cfRule>
    <cfRule type="expression" priority="67" dxfId="2">
      <formula>AND(IF($Q182=2,1,0),IF($X182&lt;30,1,0))</formula>
    </cfRule>
    <cfRule type="expression" priority="68" dxfId="1">
      <formula>AND(IF($Q182=3,1,0),IF($X182&lt;30,1,0))</formula>
    </cfRule>
    <cfRule type="expression" priority="69" dxfId="0">
      <formula>AND(IF($Q182=3,1,IF($Q182=4,1,0)),IF($F182&lt;=85,1,0))</formula>
    </cfRule>
  </conditionalFormatting>
  <conditionalFormatting sqref="X182">
    <cfRule type="expression" priority="62" dxfId="3">
      <formula>AND(IF(OR($Q182=1,$Q182=2),1,0),IF($X182&lt;=20,1,0))</formula>
    </cfRule>
    <cfRule type="expression" priority="63" dxfId="2">
      <formula>AND(IF($Q182=2,1,0),IF($X182&lt;30,1,0))</formula>
    </cfRule>
    <cfRule type="expression" priority="64" dxfId="1">
      <formula>AND(IF($Q182=3,1,0),IF($X182&lt;30,1,0))</formula>
    </cfRule>
    <cfRule type="expression" priority="65" dxfId="0">
      <formula>AND(IF($Q182=3,1,IF($Q182=4,1,0)),IF($F182&lt;=85,1,0))</formula>
    </cfRule>
  </conditionalFormatting>
  <conditionalFormatting sqref="AI182">
    <cfRule type="expression" priority="58" dxfId="3">
      <formula>AND(IF(OR($Q182=1,$Q182=2),1,0),IF($X182&lt;=20,1,0))</formula>
    </cfRule>
    <cfRule type="expression" priority="59" dxfId="2">
      <formula>AND(IF($Q182=2,1,0),IF($X182&lt;30,1,0))</formula>
    </cfRule>
    <cfRule type="expression" priority="60" dxfId="1">
      <formula>AND(IF($Q182=3,1,0),IF($X182&lt;30,1,0))</formula>
    </cfRule>
    <cfRule type="expression" priority="61" dxfId="0">
      <formula>AND(IF($Q182=3,1,IF($Q182=4,1,0)),IF($F182&lt;=85,1,0))</formula>
    </cfRule>
  </conditionalFormatting>
  <conditionalFormatting sqref="AV183">
    <cfRule type="expression" priority="56" dxfId="17">
      <formula>AV183="X"</formula>
    </cfRule>
    <cfRule type="expression" priority="57" dxfId="16">
      <formula>AV183="후보"</formula>
    </cfRule>
  </conditionalFormatting>
  <conditionalFormatting sqref="AC1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3">
    <cfRule type="expression" priority="47" dxfId="3">
      <formula>AND(IF(OR($Q183=1,$Q183=2),1,0),IF($X183&lt;=20,1,0))</formula>
    </cfRule>
    <cfRule type="expression" priority="48" dxfId="2">
      <formula>AND(IF($Q183=2,1,0),IF($X183&lt;30,1,0))</formula>
    </cfRule>
    <cfRule type="expression" priority="49" dxfId="1">
      <formula>AND(IF($Q183=3,1,0),IF($X183&lt;30,1,0))</formula>
    </cfRule>
    <cfRule type="expression" priority="50" dxfId="0">
      <formula>AND(IF($Q183=3,1,IF($Q183=4,1,0)),IF($F183&lt;=85,1,0))</formula>
    </cfRule>
  </conditionalFormatting>
  <conditionalFormatting sqref="X183">
    <cfRule type="expression" priority="43" dxfId="3">
      <formula>AND(IF(OR($Q183=1,$Q183=2),1,0),IF($X183&lt;=20,1,0))</formula>
    </cfRule>
    <cfRule type="expression" priority="44" dxfId="2">
      <formula>AND(IF($Q183=2,1,0),IF($X183&lt;30,1,0))</formula>
    </cfRule>
    <cfRule type="expression" priority="45" dxfId="1">
      <formula>AND(IF($Q183=3,1,0),IF($X183&lt;30,1,0))</formula>
    </cfRule>
    <cfRule type="expression" priority="46" dxfId="0">
      <formula>AND(IF($Q183=3,1,IF($Q183=4,1,0)),IF($F183&lt;=85,1,0))</formula>
    </cfRule>
  </conditionalFormatting>
  <conditionalFormatting sqref="AI183">
    <cfRule type="expression" priority="39" dxfId="3">
      <formula>AND(IF(OR($Q183=1,$Q183=2),1,0),IF($X183&lt;=20,1,0))</formula>
    </cfRule>
    <cfRule type="expression" priority="40" dxfId="2">
      <formula>AND(IF($Q183=2,1,0),IF($X183&lt;30,1,0))</formula>
    </cfRule>
    <cfRule type="expression" priority="41" dxfId="1">
      <formula>AND(IF($Q183=3,1,0),IF($X183&lt;30,1,0))</formula>
    </cfRule>
    <cfRule type="expression" priority="42" dxfId="0">
      <formula>AND(IF($Q183=3,1,IF($Q183=4,1,0)),IF($F183&lt;=85,1,0))</formula>
    </cfRule>
  </conditionalFormatting>
  <conditionalFormatting sqref="AV184">
    <cfRule type="expression" priority="37" dxfId="17">
      <formula>AV184="X"</formula>
    </cfRule>
    <cfRule type="expression" priority="38" dxfId="16">
      <formula>AV184="후보"</formula>
    </cfRule>
  </conditionalFormatting>
  <conditionalFormatting sqref="AC1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4">
    <cfRule type="expression" priority="28" dxfId="3">
      <formula>AND(IF(OR($Q184=1,$Q184=2),1,0),IF($X184&lt;=20,1,0))</formula>
    </cfRule>
    <cfRule type="expression" priority="29" dxfId="2">
      <formula>AND(IF($Q184=2,1,0),IF($X184&lt;30,1,0))</formula>
    </cfRule>
    <cfRule type="expression" priority="30" dxfId="1">
      <formula>AND(IF($Q184=3,1,0),IF($X184&lt;30,1,0))</formula>
    </cfRule>
    <cfRule type="expression" priority="31" dxfId="0">
      <formula>AND(IF($Q184=3,1,IF($Q184=4,1,0)),IF($F184&lt;=85,1,0))</formula>
    </cfRule>
  </conditionalFormatting>
  <conditionalFormatting sqref="X184">
    <cfRule type="expression" priority="24" dxfId="3">
      <formula>AND(IF(OR($Q184=1,$Q184=2),1,0),IF($X184&lt;=20,1,0))</formula>
    </cfRule>
    <cfRule type="expression" priority="25" dxfId="2">
      <formula>AND(IF($Q184=2,1,0),IF($X184&lt;30,1,0))</formula>
    </cfRule>
    <cfRule type="expression" priority="26" dxfId="1">
      <formula>AND(IF($Q184=3,1,0),IF($X184&lt;30,1,0))</formula>
    </cfRule>
    <cfRule type="expression" priority="27" dxfId="0">
      <formula>AND(IF($Q184=3,1,IF($Q184=4,1,0)),IF($F184&lt;=85,1,0))</formula>
    </cfRule>
  </conditionalFormatting>
  <conditionalFormatting sqref="AI184">
    <cfRule type="expression" priority="20" dxfId="3">
      <formula>AND(IF(OR($Q184=1,$Q184=2),1,0),IF($X184&lt;=20,1,0))</formula>
    </cfRule>
    <cfRule type="expression" priority="21" dxfId="2">
      <formula>AND(IF($Q184=2,1,0),IF($X184&lt;30,1,0))</formula>
    </cfRule>
    <cfRule type="expression" priority="22" dxfId="1">
      <formula>AND(IF($Q184=3,1,0),IF($X184&lt;30,1,0))</formula>
    </cfRule>
    <cfRule type="expression" priority="23" dxfId="0">
      <formula>AND(IF($Q184=3,1,IF($Q184=4,1,0)),IF($F184&lt;=85,1,0))</formula>
    </cfRule>
  </conditionalFormatting>
  <conditionalFormatting sqref="AV185">
    <cfRule type="expression" priority="18" dxfId="17">
      <formula>AV185="X"</formula>
    </cfRule>
    <cfRule type="expression" priority="19" dxfId="16">
      <formula>AV185="후보"</formula>
    </cfRule>
  </conditionalFormatting>
  <conditionalFormatting sqref="AC1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5">
    <cfRule type="expression" priority="9" dxfId="3">
      <formula>AND(IF(OR($Q185=1,$Q185=2),1,0),IF($X185&lt;=20,1,0))</formula>
    </cfRule>
    <cfRule type="expression" priority="10" dxfId="2">
      <formula>AND(IF($Q185=2,1,0),IF($X185&lt;30,1,0))</formula>
    </cfRule>
    <cfRule type="expression" priority="11" dxfId="1">
      <formula>AND(IF($Q185=3,1,0),IF($X185&lt;30,1,0))</formula>
    </cfRule>
    <cfRule type="expression" priority="12" dxfId="0">
      <formula>AND(IF($Q185=3,1,IF($Q185=4,1,0)),IF($F185&lt;=85,1,0))</formula>
    </cfRule>
  </conditionalFormatting>
  <conditionalFormatting sqref="X185">
    <cfRule type="expression" priority="5" dxfId="3">
      <formula>AND(IF(OR($Q185=1,$Q185=2),1,0),IF($X185&lt;=20,1,0))</formula>
    </cfRule>
    <cfRule type="expression" priority="6" dxfId="2">
      <formula>AND(IF($Q185=2,1,0),IF($X185&lt;30,1,0))</formula>
    </cfRule>
    <cfRule type="expression" priority="7" dxfId="1">
      <formula>AND(IF($Q185=3,1,0),IF($X185&lt;30,1,0))</formula>
    </cfRule>
    <cfRule type="expression" priority="8" dxfId="0">
      <formula>AND(IF($Q185=3,1,IF($Q185=4,1,0)),IF($F185&lt;=85,1,0))</formula>
    </cfRule>
  </conditionalFormatting>
  <conditionalFormatting sqref="AI185">
    <cfRule type="expression" priority="1" dxfId="3">
      <formula>AND(IF(OR($Q185=1,$Q185=2),1,0),IF($X185&lt;=20,1,0))</formula>
    </cfRule>
    <cfRule type="expression" priority="2" dxfId="2">
      <formula>AND(IF($Q185=2,1,0),IF($X185&lt;30,1,0))</formula>
    </cfRule>
    <cfRule type="expression" priority="3" dxfId="1">
      <formula>AND(IF($Q185=3,1,0),IF($X185&lt;30,1,0))</formula>
    </cfRule>
    <cfRule type="expression" priority="4" dxfId="0">
      <formula>AND(IF($Q185=3,1,IF($Q185=4,1,0)),IF($F185&lt;=85,1,0))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3" sqref="U2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서창동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서창베라체</t>
        </is>
      </c>
      <c r="B6" s="16" t="inlineStr">
        <is>
          <t>'12.03.</t>
        </is>
      </c>
      <c r="C6" s="164" t="n">
        <v>938</v>
      </c>
      <c r="D6" s="161" t="n">
        <v>81.90000000000001</v>
      </c>
      <c r="E6" s="163" t="n">
        <v>25</v>
      </c>
      <c r="F6" s="161" t="n">
        <v>59.5</v>
      </c>
      <c r="G6" s="27" t="n">
        <v>18</v>
      </c>
      <c r="H6" s="164" t="n">
        <v>116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81A2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서창베라체</t>
        </is>
      </c>
      <c r="B7" s="16" t="inlineStr">
        <is>
          <t>'12.03.</t>
        </is>
      </c>
      <c r="C7" s="164" t="n">
        <v>938</v>
      </c>
      <c r="D7" s="161" t="n">
        <v>81.40000000000001</v>
      </c>
      <c r="E7" s="163" t="n">
        <v>25</v>
      </c>
      <c r="F7" s="161" t="n">
        <v>59.9</v>
      </c>
      <c r="G7" s="27" t="n">
        <v>18</v>
      </c>
      <c r="H7" s="164" t="n">
        <v>116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81B2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서창베라체</t>
        </is>
      </c>
      <c r="B8" s="16" t="inlineStr">
        <is>
          <t>'12.03.</t>
        </is>
      </c>
      <c r="C8" s="164" t="n">
        <v>938</v>
      </c>
      <c r="D8" s="161" t="n">
        <v>81.3</v>
      </c>
      <c r="E8" s="163" t="n">
        <v>25</v>
      </c>
      <c r="F8" s="161" t="n">
        <v>59.8</v>
      </c>
      <c r="G8" s="27" t="n">
        <v>18</v>
      </c>
      <c r="H8" s="164" t="n">
        <v>57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81B1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서창베라체</t>
        </is>
      </c>
      <c r="B9" s="16" t="inlineStr">
        <is>
          <t>'12.03.</t>
        </is>
      </c>
      <c r="C9" s="164" t="n">
        <v>938</v>
      </c>
      <c r="D9" s="161" t="n">
        <v>81.7</v>
      </c>
      <c r="E9" s="163" t="n">
        <v>25</v>
      </c>
      <c r="F9" s="161" t="n">
        <v>59.5</v>
      </c>
      <c r="G9" s="27" t="n">
        <v>18</v>
      </c>
      <c r="H9" s="164" t="n">
        <v>44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81A1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서창베라체</t>
        </is>
      </c>
      <c r="B10" s="16" t="inlineStr">
        <is>
          <t>'12.03.</t>
        </is>
      </c>
      <c r="C10" s="164" t="n">
        <v>938</v>
      </c>
      <c r="D10" s="161" t="n">
        <v>81.2</v>
      </c>
      <c r="E10" s="163" t="n">
        <v>25</v>
      </c>
      <c r="F10" s="161" t="n">
        <v>59.5</v>
      </c>
      <c r="G10" s="27" t="n">
        <v>18</v>
      </c>
      <c r="H10" s="164" t="n">
        <v>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서창베라체</t>
        </is>
      </c>
      <c r="B11" s="16" t="inlineStr">
        <is>
          <t>'12.03.</t>
        </is>
      </c>
      <c r="C11" s="164" t="n">
        <v>938</v>
      </c>
      <c r="D11" s="161" t="n">
        <v>113.4</v>
      </c>
      <c r="E11" s="163" t="n">
        <v>34</v>
      </c>
      <c r="F11" s="161" t="n">
        <v>84.7</v>
      </c>
      <c r="G11" s="27" t="n">
        <v>26</v>
      </c>
      <c r="H11" s="164" t="n">
        <v>119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113B1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서창베라체</t>
        </is>
      </c>
      <c r="B12" s="16" t="inlineStr">
        <is>
          <t>'12.03.</t>
        </is>
      </c>
      <c r="C12" s="164" t="n">
        <v>938</v>
      </c>
      <c r="D12" s="161" t="n">
        <v>113.9</v>
      </c>
      <c r="E12" s="163" t="n">
        <v>34</v>
      </c>
      <c r="F12" s="161" t="n">
        <v>85</v>
      </c>
      <c r="G12" s="27" t="n">
        <v>26</v>
      </c>
      <c r="H12" s="164" t="n">
        <v>56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113D2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서창베라체</t>
        </is>
      </c>
      <c r="B13" s="16" t="inlineStr">
        <is>
          <t>'12.03.</t>
        </is>
      </c>
      <c r="C13" s="164" t="n">
        <v>938</v>
      </c>
      <c r="D13" s="161" t="n">
        <v>113.9</v>
      </c>
      <c r="E13" s="163" t="n">
        <v>34</v>
      </c>
      <c r="F13" s="161" t="n">
        <v>85</v>
      </c>
      <c r="G13" s="27" t="n">
        <v>26</v>
      </c>
      <c r="H13" s="164" t="n">
        <v>40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113D2N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서창베라체</t>
        </is>
      </c>
      <c r="B14" s="16" t="inlineStr">
        <is>
          <t>'12.03.</t>
        </is>
      </c>
      <c r="C14" s="164" t="n">
        <v>938</v>
      </c>
      <c r="D14" s="161" t="n">
        <v>114.1</v>
      </c>
      <c r="E14" s="163" t="n">
        <v>35</v>
      </c>
      <c r="F14" s="161" t="n">
        <v>84.90000000000001</v>
      </c>
      <c r="G14" s="27" t="n">
        <v>26</v>
      </c>
      <c r="H14" s="164" t="n">
        <v>108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114A2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서창베라체</t>
        </is>
      </c>
      <c r="B15" s="16" t="inlineStr">
        <is>
          <t>'12.03.</t>
        </is>
      </c>
      <c r="C15" s="164" t="n">
        <v>938</v>
      </c>
      <c r="D15" s="161" t="n">
        <v>114.1</v>
      </c>
      <c r="E15" s="163" t="n">
        <v>35</v>
      </c>
      <c r="F15" s="161" t="n">
        <v>84.90000000000001</v>
      </c>
      <c r="G15" s="27" t="n">
        <v>26</v>
      </c>
      <c r="H15" s="164" t="n">
        <v>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114A1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서창베라체</t>
        </is>
      </c>
      <c r="B16" s="16" t="inlineStr">
        <is>
          <t>'12.03.</t>
        </is>
      </c>
      <c r="C16" s="164" t="n">
        <v>938</v>
      </c>
      <c r="D16" s="161" t="n">
        <v>114.6</v>
      </c>
      <c r="E16" s="163" t="n">
        <v>35</v>
      </c>
      <c r="F16" s="161" t="n">
        <v>84.8</v>
      </c>
      <c r="G16" s="27" t="n">
        <v>26</v>
      </c>
      <c r="H16" s="164" t="n">
        <v>45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114D1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서창베라체</t>
        </is>
      </c>
      <c r="B17" s="16" t="inlineStr">
        <is>
          <t>'12.03.</t>
        </is>
      </c>
      <c r="C17" s="164" t="n">
        <v>938</v>
      </c>
      <c r="D17" s="161" t="n">
        <v>114.5</v>
      </c>
      <c r="E17" s="163" t="n">
        <v>35</v>
      </c>
      <c r="F17" s="161" t="n">
        <v>84.59999999999999</v>
      </c>
      <c r="G17" s="27" t="n">
        <v>26</v>
      </c>
      <c r="H17" s="164" t="n">
        <v>34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114C1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서창베라체</t>
        </is>
      </c>
      <c r="B18" s="16" t="inlineStr">
        <is>
          <t>'12.03.</t>
        </is>
      </c>
      <c r="C18" s="164" t="n">
        <v>938</v>
      </c>
      <c r="D18" s="161" t="n">
        <v>114.5</v>
      </c>
      <c r="E18" s="163" t="n">
        <v>35</v>
      </c>
      <c r="F18" s="161" t="n">
        <v>84.40000000000001</v>
      </c>
      <c r="G18" s="27" t="n">
        <v>26</v>
      </c>
      <c r="H18" s="164" t="n">
        <v>20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114B2N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서창베라체</t>
        </is>
      </c>
      <c r="B19" s="16" t="inlineStr">
        <is>
          <t>'12.03.</t>
        </is>
      </c>
      <c r="C19" s="164" t="n">
        <v>938</v>
      </c>
      <c r="D19" s="161" t="n">
        <v>114.5</v>
      </c>
      <c r="E19" s="163" t="n">
        <v>35</v>
      </c>
      <c r="F19" s="161" t="n">
        <v>84.40000000000001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114C2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서창베라체</t>
        </is>
      </c>
      <c r="B20" s="16" t="inlineStr">
        <is>
          <t>'12.03.</t>
        </is>
      </c>
      <c r="C20" s="164" t="n">
        <v>938</v>
      </c>
      <c r="D20" s="161" t="n">
        <v>115</v>
      </c>
      <c r="E20" s="163" t="n">
        <v>35</v>
      </c>
      <c r="F20" s="161" t="n">
        <v>85</v>
      </c>
      <c r="G20" s="27" t="n">
        <v>26</v>
      </c>
      <c r="H20" s="164" t="n">
        <v>56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115B2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에코에비뉴</t>
        </is>
      </c>
      <c r="B22" s="16" t="inlineStr">
        <is>
          <t>'14.07.</t>
        </is>
      </c>
      <c r="C22" s="164" t="n">
        <v>855</v>
      </c>
      <c r="D22" s="161" t="n">
        <v>101.1</v>
      </c>
      <c r="E22" s="163" t="n">
        <v>31</v>
      </c>
      <c r="F22" s="161" t="n">
        <v>74.90000000000001</v>
      </c>
      <c r="G22" s="27" t="n">
        <v>23</v>
      </c>
      <c r="H22" s="164" t="n">
        <v>180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에코에비뉴</t>
        </is>
      </c>
      <c r="B23" s="16" t="inlineStr">
        <is>
          <t>'14.07.</t>
        </is>
      </c>
      <c r="C23" s="164" t="n">
        <v>855</v>
      </c>
      <c r="D23" s="161" t="n">
        <v>101.2</v>
      </c>
      <c r="E23" s="163" t="n">
        <v>31</v>
      </c>
      <c r="F23" s="161" t="n">
        <v>75</v>
      </c>
      <c r="G23" s="27" t="n">
        <v>23</v>
      </c>
      <c r="H23" s="164" t="n">
        <v>96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에코에비뉴</t>
        </is>
      </c>
      <c r="B24" s="16" t="inlineStr">
        <is>
          <t>'14.07.</t>
        </is>
      </c>
      <c r="C24" s="164" t="n">
        <v>855</v>
      </c>
      <c r="D24" s="161" t="n">
        <v>114.7</v>
      </c>
      <c r="E24" s="163" t="n">
        <v>35</v>
      </c>
      <c r="F24" s="161" t="n">
        <v>85</v>
      </c>
      <c r="G24" s="27" t="n">
        <v>26</v>
      </c>
      <c r="H24" s="164" t="n">
        <v>240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114A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에코에비뉴</t>
        </is>
      </c>
      <c r="B25" s="16" t="inlineStr">
        <is>
          <t>'14.07.</t>
        </is>
      </c>
      <c r="C25" s="164" t="n">
        <v>855</v>
      </c>
      <c r="D25" s="161" t="n">
        <v>114.6</v>
      </c>
      <c r="E25" s="163" t="n">
        <v>35</v>
      </c>
      <c r="F25" s="161" t="n">
        <v>84.90000000000001</v>
      </c>
      <c r="G25" s="27" t="n">
        <v>26</v>
      </c>
      <c r="H25" s="164" t="n">
        <v>168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114D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에코에비뉴</t>
        </is>
      </c>
      <c r="B26" s="16" t="inlineStr">
        <is>
          <t>'14.07.</t>
        </is>
      </c>
      <c r="C26" s="164" t="n">
        <v>855</v>
      </c>
      <c r="D26" s="161" t="n">
        <v>114.7</v>
      </c>
      <c r="E26" s="163" t="n">
        <v>35</v>
      </c>
      <c r="F26" s="161" t="n">
        <v>85</v>
      </c>
      <c r="G26" s="27" t="n">
        <v>26</v>
      </c>
      <c r="H26" s="164" t="n">
        <v>96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에코에비뉴</t>
        </is>
      </c>
      <c r="B27" s="16" t="inlineStr">
        <is>
          <t>'14.07.</t>
        </is>
      </c>
      <c r="C27" s="164" t="n">
        <v>855</v>
      </c>
      <c r="D27" s="161" t="n">
        <v>114.7</v>
      </c>
      <c r="E27" s="163" t="n">
        <v>35</v>
      </c>
      <c r="F27" s="161" t="n">
        <v>84.90000000000001</v>
      </c>
      <c r="G27" s="27" t="n">
        <v>26</v>
      </c>
      <c r="H27" s="164" t="n">
        <v>75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호반베르디움</t>
        </is>
      </c>
      <c r="B29" s="16" t="inlineStr">
        <is>
          <t>'17.07.</t>
        </is>
      </c>
      <c r="C29" s="164" t="n">
        <v>600</v>
      </c>
      <c r="D29" s="161" t="n">
        <v>111.9</v>
      </c>
      <c r="E29" s="163" t="n">
        <v>34</v>
      </c>
      <c r="F29" s="161" t="n">
        <v>84.7</v>
      </c>
      <c r="G29" s="27" t="n">
        <v>26</v>
      </c>
      <c r="H29" s="164" t="n">
        <v>544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호반베르디움</t>
        </is>
      </c>
      <c r="B30" s="16" t="inlineStr">
        <is>
          <t>'17.07.</t>
        </is>
      </c>
      <c r="C30" s="164" t="n">
        <v>600</v>
      </c>
      <c r="D30" s="161" t="n">
        <v>114.5</v>
      </c>
      <c r="E30" s="163" t="n">
        <v>35</v>
      </c>
      <c r="F30" s="161" t="n">
        <v>84.90000000000001</v>
      </c>
      <c r="G30" s="27" t="n">
        <v>26</v>
      </c>
      <c r="H30" s="164" t="n">
        <v>56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114B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서창퍼스트뷰</t>
        </is>
      </c>
      <c r="B32" s="16" t="inlineStr">
        <is>
          <t>'12.06.</t>
        </is>
      </c>
      <c r="C32" s="164" t="n">
        <v>1196</v>
      </c>
      <c r="D32" s="161" t="n">
        <v>78.3</v>
      </c>
      <c r="E32" s="163" t="n">
        <v>24</v>
      </c>
      <c r="F32" s="161" t="n">
        <v>59.9</v>
      </c>
      <c r="G32" s="27" t="n">
        <v>18</v>
      </c>
      <c r="H32" s="164" t="n">
        <v>170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78A1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서창퍼스트뷰</t>
        </is>
      </c>
      <c r="B33" s="16" t="inlineStr">
        <is>
          <t>'12.06.</t>
        </is>
      </c>
      <c r="C33" s="164" t="n">
        <v>1196</v>
      </c>
      <c r="D33" s="161" t="n">
        <v>78.40000000000001</v>
      </c>
      <c r="E33" s="163" t="n">
        <v>24</v>
      </c>
      <c r="F33" s="161" t="n">
        <v>59.9</v>
      </c>
      <c r="G33" s="27" t="n">
        <v>18</v>
      </c>
      <c r="H33" s="164" t="n">
        <v>70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78A2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서창퍼스트뷰</t>
        </is>
      </c>
      <c r="B34" s="16" t="inlineStr">
        <is>
          <t>'12.06.</t>
        </is>
      </c>
      <c r="C34" s="164" t="n">
        <v>1196</v>
      </c>
      <c r="D34" s="161" t="n">
        <v>110.4</v>
      </c>
      <c r="E34" s="163" t="n">
        <v>33</v>
      </c>
      <c r="F34" s="161" t="n">
        <v>84.40000000000001</v>
      </c>
      <c r="G34" s="27" t="n">
        <v>26</v>
      </c>
      <c r="H34" s="164" t="n">
        <v>106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110D2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서창퍼스트뷰</t>
        </is>
      </c>
      <c r="B35" s="16" t="inlineStr">
        <is>
          <t>'12.06.</t>
        </is>
      </c>
      <c r="C35" s="164" t="n">
        <v>1196</v>
      </c>
      <c r="D35" s="161" t="n">
        <v>110.8</v>
      </c>
      <c r="E35" s="163" t="n">
        <v>34</v>
      </c>
      <c r="F35" s="161" t="n">
        <v>84.7</v>
      </c>
      <c r="G35" s="27" t="n">
        <v>26</v>
      </c>
      <c r="H35" s="164" t="n">
        <v>76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110C1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서창퍼스트뷰</t>
        </is>
      </c>
      <c r="B36" s="16" t="inlineStr">
        <is>
          <t>'12.06.</t>
        </is>
      </c>
      <c r="C36" s="164" t="n">
        <v>1196</v>
      </c>
      <c r="D36" s="161" t="n">
        <v>110.5</v>
      </c>
      <c r="E36" s="163" t="n">
        <v>33</v>
      </c>
      <c r="F36" s="161" t="n">
        <v>84.59999999999999</v>
      </c>
      <c r="G36" s="27" t="n">
        <v>26</v>
      </c>
      <c r="H36" s="164" t="n">
        <v>76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110D1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서창퍼스트뷰</t>
        </is>
      </c>
      <c r="B37" s="16" t="inlineStr">
        <is>
          <t>'12.06.</t>
        </is>
      </c>
      <c r="C37" s="164" t="n">
        <v>1196</v>
      </c>
      <c r="D37" s="161" t="n">
        <v>110.2</v>
      </c>
      <c r="E37" s="163" t="n">
        <v>33</v>
      </c>
      <c r="F37" s="161" t="n">
        <v>84.3</v>
      </c>
      <c r="G37" s="27" t="n">
        <v>25</v>
      </c>
      <c r="H37" s="164" t="n">
        <v>54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서창퍼스트뷰</t>
        </is>
      </c>
      <c r="B38" s="16" t="inlineStr">
        <is>
          <t>'12.06.</t>
        </is>
      </c>
      <c r="C38" s="164" t="n">
        <v>1196</v>
      </c>
      <c r="D38" s="161" t="n">
        <v>111.1</v>
      </c>
      <c r="E38" s="163" t="n">
        <v>34</v>
      </c>
      <c r="F38" s="161" t="n">
        <v>85</v>
      </c>
      <c r="G38" s="27" t="n">
        <v>26</v>
      </c>
      <c r="H38" s="164" t="n">
        <v>129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서창퍼스트뷰</t>
        </is>
      </c>
      <c r="B39" s="16" t="inlineStr">
        <is>
          <t>'12.06.</t>
        </is>
      </c>
      <c r="C39" s="164" t="n">
        <v>1196</v>
      </c>
      <c r="D39" s="161" t="n">
        <v>111.1</v>
      </c>
      <c r="E39" s="163" t="n">
        <v>34</v>
      </c>
      <c r="F39" s="161" t="n">
        <v>85</v>
      </c>
      <c r="G39" s="27" t="n">
        <v>26</v>
      </c>
      <c r="H39" s="164" t="n">
        <v>106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111C2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서창퍼스트뷰</t>
        </is>
      </c>
      <c r="B40" s="16" t="inlineStr">
        <is>
          <t>'12.06.</t>
        </is>
      </c>
      <c r="C40" s="164" t="n">
        <v>1196</v>
      </c>
      <c r="D40" s="161" t="n">
        <v>132.4</v>
      </c>
      <c r="E40" s="163" t="n">
        <v>40</v>
      </c>
      <c r="F40" s="161" t="n">
        <v>101.3</v>
      </c>
      <c r="G40" s="27" t="n">
        <v>31</v>
      </c>
      <c r="H40" s="164" t="n">
        <v>51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132A2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서창퍼스트뷰</t>
        </is>
      </c>
      <c r="B41" s="16" t="inlineStr">
        <is>
          <t>'12.06.</t>
        </is>
      </c>
      <c r="C41" s="164" t="n">
        <v>1196</v>
      </c>
      <c r="D41" s="161" t="n">
        <v>132.4</v>
      </c>
      <c r="E41" s="163" t="n">
        <v>40</v>
      </c>
      <c r="F41" s="161" t="n">
        <v>101.3</v>
      </c>
      <c r="G41" s="27" t="n">
        <v>31</v>
      </c>
      <c r="H41" s="164" t="n">
        <v>33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132A1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서창퍼스트뷰</t>
        </is>
      </c>
      <c r="B42" s="16" t="inlineStr">
        <is>
          <t>'12.06.</t>
        </is>
      </c>
      <c r="C42" s="164" t="n">
        <v>1196</v>
      </c>
      <c r="D42" s="161" t="n">
        <v>133.2</v>
      </c>
      <c r="E42" s="163" t="n">
        <v>40</v>
      </c>
      <c r="F42" s="161" t="n">
        <v>101.9</v>
      </c>
      <c r="G42" s="27" t="n">
        <v>31</v>
      </c>
      <c r="H42" s="164" t="n">
        <v>76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133C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서창퍼스트뷰</t>
        </is>
      </c>
      <c r="B43" s="16" t="inlineStr">
        <is>
          <t>'12.06.</t>
        </is>
      </c>
      <c r="C43" s="164" t="n">
        <v>1196</v>
      </c>
      <c r="D43" s="161" t="n">
        <v>133.3</v>
      </c>
      <c r="E43" s="163" t="n">
        <v>40</v>
      </c>
      <c r="F43" s="161" t="n">
        <v>102</v>
      </c>
      <c r="G43" s="27" t="n">
        <v>31</v>
      </c>
      <c r="H43" s="164" t="n">
        <v>57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133B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서창퍼스트뷰</t>
        </is>
      </c>
      <c r="B44" s="16" t="inlineStr">
        <is>
          <t>'12.06.</t>
        </is>
      </c>
      <c r="C44" s="164" t="n">
        <v>1196</v>
      </c>
      <c r="D44" s="161" t="n">
        <v>133.2</v>
      </c>
      <c r="E44" s="163" t="n">
        <v>40</v>
      </c>
      <c r="F44" s="161" t="n">
        <v>101.9</v>
      </c>
      <c r="G44" s="27" t="n">
        <v>31</v>
      </c>
      <c r="H44" s="164" t="n">
        <v>48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133D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서창퍼스트뷰</t>
        </is>
      </c>
      <c r="B45" s="16" t="inlineStr">
        <is>
          <t>'12.06.</t>
        </is>
      </c>
      <c r="C45" s="164" t="n">
        <v>1196</v>
      </c>
      <c r="D45" s="161" t="n">
        <v>133.3</v>
      </c>
      <c r="E45" s="163" t="n">
        <v>40</v>
      </c>
      <c r="F45" s="161" t="n">
        <v>102</v>
      </c>
      <c r="G45" s="27" t="n">
        <v>31</v>
      </c>
      <c r="H45" s="164" t="n">
        <v>19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133BN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서창퍼스트뷰</t>
        </is>
      </c>
      <c r="B46" s="16" t="inlineStr">
        <is>
          <t>'12.06.</t>
        </is>
      </c>
      <c r="C46" s="164" t="n">
        <v>1196</v>
      </c>
      <c r="D46" s="161" t="n">
        <v>157.4</v>
      </c>
      <c r="E46" s="163" t="n">
        <v>48</v>
      </c>
      <c r="F46" s="161" t="n">
        <v>120.4</v>
      </c>
      <c r="G46" s="27" t="n">
        <v>36</v>
      </c>
      <c r="H46" s="164" t="n">
        <v>34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157AN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서창퍼스트뷰</t>
        </is>
      </c>
      <c r="B47" s="16" t="inlineStr">
        <is>
          <t>'12.06.</t>
        </is>
      </c>
      <c r="C47" s="164" t="n">
        <v>1196</v>
      </c>
      <c r="D47" s="161" t="n">
        <v>157.4</v>
      </c>
      <c r="E47" s="163" t="n">
        <v>48</v>
      </c>
      <c r="F47" s="161" t="n">
        <v>120.4</v>
      </c>
      <c r="G47" s="27" t="n">
        <v>36</v>
      </c>
      <c r="H47" s="164" t="n">
        <v>18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157A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서창퍼스트뷰</t>
        </is>
      </c>
      <c r="B48" s="16" t="inlineStr">
        <is>
          <t>'12.06.</t>
        </is>
      </c>
      <c r="C48" s="164" t="n">
        <v>1196</v>
      </c>
      <c r="D48" s="161" t="n">
        <v>158.1</v>
      </c>
      <c r="E48" s="163" t="n">
        <v>48</v>
      </c>
      <c r="F48" s="161" t="n">
        <v>121</v>
      </c>
      <c r="G48" s="27" t="n">
        <v>37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158B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인천서창꿈에그린(민간임대)</t>
        </is>
      </c>
      <c r="B50" s="16" t="inlineStr">
        <is>
          <t>'19.02.</t>
        </is>
      </c>
      <c r="C50" s="164" t="n">
        <v>1212</v>
      </c>
      <c r="D50" s="161" t="n">
        <v>93.59999999999999</v>
      </c>
      <c r="E50" s="163" t="n">
        <v>28</v>
      </c>
      <c r="F50" s="161" t="n">
        <v>75</v>
      </c>
      <c r="G50" s="27" t="n">
        <v>23</v>
      </c>
      <c r="H50" s="164" t="n">
        <v>248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93A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인천서창꿈에그린(민간임대)</t>
        </is>
      </c>
      <c r="B51" s="16" t="inlineStr">
        <is>
          <t>'19.02.</t>
        </is>
      </c>
      <c r="C51" s="164" t="n">
        <v>1212</v>
      </c>
      <c r="D51" s="161" t="n">
        <v>93.59999999999999</v>
      </c>
      <c r="E51" s="163" t="n">
        <v>28</v>
      </c>
      <c r="F51" s="161" t="n">
        <v>75</v>
      </c>
      <c r="G51" s="27" t="n">
        <v>23</v>
      </c>
      <c r="H51" s="164" t="n">
        <v>100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93B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인천서창꿈에그린(민간임대)</t>
        </is>
      </c>
      <c r="B52" s="16" t="inlineStr">
        <is>
          <t>'19.02.</t>
        </is>
      </c>
      <c r="C52" s="164" t="n">
        <v>1212</v>
      </c>
      <c r="D52" s="161" t="n">
        <v>106.1</v>
      </c>
      <c r="E52" s="163" t="n">
        <v>32</v>
      </c>
      <c r="F52" s="161" t="n">
        <v>85</v>
      </c>
      <c r="G52" s="27" t="n">
        <v>26</v>
      </c>
      <c r="H52" s="164" t="n">
        <v>640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106A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인천서창꿈에그린(민간임대)</t>
        </is>
      </c>
      <c r="B53" s="16" t="inlineStr">
        <is>
          <t>'19.02.</t>
        </is>
      </c>
      <c r="C53" s="164" t="n">
        <v>1212</v>
      </c>
      <c r="D53" s="161" t="n">
        <v>106.1</v>
      </c>
      <c r="E53" s="163" t="n">
        <v>32</v>
      </c>
      <c r="F53" s="161" t="n">
        <v>84.90000000000001</v>
      </c>
      <c r="G53" s="27" t="n">
        <v>26</v>
      </c>
      <c r="H53" s="164" t="n">
        <v>224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106B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LH청아안</t>
        </is>
      </c>
      <c r="B55" s="16" t="inlineStr">
        <is>
          <t>'16.03.</t>
        </is>
      </c>
      <c r="C55" s="164" t="n">
        <v>742</v>
      </c>
      <c r="D55" s="161" t="n">
        <v>82.8</v>
      </c>
      <c r="E55" s="163" t="n">
        <v>25</v>
      </c>
      <c r="F55" s="161" t="n">
        <v>61.7</v>
      </c>
      <c r="G55" s="27" t="n">
        <v>19</v>
      </c>
      <c r="H55" s="164" t="n">
        <v>31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82AL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LH청아안</t>
        </is>
      </c>
      <c r="B56" s="16" t="inlineStr">
        <is>
          <t>'16.03.</t>
        </is>
      </c>
      <c r="C56" s="164" t="n">
        <v>742</v>
      </c>
      <c r="D56" s="161" t="n">
        <v>100.5</v>
      </c>
      <c r="E56" s="163" t="n">
        <v>30</v>
      </c>
      <c r="F56" s="161" t="n">
        <v>74.90000000000001</v>
      </c>
      <c r="G56" s="27" t="n">
        <v>23</v>
      </c>
      <c r="H56" s="164" t="n">
        <v>13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100AH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LH청아안</t>
        </is>
      </c>
      <c r="B57" s="16" t="inlineStr">
        <is>
          <t>'16.03.</t>
        </is>
      </c>
      <c r="C57" s="164" t="n">
        <v>742</v>
      </c>
      <c r="D57" s="161" t="n">
        <v>100.5</v>
      </c>
      <c r="E57" s="163" t="n">
        <v>30</v>
      </c>
      <c r="F57" s="161" t="n">
        <v>74.90000000000001</v>
      </c>
      <c r="G57" s="27" t="n">
        <v>23</v>
      </c>
      <c r="H57" s="164" t="n">
        <v>7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100AL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LH청아안</t>
        </is>
      </c>
      <c r="B58" s="16" t="inlineStr">
        <is>
          <t>'16.03.</t>
        </is>
      </c>
      <c r="C58" s="164" t="n">
        <v>742</v>
      </c>
      <c r="D58" s="161" t="n">
        <v>100.2</v>
      </c>
      <c r="E58" s="163" t="n">
        <v>30</v>
      </c>
      <c r="F58" s="161" t="n">
        <v>74.7</v>
      </c>
      <c r="G58" s="27" t="n">
        <v>23</v>
      </c>
      <c r="H58" s="164" t="n">
        <v>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100BH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LH청아안</t>
        </is>
      </c>
      <c r="B59" s="16" t="inlineStr">
        <is>
          <t>'16.03.</t>
        </is>
      </c>
      <c r="C59" s="164" t="n">
        <v>742</v>
      </c>
      <c r="D59" s="161" t="n">
        <v>100.5</v>
      </c>
      <c r="E59" s="163" t="n">
        <v>30</v>
      </c>
      <c r="F59" s="161" t="n">
        <v>74.90000000000001</v>
      </c>
      <c r="G59" s="27" t="n">
        <v>23</v>
      </c>
      <c r="H59" s="164" t="n">
        <v>5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100CH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LH청아안</t>
        </is>
      </c>
      <c r="B60" s="16" t="inlineStr">
        <is>
          <t>'16.03.</t>
        </is>
      </c>
      <c r="C60" s="164" t="n">
        <v>742</v>
      </c>
      <c r="D60" s="161" t="n">
        <v>113.9</v>
      </c>
      <c r="E60" s="163" t="n">
        <v>34</v>
      </c>
      <c r="F60" s="161" t="n">
        <v>84.90000000000001</v>
      </c>
      <c r="G60" s="27" t="n">
        <v>26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113AH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LH청아안</t>
        </is>
      </c>
      <c r="B61" s="16" t="inlineStr">
        <is>
          <t>'16.03.</t>
        </is>
      </c>
      <c r="C61" s="164" t="n">
        <v>742</v>
      </c>
      <c r="D61" s="161" t="n">
        <v>114</v>
      </c>
      <c r="E61" s="163" t="n">
        <v>34</v>
      </c>
      <c r="F61" s="161" t="n">
        <v>84.90000000000001</v>
      </c>
      <c r="G61" s="27" t="n">
        <v>26</v>
      </c>
      <c r="H61" s="164" t="n">
        <v>4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113AL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LH청아안</t>
        </is>
      </c>
      <c r="B62" s="16" t="inlineStr">
        <is>
          <t>'16.03.</t>
        </is>
      </c>
      <c r="C62" s="164" t="n">
        <v>742</v>
      </c>
      <c r="D62" s="161" t="n">
        <v>113.6</v>
      </c>
      <c r="E62" s="163" t="n">
        <v>34</v>
      </c>
      <c r="F62" s="161" t="n">
        <v>84.7</v>
      </c>
      <c r="G62" s="27" t="n">
        <v>26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113BH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서해그랑블</t>
        </is>
      </c>
      <c r="B64" s="16" t="inlineStr">
        <is>
          <t>'08.05.</t>
        </is>
      </c>
      <c r="C64" s="164" t="n">
        <v>523</v>
      </c>
      <c r="D64" s="161" t="n">
        <v>81.59999999999999</v>
      </c>
      <c r="E64" s="163" t="n">
        <v>25</v>
      </c>
      <c r="F64" s="161" t="n">
        <v>60</v>
      </c>
      <c r="G64" s="27" t="n">
        <v>18</v>
      </c>
      <c r="H64" s="164" t="n">
        <v>133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서해그랑블</t>
        </is>
      </c>
      <c r="B65" s="16" t="inlineStr">
        <is>
          <t>'08.05.</t>
        </is>
      </c>
      <c r="C65" s="164" t="n">
        <v>523</v>
      </c>
      <c r="D65" s="161" t="n">
        <v>81.59999999999999</v>
      </c>
      <c r="E65" s="163" t="n">
        <v>25</v>
      </c>
      <c r="F65" s="161" t="n">
        <v>60</v>
      </c>
      <c r="G65" s="27" t="n">
        <v>18</v>
      </c>
      <c r="H65" s="164" t="n">
        <v>56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서해그랑블</t>
        </is>
      </c>
      <c r="B66" s="16" t="inlineStr">
        <is>
          <t>'08.05.</t>
        </is>
      </c>
      <c r="C66" s="164" t="n">
        <v>523</v>
      </c>
      <c r="D66" s="161" t="n">
        <v>81.59999999999999</v>
      </c>
      <c r="E66" s="163" t="n">
        <v>25</v>
      </c>
      <c r="F66" s="161" t="n">
        <v>60</v>
      </c>
      <c r="G66" s="27" t="n">
        <v>18</v>
      </c>
      <c r="H66" s="164" t="n">
        <v>13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81C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서해그랑블</t>
        </is>
      </c>
      <c r="B67" s="16" t="inlineStr">
        <is>
          <t>'08.05.</t>
        </is>
      </c>
      <c r="C67" s="164" t="n">
        <v>523</v>
      </c>
      <c r="D67" s="161" t="n">
        <v>112.1</v>
      </c>
      <c r="E67" s="163" t="n">
        <v>34</v>
      </c>
      <c r="F67" s="161" t="n">
        <v>84.7</v>
      </c>
      <c r="G67" s="27" t="n">
        <v>26</v>
      </c>
      <c r="H67" s="164" t="n">
        <v>197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112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서해그랑블</t>
        </is>
      </c>
      <c r="B68" s="16" t="inlineStr">
        <is>
          <t>'08.05.</t>
        </is>
      </c>
      <c r="C68" s="164" t="n">
        <v>523</v>
      </c>
      <c r="D68" s="161" t="n">
        <v>136.1</v>
      </c>
      <c r="E68" s="163" t="n">
        <v>41</v>
      </c>
      <c r="F68" s="161" t="n">
        <v>106.6</v>
      </c>
      <c r="G68" s="27" t="n">
        <v>32</v>
      </c>
      <c r="H68" s="164" t="n">
        <v>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136D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서해그랑블</t>
        </is>
      </c>
      <c r="B69" s="16" t="inlineStr">
        <is>
          <t>'08.05.</t>
        </is>
      </c>
      <c r="C69" s="164" t="n">
        <v>523</v>
      </c>
      <c r="D69" s="161" t="n">
        <v>137.1</v>
      </c>
      <c r="E69" s="163" t="n">
        <v>41</v>
      </c>
      <c r="F69" s="161" t="n">
        <v>106.6</v>
      </c>
      <c r="G69" s="27" t="n">
        <v>32</v>
      </c>
      <c r="H69" s="164" t="n">
        <v>55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137A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서해그랑블</t>
        </is>
      </c>
      <c r="B70" s="16" t="inlineStr">
        <is>
          <t>'08.05.</t>
        </is>
      </c>
      <c r="C70" s="164" t="n">
        <v>523</v>
      </c>
      <c r="D70" s="161" t="n">
        <v>137.4</v>
      </c>
      <c r="E70" s="163" t="n">
        <v>42</v>
      </c>
      <c r="F70" s="161" t="n">
        <v>107.7</v>
      </c>
      <c r="G70" s="27" t="n">
        <v>33</v>
      </c>
      <c r="H70" s="164" t="n">
        <v>43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137B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서해그랑블</t>
        </is>
      </c>
      <c r="B71" s="16" t="inlineStr">
        <is>
          <t>'08.05.</t>
        </is>
      </c>
      <c r="C71" s="164" t="n">
        <v>523</v>
      </c>
      <c r="D71" s="161" t="n">
        <v>137.2</v>
      </c>
      <c r="E71" s="163" t="n">
        <v>42</v>
      </c>
      <c r="F71" s="161" t="n">
        <v>109.1</v>
      </c>
      <c r="G71" s="27" t="n">
        <v>33</v>
      </c>
      <c r="H71" s="164" t="n">
        <v>11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137C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태평2차</t>
        </is>
      </c>
      <c r="B73" s="16" t="inlineStr">
        <is>
          <t>'97.12.</t>
        </is>
      </c>
      <c r="C73" s="164" t="n">
        <v>577</v>
      </c>
      <c r="D73" s="161" t="n">
        <v>77.59999999999999</v>
      </c>
      <c r="E73" s="163" t="n">
        <v>23</v>
      </c>
      <c r="F73" s="161" t="n">
        <v>60</v>
      </c>
      <c r="G73" s="27" t="n">
        <v>18</v>
      </c>
      <c r="H73" s="164" t="n">
        <v>236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77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태평2차</t>
        </is>
      </c>
      <c r="B74" s="16" t="inlineStr">
        <is>
          <t>'97.12.</t>
        </is>
      </c>
      <c r="C74" s="164" t="n">
        <v>577</v>
      </c>
      <c r="D74" s="161" t="n">
        <v>93.7</v>
      </c>
      <c r="E74" s="163" t="n">
        <v>28</v>
      </c>
      <c r="F74" s="161" t="n">
        <v>72.40000000000001</v>
      </c>
      <c r="G74" s="27" t="n">
        <v>22</v>
      </c>
      <c r="H74" s="164" t="n">
        <v>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93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태평2차</t>
        </is>
      </c>
      <c r="B75" s="16" t="inlineStr">
        <is>
          <t>'97.12.</t>
        </is>
      </c>
      <c r="C75" s="164" t="n">
        <v>577</v>
      </c>
      <c r="D75" s="161" t="n">
        <v>109.5</v>
      </c>
      <c r="E75" s="163" t="n">
        <v>33</v>
      </c>
      <c r="F75" s="161" t="n">
        <v>84.59999999999999</v>
      </c>
      <c r="G75" s="27" t="n">
        <v>26</v>
      </c>
      <c r="H75" s="164" t="n">
        <v>185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109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태평2차</t>
        </is>
      </c>
      <c r="B76" s="16" t="inlineStr">
        <is>
          <t>'97.12.</t>
        </is>
      </c>
      <c r="C76" s="164" t="n">
        <v>577</v>
      </c>
      <c r="D76" s="161" t="n">
        <v>144.4</v>
      </c>
      <c r="E76" s="163" t="n">
        <v>44</v>
      </c>
      <c r="F76" s="161" t="n">
        <v>111.6</v>
      </c>
      <c r="G76" s="27" t="n">
        <v>34</v>
      </c>
      <c r="H76" s="164" t="n">
        <v>44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144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태평2차</t>
        </is>
      </c>
      <c r="B77" s="16" t="inlineStr">
        <is>
          <t>'97.12.</t>
        </is>
      </c>
      <c r="C77" s="164" t="n">
        <v>577</v>
      </c>
      <c r="D77" s="161" t="n">
        <v>181.2</v>
      </c>
      <c r="E77" s="163" t="n">
        <v>55</v>
      </c>
      <c r="F77" s="161" t="n">
        <v>140</v>
      </c>
      <c r="G77" s="27" t="n">
        <v>42</v>
      </c>
      <c r="H77" s="164" t="n">
        <v>20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n">
        <v>181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태평2차</t>
        </is>
      </c>
      <c r="B78" s="16" t="inlineStr">
        <is>
          <t>'97.12.</t>
        </is>
      </c>
      <c r="C78" s="164" t="n">
        <v>577</v>
      </c>
      <c r="D78" s="161" t="n">
        <v>210.6</v>
      </c>
      <c r="E78" s="163" t="n">
        <v>64</v>
      </c>
      <c r="F78" s="161" t="n">
        <v>162.7</v>
      </c>
      <c r="G78" s="27" t="n">
        <v>49</v>
      </c>
      <c r="H78" s="164" t="n">
        <v>18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5</v>
      </c>
      <c r="R78" s="113" t="n">
        <v>2</v>
      </c>
      <c r="S78" s="113" t="inlineStr">
        <is>
          <t>계</t>
        </is>
      </c>
      <c r="T78" s="8" t="n">
        <v>210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태평1차</t>
        </is>
      </c>
      <c r="B80" s="16" t="inlineStr">
        <is>
          <t>'95.11.</t>
        </is>
      </c>
      <c r="C80" s="164" t="n">
        <v>435</v>
      </c>
      <c r="D80" s="161" t="n">
        <v>80.7</v>
      </c>
      <c r="E80" s="163" t="n">
        <v>24</v>
      </c>
      <c r="F80" s="161" t="n">
        <v>59.9</v>
      </c>
      <c r="G80" s="27" t="n">
        <v>18</v>
      </c>
      <c r="H80" s="164" t="n">
        <v>306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태평1차</t>
        </is>
      </c>
      <c r="B81" s="16" t="inlineStr">
        <is>
          <t>'95.11.</t>
        </is>
      </c>
      <c r="C81" s="164" t="n">
        <v>435</v>
      </c>
      <c r="D81" s="161" t="n">
        <v>94.09999999999999</v>
      </c>
      <c r="E81" s="163" t="n">
        <v>28</v>
      </c>
      <c r="F81" s="161" t="n">
        <v>72.40000000000001</v>
      </c>
      <c r="G81" s="27" t="n">
        <v>22</v>
      </c>
      <c r="H81" s="164" t="n">
        <v>21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n">
        <v>94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태평1차</t>
        </is>
      </c>
      <c r="B82" s="16" t="inlineStr">
        <is>
          <t>'95.11.</t>
        </is>
      </c>
      <c r="C82" s="164" t="n">
        <v>435</v>
      </c>
      <c r="D82" s="161" t="n">
        <v>108.3</v>
      </c>
      <c r="E82" s="163" t="n">
        <v>33</v>
      </c>
      <c r="F82" s="161" t="n">
        <v>84.90000000000001</v>
      </c>
      <c r="G82" s="27" t="n">
        <v>26</v>
      </c>
      <c r="H82" s="164" t="n">
        <v>108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108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현대모닝사이드</t>
        </is>
      </c>
      <c r="B84" s="16" t="inlineStr">
        <is>
          <t>'02.11.</t>
        </is>
      </c>
      <c r="C84" s="164" t="n">
        <v>630</v>
      </c>
      <c r="D84" s="161" t="n">
        <v>117</v>
      </c>
      <c r="E84" s="163" t="n">
        <v>35</v>
      </c>
      <c r="F84" s="161" t="n">
        <v>85</v>
      </c>
      <c r="G84" s="27" t="n">
        <v>26</v>
      </c>
      <c r="H84" s="164" t="n">
        <v>478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117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현대모닝사이드</t>
        </is>
      </c>
      <c r="B85" s="16" t="inlineStr">
        <is>
          <t>'02.11.</t>
        </is>
      </c>
      <c r="C85" s="164" t="n">
        <v>630</v>
      </c>
      <c r="D85" s="161" t="n">
        <v>157.6</v>
      </c>
      <c r="E85" s="163" t="n">
        <v>48</v>
      </c>
      <c r="F85" s="161" t="n">
        <v>117.5</v>
      </c>
      <c r="G85" s="27" t="n">
        <v>36</v>
      </c>
      <c r="H85" s="164" t="n">
        <v>76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157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현대모닝사이드</t>
        </is>
      </c>
      <c r="B86" s="16" t="inlineStr">
        <is>
          <t>'02.11.</t>
        </is>
      </c>
      <c r="C86" s="164" t="n">
        <v>630</v>
      </c>
      <c r="D86" s="161" t="n">
        <v>192.4</v>
      </c>
      <c r="E86" s="163" t="n">
        <v>58</v>
      </c>
      <c r="F86" s="161" t="n">
        <v>147</v>
      </c>
      <c r="G86" s="27" t="n">
        <v>44</v>
      </c>
      <c r="H86" s="164" t="n">
        <v>76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192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청광플러스원</t>
        </is>
      </c>
      <c r="B88" s="16" t="inlineStr">
        <is>
          <t>'17.09.</t>
        </is>
      </c>
      <c r="C88" s="164" t="n">
        <v>582</v>
      </c>
      <c r="D88" s="161" t="n">
        <v>112.1</v>
      </c>
      <c r="E88" s="163" t="n">
        <v>34</v>
      </c>
      <c r="F88" s="161" t="n">
        <v>85</v>
      </c>
      <c r="G88" s="27" t="n">
        <v>26</v>
      </c>
      <c r="H88" s="164" t="n">
        <v>485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112A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청광플러스원</t>
        </is>
      </c>
      <c r="B89" s="16" t="inlineStr">
        <is>
          <t>'17.09.</t>
        </is>
      </c>
      <c r="C89" s="164" t="n">
        <v>582</v>
      </c>
      <c r="D89" s="161" t="n">
        <v>112.7</v>
      </c>
      <c r="E89" s="163" t="n">
        <v>34</v>
      </c>
      <c r="F89" s="161" t="n">
        <v>85</v>
      </c>
      <c r="G89" s="27" t="n">
        <v>26</v>
      </c>
      <c r="H89" s="164" t="n">
        <v>49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112C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청광플러스원</t>
        </is>
      </c>
      <c r="B90" s="16" t="inlineStr">
        <is>
          <t>'17.09.</t>
        </is>
      </c>
      <c r="C90" s="164" t="n">
        <v>582</v>
      </c>
      <c r="D90" s="161" t="n">
        <v>112.8</v>
      </c>
      <c r="E90" s="163" t="n">
        <v>34</v>
      </c>
      <c r="F90" s="161" t="n">
        <v>85</v>
      </c>
      <c r="G90" s="27" t="n">
        <v>26</v>
      </c>
      <c r="H90" s="164" t="n">
        <v>48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112B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서창센트라스</t>
        </is>
      </c>
      <c r="B92" s="16" t="inlineStr">
        <is>
          <t>'14.03.</t>
        </is>
      </c>
      <c r="C92" s="164" t="n">
        <v>566</v>
      </c>
      <c r="D92" s="161" t="n">
        <v>101.3</v>
      </c>
      <c r="E92" s="163" t="n">
        <v>31</v>
      </c>
      <c r="F92" s="161" t="n">
        <v>74.90000000000001</v>
      </c>
      <c r="G92" s="27" t="n">
        <v>23</v>
      </c>
      <c r="H92" s="164" t="n">
        <v>146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101A1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서창센트라스</t>
        </is>
      </c>
      <c r="B93" s="16" t="inlineStr">
        <is>
          <t>'14.03.</t>
        </is>
      </c>
      <c r="C93" s="164" t="n">
        <v>566</v>
      </c>
      <c r="D93" s="161" t="n">
        <v>101.3</v>
      </c>
      <c r="E93" s="163" t="n">
        <v>31</v>
      </c>
      <c r="F93" s="161" t="n">
        <v>74.90000000000001</v>
      </c>
      <c r="G93" s="27" t="n">
        <v>23</v>
      </c>
      <c r="H93" s="164" t="n">
        <v>69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101A2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서창센트라스</t>
        </is>
      </c>
      <c r="B94" s="16" t="inlineStr">
        <is>
          <t>'14.03.</t>
        </is>
      </c>
      <c r="C94" s="164" t="n">
        <v>566</v>
      </c>
      <c r="D94" s="161" t="n">
        <v>101.3</v>
      </c>
      <c r="E94" s="163" t="n">
        <v>31</v>
      </c>
      <c r="F94" s="161" t="n">
        <v>75</v>
      </c>
      <c r="G94" s="27" t="n">
        <v>23</v>
      </c>
      <c r="H94" s="164" t="n">
        <v>23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101B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서창센트라스</t>
        </is>
      </c>
      <c r="B95" s="16" t="inlineStr">
        <is>
          <t>'14.03.</t>
        </is>
      </c>
      <c r="C95" s="164" t="n">
        <v>566</v>
      </c>
      <c r="D95" s="161" t="n">
        <v>114.9</v>
      </c>
      <c r="E95" s="163" t="n">
        <v>35</v>
      </c>
      <c r="F95" s="161" t="n">
        <v>85</v>
      </c>
      <c r="G95" s="27" t="n">
        <v>26</v>
      </c>
      <c r="H95" s="164" t="n">
        <v>121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114A2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서창센트라스</t>
        </is>
      </c>
      <c r="B96" s="16" t="inlineStr">
        <is>
          <t>'14.03.</t>
        </is>
      </c>
      <c r="C96" s="164" t="n">
        <v>566</v>
      </c>
      <c r="D96" s="161" t="n">
        <v>114.8</v>
      </c>
      <c r="E96" s="163" t="n">
        <v>35</v>
      </c>
      <c r="F96" s="161" t="n">
        <v>84.90000000000001</v>
      </c>
      <c r="G96" s="27" t="n">
        <v>26</v>
      </c>
      <c r="H96" s="164" t="n">
        <v>70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114B2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서창센트라스</t>
        </is>
      </c>
      <c r="B97" s="16" t="inlineStr">
        <is>
          <t>'14.03.</t>
        </is>
      </c>
      <c r="C97" s="164" t="n">
        <v>566</v>
      </c>
      <c r="D97" s="161" t="n">
        <v>114.8</v>
      </c>
      <c r="E97" s="163" t="n">
        <v>35</v>
      </c>
      <c r="F97" s="161" t="n">
        <v>84.90000000000001</v>
      </c>
      <c r="G97" s="27" t="n">
        <v>26</v>
      </c>
      <c r="H97" s="164" t="n">
        <v>52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서창센트라스</t>
        </is>
      </c>
      <c r="B98" s="16" t="inlineStr">
        <is>
          <t>'14.03.</t>
        </is>
      </c>
      <c r="C98" s="164" t="n">
        <v>566</v>
      </c>
      <c r="D98" s="161" t="n">
        <v>114.7</v>
      </c>
      <c r="E98" s="163" t="n">
        <v>35</v>
      </c>
      <c r="F98" s="161" t="n">
        <v>84.90000000000001</v>
      </c>
      <c r="G98" s="27" t="n">
        <v>26</v>
      </c>
      <c r="H98" s="164" t="n">
        <v>26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114A1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서창센트라스</t>
        </is>
      </c>
      <c r="B99" s="16" t="inlineStr">
        <is>
          <t>'14.03.</t>
        </is>
      </c>
      <c r="C99" s="164" t="n">
        <v>566</v>
      </c>
      <c r="D99" s="161" t="n">
        <v>114.9</v>
      </c>
      <c r="E99" s="163" t="n">
        <v>35</v>
      </c>
      <c r="F99" s="161" t="n">
        <v>85</v>
      </c>
      <c r="G99" s="27" t="n">
        <v>26</v>
      </c>
      <c r="H99" s="164" t="n">
        <v>23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114A2N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서창센트라스</t>
        </is>
      </c>
      <c r="B100" s="16" t="inlineStr">
        <is>
          <t>'14.03.</t>
        </is>
      </c>
      <c r="C100" s="164" t="n">
        <v>566</v>
      </c>
      <c r="D100" s="161" t="n">
        <v>114.9</v>
      </c>
      <c r="E100" s="163" t="n">
        <v>35</v>
      </c>
      <c r="F100" s="161" t="n">
        <v>85</v>
      </c>
      <c r="G100" s="27" t="n">
        <v>26</v>
      </c>
      <c r="H100" s="164" t="n">
        <v>20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114C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서창센트라스</t>
        </is>
      </c>
      <c r="B101" s="16" t="inlineStr">
        <is>
          <t>'14.03.</t>
        </is>
      </c>
      <c r="C101" s="164" t="n">
        <v>566</v>
      </c>
      <c r="D101" s="161" t="n">
        <v>114.8</v>
      </c>
      <c r="E101" s="163" t="n">
        <v>35</v>
      </c>
      <c r="F101" s="161" t="n">
        <v>84.90000000000001</v>
      </c>
      <c r="G101" s="27" t="n">
        <v>26</v>
      </c>
      <c r="H101" s="164" t="n">
        <v>16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114B1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이편한세상서창</t>
        </is>
      </c>
      <c r="B103" s="16" t="inlineStr">
        <is>
          <t>'17.06.</t>
        </is>
      </c>
      <c r="C103" s="164" t="n">
        <v>835</v>
      </c>
      <c r="D103" s="161" t="n">
        <v>109.5</v>
      </c>
      <c r="E103" s="163" t="n">
        <v>33</v>
      </c>
      <c r="F103" s="161" t="n">
        <v>84.90000000000001</v>
      </c>
      <c r="G103" s="27" t="n">
        <v>26</v>
      </c>
      <c r="H103" s="164" t="n">
        <v>649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109A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이편한세상서창</t>
        </is>
      </c>
      <c r="B104" s="16" t="inlineStr">
        <is>
          <t>'17.06.</t>
        </is>
      </c>
      <c r="C104" s="164" t="n">
        <v>835</v>
      </c>
      <c r="D104" s="161" t="n">
        <v>110.4</v>
      </c>
      <c r="E104" s="163" t="n">
        <v>33</v>
      </c>
      <c r="F104" s="161" t="n">
        <v>85</v>
      </c>
      <c r="G104" s="27" t="n">
        <v>26</v>
      </c>
      <c r="H104" s="164" t="n">
        <v>95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110C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이편한세상서창</t>
        </is>
      </c>
      <c r="B105" s="16" t="inlineStr">
        <is>
          <t>'17.06.</t>
        </is>
      </c>
      <c r="C105" s="164" t="n">
        <v>835</v>
      </c>
      <c r="D105" s="161" t="n">
        <v>110.4</v>
      </c>
      <c r="E105" s="163" t="n">
        <v>33</v>
      </c>
      <c r="F105" s="161" t="n">
        <v>85</v>
      </c>
      <c r="G105" s="27" t="n">
        <v>26</v>
      </c>
      <c r="H105" s="164" t="n">
        <v>91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110B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임광그대가</t>
        </is>
      </c>
      <c r="B107" s="16" t="inlineStr">
        <is>
          <t>'07.01.</t>
        </is>
      </c>
      <c r="C107" s="164" t="n">
        <v>666</v>
      </c>
      <c r="D107" s="161" t="n">
        <v>108</v>
      </c>
      <c r="E107" s="163" t="n">
        <v>33</v>
      </c>
      <c r="F107" s="161" t="n">
        <v>85</v>
      </c>
      <c r="G107" s="27" t="n">
        <v>26</v>
      </c>
      <c r="H107" s="164" t="n">
        <v>406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108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임광그대가</t>
        </is>
      </c>
      <c r="B108" s="16" t="inlineStr">
        <is>
          <t>'07.01.</t>
        </is>
      </c>
      <c r="C108" s="164" t="n">
        <v>666</v>
      </c>
      <c r="D108" s="161" t="n">
        <v>159.6</v>
      </c>
      <c r="E108" s="163" t="n">
        <v>48</v>
      </c>
      <c r="F108" s="161" t="n">
        <v>134.5</v>
      </c>
      <c r="G108" s="27" t="n">
        <v>41</v>
      </c>
      <c r="H108" s="164" t="n">
        <v>260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n">
        <v>159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서창센트럴푸르지오</t>
        </is>
      </c>
      <c r="B110" s="16" t="inlineStr">
        <is>
          <t>'18.01.</t>
        </is>
      </c>
      <c r="C110" s="164" t="n">
        <v>1160</v>
      </c>
      <c r="D110" s="161" t="n">
        <v>99.8</v>
      </c>
      <c r="E110" s="163" t="n">
        <v>30</v>
      </c>
      <c r="F110" s="161" t="n">
        <v>75</v>
      </c>
      <c r="G110" s="27" t="n">
        <v>23</v>
      </c>
      <c r="H110" s="164" t="n">
        <v>478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99A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서창센트럴푸르지오</t>
        </is>
      </c>
      <c r="B111" s="16" t="inlineStr">
        <is>
          <t>'18.01.</t>
        </is>
      </c>
      <c r="C111" s="164" t="n">
        <v>1160</v>
      </c>
      <c r="D111" s="161" t="n">
        <v>99.8</v>
      </c>
      <c r="E111" s="163" t="n">
        <v>30</v>
      </c>
      <c r="F111" s="161" t="n">
        <v>75</v>
      </c>
      <c r="G111" s="27" t="n">
        <v>23</v>
      </c>
      <c r="H111" s="164" t="n">
        <v>241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99B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서창센트럴푸르지오</t>
        </is>
      </c>
      <c r="B112" s="16" t="inlineStr">
        <is>
          <t>'18.01.</t>
        </is>
      </c>
      <c r="C112" s="164" t="n">
        <v>1160</v>
      </c>
      <c r="D112" s="161" t="n">
        <v>113.1</v>
      </c>
      <c r="E112" s="163" t="n">
        <v>34</v>
      </c>
      <c r="F112" s="161" t="n">
        <v>85</v>
      </c>
      <c r="G112" s="27" t="n">
        <v>26</v>
      </c>
      <c r="H112" s="164" t="n">
        <v>441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113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서창자이</t>
        </is>
      </c>
      <c r="B114" s="16" t="inlineStr">
        <is>
          <t>'08.12.</t>
        </is>
      </c>
      <c r="C114" s="164" t="n">
        <v>500</v>
      </c>
      <c r="D114" s="161" t="n">
        <v>113.3</v>
      </c>
      <c r="E114" s="163" t="n">
        <v>34</v>
      </c>
      <c r="F114" s="161" t="n">
        <v>84.8</v>
      </c>
      <c r="G114" s="27" t="n">
        <v>26</v>
      </c>
      <c r="H114" s="164" t="n">
        <v>140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113A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서창자이</t>
        </is>
      </c>
      <c r="B115" s="16" t="inlineStr">
        <is>
          <t>'08.12.</t>
        </is>
      </c>
      <c r="C115" s="164" t="n">
        <v>500</v>
      </c>
      <c r="D115" s="161" t="n">
        <v>113.3</v>
      </c>
      <c r="E115" s="163" t="n">
        <v>34</v>
      </c>
      <c r="F115" s="161" t="n">
        <v>84.8</v>
      </c>
      <c r="G115" s="27" t="n">
        <v>26</v>
      </c>
      <c r="H115" s="164" t="n">
        <v>60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113B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서창자이</t>
        </is>
      </c>
      <c r="B116" s="16" t="inlineStr">
        <is>
          <t>'08.12.</t>
        </is>
      </c>
      <c r="C116" s="164" t="n">
        <v>500</v>
      </c>
      <c r="D116" s="161" t="n">
        <v>151.5</v>
      </c>
      <c r="E116" s="163" t="n">
        <v>46</v>
      </c>
      <c r="F116" s="161" t="n">
        <v>119.1</v>
      </c>
      <c r="G116" s="27" t="n">
        <v>36</v>
      </c>
      <c r="H116" s="164" t="n">
        <v>86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inlineStr">
        <is>
          <t>151A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서창자이</t>
        </is>
      </c>
      <c r="B117" s="16" t="inlineStr">
        <is>
          <t>'08.12.</t>
        </is>
      </c>
      <c r="C117" s="164" t="n">
        <v>500</v>
      </c>
      <c r="D117" s="161" t="n">
        <v>151.6</v>
      </c>
      <c r="E117" s="163" t="n">
        <v>46</v>
      </c>
      <c r="F117" s="161" t="n">
        <v>119.9</v>
      </c>
      <c r="G117" s="27" t="n">
        <v>36</v>
      </c>
      <c r="H117" s="164" t="n">
        <v>72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2</v>
      </c>
      <c r="S117" s="113" t="inlineStr">
        <is>
          <t>계</t>
        </is>
      </c>
      <c r="T117" s="8" t="inlineStr">
        <is>
          <t>151B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서창자이</t>
        </is>
      </c>
      <c r="B118" s="16" t="inlineStr">
        <is>
          <t>'08.12.</t>
        </is>
      </c>
      <c r="C118" s="164" t="n">
        <v>500</v>
      </c>
      <c r="D118" s="161" t="n">
        <v>171.6</v>
      </c>
      <c r="E118" s="163" t="n">
        <v>52</v>
      </c>
      <c r="F118" s="161" t="n">
        <v>141.9</v>
      </c>
      <c r="G118" s="27" t="n">
        <v>43</v>
      </c>
      <c r="H118" s="164" t="n">
        <v>142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합</t>
        </is>
      </c>
      <c r="T118" s="8" t="n">
        <v>171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938" dxfId="17">
      <formula>AV4="X"</formula>
    </cfRule>
    <cfRule type="expression" priority="1939" dxfId="16">
      <formula>AV4="후보"</formula>
    </cfRule>
  </conditionalFormatting>
  <conditionalFormatting sqref="AC1:AC2 AC4:AC6 N4:N5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N1:N2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N6">
    <cfRule type="cellIs" priority="1931" operator="greaterThan" dxfId="13">
      <formula>0.9</formula>
    </cfRule>
    <cfRule type="cellIs" priority="1932" operator="greaterThan" dxfId="12">
      <formula>0.85</formula>
    </cfRule>
  </conditionalFormatting>
  <conditionalFormatting sqref="E6">
    <cfRule type="expression" priority="1927" dxfId="3">
      <formula>AND(IF(OR($Q6=1,$Q6=2),1,0),IF($X6&lt;=20,1,0))</formula>
    </cfRule>
    <cfRule type="expression" priority="1928" dxfId="2">
      <formula>AND(IF($Q6=2,1,0),IF($X6&lt;30,1,0))</formula>
    </cfRule>
    <cfRule type="expression" priority="1929" dxfId="1">
      <formula>AND(IF($Q6=3,1,0),IF($X6&lt;30,1,0))</formula>
    </cfRule>
    <cfRule type="expression" priority="1930" dxfId="0">
      <formula>AND(IF($Q6=3,1,IF($Q6=4,1,0)),IF($F6&lt;=85,1,0))</formula>
    </cfRule>
  </conditionalFormatting>
  <conditionalFormatting sqref="X6">
    <cfRule type="expression" priority="1923" dxfId="3">
      <formula>AND(IF(OR($Q6=1,$Q6=2),1,0),IF($X6&lt;=20,1,0))</formula>
    </cfRule>
    <cfRule type="expression" priority="1924" dxfId="2">
      <formula>AND(IF($Q6=2,1,0),IF($X6&lt;30,1,0))</formula>
    </cfRule>
    <cfRule type="expression" priority="1925" dxfId="1">
      <formula>AND(IF($Q6=3,1,0),IF($X6&lt;30,1,0))</formula>
    </cfRule>
    <cfRule type="expression" priority="1926" dxfId="0">
      <formula>AND(IF($Q6=3,1,IF($Q6=4,1,0)),IF($F6&lt;=85,1,0))</formula>
    </cfRule>
  </conditionalFormatting>
  <conditionalFormatting sqref="AI6">
    <cfRule type="expression" priority="1919" dxfId="3">
      <formula>AND(IF(OR($Q6=1,$Q6=2),1,0),IF($X6&lt;=20,1,0))</formula>
    </cfRule>
    <cfRule type="expression" priority="1920" dxfId="2">
      <formula>AND(IF($Q6=2,1,0),IF($X6&lt;30,1,0))</formula>
    </cfRule>
    <cfRule type="expression" priority="1921" dxfId="1">
      <formula>AND(IF($Q6=3,1,0),IF($X6&lt;30,1,0))</formula>
    </cfRule>
    <cfRule type="expression" priority="1922" dxfId="0">
      <formula>AND(IF($Q6=3,1,IF($Q6=4,1,0)),IF($F6&lt;=85,1,0))</formula>
    </cfRule>
  </conditionalFormatting>
  <conditionalFormatting sqref="AV7">
    <cfRule type="expression" priority="1917" dxfId="17">
      <formula>AV7="X"</formula>
    </cfRule>
    <cfRule type="expression" priority="1918" dxfId="16">
      <formula>AV7="후보"</formula>
    </cfRule>
  </conditionalFormatting>
  <conditionalFormatting sqref="AC7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N7">
    <cfRule type="cellIs" priority="1912" operator="greaterThan" dxfId="13">
      <formula>0.9</formula>
    </cfRule>
    <cfRule type="cellIs" priority="1913" operator="greaterThan" dxfId="12">
      <formula>0.85</formula>
    </cfRule>
  </conditionalFormatting>
  <conditionalFormatting sqref="E7">
    <cfRule type="expression" priority="1908" dxfId="3">
      <formula>AND(IF(OR($Q7=1,$Q7=2),1,0),IF($X7&lt;=20,1,0))</formula>
    </cfRule>
    <cfRule type="expression" priority="1909" dxfId="2">
      <formula>AND(IF($Q7=2,1,0),IF($X7&lt;30,1,0))</formula>
    </cfRule>
    <cfRule type="expression" priority="1910" dxfId="1">
      <formula>AND(IF($Q7=3,1,0),IF($X7&lt;30,1,0))</formula>
    </cfRule>
    <cfRule type="expression" priority="1911" dxfId="0">
      <formula>AND(IF($Q7=3,1,IF($Q7=4,1,0)),IF($F7&lt;=85,1,0))</formula>
    </cfRule>
  </conditionalFormatting>
  <conditionalFormatting sqref="X7">
    <cfRule type="expression" priority="1904" dxfId="3">
      <formula>AND(IF(OR($Q7=1,$Q7=2),1,0),IF($X7&lt;=20,1,0))</formula>
    </cfRule>
    <cfRule type="expression" priority="1905" dxfId="2">
      <formula>AND(IF($Q7=2,1,0),IF($X7&lt;30,1,0))</formula>
    </cfRule>
    <cfRule type="expression" priority="1906" dxfId="1">
      <formula>AND(IF($Q7=3,1,0),IF($X7&lt;30,1,0))</formula>
    </cfRule>
    <cfRule type="expression" priority="1907" dxfId="0">
      <formula>AND(IF($Q7=3,1,IF($Q7=4,1,0)),IF($F7&lt;=85,1,0))</formula>
    </cfRule>
  </conditionalFormatting>
  <conditionalFormatting sqref="AI7">
    <cfRule type="expression" priority="1900" dxfId="3">
      <formula>AND(IF(OR($Q7=1,$Q7=2),1,0),IF($X7&lt;=20,1,0))</formula>
    </cfRule>
    <cfRule type="expression" priority="1901" dxfId="2">
      <formula>AND(IF($Q7=2,1,0),IF($X7&lt;30,1,0))</formula>
    </cfRule>
    <cfRule type="expression" priority="1902" dxfId="1">
      <formula>AND(IF($Q7=3,1,0),IF($X7&lt;30,1,0))</formula>
    </cfRule>
    <cfRule type="expression" priority="1903" dxfId="0">
      <formula>AND(IF($Q7=3,1,IF($Q7=4,1,0)),IF($F7&lt;=85,1,0))</formula>
    </cfRule>
  </conditionalFormatting>
  <conditionalFormatting sqref="AV8">
    <cfRule type="expression" priority="1898" dxfId="17">
      <formula>AV8="X"</formula>
    </cfRule>
    <cfRule type="expression" priority="1899" dxfId="16">
      <formula>AV8="후보"</formula>
    </cfRule>
  </conditionalFormatting>
  <conditionalFormatting sqref="AC8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N8">
    <cfRule type="cellIs" priority="1893" operator="greaterThan" dxfId="13">
      <formula>0.9</formula>
    </cfRule>
    <cfRule type="cellIs" priority="1894" operator="greaterThan" dxfId="12">
      <formula>0.85</formula>
    </cfRule>
  </conditionalFormatting>
  <conditionalFormatting sqref="E8">
    <cfRule type="expression" priority="1889" dxfId="3">
      <formula>AND(IF(OR($Q8=1,$Q8=2),1,0),IF($X8&lt;=20,1,0))</formula>
    </cfRule>
    <cfRule type="expression" priority="1890" dxfId="2">
      <formula>AND(IF($Q8=2,1,0),IF($X8&lt;30,1,0))</formula>
    </cfRule>
    <cfRule type="expression" priority="1891" dxfId="1">
      <formula>AND(IF($Q8=3,1,0),IF($X8&lt;30,1,0))</formula>
    </cfRule>
    <cfRule type="expression" priority="1892" dxfId="0">
      <formula>AND(IF($Q8=3,1,IF($Q8=4,1,0)),IF($F8&lt;=85,1,0))</formula>
    </cfRule>
  </conditionalFormatting>
  <conditionalFormatting sqref="X8">
    <cfRule type="expression" priority="1885" dxfId="3">
      <formula>AND(IF(OR($Q8=1,$Q8=2),1,0),IF($X8&lt;=20,1,0))</formula>
    </cfRule>
    <cfRule type="expression" priority="1886" dxfId="2">
      <formula>AND(IF($Q8=2,1,0),IF($X8&lt;30,1,0))</formula>
    </cfRule>
    <cfRule type="expression" priority="1887" dxfId="1">
      <formula>AND(IF($Q8=3,1,0),IF($X8&lt;30,1,0))</formula>
    </cfRule>
    <cfRule type="expression" priority="1888" dxfId="0">
      <formula>AND(IF($Q8=3,1,IF($Q8=4,1,0)),IF($F8&lt;=85,1,0))</formula>
    </cfRule>
  </conditionalFormatting>
  <conditionalFormatting sqref="AI8">
    <cfRule type="expression" priority="1881" dxfId="3">
      <formula>AND(IF(OR($Q8=1,$Q8=2),1,0),IF($X8&lt;=20,1,0))</formula>
    </cfRule>
    <cfRule type="expression" priority="1882" dxfId="2">
      <formula>AND(IF($Q8=2,1,0),IF($X8&lt;30,1,0))</formula>
    </cfRule>
    <cfRule type="expression" priority="1883" dxfId="1">
      <formula>AND(IF($Q8=3,1,0),IF($X8&lt;30,1,0))</formula>
    </cfRule>
    <cfRule type="expression" priority="1884" dxfId="0">
      <formula>AND(IF($Q8=3,1,IF($Q8=4,1,0)),IF($F8&lt;=85,1,0))</formula>
    </cfRule>
  </conditionalFormatting>
  <conditionalFormatting sqref="AV9">
    <cfRule type="expression" priority="1879" dxfId="17">
      <formula>AV9="X"</formula>
    </cfRule>
    <cfRule type="expression" priority="1880" dxfId="16">
      <formula>AV9="후보"</formula>
    </cfRule>
  </conditionalFormatting>
  <conditionalFormatting sqref="AC9">
    <cfRule type="cellIs" priority="1876" operator="greaterThan" dxfId="13">
      <formula>0.9</formula>
    </cfRule>
    <cfRule type="cellIs" priority="1877" operator="greaterThan" dxfId="12">
      <formula>0.85</formula>
    </cfRule>
  </conditionalFormatting>
  <conditionalFormatting sqref="N9">
    <cfRule type="cellIs" priority="1874" operator="greaterThan" dxfId="13">
      <formula>0.9</formula>
    </cfRule>
    <cfRule type="cellIs" priority="1875" operator="greaterThan" dxfId="12">
      <formula>0.85</formula>
    </cfRule>
  </conditionalFormatting>
  <conditionalFormatting sqref="E9">
    <cfRule type="expression" priority="1870" dxfId="3">
      <formula>AND(IF(OR($Q9=1,$Q9=2),1,0),IF($X9&lt;=20,1,0))</formula>
    </cfRule>
    <cfRule type="expression" priority="1871" dxfId="2">
      <formula>AND(IF($Q9=2,1,0),IF($X9&lt;30,1,0))</formula>
    </cfRule>
    <cfRule type="expression" priority="1872" dxfId="1">
      <formula>AND(IF($Q9=3,1,0),IF($X9&lt;30,1,0))</formula>
    </cfRule>
    <cfRule type="expression" priority="1873" dxfId="0">
      <formula>AND(IF($Q9=3,1,IF($Q9=4,1,0)),IF($F9&lt;=85,1,0))</formula>
    </cfRule>
  </conditionalFormatting>
  <conditionalFormatting sqref="X9">
    <cfRule type="expression" priority="1866" dxfId="3">
      <formula>AND(IF(OR($Q9=1,$Q9=2),1,0),IF($X9&lt;=20,1,0))</formula>
    </cfRule>
    <cfRule type="expression" priority="1867" dxfId="2">
      <formula>AND(IF($Q9=2,1,0),IF($X9&lt;30,1,0))</formula>
    </cfRule>
    <cfRule type="expression" priority="1868" dxfId="1">
      <formula>AND(IF($Q9=3,1,0),IF($X9&lt;30,1,0))</formula>
    </cfRule>
    <cfRule type="expression" priority="1869" dxfId="0">
      <formula>AND(IF($Q9=3,1,IF($Q9=4,1,0)),IF($F9&lt;=85,1,0))</formula>
    </cfRule>
  </conditionalFormatting>
  <conditionalFormatting sqref="AI9">
    <cfRule type="expression" priority="1862" dxfId="3">
      <formula>AND(IF(OR($Q9=1,$Q9=2),1,0),IF($X9&lt;=20,1,0))</formula>
    </cfRule>
    <cfRule type="expression" priority="1863" dxfId="2">
      <formula>AND(IF($Q9=2,1,0),IF($X9&lt;30,1,0))</formula>
    </cfRule>
    <cfRule type="expression" priority="1864" dxfId="1">
      <formula>AND(IF($Q9=3,1,0),IF($X9&lt;30,1,0))</formula>
    </cfRule>
    <cfRule type="expression" priority="1865" dxfId="0">
      <formula>AND(IF($Q9=3,1,IF($Q9=4,1,0)),IF($F9&lt;=85,1,0))</formula>
    </cfRule>
  </conditionalFormatting>
  <conditionalFormatting sqref="AV10">
    <cfRule type="expression" priority="1860" dxfId="17">
      <formula>AV10="X"</formula>
    </cfRule>
    <cfRule type="expression" priority="1861" dxfId="16">
      <formula>AV10="후보"</formula>
    </cfRule>
  </conditionalFormatting>
  <conditionalFormatting sqref="AC10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N10">
    <cfRule type="cellIs" priority="1855" operator="greaterThan" dxfId="13">
      <formula>0.9</formula>
    </cfRule>
    <cfRule type="cellIs" priority="1856" operator="greaterThan" dxfId="12">
      <formula>0.85</formula>
    </cfRule>
  </conditionalFormatting>
  <conditionalFormatting sqref="E10">
    <cfRule type="expression" priority="1851" dxfId="3">
      <formula>AND(IF(OR($Q10=1,$Q10=2),1,0),IF($X10&lt;=20,1,0))</formula>
    </cfRule>
    <cfRule type="expression" priority="1852" dxfId="2">
      <formula>AND(IF($Q10=2,1,0),IF($X10&lt;30,1,0))</formula>
    </cfRule>
    <cfRule type="expression" priority="1853" dxfId="1">
      <formula>AND(IF($Q10=3,1,0),IF($X10&lt;30,1,0))</formula>
    </cfRule>
    <cfRule type="expression" priority="1854" dxfId="0">
      <formula>AND(IF($Q10=3,1,IF($Q10=4,1,0)),IF($F10&lt;=85,1,0))</formula>
    </cfRule>
  </conditionalFormatting>
  <conditionalFormatting sqref="X10">
    <cfRule type="expression" priority="1847" dxfId="3">
      <formula>AND(IF(OR($Q10=1,$Q10=2),1,0),IF($X10&lt;=20,1,0))</formula>
    </cfRule>
    <cfRule type="expression" priority="1848" dxfId="2">
      <formula>AND(IF($Q10=2,1,0),IF($X10&lt;30,1,0))</formula>
    </cfRule>
    <cfRule type="expression" priority="1849" dxfId="1">
      <formula>AND(IF($Q10=3,1,0),IF($X10&lt;30,1,0))</formula>
    </cfRule>
    <cfRule type="expression" priority="1850" dxfId="0">
      <formula>AND(IF($Q10=3,1,IF($Q10=4,1,0)),IF($F10&lt;=85,1,0))</formula>
    </cfRule>
  </conditionalFormatting>
  <conditionalFormatting sqref="AI10">
    <cfRule type="expression" priority="1843" dxfId="3">
      <formula>AND(IF(OR($Q10=1,$Q10=2),1,0),IF($X10&lt;=20,1,0))</formula>
    </cfRule>
    <cfRule type="expression" priority="1844" dxfId="2">
      <formula>AND(IF($Q10=2,1,0),IF($X10&lt;30,1,0))</formula>
    </cfRule>
    <cfRule type="expression" priority="1845" dxfId="1">
      <formula>AND(IF($Q10=3,1,0),IF($X10&lt;30,1,0))</formula>
    </cfRule>
    <cfRule type="expression" priority="1846" dxfId="0">
      <formula>AND(IF($Q10=3,1,IF($Q10=4,1,0)),IF($F10&lt;=85,1,0))</formula>
    </cfRule>
  </conditionalFormatting>
  <conditionalFormatting sqref="AV11">
    <cfRule type="expression" priority="1841" dxfId="17">
      <formula>AV11="X"</formula>
    </cfRule>
    <cfRule type="expression" priority="1842" dxfId="16">
      <formula>AV11="후보"</formula>
    </cfRule>
  </conditionalFormatting>
  <conditionalFormatting sqref="AC11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N11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E11">
    <cfRule type="expression" priority="1832" dxfId="3">
      <formula>AND(IF(OR($Q11=1,$Q11=2),1,0),IF($X11&lt;=20,1,0))</formula>
    </cfRule>
    <cfRule type="expression" priority="1833" dxfId="2">
      <formula>AND(IF($Q11=2,1,0),IF($X11&lt;30,1,0))</formula>
    </cfRule>
    <cfRule type="expression" priority="1834" dxfId="1">
      <formula>AND(IF($Q11=3,1,0),IF($X11&lt;30,1,0))</formula>
    </cfRule>
    <cfRule type="expression" priority="1835" dxfId="0">
      <formula>AND(IF($Q11=3,1,IF($Q11=4,1,0)),IF($F11&lt;=85,1,0))</formula>
    </cfRule>
  </conditionalFormatting>
  <conditionalFormatting sqref="X11">
    <cfRule type="expression" priority="1828" dxfId="3">
      <formula>AND(IF(OR($Q11=1,$Q11=2),1,0),IF($X11&lt;=20,1,0))</formula>
    </cfRule>
    <cfRule type="expression" priority="1829" dxfId="2">
      <formula>AND(IF($Q11=2,1,0),IF($X11&lt;30,1,0))</formula>
    </cfRule>
    <cfRule type="expression" priority="1830" dxfId="1">
      <formula>AND(IF($Q11=3,1,0),IF($X11&lt;30,1,0))</formula>
    </cfRule>
    <cfRule type="expression" priority="1831" dxfId="0">
      <formula>AND(IF($Q11=3,1,IF($Q11=4,1,0)),IF($F11&lt;=85,1,0))</formula>
    </cfRule>
  </conditionalFormatting>
  <conditionalFormatting sqref="AI11">
    <cfRule type="expression" priority="1824" dxfId="3">
      <formula>AND(IF(OR($Q11=1,$Q11=2),1,0),IF($X11&lt;=20,1,0))</formula>
    </cfRule>
    <cfRule type="expression" priority="1825" dxfId="2">
      <formula>AND(IF($Q11=2,1,0),IF($X11&lt;30,1,0))</formula>
    </cfRule>
    <cfRule type="expression" priority="1826" dxfId="1">
      <formula>AND(IF($Q11=3,1,0),IF($X11&lt;30,1,0))</formula>
    </cfRule>
    <cfRule type="expression" priority="1827" dxfId="0">
      <formula>AND(IF($Q11=3,1,IF($Q11=4,1,0)),IF($F11&lt;=85,1,0))</formula>
    </cfRule>
  </conditionalFormatting>
  <conditionalFormatting sqref="AV12">
    <cfRule type="expression" priority="1822" dxfId="17">
      <formula>AV12="X"</formula>
    </cfRule>
    <cfRule type="expression" priority="1823" dxfId="16">
      <formula>AV12="후보"</formula>
    </cfRule>
  </conditionalFormatting>
  <conditionalFormatting sqref="AC12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N12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E12">
    <cfRule type="expression" priority="1813" dxfId="3">
      <formula>AND(IF(OR($Q12=1,$Q12=2),1,0),IF($X12&lt;=20,1,0))</formula>
    </cfRule>
    <cfRule type="expression" priority="1814" dxfId="2">
      <formula>AND(IF($Q12=2,1,0),IF($X12&lt;30,1,0))</formula>
    </cfRule>
    <cfRule type="expression" priority="1815" dxfId="1">
      <formula>AND(IF($Q12=3,1,0),IF($X12&lt;30,1,0))</formula>
    </cfRule>
    <cfRule type="expression" priority="1816" dxfId="0">
      <formula>AND(IF($Q12=3,1,IF($Q12=4,1,0)),IF($F12&lt;=85,1,0))</formula>
    </cfRule>
  </conditionalFormatting>
  <conditionalFormatting sqref="X12">
    <cfRule type="expression" priority="1809" dxfId="3">
      <formula>AND(IF(OR($Q12=1,$Q12=2),1,0),IF($X12&lt;=20,1,0))</formula>
    </cfRule>
    <cfRule type="expression" priority="1810" dxfId="2">
      <formula>AND(IF($Q12=2,1,0),IF($X12&lt;30,1,0))</formula>
    </cfRule>
    <cfRule type="expression" priority="1811" dxfId="1">
      <formula>AND(IF($Q12=3,1,0),IF($X12&lt;30,1,0))</formula>
    </cfRule>
    <cfRule type="expression" priority="1812" dxfId="0">
      <formula>AND(IF($Q12=3,1,IF($Q12=4,1,0)),IF($F12&lt;=85,1,0))</formula>
    </cfRule>
  </conditionalFormatting>
  <conditionalFormatting sqref="AI12">
    <cfRule type="expression" priority="1805" dxfId="3">
      <formula>AND(IF(OR($Q12=1,$Q12=2),1,0),IF($X12&lt;=20,1,0))</formula>
    </cfRule>
    <cfRule type="expression" priority="1806" dxfId="2">
      <formula>AND(IF($Q12=2,1,0),IF($X12&lt;30,1,0))</formula>
    </cfRule>
    <cfRule type="expression" priority="1807" dxfId="1">
      <formula>AND(IF($Q12=3,1,0),IF($X12&lt;30,1,0))</formula>
    </cfRule>
    <cfRule type="expression" priority="1808" dxfId="0">
      <formula>AND(IF($Q12=3,1,IF($Q12=4,1,0)),IF($F12&lt;=85,1,0))</formula>
    </cfRule>
  </conditionalFormatting>
  <conditionalFormatting sqref="AV13">
    <cfRule type="expression" priority="1803" dxfId="17">
      <formula>AV13="X"</formula>
    </cfRule>
    <cfRule type="expression" priority="1804" dxfId="16">
      <formula>AV13="후보"</formula>
    </cfRule>
  </conditionalFormatting>
  <conditionalFormatting sqref="AC13">
    <cfRule type="cellIs" priority="1800" operator="greaterThan" dxfId="13">
      <formula>0.9</formula>
    </cfRule>
    <cfRule type="cellIs" priority="1801" operator="greaterThan" dxfId="12">
      <formula>0.85</formula>
    </cfRule>
  </conditionalFormatting>
  <conditionalFormatting sqref="N13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E13">
    <cfRule type="expression" priority="1794" dxfId="3">
      <formula>AND(IF(OR($Q13=1,$Q13=2),1,0),IF($X13&lt;=20,1,0))</formula>
    </cfRule>
    <cfRule type="expression" priority="1795" dxfId="2">
      <formula>AND(IF($Q13=2,1,0),IF($X13&lt;30,1,0))</formula>
    </cfRule>
    <cfRule type="expression" priority="1796" dxfId="1">
      <formula>AND(IF($Q13=3,1,0),IF($X13&lt;30,1,0))</formula>
    </cfRule>
    <cfRule type="expression" priority="1797" dxfId="0">
      <formula>AND(IF($Q13=3,1,IF($Q13=4,1,0)),IF($F13&lt;=85,1,0))</formula>
    </cfRule>
  </conditionalFormatting>
  <conditionalFormatting sqref="X13">
    <cfRule type="expression" priority="1790" dxfId="3">
      <formula>AND(IF(OR($Q13=1,$Q13=2),1,0),IF($X13&lt;=20,1,0))</formula>
    </cfRule>
    <cfRule type="expression" priority="1791" dxfId="2">
      <formula>AND(IF($Q13=2,1,0),IF($X13&lt;30,1,0))</formula>
    </cfRule>
    <cfRule type="expression" priority="1792" dxfId="1">
      <formula>AND(IF($Q13=3,1,0),IF($X13&lt;30,1,0))</formula>
    </cfRule>
    <cfRule type="expression" priority="1793" dxfId="0">
      <formula>AND(IF($Q13=3,1,IF($Q13=4,1,0)),IF($F13&lt;=85,1,0))</formula>
    </cfRule>
  </conditionalFormatting>
  <conditionalFormatting sqref="AI13">
    <cfRule type="expression" priority="1786" dxfId="3">
      <formula>AND(IF(OR($Q13=1,$Q13=2),1,0),IF($X13&lt;=20,1,0))</formula>
    </cfRule>
    <cfRule type="expression" priority="1787" dxfId="2">
      <formula>AND(IF($Q13=2,1,0),IF($X13&lt;30,1,0))</formula>
    </cfRule>
    <cfRule type="expression" priority="1788" dxfId="1">
      <formula>AND(IF($Q13=3,1,0),IF($X13&lt;30,1,0))</formula>
    </cfRule>
    <cfRule type="expression" priority="1789" dxfId="0">
      <formula>AND(IF($Q13=3,1,IF($Q13=4,1,0)),IF($F13&lt;=85,1,0))</formula>
    </cfRule>
  </conditionalFormatting>
  <conditionalFormatting sqref="AV14">
    <cfRule type="expression" priority="1784" dxfId="17">
      <formula>AV14="X"</formula>
    </cfRule>
    <cfRule type="expression" priority="1785" dxfId="16">
      <formula>AV14="후보"</formula>
    </cfRule>
  </conditionalFormatting>
  <conditionalFormatting sqref="AC14">
    <cfRule type="cellIs" priority="1781" operator="greaterThan" dxfId="13">
      <formula>0.9</formula>
    </cfRule>
    <cfRule type="cellIs" priority="1782" operator="greaterThan" dxfId="12">
      <formula>0.85</formula>
    </cfRule>
  </conditionalFormatting>
  <conditionalFormatting sqref="N14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E14">
    <cfRule type="expression" priority="1775" dxfId="3">
      <formula>AND(IF(OR($Q14=1,$Q14=2),1,0),IF($X14&lt;=20,1,0))</formula>
    </cfRule>
    <cfRule type="expression" priority="1776" dxfId="2">
      <formula>AND(IF($Q14=2,1,0),IF($X14&lt;30,1,0))</formula>
    </cfRule>
    <cfRule type="expression" priority="1777" dxfId="1">
      <formula>AND(IF($Q14=3,1,0),IF($X14&lt;30,1,0))</formula>
    </cfRule>
    <cfRule type="expression" priority="1778" dxfId="0">
      <formula>AND(IF($Q14=3,1,IF($Q14=4,1,0)),IF($F14&lt;=85,1,0))</formula>
    </cfRule>
  </conditionalFormatting>
  <conditionalFormatting sqref="X14">
    <cfRule type="expression" priority="1771" dxfId="3">
      <formula>AND(IF(OR($Q14=1,$Q14=2),1,0),IF($X14&lt;=20,1,0))</formula>
    </cfRule>
    <cfRule type="expression" priority="1772" dxfId="2">
      <formula>AND(IF($Q14=2,1,0),IF($X14&lt;30,1,0))</formula>
    </cfRule>
    <cfRule type="expression" priority="1773" dxfId="1">
      <formula>AND(IF($Q14=3,1,0),IF($X14&lt;30,1,0))</formula>
    </cfRule>
    <cfRule type="expression" priority="1774" dxfId="0">
      <formula>AND(IF($Q14=3,1,IF($Q14=4,1,0)),IF($F14&lt;=85,1,0))</formula>
    </cfRule>
  </conditionalFormatting>
  <conditionalFormatting sqref="AI14">
    <cfRule type="expression" priority="1767" dxfId="3">
      <formula>AND(IF(OR($Q14=1,$Q14=2),1,0),IF($X14&lt;=20,1,0))</formula>
    </cfRule>
    <cfRule type="expression" priority="1768" dxfId="2">
      <formula>AND(IF($Q14=2,1,0),IF($X14&lt;30,1,0))</formula>
    </cfRule>
    <cfRule type="expression" priority="1769" dxfId="1">
      <formula>AND(IF($Q14=3,1,0),IF($X14&lt;30,1,0))</formula>
    </cfRule>
    <cfRule type="expression" priority="1770" dxfId="0">
      <formula>AND(IF($Q14=3,1,IF($Q14=4,1,0)),IF($F14&lt;=85,1,0))</formula>
    </cfRule>
  </conditionalFormatting>
  <conditionalFormatting sqref="AV15">
    <cfRule type="expression" priority="1765" dxfId="17">
      <formula>AV15="X"</formula>
    </cfRule>
    <cfRule type="expression" priority="1766" dxfId="16">
      <formula>AV15="후보"</formula>
    </cfRule>
  </conditionalFormatting>
  <conditionalFormatting sqref="AC15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15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15">
    <cfRule type="expression" priority="1756" dxfId="3">
      <formula>AND(IF(OR($Q15=1,$Q15=2),1,0),IF($X15&lt;=20,1,0))</formula>
    </cfRule>
    <cfRule type="expression" priority="1757" dxfId="2">
      <formula>AND(IF($Q15=2,1,0),IF($X15&lt;30,1,0))</formula>
    </cfRule>
    <cfRule type="expression" priority="1758" dxfId="1">
      <formula>AND(IF($Q15=3,1,0),IF($X15&lt;30,1,0))</formula>
    </cfRule>
    <cfRule type="expression" priority="1759" dxfId="0">
      <formula>AND(IF($Q15=3,1,IF($Q15=4,1,0)),IF($F15&lt;=85,1,0))</formula>
    </cfRule>
  </conditionalFormatting>
  <conditionalFormatting sqref="X15">
    <cfRule type="expression" priority="1752" dxfId="3">
      <formula>AND(IF(OR($Q15=1,$Q15=2),1,0),IF($X15&lt;=20,1,0))</formula>
    </cfRule>
    <cfRule type="expression" priority="1753" dxfId="2">
      <formula>AND(IF($Q15=2,1,0),IF($X15&lt;30,1,0))</formula>
    </cfRule>
    <cfRule type="expression" priority="1754" dxfId="1">
      <formula>AND(IF($Q15=3,1,0),IF($X15&lt;30,1,0))</formula>
    </cfRule>
    <cfRule type="expression" priority="1755" dxfId="0">
      <formula>AND(IF($Q15=3,1,IF($Q15=4,1,0)),IF($F15&lt;=85,1,0))</formula>
    </cfRule>
  </conditionalFormatting>
  <conditionalFormatting sqref="AI15">
    <cfRule type="expression" priority="1748" dxfId="3">
      <formula>AND(IF(OR($Q15=1,$Q15=2),1,0),IF($X15&lt;=20,1,0))</formula>
    </cfRule>
    <cfRule type="expression" priority="1749" dxfId="2">
      <formula>AND(IF($Q15=2,1,0),IF($X15&lt;30,1,0))</formula>
    </cfRule>
    <cfRule type="expression" priority="1750" dxfId="1">
      <formula>AND(IF($Q15=3,1,0),IF($X15&lt;30,1,0))</formula>
    </cfRule>
    <cfRule type="expression" priority="1751" dxfId="0">
      <formula>AND(IF($Q15=3,1,IF($Q15=4,1,0)),IF($F15&lt;=85,1,0))</formula>
    </cfRule>
  </conditionalFormatting>
  <conditionalFormatting sqref="AV16">
    <cfRule type="expression" priority="1746" dxfId="17">
      <formula>AV16="X"</formula>
    </cfRule>
    <cfRule type="expression" priority="1747" dxfId="16">
      <formula>AV16="후보"</formula>
    </cfRule>
  </conditionalFormatting>
  <conditionalFormatting sqref="AC1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16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X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I16">
    <cfRule type="expression" priority="1729" dxfId="3">
      <formula>AND(IF(OR($Q16=1,$Q16=2),1,0),IF($X16&lt;=20,1,0))</formula>
    </cfRule>
    <cfRule type="expression" priority="1730" dxfId="2">
      <formula>AND(IF($Q16=2,1,0),IF($X16&lt;30,1,0))</formula>
    </cfRule>
    <cfRule type="expression" priority="1731" dxfId="1">
      <formula>AND(IF($Q16=3,1,0),IF($X16&lt;30,1,0))</formula>
    </cfRule>
    <cfRule type="expression" priority="1732" dxfId="0">
      <formula>AND(IF($Q16=3,1,IF($Q16=4,1,0)),IF($F16&lt;=85,1,0))</formula>
    </cfRule>
  </conditionalFormatting>
  <conditionalFormatting sqref="AV17">
    <cfRule type="expression" priority="1727" dxfId="17">
      <formula>AV17="X"</formula>
    </cfRule>
    <cfRule type="expression" priority="1728" dxfId="16">
      <formula>AV17="후보"</formula>
    </cfRule>
  </conditionalFormatting>
  <conditionalFormatting sqref="AC17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17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17">
    <cfRule type="expression" priority="1718" dxfId="3">
      <formula>AND(IF(OR($Q17=1,$Q17=2),1,0),IF($X17&lt;=20,1,0))</formula>
    </cfRule>
    <cfRule type="expression" priority="1719" dxfId="2">
      <formula>AND(IF($Q17=2,1,0),IF($X17&lt;30,1,0))</formula>
    </cfRule>
    <cfRule type="expression" priority="1720" dxfId="1">
      <formula>AND(IF($Q17=3,1,0),IF($X17&lt;30,1,0))</formula>
    </cfRule>
    <cfRule type="expression" priority="1721" dxfId="0">
      <formula>AND(IF($Q17=3,1,IF($Q17=4,1,0)),IF($F17&lt;=85,1,0))</formula>
    </cfRule>
  </conditionalFormatting>
  <conditionalFormatting sqref="X17">
    <cfRule type="expression" priority="1714" dxfId="3">
      <formula>AND(IF(OR($Q17=1,$Q17=2),1,0),IF($X17&lt;=20,1,0))</formula>
    </cfRule>
    <cfRule type="expression" priority="1715" dxfId="2">
      <formula>AND(IF($Q17=2,1,0),IF($X17&lt;30,1,0))</formula>
    </cfRule>
    <cfRule type="expression" priority="1716" dxfId="1">
      <formula>AND(IF($Q17=3,1,0),IF($X17&lt;30,1,0))</formula>
    </cfRule>
    <cfRule type="expression" priority="1717" dxfId="0">
      <formula>AND(IF($Q17=3,1,IF($Q17=4,1,0)),IF($F17&lt;=85,1,0))</formula>
    </cfRule>
  </conditionalFormatting>
  <conditionalFormatting sqref="AI17">
    <cfRule type="expression" priority="1710" dxfId="3">
      <formula>AND(IF(OR($Q17=1,$Q17=2),1,0),IF($X17&lt;=20,1,0))</formula>
    </cfRule>
    <cfRule type="expression" priority="1711" dxfId="2">
      <formula>AND(IF($Q17=2,1,0),IF($X17&lt;30,1,0))</formula>
    </cfRule>
    <cfRule type="expression" priority="1712" dxfId="1">
      <formula>AND(IF($Q17=3,1,0),IF($X17&lt;30,1,0))</formula>
    </cfRule>
    <cfRule type="expression" priority="1713" dxfId="0">
      <formula>AND(IF($Q17=3,1,IF($Q17=4,1,0)),IF($F17&lt;=85,1,0))</formula>
    </cfRule>
  </conditionalFormatting>
  <conditionalFormatting sqref="AV18">
    <cfRule type="expression" priority="1708" dxfId="17">
      <formula>AV18="X"</formula>
    </cfRule>
    <cfRule type="expression" priority="1709" dxfId="16">
      <formula>AV18="후보"</formula>
    </cfRule>
  </conditionalFormatting>
  <conditionalFormatting sqref="AC1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18">
    <cfRule type="expression" priority="1699" dxfId="3">
      <formula>AND(IF(OR($Q18=1,$Q18=2),1,0),IF($X18&lt;=20,1,0))</formula>
    </cfRule>
    <cfRule type="expression" priority="1700" dxfId="2">
      <formula>AND(IF($Q18=2,1,0),IF($X18&lt;30,1,0))</formula>
    </cfRule>
    <cfRule type="expression" priority="1701" dxfId="1">
      <formula>AND(IF($Q18=3,1,0),IF($X18&lt;30,1,0))</formula>
    </cfRule>
    <cfRule type="expression" priority="1702" dxfId="0">
      <formula>AND(IF($Q18=3,1,IF($Q18=4,1,0)),IF($F18&lt;=85,1,0))</formula>
    </cfRule>
  </conditionalFormatting>
  <conditionalFormatting sqref="X18">
    <cfRule type="expression" priority="1695" dxfId="3">
      <formula>AND(IF(OR($Q18=1,$Q18=2),1,0),IF($X18&lt;=20,1,0))</formula>
    </cfRule>
    <cfRule type="expression" priority="1696" dxfId="2">
      <formula>AND(IF($Q18=2,1,0),IF($X18&lt;30,1,0))</formula>
    </cfRule>
    <cfRule type="expression" priority="1697" dxfId="1">
      <formula>AND(IF($Q18=3,1,0),IF($X18&lt;30,1,0))</formula>
    </cfRule>
    <cfRule type="expression" priority="1698" dxfId="0">
      <formula>AND(IF($Q18=3,1,IF($Q18=4,1,0)),IF($F18&lt;=85,1,0))</formula>
    </cfRule>
  </conditionalFormatting>
  <conditionalFormatting sqref="AI18">
    <cfRule type="expression" priority="1691" dxfId="3">
      <formula>AND(IF(OR($Q18=1,$Q18=2),1,0),IF($X18&lt;=20,1,0))</formula>
    </cfRule>
    <cfRule type="expression" priority="1692" dxfId="2">
      <formula>AND(IF($Q18=2,1,0),IF($X18&lt;30,1,0))</formula>
    </cfRule>
    <cfRule type="expression" priority="1693" dxfId="1">
      <formula>AND(IF($Q18=3,1,0),IF($X18&lt;30,1,0))</formula>
    </cfRule>
    <cfRule type="expression" priority="1694" dxfId="0">
      <formula>AND(IF($Q18=3,1,IF($Q18=4,1,0)),IF($F18&lt;=85,1,0))</formula>
    </cfRule>
  </conditionalFormatting>
  <conditionalFormatting sqref="AV19">
    <cfRule type="expression" priority="1689" dxfId="17">
      <formula>AV19="X"</formula>
    </cfRule>
    <cfRule type="expression" priority="1690" dxfId="16">
      <formula>AV19="후보"</formula>
    </cfRule>
  </conditionalFormatting>
  <conditionalFormatting sqref="AC1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9">
    <cfRule type="expression" priority="1680" dxfId="3">
      <formula>AND(IF(OR($Q19=1,$Q19=2),1,0),IF($X19&lt;=20,1,0))</formula>
    </cfRule>
    <cfRule type="expression" priority="1681" dxfId="2">
      <formula>AND(IF($Q19=2,1,0),IF($X19&lt;30,1,0))</formula>
    </cfRule>
    <cfRule type="expression" priority="1682" dxfId="1">
      <formula>AND(IF($Q19=3,1,0),IF($X19&lt;30,1,0))</formula>
    </cfRule>
    <cfRule type="expression" priority="1683" dxfId="0">
      <formula>AND(IF($Q19=3,1,IF($Q19=4,1,0)),IF($F19&lt;=85,1,0))</formula>
    </cfRule>
  </conditionalFormatting>
  <conditionalFormatting sqref="X19">
    <cfRule type="expression" priority="1676" dxfId="3">
      <formula>AND(IF(OR($Q19=1,$Q19=2),1,0),IF($X19&lt;=20,1,0))</formula>
    </cfRule>
    <cfRule type="expression" priority="1677" dxfId="2">
      <formula>AND(IF($Q19=2,1,0),IF($X19&lt;30,1,0))</formula>
    </cfRule>
    <cfRule type="expression" priority="1678" dxfId="1">
      <formula>AND(IF($Q19=3,1,0),IF($X19&lt;30,1,0))</formula>
    </cfRule>
    <cfRule type="expression" priority="1679" dxfId="0">
      <formula>AND(IF($Q19=3,1,IF($Q19=4,1,0)),IF($F19&lt;=85,1,0))</formula>
    </cfRule>
  </conditionalFormatting>
  <conditionalFormatting sqref="AI19">
    <cfRule type="expression" priority="1672" dxfId="3">
      <formula>AND(IF(OR($Q19=1,$Q19=2),1,0),IF($X19&lt;=20,1,0))</formula>
    </cfRule>
    <cfRule type="expression" priority="1673" dxfId="2">
      <formula>AND(IF($Q19=2,1,0),IF($X19&lt;30,1,0))</formula>
    </cfRule>
    <cfRule type="expression" priority="1674" dxfId="1">
      <formula>AND(IF($Q19=3,1,0),IF($X19&lt;30,1,0))</formula>
    </cfRule>
    <cfRule type="expression" priority="1675" dxfId="0">
      <formula>AND(IF($Q19=3,1,IF($Q19=4,1,0)),IF($F19&lt;=85,1,0))</formula>
    </cfRule>
  </conditionalFormatting>
  <conditionalFormatting sqref="AV20">
    <cfRule type="expression" priority="1670" dxfId="17">
      <formula>AV20="X"</formula>
    </cfRule>
    <cfRule type="expression" priority="1671" dxfId="16">
      <formula>AV20="후보"</formula>
    </cfRule>
  </conditionalFormatting>
  <conditionalFormatting sqref="AC2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0">
    <cfRule type="expression" priority="1661" dxfId="3">
      <formula>AND(IF(OR($Q20=1,$Q20=2),1,0),IF($X20&lt;=20,1,0))</formula>
    </cfRule>
    <cfRule type="expression" priority="1662" dxfId="2">
      <formula>AND(IF($Q20=2,1,0),IF($X20&lt;30,1,0))</formula>
    </cfRule>
    <cfRule type="expression" priority="1663" dxfId="1">
      <formula>AND(IF($Q20=3,1,0),IF($X20&lt;30,1,0))</formula>
    </cfRule>
    <cfRule type="expression" priority="1664" dxfId="0">
      <formula>AND(IF($Q20=3,1,IF($Q20=4,1,0)),IF($F20&lt;=85,1,0))</formula>
    </cfRule>
  </conditionalFormatting>
  <conditionalFormatting sqref="X20">
    <cfRule type="expression" priority="1657" dxfId="3">
      <formula>AND(IF(OR($Q20=1,$Q20=2),1,0),IF($X20&lt;=20,1,0))</formula>
    </cfRule>
    <cfRule type="expression" priority="1658" dxfId="2">
      <formula>AND(IF($Q20=2,1,0),IF($X20&lt;30,1,0))</formula>
    </cfRule>
    <cfRule type="expression" priority="1659" dxfId="1">
      <formula>AND(IF($Q20=3,1,0),IF($X20&lt;30,1,0))</formula>
    </cfRule>
    <cfRule type="expression" priority="1660" dxfId="0">
      <formula>AND(IF($Q20=3,1,IF($Q20=4,1,0)),IF($F20&lt;=85,1,0))</formula>
    </cfRule>
  </conditionalFormatting>
  <conditionalFormatting sqref="AI20">
    <cfRule type="expression" priority="1653" dxfId="3">
      <formula>AND(IF(OR($Q20=1,$Q20=2),1,0),IF($X20&lt;=20,1,0))</formula>
    </cfRule>
    <cfRule type="expression" priority="1654" dxfId="2">
      <formula>AND(IF($Q20=2,1,0),IF($X20&lt;30,1,0))</formula>
    </cfRule>
    <cfRule type="expression" priority="1655" dxfId="1">
      <formula>AND(IF($Q20=3,1,0),IF($X20&lt;30,1,0))</formula>
    </cfRule>
    <cfRule type="expression" priority="1656" dxfId="0">
      <formula>AND(IF($Q20=3,1,IF($Q20=4,1,0)),IF($F20&lt;=85,1,0))</formula>
    </cfRule>
  </conditionalFormatting>
  <conditionalFormatting sqref="AV21">
    <cfRule type="expression" priority="1651" dxfId="17">
      <formula>AV21="X"</formula>
    </cfRule>
    <cfRule type="expression" priority="1652" dxfId="16">
      <formula>AV21="후보"</formula>
    </cfRule>
  </conditionalFormatting>
  <conditionalFormatting sqref="AC21 N2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AV22">
    <cfRule type="expression" priority="1646" dxfId="17">
      <formula>AV22="X"</formula>
    </cfRule>
    <cfRule type="expression" priority="1647" dxfId="16">
      <formula>AV22="후보"</formula>
    </cfRule>
  </conditionalFormatting>
  <conditionalFormatting sqref="AC22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N22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E22">
    <cfRule type="expression" priority="1637" dxfId="3">
      <formula>AND(IF(OR($Q22=1,$Q22=2),1,0),IF($X22&lt;=20,1,0))</formula>
    </cfRule>
    <cfRule type="expression" priority="1638" dxfId="2">
      <formula>AND(IF($Q22=2,1,0),IF($X22&lt;30,1,0))</formula>
    </cfRule>
    <cfRule type="expression" priority="1639" dxfId="1">
      <formula>AND(IF($Q22=3,1,0),IF($X22&lt;30,1,0))</formula>
    </cfRule>
    <cfRule type="expression" priority="1640" dxfId="0">
      <formula>AND(IF($Q22=3,1,IF($Q22=4,1,0)),IF($F22&lt;=85,1,0))</formula>
    </cfRule>
  </conditionalFormatting>
  <conditionalFormatting sqref="X22">
    <cfRule type="expression" priority="1633" dxfId="3">
      <formula>AND(IF(OR($Q22=1,$Q22=2),1,0),IF($X22&lt;=20,1,0))</formula>
    </cfRule>
    <cfRule type="expression" priority="1634" dxfId="2">
      <formula>AND(IF($Q22=2,1,0),IF($X22&lt;30,1,0))</formula>
    </cfRule>
    <cfRule type="expression" priority="1635" dxfId="1">
      <formula>AND(IF($Q22=3,1,0),IF($X22&lt;30,1,0))</formula>
    </cfRule>
    <cfRule type="expression" priority="1636" dxfId="0">
      <formula>AND(IF($Q22=3,1,IF($Q22=4,1,0)),IF($F22&lt;=85,1,0))</formula>
    </cfRule>
  </conditionalFormatting>
  <conditionalFormatting sqref="AI22">
    <cfRule type="expression" priority="1629" dxfId="3">
      <formula>AND(IF(OR($Q22=1,$Q22=2),1,0),IF($X22&lt;=20,1,0))</formula>
    </cfRule>
    <cfRule type="expression" priority="1630" dxfId="2">
      <formula>AND(IF($Q22=2,1,0),IF($X22&lt;30,1,0))</formula>
    </cfRule>
    <cfRule type="expression" priority="1631" dxfId="1">
      <formula>AND(IF($Q22=3,1,0),IF($X22&lt;30,1,0))</formula>
    </cfRule>
    <cfRule type="expression" priority="1632" dxfId="0">
      <formula>AND(IF($Q22=3,1,IF($Q22=4,1,0)),IF($F22&lt;=85,1,0))</formula>
    </cfRule>
  </conditionalFormatting>
  <conditionalFormatting sqref="AV23">
    <cfRule type="expression" priority="1627" dxfId="17">
      <formula>AV23="X"</formula>
    </cfRule>
    <cfRule type="expression" priority="1628" dxfId="16">
      <formula>AV23="후보"</formula>
    </cfRule>
  </conditionalFormatting>
  <conditionalFormatting sqref="AC23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N23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E23">
    <cfRule type="expression" priority="1618" dxfId="3">
      <formula>AND(IF(OR($Q23=1,$Q23=2),1,0),IF($X23&lt;=20,1,0))</formula>
    </cfRule>
    <cfRule type="expression" priority="1619" dxfId="2">
      <formula>AND(IF($Q23=2,1,0),IF($X23&lt;30,1,0))</formula>
    </cfRule>
    <cfRule type="expression" priority="1620" dxfId="1">
      <formula>AND(IF($Q23=3,1,0),IF($X23&lt;30,1,0))</formula>
    </cfRule>
    <cfRule type="expression" priority="1621" dxfId="0">
      <formula>AND(IF($Q23=3,1,IF($Q23=4,1,0)),IF($F23&lt;=85,1,0))</formula>
    </cfRule>
  </conditionalFormatting>
  <conditionalFormatting sqref="X23">
    <cfRule type="expression" priority="1614" dxfId="3">
      <formula>AND(IF(OR($Q23=1,$Q23=2),1,0),IF($X23&lt;=20,1,0))</formula>
    </cfRule>
    <cfRule type="expression" priority="1615" dxfId="2">
      <formula>AND(IF($Q23=2,1,0),IF($X23&lt;30,1,0))</formula>
    </cfRule>
    <cfRule type="expression" priority="1616" dxfId="1">
      <formula>AND(IF($Q23=3,1,0),IF($X23&lt;30,1,0))</formula>
    </cfRule>
    <cfRule type="expression" priority="1617" dxfId="0">
      <formula>AND(IF($Q23=3,1,IF($Q23=4,1,0)),IF($F23&lt;=85,1,0))</formula>
    </cfRule>
  </conditionalFormatting>
  <conditionalFormatting sqref="AI23">
    <cfRule type="expression" priority="1610" dxfId="3">
      <formula>AND(IF(OR($Q23=1,$Q23=2),1,0),IF($X23&lt;=20,1,0))</formula>
    </cfRule>
    <cfRule type="expression" priority="1611" dxfId="2">
      <formula>AND(IF($Q23=2,1,0),IF($X23&lt;30,1,0))</formula>
    </cfRule>
    <cfRule type="expression" priority="1612" dxfId="1">
      <formula>AND(IF($Q23=3,1,0),IF($X23&lt;30,1,0))</formula>
    </cfRule>
    <cfRule type="expression" priority="1613" dxfId="0">
      <formula>AND(IF($Q23=3,1,IF($Q23=4,1,0)),IF($F23&lt;=85,1,0))</formula>
    </cfRule>
  </conditionalFormatting>
  <conditionalFormatting sqref="AV24">
    <cfRule type="expression" priority="1608" dxfId="17">
      <formula>AV24="X"</formula>
    </cfRule>
    <cfRule type="expression" priority="1609" dxfId="16">
      <formula>AV24="후보"</formula>
    </cfRule>
  </conditionalFormatting>
  <conditionalFormatting sqref="AC24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N24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E24">
    <cfRule type="expression" priority="1599" dxfId="3">
      <formula>AND(IF(OR($Q24=1,$Q24=2),1,0),IF($X24&lt;=20,1,0))</formula>
    </cfRule>
    <cfRule type="expression" priority="1600" dxfId="2">
      <formula>AND(IF($Q24=2,1,0),IF($X24&lt;30,1,0))</formula>
    </cfRule>
    <cfRule type="expression" priority="1601" dxfId="1">
      <formula>AND(IF($Q24=3,1,0),IF($X24&lt;30,1,0))</formula>
    </cfRule>
    <cfRule type="expression" priority="1602" dxfId="0">
      <formula>AND(IF($Q24=3,1,IF($Q24=4,1,0)),IF($F24&lt;=85,1,0))</formula>
    </cfRule>
  </conditionalFormatting>
  <conditionalFormatting sqref="X24">
    <cfRule type="expression" priority="1595" dxfId="3">
      <formula>AND(IF(OR($Q24=1,$Q24=2),1,0),IF($X24&lt;=20,1,0))</formula>
    </cfRule>
    <cfRule type="expression" priority="1596" dxfId="2">
      <formula>AND(IF($Q24=2,1,0),IF($X24&lt;30,1,0))</formula>
    </cfRule>
    <cfRule type="expression" priority="1597" dxfId="1">
      <formula>AND(IF($Q24=3,1,0),IF($X24&lt;30,1,0))</formula>
    </cfRule>
    <cfRule type="expression" priority="1598" dxfId="0">
      <formula>AND(IF($Q24=3,1,IF($Q24=4,1,0)),IF($F24&lt;=85,1,0))</formula>
    </cfRule>
  </conditionalFormatting>
  <conditionalFormatting sqref="AI24">
    <cfRule type="expression" priority="1591" dxfId="3">
      <formula>AND(IF(OR($Q24=1,$Q24=2),1,0),IF($X24&lt;=20,1,0))</formula>
    </cfRule>
    <cfRule type="expression" priority="1592" dxfId="2">
      <formula>AND(IF($Q24=2,1,0),IF($X24&lt;30,1,0))</formula>
    </cfRule>
    <cfRule type="expression" priority="1593" dxfId="1">
      <formula>AND(IF($Q24=3,1,0),IF($X24&lt;30,1,0))</formula>
    </cfRule>
    <cfRule type="expression" priority="1594" dxfId="0">
      <formula>AND(IF($Q24=3,1,IF($Q24=4,1,0)),IF($F24&lt;=85,1,0))</formula>
    </cfRule>
  </conditionalFormatting>
  <conditionalFormatting sqref="AV25">
    <cfRule type="expression" priority="1589" dxfId="17">
      <formula>AV25="X"</formula>
    </cfRule>
    <cfRule type="expression" priority="1590" dxfId="16">
      <formula>AV25="후보"</formula>
    </cfRule>
  </conditionalFormatting>
  <conditionalFormatting sqref="AC2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2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25">
    <cfRule type="expression" priority="1580" dxfId="3">
      <formula>AND(IF(OR($Q25=1,$Q25=2),1,0),IF($X25&lt;=20,1,0))</formula>
    </cfRule>
    <cfRule type="expression" priority="1581" dxfId="2">
      <formula>AND(IF($Q25=2,1,0),IF($X25&lt;30,1,0))</formula>
    </cfRule>
    <cfRule type="expression" priority="1582" dxfId="1">
      <formula>AND(IF($Q25=3,1,0),IF($X25&lt;30,1,0))</formula>
    </cfRule>
    <cfRule type="expression" priority="1583" dxfId="0">
      <formula>AND(IF($Q25=3,1,IF($Q25=4,1,0)),IF($F25&lt;=85,1,0))</formula>
    </cfRule>
  </conditionalFormatting>
  <conditionalFormatting sqref="X25">
    <cfRule type="expression" priority="1576" dxfId="3">
      <formula>AND(IF(OR($Q25=1,$Q25=2),1,0),IF($X25&lt;=20,1,0))</formula>
    </cfRule>
    <cfRule type="expression" priority="1577" dxfId="2">
      <formula>AND(IF($Q25=2,1,0),IF($X25&lt;30,1,0))</formula>
    </cfRule>
    <cfRule type="expression" priority="1578" dxfId="1">
      <formula>AND(IF($Q25=3,1,0),IF($X25&lt;30,1,0))</formula>
    </cfRule>
    <cfRule type="expression" priority="1579" dxfId="0">
      <formula>AND(IF($Q25=3,1,IF($Q25=4,1,0)),IF($F25&lt;=85,1,0))</formula>
    </cfRule>
  </conditionalFormatting>
  <conditionalFormatting sqref="AI25">
    <cfRule type="expression" priority="1572" dxfId="3">
      <formula>AND(IF(OR($Q25=1,$Q25=2),1,0),IF($X25&lt;=20,1,0))</formula>
    </cfRule>
    <cfRule type="expression" priority="1573" dxfId="2">
      <formula>AND(IF($Q25=2,1,0),IF($X25&lt;30,1,0))</formula>
    </cfRule>
    <cfRule type="expression" priority="1574" dxfId="1">
      <formula>AND(IF($Q25=3,1,0),IF($X25&lt;30,1,0))</formula>
    </cfRule>
    <cfRule type="expression" priority="1575" dxfId="0">
      <formula>AND(IF($Q25=3,1,IF($Q25=4,1,0)),IF($F25&lt;=85,1,0))</formula>
    </cfRule>
  </conditionalFormatting>
  <conditionalFormatting sqref="AV26">
    <cfRule type="expression" priority="1570" dxfId="17">
      <formula>AV26="X"</formula>
    </cfRule>
    <cfRule type="expression" priority="1571" dxfId="16">
      <formula>AV26="후보"</formula>
    </cfRule>
  </conditionalFormatting>
  <conditionalFormatting sqref="AC2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2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26">
    <cfRule type="expression" priority="1561" dxfId="3">
      <formula>AND(IF(OR($Q26=1,$Q26=2),1,0),IF($X26&lt;=20,1,0))</formula>
    </cfRule>
    <cfRule type="expression" priority="1562" dxfId="2">
      <formula>AND(IF($Q26=2,1,0),IF($X26&lt;30,1,0))</formula>
    </cfRule>
    <cfRule type="expression" priority="1563" dxfId="1">
      <formula>AND(IF($Q26=3,1,0),IF($X26&lt;30,1,0))</formula>
    </cfRule>
    <cfRule type="expression" priority="1564" dxfId="0">
      <formula>AND(IF($Q26=3,1,IF($Q26=4,1,0)),IF($F26&lt;=85,1,0))</formula>
    </cfRule>
  </conditionalFormatting>
  <conditionalFormatting sqref="X26">
    <cfRule type="expression" priority="1557" dxfId="3">
      <formula>AND(IF(OR($Q26=1,$Q26=2),1,0),IF($X26&lt;=20,1,0))</formula>
    </cfRule>
    <cfRule type="expression" priority="1558" dxfId="2">
      <formula>AND(IF($Q26=2,1,0),IF($X26&lt;30,1,0))</formula>
    </cfRule>
    <cfRule type="expression" priority="1559" dxfId="1">
      <formula>AND(IF($Q26=3,1,0),IF($X26&lt;30,1,0))</formula>
    </cfRule>
    <cfRule type="expression" priority="1560" dxfId="0">
      <formula>AND(IF($Q26=3,1,IF($Q26=4,1,0)),IF($F26&lt;=85,1,0))</formula>
    </cfRule>
  </conditionalFormatting>
  <conditionalFormatting sqref="AI26">
    <cfRule type="expression" priority="1553" dxfId="3">
      <formula>AND(IF(OR($Q26=1,$Q26=2),1,0),IF($X26&lt;=20,1,0))</formula>
    </cfRule>
    <cfRule type="expression" priority="1554" dxfId="2">
      <formula>AND(IF($Q26=2,1,0),IF($X26&lt;30,1,0))</formula>
    </cfRule>
    <cfRule type="expression" priority="1555" dxfId="1">
      <formula>AND(IF($Q26=3,1,0),IF($X26&lt;30,1,0))</formula>
    </cfRule>
    <cfRule type="expression" priority="1556" dxfId="0">
      <formula>AND(IF($Q26=3,1,IF($Q26=4,1,0)),IF($F26&lt;=85,1,0))</formula>
    </cfRule>
  </conditionalFormatting>
  <conditionalFormatting sqref="AV27">
    <cfRule type="expression" priority="1551" dxfId="17">
      <formula>AV27="X"</formula>
    </cfRule>
    <cfRule type="expression" priority="1552" dxfId="16">
      <formula>AV27="후보"</formula>
    </cfRule>
  </conditionalFormatting>
  <conditionalFormatting sqref="AC2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N27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E27">
    <cfRule type="expression" priority="1542" dxfId="3">
      <formula>AND(IF(OR($Q27=1,$Q27=2),1,0),IF($X27&lt;=20,1,0))</formula>
    </cfRule>
    <cfRule type="expression" priority="1543" dxfId="2">
      <formula>AND(IF($Q27=2,1,0),IF($X27&lt;30,1,0))</formula>
    </cfRule>
    <cfRule type="expression" priority="1544" dxfId="1">
      <formula>AND(IF($Q27=3,1,0),IF($X27&lt;30,1,0))</formula>
    </cfRule>
    <cfRule type="expression" priority="1545" dxfId="0">
      <formula>AND(IF($Q27=3,1,IF($Q27=4,1,0)),IF($F27&lt;=85,1,0))</formula>
    </cfRule>
  </conditionalFormatting>
  <conditionalFormatting sqref="X27">
    <cfRule type="expression" priority="1538" dxfId="3">
      <formula>AND(IF(OR($Q27=1,$Q27=2),1,0),IF($X27&lt;=20,1,0))</formula>
    </cfRule>
    <cfRule type="expression" priority="1539" dxfId="2">
      <formula>AND(IF($Q27=2,1,0),IF($X27&lt;30,1,0))</formula>
    </cfRule>
    <cfRule type="expression" priority="1540" dxfId="1">
      <formula>AND(IF($Q27=3,1,0),IF($X27&lt;30,1,0))</formula>
    </cfRule>
    <cfRule type="expression" priority="1541" dxfId="0">
      <formula>AND(IF($Q27=3,1,IF($Q27=4,1,0)),IF($F27&lt;=85,1,0))</formula>
    </cfRule>
  </conditionalFormatting>
  <conditionalFormatting sqref="AI27">
    <cfRule type="expression" priority="1534" dxfId="3">
      <formula>AND(IF(OR($Q27=1,$Q27=2),1,0),IF($X27&lt;=20,1,0))</formula>
    </cfRule>
    <cfRule type="expression" priority="1535" dxfId="2">
      <formula>AND(IF($Q27=2,1,0),IF($X27&lt;30,1,0))</formula>
    </cfRule>
    <cfRule type="expression" priority="1536" dxfId="1">
      <formula>AND(IF($Q27=3,1,0),IF($X27&lt;30,1,0))</formula>
    </cfRule>
    <cfRule type="expression" priority="1537" dxfId="0">
      <formula>AND(IF($Q27=3,1,IF($Q27=4,1,0)),IF($F27&lt;=85,1,0))</formula>
    </cfRule>
  </conditionalFormatting>
  <conditionalFormatting sqref="AV28">
    <cfRule type="expression" priority="1532" dxfId="17">
      <formula>AV28="X"</formula>
    </cfRule>
    <cfRule type="expression" priority="1533" dxfId="16">
      <formula>AV28="후보"</formula>
    </cfRule>
  </conditionalFormatting>
  <conditionalFormatting sqref="AC28 N28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AV29">
    <cfRule type="expression" priority="1527" dxfId="17">
      <formula>AV29="X"</formula>
    </cfRule>
    <cfRule type="expression" priority="1528" dxfId="16">
      <formula>AV29="후보"</formula>
    </cfRule>
  </conditionalFormatting>
  <conditionalFormatting sqref="AC2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9">
    <cfRule type="expression" priority="1518" dxfId="3">
      <formula>AND(IF(OR($Q29=1,$Q29=2),1,0),IF($X29&lt;=20,1,0))</formula>
    </cfRule>
    <cfRule type="expression" priority="1519" dxfId="2">
      <formula>AND(IF($Q29=2,1,0),IF($X29&lt;30,1,0))</formula>
    </cfRule>
    <cfRule type="expression" priority="1520" dxfId="1">
      <formula>AND(IF($Q29=3,1,0),IF($X29&lt;30,1,0))</formula>
    </cfRule>
    <cfRule type="expression" priority="1521" dxfId="0">
      <formula>AND(IF($Q29=3,1,IF($Q29=4,1,0)),IF($F29&lt;=85,1,0))</formula>
    </cfRule>
  </conditionalFormatting>
  <conditionalFormatting sqref="X29">
    <cfRule type="expression" priority="1514" dxfId="3">
      <formula>AND(IF(OR($Q29=1,$Q29=2),1,0),IF($X29&lt;=20,1,0))</formula>
    </cfRule>
    <cfRule type="expression" priority="1515" dxfId="2">
      <formula>AND(IF($Q29=2,1,0),IF($X29&lt;30,1,0))</formula>
    </cfRule>
    <cfRule type="expression" priority="1516" dxfId="1">
      <formula>AND(IF($Q29=3,1,0),IF($X29&lt;30,1,0))</formula>
    </cfRule>
    <cfRule type="expression" priority="1517" dxfId="0">
      <formula>AND(IF($Q29=3,1,IF($Q29=4,1,0)),IF($F29&lt;=85,1,0))</formula>
    </cfRule>
  </conditionalFormatting>
  <conditionalFormatting sqref="AI29">
    <cfRule type="expression" priority="1510" dxfId="3">
      <formula>AND(IF(OR($Q29=1,$Q29=2),1,0),IF($X29&lt;=20,1,0))</formula>
    </cfRule>
    <cfRule type="expression" priority="1511" dxfId="2">
      <formula>AND(IF($Q29=2,1,0),IF($X29&lt;30,1,0))</formula>
    </cfRule>
    <cfRule type="expression" priority="1512" dxfId="1">
      <formula>AND(IF($Q29=3,1,0),IF($X29&lt;30,1,0))</formula>
    </cfRule>
    <cfRule type="expression" priority="1513" dxfId="0">
      <formula>AND(IF($Q29=3,1,IF($Q29=4,1,0)),IF($F29&lt;=85,1,0))</formula>
    </cfRule>
  </conditionalFormatting>
  <conditionalFormatting sqref="AV30">
    <cfRule type="expression" priority="1508" dxfId="17">
      <formula>AV30="X"</formula>
    </cfRule>
    <cfRule type="expression" priority="1509" dxfId="16">
      <formula>AV30="후보"</formula>
    </cfRule>
  </conditionalFormatting>
  <conditionalFormatting sqref="AC3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3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30">
    <cfRule type="expression" priority="1499" dxfId="3">
      <formula>AND(IF(OR($Q30=1,$Q30=2),1,0),IF($X30&lt;=20,1,0))</formula>
    </cfRule>
    <cfRule type="expression" priority="1500" dxfId="2">
      <formula>AND(IF($Q30=2,1,0),IF($X30&lt;30,1,0))</formula>
    </cfRule>
    <cfRule type="expression" priority="1501" dxfId="1">
      <formula>AND(IF($Q30=3,1,0),IF($X30&lt;30,1,0))</formula>
    </cfRule>
    <cfRule type="expression" priority="1502" dxfId="0">
      <formula>AND(IF($Q30=3,1,IF($Q30=4,1,0)),IF($F30&lt;=85,1,0))</formula>
    </cfRule>
  </conditionalFormatting>
  <conditionalFormatting sqref="X30">
    <cfRule type="expression" priority="1495" dxfId="3">
      <formula>AND(IF(OR($Q30=1,$Q30=2),1,0),IF($X30&lt;=20,1,0))</formula>
    </cfRule>
    <cfRule type="expression" priority="1496" dxfId="2">
      <formula>AND(IF($Q30=2,1,0),IF($X30&lt;30,1,0))</formula>
    </cfRule>
    <cfRule type="expression" priority="1497" dxfId="1">
      <formula>AND(IF($Q30=3,1,0),IF($X30&lt;30,1,0))</formula>
    </cfRule>
    <cfRule type="expression" priority="1498" dxfId="0">
      <formula>AND(IF($Q30=3,1,IF($Q30=4,1,0)),IF($F30&lt;=85,1,0))</formula>
    </cfRule>
  </conditionalFormatting>
  <conditionalFormatting sqref="AI30">
    <cfRule type="expression" priority="1491" dxfId="3">
      <formula>AND(IF(OR($Q30=1,$Q30=2),1,0),IF($X30&lt;=20,1,0))</formula>
    </cfRule>
    <cfRule type="expression" priority="1492" dxfId="2">
      <formula>AND(IF($Q30=2,1,0),IF($X30&lt;30,1,0))</formula>
    </cfRule>
    <cfRule type="expression" priority="1493" dxfId="1">
      <formula>AND(IF($Q30=3,1,0),IF($X30&lt;30,1,0))</formula>
    </cfRule>
    <cfRule type="expression" priority="1494" dxfId="0">
      <formula>AND(IF($Q30=3,1,IF($Q30=4,1,0)),IF($F30&lt;=85,1,0))</formula>
    </cfRule>
  </conditionalFormatting>
  <conditionalFormatting sqref="AV31">
    <cfRule type="expression" priority="1489" dxfId="17">
      <formula>AV31="X"</formula>
    </cfRule>
    <cfRule type="expression" priority="1490" dxfId="16">
      <formula>AV31="후보"</formula>
    </cfRule>
  </conditionalFormatting>
  <conditionalFormatting sqref="AC31 N3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32">
    <cfRule type="expression" priority="1484" dxfId="17">
      <formula>AV32="X"</formula>
    </cfRule>
    <cfRule type="expression" priority="1485" dxfId="16">
      <formula>AV32="후보"</formula>
    </cfRule>
  </conditionalFormatting>
  <conditionalFormatting sqref="AC32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32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32">
    <cfRule type="expression" priority="1475" dxfId="3">
      <formula>AND(IF(OR($Q32=1,$Q32=2),1,0),IF($X32&lt;=20,1,0))</formula>
    </cfRule>
    <cfRule type="expression" priority="1476" dxfId="2">
      <formula>AND(IF($Q32=2,1,0),IF($X32&lt;30,1,0))</formula>
    </cfRule>
    <cfRule type="expression" priority="1477" dxfId="1">
      <formula>AND(IF($Q32=3,1,0),IF($X32&lt;30,1,0))</formula>
    </cfRule>
    <cfRule type="expression" priority="1478" dxfId="0">
      <formula>AND(IF($Q32=3,1,IF($Q32=4,1,0)),IF($F32&lt;=85,1,0))</formula>
    </cfRule>
  </conditionalFormatting>
  <conditionalFormatting sqref="X32">
    <cfRule type="expression" priority="1471" dxfId="3">
      <formula>AND(IF(OR($Q32=1,$Q32=2),1,0),IF($X32&lt;=20,1,0))</formula>
    </cfRule>
    <cfRule type="expression" priority="1472" dxfId="2">
      <formula>AND(IF($Q32=2,1,0),IF($X32&lt;30,1,0))</formula>
    </cfRule>
    <cfRule type="expression" priority="1473" dxfId="1">
      <formula>AND(IF($Q32=3,1,0),IF($X32&lt;30,1,0))</formula>
    </cfRule>
    <cfRule type="expression" priority="1474" dxfId="0">
      <formula>AND(IF($Q32=3,1,IF($Q32=4,1,0)),IF($F32&lt;=85,1,0))</formula>
    </cfRule>
  </conditionalFormatting>
  <conditionalFormatting sqref="AI32">
    <cfRule type="expression" priority="1467" dxfId="3">
      <formula>AND(IF(OR($Q32=1,$Q32=2),1,0),IF($X32&lt;=20,1,0))</formula>
    </cfRule>
    <cfRule type="expression" priority="1468" dxfId="2">
      <formula>AND(IF($Q32=2,1,0),IF($X32&lt;30,1,0))</formula>
    </cfRule>
    <cfRule type="expression" priority="1469" dxfId="1">
      <formula>AND(IF($Q32=3,1,0),IF($X32&lt;30,1,0))</formula>
    </cfRule>
    <cfRule type="expression" priority="1470" dxfId="0">
      <formula>AND(IF($Q32=3,1,IF($Q32=4,1,0)),IF($F32&lt;=85,1,0))</formula>
    </cfRule>
  </conditionalFormatting>
  <conditionalFormatting sqref="AV33">
    <cfRule type="expression" priority="1465" dxfId="17">
      <formula>AV33="X"</formula>
    </cfRule>
    <cfRule type="expression" priority="1466" dxfId="16">
      <formula>AV33="후보"</formula>
    </cfRule>
  </conditionalFormatting>
  <conditionalFormatting sqref="AC33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33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33">
    <cfRule type="expression" priority="1456" dxfId="3">
      <formula>AND(IF(OR($Q33=1,$Q33=2),1,0),IF($X33&lt;=20,1,0))</formula>
    </cfRule>
    <cfRule type="expression" priority="1457" dxfId="2">
      <formula>AND(IF($Q33=2,1,0),IF($X33&lt;30,1,0))</formula>
    </cfRule>
    <cfRule type="expression" priority="1458" dxfId="1">
      <formula>AND(IF($Q33=3,1,0),IF($X33&lt;30,1,0))</formula>
    </cfRule>
    <cfRule type="expression" priority="1459" dxfId="0">
      <formula>AND(IF($Q33=3,1,IF($Q33=4,1,0)),IF($F33&lt;=85,1,0))</formula>
    </cfRule>
  </conditionalFormatting>
  <conditionalFormatting sqref="X33">
    <cfRule type="expression" priority="1452" dxfId="3">
      <formula>AND(IF(OR($Q33=1,$Q33=2),1,0),IF($X33&lt;=20,1,0))</formula>
    </cfRule>
    <cfRule type="expression" priority="1453" dxfId="2">
      <formula>AND(IF($Q33=2,1,0),IF($X33&lt;30,1,0))</formula>
    </cfRule>
    <cfRule type="expression" priority="1454" dxfId="1">
      <formula>AND(IF($Q33=3,1,0),IF($X33&lt;30,1,0))</formula>
    </cfRule>
    <cfRule type="expression" priority="1455" dxfId="0">
      <formula>AND(IF($Q33=3,1,IF($Q33=4,1,0)),IF($F33&lt;=85,1,0))</formula>
    </cfRule>
  </conditionalFormatting>
  <conditionalFormatting sqref="AI33">
    <cfRule type="expression" priority="1448" dxfId="3">
      <formula>AND(IF(OR($Q33=1,$Q33=2),1,0),IF($X33&lt;=20,1,0))</formula>
    </cfRule>
    <cfRule type="expression" priority="1449" dxfId="2">
      <formula>AND(IF($Q33=2,1,0),IF($X33&lt;30,1,0))</formula>
    </cfRule>
    <cfRule type="expression" priority="1450" dxfId="1">
      <formula>AND(IF($Q33=3,1,0),IF($X33&lt;30,1,0))</formula>
    </cfRule>
    <cfRule type="expression" priority="1451" dxfId="0">
      <formula>AND(IF($Q33=3,1,IF($Q33=4,1,0)),IF($F33&lt;=85,1,0))</formula>
    </cfRule>
  </conditionalFormatting>
  <conditionalFormatting sqref="AV34">
    <cfRule type="expression" priority="1446" dxfId="17">
      <formula>AV34="X"</formula>
    </cfRule>
    <cfRule type="expression" priority="1447" dxfId="16">
      <formula>AV34="후보"</formula>
    </cfRule>
  </conditionalFormatting>
  <conditionalFormatting sqref="AC34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34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34">
    <cfRule type="expression" priority="1437" dxfId="3">
      <formula>AND(IF(OR($Q34=1,$Q34=2),1,0),IF($X34&lt;=20,1,0))</formula>
    </cfRule>
    <cfRule type="expression" priority="1438" dxfId="2">
      <formula>AND(IF($Q34=2,1,0),IF($X34&lt;30,1,0))</formula>
    </cfRule>
    <cfRule type="expression" priority="1439" dxfId="1">
      <formula>AND(IF($Q34=3,1,0),IF($X34&lt;30,1,0))</formula>
    </cfRule>
    <cfRule type="expression" priority="1440" dxfId="0">
      <formula>AND(IF($Q34=3,1,IF($Q34=4,1,0)),IF($F34&lt;=85,1,0))</formula>
    </cfRule>
  </conditionalFormatting>
  <conditionalFormatting sqref="X34">
    <cfRule type="expression" priority="1433" dxfId="3">
      <formula>AND(IF(OR($Q34=1,$Q34=2),1,0),IF($X34&lt;=20,1,0))</formula>
    </cfRule>
    <cfRule type="expression" priority="1434" dxfId="2">
      <formula>AND(IF($Q34=2,1,0),IF($X34&lt;30,1,0))</formula>
    </cfRule>
    <cfRule type="expression" priority="1435" dxfId="1">
      <formula>AND(IF($Q34=3,1,0),IF($X34&lt;30,1,0))</formula>
    </cfRule>
    <cfRule type="expression" priority="1436" dxfId="0">
      <formula>AND(IF($Q34=3,1,IF($Q34=4,1,0)),IF($F34&lt;=85,1,0))</formula>
    </cfRule>
  </conditionalFormatting>
  <conditionalFormatting sqref="AI34">
    <cfRule type="expression" priority="1429" dxfId="3">
      <formula>AND(IF(OR($Q34=1,$Q34=2),1,0),IF($X34&lt;=20,1,0))</formula>
    </cfRule>
    <cfRule type="expression" priority="1430" dxfId="2">
      <formula>AND(IF($Q34=2,1,0),IF($X34&lt;30,1,0))</formula>
    </cfRule>
    <cfRule type="expression" priority="1431" dxfId="1">
      <formula>AND(IF($Q34=3,1,0),IF($X34&lt;30,1,0))</formula>
    </cfRule>
    <cfRule type="expression" priority="1432" dxfId="0">
      <formula>AND(IF($Q34=3,1,IF($Q34=4,1,0)),IF($F34&lt;=85,1,0))</formula>
    </cfRule>
  </conditionalFormatting>
  <conditionalFormatting sqref="AV35">
    <cfRule type="expression" priority="1427" dxfId="17">
      <formula>AV35="X"</formula>
    </cfRule>
    <cfRule type="expression" priority="1428" dxfId="16">
      <formula>AV35="후보"</formula>
    </cfRule>
  </conditionalFormatting>
  <conditionalFormatting sqref="AC35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N35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E35">
    <cfRule type="expression" priority="1418" dxfId="3">
      <formula>AND(IF(OR($Q35=1,$Q35=2),1,0),IF($X35&lt;=20,1,0))</formula>
    </cfRule>
    <cfRule type="expression" priority="1419" dxfId="2">
      <formula>AND(IF($Q35=2,1,0),IF($X35&lt;30,1,0))</formula>
    </cfRule>
    <cfRule type="expression" priority="1420" dxfId="1">
      <formula>AND(IF($Q35=3,1,0),IF($X35&lt;30,1,0))</formula>
    </cfRule>
    <cfRule type="expression" priority="1421" dxfId="0">
      <formula>AND(IF($Q35=3,1,IF($Q35=4,1,0)),IF($F35&lt;=85,1,0))</formula>
    </cfRule>
  </conditionalFormatting>
  <conditionalFormatting sqref="X35">
    <cfRule type="expression" priority="1414" dxfId="3">
      <formula>AND(IF(OR($Q35=1,$Q35=2),1,0),IF($X35&lt;=20,1,0))</formula>
    </cfRule>
    <cfRule type="expression" priority="1415" dxfId="2">
      <formula>AND(IF($Q35=2,1,0),IF($X35&lt;30,1,0))</formula>
    </cfRule>
    <cfRule type="expression" priority="1416" dxfId="1">
      <formula>AND(IF($Q35=3,1,0),IF($X35&lt;30,1,0))</formula>
    </cfRule>
    <cfRule type="expression" priority="1417" dxfId="0">
      <formula>AND(IF($Q35=3,1,IF($Q35=4,1,0)),IF($F35&lt;=85,1,0))</formula>
    </cfRule>
  </conditionalFormatting>
  <conditionalFormatting sqref="AI35">
    <cfRule type="expression" priority="1410" dxfId="3">
      <formula>AND(IF(OR($Q35=1,$Q35=2),1,0),IF($X35&lt;=20,1,0))</formula>
    </cfRule>
    <cfRule type="expression" priority="1411" dxfId="2">
      <formula>AND(IF($Q35=2,1,0),IF($X35&lt;30,1,0))</formula>
    </cfRule>
    <cfRule type="expression" priority="1412" dxfId="1">
      <formula>AND(IF($Q35=3,1,0),IF($X35&lt;30,1,0))</formula>
    </cfRule>
    <cfRule type="expression" priority="1413" dxfId="0">
      <formula>AND(IF($Q35=3,1,IF($Q35=4,1,0)),IF($F35&lt;=85,1,0))</formula>
    </cfRule>
  </conditionalFormatting>
  <conditionalFormatting sqref="AV36">
    <cfRule type="expression" priority="1408" dxfId="17">
      <formula>AV36="X"</formula>
    </cfRule>
    <cfRule type="expression" priority="1409" dxfId="16">
      <formula>AV36="후보"</formula>
    </cfRule>
  </conditionalFormatting>
  <conditionalFormatting sqref="AC3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3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36">
    <cfRule type="expression" priority="1399" dxfId="3">
      <formula>AND(IF(OR($Q36=1,$Q36=2),1,0),IF($X36&lt;=20,1,0))</formula>
    </cfRule>
    <cfRule type="expression" priority="1400" dxfId="2">
      <formula>AND(IF($Q36=2,1,0),IF($X36&lt;30,1,0))</formula>
    </cfRule>
    <cfRule type="expression" priority="1401" dxfId="1">
      <formula>AND(IF($Q36=3,1,0),IF($X36&lt;30,1,0))</formula>
    </cfRule>
    <cfRule type="expression" priority="1402" dxfId="0">
      <formula>AND(IF($Q36=3,1,IF($Q36=4,1,0)),IF($F36&lt;=85,1,0))</formula>
    </cfRule>
  </conditionalFormatting>
  <conditionalFormatting sqref="X36">
    <cfRule type="expression" priority="1395" dxfId="3">
      <formula>AND(IF(OR($Q36=1,$Q36=2),1,0),IF($X36&lt;=20,1,0))</formula>
    </cfRule>
    <cfRule type="expression" priority="1396" dxfId="2">
      <formula>AND(IF($Q36=2,1,0),IF($X36&lt;30,1,0))</formula>
    </cfRule>
    <cfRule type="expression" priority="1397" dxfId="1">
      <formula>AND(IF($Q36=3,1,0),IF($X36&lt;30,1,0))</formula>
    </cfRule>
    <cfRule type="expression" priority="1398" dxfId="0">
      <formula>AND(IF($Q36=3,1,IF($Q36=4,1,0)),IF($F36&lt;=85,1,0))</formula>
    </cfRule>
  </conditionalFormatting>
  <conditionalFormatting sqref="AI36">
    <cfRule type="expression" priority="1391" dxfId="3">
      <formula>AND(IF(OR($Q36=1,$Q36=2),1,0),IF($X36&lt;=20,1,0))</formula>
    </cfRule>
    <cfRule type="expression" priority="1392" dxfId="2">
      <formula>AND(IF($Q36=2,1,0),IF($X36&lt;30,1,0))</formula>
    </cfRule>
    <cfRule type="expression" priority="1393" dxfId="1">
      <formula>AND(IF($Q36=3,1,0),IF($X36&lt;30,1,0))</formula>
    </cfRule>
    <cfRule type="expression" priority="1394" dxfId="0">
      <formula>AND(IF($Q36=3,1,IF($Q36=4,1,0)),IF($F36&lt;=85,1,0))</formula>
    </cfRule>
  </conditionalFormatting>
  <conditionalFormatting sqref="AV37">
    <cfRule type="expression" priority="1389" dxfId="17">
      <formula>AV37="X"</formula>
    </cfRule>
    <cfRule type="expression" priority="1390" dxfId="16">
      <formula>AV37="후보"</formula>
    </cfRule>
  </conditionalFormatting>
  <conditionalFormatting sqref="AC3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3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37">
    <cfRule type="expression" priority="1380" dxfId="3">
      <formula>AND(IF(OR($Q37=1,$Q37=2),1,0),IF($X37&lt;=20,1,0))</formula>
    </cfRule>
    <cfRule type="expression" priority="1381" dxfId="2">
      <formula>AND(IF($Q37=2,1,0),IF($X37&lt;30,1,0))</formula>
    </cfRule>
    <cfRule type="expression" priority="1382" dxfId="1">
      <formula>AND(IF($Q37=3,1,0),IF($X37&lt;30,1,0))</formula>
    </cfRule>
    <cfRule type="expression" priority="1383" dxfId="0">
      <formula>AND(IF($Q37=3,1,IF($Q37=4,1,0)),IF($F37&lt;=85,1,0))</formula>
    </cfRule>
  </conditionalFormatting>
  <conditionalFormatting sqref="X37">
    <cfRule type="expression" priority="1376" dxfId="3">
      <formula>AND(IF(OR($Q37=1,$Q37=2),1,0),IF($X37&lt;=20,1,0))</formula>
    </cfRule>
    <cfRule type="expression" priority="1377" dxfId="2">
      <formula>AND(IF($Q37=2,1,0),IF($X37&lt;30,1,0))</formula>
    </cfRule>
    <cfRule type="expression" priority="1378" dxfId="1">
      <formula>AND(IF($Q37=3,1,0),IF($X37&lt;30,1,0))</formula>
    </cfRule>
    <cfRule type="expression" priority="1379" dxfId="0">
      <formula>AND(IF($Q37=3,1,IF($Q37=4,1,0)),IF($F37&lt;=85,1,0))</formula>
    </cfRule>
  </conditionalFormatting>
  <conditionalFormatting sqref="AI37">
    <cfRule type="expression" priority="1372" dxfId="3">
      <formula>AND(IF(OR($Q37=1,$Q37=2),1,0),IF($X37&lt;=20,1,0))</formula>
    </cfRule>
    <cfRule type="expression" priority="1373" dxfId="2">
      <formula>AND(IF($Q37=2,1,0),IF($X37&lt;30,1,0))</formula>
    </cfRule>
    <cfRule type="expression" priority="1374" dxfId="1">
      <formula>AND(IF($Q37=3,1,0),IF($X37&lt;30,1,0))</formula>
    </cfRule>
    <cfRule type="expression" priority="1375" dxfId="0">
      <formula>AND(IF($Q37=3,1,IF($Q37=4,1,0)),IF($F37&lt;=85,1,0))</formula>
    </cfRule>
  </conditionalFormatting>
  <conditionalFormatting sqref="AV38">
    <cfRule type="expression" priority="1370" dxfId="17">
      <formula>AV38="X"</formula>
    </cfRule>
    <cfRule type="expression" priority="1371" dxfId="16">
      <formula>AV38="후보"</formula>
    </cfRule>
  </conditionalFormatting>
  <conditionalFormatting sqref="AC3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3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38">
    <cfRule type="expression" priority="1361" dxfId="3">
      <formula>AND(IF(OR($Q38=1,$Q38=2),1,0),IF($X38&lt;=20,1,0))</formula>
    </cfRule>
    <cfRule type="expression" priority="1362" dxfId="2">
      <formula>AND(IF($Q38=2,1,0),IF($X38&lt;30,1,0))</formula>
    </cfRule>
    <cfRule type="expression" priority="1363" dxfId="1">
      <formula>AND(IF($Q38=3,1,0),IF($X38&lt;30,1,0))</formula>
    </cfRule>
    <cfRule type="expression" priority="1364" dxfId="0">
      <formula>AND(IF($Q38=3,1,IF($Q38=4,1,0)),IF($F38&lt;=85,1,0))</formula>
    </cfRule>
  </conditionalFormatting>
  <conditionalFormatting sqref="X38">
    <cfRule type="expression" priority="1357" dxfId="3">
      <formula>AND(IF(OR($Q38=1,$Q38=2),1,0),IF($X38&lt;=20,1,0))</formula>
    </cfRule>
    <cfRule type="expression" priority="1358" dxfId="2">
      <formula>AND(IF($Q38=2,1,0),IF($X38&lt;30,1,0))</formula>
    </cfRule>
    <cfRule type="expression" priority="1359" dxfId="1">
      <formula>AND(IF($Q38=3,1,0),IF($X38&lt;30,1,0))</formula>
    </cfRule>
    <cfRule type="expression" priority="1360" dxfId="0">
      <formula>AND(IF($Q38=3,1,IF($Q38=4,1,0)),IF($F38&lt;=85,1,0))</formula>
    </cfRule>
  </conditionalFormatting>
  <conditionalFormatting sqref="AI38">
    <cfRule type="expression" priority="1353" dxfId="3">
      <formula>AND(IF(OR($Q38=1,$Q38=2),1,0),IF($X38&lt;=20,1,0))</formula>
    </cfRule>
    <cfRule type="expression" priority="1354" dxfId="2">
      <formula>AND(IF($Q38=2,1,0),IF($X38&lt;30,1,0))</formula>
    </cfRule>
    <cfRule type="expression" priority="1355" dxfId="1">
      <formula>AND(IF($Q38=3,1,0),IF($X38&lt;30,1,0))</formula>
    </cfRule>
    <cfRule type="expression" priority="1356" dxfId="0">
      <formula>AND(IF($Q38=3,1,IF($Q38=4,1,0)),IF($F38&lt;=85,1,0))</formula>
    </cfRule>
  </conditionalFormatting>
  <conditionalFormatting sqref="AV39">
    <cfRule type="expression" priority="1351" dxfId="17">
      <formula>AV39="X"</formula>
    </cfRule>
    <cfRule type="expression" priority="1352" dxfId="16">
      <formula>AV39="후보"</formula>
    </cfRule>
  </conditionalFormatting>
  <conditionalFormatting sqref="AC3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3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39">
    <cfRule type="expression" priority="1342" dxfId="3">
      <formula>AND(IF(OR($Q39=1,$Q39=2),1,0),IF($X39&lt;=20,1,0))</formula>
    </cfRule>
    <cfRule type="expression" priority="1343" dxfId="2">
      <formula>AND(IF($Q39=2,1,0),IF($X39&lt;30,1,0))</formula>
    </cfRule>
    <cfRule type="expression" priority="1344" dxfId="1">
      <formula>AND(IF($Q39=3,1,0),IF($X39&lt;30,1,0))</formula>
    </cfRule>
    <cfRule type="expression" priority="1345" dxfId="0">
      <formula>AND(IF($Q39=3,1,IF($Q39=4,1,0)),IF($F39&lt;=85,1,0))</formula>
    </cfRule>
  </conditionalFormatting>
  <conditionalFormatting sqref="X39">
    <cfRule type="expression" priority="1338" dxfId="3">
      <formula>AND(IF(OR($Q39=1,$Q39=2),1,0),IF($X39&lt;=20,1,0))</formula>
    </cfRule>
    <cfRule type="expression" priority="1339" dxfId="2">
      <formula>AND(IF($Q39=2,1,0),IF($X39&lt;30,1,0))</formula>
    </cfRule>
    <cfRule type="expression" priority="1340" dxfId="1">
      <formula>AND(IF($Q39=3,1,0),IF($X39&lt;30,1,0))</formula>
    </cfRule>
    <cfRule type="expression" priority="1341" dxfId="0">
      <formula>AND(IF($Q39=3,1,IF($Q39=4,1,0)),IF($F39&lt;=85,1,0))</formula>
    </cfRule>
  </conditionalFormatting>
  <conditionalFormatting sqref="AI39">
    <cfRule type="expression" priority="1334" dxfId="3">
      <formula>AND(IF(OR($Q39=1,$Q39=2),1,0),IF($X39&lt;=20,1,0))</formula>
    </cfRule>
    <cfRule type="expression" priority="1335" dxfId="2">
      <formula>AND(IF($Q39=2,1,0),IF($X39&lt;30,1,0))</formula>
    </cfRule>
    <cfRule type="expression" priority="1336" dxfId="1">
      <formula>AND(IF($Q39=3,1,0),IF($X39&lt;30,1,0))</formula>
    </cfRule>
    <cfRule type="expression" priority="1337" dxfId="0">
      <formula>AND(IF($Q39=3,1,IF($Q39=4,1,0)),IF($F39&lt;=85,1,0))</formula>
    </cfRule>
  </conditionalFormatting>
  <conditionalFormatting sqref="AV40">
    <cfRule type="expression" priority="1332" dxfId="17">
      <formula>AV40="X"</formula>
    </cfRule>
    <cfRule type="expression" priority="1333" dxfId="16">
      <formula>AV40="후보"</formula>
    </cfRule>
  </conditionalFormatting>
  <conditionalFormatting sqref="AC4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0">
    <cfRule type="expression" priority="1323" dxfId="3">
      <formula>AND(IF(OR($Q40=1,$Q40=2),1,0),IF($X40&lt;=20,1,0))</formula>
    </cfRule>
    <cfRule type="expression" priority="1324" dxfId="2">
      <formula>AND(IF($Q40=2,1,0),IF($X40&lt;30,1,0))</formula>
    </cfRule>
    <cfRule type="expression" priority="1325" dxfId="1">
      <formula>AND(IF($Q40=3,1,0),IF($X40&lt;30,1,0))</formula>
    </cfRule>
    <cfRule type="expression" priority="1326" dxfId="0">
      <formula>AND(IF($Q40=3,1,IF($Q40=4,1,0)),IF($F40&lt;=85,1,0))</formula>
    </cfRule>
  </conditionalFormatting>
  <conditionalFormatting sqref="X40">
    <cfRule type="expression" priority="1319" dxfId="3">
      <formula>AND(IF(OR($Q40=1,$Q40=2),1,0),IF($X40&lt;=20,1,0))</formula>
    </cfRule>
    <cfRule type="expression" priority="1320" dxfId="2">
      <formula>AND(IF($Q40=2,1,0),IF($X40&lt;30,1,0))</formula>
    </cfRule>
    <cfRule type="expression" priority="1321" dxfId="1">
      <formula>AND(IF($Q40=3,1,0),IF($X40&lt;30,1,0))</formula>
    </cfRule>
    <cfRule type="expression" priority="1322" dxfId="0">
      <formula>AND(IF($Q40=3,1,IF($Q40=4,1,0)),IF($F40&lt;=85,1,0))</formula>
    </cfRule>
  </conditionalFormatting>
  <conditionalFormatting sqref="AI40">
    <cfRule type="expression" priority="1315" dxfId="3">
      <formula>AND(IF(OR($Q40=1,$Q40=2),1,0),IF($X40&lt;=20,1,0))</formula>
    </cfRule>
    <cfRule type="expression" priority="1316" dxfId="2">
      <formula>AND(IF($Q40=2,1,0),IF($X40&lt;30,1,0))</formula>
    </cfRule>
    <cfRule type="expression" priority="1317" dxfId="1">
      <formula>AND(IF($Q40=3,1,0),IF($X40&lt;30,1,0))</formula>
    </cfRule>
    <cfRule type="expression" priority="1318" dxfId="0">
      <formula>AND(IF($Q40=3,1,IF($Q40=4,1,0)),IF($F40&lt;=85,1,0))</formula>
    </cfRule>
  </conditionalFormatting>
  <conditionalFormatting sqref="AV41">
    <cfRule type="expression" priority="1313" dxfId="17">
      <formula>AV41="X"</formula>
    </cfRule>
    <cfRule type="expression" priority="1314" dxfId="16">
      <formula>AV41="후보"</formula>
    </cfRule>
  </conditionalFormatting>
  <conditionalFormatting sqref="AC4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4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41">
    <cfRule type="expression" priority="1304" dxfId="3">
      <formula>AND(IF(OR($Q41=1,$Q41=2),1,0),IF($X41&lt;=20,1,0))</formula>
    </cfRule>
    <cfRule type="expression" priority="1305" dxfId="2">
      <formula>AND(IF($Q41=2,1,0),IF($X41&lt;30,1,0))</formula>
    </cfRule>
    <cfRule type="expression" priority="1306" dxfId="1">
      <formula>AND(IF($Q41=3,1,0),IF($X41&lt;30,1,0))</formula>
    </cfRule>
    <cfRule type="expression" priority="1307" dxfId="0">
      <formula>AND(IF($Q41=3,1,IF($Q41=4,1,0)),IF($F41&lt;=85,1,0))</formula>
    </cfRule>
  </conditionalFormatting>
  <conditionalFormatting sqref="X41">
    <cfRule type="expression" priority="1300" dxfId="3">
      <formula>AND(IF(OR($Q41=1,$Q41=2),1,0),IF($X41&lt;=20,1,0))</formula>
    </cfRule>
    <cfRule type="expression" priority="1301" dxfId="2">
      <formula>AND(IF($Q41=2,1,0),IF($X41&lt;30,1,0))</formula>
    </cfRule>
    <cfRule type="expression" priority="1302" dxfId="1">
      <formula>AND(IF($Q41=3,1,0),IF($X41&lt;30,1,0))</formula>
    </cfRule>
    <cfRule type="expression" priority="1303" dxfId="0">
      <formula>AND(IF($Q41=3,1,IF($Q41=4,1,0)),IF($F41&lt;=85,1,0))</formula>
    </cfRule>
  </conditionalFormatting>
  <conditionalFormatting sqref="AI41">
    <cfRule type="expression" priority="1296" dxfId="3">
      <formula>AND(IF(OR($Q41=1,$Q41=2),1,0),IF($X41&lt;=20,1,0))</formula>
    </cfRule>
    <cfRule type="expression" priority="1297" dxfId="2">
      <formula>AND(IF($Q41=2,1,0),IF($X41&lt;30,1,0))</formula>
    </cfRule>
    <cfRule type="expression" priority="1298" dxfId="1">
      <formula>AND(IF($Q41=3,1,0),IF($X41&lt;30,1,0))</formula>
    </cfRule>
    <cfRule type="expression" priority="1299" dxfId="0">
      <formula>AND(IF($Q41=3,1,IF($Q41=4,1,0)),IF($F41&lt;=85,1,0))</formula>
    </cfRule>
  </conditionalFormatting>
  <conditionalFormatting sqref="AV42">
    <cfRule type="expression" priority="1294" dxfId="17">
      <formula>AV42="X"</formula>
    </cfRule>
    <cfRule type="expression" priority="1295" dxfId="16">
      <formula>AV42="후보"</formula>
    </cfRule>
  </conditionalFormatting>
  <conditionalFormatting sqref="AC4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4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42">
    <cfRule type="expression" priority="1285" dxfId="3">
      <formula>AND(IF(OR($Q42=1,$Q42=2),1,0),IF($X42&lt;=20,1,0))</formula>
    </cfRule>
    <cfRule type="expression" priority="1286" dxfId="2">
      <formula>AND(IF($Q42=2,1,0),IF($X42&lt;30,1,0))</formula>
    </cfRule>
    <cfRule type="expression" priority="1287" dxfId="1">
      <formula>AND(IF($Q42=3,1,0),IF($X42&lt;30,1,0))</formula>
    </cfRule>
    <cfRule type="expression" priority="1288" dxfId="0">
      <formula>AND(IF($Q42=3,1,IF($Q42=4,1,0)),IF($F42&lt;=85,1,0))</formula>
    </cfRule>
  </conditionalFormatting>
  <conditionalFormatting sqref="X42">
    <cfRule type="expression" priority="1281" dxfId="3">
      <formula>AND(IF(OR($Q42=1,$Q42=2),1,0),IF($X42&lt;=20,1,0))</formula>
    </cfRule>
    <cfRule type="expression" priority="1282" dxfId="2">
      <formula>AND(IF($Q42=2,1,0),IF($X42&lt;30,1,0))</formula>
    </cfRule>
    <cfRule type="expression" priority="1283" dxfId="1">
      <formula>AND(IF($Q42=3,1,0),IF($X42&lt;30,1,0))</formula>
    </cfRule>
    <cfRule type="expression" priority="1284" dxfId="0">
      <formula>AND(IF($Q42=3,1,IF($Q42=4,1,0)),IF($F42&lt;=85,1,0))</formula>
    </cfRule>
  </conditionalFormatting>
  <conditionalFormatting sqref="AI42">
    <cfRule type="expression" priority="1277" dxfId="3">
      <formula>AND(IF(OR($Q42=1,$Q42=2),1,0),IF($X42&lt;=20,1,0))</formula>
    </cfRule>
    <cfRule type="expression" priority="1278" dxfId="2">
      <formula>AND(IF($Q42=2,1,0),IF($X42&lt;30,1,0))</formula>
    </cfRule>
    <cfRule type="expression" priority="1279" dxfId="1">
      <formula>AND(IF($Q42=3,1,0),IF($X42&lt;30,1,0))</formula>
    </cfRule>
    <cfRule type="expression" priority="1280" dxfId="0">
      <formula>AND(IF($Q42=3,1,IF($Q42=4,1,0)),IF($F42&lt;=85,1,0))</formula>
    </cfRule>
  </conditionalFormatting>
  <conditionalFormatting sqref="AV43">
    <cfRule type="expression" priority="1275" dxfId="17">
      <formula>AV43="X"</formula>
    </cfRule>
    <cfRule type="expression" priority="1276" dxfId="16">
      <formula>AV43="후보"</formula>
    </cfRule>
  </conditionalFormatting>
  <conditionalFormatting sqref="AC4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4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43">
    <cfRule type="expression" priority="1266" dxfId="3">
      <formula>AND(IF(OR($Q43=1,$Q43=2),1,0),IF($X43&lt;=20,1,0))</formula>
    </cfRule>
    <cfRule type="expression" priority="1267" dxfId="2">
      <formula>AND(IF($Q43=2,1,0),IF($X43&lt;30,1,0))</formula>
    </cfRule>
    <cfRule type="expression" priority="1268" dxfId="1">
      <formula>AND(IF($Q43=3,1,0),IF($X43&lt;30,1,0))</formula>
    </cfRule>
    <cfRule type="expression" priority="1269" dxfId="0">
      <formula>AND(IF($Q43=3,1,IF($Q43=4,1,0)),IF($F43&lt;=85,1,0))</formula>
    </cfRule>
  </conditionalFormatting>
  <conditionalFormatting sqref="X43">
    <cfRule type="expression" priority="1262" dxfId="3">
      <formula>AND(IF(OR($Q43=1,$Q43=2),1,0),IF($X43&lt;=20,1,0))</formula>
    </cfRule>
    <cfRule type="expression" priority="1263" dxfId="2">
      <formula>AND(IF($Q43=2,1,0),IF($X43&lt;30,1,0))</formula>
    </cfRule>
    <cfRule type="expression" priority="1264" dxfId="1">
      <formula>AND(IF($Q43=3,1,0),IF($X43&lt;30,1,0))</formula>
    </cfRule>
    <cfRule type="expression" priority="1265" dxfId="0">
      <formula>AND(IF($Q43=3,1,IF($Q43=4,1,0)),IF($F43&lt;=85,1,0))</formula>
    </cfRule>
  </conditionalFormatting>
  <conditionalFormatting sqref="AI43">
    <cfRule type="expression" priority="1258" dxfId="3">
      <formula>AND(IF(OR($Q43=1,$Q43=2),1,0),IF($X43&lt;=20,1,0))</formula>
    </cfRule>
    <cfRule type="expression" priority="1259" dxfId="2">
      <formula>AND(IF($Q43=2,1,0),IF($X43&lt;30,1,0))</formula>
    </cfRule>
    <cfRule type="expression" priority="1260" dxfId="1">
      <formula>AND(IF($Q43=3,1,0),IF($X43&lt;30,1,0))</formula>
    </cfRule>
    <cfRule type="expression" priority="1261" dxfId="0">
      <formula>AND(IF($Q43=3,1,IF($Q43=4,1,0)),IF($F43&lt;=85,1,0))</formula>
    </cfRule>
  </conditionalFormatting>
  <conditionalFormatting sqref="AV44">
    <cfRule type="expression" priority="1256" dxfId="17">
      <formula>AV44="X"</formula>
    </cfRule>
    <cfRule type="expression" priority="1257" dxfId="16">
      <formula>AV44="후보"</formula>
    </cfRule>
  </conditionalFormatting>
  <conditionalFormatting sqref="AC4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4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44">
    <cfRule type="expression" priority="1247" dxfId="3">
      <formula>AND(IF(OR($Q44=1,$Q44=2),1,0),IF($X44&lt;=20,1,0))</formula>
    </cfRule>
    <cfRule type="expression" priority="1248" dxfId="2">
      <formula>AND(IF($Q44=2,1,0),IF($X44&lt;30,1,0))</formula>
    </cfRule>
    <cfRule type="expression" priority="1249" dxfId="1">
      <formula>AND(IF($Q44=3,1,0),IF($X44&lt;30,1,0))</formula>
    </cfRule>
    <cfRule type="expression" priority="1250" dxfId="0">
      <formula>AND(IF($Q44=3,1,IF($Q44=4,1,0)),IF($F44&lt;=85,1,0))</formula>
    </cfRule>
  </conditionalFormatting>
  <conditionalFormatting sqref="X44">
    <cfRule type="expression" priority="1243" dxfId="3">
      <formula>AND(IF(OR($Q44=1,$Q44=2),1,0),IF($X44&lt;=20,1,0))</formula>
    </cfRule>
    <cfRule type="expression" priority="1244" dxfId="2">
      <formula>AND(IF($Q44=2,1,0),IF($X44&lt;30,1,0))</formula>
    </cfRule>
    <cfRule type="expression" priority="1245" dxfId="1">
      <formula>AND(IF($Q44=3,1,0),IF($X44&lt;30,1,0))</formula>
    </cfRule>
    <cfRule type="expression" priority="1246" dxfId="0">
      <formula>AND(IF($Q44=3,1,IF($Q44=4,1,0)),IF($F44&lt;=85,1,0))</formula>
    </cfRule>
  </conditionalFormatting>
  <conditionalFormatting sqref="AI44">
    <cfRule type="expression" priority="1239" dxfId="3">
      <formula>AND(IF(OR($Q44=1,$Q44=2),1,0),IF($X44&lt;=20,1,0))</formula>
    </cfRule>
    <cfRule type="expression" priority="1240" dxfId="2">
      <formula>AND(IF($Q44=2,1,0),IF($X44&lt;30,1,0))</formula>
    </cfRule>
    <cfRule type="expression" priority="1241" dxfId="1">
      <formula>AND(IF($Q44=3,1,0),IF($X44&lt;30,1,0))</formula>
    </cfRule>
    <cfRule type="expression" priority="1242" dxfId="0">
      <formula>AND(IF($Q44=3,1,IF($Q44=4,1,0)),IF($F44&lt;=85,1,0))</formula>
    </cfRule>
  </conditionalFormatting>
  <conditionalFormatting sqref="AV45">
    <cfRule type="expression" priority="1237" dxfId="17">
      <formula>AV45="X"</formula>
    </cfRule>
    <cfRule type="expression" priority="1238" dxfId="16">
      <formula>AV45="후보"</formula>
    </cfRule>
  </conditionalFormatting>
  <conditionalFormatting sqref="AC45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4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45">
    <cfRule type="expression" priority="1228" dxfId="3">
      <formula>AND(IF(OR($Q45=1,$Q45=2),1,0),IF($X45&lt;=20,1,0))</formula>
    </cfRule>
    <cfRule type="expression" priority="1229" dxfId="2">
      <formula>AND(IF($Q45=2,1,0),IF($X45&lt;30,1,0))</formula>
    </cfRule>
    <cfRule type="expression" priority="1230" dxfId="1">
      <formula>AND(IF($Q45=3,1,0),IF($X45&lt;30,1,0))</formula>
    </cfRule>
    <cfRule type="expression" priority="1231" dxfId="0">
      <formula>AND(IF($Q45=3,1,IF($Q45=4,1,0)),IF($F45&lt;=85,1,0))</formula>
    </cfRule>
  </conditionalFormatting>
  <conditionalFormatting sqref="X45">
    <cfRule type="expression" priority="1224" dxfId="3">
      <formula>AND(IF(OR($Q45=1,$Q45=2),1,0),IF($X45&lt;=20,1,0))</formula>
    </cfRule>
    <cfRule type="expression" priority="1225" dxfId="2">
      <formula>AND(IF($Q45=2,1,0),IF($X45&lt;30,1,0))</formula>
    </cfRule>
    <cfRule type="expression" priority="1226" dxfId="1">
      <formula>AND(IF($Q45=3,1,0),IF($X45&lt;30,1,0))</formula>
    </cfRule>
    <cfRule type="expression" priority="1227" dxfId="0">
      <formula>AND(IF($Q45=3,1,IF($Q45=4,1,0)),IF($F45&lt;=85,1,0))</formula>
    </cfRule>
  </conditionalFormatting>
  <conditionalFormatting sqref="AI45">
    <cfRule type="expression" priority="1220" dxfId="3">
      <formula>AND(IF(OR($Q45=1,$Q45=2),1,0),IF($X45&lt;=20,1,0))</formula>
    </cfRule>
    <cfRule type="expression" priority="1221" dxfId="2">
      <formula>AND(IF($Q45=2,1,0),IF($X45&lt;30,1,0))</formula>
    </cfRule>
    <cfRule type="expression" priority="1222" dxfId="1">
      <formula>AND(IF($Q45=3,1,0),IF($X45&lt;30,1,0))</formula>
    </cfRule>
    <cfRule type="expression" priority="1223" dxfId="0">
      <formula>AND(IF($Q45=3,1,IF($Q45=4,1,0)),IF($F45&lt;=85,1,0))</formula>
    </cfRule>
  </conditionalFormatting>
  <conditionalFormatting sqref="AV46">
    <cfRule type="expression" priority="1218" dxfId="17">
      <formula>AV46="X"</formula>
    </cfRule>
    <cfRule type="expression" priority="1219" dxfId="16">
      <formula>AV46="후보"</formula>
    </cfRule>
  </conditionalFormatting>
  <conditionalFormatting sqref="AC46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4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46">
    <cfRule type="expression" priority="1209" dxfId="3">
      <formula>AND(IF(OR($Q46=1,$Q46=2),1,0),IF($X46&lt;=20,1,0))</formula>
    </cfRule>
    <cfRule type="expression" priority="1210" dxfId="2">
      <formula>AND(IF($Q46=2,1,0),IF($X46&lt;30,1,0))</formula>
    </cfRule>
    <cfRule type="expression" priority="1211" dxfId="1">
      <formula>AND(IF($Q46=3,1,0),IF($X46&lt;30,1,0))</formula>
    </cfRule>
    <cfRule type="expression" priority="1212" dxfId="0">
      <formula>AND(IF($Q46=3,1,IF($Q46=4,1,0)),IF($F46&lt;=85,1,0))</formula>
    </cfRule>
  </conditionalFormatting>
  <conditionalFormatting sqref="X46">
    <cfRule type="expression" priority="1205" dxfId="3">
      <formula>AND(IF(OR($Q46=1,$Q46=2),1,0),IF($X46&lt;=20,1,0))</formula>
    </cfRule>
    <cfRule type="expression" priority="1206" dxfId="2">
      <formula>AND(IF($Q46=2,1,0),IF($X46&lt;30,1,0))</formula>
    </cfRule>
    <cfRule type="expression" priority="1207" dxfId="1">
      <formula>AND(IF($Q46=3,1,0),IF($X46&lt;30,1,0))</formula>
    </cfRule>
    <cfRule type="expression" priority="1208" dxfId="0">
      <formula>AND(IF($Q46=3,1,IF($Q46=4,1,0)),IF($F46&lt;=85,1,0))</formula>
    </cfRule>
  </conditionalFormatting>
  <conditionalFormatting sqref="AI46">
    <cfRule type="expression" priority="1201" dxfId="3">
      <formula>AND(IF(OR($Q46=1,$Q46=2),1,0),IF($X46&lt;=20,1,0))</formula>
    </cfRule>
    <cfRule type="expression" priority="1202" dxfId="2">
      <formula>AND(IF($Q46=2,1,0),IF($X46&lt;30,1,0))</formula>
    </cfRule>
    <cfRule type="expression" priority="1203" dxfId="1">
      <formula>AND(IF($Q46=3,1,0),IF($X46&lt;30,1,0))</formula>
    </cfRule>
    <cfRule type="expression" priority="1204" dxfId="0">
      <formula>AND(IF($Q46=3,1,IF($Q46=4,1,0)),IF($F46&lt;=85,1,0))</formula>
    </cfRule>
  </conditionalFormatting>
  <conditionalFormatting sqref="AV47">
    <cfRule type="expression" priority="1199" dxfId="17">
      <formula>AV47="X"</formula>
    </cfRule>
    <cfRule type="expression" priority="1200" dxfId="16">
      <formula>AV47="후보"</formula>
    </cfRule>
  </conditionalFormatting>
  <conditionalFormatting sqref="AC47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47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47">
    <cfRule type="expression" priority="1190" dxfId="3">
      <formula>AND(IF(OR($Q47=1,$Q47=2),1,0),IF($X47&lt;=20,1,0))</formula>
    </cfRule>
    <cfRule type="expression" priority="1191" dxfId="2">
      <formula>AND(IF($Q47=2,1,0),IF($X47&lt;30,1,0))</formula>
    </cfRule>
    <cfRule type="expression" priority="1192" dxfId="1">
      <formula>AND(IF($Q47=3,1,0),IF($X47&lt;30,1,0))</formula>
    </cfRule>
    <cfRule type="expression" priority="1193" dxfId="0">
      <formula>AND(IF($Q47=3,1,IF($Q47=4,1,0)),IF($F47&lt;=85,1,0))</formula>
    </cfRule>
  </conditionalFormatting>
  <conditionalFormatting sqref="X47">
    <cfRule type="expression" priority="1186" dxfId="3">
      <formula>AND(IF(OR($Q47=1,$Q47=2),1,0),IF($X47&lt;=20,1,0))</formula>
    </cfRule>
    <cfRule type="expression" priority="1187" dxfId="2">
      <formula>AND(IF($Q47=2,1,0),IF($X47&lt;30,1,0))</formula>
    </cfRule>
    <cfRule type="expression" priority="1188" dxfId="1">
      <formula>AND(IF($Q47=3,1,0),IF($X47&lt;30,1,0))</formula>
    </cfRule>
    <cfRule type="expression" priority="1189" dxfId="0">
      <formula>AND(IF($Q47=3,1,IF($Q47=4,1,0)),IF($F47&lt;=85,1,0))</formula>
    </cfRule>
  </conditionalFormatting>
  <conditionalFormatting sqref="AI47">
    <cfRule type="expression" priority="1182" dxfId="3">
      <formula>AND(IF(OR($Q47=1,$Q47=2),1,0),IF($X47&lt;=20,1,0))</formula>
    </cfRule>
    <cfRule type="expression" priority="1183" dxfId="2">
      <formula>AND(IF($Q47=2,1,0),IF($X47&lt;30,1,0))</formula>
    </cfRule>
    <cfRule type="expression" priority="1184" dxfId="1">
      <formula>AND(IF($Q47=3,1,0),IF($X47&lt;30,1,0))</formula>
    </cfRule>
    <cfRule type="expression" priority="1185" dxfId="0">
      <formula>AND(IF($Q47=3,1,IF($Q47=4,1,0)),IF($F47&lt;=85,1,0))</formula>
    </cfRule>
  </conditionalFormatting>
  <conditionalFormatting sqref="AV48">
    <cfRule type="expression" priority="1180" dxfId="17">
      <formula>AV48="X"</formula>
    </cfRule>
    <cfRule type="expression" priority="1181" dxfId="16">
      <formula>AV48="후보"</formula>
    </cfRule>
  </conditionalFormatting>
  <conditionalFormatting sqref="AC48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48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48">
    <cfRule type="expression" priority="1171" dxfId="3">
      <formula>AND(IF(OR($Q48=1,$Q48=2),1,0),IF($X48&lt;=20,1,0))</formula>
    </cfRule>
    <cfRule type="expression" priority="1172" dxfId="2">
      <formula>AND(IF($Q48=2,1,0),IF($X48&lt;30,1,0))</formula>
    </cfRule>
    <cfRule type="expression" priority="1173" dxfId="1">
      <formula>AND(IF($Q48=3,1,0),IF($X48&lt;30,1,0))</formula>
    </cfRule>
    <cfRule type="expression" priority="1174" dxfId="0">
      <formula>AND(IF($Q48=3,1,IF($Q48=4,1,0)),IF($F48&lt;=85,1,0))</formula>
    </cfRule>
  </conditionalFormatting>
  <conditionalFormatting sqref="X48">
    <cfRule type="expression" priority="1167" dxfId="3">
      <formula>AND(IF(OR($Q48=1,$Q48=2),1,0),IF($X48&lt;=20,1,0))</formula>
    </cfRule>
    <cfRule type="expression" priority="1168" dxfId="2">
      <formula>AND(IF($Q48=2,1,0),IF($X48&lt;30,1,0))</formula>
    </cfRule>
    <cfRule type="expression" priority="1169" dxfId="1">
      <formula>AND(IF($Q48=3,1,0),IF($X48&lt;30,1,0))</formula>
    </cfRule>
    <cfRule type="expression" priority="1170" dxfId="0">
      <formula>AND(IF($Q48=3,1,IF($Q48=4,1,0)),IF($F48&lt;=85,1,0))</formula>
    </cfRule>
  </conditionalFormatting>
  <conditionalFormatting sqref="AI48">
    <cfRule type="expression" priority="1163" dxfId="3">
      <formula>AND(IF(OR($Q48=1,$Q48=2),1,0),IF($X48&lt;=20,1,0))</formula>
    </cfRule>
    <cfRule type="expression" priority="1164" dxfId="2">
      <formula>AND(IF($Q48=2,1,0),IF($X48&lt;30,1,0))</formula>
    </cfRule>
    <cfRule type="expression" priority="1165" dxfId="1">
      <formula>AND(IF($Q48=3,1,0),IF($X48&lt;30,1,0))</formula>
    </cfRule>
    <cfRule type="expression" priority="1166" dxfId="0">
      <formula>AND(IF($Q48=3,1,IF($Q48=4,1,0)),IF($F48&lt;=85,1,0))</formula>
    </cfRule>
  </conditionalFormatting>
  <conditionalFormatting sqref="AV49">
    <cfRule type="expression" priority="1161" dxfId="17">
      <formula>AV49="X"</formula>
    </cfRule>
    <cfRule type="expression" priority="1162" dxfId="16">
      <formula>AV49="후보"</formula>
    </cfRule>
  </conditionalFormatting>
  <conditionalFormatting sqref="AC49 N4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AV50">
    <cfRule type="expression" priority="1156" dxfId="17">
      <formula>AV50="X"</formula>
    </cfRule>
    <cfRule type="expression" priority="1157" dxfId="16">
      <formula>AV50="후보"</formula>
    </cfRule>
  </conditionalFormatting>
  <conditionalFormatting sqref="AC5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5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50">
    <cfRule type="expression" priority="1147" dxfId="3">
      <formula>AND(IF(OR($Q50=1,$Q50=2),1,0),IF($X50&lt;=20,1,0))</formula>
    </cfRule>
    <cfRule type="expression" priority="1148" dxfId="2">
      <formula>AND(IF($Q50=2,1,0),IF($X50&lt;30,1,0))</formula>
    </cfRule>
    <cfRule type="expression" priority="1149" dxfId="1">
      <formula>AND(IF($Q50=3,1,0),IF($X50&lt;30,1,0))</formula>
    </cfRule>
    <cfRule type="expression" priority="1150" dxfId="0">
      <formula>AND(IF($Q50=3,1,IF($Q50=4,1,0)),IF($F50&lt;=85,1,0))</formula>
    </cfRule>
  </conditionalFormatting>
  <conditionalFormatting sqref="X50">
    <cfRule type="expression" priority="1143" dxfId="3">
      <formula>AND(IF(OR($Q50=1,$Q50=2),1,0),IF($X50&lt;=20,1,0))</formula>
    </cfRule>
    <cfRule type="expression" priority="1144" dxfId="2">
      <formula>AND(IF($Q50=2,1,0),IF($X50&lt;30,1,0))</formula>
    </cfRule>
    <cfRule type="expression" priority="1145" dxfId="1">
      <formula>AND(IF($Q50=3,1,0),IF($X50&lt;30,1,0))</formula>
    </cfRule>
    <cfRule type="expression" priority="1146" dxfId="0">
      <formula>AND(IF($Q50=3,1,IF($Q50=4,1,0)),IF($F50&lt;=85,1,0))</formula>
    </cfRule>
  </conditionalFormatting>
  <conditionalFormatting sqref="AI50">
    <cfRule type="expression" priority="1139" dxfId="3">
      <formula>AND(IF(OR($Q50=1,$Q50=2),1,0),IF($X50&lt;=20,1,0))</formula>
    </cfRule>
    <cfRule type="expression" priority="1140" dxfId="2">
      <formula>AND(IF($Q50=2,1,0),IF($X50&lt;30,1,0))</formula>
    </cfRule>
    <cfRule type="expression" priority="1141" dxfId="1">
      <formula>AND(IF($Q50=3,1,0),IF($X50&lt;30,1,0))</formula>
    </cfRule>
    <cfRule type="expression" priority="1142" dxfId="0">
      <formula>AND(IF($Q50=3,1,IF($Q50=4,1,0)),IF($F50&lt;=85,1,0))</formula>
    </cfRule>
  </conditionalFormatting>
  <conditionalFormatting sqref="AV51">
    <cfRule type="expression" priority="1137" dxfId="17">
      <formula>AV51="X"</formula>
    </cfRule>
    <cfRule type="expression" priority="1138" dxfId="16">
      <formula>AV51="후보"</formula>
    </cfRule>
  </conditionalFormatting>
  <conditionalFormatting sqref="AC5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5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51">
    <cfRule type="expression" priority="1128" dxfId="3">
      <formula>AND(IF(OR($Q51=1,$Q51=2),1,0),IF($X51&lt;=20,1,0))</formula>
    </cfRule>
    <cfRule type="expression" priority="1129" dxfId="2">
      <formula>AND(IF($Q51=2,1,0),IF($X51&lt;30,1,0))</formula>
    </cfRule>
    <cfRule type="expression" priority="1130" dxfId="1">
      <formula>AND(IF($Q51=3,1,0),IF($X51&lt;30,1,0))</formula>
    </cfRule>
    <cfRule type="expression" priority="1131" dxfId="0">
      <formula>AND(IF($Q51=3,1,IF($Q51=4,1,0)),IF($F51&lt;=85,1,0))</formula>
    </cfRule>
  </conditionalFormatting>
  <conditionalFormatting sqref="X51">
    <cfRule type="expression" priority="1124" dxfId="3">
      <formula>AND(IF(OR($Q51=1,$Q51=2),1,0),IF($X51&lt;=20,1,0))</formula>
    </cfRule>
    <cfRule type="expression" priority="1125" dxfId="2">
      <formula>AND(IF($Q51=2,1,0),IF($X51&lt;30,1,0))</formula>
    </cfRule>
    <cfRule type="expression" priority="1126" dxfId="1">
      <formula>AND(IF($Q51=3,1,0),IF($X51&lt;30,1,0))</formula>
    </cfRule>
    <cfRule type="expression" priority="1127" dxfId="0">
      <formula>AND(IF($Q51=3,1,IF($Q51=4,1,0)),IF($F51&lt;=85,1,0))</formula>
    </cfRule>
  </conditionalFormatting>
  <conditionalFormatting sqref="AI51">
    <cfRule type="expression" priority="1120" dxfId="3">
      <formula>AND(IF(OR($Q51=1,$Q51=2),1,0),IF($X51&lt;=20,1,0))</formula>
    </cfRule>
    <cfRule type="expression" priority="1121" dxfId="2">
      <formula>AND(IF($Q51=2,1,0),IF($X51&lt;30,1,0))</formula>
    </cfRule>
    <cfRule type="expression" priority="1122" dxfId="1">
      <formula>AND(IF($Q51=3,1,0),IF($X51&lt;30,1,0))</formula>
    </cfRule>
    <cfRule type="expression" priority="1123" dxfId="0">
      <formula>AND(IF($Q51=3,1,IF($Q51=4,1,0)),IF($F51&lt;=85,1,0))</formula>
    </cfRule>
  </conditionalFormatting>
  <conditionalFormatting sqref="AV52">
    <cfRule type="expression" priority="1118" dxfId="17">
      <formula>AV52="X"</formula>
    </cfRule>
    <cfRule type="expression" priority="1119" dxfId="16">
      <formula>AV52="후보"</formula>
    </cfRule>
  </conditionalFormatting>
  <conditionalFormatting sqref="AC52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5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52">
    <cfRule type="expression" priority="1109" dxfId="3">
      <formula>AND(IF(OR($Q52=1,$Q52=2),1,0),IF($X52&lt;=20,1,0))</formula>
    </cfRule>
    <cfRule type="expression" priority="1110" dxfId="2">
      <formula>AND(IF($Q52=2,1,0),IF($X52&lt;30,1,0))</formula>
    </cfRule>
    <cfRule type="expression" priority="1111" dxfId="1">
      <formula>AND(IF($Q52=3,1,0),IF($X52&lt;30,1,0))</formula>
    </cfRule>
    <cfRule type="expression" priority="1112" dxfId="0">
      <formula>AND(IF($Q52=3,1,IF($Q52=4,1,0)),IF($F52&lt;=85,1,0))</formula>
    </cfRule>
  </conditionalFormatting>
  <conditionalFormatting sqref="X52">
    <cfRule type="expression" priority="1105" dxfId="3">
      <formula>AND(IF(OR($Q52=1,$Q52=2),1,0),IF($X52&lt;=20,1,0))</formula>
    </cfRule>
    <cfRule type="expression" priority="1106" dxfId="2">
      <formula>AND(IF($Q52=2,1,0),IF($X52&lt;30,1,0))</formula>
    </cfRule>
    <cfRule type="expression" priority="1107" dxfId="1">
      <formula>AND(IF($Q52=3,1,0),IF($X52&lt;30,1,0))</formula>
    </cfRule>
    <cfRule type="expression" priority="1108" dxfId="0">
      <formula>AND(IF($Q52=3,1,IF($Q52=4,1,0)),IF($F52&lt;=85,1,0))</formula>
    </cfRule>
  </conditionalFormatting>
  <conditionalFormatting sqref="AI52">
    <cfRule type="expression" priority="1101" dxfId="3">
      <formula>AND(IF(OR($Q52=1,$Q52=2),1,0),IF($X52&lt;=20,1,0))</formula>
    </cfRule>
    <cfRule type="expression" priority="1102" dxfId="2">
      <formula>AND(IF($Q52=2,1,0),IF($X52&lt;30,1,0))</formula>
    </cfRule>
    <cfRule type="expression" priority="1103" dxfId="1">
      <formula>AND(IF($Q52=3,1,0),IF($X52&lt;30,1,0))</formula>
    </cfRule>
    <cfRule type="expression" priority="1104" dxfId="0">
      <formula>AND(IF($Q52=3,1,IF($Q52=4,1,0)),IF($F52&lt;=85,1,0))</formula>
    </cfRule>
  </conditionalFormatting>
  <conditionalFormatting sqref="AV53">
    <cfRule type="expression" priority="1099" dxfId="17">
      <formula>AV53="X"</formula>
    </cfRule>
    <cfRule type="expression" priority="1100" dxfId="16">
      <formula>AV53="후보"</formula>
    </cfRule>
  </conditionalFormatting>
  <conditionalFormatting sqref="AC53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53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53">
    <cfRule type="expression" priority="1090" dxfId="3">
      <formula>AND(IF(OR($Q53=1,$Q53=2),1,0),IF($X53&lt;=20,1,0))</formula>
    </cfRule>
    <cfRule type="expression" priority="1091" dxfId="2">
      <formula>AND(IF($Q53=2,1,0),IF($X53&lt;30,1,0))</formula>
    </cfRule>
    <cfRule type="expression" priority="1092" dxfId="1">
      <formula>AND(IF($Q53=3,1,0),IF($X53&lt;30,1,0))</formula>
    </cfRule>
    <cfRule type="expression" priority="1093" dxfId="0">
      <formula>AND(IF($Q53=3,1,IF($Q53=4,1,0)),IF($F53&lt;=85,1,0))</formula>
    </cfRule>
  </conditionalFormatting>
  <conditionalFormatting sqref="X53">
    <cfRule type="expression" priority="1086" dxfId="3">
      <formula>AND(IF(OR($Q53=1,$Q53=2),1,0),IF($X53&lt;=20,1,0))</formula>
    </cfRule>
    <cfRule type="expression" priority="1087" dxfId="2">
      <formula>AND(IF($Q53=2,1,0),IF($X53&lt;30,1,0))</formula>
    </cfRule>
    <cfRule type="expression" priority="1088" dxfId="1">
      <formula>AND(IF($Q53=3,1,0),IF($X53&lt;30,1,0))</formula>
    </cfRule>
    <cfRule type="expression" priority="1089" dxfId="0">
      <formula>AND(IF($Q53=3,1,IF($Q53=4,1,0)),IF($F53&lt;=85,1,0))</formula>
    </cfRule>
  </conditionalFormatting>
  <conditionalFormatting sqref="AI53">
    <cfRule type="expression" priority="1082" dxfId="3">
      <formula>AND(IF(OR($Q53=1,$Q53=2),1,0),IF($X53&lt;=20,1,0))</formula>
    </cfRule>
    <cfRule type="expression" priority="1083" dxfId="2">
      <formula>AND(IF($Q53=2,1,0),IF($X53&lt;30,1,0))</formula>
    </cfRule>
    <cfRule type="expression" priority="1084" dxfId="1">
      <formula>AND(IF($Q53=3,1,0),IF($X53&lt;30,1,0))</formula>
    </cfRule>
    <cfRule type="expression" priority="1085" dxfId="0">
      <formula>AND(IF($Q53=3,1,IF($Q53=4,1,0)),IF($F53&lt;=85,1,0))</formula>
    </cfRule>
  </conditionalFormatting>
  <conditionalFormatting sqref="AV54">
    <cfRule type="expression" priority="1080" dxfId="17">
      <formula>AV54="X"</formula>
    </cfRule>
    <cfRule type="expression" priority="1081" dxfId="16">
      <formula>AV54="후보"</formula>
    </cfRule>
  </conditionalFormatting>
  <conditionalFormatting sqref="AC54 N5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V55">
    <cfRule type="expression" priority="1075" dxfId="17">
      <formula>AV55="X"</formula>
    </cfRule>
    <cfRule type="expression" priority="1076" dxfId="16">
      <formula>AV55="후보"</formula>
    </cfRule>
  </conditionalFormatting>
  <conditionalFormatting sqref="AC5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5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55">
    <cfRule type="expression" priority="1066" dxfId="3">
      <formula>AND(IF(OR($Q55=1,$Q55=2),1,0),IF($X55&lt;=20,1,0))</formula>
    </cfRule>
    <cfRule type="expression" priority="1067" dxfId="2">
      <formula>AND(IF($Q55=2,1,0),IF($X55&lt;30,1,0))</formula>
    </cfRule>
    <cfRule type="expression" priority="1068" dxfId="1">
      <formula>AND(IF($Q55=3,1,0),IF($X55&lt;30,1,0))</formula>
    </cfRule>
    <cfRule type="expression" priority="1069" dxfId="0">
      <formula>AND(IF($Q55=3,1,IF($Q55=4,1,0)),IF($F55&lt;=85,1,0))</formula>
    </cfRule>
  </conditionalFormatting>
  <conditionalFormatting sqref="X55">
    <cfRule type="expression" priority="1062" dxfId="3">
      <formula>AND(IF(OR($Q55=1,$Q55=2),1,0),IF($X55&lt;=20,1,0))</formula>
    </cfRule>
    <cfRule type="expression" priority="1063" dxfId="2">
      <formula>AND(IF($Q55=2,1,0),IF($X55&lt;30,1,0))</formula>
    </cfRule>
    <cfRule type="expression" priority="1064" dxfId="1">
      <formula>AND(IF($Q55=3,1,0),IF($X55&lt;30,1,0))</formula>
    </cfRule>
    <cfRule type="expression" priority="1065" dxfId="0">
      <formula>AND(IF($Q55=3,1,IF($Q55=4,1,0)),IF($F55&lt;=85,1,0))</formula>
    </cfRule>
  </conditionalFormatting>
  <conditionalFormatting sqref="AI55">
    <cfRule type="expression" priority="1058" dxfId="3">
      <formula>AND(IF(OR($Q55=1,$Q55=2),1,0),IF($X55&lt;=20,1,0))</formula>
    </cfRule>
    <cfRule type="expression" priority="1059" dxfId="2">
      <formula>AND(IF($Q55=2,1,0),IF($X55&lt;30,1,0))</formula>
    </cfRule>
    <cfRule type="expression" priority="1060" dxfId="1">
      <formula>AND(IF($Q55=3,1,0),IF($X55&lt;30,1,0))</formula>
    </cfRule>
    <cfRule type="expression" priority="1061" dxfId="0">
      <formula>AND(IF($Q55=3,1,IF($Q55=4,1,0)),IF($F55&lt;=85,1,0))</formula>
    </cfRule>
  </conditionalFormatting>
  <conditionalFormatting sqref="AV56">
    <cfRule type="expression" priority="1056" dxfId="17">
      <formula>AV56="X"</formula>
    </cfRule>
    <cfRule type="expression" priority="1057" dxfId="16">
      <formula>AV56="후보"</formula>
    </cfRule>
  </conditionalFormatting>
  <conditionalFormatting sqref="AC5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5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56">
    <cfRule type="expression" priority="1047" dxfId="3">
      <formula>AND(IF(OR($Q56=1,$Q56=2),1,0),IF($X56&lt;=20,1,0))</formula>
    </cfRule>
    <cfRule type="expression" priority="1048" dxfId="2">
      <formula>AND(IF($Q56=2,1,0),IF($X56&lt;30,1,0))</formula>
    </cfRule>
    <cfRule type="expression" priority="1049" dxfId="1">
      <formula>AND(IF($Q56=3,1,0),IF($X56&lt;30,1,0))</formula>
    </cfRule>
    <cfRule type="expression" priority="1050" dxfId="0">
      <formula>AND(IF($Q56=3,1,IF($Q56=4,1,0)),IF($F56&lt;=85,1,0))</formula>
    </cfRule>
  </conditionalFormatting>
  <conditionalFormatting sqref="X56">
    <cfRule type="expression" priority="1043" dxfId="3">
      <formula>AND(IF(OR($Q56=1,$Q56=2),1,0),IF($X56&lt;=20,1,0))</formula>
    </cfRule>
    <cfRule type="expression" priority="1044" dxfId="2">
      <formula>AND(IF($Q56=2,1,0),IF($X56&lt;30,1,0))</formula>
    </cfRule>
    <cfRule type="expression" priority="1045" dxfId="1">
      <formula>AND(IF($Q56=3,1,0),IF($X56&lt;30,1,0))</formula>
    </cfRule>
    <cfRule type="expression" priority="1046" dxfId="0">
      <formula>AND(IF($Q56=3,1,IF($Q56=4,1,0)),IF($F56&lt;=85,1,0))</formula>
    </cfRule>
  </conditionalFormatting>
  <conditionalFormatting sqref="AI56">
    <cfRule type="expression" priority="1039" dxfId="3">
      <formula>AND(IF(OR($Q56=1,$Q56=2),1,0),IF($X56&lt;=20,1,0))</formula>
    </cfRule>
    <cfRule type="expression" priority="1040" dxfId="2">
      <formula>AND(IF($Q56=2,1,0),IF($X56&lt;30,1,0))</formula>
    </cfRule>
    <cfRule type="expression" priority="1041" dxfId="1">
      <formula>AND(IF($Q56=3,1,0),IF($X56&lt;30,1,0))</formula>
    </cfRule>
    <cfRule type="expression" priority="1042" dxfId="0">
      <formula>AND(IF($Q56=3,1,IF($Q56=4,1,0)),IF($F56&lt;=85,1,0))</formula>
    </cfRule>
  </conditionalFormatting>
  <conditionalFormatting sqref="AV57">
    <cfRule type="expression" priority="1037" dxfId="17">
      <formula>AV57="X"</formula>
    </cfRule>
    <cfRule type="expression" priority="1038" dxfId="16">
      <formula>AV57="후보"</formula>
    </cfRule>
  </conditionalFormatting>
  <conditionalFormatting sqref="AC5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5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57">
    <cfRule type="expression" priority="1028" dxfId="3">
      <formula>AND(IF(OR($Q57=1,$Q57=2),1,0),IF($X57&lt;=20,1,0))</formula>
    </cfRule>
    <cfRule type="expression" priority="1029" dxfId="2">
      <formula>AND(IF($Q57=2,1,0),IF($X57&lt;30,1,0))</formula>
    </cfRule>
    <cfRule type="expression" priority="1030" dxfId="1">
      <formula>AND(IF($Q57=3,1,0),IF($X57&lt;30,1,0))</formula>
    </cfRule>
    <cfRule type="expression" priority="1031" dxfId="0">
      <formula>AND(IF($Q57=3,1,IF($Q57=4,1,0)),IF($F57&lt;=85,1,0))</formula>
    </cfRule>
  </conditionalFormatting>
  <conditionalFormatting sqref="X57">
    <cfRule type="expression" priority="1024" dxfId="3">
      <formula>AND(IF(OR($Q57=1,$Q57=2),1,0),IF($X57&lt;=20,1,0))</formula>
    </cfRule>
    <cfRule type="expression" priority="1025" dxfId="2">
      <formula>AND(IF($Q57=2,1,0),IF($X57&lt;30,1,0))</formula>
    </cfRule>
    <cfRule type="expression" priority="1026" dxfId="1">
      <formula>AND(IF($Q57=3,1,0),IF($X57&lt;30,1,0))</formula>
    </cfRule>
    <cfRule type="expression" priority="1027" dxfId="0">
      <formula>AND(IF($Q57=3,1,IF($Q57=4,1,0)),IF($F57&lt;=85,1,0))</formula>
    </cfRule>
  </conditionalFormatting>
  <conditionalFormatting sqref="AI57">
    <cfRule type="expression" priority="1020" dxfId="3">
      <formula>AND(IF(OR($Q57=1,$Q57=2),1,0),IF($X57&lt;=20,1,0))</formula>
    </cfRule>
    <cfRule type="expression" priority="1021" dxfId="2">
      <formula>AND(IF($Q57=2,1,0),IF($X57&lt;30,1,0))</formula>
    </cfRule>
    <cfRule type="expression" priority="1022" dxfId="1">
      <formula>AND(IF($Q57=3,1,0),IF($X57&lt;30,1,0))</formula>
    </cfRule>
    <cfRule type="expression" priority="1023" dxfId="0">
      <formula>AND(IF($Q57=3,1,IF($Q57=4,1,0)),IF($F57&lt;=85,1,0))</formula>
    </cfRule>
  </conditionalFormatting>
  <conditionalFormatting sqref="AV58">
    <cfRule type="expression" priority="1018" dxfId="17">
      <formula>AV58="X"</formula>
    </cfRule>
    <cfRule type="expression" priority="1019" dxfId="16">
      <formula>AV58="후보"</formula>
    </cfRule>
  </conditionalFormatting>
  <conditionalFormatting sqref="AC5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5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58">
    <cfRule type="expression" priority="1009" dxfId="3">
      <formula>AND(IF(OR($Q58=1,$Q58=2),1,0),IF($X58&lt;=20,1,0))</formula>
    </cfRule>
    <cfRule type="expression" priority="1010" dxfId="2">
      <formula>AND(IF($Q58=2,1,0),IF($X58&lt;30,1,0))</formula>
    </cfRule>
    <cfRule type="expression" priority="1011" dxfId="1">
      <formula>AND(IF($Q58=3,1,0),IF($X58&lt;30,1,0))</formula>
    </cfRule>
    <cfRule type="expression" priority="1012" dxfId="0">
      <formula>AND(IF($Q58=3,1,IF($Q58=4,1,0)),IF($F58&lt;=85,1,0))</formula>
    </cfRule>
  </conditionalFormatting>
  <conditionalFormatting sqref="X58">
    <cfRule type="expression" priority="1005" dxfId="3">
      <formula>AND(IF(OR($Q58=1,$Q58=2),1,0),IF($X58&lt;=20,1,0))</formula>
    </cfRule>
    <cfRule type="expression" priority="1006" dxfId="2">
      <formula>AND(IF($Q58=2,1,0),IF($X58&lt;30,1,0))</formula>
    </cfRule>
    <cfRule type="expression" priority="1007" dxfId="1">
      <formula>AND(IF($Q58=3,1,0),IF($X58&lt;30,1,0))</formula>
    </cfRule>
    <cfRule type="expression" priority="1008" dxfId="0">
      <formula>AND(IF($Q58=3,1,IF($Q58=4,1,0)),IF($F58&lt;=85,1,0))</formula>
    </cfRule>
  </conditionalFormatting>
  <conditionalFormatting sqref="AI58">
    <cfRule type="expression" priority="1001" dxfId="3">
      <formula>AND(IF(OR($Q58=1,$Q58=2),1,0),IF($X58&lt;=20,1,0))</formula>
    </cfRule>
    <cfRule type="expression" priority="1002" dxfId="2">
      <formula>AND(IF($Q58=2,1,0),IF($X58&lt;30,1,0))</formula>
    </cfRule>
    <cfRule type="expression" priority="1003" dxfId="1">
      <formula>AND(IF($Q58=3,1,0),IF($X58&lt;30,1,0))</formula>
    </cfRule>
    <cfRule type="expression" priority="1004" dxfId="0">
      <formula>AND(IF($Q58=3,1,IF($Q58=4,1,0)),IF($F58&lt;=85,1,0))</formula>
    </cfRule>
  </conditionalFormatting>
  <conditionalFormatting sqref="AV59">
    <cfRule type="expression" priority="999" dxfId="17">
      <formula>AV59="X"</formula>
    </cfRule>
    <cfRule type="expression" priority="1000" dxfId="16">
      <formula>AV59="후보"</formula>
    </cfRule>
  </conditionalFormatting>
  <conditionalFormatting sqref="AC5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5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59">
    <cfRule type="expression" priority="990" dxfId="3">
      <formula>AND(IF(OR($Q59=1,$Q59=2),1,0),IF($X59&lt;=20,1,0))</formula>
    </cfRule>
    <cfRule type="expression" priority="991" dxfId="2">
      <formula>AND(IF($Q59=2,1,0),IF($X59&lt;30,1,0))</formula>
    </cfRule>
    <cfRule type="expression" priority="992" dxfId="1">
      <formula>AND(IF($Q59=3,1,0),IF($X59&lt;30,1,0))</formula>
    </cfRule>
    <cfRule type="expression" priority="993" dxfId="0">
      <formula>AND(IF($Q59=3,1,IF($Q59=4,1,0)),IF($F59&lt;=85,1,0))</formula>
    </cfRule>
  </conditionalFormatting>
  <conditionalFormatting sqref="X59">
    <cfRule type="expression" priority="986" dxfId="3">
      <formula>AND(IF(OR($Q59=1,$Q59=2),1,0),IF($X59&lt;=20,1,0))</formula>
    </cfRule>
    <cfRule type="expression" priority="987" dxfId="2">
      <formula>AND(IF($Q59=2,1,0),IF($X59&lt;30,1,0))</formula>
    </cfRule>
    <cfRule type="expression" priority="988" dxfId="1">
      <formula>AND(IF($Q59=3,1,0),IF($X59&lt;30,1,0))</formula>
    </cfRule>
    <cfRule type="expression" priority="989" dxfId="0">
      <formula>AND(IF($Q59=3,1,IF($Q59=4,1,0)),IF($F59&lt;=85,1,0))</formula>
    </cfRule>
  </conditionalFormatting>
  <conditionalFormatting sqref="AI59">
    <cfRule type="expression" priority="982" dxfId="3">
      <formula>AND(IF(OR($Q59=1,$Q59=2),1,0),IF($X59&lt;=20,1,0))</formula>
    </cfRule>
    <cfRule type="expression" priority="983" dxfId="2">
      <formula>AND(IF($Q59=2,1,0),IF($X59&lt;30,1,0))</formula>
    </cfRule>
    <cfRule type="expression" priority="984" dxfId="1">
      <formula>AND(IF($Q59=3,1,0),IF($X59&lt;30,1,0))</formula>
    </cfRule>
    <cfRule type="expression" priority="985" dxfId="0">
      <formula>AND(IF($Q59=3,1,IF($Q59=4,1,0)),IF($F59&lt;=85,1,0))</formula>
    </cfRule>
  </conditionalFormatting>
  <conditionalFormatting sqref="AV60">
    <cfRule type="expression" priority="980" dxfId="17">
      <formula>AV60="X"</formula>
    </cfRule>
    <cfRule type="expression" priority="981" dxfId="16">
      <formula>AV60="후보"</formula>
    </cfRule>
  </conditionalFormatting>
  <conditionalFormatting sqref="AC6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6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60">
    <cfRule type="expression" priority="971" dxfId="3">
      <formula>AND(IF(OR($Q60=1,$Q60=2),1,0),IF($X60&lt;=20,1,0))</formula>
    </cfRule>
    <cfRule type="expression" priority="972" dxfId="2">
      <formula>AND(IF($Q60=2,1,0),IF($X60&lt;30,1,0))</formula>
    </cfRule>
    <cfRule type="expression" priority="973" dxfId="1">
      <formula>AND(IF($Q60=3,1,0),IF($X60&lt;30,1,0))</formula>
    </cfRule>
    <cfRule type="expression" priority="974" dxfId="0">
      <formula>AND(IF($Q60=3,1,IF($Q60=4,1,0)),IF($F60&lt;=85,1,0))</formula>
    </cfRule>
  </conditionalFormatting>
  <conditionalFormatting sqref="X60">
    <cfRule type="expression" priority="967" dxfId="3">
      <formula>AND(IF(OR($Q60=1,$Q60=2),1,0),IF($X60&lt;=20,1,0))</formula>
    </cfRule>
    <cfRule type="expression" priority="968" dxfId="2">
      <formula>AND(IF($Q60=2,1,0),IF($X60&lt;30,1,0))</formula>
    </cfRule>
    <cfRule type="expression" priority="969" dxfId="1">
      <formula>AND(IF($Q60=3,1,0),IF($X60&lt;30,1,0))</formula>
    </cfRule>
    <cfRule type="expression" priority="970" dxfId="0">
      <formula>AND(IF($Q60=3,1,IF($Q60=4,1,0)),IF($F60&lt;=85,1,0))</formula>
    </cfRule>
  </conditionalFormatting>
  <conditionalFormatting sqref="AI60">
    <cfRule type="expression" priority="963" dxfId="3">
      <formula>AND(IF(OR($Q60=1,$Q60=2),1,0),IF($X60&lt;=20,1,0))</formula>
    </cfRule>
    <cfRule type="expression" priority="964" dxfId="2">
      <formula>AND(IF($Q60=2,1,0),IF($X60&lt;30,1,0))</formula>
    </cfRule>
    <cfRule type="expression" priority="965" dxfId="1">
      <formula>AND(IF($Q60=3,1,0),IF($X60&lt;30,1,0))</formula>
    </cfRule>
    <cfRule type="expression" priority="966" dxfId="0">
      <formula>AND(IF($Q60=3,1,IF($Q60=4,1,0)),IF($F60&lt;=85,1,0))</formula>
    </cfRule>
  </conditionalFormatting>
  <conditionalFormatting sqref="AV61">
    <cfRule type="expression" priority="961" dxfId="17">
      <formula>AV61="X"</formula>
    </cfRule>
    <cfRule type="expression" priority="962" dxfId="16">
      <formula>AV61="후보"</formula>
    </cfRule>
  </conditionalFormatting>
  <conditionalFormatting sqref="AC6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6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61">
    <cfRule type="expression" priority="952" dxfId="3">
      <formula>AND(IF(OR($Q61=1,$Q61=2),1,0),IF($X61&lt;=20,1,0))</formula>
    </cfRule>
    <cfRule type="expression" priority="953" dxfId="2">
      <formula>AND(IF($Q61=2,1,0),IF($X61&lt;30,1,0))</formula>
    </cfRule>
    <cfRule type="expression" priority="954" dxfId="1">
      <formula>AND(IF($Q61=3,1,0),IF($X61&lt;30,1,0))</formula>
    </cfRule>
    <cfRule type="expression" priority="955" dxfId="0">
      <formula>AND(IF($Q61=3,1,IF($Q61=4,1,0)),IF($F61&lt;=85,1,0))</formula>
    </cfRule>
  </conditionalFormatting>
  <conditionalFormatting sqref="X61">
    <cfRule type="expression" priority="948" dxfId="3">
      <formula>AND(IF(OR($Q61=1,$Q61=2),1,0),IF($X61&lt;=20,1,0))</formula>
    </cfRule>
    <cfRule type="expression" priority="949" dxfId="2">
      <formula>AND(IF($Q61=2,1,0),IF($X61&lt;30,1,0))</formula>
    </cfRule>
    <cfRule type="expression" priority="950" dxfId="1">
      <formula>AND(IF($Q61=3,1,0),IF($X61&lt;30,1,0))</formula>
    </cfRule>
    <cfRule type="expression" priority="951" dxfId="0">
      <formula>AND(IF($Q61=3,1,IF($Q61=4,1,0)),IF($F61&lt;=85,1,0))</formula>
    </cfRule>
  </conditionalFormatting>
  <conditionalFormatting sqref="AI61">
    <cfRule type="expression" priority="944" dxfId="3">
      <formula>AND(IF(OR($Q61=1,$Q61=2),1,0),IF($X61&lt;=20,1,0))</formula>
    </cfRule>
    <cfRule type="expression" priority="945" dxfId="2">
      <formula>AND(IF($Q61=2,1,0),IF($X61&lt;30,1,0))</formula>
    </cfRule>
    <cfRule type="expression" priority="946" dxfId="1">
      <formula>AND(IF($Q61=3,1,0),IF($X61&lt;30,1,0))</formula>
    </cfRule>
    <cfRule type="expression" priority="947" dxfId="0">
      <formula>AND(IF($Q61=3,1,IF($Q61=4,1,0)),IF($F61&lt;=85,1,0))</formula>
    </cfRule>
  </conditionalFormatting>
  <conditionalFormatting sqref="AV62">
    <cfRule type="expression" priority="942" dxfId="17">
      <formula>AV62="X"</formula>
    </cfRule>
    <cfRule type="expression" priority="943" dxfId="16">
      <formula>AV62="후보"</formula>
    </cfRule>
  </conditionalFormatting>
  <conditionalFormatting sqref="AC6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62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62">
    <cfRule type="expression" priority="933" dxfId="3">
      <formula>AND(IF(OR($Q62=1,$Q62=2),1,0),IF($X62&lt;=20,1,0))</formula>
    </cfRule>
    <cfRule type="expression" priority="934" dxfId="2">
      <formula>AND(IF($Q62=2,1,0),IF($X62&lt;30,1,0))</formula>
    </cfRule>
    <cfRule type="expression" priority="935" dxfId="1">
      <formula>AND(IF($Q62=3,1,0),IF($X62&lt;30,1,0))</formula>
    </cfRule>
    <cfRule type="expression" priority="936" dxfId="0">
      <formula>AND(IF($Q62=3,1,IF($Q62=4,1,0)),IF($F62&lt;=85,1,0))</formula>
    </cfRule>
  </conditionalFormatting>
  <conditionalFormatting sqref="X62">
    <cfRule type="expression" priority="929" dxfId="3">
      <formula>AND(IF(OR($Q62=1,$Q62=2),1,0),IF($X62&lt;=20,1,0))</formula>
    </cfRule>
    <cfRule type="expression" priority="930" dxfId="2">
      <formula>AND(IF($Q62=2,1,0),IF($X62&lt;30,1,0))</formula>
    </cfRule>
    <cfRule type="expression" priority="931" dxfId="1">
      <formula>AND(IF($Q62=3,1,0),IF($X62&lt;30,1,0))</formula>
    </cfRule>
    <cfRule type="expression" priority="932" dxfId="0">
      <formula>AND(IF($Q62=3,1,IF($Q62=4,1,0)),IF($F62&lt;=85,1,0))</formula>
    </cfRule>
  </conditionalFormatting>
  <conditionalFormatting sqref="AI62">
    <cfRule type="expression" priority="925" dxfId="3">
      <formula>AND(IF(OR($Q62=1,$Q62=2),1,0),IF($X62&lt;=20,1,0))</formula>
    </cfRule>
    <cfRule type="expression" priority="926" dxfId="2">
      <formula>AND(IF($Q62=2,1,0),IF($X62&lt;30,1,0))</formula>
    </cfRule>
    <cfRule type="expression" priority="927" dxfId="1">
      <formula>AND(IF($Q62=3,1,0),IF($X62&lt;30,1,0))</formula>
    </cfRule>
    <cfRule type="expression" priority="928" dxfId="0">
      <formula>AND(IF($Q62=3,1,IF($Q62=4,1,0)),IF($F62&lt;=85,1,0))</formula>
    </cfRule>
  </conditionalFormatting>
  <conditionalFormatting sqref="AV63">
    <cfRule type="expression" priority="923" dxfId="17">
      <formula>AV63="X"</formula>
    </cfRule>
    <cfRule type="expression" priority="924" dxfId="16">
      <formula>AV63="후보"</formula>
    </cfRule>
  </conditionalFormatting>
  <conditionalFormatting sqref="AC63 N63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64">
    <cfRule type="expression" priority="918" dxfId="17">
      <formula>AV64="X"</formula>
    </cfRule>
    <cfRule type="expression" priority="919" dxfId="16">
      <formula>AV64="후보"</formula>
    </cfRule>
  </conditionalFormatting>
  <conditionalFormatting sqref="AC6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4">
    <cfRule type="expression" priority="909" dxfId="3">
      <formula>AND(IF(OR($Q64=1,$Q64=2),1,0),IF($X64&lt;=20,1,0))</formula>
    </cfRule>
    <cfRule type="expression" priority="910" dxfId="2">
      <formula>AND(IF($Q64=2,1,0),IF($X64&lt;30,1,0))</formula>
    </cfRule>
    <cfRule type="expression" priority="911" dxfId="1">
      <formula>AND(IF($Q64=3,1,0),IF($X64&lt;30,1,0))</formula>
    </cfRule>
    <cfRule type="expression" priority="912" dxfId="0">
      <formula>AND(IF($Q64=3,1,IF($Q64=4,1,0)),IF($F64&lt;=85,1,0))</formula>
    </cfRule>
  </conditionalFormatting>
  <conditionalFormatting sqref="X64">
    <cfRule type="expression" priority="905" dxfId="3">
      <formula>AND(IF(OR($Q64=1,$Q64=2),1,0),IF($X64&lt;=20,1,0))</formula>
    </cfRule>
    <cfRule type="expression" priority="906" dxfId="2">
      <formula>AND(IF($Q64=2,1,0),IF($X64&lt;30,1,0))</formula>
    </cfRule>
    <cfRule type="expression" priority="907" dxfId="1">
      <formula>AND(IF($Q64=3,1,0),IF($X64&lt;30,1,0))</formula>
    </cfRule>
    <cfRule type="expression" priority="908" dxfId="0">
      <formula>AND(IF($Q64=3,1,IF($Q64=4,1,0)),IF($F64&lt;=85,1,0))</formula>
    </cfRule>
  </conditionalFormatting>
  <conditionalFormatting sqref="AI64">
    <cfRule type="expression" priority="901" dxfId="3">
      <formula>AND(IF(OR($Q64=1,$Q64=2),1,0),IF($X64&lt;=20,1,0))</formula>
    </cfRule>
    <cfRule type="expression" priority="902" dxfId="2">
      <formula>AND(IF($Q64=2,1,0),IF($X64&lt;30,1,0))</formula>
    </cfRule>
    <cfRule type="expression" priority="903" dxfId="1">
      <formula>AND(IF($Q64=3,1,0),IF($X64&lt;30,1,0))</formula>
    </cfRule>
    <cfRule type="expression" priority="904" dxfId="0">
      <formula>AND(IF($Q64=3,1,IF($Q64=4,1,0)),IF($F64&lt;=85,1,0))</formula>
    </cfRule>
  </conditionalFormatting>
  <conditionalFormatting sqref="AV65">
    <cfRule type="expression" priority="899" dxfId="17">
      <formula>AV65="X"</formula>
    </cfRule>
    <cfRule type="expression" priority="900" dxfId="16">
      <formula>AV65="후보"</formula>
    </cfRule>
  </conditionalFormatting>
  <conditionalFormatting sqref="AC6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5">
    <cfRule type="expression" priority="890" dxfId="3">
      <formula>AND(IF(OR($Q65=1,$Q65=2),1,0),IF($X65&lt;=20,1,0))</formula>
    </cfRule>
    <cfRule type="expression" priority="891" dxfId="2">
      <formula>AND(IF($Q65=2,1,0),IF($X65&lt;30,1,0))</formula>
    </cfRule>
    <cfRule type="expression" priority="892" dxfId="1">
      <formula>AND(IF($Q65=3,1,0),IF($X65&lt;30,1,0))</formula>
    </cfRule>
    <cfRule type="expression" priority="893" dxfId="0">
      <formula>AND(IF($Q65=3,1,IF($Q65=4,1,0)),IF($F65&lt;=85,1,0))</formula>
    </cfRule>
  </conditionalFormatting>
  <conditionalFormatting sqref="X65">
    <cfRule type="expression" priority="886" dxfId="3">
      <formula>AND(IF(OR($Q65=1,$Q65=2),1,0),IF($X65&lt;=20,1,0))</formula>
    </cfRule>
    <cfRule type="expression" priority="887" dxfId="2">
      <formula>AND(IF($Q65=2,1,0),IF($X65&lt;30,1,0))</formula>
    </cfRule>
    <cfRule type="expression" priority="888" dxfId="1">
      <formula>AND(IF($Q65=3,1,0),IF($X65&lt;30,1,0))</formula>
    </cfRule>
    <cfRule type="expression" priority="889" dxfId="0">
      <formula>AND(IF($Q65=3,1,IF($Q65=4,1,0)),IF($F65&lt;=85,1,0))</formula>
    </cfRule>
  </conditionalFormatting>
  <conditionalFormatting sqref="AI65">
    <cfRule type="expression" priority="882" dxfId="3">
      <formula>AND(IF(OR($Q65=1,$Q65=2),1,0),IF($X65&lt;=20,1,0))</formula>
    </cfRule>
    <cfRule type="expression" priority="883" dxfId="2">
      <formula>AND(IF($Q65=2,1,0),IF($X65&lt;30,1,0))</formula>
    </cfRule>
    <cfRule type="expression" priority="884" dxfId="1">
      <formula>AND(IF($Q65=3,1,0),IF($X65&lt;30,1,0))</formula>
    </cfRule>
    <cfRule type="expression" priority="885" dxfId="0">
      <formula>AND(IF($Q65=3,1,IF($Q65=4,1,0)),IF($F65&lt;=85,1,0))</formula>
    </cfRule>
  </conditionalFormatting>
  <conditionalFormatting sqref="AV66">
    <cfRule type="expression" priority="880" dxfId="17">
      <formula>AV66="X"</formula>
    </cfRule>
    <cfRule type="expression" priority="881" dxfId="16">
      <formula>AV66="후보"</formula>
    </cfRule>
  </conditionalFormatting>
  <conditionalFormatting sqref="AC6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6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66">
    <cfRule type="expression" priority="871" dxfId="3">
      <formula>AND(IF(OR($Q66=1,$Q66=2),1,0),IF($X66&lt;=20,1,0))</formula>
    </cfRule>
    <cfRule type="expression" priority="872" dxfId="2">
      <formula>AND(IF($Q66=2,1,0),IF($X66&lt;30,1,0))</formula>
    </cfRule>
    <cfRule type="expression" priority="873" dxfId="1">
      <formula>AND(IF($Q66=3,1,0),IF($X66&lt;30,1,0))</formula>
    </cfRule>
    <cfRule type="expression" priority="874" dxfId="0">
      <formula>AND(IF($Q66=3,1,IF($Q66=4,1,0)),IF($F66&lt;=85,1,0))</formula>
    </cfRule>
  </conditionalFormatting>
  <conditionalFormatting sqref="X66">
    <cfRule type="expression" priority="867" dxfId="3">
      <formula>AND(IF(OR($Q66=1,$Q66=2),1,0),IF($X66&lt;=20,1,0))</formula>
    </cfRule>
    <cfRule type="expression" priority="868" dxfId="2">
      <formula>AND(IF($Q66=2,1,0),IF($X66&lt;30,1,0))</formula>
    </cfRule>
    <cfRule type="expression" priority="869" dxfId="1">
      <formula>AND(IF($Q66=3,1,0),IF($X66&lt;30,1,0))</formula>
    </cfRule>
    <cfRule type="expression" priority="870" dxfId="0">
      <formula>AND(IF($Q66=3,1,IF($Q66=4,1,0)),IF($F66&lt;=85,1,0))</formula>
    </cfRule>
  </conditionalFormatting>
  <conditionalFormatting sqref="AI66">
    <cfRule type="expression" priority="863" dxfId="3">
      <formula>AND(IF(OR($Q66=1,$Q66=2),1,0),IF($X66&lt;=20,1,0))</formula>
    </cfRule>
    <cfRule type="expression" priority="864" dxfId="2">
      <formula>AND(IF($Q66=2,1,0),IF($X66&lt;30,1,0))</formula>
    </cfRule>
    <cfRule type="expression" priority="865" dxfId="1">
      <formula>AND(IF($Q66=3,1,0),IF($X66&lt;30,1,0))</formula>
    </cfRule>
    <cfRule type="expression" priority="866" dxfId="0">
      <formula>AND(IF($Q66=3,1,IF($Q66=4,1,0)),IF($F66&lt;=85,1,0))</formula>
    </cfRule>
  </conditionalFormatting>
  <conditionalFormatting sqref="AV67">
    <cfRule type="expression" priority="861" dxfId="17">
      <formula>AV67="X"</formula>
    </cfRule>
    <cfRule type="expression" priority="862" dxfId="16">
      <formula>AV67="후보"</formula>
    </cfRule>
  </conditionalFormatting>
  <conditionalFormatting sqref="AC6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6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67">
    <cfRule type="expression" priority="852" dxfId="3">
      <formula>AND(IF(OR($Q67=1,$Q67=2),1,0),IF($X67&lt;=20,1,0))</formula>
    </cfRule>
    <cfRule type="expression" priority="853" dxfId="2">
      <formula>AND(IF($Q67=2,1,0),IF($X67&lt;30,1,0))</formula>
    </cfRule>
    <cfRule type="expression" priority="854" dxfId="1">
      <formula>AND(IF($Q67=3,1,0),IF($X67&lt;30,1,0))</formula>
    </cfRule>
    <cfRule type="expression" priority="855" dxfId="0">
      <formula>AND(IF($Q67=3,1,IF($Q67=4,1,0)),IF($F67&lt;=85,1,0))</formula>
    </cfRule>
  </conditionalFormatting>
  <conditionalFormatting sqref="X67">
    <cfRule type="expression" priority="848" dxfId="3">
      <formula>AND(IF(OR($Q67=1,$Q67=2),1,0),IF($X67&lt;=20,1,0))</formula>
    </cfRule>
    <cfRule type="expression" priority="849" dxfId="2">
      <formula>AND(IF($Q67=2,1,0),IF($X67&lt;30,1,0))</formula>
    </cfRule>
    <cfRule type="expression" priority="850" dxfId="1">
      <formula>AND(IF($Q67=3,1,0),IF($X67&lt;30,1,0))</formula>
    </cfRule>
    <cfRule type="expression" priority="851" dxfId="0">
      <formula>AND(IF($Q67=3,1,IF($Q67=4,1,0)),IF($F67&lt;=85,1,0))</formula>
    </cfRule>
  </conditionalFormatting>
  <conditionalFormatting sqref="AI67">
    <cfRule type="expression" priority="844" dxfId="3">
      <formula>AND(IF(OR($Q67=1,$Q67=2),1,0),IF($X67&lt;=20,1,0))</formula>
    </cfRule>
    <cfRule type="expression" priority="845" dxfId="2">
      <formula>AND(IF($Q67=2,1,0),IF($X67&lt;30,1,0))</formula>
    </cfRule>
    <cfRule type="expression" priority="846" dxfId="1">
      <formula>AND(IF($Q67=3,1,0),IF($X67&lt;30,1,0))</formula>
    </cfRule>
    <cfRule type="expression" priority="847" dxfId="0">
      <formula>AND(IF($Q67=3,1,IF($Q67=4,1,0)),IF($F67&lt;=85,1,0))</formula>
    </cfRule>
  </conditionalFormatting>
  <conditionalFormatting sqref="AV68">
    <cfRule type="expression" priority="842" dxfId="17">
      <formula>AV68="X"</formula>
    </cfRule>
    <cfRule type="expression" priority="843" dxfId="16">
      <formula>AV68="후보"</formula>
    </cfRule>
  </conditionalFormatting>
  <conditionalFormatting sqref="AC6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68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68">
    <cfRule type="expression" priority="833" dxfId="3">
      <formula>AND(IF(OR($Q68=1,$Q68=2),1,0),IF($X68&lt;=20,1,0))</formula>
    </cfRule>
    <cfRule type="expression" priority="834" dxfId="2">
      <formula>AND(IF($Q68=2,1,0),IF($X68&lt;30,1,0))</formula>
    </cfRule>
    <cfRule type="expression" priority="835" dxfId="1">
      <formula>AND(IF($Q68=3,1,0),IF($X68&lt;30,1,0))</formula>
    </cfRule>
    <cfRule type="expression" priority="836" dxfId="0">
      <formula>AND(IF($Q68=3,1,IF($Q68=4,1,0)),IF($F68&lt;=85,1,0))</formula>
    </cfRule>
  </conditionalFormatting>
  <conditionalFormatting sqref="X68">
    <cfRule type="expression" priority="829" dxfId="3">
      <formula>AND(IF(OR($Q68=1,$Q68=2),1,0),IF($X68&lt;=20,1,0))</formula>
    </cfRule>
    <cfRule type="expression" priority="830" dxfId="2">
      <formula>AND(IF($Q68=2,1,0),IF($X68&lt;30,1,0))</formula>
    </cfRule>
    <cfRule type="expression" priority="831" dxfId="1">
      <formula>AND(IF($Q68=3,1,0),IF($X68&lt;30,1,0))</formula>
    </cfRule>
    <cfRule type="expression" priority="832" dxfId="0">
      <formula>AND(IF($Q68=3,1,IF($Q68=4,1,0)),IF($F68&lt;=85,1,0))</formula>
    </cfRule>
  </conditionalFormatting>
  <conditionalFormatting sqref="AI68">
    <cfRule type="expression" priority="825" dxfId="3">
      <formula>AND(IF(OR($Q68=1,$Q68=2),1,0),IF($X68&lt;=20,1,0))</formula>
    </cfRule>
    <cfRule type="expression" priority="826" dxfId="2">
      <formula>AND(IF($Q68=2,1,0),IF($X68&lt;30,1,0))</formula>
    </cfRule>
    <cfRule type="expression" priority="827" dxfId="1">
      <formula>AND(IF($Q68=3,1,0),IF($X68&lt;30,1,0))</formula>
    </cfRule>
    <cfRule type="expression" priority="828" dxfId="0">
      <formula>AND(IF($Q68=3,1,IF($Q68=4,1,0)),IF($F68&lt;=85,1,0))</formula>
    </cfRule>
  </conditionalFormatting>
  <conditionalFormatting sqref="AV69">
    <cfRule type="expression" priority="823" dxfId="17">
      <formula>AV69="X"</formula>
    </cfRule>
    <cfRule type="expression" priority="824" dxfId="16">
      <formula>AV69="후보"</formula>
    </cfRule>
  </conditionalFormatting>
  <conditionalFormatting sqref="AC6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6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69">
    <cfRule type="expression" priority="814" dxfId="3">
      <formula>AND(IF(OR($Q69=1,$Q69=2),1,0),IF($X69&lt;=20,1,0))</formula>
    </cfRule>
    <cfRule type="expression" priority="815" dxfId="2">
      <formula>AND(IF($Q69=2,1,0),IF($X69&lt;30,1,0))</formula>
    </cfRule>
    <cfRule type="expression" priority="816" dxfId="1">
      <formula>AND(IF($Q69=3,1,0),IF($X69&lt;30,1,0))</formula>
    </cfRule>
    <cfRule type="expression" priority="817" dxfId="0">
      <formula>AND(IF($Q69=3,1,IF($Q69=4,1,0)),IF($F69&lt;=85,1,0))</formula>
    </cfRule>
  </conditionalFormatting>
  <conditionalFormatting sqref="X69">
    <cfRule type="expression" priority="810" dxfId="3">
      <formula>AND(IF(OR($Q69=1,$Q69=2),1,0),IF($X69&lt;=20,1,0))</formula>
    </cfRule>
    <cfRule type="expression" priority="811" dxfId="2">
      <formula>AND(IF($Q69=2,1,0),IF($X69&lt;30,1,0))</formula>
    </cfRule>
    <cfRule type="expression" priority="812" dxfId="1">
      <formula>AND(IF($Q69=3,1,0),IF($X69&lt;30,1,0))</formula>
    </cfRule>
    <cfRule type="expression" priority="813" dxfId="0">
      <formula>AND(IF($Q69=3,1,IF($Q69=4,1,0)),IF($F69&lt;=85,1,0))</formula>
    </cfRule>
  </conditionalFormatting>
  <conditionalFormatting sqref="AI69">
    <cfRule type="expression" priority="806" dxfId="3">
      <formula>AND(IF(OR($Q69=1,$Q69=2),1,0),IF($X69&lt;=20,1,0))</formula>
    </cfRule>
    <cfRule type="expression" priority="807" dxfId="2">
      <formula>AND(IF($Q69=2,1,0),IF($X69&lt;30,1,0))</formula>
    </cfRule>
    <cfRule type="expression" priority="808" dxfId="1">
      <formula>AND(IF($Q69=3,1,0),IF($X69&lt;30,1,0))</formula>
    </cfRule>
    <cfRule type="expression" priority="809" dxfId="0">
      <formula>AND(IF($Q69=3,1,IF($Q69=4,1,0)),IF($F69&lt;=85,1,0))</formula>
    </cfRule>
  </conditionalFormatting>
  <conditionalFormatting sqref="AV70">
    <cfRule type="expression" priority="804" dxfId="17">
      <formula>AV70="X"</formula>
    </cfRule>
    <cfRule type="expression" priority="805" dxfId="16">
      <formula>AV70="후보"</formula>
    </cfRule>
  </conditionalFormatting>
  <conditionalFormatting sqref="AC7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7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70">
    <cfRule type="expression" priority="795" dxfId="3">
      <formula>AND(IF(OR($Q70=1,$Q70=2),1,0),IF($X70&lt;=20,1,0))</formula>
    </cfRule>
    <cfRule type="expression" priority="796" dxfId="2">
      <formula>AND(IF($Q70=2,1,0),IF($X70&lt;30,1,0))</formula>
    </cfRule>
    <cfRule type="expression" priority="797" dxfId="1">
      <formula>AND(IF($Q70=3,1,0),IF($X70&lt;30,1,0))</formula>
    </cfRule>
    <cfRule type="expression" priority="798" dxfId="0">
      <formula>AND(IF($Q70=3,1,IF($Q70=4,1,0)),IF($F70&lt;=85,1,0))</formula>
    </cfRule>
  </conditionalFormatting>
  <conditionalFormatting sqref="X70">
    <cfRule type="expression" priority="791" dxfId="3">
      <formula>AND(IF(OR($Q70=1,$Q70=2),1,0),IF($X70&lt;=20,1,0))</formula>
    </cfRule>
    <cfRule type="expression" priority="792" dxfId="2">
      <formula>AND(IF($Q70=2,1,0),IF($X70&lt;30,1,0))</formula>
    </cfRule>
    <cfRule type="expression" priority="793" dxfId="1">
      <formula>AND(IF($Q70=3,1,0),IF($X70&lt;30,1,0))</formula>
    </cfRule>
    <cfRule type="expression" priority="794" dxfId="0">
      <formula>AND(IF($Q70=3,1,IF($Q70=4,1,0)),IF($F70&lt;=85,1,0))</formula>
    </cfRule>
  </conditionalFormatting>
  <conditionalFormatting sqref="AI70">
    <cfRule type="expression" priority="787" dxfId="3">
      <formula>AND(IF(OR($Q70=1,$Q70=2),1,0),IF($X70&lt;=20,1,0))</formula>
    </cfRule>
    <cfRule type="expression" priority="788" dxfId="2">
      <formula>AND(IF($Q70=2,1,0),IF($X70&lt;30,1,0))</formula>
    </cfRule>
    <cfRule type="expression" priority="789" dxfId="1">
      <formula>AND(IF($Q70=3,1,0),IF($X70&lt;30,1,0))</formula>
    </cfRule>
    <cfRule type="expression" priority="790" dxfId="0">
      <formula>AND(IF($Q70=3,1,IF($Q70=4,1,0)),IF($F70&lt;=85,1,0))</formula>
    </cfRule>
  </conditionalFormatting>
  <conditionalFormatting sqref="AV71">
    <cfRule type="expression" priority="785" dxfId="17">
      <formula>AV71="X"</formula>
    </cfRule>
    <cfRule type="expression" priority="786" dxfId="16">
      <formula>AV71="후보"</formula>
    </cfRule>
  </conditionalFormatting>
  <conditionalFormatting sqref="AC7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7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17">
      <formula>AV72="X"</formula>
    </cfRule>
    <cfRule type="expression" priority="767" dxfId="16">
      <formula>AV72="후보"</formula>
    </cfRule>
  </conditionalFormatting>
  <conditionalFormatting sqref="AC72 N7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73">
    <cfRule type="expression" priority="761" dxfId="17">
      <formula>AV73="X"</formula>
    </cfRule>
    <cfRule type="expression" priority="762" dxfId="16">
      <formula>AV73="후보"</formula>
    </cfRule>
  </conditionalFormatting>
  <conditionalFormatting sqref="AC7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7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73">
    <cfRule type="expression" priority="752" dxfId="3">
      <formula>AND(IF(OR($Q73=1,$Q73=2),1,0),IF($X73&lt;=20,1,0))</formula>
    </cfRule>
    <cfRule type="expression" priority="753" dxfId="2">
      <formula>AND(IF($Q73=2,1,0),IF($X73&lt;30,1,0))</formula>
    </cfRule>
    <cfRule type="expression" priority="754" dxfId="1">
      <formula>AND(IF($Q73=3,1,0),IF($X73&lt;30,1,0))</formula>
    </cfRule>
    <cfRule type="expression" priority="755" dxfId="0">
      <formula>AND(IF($Q73=3,1,IF($Q73=4,1,0)),IF($F73&lt;=85,1,0))</formula>
    </cfRule>
  </conditionalFormatting>
  <conditionalFormatting sqref="X73">
    <cfRule type="expression" priority="748" dxfId="3">
      <formula>AND(IF(OR($Q73=1,$Q73=2),1,0),IF($X73&lt;=20,1,0))</formula>
    </cfRule>
    <cfRule type="expression" priority="749" dxfId="2">
      <formula>AND(IF($Q73=2,1,0),IF($X73&lt;30,1,0))</formula>
    </cfRule>
    <cfRule type="expression" priority="750" dxfId="1">
      <formula>AND(IF($Q73=3,1,0),IF($X73&lt;30,1,0))</formula>
    </cfRule>
    <cfRule type="expression" priority="751" dxfId="0">
      <formula>AND(IF($Q73=3,1,IF($Q73=4,1,0)),IF($F73&lt;=85,1,0))</formula>
    </cfRule>
  </conditionalFormatting>
  <conditionalFormatting sqref="AI73">
    <cfRule type="expression" priority="744" dxfId="3">
      <formula>AND(IF(OR($Q73=1,$Q73=2),1,0),IF($X73&lt;=20,1,0))</formula>
    </cfRule>
    <cfRule type="expression" priority="745" dxfId="2">
      <formula>AND(IF($Q73=2,1,0),IF($X73&lt;30,1,0))</formula>
    </cfRule>
    <cfRule type="expression" priority="746" dxfId="1">
      <formula>AND(IF($Q73=3,1,0),IF($X73&lt;30,1,0))</formula>
    </cfRule>
    <cfRule type="expression" priority="747" dxfId="0">
      <formula>AND(IF($Q73=3,1,IF($Q73=4,1,0)),IF($F73&lt;=85,1,0))</formula>
    </cfRule>
  </conditionalFormatting>
  <conditionalFormatting sqref="AV74">
    <cfRule type="expression" priority="742" dxfId="17">
      <formula>AV74="X"</formula>
    </cfRule>
    <cfRule type="expression" priority="743" dxfId="16">
      <formula>AV74="후보"</formula>
    </cfRule>
  </conditionalFormatting>
  <conditionalFormatting sqref="AC7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7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74">
    <cfRule type="expression" priority="733" dxfId="3">
      <formula>AND(IF(OR($Q74=1,$Q74=2),1,0),IF($X74&lt;=20,1,0))</formula>
    </cfRule>
    <cfRule type="expression" priority="734" dxfId="2">
      <formula>AND(IF($Q74=2,1,0),IF($X74&lt;30,1,0))</formula>
    </cfRule>
    <cfRule type="expression" priority="735" dxfId="1">
      <formula>AND(IF($Q74=3,1,0),IF($X74&lt;30,1,0))</formula>
    </cfRule>
    <cfRule type="expression" priority="736" dxfId="0">
      <formula>AND(IF($Q74=3,1,IF($Q74=4,1,0)),IF($F74&lt;=85,1,0))</formula>
    </cfRule>
  </conditionalFormatting>
  <conditionalFormatting sqref="X74">
    <cfRule type="expression" priority="729" dxfId="3">
      <formula>AND(IF(OR($Q74=1,$Q74=2),1,0),IF($X74&lt;=20,1,0))</formula>
    </cfRule>
    <cfRule type="expression" priority="730" dxfId="2">
      <formula>AND(IF($Q74=2,1,0),IF($X74&lt;30,1,0))</formula>
    </cfRule>
    <cfRule type="expression" priority="731" dxfId="1">
      <formula>AND(IF($Q74=3,1,0),IF($X74&lt;30,1,0))</formula>
    </cfRule>
    <cfRule type="expression" priority="732" dxfId="0">
      <formula>AND(IF($Q74=3,1,IF($Q74=4,1,0)),IF($F74&lt;=85,1,0))</formula>
    </cfRule>
  </conditionalFormatting>
  <conditionalFormatting sqref="AI74">
    <cfRule type="expression" priority="725" dxfId="3">
      <formula>AND(IF(OR($Q74=1,$Q74=2),1,0),IF($X74&lt;=20,1,0))</formula>
    </cfRule>
    <cfRule type="expression" priority="726" dxfId="2">
      <formula>AND(IF($Q74=2,1,0),IF($X74&lt;30,1,0))</formula>
    </cfRule>
    <cfRule type="expression" priority="727" dxfId="1">
      <formula>AND(IF($Q74=3,1,0),IF($X74&lt;30,1,0))</formula>
    </cfRule>
    <cfRule type="expression" priority="728" dxfId="0">
      <formula>AND(IF($Q74=3,1,IF($Q74=4,1,0)),IF($F74&lt;=85,1,0))</formula>
    </cfRule>
  </conditionalFormatting>
  <conditionalFormatting sqref="AV75">
    <cfRule type="expression" priority="723" dxfId="17">
      <formula>AV75="X"</formula>
    </cfRule>
    <cfRule type="expression" priority="724" dxfId="16">
      <formula>AV75="후보"</formula>
    </cfRule>
  </conditionalFormatting>
  <conditionalFormatting sqref="AC7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75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75">
    <cfRule type="expression" priority="714" dxfId="3">
      <formula>AND(IF(OR($Q75=1,$Q75=2),1,0),IF($X75&lt;=20,1,0))</formula>
    </cfRule>
    <cfRule type="expression" priority="715" dxfId="2">
      <formula>AND(IF($Q75=2,1,0),IF($X75&lt;30,1,0))</formula>
    </cfRule>
    <cfRule type="expression" priority="716" dxfId="1">
      <formula>AND(IF($Q75=3,1,0),IF($X75&lt;30,1,0))</formula>
    </cfRule>
    <cfRule type="expression" priority="717" dxfId="0">
      <formula>AND(IF($Q75=3,1,IF($Q75=4,1,0)),IF($F75&lt;=85,1,0))</formula>
    </cfRule>
  </conditionalFormatting>
  <conditionalFormatting sqref="X75">
    <cfRule type="expression" priority="710" dxfId="3">
      <formula>AND(IF(OR($Q75=1,$Q75=2),1,0),IF($X75&lt;=20,1,0))</formula>
    </cfRule>
    <cfRule type="expression" priority="711" dxfId="2">
      <formula>AND(IF($Q75=2,1,0),IF($X75&lt;30,1,0))</formula>
    </cfRule>
    <cfRule type="expression" priority="712" dxfId="1">
      <formula>AND(IF($Q75=3,1,0),IF($X75&lt;30,1,0))</formula>
    </cfRule>
    <cfRule type="expression" priority="713" dxfId="0">
      <formula>AND(IF($Q75=3,1,IF($Q75=4,1,0)),IF($F75&lt;=85,1,0))</formula>
    </cfRule>
  </conditionalFormatting>
  <conditionalFormatting sqref="AI75">
    <cfRule type="expression" priority="706" dxfId="3">
      <formula>AND(IF(OR($Q75=1,$Q75=2),1,0),IF($X75&lt;=20,1,0))</formula>
    </cfRule>
    <cfRule type="expression" priority="707" dxfId="2">
      <formula>AND(IF($Q75=2,1,0),IF($X75&lt;30,1,0))</formula>
    </cfRule>
    <cfRule type="expression" priority="708" dxfId="1">
      <formula>AND(IF($Q75=3,1,0),IF($X75&lt;30,1,0))</formula>
    </cfRule>
    <cfRule type="expression" priority="709" dxfId="0">
      <formula>AND(IF($Q75=3,1,IF($Q75=4,1,0)),IF($F75&lt;=85,1,0))</formula>
    </cfRule>
  </conditionalFormatting>
  <conditionalFormatting sqref="AV76">
    <cfRule type="expression" priority="704" dxfId="17">
      <formula>AV76="X"</formula>
    </cfRule>
    <cfRule type="expression" priority="705" dxfId="16">
      <formula>AV76="후보"</formula>
    </cfRule>
  </conditionalFormatting>
  <conditionalFormatting sqref="AC76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76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76">
    <cfRule type="expression" priority="695" dxfId="3">
      <formula>AND(IF(OR($Q76=1,$Q76=2),1,0),IF($X76&lt;=20,1,0))</formula>
    </cfRule>
    <cfRule type="expression" priority="696" dxfId="2">
      <formula>AND(IF($Q76=2,1,0),IF($X76&lt;30,1,0))</formula>
    </cfRule>
    <cfRule type="expression" priority="697" dxfId="1">
      <formula>AND(IF($Q76=3,1,0),IF($X76&lt;30,1,0))</formula>
    </cfRule>
    <cfRule type="expression" priority="698" dxfId="0">
      <formula>AND(IF($Q76=3,1,IF($Q76=4,1,0)),IF($F76&lt;=85,1,0))</formula>
    </cfRule>
  </conditionalFormatting>
  <conditionalFormatting sqref="X76">
    <cfRule type="expression" priority="691" dxfId="3">
      <formula>AND(IF(OR($Q76=1,$Q76=2),1,0),IF($X76&lt;=20,1,0))</formula>
    </cfRule>
    <cfRule type="expression" priority="692" dxfId="2">
      <formula>AND(IF($Q76=2,1,0),IF($X76&lt;30,1,0))</formula>
    </cfRule>
    <cfRule type="expression" priority="693" dxfId="1">
      <formula>AND(IF($Q76=3,1,0),IF($X76&lt;30,1,0))</formula>
    </cfRule>
    <cfRule type="expression" priority="694" dxfId="0">
      <formula>AND(IF($Q76=3,1,IF($Q76=4,1,0)),IF($F76&lt;=85,1,0))</formula>
    </cfRule>
  </conditionalFormatting>
  <conditionalFormatting sqref="AI76">
    <cfRule type="expression" priority="687" dxfId="3">
      <formula>AND(IF(OR($Q76=1,$Q76=2),1,0),IF($X76&lt;=20,1,0))</formula>
    </cfRule>
    <cfRule type="expression" priority="688" dxfId="2">
      <formula>AND(IF($Q76=2,1,0),IF($X76&lt;30,1,0))</formula>
    </cfRule>
    <cfRule type="expression" priority="689" dxfId="1">
      <formula>AND(IF($Q76=3,1,0),IF($X76&lt;30,1,0))</formula>
    </cfRule>
    <cfRule type="expression" priority="690" dxfId="0">
      <formula>AND(IF($Q76=3,1,IF($Q76=4,1,0)),IF($F76&lt;=85,1,0))</formula>
    </cfRule>
  </conditionalFormatting>
  <conditionalFormatting sqref="AV77">
    <cfRule type="expression" priority="685" dxfId="17">
      <formula>AV77="X"</formula>
    </cfRule>
    <cfRule type="expression" priority="686" dxfId="16">
      <formula>AV77="후보"</formula>
    </cfRule>
  </conditionalFormatting>
  <conditionalFormatting sqref="AC77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7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17">
      <formula>AV78="X"</formula>
    </cfRule>
    <cfRule type="expression" priority="667" dxfId="16">
      <formula>AV78="후보"</formula>
    </cfRule>
  </conditionalFormatting>
  <conditionalFormatting sqref="AC7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17">
      <formula>AV79="X"</formula>
    </cfRule>
    <cfRule type="expression" priority="648" dxfId="16">
      <formula>AV79="후보"</formula>
    </cfRule>
  </conditionalFormatting>
  <conditionalFormatting sqref="AC79 N79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80">
    <cfRule type="expression" priority="642" dxfId="17">
      <formula>AV80="X"</formula>
    </cfRule>
    <cfRule type="expression" priority="643" dxfId="16">
      <formula>AV80="후보"</formula>
    </cfRule>
  </conditionalFormatting>
  <conditionalFormatting sqref="AC8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8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80">
    <cfRule type="expression" priority="633" dxfId="3">
      <formula>AND(IF(OR($Q80=1,$Q80=2),1,0),IF($X80&lt;=20,1,0))</formula>
    </cfRule>
    <cfRule type="expression" priority="634" dxfId="2">
      <formula>AND(IF($Q80=2,1,0),IF($X80&lt;30,1,0))</formula>
    </cfRule>
    <cfRule type="expression" priority="635" dxfId="1">
      <formula>AND(IF($Q80=3,1,0),IF($X80&lt;30,1,0))</formula>
    </cfRule>
    <cfRule type="expression" priority="636" dxfId="0">
      <formula>AND(IF($Q80=3,1,IF($Q80=4,1,0)),IF($F80&lt;=85,1,0))</formula>
    </cfRule>
  </conditionalFormatting>
  <conditionalFormatting sqref="X80">
    <cfRule type="expression" priority="629" dxfId="3">
      <formula>AND(IF(OR($Q80=1,$Q80=2),1,0),IF($X80&lt;=20,1,0))</formula>
    </cfRule>
    <cfRule type="expression" priority="630" dxfId="2">
      <formula>AND(IF($Q80=2,1,0),IF($X80&lt;30,1,0))</formula>
    </cfRule>
    <cfRule type="expression" priority="631" dxfId="1">
      <formula>AND(IF($Q80=3,1,0),IF($X80&lt;30,1,0))</formula>
    </cfRule>
    <cfRule type="expression" priority="632" dxfId="0">
      <formula>AND(IF($Q80=3,1,IF($Q80=4,1,0)),IF($F80&lt;=85,1,0))</formula>
    </cfRule>
  </conditionalFormatting>
  <conditionalFormatting sqref="AI80">
    <cfRule type="expression" priority="625" dxfId="3">
      <formula>AND(IF(OR($Q80=1,$Q80=2),1,0),IF($X80&lt;=20,1,0))</formula>
    </cfRule>
    <cfRule type="expression" priority="626" dxfId="2">
      <formula>AND(IF($Q80=2,1,0),IF($X80&lt;30,1,0))</formula>
    </cfRule>
    <cfRule type="expression" priority="627" dxfId="1">
      <formula>AND(IF($Q80=3,1,0),IF($X80&lt;30,1,0))</formula>
    </cfRule>
    <cfRule type="expression" priority="628" dxfId="0">
      <formula>AND(IF($Q80=3,1,IF($Q80=4,1,0)),IF($F80&lt;=85,1,0))</formula>
    </cfRule>
  </conditionalFormatting>
  <conditionalFormatting sqref="AV81">
    <cfRule type="expression" priority="623" dxfId="17">
      <formula>AV81="X"</formula>
    </cfRule>
    <cfRule type="expression" priority="624" dxfId="16">
      <formula>AV81="후보"</formula>
    </cfRule>
  </conditionalFormatting>
  <conditionalFormatting sqref="AC8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17">
      <formula>AV82="X"</formula>
    </cfRule>
    <cfRule type="expression" priority="605" dxfId="16">
      <formula>AV82="후보"</formula>
    </cfRule>
  </conditionalFormatting>
  <conditionalFormatting sqref="AC8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17">
      <formula>AV83="X"</formula>
    </cfRule>
    <cfRule type="expression" priority="586" dxfId="16">
      <formula>AV83="후보"</formula>
    </cfRule>
  </conditionalFormatting>
  <conditionalFormatting sqref="AC83 N8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84">
    <cfRule type="expression" priority="580" dxfId="17">
      <formula>AV84="X"</formula>
    </cfRule>
    <cfRule type="expression" priority="581" dxfId="16">
      <formula>AV84="후보"</formula>
    </cfRule>
  </conditionalFormatting>
  <conditionalFormatting sqref="AC8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17">
      <formula>AV85="X"</formula>
    </cfRule>
    <cfRule type="expression" priority="562" dxfId="16">
      <formula>AV85="후보"</formula>
    </cfRule>
  </conditionalFormatting>
  <conditionalFormatting sqref="AC8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8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17">
      <formula>AV86="X"</formula>
    </cfRule>
    <cfRule type="expression" priority="543" dxfId="16">
      <formula>AV86="후보"</formula>
    </cfRule>
  </conditionalFormatting>
  <conditionalFormatting sqref="AC8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8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17">
      <formula>AV87="X"</formula>
    </cfRule>
    <cfRule type="expression" priority="524" dxfId="16">
      <formula>AV87="후보"</formula>
    </cfRule>
  </conditionalFormatting>
  <conditionalFormatting sqref="AC87 N8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88">
    <cfRule type="expression" priority="518" dxfId="17">
      <formula>AV88="X"</formula>
    </cfRule>
    <cfRule type="expression" priority="519" dxfId="16">
      <formula>AV88="후보"</formula>
    </cfRule>
  </conditionalFormatting>
  <conditionalFormatting sqref="AC8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8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88">
    <cfRule type="expression" priority="509" dxfId="3">
      <formula>AND(IF(OR($Q88=1,$Q88=2),1,0),IF($X88&lt;=20,1,0))</formula>
    </cfRule>
    <cfRule type="expression" priority="510" dxfId="2">
      <formula>AND(IF($Q88=2,1,0),IF($X88&lt;30,1,0))</formula>
    </cfRule>
    <cfRule type="expression" priority="511" dxfId="1">
      <formula>AND(IF($Q88=3,1,0),IF($X88&lt;30,1,0))</formula>
    </cfRule>
    <cfRule type="expression" priority="512" dxfId="0">
      <formula>AND(IF($Q88=3,1,IF($Q88=4,1,0)),IF($F88&lt;=85,1,0))</formula>
    </cfRule>
  </conditionalFormatting>
  <conditionalFormatting sqref="X88">
    <cfRule type="expression" priority="505" dxfId="3">
      <formula>AND(IF(OR($Q88=1,$Q88=2),1,0),IF($X88&lt;=20,1,0))</formula>
    </cfRule>
    <cfRule type="expression" priority="506" dxfId="2">
      <formula>AND(IF($Q88=2,1,0),IF($X88&lt;30,1,0))</formula>
    </cfRule>
    <cfRule type="expression" priority="507" dxfId="1">
      <formula>AND(IF($Q88=3,1,0),IF($X88&lt;30,1,0))</formula>
    </cfRule>
    <cfRule type="expression" priority="508" dxfId="0">
      <formula>AND(IF($Q88=3,1,IF($Q88=4,1,0)),IF($F88&lt;=85,1,0))</formula>
    </cfRule>
  </conditionalFormatting>
  <conditionalFormatting sqref="AI88">
    <cfRule type="expression" priority="501" dxfId="3">
      <formula>AND(IF(OR($Q88=1,$Q88=2),1,0),IF($X88&lt;=20,1,0))</formula>
    </cfRule>
    <cfRule type="expression" priority="502" dxfId="2">
      <formula>AND(IF($Q88=2,1,0),IF($X88&lt;30,1,0))</formula>
    </cfRule>
    <cfRule type="expression" priority="503" dxfId="1">
      <formula>AND(IF($Q88=3,1,0),IF($X88&lt;30,1,0))</formula>
    </cfRule>
    <cfRule type="expression" priority="504" dxfId="0">
      <formula>AND(IF($Q88=3,1,IF($Q88=4,1,0)),IF($F88&lt;=85,1,0))</formula>
    </cfRule>
  </conditionalFormatting>
  <conditionalFormatting sqref="AV89">
    <cfRule type="expression" priority="499" dxfId="17">
      <formula>AV89="X"</formula>
    </cfRule>
    <cfRule type="expression" priority="500" dxfId="16">
      <formula>AV89="후보"</formula>
    </cfRule>
  </conditionalFormatting>
  <conditionalFormatting sqref="AC8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17">
      <formula>AV90="X"</formula>
    </cfRule>
    <cfRule type="expression" priority="481" dxfId="16">
      <formula>AV90="후보"</formula>
    </cfRule>
  </conditionalFormatting>
  <conditionalFormatting sqref="AC9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9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17">
      <formula>AV91="X"</formula>
    </cfRule>
    <cfRule type="expression" priority="462" dxfId="16">
      <formula>AV91="후보"</formula>
    </cfRule>
  </conditionalFormatting>
  <conditionalFormatting sqref="AC91 N9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92">
    <cfRule type="expression" priority="456" dxfId="17">
      <formula>AV92="X"</formula>
    </cfRule>
    <cfRule type="expression" priority="457" dxfId="16">
      <formula>AV92="후보"</formula>
    </cfRule>
  </conditionalFormatting>
  <conditionalFormatting sqref="AC9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9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92">
    <cfRule type="expression" priority="447" dxfId="3">
      <formula>AND(IF(OR($Q92=1,$Q92=2),1,0),IF($X92&lt;=20,1,0))</formula>
    </cfRule>
    <cfRule type="expression" priority="448" dxfId="2">
      <formula>AND(IF($Q92=2,1,0),IF($X92&lt;30,1,0))</formula>
    </cfRule>
    <cfRule type="expression" priority="449" dxfId="1">
      <formula>AND(IF($Q92=3,1,0),IF($X92&lt;30,1,0))</formula>
    </cfRule>
    <cfRule type="expression" priority="450" dxfId="0">
      <formula>AND(IF($Q92=3,1,IF($Q92=4,1,0)),IF($F92&lt;=85,1,0))</formula>
    </cfRule>
  </conditionalFormatting>
  <conditionalFormatting sqref="X92">
    <cfRule type="expression" priority="443" dxfId="3">
      <formula>AND(IF(OR($Q92=1,$Q92=2),1,0),IF($X92&lt;=20,1,0))</formula>
    </cfRule>
    <cfRule type="expression" priority="444" dxfId="2">
      <formula>AND(IF($Q92=2,1,0),IF($X92&lt;30,1,0))</formula>
    </cfRule>
    <cfRule type="expression" priority="445" dxfId="1">
      <formula>AND(IF($Q92=3,1,0),IF($X92&lt;30,1,0))</formula>
    </cfRule>
    <cfRule type="expression" priority="446" dxfId="0">
      <formula>AND(IF($Q92=3,1,IF($Q92=4,1,0)),IF($F92&lt;=85,1,0))</formula>
    </cfRule>
  </conditionalFormatting>
  <conditionalFormatting sqref="AI92">
    <cfRule type="expression" priority="439" dxfId="3">
      <formula>AND(IF(OR($Q92=1,$Q92=2),1,0),IF($X92&lt;=20,1,0))</formula>
    </cfRule>
    <cfRule type="expression" priority="440" dxfId="2">
      <formula>AND(IF($Q92=2,1,0),IF($X92&lt;30,1,0))</formula>
    </cfRule>
    <cfRule type="expression" priority="441" dxfId="1">
      <formula>AND(IF($Q92=3,1,0),IF($X92&lt;30,1,0))</formula>
    </cfRule>
    <cfRule type="expression" priority="442" dxfId="0">
      <formula>AND(IF($Q92=3,1,IF($Q92=4,1,0)),IF($F92&lt;=85,1,0))</formula>
    </cfRule>
  </conditionalFormatting>
  <conditionalFormatting sqref="AV93">
    <cfRule type="expression" priority="437" dxfId="17">
      <formula>AV93="X"</formula>
    </cfRule>
    <cfRule type="expression" priority="438" dxfId="16">
      <formula>AV93="후보"</formula>
    </cfRule>
  </conditionalFormatting>
  <conditionalFormatting sqref="AC9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9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93">
    <cfRule type="expression" priority="428" dxfId="3">
      <formula>AND(IF(OR($Q93=1,$Q93=2),1,0),IF($X93&lt;=20,1,0))</formula>
    </cfRule>
    <cfRule type="expression" priority="429" dxfId="2">
      <formula>AND(IF($Q93=2,1,0),IF($X93&lt;30,1,0))</formula>
    </cfRule>
    <cfRule type="expression" priority="430" dxfId="1">
      <formula>AND(IF($Q93=3,1,0),IF($X93&lt;30,1,0))</formula>
    </cfRule>
    <cfRule type="expression" priority="431" dxfId="0">
      <formula>AND(IF($Q93=3,1,IF($Q93=4,1,0)),IF($F93&lt;=85,1,0))</formula>
    </cfRule>
  </conditionalFormatting>
  <conditionalFormatting sqref="X93">
    <cfRule type="expression" priority="424" dxfId="3">
      <formula>AND(IF(OR($Q93=1,$Q93=2),1,0),IF($X93&lt;=20,1,0))</formula>
    </cfRule>
    <cfRule type="expression" priority="425" dxfId="2">
      <formula>AND(IF($Q93=2,1,0),IF($X93&lt;30,1,0))</formula>
    </cfRule>
    <cfRule type="expression" priority="426" dxfId="1">
      <formula>AND(IF($Q93=3,1,0),IF($X93&lt;30,1,0))</formula>
    </cfRule>
    <cfRule type="expression" priority="427" dxfId="0">
      <formula>AND(IF($Q93=3,1,IF($Q93=4,1,0)),IF($F93&lt;=85,1,0))</formula>
    </cfRule>
  </conditionalFormatting>
  <conditionalFormatting sqref="AI93">
    <cfRule type="expression" priority="420" dxfId="3">
      <formula>AND(IF(OR($Q93=1,$Q93=2),1,0),IF($X93&lt;=20,1,0))</formula>
    </cfRule>
    <cfRule type="expression" priority="421" dxfId="2">
      <formula>AND(IF($Q93=2,1,0),IF($X93&lt;30,1,0))</formula>
    </cfRule>
    <cfRule type="expression" priority="422" dxfId="1">
      <formula>AND(IF($Q93=3,1,0),IF($X93&lt;30,1,0))</formula>
    </cfRule>
    <cfRule type="expression" priority="423" dxfId="0">
      <formula>AND(IF($Q93=3,1,IF($Q93=4,1,0)),IF($F93&lt;=85,1,0))</formula>
    </cfRule>
  </conditionalFormatting>
  <conditionalFormatting sqref="AV94">
    <cfRule type="expression" priority="418" dxfId="17">
      <formula>AV94="X"</formula>
    </cfRule>
    <cfRule type="expression" priority="419" dxfId="16">
      <formula>AV94="후보"</formula>
    </cfRule>
  </conditionalFormatting>
  <conditionalFormatting sqref="AC9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17">
      <formula>AV95="X"</formula>
    </cfRule>
    <cfRule type="expression" priority="400" dxfId="16">
      <formula>AV95="후보"</formula>
    </cfRule>
  </conditionalFormatting>
  <conditionalFormatting sqref="AC9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17">
      <formula>AV96="X"</formula>
    </cfRule>
    <cfRule type="expression" priority="381" dxfId="16">
      <formula>AV96="후보"</formula>
    </cfRule>
  </conditionalFormatting>
  <conditionalFormatting sqref="AC9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17">
      <formula>AV97="X"</formula>
    </cfRule>
    <cfRule type="expression" priority="362" dxfId="16">
      <formula>AV97="후보"</formula>
    </cfRule>
  </conditionalFormatting>
  <conditionalFormatting sqref="AC9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9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97">
    <cfRule type="expression" priority="352" dxfId="3">
      <formula>AND(IF(OR($Q97=1,$Q97=2),1,0),IF($X97&lt;=20,1,0))</formula>
    </cfRule>
    <cfRule type="expression" priority="353" dxfId="2">
      <formula>AND(IF($Q97=2,1,0),IF($X97&lt;30,1,0))</formula>
    </cfRule>
    <cfRule type="expression" priority="354" dxfId="1">
      <formula>AND(IF($Q97=3,1,0),IF($X97&lt;30,1,0))</formula>
    </cfRule>
    <cfRule type="expression" priority="355" dxfId="0">
      <formula>AND(IF($Q97=3,1,IF($Q97=4,1,0)),IF($F97&lt;=85,1,0))</formula>
    </cfRule>
  </conditionalFormatting>
  <conditionalFormatting sqref="X97">
    <cfRule type="expression" priority="348" dxfId="3">
      <formula>AND(IF(OR($Q97=1,$Q97=2),1,0),IF($X97&lt;=20,1,0))</formula>
    </cfRule>
    <cfRule type="expression" priority="349" dxfId="2">
      <formula>AND(IF($Q97=2,1,0),IF($X97&lt;30,1,0))</formula>
    </cfRule>
    <cfRule type="expression" priority="350" dxfId="1">
      <formula>AND(IF($Q97=3,1,0),IF($X97&lt;30,1,0))</formula>
    </cfRule>
    <cfRule type="expression" priority="351" dxfId="0">
      <formula>AND(IF($Q97=3,1,IF($Q97=4,1,0)),IF($F97&lt;=85,1,0))</formula>
    </cfRule>
  </conditionalFormatting>
  <conditionalFormatting sqref="AI97">
    <cfRule type="expression" priority="344" dxfId="3">
      <formula>AND(IF(OR($Q97=1,$Q97=2),1,0),IF($X97&lt;=20,1,0))</formula>
    </cfRule>
    <cfRule type="expression" priority="345" dxfId="2">
      <formula>AND(IF($Q97=2,1,0),IF($X97&lt;30,1,0))</formula>
    </cfRule>
    <cfRule type="expression" priority="346" dxfId="1">
      <formula>AND(IF($Q97=3,1,0),IF($X97&lt;30,1,0))</formula>
    </cfRule>
    <cfRule type="expression" priority="347" dxfId="0">
      <formula>AND(IF($Q97=3,1,IF($Q97=4,1,0)),IF($F97&lt;=85,1,0))</formula>
    </cfRule>
  </conditionalFormatting>
  <conditionalFormatting sqref="AV98">
    <cfRule type="expression" priority="342" dxfId="17">
      <formula>AV98="X"</formula>
    </cfRule>
    <cfRule type="expression" priority="343" dxfId="16">
      <formula>AV98="후보"</formula>
    </cfRule>
  </conditionalFormatting>
  <conditionalFormatting sqref="AC9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9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98">
    <cfRule type="expression" priority="333" dxfId="3">
      <formula>AND(IF(OR($Q98=1,$Q98=2),1,0),IF($X98&lt;=20,1,0))</formula>
    </cfRule>
    <cfRule type="expression" priority="334" dxfId="2">
      <formula>AND(IF($Q98=2,1,0),IF($X98&lt;30,1,0))</formula>
    </cfRule>
    <cfRule type="expression" priority="335" dxfId="1">
      <formula>AND(IF($Q98=3,1,0),IF($X98&lt;30,1,0))</formula>
    </cfRule>
    <cfRule type="expression" priority="336" dxfId="0">
      <formula>AND(IF($Q98=3,1,IF($Q98=4,1,0)),IF($F98&lt;=85,1,0))</formula>
    </cfRule>
  </conditionalFormatting>
  <conditionalFormatting sqref="X98">
    <cfRule type="expression" priority="329" dxfId="3">
      <formula>AND(IF(OR($Q98=1,$Q98=2),1,0),IF($X98&lt;=20,1,0))</formula>
    </cfRule>
    <cfRule type="expression" priority="330" dxfId="2">
      <formula>AND(IF($Q98=2,1,0),IF($X98&lt;30,1,0))</formula>
    </cfRule>
    <cfRule type="expression" priority="331" dxfId="1">
      <formula>AND(IF($Q98=3,1,0),IF($X98&lt;30,1,0))</formula>
    </cfRule>
    <cfRule type="expression" priority="332" dxfId="0">
      <formula>AND(IF($Q98=3,1,IF($Q98=4,1,0)),IF($F98&lt;=85,1,0))</formula>
    </cfRule>
  </conditionalFormatting>
  <conditionalFormatting sqref="AI98">
    <cfRule type="expression" priority="325" dxfId="3">
      <formula>AND(IF(OR($Q98=1,$Q98=2),1,0),IF($X98&lt;=20,1,0))</formula>
    </cfRule>
    <cfRule type="expression" priority="326" dxfId="2">
      <formula>AND(IF($Q98=2,1,0),IF($X98&lt;30,1,0))</formula>
    </cfRule>
    <cfRule type="expression" priority="327" dxfId="1">
      <formula>AND(IF($Q98=3,1,0),IF($X98&lt;30,1,0))</formula>
    </cfRule>
    <cfRule type="expression" priority="328" dxfId="0">
      <formula>AND(IF($Q98=3,1,IF($Q98=4,1,0)),IF($F98&lt;=85,1,0))</formula>
    </cfRule>
  </conditionalFormatting>
  <conditionalFormatting sqref="AV99">
    <cfRule type="expression" priority="323" dxfId="17">
      <formula>AV99="X"</formula>
    </cfRule>
    <cfRule type="expression" priority="324" dxfId="16">
      <formula>AV99="후보"</formula>
    </cfRule>
  </conditionalFormatting>
  <conditionalFormatting sqref="AC9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9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99">
    <cfRule type="expression" priority="314" dxfId="3">
      <formula>AND(IF(OR($Q99=1,$Q99=2),1,0),IF($X99&lt;=20,1,0))</formula>
    </cfRule>
    <cfRule type="expression" priority="315" dxfId="2">
      <formula>AND(IF($Q99=2,1,0),IF($X99&lt;30,1,0))</formula>
    </cfRule>
    <cfRule type="expression" priority="316" dxfId="1">
      <formula>AND(IF($Q99=3,1,0),IF($X99&lt;30,1,0))</formula>
    </cfRule>
    <cfRule type="expression" priority="317" dxfId="0">
      <formula>AND(IF($Q99=3,1,IF($Q99=4,1,0)),IF($F99&lt;=85,1,0))</formula>
    </cfRule>
  </conditionalFormatting>
  <conditionalFormatting sqref="X99">
    <cfRule type="expression" priority="310" dxfId="3">
      <formula>AND(IF(OR($Q99=1,$Q99=2),1,0),IF($X99&lt;=20,1,0))</formula>
    </cfRule>
    <cfRule type="expression" priority="311" dxfId="2">
      <formula>AND(IF($Q99=2,1,0),IF($X99&lt;30,1,0))</formula>
    </cfRule>
    <cfRule type="expression" priority="312" dxfId="1">
      <formula>AND(IF($Q99=3,1,0),IF($X99&lt;30,1,0))</formula>
    </cfRule>
    <cfRule type="expression" priority="313" dxfId="0">
      <formula>AND(IF($Q99=3,1,IF($Q99=4,1,0)),IF($F99&lt;=85,1,0))</formula>
    </cfRule>
  </conditionalFormatting>
  <conditionalFormatting sqref="AI99">
    <cfRule type="expression" priority="306" dxfId="3">
      <formula>AND(IF(OR($Q99=1,$Q99=2),1,0),IF($X99&lt;=20,1,0))</formula>
    </cfRule>
    <cfRule type="expression" priority="307" dxfId="2">
      <formula>AND(IF($Q99=2,1,0),IF($X99&lt;30,1,0))</formula>
    </cfRule>
    <cfRule type="expression" priority="308" dxfId="1">
      <formula>AND(IF($Q99=3,1,0),IF($X99&lt;30,1,0))</formula>
    </cfRule>
    <cfRule type="expression" priority="309" dxfId="0">
      <formula>AND(IF($Q99=3,1,IF($Q99=4,1,0)),IF($F99&lt;=85,1,0))</formula>
    </cfRule>
  </conditionalFormatting>
  <conditionalFormatting sqref="AV100">
    <cfRule type="expression" priority="304" dxfId="17">
      <formula>AV100="X"</formula>
    </cfRule>
    <cfRule type="expression" priority="305" dxfId="16">
      <formula>AV100="후보"</formula>
    </cfRule>
  </conditionalFormatting>
  <conditionalFormatting sqref="AC10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0">
    <cfRule type="expression" priority="295" dxfId="3">
      <formula>AND(IF(OR($Q100=1,$Q100=2),1,0),IF($X100&lt;=20,1,0))</formula>
    </cfRule>
    <cfRule type="expression" priority="296" dxfId="2">
      <formula>AND(IF($Q100=2,1,0),IF($X100&lt;30,1,0))</formula>
    </cfRule>
    <cfRule type="expression" priority="297" dxfId="1">
      <formula>AND(IF($Q100=3,1,0),IF($X100&lt;30,1,0))</formula>
    </cfRule>
    <cfRule type="expression" priority="298" dxfId="0">
      <formula>AND(IF($Q100=3,1,IF($Q100=4,1,0)),IF($F100&lt;=85,1,0))</formula>
    </cfRule>
  </conditionalFormatting>
  <conditionalFormatting sqref="X100">
    <cfRule type="expression" priority="291" dxfId="3">
      <formula>AND(IF(OR($Q100=1,$Q100=2),1,0),IF($X100&lt;=20,1,0))</formula>
    </cfRule>
    <cfRule type="expression" priority="292" dxfId="2">
      <formula>AND(IF($Q100=2,1,0),IF($X100&lt;30,1,0))</formula>
    </cfRule>
    <cfRule type="expression" priority="293" dxfId="1">
      <formula>AND(IF($Q100=3,1,0),IF($X100&lt;30,1,0))</formula>
    </cfRule>
    <cfRule type="expression" priority="294" dxfId="0">
      <formula>AND(IF($Q100=3,1,IF($Q100=4,1,0)),IF($F100&lt;=85,1,0))</formula>
    </cfRule>
  </conditionalFormatting>
  <conditionalFormatting sqref="AI100">
    <cfRule type="expression" priority="287" dxfId="3">
      <formula>AND(IF(OR($Q100=1,$Q100=2),1,0),IF($X100&lt;=20,1,0))</formula>
    </cfRule>
    <cfRule type="expression" priority="288" dxfId="2">
      <formula>AND(IF($Q100=2,1,0),IF($X100&lt;30,1,0))</formula>
    </cfRule>
    <cfRule type="expression" priority="289" dxfId="1">
      <formula>AND(IF($Q100=3,1,0),IF($X100&lt;30,1,0))</formula>
    </cfRule>
    <cfRule type="expression" priority="290" dxfId="0">
      <formula>AND(IF($Q100=3,1,IF($Q100=4,1,0)),IF($F100&lt;=85,1,0))</formula>
    </cfRule>
  </conditionalFormatting>
  <conditionalFormatting sqref="AV101">
    <cfRule type="expression" priority="285" dxfId="17">
      <formula>AV101="X"</formula>
    </cfRule>
    <cfRule type="expression" priority="286" dxfId="16">
      <formula>AV101="후보"</formula>
    </cfRule>
  </conditionalFormatting>
  <conditionalFormatting sqref="AC10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1">
    <cfRule type="expression" priority="276" dxfId="3">
      <formula>AND(IF(OR($Q101=1,$Q101=2),1,0),IF($X101&lt;=20,1,0))</formula>
    </cfRule>
    <cfRule type="expression" priority="277" dxfId="2">
      <formula>AND(IF($Q101=2,1,0),IF($X101&lt;30,1,0))</formula>
    </cfRule>
    <cfRule type="expression" priority="278" dxfId="1">
      <formula>AND(IF($Q101=3,1,0),IF($X101&lt;30,1,0))</formula>
    </cfRule>
    <cfRule type="expression" priority="279" dxfId="0">
      <formula>AND(IF($Q101=3,1,IF($Q101=4,1,0)),IF($F101&lt;=85,1,0))</formula>
    </cfRule>
  </conditionalFormatting>
  <conditionalFormatting sqref="X101">
    <cfRule type="expression" priority="272" dxfId="3">
      <formula>AND(IF(OR($Q101=1,$Q101=2),1,0),IF($X101&lt;=20,1,0))</formula>
    </cfRule>
    <cfRule type="expression" priority="273" dxfId="2">
      <formula>AND(IF($Q101=2,1,0),IF($X101&lt;30,1,0))</formula>
    </cfRule>
    <cfRule type="expression" priority="274" dxfId="1">
      <formula>AND(IF($Q101=3,1,0),IF($X101&lt;30,1,0))</formula>
    </cfRule>
    <cfRule type="expression" priority="275" dxfId="0">
      <formula>AND(IF($Q101=3,1,IF($Q101=4,1,0)),IF($F101&lt;=85,1,0))</formula>
    </cfRule>
  </conditionalFormatting>
  <conditionalFormatting sqref="AI101">
    <cfRule type="expression" priority="268" dxfId="3">
      <formula>AND(IF(OR($Q101=1,$Q101=2),1,0),IF($X101&lt;=20,1,0))</formula>
    </cfRule>
    <cfRule type="expression" priority="269" dxfId="2">
      <formula>AND(IF($Q101=2,1,0),IF($X101&lt;30,1,0))</formula>
    </cfRule>
    <cfRule type="expression" priority="270" dxfId="1">
      <formula>AND(IF($Q101=3,1,0),IF($X101&lt;30,1,0))</formula>
    </cfRule>
    <cfRule type="expression" priority="271" dxfId="0">
      <formula>AND(IF($Q101=3,1,IF($Q101=4,1,0)),IF($F101&lt;=85,1,0))</formula>
    </cfRule>
  </conditionalFormatting>
  <conditionalFormatting sqref="AV102">
    <cfRule type="expression" priority="266" dxfId="17">
      <formula>AV102="X"</formula>
    </cfRule>
    <cfRule type="expression" priority="267" dxfId="16">
      <formula>AV102="후보"</formula>
    </cfRule>
  </conditionalFormatting>
  <conditionalFormatting sqref="AC102 N10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03">
    <cfRule type="expression" priority="261" dxfId="17">
      <formula>AV103="X"</formula>
    </cfRule>
    <cfRule type="expression" priority="262" dxfId="16">
      <formula>AV103="후보"</formula>
    </cfRule>
  </conditionalFormatting>
  <conditionalFormatting sqref="AC10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0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17">
      <formula>AV104="X"</formula>
    </cfRule>
    <cfRule type="expression" priority="243" dxfId="16">
      <formula>AV104="후보"</formula>
    </cfRule>
  </conditionalFormatting>
  <conditionalFormatting sqref="AC10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17">
      <formula>AV105="X"</formula>
    </cfRule>
    <cfRule type="expression" priority="224" dxfId="16">
      <formula>AV105="후보"</formula>
    </cfRule>
  </conditionalFormatting>
  <conditionalFormatting sqref="AC10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17">
      <formula>AV106="X"</formula>
    </cfRule>
    <cfRule type="expression" priority="205" dxfId="16">
      <formula>AV106="후보"</formula>
    </cfRule>
  </conditionalFormatting>
  <conditionalFormatting sqref="AC106 N10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07">
    <cfRule type="expression" priority="199" dxfId="17">
      <formula>AV107="X"</formula>
    </cfRule>
    <cfRule type="expression" priority="200" dxfId="16">
      <formula>AV107="후보"</formula>
    </cfRule>
  </conditionalFormatting>
  <conditionalFormatting sqref="AC10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7">
    <cfRule type="expression" priority="190" dxfId="3">
      <formula>AND(IF(OR($Q107=1,$Q107=2),1,0),IF($X107&lt;=20,1,0))</formula>
    </cfRule>
    <cfRule type="expression" priority="191" dxfId="2">
      <formula>AND(IF($Q107=2,1,0),IF($X107&lt;30,1,0))</formula>
    </cfRule>
    <cfRule type="expression" priority="192" dxfId="1">
      <formula>AND(IF($Q107=3,1,0),IF($X107&lt;30,1,0))</formula>
    </cfRule>
    <cfRule type="expression" priority="193" dxfId="0">
      <formula>AND(IF($Q107=3,1,IF($Q107=4,1,0)),IF($F107&lt;=85,1,0))</formula>
    </cfRule>
  </conditionalFormatting>
  <conditionalFormatting sqref="X107">
    <cfRule type="expression" priority="186" dxfId="3">
      <formula>AND(IF(OR($Q107=1,$Q107=2),1,0),IF($X107&lt;=20,1,0))</formula>
    </cfRule>
    <cfRule type="expression" priority="187" dxfId="2">
      <formula>AND(IF($Q107=2,1,0),IF($X107&lt;30,1,0))</formula>
    </cfRule>
    <cfRule type="expression" priority="188" dxfId="1">
      <formula>AND(IF($Q107=3,1,0),IF($X107&lt;30,1,0))</formula>
    </cfRule>
    <cfRule type="expression" priority="189" dxfId="0">
      <formula>AND(IF($Q107=3,1,IF($Q107=4,1,0)),IF($F107&lt;=85,1,0))</formula>
    </cfRule>
  </conditionalFormatting>
  <conditionalFormatting sqref="AI107">
    <cfRule type="expression" priority="182" dxfId="3">
      <formula>AND(IF(OR($Q107=1,$Q107=2),1,0),IF($X107&lt;=20,1,0))</formula>
    </cfRule>
    <cfRule type="expression" priority="183" dxfId="2">
      <formula>AND(IF($Q107=2,1,0),IF($X107&lt;30,1,0))</formula>
    </cfRule>
    <cfRule type="expression" priority="184" dxfId="1">
      <formula>AND(IF($Q107=3,1,0),IF($X107&lt;30,1,0))</formula>
    </cfRule>
    <cfRule type="expression" priority="185" dxfId="0">
      <formula>AND(IF($Q107=3,1,IF($Q107=4,1,0)),IF($F107&lt;=85,1,0))</formula>
    </cfRule>
  </conditionalFormatting>
  <conditionalFormatting sqref="AV108">
    <cfRule type="expression" priority="180" dxfId="17">
      <formula>AV108="X"</formula>
    </cfRule>
    <cfRule type="expression" priority="181" dxfId="16">
      <formula>AV108="후보"</formula>
    </cfRule>
  </conditionalFormatting>
  <conditionalFormatting sqref="AC10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17">
      <formula>AV109="X"</formula>
    </cfRule>
    <cfRule type="expression" priority="162" dxfId="16">
      <formula>AV109="후보"</formula>
    </cfRule>
  </conditionalFormatting>
  <conditionalFormatting sqref="AC109 N10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10">
    <cfRule type="expression" priority="156" dxfId="17">
      <formula>AV110="X"</formula>
    </cfRule>
    <cfRule type="expression" priority="157" dxfId="16">
      <formula>AV110="후보"</formula>
    </cfRule>
  </conditionalFormatting>
  <conditionalFormatting sqref="AC1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0">
    <cfRule type="expression" priority="147" dxfId="3">
      <formula>AND(IF(OR($Q110=1,$Q110=2),1,0),IF($X110&lt;=20,1,0))</formula>
    </cfRule>
    <cfRule type="expression" priority="148" dxfId="2">
      <formula>AND(IF($Q110=2,1,0),IF($X110&lt;30,1,0))</formula>
    </cfRule>
    <cfRule type="expression" priority="149" dxfId="1">
      <formula>AND(IF($Q110=3,1,0),IF($X110&lt;30,1,0))</formula>
    </cfRule>
    <cfRule type="expression" priority="150" dxfId="0">
      <formula>AND(IF($Q110=3,1,IF($Q110=4,1,0)),IF($F110&lt;=85,1,0))</formula>
    </cfRule>
  </conditionalFormatting>
  <conditionalFormatting sqref="X110">
    <cfRule type="expression" priority="143" dxfId="3">
      <formula>AND(IF(OR($Q110=1,$Q110=2),1,0),IF($X110&lt;=20,1,0))</formula>
    </cfRule>
    <cfRule type="expression" priority="144" dxfId="2">
      <formula>AND(IF($Q110=2,1,0),IF($X110&lt;30,1,0))</formula>
    </cfRule>
    <cfRule type="expression" priority="145" dxfId="1">
      <formula>AND(IF($Q110=3,1,0),IF($X110&lt;30,1,0))</formula>
    </cfRule>
    <cfRule type="expression" priority="146" dxfId="0">
      <formula>AND(IF($Q110=3,1,IF($Q110=4,1,0)),IF($F110&lt;=85,1,0))</formula>
    </cfRule>
  </conditionalFormatting>
  <conditionalFormatting sqref="AI110">
    <cfRule type="expression" priority="139" dxfId="3">
      <formula>AND(IF(OR($Q110=1,$Q110=2),1,0),IF($X110&lt;=20,1,0))</formula>
    </cfRule>
    <cfRule type="expression" priority="140" dxfId="2">
      <formula>AND(IF($Q110=2,1,0),IF($X110&lt;30,1,0))</formula>
    </cfRule>
    <cfRule type="expression" priority="141" dxfId="1">
      <formula>AND(IF($Q110=3,1,0),IF($X110&lt;30,1,0))</formula>
    </cfRule>
    <cfRule type="expression" priority="142" dxfId="0">
      <formula>AND(IF($Q110=3,1,IF($Q110=4,1,0)),IF($F110&lt;=85,1,0))</formula>
    </cfRule>
  </conditionalFormatting>
  <conditionalFormatting sqref="AV111">
    <cfRule type="expression" priority="137" dxfId="17">
      <formula>AV111="X"</formula>
    </cfRule>
    <cfRule type="expression" priority="138" dxfId="16">
      <formula>AV111="후보"</formula>
    </cfRule>
  </conditionalFormatting>
  <conditionalFormatting sqref="AC1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17">
      <formula>AV112="X"</formula>
    </cfRule>
    <cfRule type="expression" priority="119" dxfId="16">
      <formula>AV112="후보"</formula>
    </cfRule>
  </conditionalFormatting>
  <conditionalFormatting sqref="AC1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17">
      <formula>AV113="X"</formula>
    </cfRule>
    <cfRule type="expression" priority="100" dxfId="16">
      <formula>AV113="후보"</formula>
    </cfRule>
  </conditionalFormatting>
  <conditionalFormatting sqref="AC113 N1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14">
    <cfRule type="expression" priority="94" dxfId="17">
      <formula>AV114="X"</formula>
    </cfRule>
    <cfRule type="expression" priority="95" dxfId="16">
      <formula>AV114="후보"</formula>
    </cfRule>
  </conditionalFormatting>
  <conditionalFormatting sqref="AC1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4">
    <cfRule type="expression" priority="85" dxfId="3">
      <formula>AND(IF(OR($Q114=1,$Q114=2),1,0),IF($X114&lt;=20,1,0))</formula>
    </cfRule>
    <cfRule type="expression" priority="86" dxfId="2">
      <formula>AND(IF($Q114=2,1,0),IF($X114&lt;30,1,0))</formula>
    </cfRule>
    <cfRule type="expression" priority="87" dxfId="1">
      <formula>AND(IF($Q114=3,1,0),IF($X114&lt;30,1,0))</formula>
    </cfRule>
    <cfRule type="expression" priority="88" dxfId="0">
      <formula>AND(IF($Q114=3,1,IF($Q114=4,1,0)),IF($F114&lt;=85,1,0))</formula>
    </cfRule>
  </conditionalFormatting>
  <conditionalFormatting sqref="X114">
    <cfRule type="expression" priority="81" dxfId="3">
      <formula>AND(IF(OR($Q114=1,$Q114=2),1,0),IF($X114&lt;=20,1,0))</formula>
    </cfRule>
    <cfRule type="expression" priority="82" dxfId="2">
      <formula>AND(IF($Q114=2,1,0),IF($X114&lt;30,1,0))</formula>
    </cfRule>
    <cfRule type="expression" priority="83" dxfId="1">
      <formula>AND(IF($Q114=3,1,0),IF($X114&lt;30,1,0))</formula>
    </cfRule>
    <cfRule type="expression" priority="84" dxfId="0">
      <formula>AND(IF($Q114=3,1,IF($Q114=4,1,0)),IF($F114&lt;=85,1,0))</formula>
    </cfRule>
  </conditionalFormatting>
  <conditionalFormatting sqref="AI114">
    <cfRule type="expression" priority="77" dxfId="3">
      <formula>AND(IF(OR($Q114=1,$Q114=2),1,0),IF($X114&lt;=20,1,0))</formula>
    </cfRule>
    <cfRule type="expression" priority="78" dxfId="2">
      <formula>AND(IF($Q114=2,1,0),IF($X114&lt;30,1,0))</formula>
    </cfRule>
    <cfRule type="expression" priority="79" dxfId="1">
      <formula>AND(IF($Q114=3,1,0),IF($X114&lt;30,1,0))</formula>
    </cfRule>
    <cfRule type="expression" priority="80" dxfId="0">
      <formula>AND(IF($Q114=3,1,IF($Q114=4,1,0)),IF($F114&lt;=85,1,0))</formula>
    </cfRule>
  </conditionalFormatting>
  <conditionalFormatting sqref="AV115">
    <cfRule type="expression" priority="75" dxfId="17">
      <formula>AV115="X"</formula>
    </cfRule>
    <cfRule type="expression" priority="76" dxfId="16">
      <formula>AV115="후보"</formula>
    </cfRule>
  </conditionalFormatting>
  <conditionalFormatting sqref="AC1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5">
    <cfRule type="expression" priority="66" dxfId="3">
      <formula>AND(IF(OR($Q115=1,$Q115=2),1,0),IF($X115&lt;=20,1,0))</formula>
    </cfRule>
    <cfRule type="expression" priority="67" dxfId="2">
      <formula>AND(IF($Q115=2,1,0),IF($X115&lt;30,1,0))</formula>
    </cfRule>
    <cfRule type="expression" priority="68" dxfId="1">
      <formula>AND(IF($Q115=3,1,0),IF($X115&lt;30,1,0))</formula>
    </cfRule>
    <cfRule type="expression" priority="69" dxfId="0">
      <formula>AND(IF($Q115=3,1,IF($Q115=4,1,0)),IF($F115&lt;=85,1,0))</formula>
    </cfRule>
  </conditionalFormatting>
  <conditionalFormatting sqref="X115">
    <cfRule type="expression" priority="62" dxfId="3">
      <formula>AND(IF(OR($Q115=1,$Q115=2),1,0),IF($X115&lt;=20,1,0))</formula>
    </cfRule>
    <cfRule type="expression" priority="63" dxfId="2">
      <formula>AND(IF($Q115=2,1,0),IF($X115&lt;30,1,0))</formula>
    </cfRule>
    <cfRule type="expression" priority="64" dxfId="1">
      <formula>AND(IF($Q115=3,1,0),IF($X115&lt;30,1,0))</formula>
    </cfRule>
    <cfRule type="expression" priority="65" dxfId="0">
      <formula>AND(IF($Q115=3,1,IF($Q115=4,1,0)),IF($F115&lt;=85,1,0))</formula>
    </cfRule>
  </conditionalFormatting>
  <conditionalFormatting sqref="AI115">
    <cfRule type="expression" priority="58" dxfId="3">
      <formula>AND(IF(OR($Q115=1,$Q115=2),1,0),IF($X115&lt;=20,1,0))</formula>
    </cfRule>
    <cfRule type="expression" priority="59" dxfId="2">
      <formula>AND(IF($Q115=2,1,0),IF($X115&lt;30,1,0))</formula>
    </cfRule>
    <cfRule type="expression" priority="60" dxfId="1">
      <formula>AND(IF($Q115=3,1,0),IF($X115&lt;30,1,0))</formula>
    </cfRule>
    <cfRule type="expression" priority="61" dxfId="0">
      <formula>AND(IF($Q115=3,1,IF($Q115=4,1,0)),IF($F115&lt;=85,1,0))</formula>
    </cfRule>
  </conditionalFormatting>
  <conditionalFormatting sqref="AV116">
    <cfRule type="expression" priority="56" dxfId="17">
      <formula>AV116="X"</formula>
    </cfRule>
    <cfRule type="expression" priority="57" dxfId="16">
      <formula>AV116="후보"</formula>
    </cfRule>
  </conditionalFormatting>
  <conditionalFormatting sqref="AC1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6">
    <cfRule type="expression" priority="47" dxfId="3">
      <formula>AND(IF(OR($Q116=1,$Q116=2),1,0),IF($X116&lt;=20,1,0))</formula>
    </cfRule>
    <cfRule type="expression" priority="48" dxfId="2">
      <formula>AND(IF($Q116=2,1,0),IF($X116&lt;30,1,0))</formula>
    </cfRule>
    <cfRule type="expression" priority="49" dxfId="1">
      <formula>AND(IF($Q116=3,1,0),IF($X116&lt;30,1,0))</formula>
    </cfRule>
    <cfRule type="expression" priority="50" dxfId="0">
      <formula>AND(IF($Q116=3,1,IF($Q116=4,1,0)),IF($F116&lt;=85,1,0))</formula>
    </cfRule>
  </conditionalFormatting>
  <conditionalFormatting sqref="X116">
    <cfRule type="expression" priority="43" dxfId="3">
      <formula>AND(IF(OR($Q116=1,$Q116=2),1,0),IF($X116&lt;=20,1,0))</formula>
    </cfRule>
    <cfRule type="expression" priority="44" dxfId="2">
      <formula>AND(IF($Q116=2,1,0),IF($X116&lt;30,1,0))</formula>
    </cfRule>
    <cfRule type="expression" priority="45" dxfId="1">
      <formula>AND(IF($Q116=3,1,0),IF($X116&lt;30,1,0))</formula>
    </cfRule>
    <cfRule type="expression" priority="46" dxfId="0">
      <formula>AND(IF($Q116=3,1,IF($Q116=4,1,0)),IF($F116&lt;=85,1,0))</formula>
    </cfRule>
  </conditionalFormatting>
  <conditionalFormatting sqref="AI116">
    <cfRule type="expression" priority="39" dxfId="3">
      <formula>AND(IF(OR($Q116=1,$Q116=2),1,0),IF($X116&lt;=20,1,0))</formula>
    </cfRule>
    <cfRule type="expression" priority="40" dxfId="2">
      <formula>AND(IF($Q116=2,1,0),IF($X116&lt;30,1,0))</formula>
    </cfRule>
    <cfRule type="expression" priority="41" dxfId="1">
      <formula>AND(IF($Q116=3,1,0),IF($X116&lt;30,1,0))</formula>
    </cfRule>
    <cfRule type="expression" priority="42" dxfId="0">
      <formula>AND(IF($Q116=3,1,IF($Q116=4,1,0)),IF($F116&lt;=85,1,0))</formula>
    </cfRule>
  </conditionalFormatting>
  <conditionalFormatting sqref="AV117">
    <cfRule type="expression" priority="37" dxfId="17">
      <formula>AV117="X"</formula>
    </cfRule>
    <cfRule type="expression" priority="38" dxfId="16">
      <formula>AV117="후보"</formula>
    </cfRule>
  </conditionalFormatting>
  <conditionalFormatting sqref="AC1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7">
    <cfRule type="expression" priority="28" dxfId="3">
      <formula>AND(IF(OR($Q117=1,$Q117=2),1,0),IF($X117&lt;=20,1,0))</formula>
    </cfRule>
    <cfRule type="expression" priority="29" dxfId="2">
      <formula>AND(IF($Q117=2,1,0),IF($X117&lt;30,1,0))</formula>
    </cfRule>
    <cfRule type="expression" priority="30" dxfId="1">
      <formula>AND(IF($Q117=3,1,0),IF($X117&lt;30,1,0))</formula>
    </cfRule>
    <cfRule type="expression" priority="31" dxfId="0">
      <formula>AND(IF($Q117=3,1,IF($Q117=4,1,0)),IF($F117&lt;=85,1,0))</formula>
    </cfRule>
  </conditionalFormatting>
  <conditionalFormatting sqref="X117">
    <cfRule type="expression" priority="24" dxfId="3">
      <formula>AND(IF(OR($Q117=1,$Q117=2),1,0),IF($X117&lt;=20,1,0))</formula>
    </cfRule>
    <cfRule type="expression" priority="25" dxfId="2">
      <formula>AND(IF($Q117=2,1,0),IF($X117&lt;30,1,0))</formula>
    </cfRule>
    <cfRule type="expression" priority="26" dxfId="1">
      <formula>AND(IF($Q117=3,1,0),IF($X117&lt;30,1,0))</formula>
    </cfRule>
    <cfRule type="expression" priority="27" dxfId="0">
      <formula>AND(IF($Q117=3,1,IF($Q117=4,1,0)),IF($F117&lt;=85,1,0))</formula>
    </cfRule>
  </conditionalFormatting>
  <conditionalFormatting sqref="AI117">
    <cfRule type="expression" priority="20" dxfId="3">
      <formula>AND(IF(OR($Q117=1,$Q117=2),1,0),IF($X117&lt;=20,1,0))</formula>
    </cfRule>
    <cfRule type="expression" priority="21" dxfId="2">
      <formula>AND(IF($Q117=2,1,0),IF($X117&lt;30,1,0))</formula>
    </cfRule>
    <cfRule type="expression" priority="22" dxfId="1">
      <formula>AND(IF($Q117=3,1,0),IF($X117&lt;30,1,0))</formula>
    </cfRule>
    <cfRule type="expression" priority="23" dxfId="0">
      <formula>AND(IF($Q117=3,1,IF($Q117=4,1,0)),IF($F117&lt;=85,1,0))</formula>
    </cfRule>
  </conditionalFormatting>
  <conditionalFormatting sqref="AV118">
    <cfRule type="expression" priority="18" dxfId="17">
      <formula>AV118="X"</formula>
    </cfRule>
    <cfRule type="expression" priority="19" dxfId="16">
      <formula>AV118="후보"</formula>
    </cfRule>
  </conditionalFormatting>
  <conditionalFormatting sqref="AC1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2022-04-03T14:40:55Z</dcterms:modified>
  <cp:lastModifiedBy>MinsuKwon</cp:lastModifiedBy>
  <cp:lastPrinted>2018-04-28T10:52:41Z</cp:lastPrinted>
</cp:coreProperties>
</file>