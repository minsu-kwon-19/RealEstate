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zoomScaleNormal="100" zoomScaleSheetLayoutView="85" workbookViewId="0">
      <pane xSplit="1" ySplit="3" topLeftCell="B100" activePane="bottomRight" state="frozen"/>
      <selection activeCell="U15" sqref="U15"/>
      <selection pane="topRight" activeCell="U15" sqref="U15"/>
      <selection pane="bottomLeft" activeCell="U15" sqref="U15"/>
      <selection pane="bottomRight" activeCell="A540" sqref="A540:XFD54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17">
      <c r="A1" s="24" t="inlineStr">
        <is>
          <t>안양시 동안구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관양동 인덕원마을삼성</t>
        </is>
      </c>
      <c r="B4" s="74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87000</v>
      </c>
      <c r="J4" s="127" t="inlineStr">
        <is>
          <t>13</t>
        </is>
      </c>
      <c r="K4" s="127" t="n">
        <v>42000</v>
      </c>
      <c r="L4" s="127" t="inlineStr">
        <is>
          <t>23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관양동 인덕원마을삼성</t>
        </is>
      </c>
      <c r="B5" s="74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85000</v>
      </c>
      <c r="J5" s="127" t="inlineStr">
        <is>
          <t>고</t>
        </is>
      </c>
      <c r="K5" s="127" t="n">
        <v>30000</v>
      </c>
      <c r="L5" s="127" t="inlineStr">
        <is>
          <t>12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1</v>
      </c>
      <c r="S5" s="114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관양동 인덕원마을삼성</t>
        </is>
      </c>
      <c r="B6" s="74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120000</v>
      </c>
      <c r="J6" s="127" t="inlineStr">
        <is>
          <t>12</t>
        </is>
      </c>
      <c r="K6" s="127" t="n">
        <v>57000</v>
      </c>
      <c r="L6" s="127" t="inlineStr">
        <is>
          <t>20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관양동 한가람한양</t>
        </is>
      </c>
      <c r="B7" s="74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49000</v>
      </c>
      <c r="J7" s="127" t="inlineStr">
        <is>
          <t>6</t>
        </is>
      </c>
      <c r="K7" s="127" t="n">
        <v>21000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관양동 한가람한양</t>
        </is>
      </c>
      <c r="B8" s="74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/>
      <c r="J8" s="127" t="n"/>
      <c r="K8" s="127" t="n">
        <v>38000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관양동 한가람한양</t>
        </is>
      </c>
      <c r="B9" s="74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95000</v>
      </c>
      <c r="J9" s="127" t="inlineStr">
        <is>
          <t>13</t>
        </is>
      </c>
      <c r="K9" s="127" t="n">
        <v>45000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관양동 한미</t>
        </is>
      </c>
      <c r="B10" s="74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관양동 한미</t>
        </is>
      </c>
      <c r="B11" s="74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관양동 한미</t>
        </is>
      </c>
      <c r="B12" s="74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관양동 한미</t>
        </is>
      </c>
      <c r="B13" s="74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관양동 한가람두산</t>
        </is>
      </c>
      <c r="B14" s="74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71000</v>
      </c>
      <c r="J14" s="127" t="inlineStr">
        <is>
          <t>8</t>
        </is>
      </c>
      <c r="K14" s="127" t="n">
        <v>38500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관양동 한가람두산</t>
        </is>
      </c>
      <c r="B15" s="74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95000</v>
      </c>
      <c r="J15" s="127" t="inlineStr">
        <is>
          <t>6</t>
        </is>
      </c>
      <c r="K15" s="127" t="n">
        <v>50000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관양동 한가람신라</t>
        </is>
      </c>
      <c r="B16" s="74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46000</v>
      </c>
      <c r="J16" s="127" t="inlineStr">
        <is>
          <t>7</t>
        </is>
      </c>
      <c r="K16" s="127" t="n">
        <v>22000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관양동 한가람신라</t>
        </is>
      </c>
      <c r="B17" s="74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49000</v>
      </c>
      <c r="J17" s="127" t="inlineStr">
        <is>
          <t>12</t>
        </is>
      </c>
      <c r="K17" s="127" t="n">
        <v>22000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관양동 한가람신라</t>
        </is>
      </c>
      <c r="B18" s="74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53000</v>
      </c>
      <c r="J18" s="127" t="inlineStr">
        <is>
          <t>중</t>
        </is>
      </c>
      <c r="K18" s="127" t="n">
        <v>25000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관양동 한가람신라</t>
        </is>
      </c>
      <c r="B19" s="74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54000</v>
      </c>
      <c r="J19" s="127" t="inlineStr">
        <is>
          <t>고</t>
        </is>
      </c>
      <c r="K19" s="127" t="n">
        <v>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관양동 한가람신라</t>
        </is>
      </c>
      <c r="B20" s="74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75000</v>
      </c>
      <c r="J20" s="127" t="inlineStr">
        <is>
          <t>중</t>
        </is>
      </c>
      <c r="K20" s="127" t="n">
        <v>40000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관양동 평촌더샵센트럴시티</t>
        </is>
      </c>
      <c r="B21" s="74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110000</v>
      </c>
      <c r="J21" s="127" t="inlineStr">
        <is>
          <t>19</t>
        </is>
      </c>
      <c r="K21" s="127" t="n">
        <v>70000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관양동 평촌더샵센트럴시티</t>
        </is>
      </c>
      <c r="B22" s="74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103000</v>
      </c>
      <c r="J22" s="127" t="inlineStr">
        <is>
          <t>8</t>
        </is>
      </c>
      <c r="K22" s="127" t="n">
        <v>63000</v>
      </c>
      <c r="L22" s="127" t="inlineStr">
        <is>
          <t>22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관양동 평촌더샵센트럴시티</t>
        </is>
      </c>
      <c r="B23" s="74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140000</v>
      </c>
      <c r="J23" s="127" t="inlineStr">
        <is>
          <t>19</t>
        </is>
      </c>
      <c r="K23" s="127" t="n">
        <v>80000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관양동 평촌더샵센트럴시티</t>
        </is>
      </c>
      <c r="B24" s="74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140000</v>
      </c>
      <c r="J24" s="127" t="inlineStr">
        <is>
          <t>17</t>
        </is>
      </c>
      <c r="K24" s="127" t="n">
        <v>75000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관양동 평촌더샵센트럴시티</t>
        </is>
      </c>
      <c r="B25" s="74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140000</v>
      </c>
      <c r="J25" s="127" t="inlineStr">
        <is>
          <t>29</t>
        </is>
      </c>
      <c r="K25" s="127" t="n">
        <v>78000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관양동 평촌더샵센트럴시티</t>
        </is>
      </c>
      <c r="B26" s="74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170000</v>
      </c>
      <c r="J26" s="127" t="inlineStr">
        <is>
          <t>22</t>
        </is>
      </c>
      <c r="K26" s="127" t="n">
        <v>95000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관양동 동편LH4단지</t>
        </is>
      </c>
      <c r="B28" s="74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관양동 동편LH4단지</t>
        </is>
      </c>
      <c r="B29" s="74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관양동 동편LH4단지</t>
        </is>
      </c>
      <c r="B30" s="74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관양동 동편LH4단지</t>
        </is>
      </c>
      <c r="B31" s="74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170000</v>
      </c>
      <c r="J31" s="127" t="inlineStr">
        <is>
          <t>7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관양동 동편LH4단지</t>
        </is>
      </c>
      <c r="B32" s="74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관양동 동편LH4단지</t>
        </is>
      </c>
      <c r="B34" s="74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관양동 동편LH4단지</t>
        </is>
      </c>
      <c r="B35" s="74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관양동 동편LH4단지</t>
        </is>
      </c>
      <c r="B36" s="74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관양동 동편LH4단지</t>
        </is>
      </c>
      <c r="B37" s="74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관양동 동편LH4단지</t>
        </is>
      </c>
      <c r="B38" s="74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관양동 한가람세경</t>
        </is>
      </c>
      <c r="B39" s="74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60000</v>
      </c>
      <c r="J39" s="127" t="inlineStr">
        <is>
          <t>중</t>
        </is>
      </c>
      <c r="K39" s="127" t="n">
        <v>30000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관양동 한가람세경</t>
        </is>
      </c>
      <c r="B40" s="74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62000</v>
      </c>
      <c r="J40" s="127" t="inlineStr">
        <is>
          <t>고</t>
        </is>
      </c>
      <c r="K40" s="127" t="n">
        <v>30000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관양동 동편마을3단지</t>
        </is>
      </c>
      <c r="B41" s="74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110000</v>
      </c>
      <c r="J41" s="127" t="inlineStr">
        <is>
          <t>14</t>
        </is>
      </c>
      <c r="K41" s="127" t="n">
        <v>60000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관양동 동편마을3단지</t>
        </is>
      </c>
      <c r="B42" s="74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110000</v>
      </c>
      <c r="J42" s="127" t="inlineStr">
        <is>
          <t>5</t>
        </is>
      </c>
      <c r="K42" s="127" t="n">
        <v>55000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/>
      <c r="J43" s="127" t="n"/>
      <c r="K43" s="127" t="n">
        <v>63000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관양동 동편마을3단지</t>
        </is>
      </c>
      <c r="B44" s="74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110000</v>
      </c>
      <c r="J44" s="127" t="inlineStr">
        <is>
          <t>5</t>
        </is>
      </c>
      <c r="K44" s="127" t="n">
        <v>55000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관양동 동편마을3단지</t>
        </is>
      </c>
      <c r="B45" s="74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>
        <v>135000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관양동 동편마을3단지</t>
        </is>
      </c>
      <c r="B46" s="74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120000</v>
      </c>
      <c r="J46" s="127" t="inlineStr">
        <is>
          <t>고</t>
        </is>
      </c>
      <c r="K46" s="127" t="n">
        <v>64000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관양동 동편마을3단지</t>
        </is>
      </c>
      <c r="B47" s="74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120000</v>
      </c>
      <c r="J47" s="127" t="inlineStr">
        <is>
          <t>고</t>
        </is>
      </c>
      <c r="K47" s="127" t="n">
        <v>64000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관양동 동편마을3단지</t>
        </is>
      </c>
      <c r="B48" s="74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120000</v>
      </c>
      <c r="J48" s="127" t="inlineStr">
        <is>
          <t>고</t>
        </is>
      </c>
      <c r="K48" s="127" t="n">
        <v>64000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관양동 동편마을3단지</t>
        </is>
      </c>
      <c r="B49" s="74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125000</v>
      </c>
      <c r="J49" s="127" t="inlineStr">
        <is>
          <t>5</t>
        </is>
      </c>
      <c r="K49" s="127" t="n">
        <v>63000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관양동 동편마을3단지</t>
        </is>
      </c>
      <c r="B50" s="74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120000</v>
      </c>
      <c r="J50" s="127" t="inlineStr">
        <is>
          <t>고</t>
        </is>
      </c>
      <c r="K50" s="127" t="n">
        <v>64000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관양동 동편마을3단지</t>
        </is>
      </c>
      <c r="B51" s="74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124000</v>
      </c>
      <c r="J51" s="127" t="inlineStr">
        <is>
          <t>6</t>
        </is>
      </c>
      <c r="K51" s="127" t="n">
        <v>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관양동 동편마을3단지</t>
        </is>
      </c>
      <c r="B52" s="74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122000</v>
      </c>
      <c r="J52" s="127" t="inlineStr">
        <is>
          <t>7</t>
        </is>
      </c>
      <c r="K52" s="127" t="n">
        <v>65000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관양동 동편마을3단지</t>
        </is>
      </c>
      <c r="B53" s="74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120000</v>
      </c>
      <c r="J53" s="127" t="inlineStr">
        <is>
          <t>고</t>
        </is>
      </c>
      <c r="K53" s="127" t="n">
        <v>64000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관양동 동편마을3단지</t>
        </is>
      </c>
      <c r="B54" s="74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124000</v>
      </c>
      <c r="J54" s="127" t="inlineStr">
        <is>
          <t>6</t>
        </is>
      </c>
      <c r="K54" s="127" t="n">
        <v>55000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관양동 공작럭키</t>
        </is>
      </c>
      <c r="B55" s="74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56000</v>
      </c>
      <c r="J55" s="127" t="inlineStr">
        <is>
          <t>14</t>
        </is>
      </c>
      <c r="K55" s="127" t="n">
        <v>28000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관양동 현대</t>
        </is>
      </c>
      <c r="B56" s="74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>
        <v>125000</v>
      </c>
      <c r="J56" s="127" t="inlineStr">
        <is>
          <t>8</t>
        </is>
      </c>
      <c r="K56" s="127" t="n">
        <v>42000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관양동 현대</t>
        </is>
      </c>
      <c r="B57" s="74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9</t>
        </is>
      </c>
      <c r="K57" s="127" t="n">
        <v>40000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관양동 현대</t>
        </is>
      </c>
      <c r="B58" s="74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>
        <v>135000</v>
      </c>
      <c r="J58" s="127" t="inlineStr">
        <is>
          <t>8</t>
        </is>
      </c>
      <c r="K58" s="127" t="n">
        <v>40000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관양동 현대</t>
        </is>
      </c>
      <c r="B59" s="74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160000</v>
      </c>
      <c r="J59" s="127" t="inlineStr">
        <is>
          <t>중</t>
        </is>
      </c>
      <c r="K59" s="127" t="n">
        <v>49000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관양동 공작부영</t>
        </is>
      </c>
      <c r="B60" s="74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44000</v>
      </c>
      <c r="J60" s="127" t="inlineStr">
        <is>
          <t>고</t>
        </is>
      </c>
      <c r="K60" s="127" t="n">
        <v>21000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관양동 공작부영</t>
        </is>
      </c>
      <c r="B61" s="74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64000</v>
      </c>
      <c r="J61" s="127" t="inlineStr">
        <is>
          <t>고</t>
        </is>
      </c>
      <c r="K61" s="127" t="n">
        <v>35000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관양동 공작부영</t>
        </is>
      </c>
      <c r="B62" s="74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73000</v>
      </c>
      <c r="J62" s="127" t="inlineStr">
        <is>
          <t>중</t>
        </is>
      </c>
      <c r="K62" s="127" t="n">
        <v>38000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관양동 공작성일</t>
        </is>
      </c>
      <c r="B63" s="74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43000</v>
      </c>
      <c r="J63" s="127" t="inlineStr">
        <is>
          <t>고</t>
        </is>
      </c>
      <c r="K63" s="127" t="n">
        <v>24000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관양동 공작성일</t>
        </is>
      </c>
      <c r="B64" s="74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80000</v>
      </c>
      <c r="J64" s="127" t="inlineStr">
        <is>
          <t>고</t>
        </is>
      </c>
      <c r="K64" s="127" t="n">
        <v>40000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관양동 공작성일</t>
        </is>
      </c>
      <c r="B65" s="74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83000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관양동 한가람삼성</t>
        </is>
      </c>
      <c r="B66" s="74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72000</v>
      </c>
      <c r="J66" s="127" t="inlineStr">
        <is>
          <t>15</t>
        </is>
      </c>
      <c r="K66" s="127" t="n">
        <v>37000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관양동 한가람삼성</t>
        </is>
      </c>
      <c r="B67" s="74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90000</v>
      </c>
      <c r="J67" s="127" t="inlineStr">
        <is>
          <t>고</t>
        </is>
      </c>
      <c r="K67" s="127" t="n">
        <v>55000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비산동 한양수자인평촌리버뷰</t>
        </is>
      </c>
      <c r="B68" s="74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>
        <v>100000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비산동 한양수자인평촌리버뷰</t>
        </is>
      </c>
      <c r="B69" s="74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67000</v>
      </c>
      <c r="J69" s="127" t="inlineStr">
        <is>
          <t>12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2</v>
      </c>
      <c r="S69" s="114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비산동 한양수자인평촌리버뷰</t>
        </is>
      </c>
      <c r="B70" s="74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80000</v>
      </c>
      <c r="J70" s="127" t="inlineStr">
        <is>
          <t>18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2</v>
      </c>
      <c r="S70" s="114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비산동 한양수자인평촌리버뷰</t>
        </is>
      </c>
      <c r="B71" s="74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100000</v>
      </c>
      <c r="J71" s="127" t="inlineStr">
        <is>
          <t>고</t>
        </is>
      </c>
      <c r="K71" s="127" t="n">
        <v>52000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비산동 한양수자인평촌리버뷰</t>
        </is>
      </c>
      <c r="B72" s="74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90000</v>
      </c>
      <c r="J72" s="127" t="inlineStr">
        <is>
          <t>16</t>
        </is>
      </c>
      <c r="K72" s="127" t="n">
        <v>48000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비산동 샛별한양2단지</t>
        </is>
      </c>
      <c r="B73" s="74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50000</v>
      </c>
      <c r="J73" s="127" t="inlineStr">
        <is>
          <t>12</t>
        </is>
      </c>
      <c r="K73" s="127" t="n">
        <v>18900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비산동 샛별한양2단지</t>
        </is>
      </c>
      <c r="B74" s="74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70000</v>
      </c>
      <c r="J74" s="127" t="inlineStr">
        <is>
          <t>8</t>
        </is>
      </c>
      <c r="K74" s="127" t="n">
        <v>36000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비산동 샛별한양2단지</t>
        </is>
      </c>
      <c r="B75" s="74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95000</v>
      </c>
      <c r="J75" s="127" t="inlineStr">
        <is>
          <t>7</t>
        </is>
      </c>
      <c r="K75" s="127" t="n">
        <v>47000</v>
      </c>
      <c r="L75" s="127" t="inlineStr">
        <is>
          <t>21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비산동 평촌자이아이파크</t>
        </is>
      </c>
      <c r="B76" s="74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/>
      <c r="J76" s="127" t="n"/>
      <c r="K76" s="127" t="n">
        <v>29370</v>
      </c>
      <c r="L76" s="127" t="inlineStr">
        <is>
          <t>21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비산동 평촌자이아이파크</t>
        </is>
      </c>
      <c r="B77" s="74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42000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비산동 평촌자이아이파크</t>
        </is>
      </c>
      <c r="B78" s="74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>
        <v>80000</v>
      </c>
      <c r="J78" s="127" t="inlineStr">
        <is>
          <t>27</t>
        </is>
      </c>
      <c r="K78" s="127" t="n">
        <v>45000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비산동 평촌자이아이파크</t>
        </is>
      </c>
      <c r="B79" s="74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43000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비산동 평촌자이아이파크</t>
        </is>
      </c>
      <c r="B80" s="74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45000</v>
      </c>
      <c r="L80" s="127" t="inlineStr">
        <is>
          <t>25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비산동 평촌자이아이파크</t>
        </is>
      </c>
      <c r="B81" s="74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90000</v>
      </c>
      <c r="J81" s="127" t="inlineStr">
        <is>
          <t>10</t>
        </is>
      </c>
      <c r="K81" s="127" t="n">
        <v>57000</v>
      </c>
      <c r="L81" s="127" t="inlineStr">
        <is>
          <t>23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비산동 평촌자이아이파크</t>
        </is>
      </c>
      <c r="B82" s="74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90000</v>
      </c>
      <c r="J82" s="127" t="inlineStr">
        <is>
          <t>8</t>
        </is>
      </c>
      <c r="K82" s="127" t="n">
        <v>50000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비산동 평촌자이아이파크</t>
        </is>
      </c>
      <c r="B83" s="74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58000</v>
      </c>
      <c r="L83" s="127" t="inlineStr">
        <is>
          <t>23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비산동 평촌자이아이파크</t>
        </is>
      </c>
      <c r="B84" s="74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/>
      <c r="J84" s="127" t="n"/>
      <c r="K84" s="127" t="n">
        <v>60000</v>
      </c>
      <c r="L84" s="127" t="inlineStr">
        <is>
          <t>20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비산동 평촌자이아이파크</t>
        </is>
      </c>
      <c r="B85" s="74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120000</v>
      </c>
      <c r="J85" s="127" t="inlineStr">
        <is>
          <t>중</t>
        </is>
      </c>
      <c r="K85" s="127" t="n">
        <v>58000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비산동 평촌자이아이파크</t>
        </is>
      </c>
      <c r="B86" s="74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110000</v>
      </c>
      <c r="J86" s="127" t="inlineStr">
        <is>
          <t>고</t>
        </is>
      </c>
      <c r="K86" s="127" t="n">
        <v>60000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119000</v>
      </c>
      <c r="J87" s="127" t="inlineStr">
        <is>
          <t>19</t>
        </is>
      </c>
      <c r="K87" s="127" t="n">
        <v>70000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비산동 평촌자이아이파크</t>
        </is>
      </c>
      <c r="B88" s="74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118000</v>
      </c>
      <c r="J88" s="127" t="inlineStr">
        <is>
          <t>16</t>
        </is>
      </c>
      <c r="K88" s="127" t="n">
        <v>62000</v>
      </c>
      <c r="L88" s="127" t="inlineStr">
        <is>
          <t>24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비산동 평촌자이아이파크</t>
        </is>
      </c>
      <c r="B89" s="74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80000</v>
      </c>
      <c r="L89" s="127" t="inlineStr">
        <is>
          <t>20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비산동 샛별한양3단지</t>
        </is>
      </c>
      <c r="B90" s="74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49000</v>
      </c>
      <c r="J90" s="127" t="inlineStr">
        <is>
          <t>9</t>
        </is>
      </c>
      <c r="K90" s="127" t="n">
        <v>24000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비산동 샛별한양3단지</t>
        </is>
      </c>
      <c r="B91" s="74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73000</v>
      </c>
      <c r="J91" s="127" t="inlineStr">
        <is>
          <t>6</t>
        </is>
      </c>
      <c r="K91" s="127" t="n">
        <v>40000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비산동 샛별한양3단지</t>
        </is>
      </c>
      <c r="B92" s="74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100000</v>
      </c>
      <c r="J92" s="127" t="inlineStr">
        <is>
          <t>10</t>
        </is>
      </c>
      <c r="K92" s="127" t="n">
        <v>44000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비산동 비산롯데캐슬</t>
        </is>
      </c>
      <c r="B93" s="74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>
        <v>38000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비산동 비산롯데캐슬</t>
        </is>
      </c>
      <c r="B94" s="74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78000</v>
      </c>
      <c r="J94" s="127" t="inlineStr">
        <is>
          <t>고</t>
        </is>
      </c>
      <c r="K94" s="127" t="n">
        <v>43000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비산동 비산롯데캐슬</t>
        </is>
      </c>
      <c r="B95" s="74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비산동 비산롯데캐슬</t>
        </is>
      </c>
      <c r="B96" s="74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90000</v>
      </c>
      <c r="J96" s="127" t="inlineStr">
        <is>
          <t>17</t>
        </is>
      </c>
      <c r="K96" s="127" t="n">
        <v>65000</v>
      </c>
      <c r="L96" s="127" t="inlineStr">
        <is>
          <t>20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비산동 은하수(청구)</t>
        </is>
      </c>
      <c r="B97" s="74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69500</v>
      </c>
      <c r="J97" s="127" t="inlineStr">
        <is>
          <t>중</t>
        </is>
      </c>
      <c r="K97" s="127" t="n">
        <v>38000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비산동 은하수(청구)</t>
        </is>
      </c>
      <c r="B98" s="74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고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비산동 은하수(청구)</t>
        </is>
      </c>
      <c r="B99" s="74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90000</v>
      </c>
      <c r="J99" s="127" t="inlineStr">
        <is>
          <t>고</t>
        </is>
      </c>
      <c r="K99" s="127" t="n">
        <v>53000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비산동 은하수(청구)</t>
        </is>
      </c>
      <c r="B100" s="74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112000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비산동 평촌엘프라우드</t>
        </is>
      </c>
      <c r="B101" s="74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비산동 평촌엘프라우드</t>
        </is>
      </c>
      <c r="B102" s="74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비산동 평촌엘프라우드</t>
        </is>
      </c>
      <c r="B103" s="74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비산동 평촌엘프라우드</t>
        </is>
      </c>
      <c r="B104" s="74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비산동 평촌엘프라우드</t>
        </is>
      </c>
      <c r="B105" s="74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비산동 평촌엘프라우드</t>
        </is>
      </c>
      <c r="B106" s="74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비산동 평촌엘프라우드</t>
        </is>
      </c>
      <c r="B107" s="74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비산동 평촌엘프라우드</t>
        </is>
      </c>
      <c r="B108" s="74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비산동 평촌엘프라우드</t>
        </is>
      </c>
      <c r="B109" s="74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비산동 평촌엘프라우드</t>
        </is>
      </c>
      <c r="B110" s="74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비산동 힐스테이트비산파크뷰</t>
        </is>
      </c>
      <c r="B111" s="74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>
        <v>48000</v>
      </c>
      <c r="L111" s="127" t="inlineStr">
        <is>
          <t>25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비산동 힐스테이트비산파크뷰</t>
        </is>
      </c>
      <c r="B112" s="74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/>
      <c r="J112" s="127" t="n"/>
      <c r="K112" s="127" t="n">
        <v>55000</v>
      </c>
      <c r="L112" s="127" t="inlineStr">
        <is>
          <t>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비산동 비산삼성래미안</t>
        </is>
      </c>
      <c r="B113" s="74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72000</v>
      </c>
      <c r="J113" s="127" t="inlineStr">
        <is>
          <t>9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비산동 비산삼성래미안</t>
        </is>
      </c>
      <c r="B114" s="74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70500</v>
      </c>
      <c r="J114" s="127" t="inlineStr">
        <is>
          <t>5</t>
        </is>
      </c>
      <c r="K114" s="127" t="n">
        <v>43000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69000</v>
      </c>
      <c r="J115" s="127" t="inlineStr">
        <is>
          <t>9</t>
        </is>
      </c>
      <c r="K115" s="127" t="n">
        <v>43000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비산동 비산삼성래미안</t>
        </is>
      </c>
      <c r="B116" s="74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80000</v>
      </c>
      <c r="J116" s="127" t="inlineStr">
        <is>
          <t>중</t>
        </is>
      </c>
      <c r="K116" s="127" t="n">
        <v>50000</v>
      </c>
      <c r="L116" s="127" t="inlineStr">
        <is>
          <t>22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비산동 비산삼성래미안</t>
        </is>
      </c>
      <c r="B117" s="74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95000</v>
      </c>
      <c r="J117" s="127" t="inlineStr">
        <is>
          <t>22</t>
        </is>
      </c>
      <c r="K117" s="127" t="n">
        <v>60000</v>
      </c>
      <c r="L117" s="127" t="inlineStr">
        <is>
          <t>11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비산동 비산삼성래미안</t>
        </is>
      </c>
      <c r="B118" s="74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105000</v>
      </c>
      <c r="J118" s="127" t="inlineStr">
        <is>
          <t>26</t>
        </is>
      </c>
      <c r="K118" s="127" t="n">
        <v>65000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비산동 비산삼성래미안</t>
        </is>
      </c>
      <c r="B119" s="74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120000</v>
      </c>
      <c r="J119" s="127" t="inlineStr">
        <is>
          <t>고</t>
        </is>
      </c>
      <c r="K119" s="127" t="n">
        <v>75000</v>
      </c>
      <c r="L119" s="127" t="inlineStr">
        <is>
          <t>19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120000</v>
      </c>
      <c r="J120" s="127" t="inlineStr">
        <is>
          <t>중</t>
        </is>
      </c>
      <c r="K120" s="127" t="n">
        <v>70000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3</v>
      </c>
      <c r="S120" s="114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비산동 뉴타운1,2,3차</t>
        </is>
      </c>
      <c r="B121" s="74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비산동 뉴타운1,2,3차</t>
        </is>
      </c>
      <c r="B122" s="74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비산동 뉴타운1,2,3차</t>
        </is>
      </c>
      <c r="B123" s="74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비산동 뉴타운1,2,3차</t>
        </is>
      </c>
      <c r="B124" s="74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비산동 뉴타운1,2,3차</t>
        </is>
      </c>
      <c r="B125" s="74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비산동 뉴타운1,2,3차</t>
        </is>
      </c>
      <c r="B126" s="74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비산동 뉴타운1,2,3차</t>
        </is>
      </c>
      <c r="B127" s="74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비산동 뉴타운1,2,3차</t>
        </is>
      </c>
      <c r="B128" s="74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비산동 뉴타운1,2,3차</t>
        </is>
      </c>
      <c r="B129" s="74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비산동 뉴타운1,2,3차</t>
        </is>
      </c>
      <c r="B130" s="74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비산동 뉴타운1,2,3차</t>
        </is>
      </c>
      <c r="B131" s="74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비산동 뉴타운1,2,3차</t>
        </is>
      </c>
      <c r="B132" s="74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비산동 뉴타운1,2,3차</t>
        </is>
      </c>
      <c r="B133" s="74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비산동 뉴타운1,2,3차</t>
        </is>
      </c>
      <c r="B134" s="74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비산동 뉴타운1,2,3차</t>
        </is>
      </c>
      <c r="B135" s="74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비산동 뉴타운1,2,3차</t>
        </is>
      </c>
      <c r="B136" s="74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비산동 뉴타운1,2,3차</t>
        </is>
      </c>
      <c r="B137" s="74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비산동 뉴타운1,2,3차</t>
        </is>
      </c>
      <c r="B138" s="74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비산동 뉴타운1,2,3차</t>
        </is>
      </c>
      <c r="B139" s="74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비산동 뉴타운1,2,3차</t>
        </is>
      </c>
      <c r="B140" s="74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비산동 뉴타운1,2,3차</t>
        </is>
      </c>
      <c r="B141" s="74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비산동 뉴타운1,2,3차</t>
        </is>
      </c>
      <c r="B142" s="74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비산동 뉴타운1,2,3차</t>
        </is>
      </c>
      <c r="B143" s="74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비산동 뉴타운1,2,3차</t>
        </is>
      </c>
      <c r="B144" s="74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비산동 뉴타운1,2,3차</t>
        </is>
      </c>
      <c r="B145" s="74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비산동 뉴타운1,2,3차</t>
        </is>
      </c>
      <c r="B146" s="74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비산동 뉴타운1,2,3차</t>
        </is>
      </c>
      <c r="B147" s="74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비산동 뉴타운1,2,3차</t>
        </is>
      </c>
      <c r="B148" s="74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비산동 뉴타운1,2,3차</t>
        </is>
      </c>
      <c r="B149" s="74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비산동 뉴타운1,2,3차</t>
        </is>
      </c>
      <c r="B150" s="74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비산동 뉴타운1,2,3차</t>
        </is>
      </c>
      <c r="B151" s="74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비산동 뉴타운1,2,3차</t>
        </is>
      </c>
      <c r="B152" s="74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비산동 뉴타운1,2,3차</t>
        </is>
      </c>
      <c r="B153" s="74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비산동 뉴타운1,2,3차</t>
        </is>
      </c>
      <c r="B154" s="74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비산동 뉴타운1,2,3차</t>
        </is>
      </c>
      <c r="B155" s="74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비산동 뉴타운1,2,3차</t>
        </is>
      </c>
      <c r="B156" s="74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비산동 뉴타운1,2,3차</t>
        </is>
      </c>
      <c r="B157" s="74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비산동 뉴타운1,2,3차</t>
        </is>
      </c>
      <c r="B158" s="74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비산동 뉴타운1,2,3차</t>
        </is>
      </c>
      <c r="B159" s="74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비산동 뉴타운1,2,3차</t>
        </is>
      </c>
      <c r="B160" s="74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비산동 뉴타운1,2,3차</t>
        </is>
      </c>
      <c r="B161" s="74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비산동 뉴타운1,2,3차</t>
        </is>
      </c>
      <c r="B162" s="74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비산동 뉴타운1,2,3차</t>
        </is>
      </c>
      <c r="B163" s="74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비산동 뉴타운1,2,3차</t>
        </is>
      </c>
      <c r="B164" s="74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비산동 뉴타운1,2,3차</t>
        </is>
      </c>
      <c r="B165" s="74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비산동 뉴타운1,2,3차</t>
        </is>
      </c>
      <c r="B166" s="74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비산동 관악(성원)</t>
        </is>
      </c>
      <c r="B167" s="74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>
        <v>45000</v>
      </c>
      <c r="J167" s="127" t="inlineStr">
        <is>
          <t>9</t>
        </is>
      </c>
      <c r="K167" s="127" t="n">
        <v>21000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비산동 관악(성원)</t>
        </is>
      </c>
      <c r="B168" s="74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>
        <v>45000</v>
      </c>
      <c r="J168" s="127" t="inlineStr">
        <is>
          <t>9</t>
        </is>
      </c>
      <c r="K168" s="127" t="n">
        <v>21000</v>
      </c>
      <c r="L168" s="127" t="inlineStr">
        <is>
          <t>10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비산동 관악(성원)</t>
        </is>
      </c>
      <c r="B169" s="74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46000</v>
      </c>
      <c r="J169" s="127" t="inlineStr">
        <is>
          <t>고</t>
        </is>
      </c>
      <c r="K169" s="127" t="n">
        <v>25000</v>
      </c>
      <c r="L169" s="127" t="inlineStr">
        <is>
          <t>9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비산동 관악(성원)</t>
        </is>
      </c>
      <c r="B170" s="74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58000</v>
      </c>
      <c r="J170" s="127" t="inlineStr">
        <is>
          <t>12</t>
        </is>
      </c>
      <c r="K170" s="127" t="n">
        <v>35000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비산동 대광로제비앙</t>
        </is>
      </c>
      <c r="B171" s="74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비산동 대광로제비앙</t>
        </is>
      </c>
      <c r="B172" s="74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비산동 대광로제비앙</t>
        </is>
      </c>
      <c r="B173" s="74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비산동 대광로제비앙</t>
        </is>
      </c>
      <c r="B174" s="74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비산동 대광로제비앙</t>
        </is>
      </c>
      <c r="B175" s="74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비산동 대광로제비앙</t>
        </is>
      </c>
      <c r="B176" s="74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비산동 관악(부영)</t>
        </is>
      </c>
      <c r="B177" s="74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67000</v>
      </c>
      <c r="J177" s="127" t="inlineStr">
        <is>
          <t>고</t>
        </is>
      </c>
      <c r="K177" s="127" t="n">
        <v>39000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비산동 관악(부영)</t>
        </is>
      </c>
      <c r="B178" s="74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86000</v>
      </c>
      <c r="J178" s="127" t="inlineStr">
        <is>
          <t>중</t>
        </is>
      </c>
      <c r="K178" s="127" t="n">
        <v>46000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비산동 은하수,샛별5,6단지</t>
        </is>
      </c>
      <c r="B179" s="74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34000</v>
      </c>
      <c r="J179" s="127" t="inlineStr">
        <is>
          <t>6</t>
        </is>
      </c>
      <c r="K179" s="127" t="n">
        <v>20000</v>
      </c>
      <c r="L179" s="127" t="inlineStr">
        <is>
          <t>10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1</v>
      </c>
      <c r="R179" s="114" t="n">
        <v>1</v>
      </c>
      <c r="S179" s="114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비산동 은하수,샛별5,6단지</t>
        </is>
      </c>
      <c r="B180" s="74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45000</v>
      </c>
      <c r="J180" s="127" t="inlineStr">
        <is>
          <t>15</t>
        </is>
      </c>
      <c r="K180" s="127" t="n">
        <v>22000</v>
      </c>
      <c r="L180" s="127" t="inlineStr">
        <is>
          <t>14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비산동 은하수,샛별5,6단지</t>
        </is>
      </c>
      <c r="B181" s="74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56000</v>
      </c>
      <c r="J181" s="127" t="inlineStr">
        <is>
          <t>중</t>
        </is>
      </c>
      <c r="K181" s="127" t="n">
        <v>25000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비산동 은하수,샛별5,6단지</t>
        </is>
      </c>
      <c r="B182" s="74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>
        <v>70000</v>
      </c>
      <c r="J182" s="127" t="inlineStr">
        <is>
          <t>5</t>
        </is>
      </c>
      <c r="K182" s="127" t="n">
        <v>33000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비산동 은하수,샛별5,6단지</t>
        </is>
      </c>
      <c r="B183" s="74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72000</v>
      </c>
      <c r="J183" s="127" t="inlineStr">
        <is>
          <t>16</t>
        </is>
      </c>
      <c r="K183" s="127" t="n">
        <v>35000</v>
      </c>
      <c r="L183" s="127" t="inlineStr">
        <is>
          <t>20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비산동 그린빌주공</t>
        </is>
      </c>
      <c r="B184" s="74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비산동 그린빌주공</t>
        </is>
      </c>
      <c r="B185" s="74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비산동 그린빌주공</t>
        </is>
      </c>
      <c r="B186" s="74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비산동 그린빌주공</t>
        </is>
      </c>
      <c r="B187" s="74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비산동 그린빌주공</t>
        </is>
      </c>
      <c r="B188" s="74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비산동 그린빌주공</t>
        </is>
      </c>
      <c r="B189" s="74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비산동 그린빌주공</t>
        </is>
      </c>
      <c r="B190" s="74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비산동 그린빌주공</t>
        </is>
      </c>
      <c r="B191" s="74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비산동 그린빌주공</t>
        </is>
      </c>
      <c r="B192" s="74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비산동 그린빌주공</t>
        </is>
      </c>
      <c r="B193" s="74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비산동 그린빌주공</t>
        </is>
      </c>
      <c r="B194" s="74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비산동 그린빌주공</t>
        </is>
      </c>
      <c r="B195" s="74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비산동 그린빌주공</t>
        </is>
      </c>
      <c r="B196" s="74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비산동 그린빌주공</t>
        </is>
      </c>
      <c r="B197" s="74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비산동 그린빌주공</t>
        </is>
      </c>
      <c r="B198" s="74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비산동 그린빌주공</t>
        </is>
      </c>
      <c r="B199" s="74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비산동 그린빌주공</t>
        </is>
      </c>
      <c r="B200" s="74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비산동 그린빌주공</t>
        </is>
      </c>
      <c r="B201" s="74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비산동 그린빌주공</t>
        </is>
      </c>
      <c r="B202" s="74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비산동 그린빌주공</t>
        </is>
      </c>
      <c r="B203" s="74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비산동 뉴타운4차</t>
        </is>
      </c>
      <c r="B204" s="74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비산동 뉴타운4차</t>
        </is>
      </c>
      <c r="B205" s="74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비산동 뉴타운4차</t>
        </is>
      </c>
      <c r="B206" s="74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>
        <v>120000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비산동 뉴타운4차</t>
        </is>
      </c>
      <c r="B207" s="74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비산동 샛별한양1단지</t>
        </is>
      </c>
      <c r="B208" s="74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48000</v>
      </c>
      <c r="J208" s="127" t="inlineStr">
        <is>
          <t>10</t>
        </is>
      </c>
      <c r="K208" s="127" t="n">
        <v>20000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비산동 샛별한양1단지</t>
        </is>
      </c>
      <c r="B209" s="74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55000</v>
      </c>
      <c r="J209" s="127" t="inlineStr">
        <is>
          <t>고</t>
        </is>
      </c>
      <c r="K209" s="127" t="n">
        <v>24000</v>
      </c>
      <c r="L209" s="127" t="inlineStr">
        <is>
          <t>12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비산동 샛별한양1단지</t>
        </is>
      </c>
      <c r="B210" s="74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48000</v>
      </c>
      <c r="J210" s="127" t="inlineStr">
        <is>
          <t>중</t>
        </is>
      </c>
      <c r="K210" s="127" t="n">
        <v>21000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비산동 뉴타운5차</t>
        </is>
      </c>
      <c r="B211" s="74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>
        <v>115000</v>
      </c>
      <c r="J211" s="127" t="inlineStr">
        <is>
          <t>14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비산동 뉴타운5차</t>
        </is>
      </c>
      <c r="B212" s="74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비산동 뉴타운5차</t>
        </is>
      </c>
      <c r="B213" s="74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135000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비산동 뉴타운5차</t>
        </is>
      </c>
      <c r="B214" s="74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비산동 성원</t>
        </is>
      </c>
      <c r="B215" s="74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비산동 성원</t>
        </is>
      </c>
      <c r="B216" s="74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비산동 비산한신더휴</t>
        </is>
      </c>
      <c r="B217" s="74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비산동 비산한신더휴</t>
        </is>
      </c>
      <c r="B218" s="74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비산동 비산한신더휴</t>
        </is>
      </c>
      <c r="B219" s="74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비산동 은하수(신성)</t>
        </is>
      </c>
      <c r="B220" s="74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85000</v>
      </c>
      <c r="J220" s="127" t="inlineStr">
        <is>
          <t>18</t>
        </is>
      </c>
      <c r="K220" s="127" t="n">
        <v>45000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비산동 은하수(신성)</t>
        </is>
      </c>
      <c r="B221" s="74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98000</v>
      </c>
      <c r="J221" s="127" t="inlineStr">
        <is>
          <t>고</t>
        </is>
      </c>
      <c r="K221" s="127" t="n">
        <v>49000</v>
      </c>
      <c r="L221" s="127" t="inlineStr">
        <is>
          <t>9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비산동 비산e-편한세상</t>
        </is>
      </c>
      <c r="B222" s="74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비산동 비산e-편한세상</t>
        </is>
      </c>
      <c r="B223" s="74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90000</v>
      </c>
      <c r="J223" s="127" t="inlineStr">
        <is>
          <t>고</t>
        </is>
      </c>
      <c r="K223" s="127" t="n">
        <v>65000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비산동 비산e-편한세상</t>
        </is>
      </c>
      <c r="B224" s="74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92000</v>
      </c>
      <c r="J224" s="127" t="inlineStr">
        <is>
          <t>중</t>
        </is>
      </c>
      <c r="K224" s="127" t="n">
        <v>63000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비산동 비산e-편한세상</t>
        </is>
      </c>
      <c r="B225" s="74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/>
      <c r="J225" s="127" t="n"/>
      <c r="K225" s="127" t="n">
        <v>53000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비산동 비산e-편한세상</t>
        </is>
      </c>
      <c r="B226" s="74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110000</v>
      </c>
      <c r="J226" s="127" t="inlineStr">
        <is>
          <t>8</t>
        </is>
      </c>
      <c r="K226" s="127" t="n">
        <v>60000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비산동 비산e-편한세상</t>
        </is>
      </c>
      <c r="B227" s="74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비산동 비산한화꿈에그린</t>
        </is>
      </c>
      <c r="B228" s="74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72000</v>
      </c>
      <c r="J228" s="127" t="inlineStr">
        <is>
          <t>9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비산동 비산한화꿈에그린</t>
        </is>
      </c>
      <c r="B229" s="74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83000</v>
      </c>
      <c r="J229" s="127" t="inlineStr">
        <is>
          <t>8</t>
        </is>
      </c>
      <c r="K229" s="127" t="n">
        <v>51000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비산동 비산한화꿈에그린</t>
        </is>
      </c>
      <c r="B230" s="74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110000</v>
      </c>
      <c r="J230" s="127" t="inlineStr">
        <is>
          <t>15</t>
        </is>
      </c>
      <c r="K230" s="127" t="n">
        <v>75000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비산동 비산한화꿈에그린</t>
        </is>
      </c>
      <c r="B231" s="74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5</v>
      </c>
      <c r="R231" s="114" t="n">
        <v>2</v>
      </c>
      <c r="S231" s="114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비산동 비산힐스테이트</t>
        </is>
      </c>
      <c r="B232" s="74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64000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비산동 비산힐스테이트</t>
        </is>
      </c>
      <c r="B233" s="74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70000</v>
      </c>
      <c r="J233" s="127" t="inlineStr">
        <is>
          <t>중</t>
        </is>
      </c>
      <c r="K233" s="127" t="n">
        <v>45000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비산동 비산힐스테이트</t>
        </is>
      </c>
      <c r="B234" s="74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비산동 미륭</t>
        </is>
      </c>
      <c r="B235" s="74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비산동 미륭</t>
        </is>
      </c>
      <c r="B236" s="74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비산동 미륭</t>
        </is>
      </c>
      <c r="B237" s="74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비산동 미륭</t>
        </is>
      </c>
      <c r="B238" s="74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비산동 미륭</t>
        </is>
      </c>
      <c r="B239" s="74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비산동 미륭</t>
        </is>
      </c>
      <c r="B240" s="74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비산동 미륭</t>
        </is>
      </c>
      <c r="B241" s="74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비산동 미륭</t>
        </is>
      </c>
      <c r="B242" s="74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비산동 미륭</t>
        </is>
      </c>
      <c r="B243" s="74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비산동 미륭</t>
        </is>
      </c>
      <c r="B244" s="74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비산동 미륭</t>
        </is>
      </c>
      <c r="B245" s="74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비산동 미륭</t>
        </is>
      </c>
      <c r="B246" s="74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비산동 미륭</t>
        </is>
      </c>
      <c r="B247" s="74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비산동 미륭</t>
        </is>
      </c>
      <c r="B248" s="74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비산동 미륭</t>
        </is>
      </c>
      <c r="B249" s="74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비산동 미륭</t>
        </is>
      </c>
      <c r="B250" s="74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비산동 은하수(벽산)</t>
        </is>
      </c>
      <c r="B251" s="74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비산동 은하수(벽산)</t>
        </is>
      </c>
      <c r="B252" s="74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>
        <v>78000</v>
      </c>
      <c r="J252" s="127" t="inlineStr">
        <is>
          <t>8</t>
        </is>
      </c>
      <c r="K252" s="127" t="n">
        <v>37000</v>
      </c>
      <c r="L252" s="127" t="inlineStr">
        <is>
          <t>8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비산동 은하수(벽산)</t>
        </is>
      </c>
      <c r="B253" s="74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비산동 은하수(벽산)</t>
        </is>
      </c>
      <c r="B254" s="74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120000</v>
      </c>
      <c r="J254" s="127" t="inlineStr">
        <is>
          <t>11</t>
        </is>
      </c>
      <c r="K254" s="127" t="n">
        <v>59000</v>
      </c>
      <c r="L254" s="127" t="inlineStr">
        <is>
          <t>12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비산동 평촌래미안푸르지오</t>
        </is>
      </c>
      <c r="B255" s="74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비산동 평촌래미안푸르지오</t>
        </is>
      </c>
      <c r="B256" s="74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110000</v>
      </c>
      <c r="J256" s="127" t="inlineStr">
        <is>
          <t>6</t>
        </is>
      </c>
      <c r="K256" s="127" t="n">
        <v>60000</v>
      </c>
      <c r="L256" s="127" t="inlineStr">
        <is>
          <t>중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110000</v>
      </c>
      <c r="J257" s="127" t="inlineStr">
        <is>
          <t>8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130000</v>
      </c>
      <c r="J258" s="127" t="inlineStr">
        <is>
          <t>18</t>
        </is>
      </c>
      <c r="K258" s="127" t="n">
        <v>60000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165000</v>
      </c>
      <c r="J259" s="127" t="inlineStr">
        <is>
          <t>27</t>
        </is>
      </c>
      <c r="K259" s="127" t="n">
        <v>70000</v>
      </c>
      <c r="L259" s="127" t="inlineStr">
        <is>
          <t>19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비산동 평촌래미안푸르지오</t>
        </is>
      </c>
      <c r="B260" s="74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>
        <v>155000</v>
      </c>
      <c r="J260" s="127" t="inlineStr">
        <is>
          <t>고</t>
        </is>
      </c>
      <c r="K260" s="127" t="n">
        <v>69000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비산동 평촌래미안푸르지오</t>
        </is>
      </c>
      <c r="B261" s="74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79000</v>
      </c>
      <c r="L261" s="127" t="inlineStr">
        <is>
          <t>35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>
        <v>180000</v>
      </c>
      <c r="J262" s="127" t="inlineStr">
        <is>
          <t>고</t>
        </is>
      </c>
      <c r="K262" s="127" t="n">
        <v>94000</v>
      </c>
      <c r="L262" s="127" t="inlineStr">
        <is>
          <t>35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>
        <v>70000</v>
      </c>
      <c r="L263" s="127" t="inlineStr">
        <is>
          <t>19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비산동 평촌래미안푸르지오</t>
        </is>
      </c>
      <c r="B264" s="74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110000</v>
      </c>
      <c r="L264" s="127" t="inlineStr">
        <is>
          <t>18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비산동 평촌래미안푸르지오</t>
        </is>
      </c>
      <c r="B265" s="74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비산동 관악(동성,현대,청구)</t>
        </is>
      </c>
      <c r="B266" s="74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65000</v>
      </c>
      <c r="J266" s="127" t="inlineStr">
        <is>
          <t>15</t>
        </is>
      </c>
      <c r="K266" s="127" t="n">
        <v>35000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비산동 관악(동성,현대,청구)</t>
        </is>
      </c>
      <c r="B267" s="74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82000</v>
      </c>
      <c r="J267" s="127" t="inlineStr">
        <is>
          <t>9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비산동 관악(동성,현대,청구)</t>
        </is>
      </c>
      <c r="B268" s="74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83000</v>
      </c>
      <c r="J268" s="127" t="inlineStr">
        <is>
          <t>중</t>
        </is>
      </c>
      <c r="K268" s="127" t="n">
        <v>45000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비산동 관악(동성,현대,청구)</t>
        </is>
      </c>
      <c r="B269" s="74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89000</v>
      </c>
      <c r="J269" s="127" t="inlineStr">
        <is>
          <t>중</t>
        </is>
      </c>
      <c r="K269" s="127" t="n">
        <v>47000</v>
      </c>
      <c r="L269" s="127" t="inlineStr">
        <is>
          <t>11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비산동 관악(동성,현대,청구)</t>
        </is>
      </c>
      <c r="B270" s="74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83000</v>
      </c>
      <c r="J270" s="127" t="inlineStr">
        <is>
          <t>12</t>
        </is>
      </c>
      <c r="K270" s="127" t="n">
        <v>52000</v>
      </c>
      <c r="L270" s="127" t="inlineStr">
        <is>
          <t>중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비산동 안양임곡휴먼시아</t>
        </is>
      </c>
      <c r="B271" s="74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50000</v>
      </c>
      <c r="J271" s="127" t="inlineStr">
        <is>
          <t>13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비산동 안양임곡휴먼시아</t>
        </is>
      </c>
      <c r="B272" s="74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55000</v>
      </c>
      <c r="J272" s="127" t="inlineStr">
        <is>
          <t>11</t>
        </is>
      </c>
      <c r="K272" s="127" t="n">
        <v>30000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비산동 안양임곡휴먼시아</t>
        </is>
      </c>
      <c r="B273" s="74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68000</v>
      </c>
      <c r="J273" s="127" t="inlineStr">
        <is>
          <t>20</t>
        </is>
      </c>
      <c r="K273" s="127" t="n">
        <v>38000</v>
      </c>
      <c r="L273" s="127" t="inlineStr">
        <is>
          <t>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비산동 안양임곡휴먼시아</t>
        </is>
      </c>
      <c r="B274" s="74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74000</v>
      </c>
      <c r="J274" s="127" t="inlineStr">
        <is>
          <t>고</t>
        </is>
      </c>
      <c r="K274" s="127" t="n">
        <v>40000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비산동 안양임곡휴먼시아</t>
        </is>
      </c>
      <c r="B275" s="74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64000</v>
      </c>
      <c r="J275" s="127" t="inlineStr">
        <is>
          <t>6</t>
        </is>
      </c>
      <c r="K275" s="127" t="n">
        <v>66000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비산동 안양임곡휴먼시아</t>
        </is>
      </c>
      <c r="B276" s="74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80000</v>
      </c>
      <c r="J276" s="127" t="inlineStr">
        <is>
          <t>9</t>
        </is>
      </c>
      <c r="K276" s="127" t="n">
        <v>55000</v>
      </c>
      <c r="L276" s="127" t="inlineStr">
        <is>
          <t>6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비산동 안양임곡휴먼시아</t>
        </is>
      </c>
      <c r="B277" s="74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비산동 안양임곡휴먼시아</t>
        </is>
      </c>
      <c r="B278" s="74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비산동 안양임곡휴먼시아</t>
        </is>
      </c>
      <c r="B279" s="74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20</t>
        </is>
      </c>
      <c r="K279" s="127" t="n">
        <v>75000</v>
      </c>
      <c r="L279" s="127" t="inlineStr">
        <is>
          <t>6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평촌동 초원7단지부영</t>
        </is>
      </c>
      <c r="B280" s="74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49000</v>
      </c>
      <c r="J280" s="127" t="inlineStr">
        <is>
          <t>7</t>
        </is>
      </c>
      <c r="K280" s="127" t="n">
        <v>25000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평촌동 초원7단지부영</t>
        </is>
      </c>
      <c r="B281" s="74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66000</v>
      </c>
      <c r="J281" s="127" t="inlineStr">
        <is>
          <t>8</t>
        </is>
      </c>
      <c r="K281" s="127" t="n">
        <v>28665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평촌동 초원7단지부영</t>
        </is>
      </c>
      <c r="B282" s="74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82000</v>
      </c>
      <c r="J282" s="127" t="inlineStr">
        <is>
          <t>5</t>
        </is>
      </c>
      <c r="K282" s="127" t="n">
        <v>42000</v>
      </c>
      <c r="L282" s="127" t="inlineStr">
        <is>
          <t>13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평촌동 향촌현대5차</t>
        </is>
      </c>
      <c r="B283" s="74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85000</v>
      </c>
      <c r="J283" s="127" t="inlineStr">
        <is>
          <t>5</t>
        </is>
      </c>
      <c r="K283" s="127" t="n">
        <v>50000</v>
      </c>
      <c r="L283" s="127" t="inlineStr">
        <is>
          <t>7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평촌동 향촌현대5차</t>
        </is>
      </c>
      <c r="B284" s="74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123000</v>
      </c>
      <c r="J284" s="127" t="inlineStr">
        <is>
          <t>12</t>
        </is>
      </c>
      <c r="K284" s="127" t="n">
        <v>73000</v>
      </c>
      <c r="L284" s="127" t="inlineStr">
        <is>
          <t>11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평촌동 귀인마을현대홈타운</t>
        </is>
      </c>
      <c r="B285" s="74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88000</v>
      </c>
      <c r="J285" s="127" t="inlineStr">
        <is>
          <t>17</t>
        </is>
      </c>
      <c r="K285" s="127" t="n">
        <v>56000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평촌동 귀인마을현대홈타운</t>
        </is>
      </c>
      <c r="B286" s="74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평촌동 귀인마을현대홈타운</t>
        </is>
      </c>
      <c r="B287" s="74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118000</v>
      </c>
      <c r="J287" s="127" t="inlineStr">
        <is>
          <t>5</t>
        </is>
      </c>
      <c r="K287" s="127" t="n">
        <v>80000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평촌동 초원6단지한양</t>
        </is>
      </c>
      <c r="B288" s="74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71000</v>
      </c>
      <c r="J288" s="127" t="inlineStr">
        <is>
          <t>13</t>
        </is>
      </c>
      <c r="K288" s="127" t="n">
        <v>40000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평촌동 초원6단지한양</t>
        </is>
      </c>
      <c r="B289" s="74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평촌동 초원6단지한양</t>
        </is>
      </c>
      <c r="B290" s="74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92000</v>
      </c>
      <c r="J290" s="127" t="inlineStr">
        <is>
          <t>중</t>
        </is>
      </c>
      <c r="K290" s="127" t="n">
        <v>42400</v>
      </c>
      <c r="L290" s="127" t="inlineStr">
        <is>
          <t>중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평촌동 꿈건영3단지</t>
        </is>
      </c>
      <c r="B291" s="74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120000</v>
      </c>
      <c r="J291" s="127" t="inlineStr">
        <is>
          <t>9</t>
        </is>
      </c>
      <c r="K291" s="127" t="n">
        <v>70000</v>
      </c>
      <c r="L291" s="127" t="inlineStr">
        <is>
          <t>13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평촌동 꿈건영3단지</t>
        </is>
      </c>
      <c r="B292" s="74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평촌동 꿈건영3단지</t>
        </is>
      </c>
      <c r="B293" s="74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>
        <v>149000</v>
      </c>
      <c r="J293" s="127" t="inlineStr">
        <is>
          <t>18</t>
        </is>
      </c>
      <c r="K293" s="127" t="n">
        <v>100000</v>
      </c>
      <c r="L293" s="127" t="inlineStr">
        <is>
          <t>6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2</v>
      </c>
      <c r="S293" s="114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평촌동 향촌현대4차</t>
        </is>
      </c>
      <c r="B294" s="74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84000</v>
      </c>
      <c r="J294" s="127" t="inlineStr">
        <is>
          <t>6</t>
        </is>
      </c>
      <c r="K294" s="127" t="n">
        <v>52000</v>
      </c>
      <c r="L294" s="127" t="inlineStr">
        <is>
          <t>12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1</v>
      </c>
      <c r="S294" s="114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평촌동 향촌현대4차</t>
        </is>
      </c>
      <c r="B295" s="74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120000</v>
      </c>
      <c r="J295" s="127" t="inlineStr">
        <is>
          <t>5</t>
        </is>
      </c>
      <c r="K295" s="127" t="n">
        <v>66000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평촌동 초원3단지대원</t>
        </is>
      </c>
      <c r="B296" s="74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82000</v>
      </c>
      <c r="J296" s="127" t="inlineStr">
        <is>
          <t>5</t>
        </is>
      </c>
      <c r="K296" s="127" t="n">
        <v>45000</v>
      </c>
      <c r="L296" s="127" t="inlineStr">
        <is>
          <t>7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평촌동 초원3단지대원</t>
        </is>
      </c>
      <c r="B297" s="74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82000</v>
      </c>
      <c r="J297" s="127" t="inlineStr">
        <is>
          <t>5</t>
        </is>
      </c>
      <c r="K297" s="127" t="n">
        <v>45000</v>
      </c>
      <c r="L297" s="127" t="inlineStr">
        <is>
          <t>7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평촌동 초원3단지대원</t>
        </is>
      </c>
      <c r="B298" s="74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95000</v>
      </c>
      <c r="J298" s="127" t="inlineStr">
        <is>
          <t>중</t>
        </is>
      </c>
      <c r="K298" s="127" t="n">
        <v>60000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평촌동 초원3단지대원</t>
        </is>
      </c>
      <c r="B299" s="74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96000</v>
      </c>
      <c r="J299" s="127" t="inlineStr">
        <is>
          <t>17</t>
        </is>
      </c>
      <c r="K299" s="127" t="n">
        <v>65000</v>
      </c>
      <c r="L299" s="127" t="inlineStr">
        <is>
          <t>19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평촌동 초원5단지LG</t>
        </is>
      </c>
      <c r="B300" s="74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81000</v>
      </c>
      <c r="J300" s="127" t="inlineStr">
        <is>
          <t>고</t>
        </is>
      </c>
      <c r="K300" s="127" t="n">
        <v>38000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평촌동 초원5단지LG</t>
        </is>
      </c>
      <c r="B301" s="74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95000</v>
      </c>
      <c r="J301" s="127" t="inlineStr">
        <is>
          <t>고</t>
        </is>
      </c>
      <c r="K301" s="127" t="n">
        <v>56000</v>
      </c>
      <c r="L301" s="127" t="inlineStr">
        <is>
          <t>11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평촌동 꿈우성</t>
        </is>
      </c>
      <c r="B302" s="74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135000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평촌동 꿈우성</t>
        </is>
      </c>
      <c r="B303" s="74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150000</v>
      </c>
      <c r="J303" s="127" t="inlineStr">
        <is>
          <t>중</t>
        </is>
      </c>
      <c r="K303" s="127" t="n">
        <v>95000</v>
      </c>
      <c r="L303" s="127" t="inlineStr">
        <is>
          <t>12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평촌동 꿈우성</t>
        </is>
      </c>
      <c r="B304" s="74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160000</v>
      </c>
      <c r="J304" s="127" t="inlineStr">
        <is>
          <t>15</t>
        </is>
      </c>
      <c r="K304" s="127" t="n">
        <v>100000</v>
      </c>
      <c r="L304" s="127" t="inlineStr">
        <is>
          <t>고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평촌동 꿈현대</t>
        </is>
      </c>
      <c r="B305" s="74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129000</v>
      </c>
      <c r="J305" s="127" t="inlineStr">
        <is>
          <t>13</t>
        </is>
      </c>
      <c r="K305" s="127" t="n">
        <v>75000</v>
      </c>
      <c r="L305" s="127" t="inlineStr">
        <is>
          <t>13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평촌동 꿈현대</t>
        </is>
      </c>
      <c r="B306" s="74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170000</v>
      </c>
      <c r="J306" s="127" t="inlineStr">
        <is>
          <t>6</t>
        </is>
      </c>
      <c r="K306" s="127" t="n">
        <v>100000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평촌동 꿈현대</t>
        </is>
      </c>
      <c r="B307" s="74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190000</v>
      </c>
      <c r="J307" s="127" t="inlineStr">
        <is>
          <t>11</t>
        </is>
      </c>
      <c r="K307" s="127" t="n">
        <v>120000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평촌동 초원8단지세경</t>
        </is>
      </c>
      <c r="B308" s="74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평촌동 꿈라이프</t>
        </is>
      </c>
      <c r="B309" s="74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>
        <v>110000</v>
      </c>
      <c r="J309" s="127" t="inlineStr">
        <is>
          <t>중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평촌동 꿈라이프</t>
        </is>
      </c>
      <c r="B310" s="74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>
        <v>110000</v>
      </c>
      <c r="J310" s="127" t="inlineStr">
        <is>
          <t>고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평촌동 꿈라이프</t>
        </is>
      </c>
      <c r="B311" s="74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평촌동 꿈라이프</t>
        </is>
      </c>
      <c r="B312" s="74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158000</v>
      </c>
      <c r="J312" s="127" t="inlineStr">
        <is>
          <t>고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평촌동 인덕원대림2차</t>
        </is>
      </c>
      <c r="B313" s="74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76500</v>
      </c>
      <c r="J313" s="127" t="inlineStr">
        <is>
          <t>10</t>
        </is>
      </c>
      <c r="K313" s="127" t="n">
        <v>50000</v>
      </c>
      <c r="L313" s="127" t="inlineStr">
        <is>
          <t>중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평촌동 인덕원대림2차</t>
        </is>
      </c>
      <c r="B314" s="74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92000</v>
      </c>
      <c r="J314" s="127" t="inlineStr">
        <is>
          <t>7</t>
        </is>
      </c>
      <c r="K314" s="127" t="n">
        <v>55000</v>
      </c>
      <c r="L314" s="127" t="inlineStr">
        <is>
          <t>6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평촌동 꿈동아</t>
        </is>
      </c>
      <c r="B315" s="74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120000</v>
      </c>
      <c r="J315" s="127" t="inlineStr">
        <is>
          <t>고</t>
        </is>
      </c>
      <c r="K315" s="127" t="n">
        <v>70000</v>
      </c>
      <c r="L315" s="127" t="inlineStr">
        <is>
          <t>15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평촌동 꿈동아</t>
        </is>
      </c>
      <c r="B316" s="74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>
        <v>148000</v>
      </c>
      <c r="J316" s="127" t="inlineStr">
        <is>
          <t>5</t>
        </is>
      </c>
      <c r="K316" s="127" t="n">
        <v>95000</v>
      </c>
      <c r="L316" s="127" t="inlineStr">
        <is>
          <t>22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평촌동 꿈한신</t>
        </is>
      </c>
      <c r="B317" s="74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130000</v>
      </c>
      <c r="J317" s="127" t="inlineStr">
        <is>
          <t>중</t>
        </is>
      </c>
      <c r="K317" s="127" t="n">
        <v>75000</v>
      </c>
      <c r="L317" s="127" t="inlineStr">
        <is>
          <t>중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평촌동 꿈한신</t>
        </is>
      </c>
      <c r="B318" s="74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평촌동 꿈한신</t>
        </is>
      </c>
      <c r="B319" s="74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고</t>
        </is>
      </c>
      <c r="K319" s="127" t="n">
        <v>120000</v>
      </c>
      <c r="L319" s="127" t="inlineStr">
        <is>
          <t>14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6</v>
      </c>
      <c r="R319" s="114" t="n">
        <v>2</v>
      </c>
      <c r="S319" s="114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평촌동 평촌e-편한세상</t>
        </is>
      </c>
      <c r="B320" s="74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평촌동 평촌e-편한세상</t>
        </is>
      </c>
      <c r="B321" s="74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평촌동 평촌e-편한세상</t>
        </is>
      </c>
      <c r="B322" s="74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평촌동 평촌e-편한세상</t>
        </is>
      </c>
      <c r="B323" s="74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평촌동 초원1단지성원</t>
        </is>
      </c>
      <c r="B324" s="74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>
        <v>75000</v>
      </c>
      <c r="J324" s="127" t="inlineStr">
        <is>
          <t>12</t>
        </is>
      </c>
      <c r="K324" s="127" t="n">
        <v>45000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평촌동 초원1단지성원</t>
        </is>
      </c>
      <c r="B325" s="74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95000</v>
      </c>
      <c r="J325" s="127" t="inlineStr">
        <is>
          <t>7</t>
        </is>
      </c>
      <c r="K325" s="127" t="n">
        <v>60000</v>
      </c>
      <c r="L325" s="127" t="inlineStr">
        <is>
          <t>14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평촌동 초원2단지대림</t>
        </is>
      </c>
      <c r="B326" s="74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74000</v>
      </c>
      <c r="J326" s="127" t="inlineStr">
        <is>
          <t>13</t>
        </is>
      </c>
      <c r="K326" s="127" t="n">
        <v>39000</v>
      </c>
      <c r="L326" s="127" t="inlineStr">
        <is>
          <t>13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평촌동 초원2단지대림</t>
        </is>
      </c>
      <c r="B327" s="74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105000</v>
      </c>
      <c r="J327" s="127" t="inlineStr">
        <is>
          <t>7</t>
        </is>
      </c>
      <c r="K327" s="127" t="n">
        <v>60000</v>
      </c>
      <c r="L327" s="127" t="inlineStr">
        <is>
          <t>15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평촌동 삼성래미안</t>
        </is>
      </c>
      <c r="B328" s="74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>
        <v>40000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평촌동 삼성래미안</t>
        </is>
      </c>
      <c r="B329" s="74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75000</v>
      </c>
      <c r="J329" s="127" t="inlineStr">
        <is>
          <t>고</t>
        </is>
      </c>
      <c r="K329" s="127" t="n">
        <v>45000</v>
      </c>
      <c r="L329" s="127" t="inlineStr">
        <is>
          <t>15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평촌동 삼성래미안</t>
        </is>
      </c>
      <c r="B330" s="74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80000</v>
      </c>
      <c r="J330" s="127" t="inlineStr">
        <is>
          <t>5</t>
        </is>
      </c>
      <c r="K330" s="127" t="n">
        <v>50000</v>
      </c>
      <c r="L330" s="127" t="inlineStr">
        <is>
          <t>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평촌동 삼성래미안</t>
        </is>
      </c>
      <c r="B331" s="74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120000</v>
      </c>
      <c r="J331" s="127" t="inlineStr">
        <is>
          <t>13</t>
        </is>
      </c>
      <c r="K331" s="127" t="n">
        <v>53000</v>
      </c>
      <c r="L331" s="127" t="inlineStr">
        <is>
          <t>12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평촌동 영풍</t>
        </is>
      </c>
      <c r="B332" s="74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평촌동 영풍</t>
        </is>
      </c>
      <c r="B333" s="74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평촌동 향촌롯데</t>
        </is>
      </c>
      <c r="B334" s="74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87000</v>
      </c>
      <c r="J334" s="127" t="inlineStr">
        <is>
          <t>14</t>
        </is>
      </c>
      <c r="K334" s="127" t="n">
        <v>53000</v>
      </c>
      <c r="L334" s="127" t="inlineStr">
        <is>
          <t>14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평촌동 향촌롯데</t>
        </is>
      </c>
      <c r="B335" s="74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평촌동 향촌롯데</t>
        </is>
      </c>
      <c r="B336" s="74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140000</v>
      </c>
      <c r="J336" s="127" t="inlineStr">
        <is>
          <t>13</t>
        </is>
      </c>
      <c r="K336" s="127" t="n">
        <v>70000</v>
      </c>
      <c r="L336" s="127" t="inlineStr">
        <is>
          <t>11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평촌동 꿈금호</t>
        </is>
      </c>
      <c r="B337" s="74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평촌동 꿈금호</t>
        </is>
      </c>
      <c r="B338" s="74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평촌동 푸른마을인덕원대우</t>
        </is>
      </c>
      <c r="B339" s="74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76000</v>
      </c>
      <c r="J339" s="127" t="inlineStr">
        <is>
          <t>고</t>
        </is>
      </c>
      <c r="K339" s="127" t="n">
        <v>42000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평촌동 푸른마을인덕원대우</t>
        </is>
      </c>
      <c r="B340" s="74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평촌동 푸른마을인덕원대우</t>
        </is>
      </c>
      <c r="B341" s="74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86000</v>
      </c>
      <c r="J341" s="127" t="inlineStr">
        <is>
          <t>26</t>
        </is>
      </c>
      <c r="K341" s="127" t="n">
        <v>49000</v>
      </c>
      <c r="L341" s="127" t="inlineStr">
        <is>
          <t>25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호계동 평촌어바인퍼스트</t>
        </is>
      </c>
      <c r="B342" s="74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54000</v>
      </c>
      <c r="J342" s="127" t="inlineStr">
        <is>
          <t>14</t>
        </is>
      </c>
      <c r="K342" s="127" t="n">
        <v>26000</v>
      </c>
      <c r="L342" s="127" t="inlineStr">
        <is>
          <t>9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2</v>
      </c>
      <c r="R342" s="114" t="n">
        <v>1</v>
      </c>
      <c r="S342" s="114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호계동 평촌어바인퍼스트</t>
        </is>
      </c>
      <c r="B343" s="74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75000</v>
      </c>
      <c r="J343" s="127" t="inlineStr">
        <is>
          <t>6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호계동 평촌어바인퍼스트</t>
        </is>
      </c>
      <c r="B344" s="74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호계동 평촌어바인퍼스트</t>
        </is>
      </c>
      <c r="B345" s="74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75000</v>
      </c>
      <c r="J345" s="127" t="inlineStr">
        <is>
          <t>9</t>
        </is>
      </c>
      <c r="K345" s="127" t="n">
        <v>48500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호계동 평촌어바인퍼스트</t>
        </is>
      </c>
      <c r="B346" s="74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82000</v>
      </c>
      <c r="J346" s="127" t="inlineStr">
        <is>
          <t>중</t>
        </is>
      </c>
      <c r="K346" s="127" t="n">
        <v>52000</v>
      </c>
      <c r="L346" s="127" t="inlineStr">
        <is>
          <t>22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호계동 평촌어바인퍼스트</t>
        </is>
      </c>
      <c r="B347" s="74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>
        <v>95000</v>
      </c>
      <c r="J347" s="127" t="inlineStr">
        <is>
          <t>10</t>
        </is>
      </c>
      <c r="K347" s="127" t="n">
        <v>48000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호계동 평촌어바인퍼스트</t>
        </is>
      </c>
      <c r="B348" s="74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120000</v>
      </c>
      <c r="J348" s="127" t="inlineStr">
        <is>
          <t>고</t>
        </is>
      </c>
      <c r="K348" s="127" t="n">
        <v>63000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호계동 평촌어바인퍼스트</t>
        </is>
      </c>
      <c r="B349" s="74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120000</v>
      </c>
      <c r="J349" s="127" t="inlineStr">
        <is>
          <t>17</t>
        </is>
      </c>
      <c r="K349" s="127" t="n">
        <v>63000</v>
      </c>
      <c r="L349" s="127" t="inlineStr">
        <is>
          <t>5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호계동 평촌어바인퍼스트</t>
        </is>
      </c>
      <c r="B350" s="74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>
        <v>135000</v>
      </c>
      <c r="J350" s="127" t="inlineStr">
        <is>
          <t>14</t>
        </is>
      </c>
      <c r="K350" s="127" t="n">
        <v>64000</v>
      </c>
      <c r="L350" s="127" t="inlineStr">
        <is>
          <t>12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호계동 호계현대</t>
        </is>
      </c>
      <c r="B351" s="74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호계동 호계현대</t>
        </is>
      </c>
      <c r="B352" s="74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호계동 호계현대</t>
        </is>
      </c>
      <c r="B353" s="74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호계동 샘우방</t>
        </is>
      </c>
      <c r="B354" s="74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115000</v>
      </c>
      <c r="J354" s="127" t="inlineStr">
        <is>
          <t>10</t>
        </is>
      </c>
      <c r="K354" s="127" t="n">
        <v>65000</v>
      </c>
      <c r="L354" s="127" t="inlineStr">
        <is>
          <t>10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호계동 샘우방</t>
        </is>
      </c>
      <c r="B355" s="74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130000</v>
      </c>
      <c r="J355" s="127" t="inlineStr">
        <is>
          <t>5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호계동 평촌더샵아이파크</t>
        </is>
      </c>
      <c r="B356" s="74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91000</v>
      </c>
      <c r="J356" s="127" t="inlineStr">
        <is>
          <t>8</t>
        </is>
      </c>
      <c r="K356" s="127" t="n">
        <v>50000</v>
      </c>
      <c r="L356" s="127" t="inlineStr">
        <is>
          <t>19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호계동 평촌더샵아이파크</t>
        </is>
      </c>
      <c r="B357" s="74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92000</v>
      </c>
      <c r="J357" s="127" t="inlineStr">
        <is>
          <t>14</t>
        </is>
      </c>
      <c r="K357" s="127" t="n">
        <v>50000</v>
      </c>
      <c r="L357" s="127" t="inlineStr">
        <is>
          <t>12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호계동 평촌더샵아이파크</t>
        </is>
      </c>
      <c r="B358" s="74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110000</v>
      </c>
      <c r="J358" s="127" t="inlineStr">
        <is>
          <t>12</t>
        </is>
      </c>
      <c r="K358" s="127" t="n">
        <v>61000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호계동 평촌더샵아이파크</t>
        </is>
      </c>
      <c r="B359" s="74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120000</v>
      </c>
      <c r="J359" s="127" t="inlineStr">
        <is>
          <t>5</t>
        </is>
      </c>
      <c r="K359" s="127" t="n">
        <v>65000</v>
      </c>
      <c r="L359" s="127" t="inlineStr">
        <is>
          <t>10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호계동 평촌더샵아이파크</t>
        </is>
      </c>
      <c r="B360" s="74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125000</v>
      </c>
      <c r="J360" s="127" t="inlineStr">
        <is>
          <t>고</t>
        </is>
      </c>
      <c r="K360" s="127" t="n">
        <v>70000</v>
      </c>
      <c r="L360" s="127" t="inlineStr">
        <is>
          <t>24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호계동 평촌더샵아이파크</t>
        </is>
      </c>
      <c r="B361" s="74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200000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호계동 평촌트리지아</t>
        </is>
      </c>
      <c r="B362" s="74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호계동 평촌트리지아</t>
        </is>
      </c>
      <c r="B363" s="74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호계동 평촌트리지아</t>
        </is>
      </c>
      <c r="B364" s="74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호계동 평촌트리지아</t>
        </is>
      </c>
      <c r="B365" s="74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호계동 평촌트리지아</t>
        </is>
      </c>
      <c r="B366" s="74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호계동 평촌두산위브리버뷰</t>
        </is>
      </c>
      <c r="B367" s="74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50000</v>
      </c>
      <c r="J367" s="127" t="inlineStr">
        <is>
          <t>13</t>
        </is>
      </c>
      <c r="K367" s="127" t="n">
        <v>30000</v>
      </c>
      <c r="L367" s="127" t="inlineStr">
        <is>
          <t>중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호계동 평촌두산위브리버뷰</t>
        </is>
      </c>
      <c r="B368" s="74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58000</v>
      </c>
      <c r="J368" s="127" t="inlineStr">
        <is>
          <t>22</t>
        </is>
      </c>
      <c r="K368" s="127" t="n">
        <v>29000</v>
      </c>
      <c r="L368" s="127" t="inlineStr">
        <is>
          <t>11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2</v>
      </c>
      <c r="R368" s="114" t="n">
        <v>1</v>
      </c>
      <c r="S368" s="114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호계동 평촌두산위브리버뷰</t>
        </is>
      </c>
      <c r="B369" s="74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60000</v>
      </c>
      <c r="J369" s="127" t="inlineStr">
        <is>
          <t>15</t>
        </is>
      </c>
      <c r="K369" s="127" t="n">
        <v>29000</v>
      </c>
      <c r="L369" s="127" t="inlineStr">
        <is>
          <t>14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호계동 평촌두산위브리버뷰</t>
        </is>
      </c>
      <c r="B370" s="74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80000</v>
      </c>
      <c r="J370" s="127" t="inlineStr">
        <is>
          <t>5</t>
        </is>
      </c>
      <c r="K370" s="127" t="n">
        <v>49000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호계동 평촌두산위브리버뷰</t>
        </is>
      </c>
      <c r="B371" s="74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45000</v>
      </c>
      <c r="L371" s="127" t="inlineStr">
        <is>
          <t>16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호계동 평촌두산위브리버뷰</t>
        </is>
      </c>
      <c r="B372" s="74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>
        <v>90000</v>
      </c>
      <c r="J372" s="127" t="inlineStr">
        <is>
          <t>23</t>
        </is>
      </c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호계동 평촌두산위브리버뷰</t>
        </is>
      </c>
      <c r="B373" s="74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95000</v>
      </c>
      <c r="J373" s="127" t="inlineStr">
        <is>
          <t>고</t>
        </is>
      </c>
      <c r="K373" s="127" t="n">
        <v>45000</v>
      </c>
      <c r="L373" s="127" t="inlineStr">
        <is>
          <t>12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호계동 평촌두산위브리버뷰</t>
        </is>
      </c>
      <c r="B374" s="74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48000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호계동 평촌두산위브리버뷰</t>
        </is>
      </c>
      <c r="B375" s="74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50000</v>
      </c>
      <c r="L375" s="127" t="inlineStr">
        <is>
          <t>10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호계동 평촌두산위브리버뷰</t>
        </is>
      </c>
      <c r="B376" s="74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호계동 평촌두산위브리버뷰</t>
        </is>
      </c>
      <c r="B377" s="74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>
        <v>100000</v>
      </c>
      <c r="J377" s="127" t="inlineStr">
        <is>
          <t>중</t>
        </is>
      </c>
      <c r="K377" s="127" t="n">
        <v>52000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호계동 평촌두산위브리버뷰</t>
        </is>
      </c>
      <c r="B378" s="74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호계동 평촌두산위브리버뷰</t>
        </is>
      </c>
      <c r="B379" s="74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>
        <v>80000</v>
      </c>
      <c r="J379" s="127" t="inlineStr">
        <is>
          <t>고</t>
        </is>
      </c>
      <c r="K379" s="127" t="n">
        <v>46000</v>
      </c>
      <c r="L379" s="127" t="inlineStr">
        <is>
          <t>32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호계동 평촌두산위브리버뷰</t>
        </is>
      </c>
      <c r="B380" s="74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>
        <v>110000</v>
      </c>
      <c r="J380" s="127" t="inlineStr">
        <is>
          <t>중</t>
        </is>
      </c>
      <c r="K380" s="127" t="n">
        <v>46000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호계동 평촌두산위브리버뷰</t>
        </is>
      </c>
      <c r="B381" s="74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120000</v>
      </c>
      <c r="J381" s="127" t="inlineStr">
        <is>
          <t>중</t>
        </is>
      </c>
      <c r="K381" s="127" t="n">
        <v>52000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호계동 평촌두산위브리버뷰</t>
        </is>
      </c>
      <c r="B382" s="74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>
        <v>100000</v>
      </c>
      <c r="J382" s="127" t="inlineStr">
        <is>
          <t>19</t>
        </is>
      </c>
      <c r="K382" s="127" t="n">
        <v>53000</v>
      </c>
      <c r="L382" s="127" t="inlineStr">
        <is>
          <t>17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호계동 평촌두산위브리버뷰</t>
        </is>
      </c>
      <c r="B383" s="74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120000</v>
      </c>
      <c r="J383" s="127" t="inlineStr">
        <is>
          <t>중</t>
        </is>
      </c>
      <c r="K383" s="127" t="n">
        <v>52000</v>
      </c>
      <c r="L383" s="127" t="inlineStr">
        <is>
          <t>중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호계동 평촌두산위브리버뷰</t>
        </is>
      </c>
      <c r="B384" s="74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53000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호계동 평촌두산위브리버뷰</t>
        </is>
      </c>
      <c r="B385" s="74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50000</v>
      </c>
      <c r="L385" s="127" t="inlineStr">
        <is>
          <t>11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호계동 평촌두산위브리버뷰</t>
        </is>
      </c>
      <c r="B386" s="74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>
        <v>120000</v>
      </c>
      <c r="J386" s="127" t="inlineStr">
        <is>
          <t>16</t>
        </is>
      </c>
      <c r="K386" s="127" t="n">
        <v>53000</v>
      </c>
      <c r="L386" s="127" t="inlineStr">
        <is>
          <t>12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호계동 평촌두산위브리버뷰</t>
        </is>
      </c>
      <c r="B387" s="74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55000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호계동 평촌두산위브리버뷰</t>
        </is>
      </c>
      <c r="B388" s="74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50000</v>
      </c>
      <c r="L388" s="127" t="inlineStr">
        <is>
          <t>15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호계동 호계아크로리버</t>
        </is>
      </c>
      <c r="B389" s="74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호계동 호계아크로리버</t>
        </is>
      </c>
      <c r="B390" s="74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호계동 호계아크로리버</t>
        </is>
      </c>
      <c r="B391" s="74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호계동 호계아크로리버</t>
        </is>
      </c>
      <c r="B392" s="74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호계동 삼신6차</t>
        </is>
      </c>
      <c r="B393" s="74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호계동 삼신6차</t>
        </is>
      </c>
      <c r="B394" s="74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호계동 삼신6차</t>
        </is>
      </c>
      <c r="B395" s="74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호계동 삼신6차</t>
        </is>
      </c>
      <c r="B396" s="74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호계동 무궁화진흥</t>
        </is>
      </c>
      <c r="B397" s="74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67000</v>
      </c>
      <c r="J397" s="127" t="inlineStr">
        <is>
          <t>12</t>
        </is>
      </c>
      <c r="K397" s="127" t="n">
        <v>35000</v>
      </c>
      <c r="L397" s="127" t="inlineStr">
        <is>
          <t>11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호계동 무궁화진흥</t>
        </is>
      </c>
      <c r="B398" s="74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88000</v>
      </c>
      <c r="J398" s="127" t="inlineStr">
        <is>
          <t>12</t>
        </is>
      </c>
      <c r="K398" s="127" t="n">
        <v>54000</v>
      </c>
      <c r="L398" s="127" t="inlineStr">
        <is>
          <t>9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호계동 호계현대홈타운2차</t>
        </is>
      </c>
      <c r="B399" s="74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60000</v>
      </c>
      <c r="J399" s="127" t="inlineStr">
        <is>
          <t>7</t>
        </is>
      </c>
      <c r="K399" s="127" t="n">
        <v>39000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호계동 호계현대홈타운2차</t>
        </is>
      </c>
      <c r="B400" s="74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82000</v>
      </c>
      <c r="J400" s="127" t="inlineStr">
        <is>
          <t>중</t>
        </is>
      </c>
      <c r="K400" s="127" t="n">
        <v>50000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호계동 호계현대홈타운2차</t>
        </is>
      </c>
      <c r="B401" s="74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71000</v>
      </c>
      <c r="J401" s="127" t="inlineStr">
        <is>
          <t>중</t>
        </is>
      </c>
      <c r="K401" s="127" t="n">
        <v>48000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호계동 호계현대홈타운2차</t>
        </is>
      </c>
      <c r="B402" s="74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81000</v>
      </c>
      <c r="J402" s="127" t="inlineStr">
        <is>
          <t>12</t>
        </is>
      </c>
      <c r="K402" s="127" t="n">
        <v>50000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호계동 호계현대홈타운2차</t>
        </is>
      </c>
      <c r="B403" s="74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100000</v>
      </c>
      <c r="J403" s="127" t="inlineStr">
        <is>
          <t>중</t>
        </is>
      </c>
      <c r="K403" s="127" t="n">
        <v>60000</v>
      </c>
      <c r="L403" s="127" t="inlineStr">
        <is>
          <t>중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호계동 호계현대홈타운2차</t>
        </is>
      </c>
      <c r="B404" s="74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16</t>
        </is>
      </c>
      <c r="K404" s="127" t="n">
        <v>65000</v>
      </c>
      <c r="L404" s="127" t="inlineStr">
        <is>
          <t>중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호계동 호계e-편한세상</t>
        </is>
      </c>
      <c r="B405" s="74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70000</v>
      </c>
      <c r="J405" s="127" t="inlineStr">
        <is>
          <t>7</t>
        </is>
      </c>
      <c r="K405" s="127" t="n">
        <v>39000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호계동 호계e-편한세상</t>
        </is>
      </c>
      <c r="B406" s="74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61000</v>
      </c>
      <c r="J406" s="127" t="inlineStr">
        <is>
          <t>중</t>
        </is>
      </c>
      <c r="K406" s="127" t="n">
        <v>38000</v>
      </c>
      <c r="L406" s="127" t="inlineStr">
        <is>
          <t>중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호계동 호계e-편한세상</t>
        </is>
      </c>
      <c r="B407" s="74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68000</v>
      </c>
      <c r="J407" s="127" t="inlineStr">
        <is>
          <t>12</t>
        </is>
      </c>
      <c r="K407" s="127" t="n">
        <v>45000</v>
      </c>
      <c r="L407" s="127" t="inlineStr">
        <is>
          <t>고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호계동 호계e-편한세상</t>
        </is>
      </c>
      <c r="B408" s="74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호계동 호계e-편한세상</t>
        </is>
      </c>
      <c r="B409" s="74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80000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호계동 호계e-편한세상</t>
        </is>
      </c>
      <c r="B410" s="74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99000</v>
      </c>
      <c r="J410" s="127" t="inlineStr">
        <is>
          <t>중</t>
        </is>
      </c>
      <c r="K410" s="127" t="n">
        <v>70000</v>
      </c>
      <c r="L410" s="127" t="inlineStr">
        <is>
          <t>고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호계동 호계e-편한세상</t>
        </is>
      </c>
      <c r="B411" s="74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2</v>
      </c>
      <c r="S411" s="114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호계동 한마음1단지</t>
        </is>
      </c>
      <c r="B412" s="74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58000</v>
      </c>
      <c r="J412" s="127" t="inlineStr">
        <is>
          <t>7</t>
        </is>
      </c>
      <c r="K412" s="127" t="n">
        <v>39000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호계동 한마음1단지</t>
        </is>
      </c>
      <c r="B413" s="74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68000</v>
      </c>
      <c r="J413" s="127" t="inlineStr">
        <is>
          <t>19</t>
        </is>
      </c>
      <c r="K413" s="127" t="n">
        <v>45000</v>
      </c>
      <c r="L413" s="127" t="inlineStr">
        <is>
          <t>중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호계동 목련1단지</t>
        </is>
      </c>
      <c r="B414" s="74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150000</v>
      </c>
      <c r="J414" s="127" t="inlineStr">
        <is>
          <t>11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호계동 목련1단지</t>
        </is>
      </c>
      <c r="B415" s="74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158000</v>
      </c>
      <c r="J415" s="127" t="inlineStr">
        <is>
          <t>13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호계동 목련1단지</t>
        </is>
      </c>
      <c r="B416" s="74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168000</v>
      </c>
      <c r="J416" s="127" t="inlineStr">
        <is>
          <t>14</t>
        </is>
      </c>
      <c r="K416" s="127" t="n">
        <v>90000</v>
      </c>
      <c r="L416" s="127" t="inlineStr">
        <is>
          <t>23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호계동 목련1단지</t>
        </is>
      </c>
      <c r="B417" s="74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5</v>
      </c>
      <c r="R417" s="114" t="n">
        <v>2</v>
      </c>
      <c r="S417" s="114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호계동 목련1단지</t>
        </is>
      </c>
      <c r="B418" s="74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11</t>
        </is>
      </c>
      <c r="K418" s="127" t="n">
        <v>90000</v>
      </c>
      <c r="L418" s="127" t="inlineStr">
        <is>
          <t>11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호계동 목련1단지</t>
        </is>
      </c>
      <c r="B419" s="74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호계동 목련6단지</t>
        </is>
      </c>
      <c r="B420" s="74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158000</v>
      </c>
      <c r="J420" s="127" t="inlineStr">
        <is>
          <t>5</t>
        </is>
      </c>
      <c r="K420" s="127" t="n">
        <v>80000</v>
      </c>
      <c r="L420" s="127" t="inlineStr">
        <is>
          <t>5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호계동 목련6단지</t>
        </is>
      </c>
      <c r="B421" s="74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호계동 목련6단지</t>
        </is>
      </c>
      <c r="B422" s="74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185000</v>
      </c>
      <c r="J422" s="127" t="inlineStr">
        <is>
          <t>15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5</v>
      </c>
      <c r="R422" s="114" t="n">
        <v>2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호계동 무궁화코오롱</t>
        </is>
      </c>
      <c r="B423" s="74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>
        <v>70000</v>
      </c>
      <c r="J423" s="127" t="inlineStr">
        <is>
          <t>8</t>
        </is>
      </c>
      <c r="K423" s="127" t="n">
        <v>44000</v>
      </c>
      <c r="L423" s="127" t="inlineStr">
        <is>
          <t>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호계동 무궁화코오롱</t>
        </is>
      </c>
      <c r="B424" s="74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83000</v>
      </c>
      <c r="J424" s="127" t="inlineStr">
        <is>
          <t>고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호계동 무궁화코오롱</t>
        </is>
      </c>
      <c r="B425" s="74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82000</v>
      </c>
      <c r="J425" s="127" t="inlineStr">
        <is>
          <t>21</t>
        </is>
      </c>
      <c r="K425" s="127" t="n">
        <v>50000</v>
      </c>
      <c r="L425" s="127" t="inlineStr">
        <is>
          <t>10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호계동 금정역호계푸르지오</t>
        </is>
      </c>
      <c r="B426" s="74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70000</v>
      </c>
      <c r="J426" s="127" t="inlineStr">
        <is>
          <t>10</t>
        </is>
      </c>
      <c r="K426" s="127" t="n">
        <v>45000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호계동 금정역호계푸르지오</t>
        </is>
      </c>
      <c r="B427" s="74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>
        <v>70000</v>
      </c>
      <c r="J427" s="127" t="inlineStr">
        <is>
          <t>중</t>
        </is>
      </c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호계동 금정역호계푸르지오</t>
        </is>
      </c>
      <c r="B428" s="74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호계동 금정역호계푸르지오</t>
        </is>
      </c>
      <c r="B429" s="74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70000</v>
      </c>
      <c r="J429" s="127" t="inlineStr">
        <is>
          <t>5</t>
        </is>
      </c>
      <c r="K429" s="127" t="n">
        <v>40000</v>
      </c>
      <c r="L429" s="127" t="inlineStr">
        <is>
          <t>5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호계동 금정역호계푸르지오</t>
        </is>
      </c>
      <c r="B430" s="74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>
        <v>110000</v>
      </c>
      <c r="J430" s="127" t="inlineStr">
        <is>
          <t>7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호계동 금정역호계푸르지오</t>
        </is>
      </c>
      <c r="B431" s="74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89500</v>
      </c>
      <c r="J431" s="127" t="inlineStr">
        <is>
          <t>16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호계동 금정역호계푸르지오</t>
        </is>
      </c>
      <c r="B432" s="74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호계동 금정역호계푸르지오</t>
        </is>
      </c>
      <c r="B433" s="74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호계동 금정역호계푸르지오</t>
        </is>
      </c>
      <c r="B434" s="74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98000</v>
      </c>
      <c r="J434" s="127" t="inlineStr">
        <is>
          <t>중</t>
        </is>
      </c>
      <c r="K434" s="127" t="n">
        <v>55000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호계동 금정역호계푸르지오</t>
        </is>
      </c>
      <c r="B435" s="74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호계동 목련5단지</t>
        </is>
      </c>
      <c r="B436" s="74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57000</v>
      </c>
      <c r="J436" s="127" t="inlineStr">
        <is>
          <t>10</t>
        </is>
      </c>
      <c r="K436" s="127" t="n">
        <v>25000</v>
      </c>
      <c r="L436" s="127" t="inlineStr">
        <is>
          <t>6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호계동 목련5단지</t>
        </is>
      </c>
      <c r="B437" s="74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>
        <v>89000</v>
      </c>
      <c r="J437" s="127" t="inlineStr">
        <is>
          <t>15</t>
        </is>
      </c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호계동 목련5단지</t>
        </is>
      </c>
      <c r="B438" s="74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83000</v>
      </c>
      <c r="J438" s="127" t="inlineStr">
        <is>
          <t>11</t>
        </is>
      </c>
      <c r="K438" s="127" t="n">
        <v>35000</v>
      </c>
      <c r="L438" s="127" t="inlineStr">
        <is>
          <t>20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2</v>
      </c>
      <c r="R438" s="114" t="n">
        <v>1</v>
      </c>
      <c r="S438" s="114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호계동 호계효성</t>
        </is>
      </c>
      <c r="B439" s="74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49000</v>
      </c>
      <c r="J439" s="127" t="inlineStr">
        <is>
          <t>10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2</v>
      </c>
      <c r="R439" s="114" t="n">
        <v>1</v>
      </c>
      <c r="S439" s="114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호계동 호계효성</t>
        </is>
      </c>
      <c r="B440" s="74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59800</v>
      </c>
      <c r="J440" s="127" t="inlineStr">
        <is>
          <t>고</t>
        </is>
      </c>
      <c r="K440" s="127" t="n">
        <v>38000</v>
      </c>
      <c r="L440" s="127" t="inlineStr">
        <is>
          <t>13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호계동 호계효성</t>
        </is>
      </c>
      <c r="B441" s="74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59000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호계동 한마음2단지</t>
        </is>
      </c>
      <c r="B442" s="74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63000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호계동 한마음2단지</t>
        </is>
      </c>
      <c r="B443" s="74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63000</v>
      </c>
      <c r="J443" s="127" t="inlineStr">
        <is>
          <t>중</t>
        </is>
      </c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호계동 한마음2단지</t>
        </is>
      </c>
      <c r="B444" s="74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63000</v>
      </c>
      <c r="J444" s="127" t="inlineStr">
        <is>
          <t>중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호계동 한마음2단지</t>
        </is>
      </c>
      <c r="B445" s="74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68000</v>
      </c>
      <c r="J445" s="127" t="inlineStr">
        <is>
          <t>고</t>
        </is>
      </c>
      <c r="K445" s="127" t="n">
        <v>50000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호계동 한마음2단지</t>
        </is>
      </c>
      <c r="B446" s="74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>
        <v>100000</v>
      </c>
      <c r="J446" s="127" t="inlineStr">
        <is>
          <t>10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호계동 호계신도브래뉴</t>
        </is>
      </c>
      <c r="B447" s="74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호계동 호계신도브래뉴</t>
        </is>
      </c>
      <c r="B448" s="74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호계동 호계신도브래뉴</t>
        </is>
      </c>
      <c r="B449" s="74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호계동 호계신도브래뉴</t>
        </is>
      </c>
      <c r="B450" s="74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호계동 삼신5차</t>
        </is>
      </c>
      <c r="B451" s="74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2</v>
      </c>
      <c r="R451" s="114" t="n">
        <v>1</v>
      </c>
      <c r="S451" s="114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호계동 삼신5차</t>
        </is>
      </c>
      <c r="B452" s="74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호계동 삼신5차</t>
        </is>
      </c>
      <c r="B453" s="74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2</v>
      </c>
      <c r="R453" s="114" t="n">
        <v>1</v>
      </c>
      <c r="S453" s="114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호계동 삼신5차</t>
        </is>
      </c>
      <c r="B454" s="74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1</v>
      </c>
      <c r="S454" s="114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호계동 삼신5차</t>
        </is>
      </c>
      <c r="B455" s="74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호계동 삼신5차</t>
        </is>
      </c>
      <c r="B456" s="74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호계동 삼신5차</t>
        </is>
      </c>
      <c r="B457" s="74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1</v>
      </c>
      <c r="S457" s="114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호계동 삼신5차</t>
        </is>
      </c>
      <c r="B458" s="74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1</v>
      </c>
      <c r="S458" s="114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호계동 삼신5차</t>
        </is>
      </c>
      <c r="B459" s="74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호계동 호계럭키</t>
        </is>
      </c>
      <c r="B460" s="74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80000</v>
      </c>
      <c r="J460" s="127" t="inlineStr">
        <is>
          <t>12</t>
        </is>
      </c>
      <c r="K460" s="127" t="n">
        <v>38000</v>
      </c>
      <c r="L460" s="127" t="inlineStr">
        <is>
          <t>15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호계동 호계럭키</t>
        </is>
      </c>
      <c r="B461" s="74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72000</v>
      </c>
      <c r="J461" s="127" t="inlineStr">
        <is>
          <t>고</t>
        </is>
      </c>
      <c r="K461" s="127" t="n">
        <v>35000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호계동 호계럭키</t>
        </is>
      </c>
      <c r="B462" s="74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102000</v>
      </c>
      <c r="J462" s="127" t="inlineStr">
        <is>
          <t>13</t>
        </is>
      </c>
      <c r="K462" s="127" t="n">
        <v>45000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호계동 평촌트루엘파크</t>
        </is>
      </c>
      <c r="B463" s="74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호계동 평촌트루엘파크</t>
        </is>
      </c>
      <c r="B464" s="74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호계동 평촌트루엘파크</t>
        </is>
      </c>
      <c r="B465" s="74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호계동 평촌트루엘파크</t>
        </is>
      </c>
      <c r="B466" s="74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호계동 평촌트루엘파크</t>
        </is>
      </c>
      <c r="B467" s="74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호계동 평촌트루엘파크</t>
        </is>
      </c>
      <c r="B468" s="74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호계동 목련3단지</t>
        </is>
      </c>
      <c r="B469" s="74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>
        <v>68000</v>
      </c>
      <c r="J469" s="127" t="inlineStr">
        <is>
          <t>11</t>
        </is>
      </c>
      <c r="K469" s="127" t="n">
        <v>27000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2</v>
      </c>
      <c r="R469" s="114" t="n">
        <v>1</v>
      </c>
      <c r="S469" s="114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호계동 목련3단지</t>
        </is>
      </c>
      <c r="B470" s="74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68000</v>
      </c>
      <c r="J470" s="127" t="inlineStr">
        <is>
          <t>13</t>
        </is>
      </c>
      <c r="K470" s="127" t="n">
        <v>28000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호계동 목련3단지</t>
        </is>
      </c>
      <c r="B471" s="74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75000</v>
      </c>
      <c r="J471" s="127" t="inlineStr">
        <is>
          <t>15</t>
        </is>
      </c>
      <c r="K471" s="127" t="n">
        <v>35000</v>
      </c>
      <c r="L471" s="127" t="inlineStr">
        <is>
          <t>17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호계동 목련3단지</t>
        </is>
      </c>
      <c r="B472" s="74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75000</v>
      </c>
      <c r="J472" s="127" t="inlineStr">
        <is>
          <t>15</t>
        </is>
      </c>
      <c r="K472" s="127" t="n">
        <v>35000</v>
      </c>
      <c r="L472" s="127" t="inlineStr">
        <is>
          <t>17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2</v>
      </c>
      <c r="R472" s="114" t="n">
        <v>1</v>
      </c>
      <c r="S472" s="114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호계동 무궁화태영</t>
        </is>
      </c>
      <c r="B473" s="74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66000</v>
      </c>
      <c r="J473" s="127" t="inlineStr">
        <is>
          <t>고</t>
        </is>
      </c>
      <c r="K473" s="127" t="n">
        <v>32000</v>
      </c>
      <c r="L473" s="127" t="inlineStr">
        <is>
          <t>7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호계동 무궁화태영</t>
        </is>
      </c>
      <c r="B474" s="74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70000</v>
      </c>
      <c r="J474" s="127" t="inlineStr">
        <is>
          <t>고</t>
        </is>
      </c>
      <c r="K474" s="127" t="n">
        <v>43000</v>
      </c>
      <c r="L474" s="127" t="inlineStr">
        <is>
          <t>10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1</v>
      </c>
      <c r="S474" s="114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호계동 무궁화태영</t>
        </is>
      </c>
      <c r="B475" s="74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69000</v>
      </c>
      <c r="J475" s="127" t="inlineStr">
        <is>
          <t>8</t>
        </is>
      </c>
      <c r="K475" s="127" t="n">
        <v>47000</v>
      </c>
      <c r="L475" s="127" t="inlineStr">
        <is>
          <t>8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호계동 목련2단지</t>
        </is>
      </c>
      <c r="B476" s="74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50000</v>
      </c>
      <c r="J476" s="127" t="inlineStr">
        <is>
          <t>10</t>
        </is>
      </c>
      <c r="K476" s="127" t="n">
        <v>20000</v>
      </c>
      <c r="L476" s="127" t="inlineStr">
        <is>
          <t>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호계동 목련2단지</t>
        </is>
      </c>
      <c r="B477" s="74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90000</v>
      </c>
      <c r="J477" s="127" t="inlineStr">
        <is>
          <t>10</t>
        </is>
      </c>
      <c r="K477" s="127" t="n">
        <v>32500</v>
      </c>
      <c r="L477" s="127" t="inlineStr">
        <is>
          <t>8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호계동 호계신성미소지움</t>
        </is>
      </c>
      <c r="B478" s="74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62000</v>
      </c>
      <c r="J478" s="127" t="inlineStr">
        <is>
          <t>16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호계동 호계신성미소지움</t>
        </is>
      </c>
      <c r="B479" s="74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호계동 호계신성미소지움</t>
        </is>
      </c>
      <c r="B480" s="74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75000</v>
      </c>
      <c r="J480" s="127" t="inlineStr">
        <is>
          <t>12</t>
        </is>
      </c>
      <c r="K480" s="127" t="n">
        <v>42000</v>
      </c>
      <c r="L480" s="127" t="inlineStr">
        <is>
          <t>10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호계동 호계신성미소지움</t>
        </is>
      </c>
      <c r="B481" s="74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>
        <v>75000</v>
      </c>
      <c r="J481" s="127" t="inlineStr">
        <is>
          <t>20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호계동 호계신성미소지움</t>
        </is>
      </c>
      <c r="B482" s="74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호계동 호계신성미소지움</t>
        </is>
      </c>
      <c r="B483" s="74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호계동 목련8단지</t>
        </is>
      </c>
      <c r="B484" s="74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133000</v>
      </c>
      <c r="J484" s="127" t="inlineStr">
        <is>
          <t>12</t>
        </is>
      </c>
      <c r="K484" s="127" t="n">
        <v>70000</v>
      </c>
      <c r="L484" s="127" t="inlineStr">
        <is>
          <t>9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호계동 목련8단지</t>
        </is>
      </c>
      <c r="B485" s="74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>
        <v>157000</v>
      </c>
      <c r="J485" s="127" t="inlineStr">
        <is>
          <t>중</t>
        </is>
      </c>
      <c r="K485" s="127" t="n">
        <v>88000</v>
      </c>
      <c r="L485" s="127" t="inlineStr">
        <is>
          <t>10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호계동 목련8단지</t>
        </is>
      </c>
      <c r="B486" s="74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160000</v>
      </c>
      <c r="J486" s="127" t="inlineStr">
        <is>
          <t>10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5</v>
      </c>
      <c r="R486" s="114" t="n">
        <v>2</v>
      </c>
      <c r="S486" s="114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호계동 목련9단지</t>
        </is>
      </c>
      <c r="B487" s="74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145000</v>
      </c>
      <c r="J487" s="127" t="inlineStr">
        <is>
          <t>5</t>
        </is>
      </c>
      <c r="K487" s="127" t="n">
        <v>70000</v>
      </c>
      <c r="L487" s="127" t="inlineStr">
        <is>
          <t>8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호계동 목련9단지</t>
        </is>
      </c>
      <c r="B488" s="74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153000</v>
      </c>
      <c r="J488" s="127" t="inlineStr">
        <is>
          <t>고</t>
        </is>
      </c>
      <c r="K488" s="127" t="n">
        <v>80000</v>
      </c>
      <c r="L488" s="127" t="inlineStr">
        <is>
          <t>5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4</v>
      </c>
      <c r="R488" s="114" t="n">
        <v>2</v>
      </c>
      <c r="S488" s="114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호계동 목련9단지</t>
        </is>
      </c>
      <c r="B489" s="74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>
        <v>186000</v>
      </c>
      <c r="J489" s="127" t="inlineStr">
        <is>
          <t>7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호계동 무궁화경남</t>
        </is>
      </c>
      <c r="B490" s="74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72000</v>
      </c>
      <c r="J490" s="127" t="inlineStr">
        <is>
          <t>12</t>
        </is>
      </c>
      <c r="K490" s="127" t="n">
        <v>42000</v>
      </c>
      <c r="L490" s="127" t="inlineStr">
        <is>
          <t>8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호계동 무궁화경남</t>
        </is>
      </c>
      <c r="B491" s="74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97000</v>
      </c>
      <c r="J491" s="127" t="inlineStr">
        <is>
          <t>9</t>
        </is>
      </c>
      <c r="K491" s="127" t="n">
        <v>60000</v>
      </c>
      <c r="L491" s="127" t="inlineStr">
        <is>
          <t>11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호계동 무궁화경남</t>
        </is>
      </c>
      <c r="B492" s="74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/>
      <c r="J492" s="127" t="n"/>
      <c r="K492" s="127" t="n">
        <v>62000</v>
      </c>
      <c r="L492" s="127" t="inlineStr">
        <is>
          <t>5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호계동 호계현대홈타운1차</t>
        </is>
      </c>
      <c r="B493" s="74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75000</v>
      </c>
      <c r="J493" s="127" t="inlineStr">
        <is>
          <t>11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호계동 호계현대홈타운1차</t>
        </is>
      </c>
      <c r="B494" s="74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호계동 호계현대홈타운1차</t>
        </is>
      </c>
      <c r="B495" s="74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85000</v>
      </c>
      <c r="J495" s="127" t="inlineStr">
        <is>
          <t>9</t>
        </is>
      </c>
      <c r="K495" s="127" t="n">
        <v>52000</v>
      </c>
      <c r="L495" s="127" t="inlineStr">
        <is>
          <t>15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호계동 호계현대홈타운1차</t>
        </is>
      </c>
      <c r="B496" s="74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120000</v>
      </c>
      <c r="J496" s="127" t="inlineStr">
        <is>
          <t>8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호계동 무궁화효성,한양</t>
        </is>
      </c>
      <c r="B497" s="74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71000</v>
      </c>
      <c r="J497" s="127" t="inlineStr">
        <is>
          <t>중</t>
        </is>
      </c>
      <c r="K497" s="127" t="n">
        <v>38500</v>
      </c>
      <c r="L497" s="127" t="inlineStr">
        <is>
          <t>9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호계동 무궁화효성,한양</t>
        </is>
      </c>
      <c r="B498" s="74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73000</v>
      </c>
      <c r="J498" s="127" t="inlineStr">
        <is>
          <t>6</t>
        </is>
      </c>
      <c r="K498" s="127" t="n">
        <v>39900</v>
      </c>
      <c r="L498" s="127" t="inlineStr">
        <is>
          <t>10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호계동 무궁화효성,한양</t>
        </is>
      </c>
      <c r="B499" s="74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호계동 무궁화효성,한양</t>
        </is>
      </c>
      <c r="B500" s="74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86000</v>
      </c>
      <c r="J500" s="127" t="inlineStr">
        <is>
          <t>13</t>
        </is>
      </c>
      <c r="K500" s="127" t="n">
        <v>52000</v>
      </c>
      <c r="L500" s="127" t="inlineStr">
        <is>
          <t>22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호계동 무궁화효성,한양</t>
        </is>
      </c>
      <c r="B501" s="74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88000</v>
      </c>
      <c r="J501" s="127" t="inlineStr">
        <is>
          <t>17</t>
        </is>
      </c>
      <c r="K501" s="127" t="n">
        <v>60000</v>
      </c>
      <c r="L501" s="127" t="inlineStr">
        <is>
          <t>13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호계동 샘마을임광</t>
        </is>
      </c>
      <c r="B502" s="74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91000</v>
      </c>
      <c r="J502" s="127" t="inlineStr">
        <is>
          <t>5</t>
        </is>
      </c>
      <c r="K502" s="127" t="n">
        <v>57000</v>
      </c>
      <c r="L502" s="127" t="inlineStr">
        <is>
          <t>8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호계동 샘마을임광</t>
        </is>
      </c>
      <c r="B503" s="74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115000</v>
      </c>
      <c r="J503" s="127" t="inlineStr">
        <is>
          <t>13</t>
        </is>
      </c>
      <c r="K503" s="127" t="n">
        <v>65000</v>
      </c>
      <c r="L503" s="127" t="inlineStr">
        <is>
          <t>13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호계동 샘마을임광</t>
        </is>
      </c>
      <c r="B504" s="74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150000</v>
      </c>
      <c r="J504" s="127" t="inlineStr">
        <is>
          <t>고</t>
        </is>
      </c>
      <c r="K504" s="127" t="n">
        <v>75000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5</v>
      </c>
      <c r="R504" s="114" t="n">
        <v>2</v>
      </c>
      <c r="S504" s="114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호계동 샘대우한양</t>
        </is>
      </c>
      <c r="B505" s="74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호계동 샘대우한양</t>
        </is>
      </c>
      <c r="B506" s="74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100000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호계동 샘대우한양</t>
        </is>
      </c>
      <c r="B507" s="74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98000</v>
      </c>
      <c r="J507" s="127" t="inlineStr">
        <is>
          <t>9</t>
        </is>
      </c>
      <c r="K507" s="127" t="n">
        <v>55000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호계동 샘대우한양</t>
        </is>
      </c>
      <c r="B508" s="74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호계동 샘대우한양</t>
        </is>
      </c>
      <c r="B509" s="74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>
        <v>110000</v>
      </c>
      <c r="J509" s="127" t="inlineStr">
        <is>
          <t>13</t>
        </is>
      </c>
      <c r="K509" s="127" t="n">
        <v>65000</v>
      </c>
      <c r="L509" s="127" t="inlineStr">
        <is>
          <t>12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호계동 샘대우한양</t>
        </is>
      </c>
      <c r="B510" s="74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100000</v>
      </c>
      <c r="J510" s="127" t="inlineStr">
        <is>
          <t>중</t>
        </is>
      </c>
      <c r="K510" s="127" t="n">
        <v>65000</v>
      </c>
      <c r="L510" s="127" t="inlineStr">
        <is>
          <t>중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호계동 샘대우한양</t>
        </is>
      </c>
      <c r="B511" s="74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호계동 샘대우한양</t>
        </is>
      </c>
      <c r="B512" s="74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110000</v>
      </c>
      <c r="J512" s="127" t="inlineStr">
        <is>
          <t>고</t>
        </is>
      </c>
      <c r="K512" s="127" t="n">
        <v>70000</v>
      </c>
      <c r="L512" s="127" t="inlineStr">
        <is>
          <t>13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호계동 샘대우한양</t>
        </is>
      </c>
      <c r="B513" s="74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120000</v>
      </c>
      <c r="J513" s="127" t="inlineStr">
        <is>
          <t>8</t>
        </is>
      </c>
      <c r="K513" s="127" t="n">
        <v>70000</v>
      </c>
      <c r="L513" s="127" t="inlineStr">
        <is>
          <t>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호계동 샘대우한양</t>
        </is>
      </c>
      <c r="B514" s="74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호계동 샘대우한양</t>
        </is>
      </c>
      <c r="B515" s="74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140000</v>
      </c>
      <c r="J515" s="127" t="inlineStr">
        <is>
          <t>고</t>
        </is>
      </c>
      <c r="K515" s="127" t="n">
        <v>70000</v>
      </c>
      <c r="L515" s="127" t="inlineStr">
        <is>
          <t>고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5</v>
      </c>
      <c r="R515" s="114" t="n">
        <v>2</v>
      </c>
      <c r="S515" s="114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호계동 샘대우한양</t>
        </is>
      </c>
      <c r="B516" s="74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152000</v>
      </c>
      <c r="J516" s="127" t="inlineStr">
        <is>
          <t>고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5</v>
      </c>
      <c r="R516" s="114" t="n">
        <v>2</v>
      </c>
      <c r="S516" s="114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호계동 샘쌍용</t>
        </is>
      </c>
      <c r="B517" s="74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>
        <v>110000</v>
      </c>
      <c r="J517" s="127" t="inlineStr">
        <is>
          <t>고</t>
        </is>
      </c>
      <c r="K517" s="127" t="n">
        <v>70000</v>
      </c>
      <c r="L517" s="127" t="inlineStr">
        <is>
          <t>고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호계동 샘쌍용</t>
        </is>
      </c>
      <c r="B518" s="74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118000</v>
      </c>
      <c r="J518" s="127" t="inlineStr">
        <is>
          <t>14</t>
        </is>
      </c>
      <c r="K518" s="127" t="n">
        <v>70000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호계동 샘쌍용</t>
        </is>
      </c>
      <c r="B519" s="74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호계동 목련7단지</t>
        </is>
      </c>
      <c r="B520" s="74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>
        <v>150000</v>
      </c>
      <c r="J520" s="127" t="inlineStr">
        <is>
          <t>중</t>
        </is>
      </c>
      <c r="K520" s="127" t="n">
        <v>80000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호계동 목련7단지</t>
        </is>
      </c>
      <c r="B521" s="74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168000</v>
      </c>
      <c r="J521" s="127" t="inlineStr">
        <is>
          <t>9</t>
        </is>
      </c>
      <c r="K521" s="127" t="n">
        <v>100000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호계동 목련7단지</t>
        </is>
      </c>
      <c r="B522" s="74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185000</v>
      </c>
      <c r="J522" s="127" t="inlineStr">
        <is>
          <t>중</t>
        </is>
      </c>
      <c r="K522" s="127" t="n">
        <v>80000</v>
      </c>
      <c r="L522" s="127" t="inlineStr">
        <is>
          <t>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호계동 삼익</t>
        </is>
      </c>
      <c r="B523" s="74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2</v>
      </c>
      <c r="R523" s="114" t="n">
        <v>1</v>
      </c>
      <c r="S523" s="114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호계동 삼익</t>
        </is>
      </c>
      <c r="B524" s="74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호계동 삼익</t>
        </is>
      </c>
      <c r="B525" s="74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호계동 삼익</t>
        </is>
      </c>
      <c r="B526" s="74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호계동 무궁화건영</t>
        </is>
      </c>
      <c r="B527" s="74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56000</v>
      </c>
      <c r="J527" s="127" t="inlineStr">
        <is>
          <t>14</t>
        </is>
      </c>
      <c r="K527" s="127" t="n">
        <v>33000</v>
      </c>
      <c r="L527" s="127" t="inlineStr">
        <is>
          <t>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2</v>
      </c>
      <c r="R527" s="114" t="n">
        <v>1</v>
      </c>
      <c r="S527" s="114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호계동 무궁화건영</t>
        </is>
      </c>
      <c r="B528" s="74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호계동 무궁화건영</t>
        </is>
      </c>
      <c r="B529" s="74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80000</v>
      </c>
      <c r="J529" s="127" t="inlineStr">
        <is>
          <t>12</t>
        </is>
      </c>
      <c r="K529" s="127" t="n">
        <v>53000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호계동 무궁화금호</t>
        </is>
      </c>
      <c r="B530" s="74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76000</v>
      </c>
      <c r="J530" s="127" t="inlineStr">
        <is>
          <t>8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호계동 무궁화금호</t>
        </is>
      </c>
      <c r="B531" s="74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85000</v>
      </c>
      <c r="J531" s="127" t="inlineStr">
        <is>
          <t>10</t>
        </is>
      </c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호계동 무궁화금호</t>
        </is>
      </c>
      <c r="B532" s="74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98000</v>
      </c>
      <c r="J532" s="127" t="inlineStr">
        <is>
          <t>8</t>
        </is>
      </c>
      <c r="K532" s="127" t="n">
        <v>60000</v>
      </c>
      <c r="L532" s="127" t="inlineStr">
        <is>
          <t>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호계동 평촌대성유니드</t>
        </is>
      </c>
      <c r="B533" s="74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2</v>
      </c>
      <c r="R533" s="114" t="n">
        <v>1</v>
      </c>
      <c r="S533" s="114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호계동 평촌대성유니드</t>
        </is>
      </c>
      <c r="B534" s="74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2</v>
      </c>
      <c r="R534" s="114" t="n">
        <v>1</v>
      </c>
      <c r="S534" s="114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호계동 평촌대성유니드</t>
        </is>
      </c>
      <c r="B535" s="74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호계동 평촌대성유니드</t>
        </is>
      </c>
      <c r="B536" s="74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호계동 평촌대성유니드</t>
        </is>
      </c>
      <c r="B537" s="74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호계동 평촌대성유니드</t>
        </is>
      </c>
      <c r="B538" s="74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호계동 푸른마을삼성</t>
        </is>
      </c>
      <c r="B539" s="74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호계동 푸른마을삼성</t>
        </is>
      </c>
      <c r="B540" s="74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7558" operator="lessThan" dxfId="2">
      <formula>15.1</formula>
    </cfRule>
    <cfRule type="cellIs" priority="127559" operator="lessThan" dxfId="20384">
      <formula>18.1</formula>
    </cfRule>
    <cfRule type="cellIs" priority="127560" operator="lessThan" dxfId="20383">
      <formula>21.1</formula>
    </cfRule>
    <cfRule type="cellIs" priority="127561" operator="lessThan" dxfId="20382">
      <formula>24.1</formula>
    </cfRule>
    <cfRule type="cellIs" priority="127562" operator="lessThan" dxfId="1">
      <formula>30</formula>
    </cfRule>
    <cfRule type="cellIs" priority="127563" operator="lessThan" dxfId="20380">
      <formula>34.1</formula>
    </cfRule>
  </conditionalFormatting>
  <conditionalFormatting sqref="Z3">
    <cfRule type="colorScale" priority="12755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7555" operator="greaterThan" dxfId="17">
      <formula>0.9</formula>
    </cfRule>
    <cfRule type="cellIs" priority="127556" operator="greaterThan" dxfId="16">
      <formula>0.85</formula>
    </cfRule>
  </conditionalFormatting>
  <conditionalFormatting sqref="N2">
    <cfRule type="cellIs" priority="127553" operator="greaterThan" dxfId="17">
      <formula>0.9</formula>
    </cfRule>
    <cfRule type="cellIs" priority="127554" operator="greaterThan" dxfId="16">
      <formula>0.85</formula>
    </cfRule>
  </conditionalFormatting>
  <conditionalFormatting sqref="AV4">
    <cfRule type="expression" priority="9665" dxfId="23">
      <formula>AV4="X"</formula>
    </cfRule>
    <cfRule type="expression" priority="9666" dxfId="22">
      <formula>AV4="후보"</formula>
    </cfRule>
  </conditionalFormatting>
  <conditionalFormatting sqref="AC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23">
      <formula>AV5="X"</formula>
    </cfRule>
    <cfRule type="expression" priority="9648" dxfId="22">
      <formula>AV5="후보"</formula>
    </cfRule>
  </conditionalFormatting>
  <conditionalFormatting sqref="AC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23">
      <formula>AV6="X"</formula>
    </cfRule>
    <cfRule type="expression" priority="9630" dxfId="22">
      <formula>AV6="후보"</formula>
    </cfRule>
  </conditionalFormatting>
  <conditionalFormatting sqref="AC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23">
      <formula>AV7="X"</formula>
    </cfRule>
    <cfRule type="expression" priority="9612" dxfId="22">
      <formula>AV7="후보"</formula>
    </cfRule>
  </conditionalFormatting>
  <conditionalFormatting sqref="AC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23">
      <formula>AV8="X"</formula>
    </cfRule>
    <cfRule type="expression" priority="9594" dxfId="22">
      <formula>AV8="후보"</formula>
    </cfRule>
  </conditionalFormatting>
  <conditionalFormatting sqref="AC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23">
      <formula>AV9="X"</formula>
    </cfRule>
    <cfRule type="expression" priority="9576" dxfId="22">
      <formula>AV9="후보"</formula>
    </cfRule>
  </conditionalFormatting>
  <conditionalFormatting sqref="AC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23">
      <formula>AV10="X"</formula>
    </cfRule>
    <cfRule type="expression" priority="9558" dxfId="22">
      <formula>AV10="후보"</formula>
    </cfRule>
  </conditionalFormatting>
  <conditionalFormatting sqref="AC1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23">
      <formula>AV11="X"</formula>
    </cfRule>
    <cfRule type="expression" priority="9540" dxfId="22">
      <formula>AV11="후보"</formula>
    </cfRule>
  </conditionalFormatting>
  <conditionalFormatting sqref="AC1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23">
      <formula>AV12="X"</formula>
    </cfRule>
    <cfRule type="expression" priority="9522" dxfId="22">
      <formula>AV12="후보"</formula>
    </cfRule>
  </conditionalFormatting>
  <conditionalFormatting sqref="AC1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23">
      <formula>AV13="X"</formula>
    </cfRule>
    <cfRule type="expression" priority="9504" dxfId="22">
      <formula>AV13="후보"</formula>
    </cfRule>
  </conditionalFormatting>
  <conditionalFormatting sqref="AC1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23">
      <formula>AV14="X"</formula>
    </cfRule>
    <cfRule type="expression" priority="9486" dxfId="22">
      <formula>AV14="후보"</formula>
    </cfRule>
  </conditionalFormatting>
  <conditionalFormatting sqref="AC1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23">
      <formula>AV15="X"</formula>
    </cfRule>
    <cfRule type="expression" priority="9468" dxfId="22">
      <formula>AV15="후보"</formula>
    </cfRule>
  </conditionalFormatting>
  <conditionalFormatting sqref="AC1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23">
      <formula>AV16="X"</formula>
    </cfRule>
    <cfRule type="expression" priority="9450" dxfId="22">
      <formula>AV16="후보"</formula>
    </cfRule>
  </conditionalFormatting>
  <conditionalFormatting sqref="AC1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23">
      <formula>AV17="X"</formula>
    </cfRule>
    <cfRule type="expression" priority="9432" dxfId="22">
      <formula>AV17="후보"</formula>
    </cfRule>
  </conditionalFormatting>
  <conditionalFormatting sqref="AC1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23">
      <formula>AV18="X"</formula>
    </cfRule>
    <cfRule type="expression" priority="9414" dxfId="22">
      <formula>AV18="후보"</formula>
    </cfRule>
  </conditionalFormatting>
  <conditionalFormatting sqref="AC1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23">
      <formula>AV19="X"</formula>
    </cfRule>
    <cfRule type="expression" priority="9396" dxfId="22">
      <formula>AV19="후보"</formula>
    </cfRule>
  </conditionalFormatting>
  <conditionalFormatting sqref="AC1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23">
      <formula>AV20="X"</formula>
    </cfRule>
    <cfRule type="expression" priority="9378" dxfId="22">
      <formula>AV20="후보"</formula>
    </cfRule>
  </conditionalFormatting>
  <conditionalFormatting sqref="AC2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23">
      <formula>AV21="X"</formula>
    </cfRule>
    <cfRule type="expression" priority="9360" dxfId="22">
      <formula>AV21="후보"</formula>
    </cfRule>
  </conditionalFormatting>
  <conditionalFormatting sqref="AC2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23">
      <formula>AV22="X"</formula>
    </cfRule>
    <cfRule type="expression" priority="9342" dxfId="22">
      <formula>AV22="후보"</formula>
    </cfRule>
  </conditionalFormatting>
  <conditionalFormatting sqref="AC2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23">
      <formula>AV23="X"</formula>
    </cfRule>
    <cfRule type="expression" priority="9324" dxfId="22">
      <formula>AV23="후보"</formula>
    </cfRule>
  </conditionalFormatting>
  <conditionalFormatting sqref="AC2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23">
      <formula>AV24="X"</formula>
    </cfRule>
    <cfRule type="expression" priority="9306" dxfId="22">
      <formula>AV24="후보"</formula>
    </cfRule>
  </conditionalFormatting>
  <conditionalFormatting sqref="AC2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23">
      <formula>AV25="X"</formula>
    </cfRule>
    <cfRule type="expression" priority="9288" dxfId="22">
      <formula>AV25="후보"</formula>
    </cfRule>
  </conditionalFormatting>
  <conditionalFormatting sqref="AC2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23">
      <formula>AV26="X"</formula>
    </cfRule>
    <cfRule type="expression" priority="9270" dxfId="22">
      <formula>AV26="후보"</formula>
    </cfRule>
  </conditionalFormatting>
  <conditionalFormatting sqref="AC2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23">
      <formula>AV27="X"</formula>
    </cfRule>
    <cfRule type="expression" priority="9252" dxfId="22">
      <formula>AV27="후보"</formula>
    </cfRule>
  </conditionalFormatting>
  <conditionalFormatting sqref="AC2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23">
      <formula>AV28="X"</formula>
    </cfRule>
    <cfRule type="expression" priority="9234" dxfId="22">
      <formula>AV28="후보"</formula>
    </cfRule>
  </conditionalFormatting>
  <conditionalFormatting sqref="AC2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23">
      <formula>AV29="X"</formula>
    </cfRule>
    <cfRule type="expression" priority="9216" dxfId="22">
      <formula>AV29="후보"</formula>
    </cfRule>
  </conditionalFormatting>
  <conditionalFormatting sqref="AC2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23">
      <formula>AV30="X"</formula>
    </cfRule>
    <cfRule type="expression" priority="9198" dxfId="22">
      <formula>AV30="후보"</formula>
    </cfRule>
  </conditionalFormatting>
  <conditionalFormatting sqref="AC3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23">
      <formula>AV31="X"</formula>
    </cfRule>
    <cfRule type="expression" priority="9180" dxfId="22">
      <formula>AV31="후보"</formula>
    </cfRule>
  </conditionalFormatting>
  <conditionalFormatting sqref="AC3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23">
      <formula>AV32="X"</formula>
    </cfRule>
    <cfRule type="expression" priority="9162" dxfId="22">
      <formula>AV32="후보"</formula>
    </cfRule>
  </conditionalFormatting>
  <conditionalFormatting sqref="AC3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23">
      <formula>AV33="X"</formula>
    </cfRule>
    <cfRule type="expression" priority="9144" dxfId="22">
      <formula>AV33="후보"</formula>
    </cfRule>
  </conditionalFormatting>
  <conditionalFormatting sqref="AC3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23">
      <formula>AV34="X"</formula>
    </cfRule>
    <cfRule type="expression" priority="9126" dxfId="22">
      <formula>AV34="후보"</formula>
    </cfRule>
  </conditionalFormatting>
  <conditionalFormatting sqref="AC3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23">
      <formula>AV35="X"</formula>
    </cfRule>
    <cfRule type="expression" priority="9108" dxfId="22">
      <formula>AV35="후보"</formula>
    </cfRule>
  </conditionalFormatting>
  <conditionalFormatting sqref="AC3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23">
      <formula>AV36="X"</formula>
    </cfRule>
    <cfRule type="expression" priority="9090" dxfId="22">
      <formula>AV36="후보"</formula>
    </cfRule>
  </conditionalFormatting>
  <conditionalFormatting sqref="AC3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23">
      <formula>AV37="X"</formula>
    </cfRule>
    <cfRule type="expression" priority="9072" dxfId="22">
      <formula>AV37="후보"</formula>
    </cfRule>
  </conditionalFormatting>
  <conditionalFormatting sqref="AC3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23">
      <formula>AV38="X"</formula>
    </cfRule>
    <cfRule type="expression" priority="9054" dxfId="22">
      <formula>AV38="후보"</formula>
    </cfRule>
  </conditionalFormatting>
  <conditionalFormatting sqref="AC3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23">
      <formula>AV39="X"</formula>
    </cfRule>
    <cfRule type="expression" priority="9036" dxfId="22">
      <formula>AV39="후보"</formula>
    </cfRule>
  </conditionalFormatting>
  <conditionalFormatting sqref="AC3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23">
      <formula>AV40="X"</formula>
    </cfRule>
    <cfRule type="expression" priority="9018" dxfId="22">
      <formula>AV40="후보"</formula>
    </cfRule>
  </conditionalFormatting>
  <conditionalFormatting sqref="AC4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23">
      <formula>AV41="X"</formula>
    </cfRule>
    <cfRule type="expression" priority="9000" dxfId="22">
      <formula>AV41="후보"</formula>
    </cfRule>
  </conditionalFormatting>
  <conditionalFormatting sqref="AC4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23">
      <formula>AV42="X"</formula>
    </cfRule>
    <cfRule type="expression" priority="8982" dxfId="22">
      <formula>AV42="후보"</formula>
    </cfRule>
  </conditionalFormatting>
  <conditionalFormatting sqref="AC4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23">
      <formula>AV43="X"</formula>
    </cfRule>
    <cfRule type="expression" priority="8964" dxfId="22">
      <formula>AV43="후보"</formula>
    </cfRule>
  </conditionalFormatting>
  <conditionalFormatting sqref="AC4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23">
      <formula>AV44="X"</formula>
    </cfRule>
    <cfRule type="expression" priority="8946" dxfId="22">
      <formula>AV44="후보"</formula>
    </cfRule>
  </conditionalFormatting>
  <conditionalFormatting sqref="AC4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23">
      <formula>AV45="X"</formula>
    </cfRule>
    <cfRule type="expression" priority="8928" dxfId="22">
      <formula>AV45="후보"</formula>
    </cfRule>
  </conditionalFormatting>
  <conditionalFormatting sqref="AC4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23">
      <formula>AV46="X"</formula>
    </cfRule>
    <cfRule type="expression" priority="8910" dxfId="22">
      <formula>AV46="후보"</formula>
    </cfRule>
  </conditionalFormatting>
  <conditionalFormatting sqref="AC4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23">
      <formula>AV47="X"</formula>
    </cfRule>
    <cfRule type="expression" priority="8892" dxfId="22">
      <formula>AV47="후보"</formula>
    </cfRule>
  </conditionalFormatting>
  <conditionalFormatting sqref="AC4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23">
      <formula>AV48="X"</formula>
    </cfRule>
    <cfRule type="expression" priority="8874" dxfId="22">
      <formula>AV48="후보"</formula>
    </cfRule>
  </conditionalFormatting>
  <conditionalFormatting sqref="AC4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23">
      <formula>AV49="X"</formula>
    </cfRule>
    <cfRule type="expression" priority="8856" dxfId="22">
      <formula>AV49="후보"</formula>
    </cfRule>
  </conditionalFormatting>
  <conditionalFormatting sqref="AC4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23">
      <formula>AV50="X"</formula>
    </cfRule>
    <cfRule type="expression" priority="8838" dxfId="22">
      <formula>AV50="후보"</formula>
    </cfRule>
  </conditionalFormatting>
  <conditionalFormatting sqref="AC5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23">
      <formula>AV51="X"</formula>
    </cfRule>
    <cfRule type="expression" priority="8820" dxfId="22">
      <formula>AV51="후보"</formula>
    </cfRule>
  </conditionalFormatting>
  <conditionalFormatting sqref="AC5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23">
      <formula>AV52="X"</formula>
    </cfRule>
    <cfRule type="expression" priority="8802" dxfId="22">
      <formula>AV52="후보"</formula>
    </cfRule>
  </conditionalFormatting>
  <conditionalFormatting sqref="AC5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23">
      <formula>AV53="X"</formula>
    </cfRule>
    <cfRule type="expression" priority="8784" dxfId="22">
      <formula>AV53="후보"</formula>
    </cfRule>
  </conditionalFormatting>
  <conditionalFormatting sqref="AC5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23">
      <formula>AV54="X"</formula>
    </cfRule>
    <cfRule type="expression" priority="8766" dxfId="22">
      <formula>AV54="후보"</formula>
    </cfRule>
  </conditionalFormatting>
  <conditionalFormatting sqref="AC5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23">
      <formula>AV55="X"</formula>
    </cfRule>
    <cfRule type="expression" priority="8748" dxfId="22">
      <formula>AV55="후보"</formula>
    </cfRule>
  </conditionalFormatting>
  <conditionalFormatting sqref="AC5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23">
      <formula>AV56="X"</formula>
    </cfRule>
    <cfRule type="expression" priority="8730" dxfId="22">
      <formula>AV56="후보"</formula>
    </cfRule>
  </conditionalFormatting>
  <conditionalFormatting sqref="AC5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23">
      <formula>AV57="X"</formula>
    </cfRule>
    <cfRule type="expression" priority="8712" dxfId="22">
      <formula>AV57="후보"</formula>
    </cfRule>
  </conditionalFormatting>
  <conditionalFormatting sqref="AC5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23">
      <formula>AV58="X"</formula>
    </cfRule>
    <cfRule type="expression" priority="8694" dxfId="22">
      <formula>AV58="후보"</formula>
    </cfRule>
  </conditionalFormatting>
  <conditionalFormatting sqref="AC5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23">
      <formula>AV59="X"</formula>
    </cfRule>
    <cfRule type="expression" priority="8676" dxfId="22">
      <formula>AV59="후보"</formula>
    </cfRule>
  </conditionalFormatting>
  <conditionalFormatting sqref="AC5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23">
      <formula>AV60="X"</formula>
    </cfRule>
    <cfRule type="expression" priority="8658" dxfId="22">
      <formula>AV60="후보"</formula>
    </cfRule>
  </conditionalFormatting>
  <conditionalFormatting sqref="AC6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23">
      <formula>AV61="X"</formula>
    </cfRule>
    <cfRule type="expression" priority="8640" dxfId="22">
      <formula>AV61="후보"</formula>
    </cfRule>
  </conditionalFormatting>
  <conditionalFormatting sqref="AC6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23">
      <formula>AV62="X"</formula>
    </cfRule>
    <cfRule type="expression" priority="8622" dxfId="22">
      <formula>AV62="후보"</formula>
    </cfRule>
  </conditionalFormatting>
  <conditionalFormatting sqref="AC6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23">
      <formula>AV63="X"</formula>
    </cfRule>
    <cfRule type="expression" priority="8604" dxfId="22">
      <formula>AV63="후보"</formula>
    </cfRule>
  </conditionalFormatting>
  <conditionalFormatting sqref="AC6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23">
      <formula>AV64="X"</formula>
    </cfRule>
    <cfRule type="expression" priority="8586" dxfId="22">
      <formula>AV64="후보"</formula>
    </cfRule>
  </conditionalFormatting>
  <conditionalFormatting sqref="AC6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23">
      <formula>AV65="X"</formula>
    </cfRule>
    <cfRule type="expression" priority="8568" dxfId="22">
      <formula>AV65="후보"</formula>
    </cfRule>
  </conditionalFormatting>
  <conditionalFormatting sqref="AC6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23">
      <formula>AV66="X"</formula>
    </cfRule>
    <cfRule type="expression" priority="8550" dxfId="22">
      <formula>AV66="후보"</formula>
    </cfRule>
  </conditionalFormatting>
  <conditionalFormatting sqref="AC6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23">
      <formula>AV67="X"</formula>
    </cfRule>
    <cfRule type="expression" priority="8532" dxfId="22">
      <formula>AV67="후보"</formula>
    </cfRule>
  </conditionalFormatting>
  <conditionalFormatting sqref="AC6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23">
      <formula>AV68="X"</formula>
    </cfRule>
    <cfRule type="expression" priority="8514" dxfId="22">
      <formula>AV68="후보"</formula>
    </cfRule>
  </conditionalFormatting>
  <conditionalFormatting sqref="AC6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23">
      <formula>AV69="X"</formula>
    </cfRule>
    <cfRule type="expression" priority="8496" dxfId="22">
      <formula>AV69="후보"</formula>
    </cfRule>
  </conditionalFormatting>
  <conditionalFormatting sqref="AC6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6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23">
      <formula>AV70="X"</formula>
    </cfRule>
    <cfRule type="expression" priority="8478" dxfId="22">
      <formula>AV70="후보"</formula>
    </cfRule>
  </conditionalFormatting>
  <conditionalFormatting sqref="AC7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23">
      <formula>AV71="X"</formula>
    </cfRule>
    <cfRule type="expression" priority="8460" dxfId="22">
      <formula>AV71="후보"</formula>
    </cfRule>
  </conditionalFormatting>
  <conditionalFormatting sqref="AC7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23">
      <formula>AV72="X"</formula>
    </cfRule>
    <cfRule type="expression" priority="8442" dxfId="22">
      <formula>AV72="후보"</formula>
    </cfRule>
  </conditionalFormatting>
  <conditionalFormatting sqref="AC7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23">
      <formula>AV73="X"</formula>
    </cfRule>
    <cfRule type="expression" priority="8424" dxfId="22">
      <formula>AV73="후보"</formula>
    </cfRule>
  </conditionalFormatting>
  <conditionalFormatting sqref="AC7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23">
      <formula>AV74="X"</formula>
    </cfRule>
    <cfRule type="expression" priority="8406" dxfId="22">
      <formula>AV74="후보"</formula>
    </cfRule>
  </conditionalFormatting>
  <conditionalFormatting sqref="AC7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23">
      <formula>AV75="X"</formula>
    </cfRule>
    <cfRule type="expression" priority="8388" dxfId="22">
      <formula>AV75="후보"</formula>
    </cfRule>
  </conditionalFormatting>
  <conditionalFormatting sqref="AC7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23">
      <formula>AV76="X"</formula>
    </cfRule>
    <cfRule type="expression" priority="8370" dxfId="22">
      <formula>AV76="후보"</formula>
    </cfRule>
  </conditionalFormatting>
  <conditionalFormatting sqref="AC7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23">
      <formula>AV77="X"</formula>
    </cfRule>
    <cfRule type="expression" priority="8352" dxfId="22">
      <formula>AV77="후보"</formula>
    </cfRule>
  </conditionalFormatting>
  <conditionalFormatting sqref="AC7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23">
      <formula>AV78="X"</formula>
    </cfRule>
    <cfRule type="expression" priority="8334" dxfId="22">
      <formula>AV78="후보"</formula>
    </cfRule>
  </conditionalFormatting>
  <conditionalFormatting sqref="AC7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23">
      <formula>AV79="X"</formula>
    </cfRule>
    <cfRule type="expression" priority="8316" dxfId="22">
      <formula>AV79="후보"</formula>
    </cfRule>
  </conditionalFormatting>
  <conditionalFormatting sqref="AC7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7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23">
      <formula>AV80="X"</formula>
    </cfRule>
    <cfRule type="expression" priority="8298" dxfId="22">
      <formula>AV80="후보"</formula>
    </cfRule>
  </conditionalFormatting>
  <conditionalFormatting sqref="AC8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23">
      <formula>AV81="X"</formula>
    </cfRule>
    <cfRule type="expression" priority="8280" dxfId="22">
      <formula>AV81="후보"</formula>
    </cfRule>
  </conditionalFormatting>
  <conditionalFormatting sqref="AC8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23">
      <formula>AV82="X"</formula>
    </cfRule>
    <cfRule type="expression" priority="8262" dxfId="22">
      <formula>AV82="후보"</formula>
    </cfRule>
  </conditionalFormatting>
  <conditionalFormatting sqref="AC8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23">
      <formula>AV83="X"</formula>
    </cfRule>
    <cfRule type="expression" priority="8244" dxfId="22">
      <formula>AV83="후보"</formula>
    </cfRule>
  </conditionalFormatting>
  <conditionalFormatting sqref="AC8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23">
      <formula>AV84="X"</formula>
    </cfRule>
    <cfRule type="expression" priority="8226" dxfId="22">
      <formula>AV84="후보"</formula>
    </cfRule>
  </conditionalFormatting>
  <conditionalFormatting sqref="AC8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23">
      <formula>AV85="X"</formula>
    </cfRule>
    <cfRule type="expression" priority="8208" dxfId="22">
      <formula>AV85="후보"</formula>
    </cfRule>
  </conditionalFormatting>
  <conditionalFormatting sqref="AC8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23">
      <formula>AV86="X"</formula>
    </cfRule>
    <cfRule type="expression" priority="8190" dxfId="22">
      <formula>AV86="후보"</formula>
    </cfRule>
  </conditionalFormatting>
  <conditionalFormatting sqref="AC8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23">
      <formula>AV87="X"</formula>
    </cfRule>
    <cfRule type="expression" priority="8172" dxfId="22">
      <formula>AV87="후보"</formula>
    </cfRule>
  </conditionalFormatting>
  <conditionalFormatting sqref="AC8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23">
      <formula>AV88="X"</formula>
    </cfRule>
    <cfRule type="expression" priority="8154" dxfId="22">
      <formula>AV88="후보"</formula>
    </cfRule>
  </conditionalFormatting>
  <conditionalFormatting sqref="AC8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23">
      <formula>AV89="X"</formula>
    </cfRule>
    <cfRule type="expression" priority="8136" dxfId="22">
      <formula>AV89="후보"</formula>
    </cfRule>
  </conditionalFormatting>
  <conditionalFormatting sqref="AC8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8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23">
      <formula>AV90="X"</formula>
    </cfRule>
    <cfRule type="expression" priority="8118" dxfId="22">
      <formula>AV90="후보"</formula>
    </cfRule>
  </conditionalFormatting>
  <conditionalFormatting sqref="AC9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23">
      <formula>AV91="X"</formula>
    </cfRule>
    <cfRule type="expression" priority="8100" dxfId="22">
      <formula>AV91="후보"</formula>
    </cfRule>
  </conditionalFormatting>
  <conditionalFormatting sqref="AC9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23">
      <formula>AV92="X"</formula>
    </cfRule>
    <cfRule type="expression" priority="8082" dxfId="22">
      <formula>AV92="후보"</formula>
    </cfRule>
  </conditionalFormatting>
  <conditionalFormatting sqref="AC9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23">
      <formula>AV93="X"</formula>
    </cfRule>
    <cfRule type="expression" priority="8064" dxfId="22">
      <formula>AV93="후보"</formula>
    </cfRule>
  </conditionalFormatting>
  <conditionalFormatting sqref="AC9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23">
      <formula>AV94="X"</formula>
    </cfRule>
    <cfRule type="expression" priority="8046" dxfId="22">
      <formula>AV94="후보"</formula>
    </cfRule>
  </conditionalFormatting>
  <conditionalFormatting sqref="AC9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23">
      <formula>AV95="X"</formula>
    </cfRule>
    <cfRule type="expression" priority="8028" dxfId="22">
      <formula>AV95="후보"</formula>
    </cfRule>
  </conditionalFormatting>
  <conditionalFormatting sqref="AC9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23">
      <formula>AV96="X"</formula>
    </cfRule>
    <cfRule type="expression" priority="8010" dxfId="22">
      <formula>AV96="후보"</formula>
    </cfRule>
  </conditionalFormatting>
  <conditionalFormatting sqref="AC9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23">
      <formula>AV97="X"</formula>
    </cfRule>
    <cfRule type="expression" priority="7992" dxfId="22">
      <formula>AV97="후보"</formula>
    </cfRule>
  </conditionalFormatting>
  <conditionalFormatting sqref="AC9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23">
      <formula>AV98="X"</formula>
    </cfRule>
    <cfRule type="expression" priority="7974" dxfId="22">
      <formula>AV98="후보"</formula>
    </cfRule>
  </conditionalFormatting>
  <conditionalFormatting sqref="AC9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23">
      <formula>AV99="X"</formula>
    </cfRule>
    <cfRule type="expression" priority="7956" dxfId="22">
      <formula>AV99="후보"</formula>
    </cfRule>
  </conditionalFormatting>
  <conditionalFormatting sqref="AC9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9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23">
      <formula>AV100="X"</formula>
    </cfRule>
    <cfRule type="expression" priority="7938" dxfId="22">
      <formula>AV100="후보"</formula>
    </cfRule>
  </conditionalFormatting>
  <conditionalFormatting sqref="AC10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23">
      <formula>AV101="X"</formula>
    </cfRule>
    <cfRule type="expression" priority="7920" dxfId="22">
      <formula>AV101="후보"</formula>
    </cfRule>
  </conditionalFormatting>
  <conditionalFormatting sqref="AC10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23">
      <formula>AV102="X"</formula>
    </cfRule>
    <cfRule type="expression" priority="7902" dxfId="22">
      <formula>AV102="후보"</formula>
    </cfRule>
  </conditionalFormatting>
  <conditionalFormatting sqref="AC10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23">
      <formula>AV103="X"</formula>
    </cfRule>
    <cfRule type="expression" priority="7884" dxfId="22">
      <formula>AV103="후보"</formula>
    </cfRule>
  </conditionalFormatting>
  <conditionalFormatting sqref="AC10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23">
      <formula>AV104="X"</formula>
    </cfRule>
    <cfRule type="expression" priority="7866" dxfId="22">
      <formula>AV104="후보"</formula>
    </cfRule>
  </conditionalFormatting>
  <conditionalFormatting sqref="AC10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23">
      <formula>AV105="X"</formula>
    </cfRule>
    <cfRule type="expression" priority="7848" dxfId="22">
      <formula>AV105="후보"</formula>
    </cfRule>
  </conditionalFormatting>
  <conditionalFormatting sqref="AC10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23">
      <formula>AV106="X"</formula>
    </cfRule>
    <cfRule type="expression" priority="7830" dxfId="22">
      <formula>AV106="후보"</formula>
    </cfRule>
  </conditionalFormatting>
  <conditionalFormatting sqref="AC10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23">
      <formula>AV107="X"</formula>
    </cfRule>
    <cfRule type="expression" priority="7812" dxfId="22">
      <formula>AV107="후보"</formula>
    </cfRule>
  </conditionalFormatting>
  <conditionalFormatting sqref="AC10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23">
      <formula>AV108="X"</formula>
    </cfRule>
    <cfRule type="expression" priority="7794" dxfId="22">
      <formula>AV108="후보"</formula>
    </cfRule>
  </conditionalFormatting>
  <conditionalFormatting sqref="AC10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23">
      <formula>AV109="X"</formula>
    </cfRule>
    <cfRule type="expression" priority="7776" dxfId="22">
      <formula>AV109="후보"</formula>
    </cfRule>
  </conditionalFormatting>
  <conditionalFormatting sqref="AC10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0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23">
      <formula>AV110="X"</formula>
    </cfRule>
    <cfRule type="expression" priority="7758" dxfId="22">
      <formula>AV110="후보"</formula>
    </cfRule>
  </conditionalFormatting>
  <conditionalFormatting sqref="AC11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23">
      <formula>AV111="X"</formula>
    </cfRule>
    <cfRule type="expression" priority="7740" dxfId="22">
      <formula>AV111="후보"</formula>
    </cfRule>
  </conditionalFormatting>
  <conditionalFormatting sqref="AC11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23">
      <formula>AV112="X"</formula>
    </cfRule>
    <cfRule type="expression" priority="7722" dxfId="22">
      <formula>AV112="후보"</formula>
    </cfRule>
  </conditionalFormatting>
  <conditionalFormatting sqref="AC11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23">
      <formula>AV113="X"</formula>
    </cfRule>
    <cfRule type="expression" priority="7704" dxfId="22">
      <formula>AV113="후보"</formula>
    </cfRule>
  </conditionalFormatting>
  <conditionalFormatting sqref="AC11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23">
      <formula>AV114="X"</formula>
    </cfRule>
    <cfRule type="expression" priority="7686" dxfId="22">
      <formula>AV114="후보"</formula>
    </cfRule>
  </conditionalFormatting>
  <conditionalFormatting sqref="AC11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23">
      <formula>AV115="X"</formula>
    </cfRule>
    <cfRule type="expression" priority="7668" dxfId="22">
      <formula>AV115="후보"</formula>
    </cfRule>
  </conditionalFormatting>
  <conditionalFormatting sqref="AC11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23">
      <formula>AV116="X"</formula>
    </cfRule>
    <cfRule type="expression" priority="7650" dxfId="22">
      <formula>AV116="후보"</formula>
    </cfRule>
  </conditionalFormatting>
  <conditionalFormatting sqref="AC11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23">
      <formula>AV117="X"</formula>
    </cfRule>
    <cfRule type="expression" priority="7632" dxfId="22">
      <formula>AV117="후보"</formula>
    </cfRule>
  </conditionalFormatting>
  <conditionalFormatting sqref="AC11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23">
      <formula>AV118="X"</formula>
    </cfRule>
    <cfRule type="expression" priority="7614" dxfId="22">
      <formula>AV118="후보"</formula>
    </cfRule>
  </conditionalFormatting>
  <conditionalFormatting sqref="AC11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23">
      <formula>AV119="X"</formula>
    </cfRule>
    <cfRule type="expression" priority="7596" dxfId="22">
      <formula>AV119="후보"</formula>
    </cfRule>
  </conditionalFormatting>
  <conditionalFormatting sqref="AC11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1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23">
      <formula>AV120="X"</formula>
    </cfRule>
    <cfRule type="expression" priority="7578" dxfId="22">
      <formula>AV120="후보"</formula>
    </cfRule>
  </conditionalFormatting>
  <conditionalFormatting sqref="AC12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23">
      <formula>AV121="X"</formula>
    </cfRule>
    <cfRule type="expression" priority="7560" dxfId="22">
      <formula>AV121="후보"</formula>
    </cfRule>
  </conditionalFormatting>
  <conditionalFormatting sqref="AC12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23">
      <formula>AV122="X"</formula>
    </cfRule>
    <cfRule type="expression" priority="7542" dxfId="22">
      <formula>AV122="후보"</formula>
    </cfRule>
  </conditionalFormatting>
  <conditionalFormatting sqref="AC12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23">
      <formula>AV123="X"</formula>
    </cfRule>
    <cfRule type="expression" priority="7524" dxfId="22">
      <formula>AV123="후보"</formula>
    </cfRule>
  </conditionalFormatting>
  <conditionalFormatting sqref="AC12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23">
      <formula>AV124="X"</formula>
    </cfRule>
    <cfRule type="expression" priority="7506" dxfId="22">
      <formula>AV124="후보"</formula>
    </cfRule>
  </conditionalFormatting>
  <conditionalFormatting sqref="AC12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23">
      <formula>AV125="X"</formula>
    </cfRule>
    <cfRule type="expression" priority="7488" dxfId="22">
      <formula>AV125="후보"</formula>
    </cfRule>
  </conditionalFormatting>
  <conditionalFormatting sqref="AC12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23">
      <formula>AV126="X"</formula>
    </cfRule>
    <cfRule type="expression" priority="7470" dxfId="22">
      <formula>AV126="후보"</formula>
    </cfRule>
  </conditionalFormatting>
  <conditionalFormatting sqref="AC12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23">
      <formula>AV127="X"</formula>
    </cfRule>
    <cfRule type="expression" priority="7452" dxfId="22">
      <formula>AV127="후보"</formula>
    </cfRule>
  </conditionalFormatting>
  <conditionalFormatting sqref="AC12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23">
      <formula>AV128="X"</formula>
    </cfRule>
    <cfRule type="expression" priority="7434" dxfId="22">
      <formula>AV128="후보"</formula>
    </cfRule>
  </conditionalFormatting>
  <conditionalFormatting sqref="AC12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23">
      <formula>AV129="X"</formula>
    </cfRule>
    <cfRule type="expression" priority="7416" dxfId="22">
      <formula>AV129="후보"</formula>
    </cfRule>
  </conditionalFormatting>
  <conditionalFormatting sqref="AC12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2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23">
      <formula>AV130="X"</formula>
    </cfRule>
    <cfRule type="expression" priority="7398" dxfId="22">
      <formula>AV130="후보"</formula>
    </cfRule>
  </conditionalFormatting>
  <conditionalFormatting sqref="AC13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23">
      <formula>AV131="X"</formula>
    </cfRule>
    <cfRule type="expression" priority="7380" dxfId="22">
      <formula>AV131="후보"</formula>
    </cfRule>
  </conditionalFormatting>
  <conditionalFormatting sqref="AC13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23">
      <formula>AV132="X"</formula>
    </cfRule>
    <cfRule type="expression" priority="7362" dxfId="22">
      <formula>AV132="후보"</formula>
    </cfRule>
  </conditionalFormatting>
  <conditionalFormatting sqref="AC13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23">
      <formula>AV133="X"</formula>
    </cfRule>
    <cfRule type="expression" priority="7344" dxfId="22">
      <formula>AV133="후보"</formula>
    </cfRule>
  </conditionalFormatting>
  <conditionalFormatting sqref="AC13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23">
      <formula>AV134="X"</formula>
    </cfRule>
    <cfRule type="expression" priority="7326" dxfId="22">
      <formula>AV134="후보"</formula>
    </cfRule>
  </conditionalFormatting>
  <conditionalFormatting sqref="AC13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23">
      <formula>AV135="X"</formula>
    </cfRule>
    <cfRule type="expression" priority="7308" dxfId="22">
      <formula>AV135="후보"</formula>
    </cfRule>
  </conditionalFormatting>
  <conditionalFormatting sqref="AC13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23">
      <formula>AV136="X"</formula>
    </cfRule>
    <cfRule type="expression" priority="7290" dxfId="22">
      <formula>AV136="후보"</formula>
    </cfRule>
  </conditionalFormatting>
  <conditionalFormatting sqref="AC13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23">
      <formula>AV137="X"</formula>
    </cfRule>
    <cfRule type="expression" priority="7272" dxfId="22">
      <formula>AV137="후보"</formula>
    </cfRule>
  </conditionalFormatting>
  <conditionalFormatting sqref="AC13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23">
      <formula>AV138="X"</formula>
    </cfRule>
    <cfRule type="expression" priority="7254" dxfId="22">
      <formula>AV138="후보"</formula>
    </cfRule>
  </conditionalFormatting>
  <conditionalFormatting sqref="AC13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23">
      <formula>AV139="X"</formula>
    </cfRule>
    <cfRule type="expression" priority="7236" dxfId="22">
      <formula>AV139="후보"</formula>
    </cfRule>
  </conditionalFormatting>
  <conditionalFormatting sqref="AC13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3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23">
      <formula>AV140="X"</formula>
    </cfRule>
    <cfRule type="expression" priority="7218" dxfId="22">
      <formula>AV140="후보"</formula>
    </cfRule>
  </conditionalFormatting>
  <conditionalFormatting sqref="AC14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23">
      <formula>AV141="X"</formula>
    </cfRule>
    <cfRule type="expression" priority="7200" dxfId="22">
      <formula>AV141="후보"</formula>
    </cfRule>
  </conditionalFormatting>
  <conditionalFormatting sqref="AC14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23">
      <formula>AV142="X"</formula>
    </cfRule>
    <cfRule type="expression" priority="7182" dxfId="22">
      <formula>AV142="후보"</formula>
    </cfRule>
  </conditionalFormatting>
  <conditionalFormatting sqref="AC14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23">
      <formula>AV143="X"</formula>
    </cfRule>
    <cfRule type="expression" priority="7164" dxfId="22">
      <formula>AV143="후보"</formula>
    </cfRule>
  </conditionalFormatting>
  <conditionalFormatting sqref="AC14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23">
      <formula>AV144="X"</formula>
    </cfRule>
    <cfRule type="expression" priority="7146" dxfId="22">
      <formula>AV144="후보"</formula>
    </cfRule>
  </conditionalFormatting>
  <conditionalFormatting sqref="AC14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23">
      <formula>AV145="X"</formula>
    </cfRule>
    <cfRule type="expression" priority="7128" dxfId="22">
      <formula>AV145="후보"</formula>
    </cfRule>
  </conditionalFormatting>
  <conditionalFormatting sqref="AC14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23">
      <formula>AV146="X"</formula>
    </cfRule>
    <cfRule type="expression" priority="7110" dxfId="22">
      <formula>AV146="후보"</formula>
    </cfRule>
  </conditionalFormatting>
  <conditionalFormatting sqref="AC14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23">
      <formula>AV147="X"</formula>
    </cfRule>
    <cfRule type="expression" priority="7092" dxfId="22">
      <formula>AV147="후보"</formula>
    </cfRule>
  </conditionalFormatting>
  <conditionalFormatting sqref="AC14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23">
      <formula>AV148="X"</formula>
    </cfRule>
    <cfRule type="expression" priority="7074" dxfId="22">
      <formula>AV148="후보"</formula>
    </cfRule>
  </conditionalFormatting>
  <conditionalFormatting sqref="AC14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23">
      <formula>AV149="X"</formula>
    </cfRule>
    <cfRule type="expression" priority="7056" dxfId="22">
      <formula>AV149="후보"</formula>
    </cfRule>
  </conditionalFormatting>
  <conditionalFormatting sqref="AC14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4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23">
      <formula>AV150="X"</formula>
    </cfRule>
    <cfRule type="expression" priority="7038" dxfId="22">
      <formula>AV150="후보"</formula>
    </cfRule>
  </conditionalFormatting>
  <conditionalFormatting sqref="AC15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23">
      <formula>AV151="X"</formula>
    </cfRule>
    <cfRule type="expression" priority="7020" dxfId="22">
      <formula>AV151="후보"</formula>
    </cfRule>
  </conditionalFormatting>
  <conditionalFormatting sqref="AC15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23">
      <formula>AV152="X"</formula>
    </cfRule>
    <cfRule type="expression" priority="7002" dxfId="22">
      <formula>AV152="후보"</formula>
    </cfRule>
  </conditionalFormatting>
  <conditionalFormatting sqref="AC15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23">
      <formula>AV153="X"</formula>
    </cfRule>
    <cfRule type="expression" priority="6984" dxfId="22">
      <formula>AV153="후보"</formula>
    </cfRule>
  </conditionalFormatting>
  <conditionalFormatting sqref="AC15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23">
      <formula>AV154="X"</formula>
    </cfRule>
    <cfRule type="expression" priority="6966" dxfId="22">
      <formula>AV154="후보"</formula>
    </cfRule>
  </conditionalFormatting>
  <conditionalFormatting sqref="AC15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23">
      <formula>AV155="X"</formula>
    </cfRule>
    <cfRule type="expression" priority="6948" dxfId="22">
      <formula>AV155="후보"</formula>
    </cfRule>
  </conditionalFormatting>
  <conditionalFormatting sqref="AC15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23">
      <formula>AV156="X"</formula>
    </cfRule>
    <cfRule type="expression" priority="6930" dxfId="22">
      <formula>AV156="후보"</formula>
    </cfRule>
  </conditionalFormatting>
  <conditionalFormatting sqref="AC15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23">
      <formula>AV157="X"</formula>
    </cfRule>
    <cfRule type="expression" priority="6912" dxfId="22">
      <formula>AV157="후보"</formula>
    </cfRule>
  </conditionalFormatting>
  <conditionalFormatting sqref="AC15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23">
      <formula>AV158="X"</formula>
    </cfRule>
    <cfRule type="expression" priority="6894" dxfId="22">
      <formula>AV158="후보"</formula>
    </cfRule>
  </conditionalFormatting>
  <conditionalFormatting sqref="AC15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23">
      <formula>AV159="X"</formula>
    </cfRule>
    <cfRule type="expression" priority="6876" dxfId="22">
      <formula>AV159="후보"</formula>
    </cfRule>
  </conditionalFormatting>
  <conditionalFormatting sqref="AC15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5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23">
      <formula>AV160="X"</formula>
    </cfRule>
    <cfRule type="expression" priority="6858" dxfId="22">
      <formula>AV160="후보"</formula>
    </cfRule>
  </conditionalFormatting>
  <conditionalFormatting sqref="AC16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23">
      <formula>AV161="X"</formula>
    </cfRule>
    <cfRule type="expression" priority="6840" dxfId="22">
      <formula>AV161="후보"</formula>
    </cfRule>
  </conditionalFormatting>
  <conditionalFormatting sqref="AC16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23">
      <formula>AV162="X"</formula>
    </cfRule>
    <cfRule type="expression" priority="6822" dxfId="22">
      <formula>AV162="후보"</formula>
    </cfRule>
  </conditionalFormatting>
  <conditionalFormatting sqref="AC16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23">
      <formula>AV163="X"</formula>
    </cfRule>
    <cfRule type="expression" priority="6804" dxfId="22">
      <formula>AV163="후보"</formula>
    </cfRule>
  </conditionalFormatting>
  <conditionalFormatting sqref="AC16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23">
      <formula>AV164="X"</formula>
    </cfRule>
    <cfRule type="expression" priority="6786" dxfId="22">
      <formula>AV164="후보"</formula>
    </cfRule>
  </conditionalFormatting>
  <conditionalFormatting sqref="AC16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23">
      <formula>AV165="X"</formula>
    </cfRule>
    <cfRule type="expression" priority="6768" dxfId="22">
      <formula>AV165="후보"</formula>
    </cfRule>
  </conditionalFormatting>
  <conditionalFormatting sqref="AC16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23">
      <formula>AV166="X"</formula>
    </cfRule>
    <cfRule type="expression" priority="6750" dxfId="22">
      <formula>AV166="후보"</formula>
    </cfRule>
  </conditionalFormatting>
  <conditionalFormatting sqref="AC16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23">
      <formula>AV167="X"</formula>
    </cfRule>
    <cfRule type="expression" priority="6732" dxfId="22">
      <formula>AV167="후보"</formula>
    </cfRule>
  </conditionalFormatting>
  <conditionalFormatting sqref="AC16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23">
      <formula>AV168="X"</formula>
    </cfRule>
    <cfRule type="expression" priority="6714" dxfId="22">
      <formula>AV168="후보"</formula>
    </cfRule>
  </conditionalFormatting>
  <conditionalFormatting sqref="AC16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23">
      <formula>AV169="X"</formula>
    </cfRule>
    <cfRule type="expression" priority="6696" dxfId="22">
      <formula>AV169="후보"</formula>
    </cfRule>
  </conditionalFormatting>
  <conditionalFormatting sqref="AC16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6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23">
      <formula>AV170="X"</formula>
    </cfRule>
    <cfRule type="expression" priority="6678" dxfId="22">
      <formula>AV170="후보"</formula>
    </cfRule>
  </conditionalFormatting>
  <conditionalFormatting sqref="AC17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23">
      <formula>AV171="X"</formula>
    </cfRule>
    <cfRule type="expression" priority="6660" dxfId="22">
      <formula>AV171="후보"</formula>
    </cfRule>
  </conditionalFormatting>
  <conditionalFormatting sqref="AC17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23">
      <formula>AV172="X"</formula>
    </cfRule>
    <cfRule type="expression" priority="6642" dxfId="22">
      <formula>AV172="후보"</formula>
    </cfRule>
  </conditionalFormatting>
  <conditionalFormatting sqref="AC17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23">
      <formula>AV173="X"</formula>
    </cfRule>
    <cfRule type="expression" priority="6624" dxfId="22">
      <formula>AV173="후보"</formula>
    </cfRule>
  </conditionalFormatting>
  <conditionalFormatting sqref="AC17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23">
      <formula>AV174="X"</formula>
    </cfRule>
    <cfRule type="expression" priority="6606" dxfId="22">
      <formula>AV174="후보"</formula>
    </cfRule>
  </conditionalFormatting>
  <conditionalFormatting sqref="AC17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23">
      <formula>AV175="X"</formula>
    </cfRule>
    <cfRule type="expression" priority="6588" dxfId="22">
      <formula>AV175="후보"</formula>
    </cfRule>
  </conditionalFormatting>
  <conditionalFormatting sqref="AC17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23">
      <formula>AV176="X"</formula>
    </cfRule>
    <cfRule type="expression" priority="6570" dxfId="22">
      <formula>AV176="후보"</formula>
    </cfRule>
  </conditionalFormatting>
  <conditionalFormatting sqref="AC17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23">
      <formula>AV177="X"</formula>
    </cfRule>
    <cfRule type="expression" priority="6552" dxfId="22">
      <formula>AV177="후보"</formula>
    </cfRule>
  </conditionalFormatting>
  <conditionalFormatting sqref="AC17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23">
      <formula>AV178="X"</formula>
    </cfRule>
    <cfRule type="expression" priority="6534" dxfId="22">
      <formula>AV178="후보"</formula>
    </cfRule>
  </conditionalFormatting>
  <conditionalFormatting sqref="AC17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23">
      <formula>AV179="X"</formula>
    </cfRule>
    <cfRule type="expression" priority="6516" dxfId="22">
      <formula>AV179="후보"</formula>
    </cfRule>
  </conditionalFormatting>
  <conditionalFormatting sqref="AC17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7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23">
      <formula>AV180="X"</formula>
    </cfRule>
    <cfRule type="expression" priority="6498" dxfId="22">
      <formula>AV180="후보"</formula>
    </cfRule>
  </conditionalFormatting>
  <conditionalFormatting sqref="AC18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23">
      <formula>AV181="X"</formula>
    </cfRule>
    <cfRule type="expression" priority="6480" dxfId="22">
      <formula>AV181="후보"</formula>
    </cfRule>
  </conditionalFormatting>
  <conditionalFormatting sqref="AC18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23">
      <formula>AV182="X"</formula>
    </cfRule>
    <cfRule type="expression" priority="6462" dxfId="22">
      <formula>AV182="후보"</formula>
    </cfRule>
  </conditionalFormatting>
  <conditionalFormatting sqref="AC18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23">
      <formula>AV183="X"</formula>
    </cfRule>
    <cfRule type="expression" priority="6444" dxfId="22">
      <formula>AV183="후보"</formula>
    </cfRule>
  </conditionalFormatting>
  <conditionalFormatting sqref="AC18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23">
      <formula>AV184="X"</formula>
    </cfRule>
    <cfRule type="expression" priority="6426" dxfId="22">
      <formula>AV184="후보"</formula>
    </cfRule>
  </conditionalFormatting>
  <conditionalFormatting sqref="AC18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23">
      <formula>AV185="X"</formula>
    </cfRule>
    <cfRule type="expression" priority="6408" dxfId="22">
      <formula>AV185="후보"</formula>
    </cfRule>
  </conditionalFormatting>
  <conditionalFormatting sqref="AC18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23">
      <formula>AV186="X"</formula>
    </cfRule>
    <cfRule type="expression" priority="6390" dxfId="22">
      <formula>AV186="후보"</formula>
    </cfRule>
  </conditionalFormatting>
  <conditionalFormatting sqref="AC18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23">
      <formula>AV187="X"</formula>
    </cfRule>
    <cfRule type="expression" priority="6372" dxfId="22">
      <formula>AV187="후보"</formula>
    </cfRule>
  </conditionalFormatting>
  <conditionalFormatting sqref="AC18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23">
      <formula>AV188="X"</formula>
    </cfRule>
    <cfRule type="expression" priority="6354" dxfId="22">
      <formula>AV188="후보"</formula>
    </cfRule>
  </conditionalFormatting>
  <conditionalFormatting sqref="AC18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23">
      <formula>AV189="X"</formula>
    </cfRule>
    <cfRule type="expression" priority="6336" dxfId="22">
      <formula>AV189="후보"</formula>
    </cfRule>
  </conditionalFormatting>
  <conditionalFormatting sqref="AC18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23">
      <formula>AV190="X"</formula>
    </cfRule>
    <cfRule type="expression" priority="6318" dxfId="22">
      <formula>AV190="후보"</formula>
    </cfRule>
  </conditionalFormatting>
  <conditionalFormatting sqref="AC19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23">
      <formula>AV191="X"</formula>
    </cfRule>
    <cfRule type="expression" priority="6300" dxfId="22">
      <formula>AV191="후보"</formula>
    </cfRule>
  </conditionalFormatting>
  <conditionalFormatting sqref="AC19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23">
      <formula>AV192="X"</formula>
    </cfRule>
    <cfRule type="expression" priority="6282" dxfId="22">
      <formula>AV192="후보"</formula>
    </cfRule>
  </conditionalFormatting>
  <conditionalFormatting sqref="AC19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23">
      <formula>AV193="X"</formula>
    </cfRule>
    <cfRule type="expression" priority="6264" dxfId="22">
      <formula>AV193="후보"</formula>
    </cfRule>
  </conditionalFormatting>
  <conditionalFormatting sqref="AC19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23">
      <formula>AV194="X"</formula>
    </cfRule>
    <cfRule type="expression" priority="6246" dxfId="22">
      <formula>AV194="후보"</formula>
    </cfRule>
  </conditionalFormatting>
  <conditionalFormatting sqref="AC19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23">
      <formula>AV195="X"</formula>
    </cfRule>
    <cfRule type="expression" priority="6228" dxfId="22">
      <formula>AV195="후보"</formula>
    </cfRule>
  </conditionalFormatting>
  <conditionalFormatting sqref="AC19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23">
      <formula>AV196="X"</formula>
    </cfRule>
    <cfRule type="expression" priority="6210" dxfId="22">
      <formula>AV196="후보"</formula>
    </cfRule>
  </conditionalFormatting>
  <conditionalFormatting sqref="AC19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23">
      <formula>AV197="X"</formula>
    </cfRule>
    <cfRule type="expression" priority="6192" dxfId="22">
      <formula>AV197="후보"</formula>
    </cfRule>
  </conditionalFormatting>
  <conditionalFormatting sqref="AC19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23">
      <formula>AV198="X"</formula>
    </cfRule>
    <cfRule type="expression" priority="6174" dxfId="22">
      <formula>AV198="후보"</formula>
    </cfRule>
  </conditionalFormatting>
  <conditionalFormatting sqref="AC19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23">
      <formula>AV199="X"</formula>
    </cfRule>
    <cfRule type="expression" priority="6156" dxfId="22">
      <formula>AV199="후보"</formula>
    </cfRule>
  </conditionalFormatting>
  <conditionalFormatting sqref="AC19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9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23">
      <formula>AV200="X"</formula>
    </cfRule>
    <cfRule type="expression" priority="6138" dxfId="22">
      <formula>AV200="후보"</formula>
    </cfRule>
  </conditionalFormatting>
  <conditionalFormatting sqref="AC20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23">
      <formula>AV201="X"</formula>
    </cfRule>
    <cfRule type="expression" priority="6120" dxfId="22">
      <formula>AV201="후보"</formula>
    </cfRule>
  </conditionalFormatting>
  <conditionalFormatting sqref="AC20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23">
      <formula>AV202="X"</formula>
    </cfRule>
    <cfRule type="expression" priority="6102" dxfId="22">
      <formula>AV202="후보"</formula>
    </cfRule>
  </conditionalFormatting>
  <conditionalFormatting sqref="AC20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23">
      <formula>AV203="X"</formula>
    </cfRule>
    <cfRule type="expression" priority="6084" dxfId="22">
      <formula>AV203="후보"</formula>
    </cfRule>
  </conditionalFormatting>
  <conditionalFormatting sqref="AC20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23">
      <formula>AV204="X"</formula>
    </cfRule>
    <cfRule type="expression" priority="6066" dxfId="22">
      <formula>AV204="후보"</formula>
    </cfRule>
  </conditionalFormatting>
  <conditionalFormatting sqref="AC20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23">
      <formula>AV205="X"</formula>
    </cfRule>
    <cfRule type="expression" priority="6048" dxfId="22">
      <formula>AV205="후보"</formula>
    </cfRule>
  </conditionalFormatting>
  <conditionalFormatting sqref="AC20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23">
      <formula>AV206="X"</formula>
    </cfRule>
    <cfRule type="expression" priority="6030" dxfId="22">
      <formula>AV206="후보"</formula>
    </cfRule>
  </conditionalFormatting>
  <conditionalFormatting sqref="AC20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23">
      <formula>AV207="X"</formula>
    </cfRule>
    <cfRule type="expression" priority="6012" dxfId="22">
      <formula>AV207="후보"</formula>
    </cfRule>
  </conditionalFormatting>
  <conditionalFormatting sqref="AC20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23">
      <formula>AV208="X"</formula>
    </cfRule>
    <cfRule type="expression" priority="5994" dxfId="22">
      <formula>AV208="후보"</formula>
    </cfRule>
  </conditionalFormatting>
  <conditionalFormatting sqref="AC20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23">
      <formula>AV209="X"</formula>
    </cfRule>
    <cfRule type="expression" priority="5976" dxfId="22">
      <formula>AV209="후보"</formula>
    </cfRule>
  </conditionalFormatting>
  <conditionalFormatting sqref="AC20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0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23">
      <formula>AV210="X"</formula>
    </cfRule>
    <cfRule type="expression" priority="5958" dxfId="22">
      <formula>AV210="후보"</formula>
    </cfRule>
  </conditionalFormatting>
  <conditionalFormatting sqref="AC21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23">
      <formula>AV211="X"</formula>
    </cfRule>
    <cfRule type="expression" priority="5940" dxfId="22">
      <formula>AV211="후보"</formula>
    </cfRule>
  </conditionalFormatting>
  <conditionalFormatting sqref="AC21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23">
      <formula>AV212="X"</formula>
    </cfRule>
    <cfRule type="expression" priority="5922" dxfId="22">
      <formula>AV212="후보"</formula>
    </cfRule>
  </conditionalFormatting>
  <conditionalFormatting sqref="AC21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23">
      <formula>AV213="X"</formula>
    </cfRule>
    <cfRule type="expression" priority="5904" dxfId="22">
      <formula>AV213="후보"</formula>
    </cfRule>
  </conditionalFormatting>
  <conditionalFormatting sqref="AC21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23">
      <formula>AV214="X"</formula>
    </cfRule>
    <cfRule type="expression" priority="5886" dxfId="22">
      <formula>AV214="후보"</formula>
    </cfRule>
  </conditionalFormatting>
  <conditionalFormatting sqref="AC21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23">
      <formula>AV215="X"</formula>
    </cfRule>
    <cfRule type="expression" priority="5868" dxfId="22">
      <formula>AV215="후보"</formula>
    </cfRule>
  </conditionalFormatting>
  <conditionalFormatting sqref="AC21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23">
      <formula>AV216="X"</formula>
    </cfRule>
    <cfRule type="expression" priority="5850" dxfId="22">
      <formula>AV216="후보"</formula>
    </cfRule>
  </conditionalFormatting>
  <conditionalFormatting sqref="AC21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23">
      <formula>AV217="X"</formula>
    </cfRule>
    <cfRule type="expression" priority="5832" dxfId="22">
      <formula>AV217="후보"</formula>
    </cfRule>
  </conditionalFormatting>
  <conditionalFormatting sqref="AC21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23">
      <formula>AV218="X"</formula>
    </cfRule>
    <cfRule type="expression" priority="5814" dxfId="22">
      <formula>AV218="후보"</formula>
    </cfRule>
  </conditionalFormatting>
  <conditionalFormatting sqref="AC21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23">
      <formula>AV219="X"</formula>
    </cfRule>
    <cfRule type="expression" priority="5796" dxfId="22">
      <formula>AV219="후보"</formula>
    </cfRule>
  </conditionalFormatting>
  <conditionalFormatting sqref="AC21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23">
      <formula>AV220="X"</formula>
    </cfRule>
    <cfRule type="expression" priority="5778" dxfId="22">
      <formula>AV220="후보"</formula>
    </cfRule>
  </conditionalFormatting>
  <conditionalFormatting sqref="AC22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23">
      <formula>AV221="X"</formula>
    </cfRule>
    <cfRule type="expression" priority="5760" dxfId="22">
      <formula>AV221="후보"</formula>
    </cfRule>
  </conditionalFormatting>
  <conditionalFormatting sqref="AC22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23">
      <formula>AV222="X"</formula>
    </cfRule>
    <cfRule type="expression" priority="5742" dxfId="22">
      <formula>AV222="후보"</formula>
    </cfRule>
  </conditionalFormatting>
  <conditionalFormatting sqref="AC22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23">
      <formula>AV223="X"</formula>
    </cfRule>
    <cfRule type="expression" priority="5724" dxfId="22">
      <formula>AV223="후보"</formula>
    </cfRule>
  </conditionalFormatting>
  <conditionalFormatting sqref="AC22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23">
      <formula>AV224="X"</formula>
    </cfRule>
    <cfRule type="expression" priority="5706" dxfId="22">
      <formula>AV224="후보"</formula>
    </cfRule>
  </conditionalFormatting>
  <conditionalFormatting sqref="AC22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23">
      <formula>AV225="X"</formula>
    </cfRule>
    <cfRule type="expression" priority="5688" dxfId="22">
      <formula>AV225="후보"</formula>
    </cfRule>
  </conditionalFormatting>
  <conditionalFormatting sqref="AC22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23">
      <formula>AV226="X"</formula>
    </cfRule>
    <cfRule type="expression" priority="5670" dxfId="22">
      <formula>AV226="후보"</formula>
    </cfRule>
  </conditionalFormatting>
  <conditionalFormatting sqref="AC22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23">
      <formula>AV227="X"</formula>
    </cfRule>
    <cfRule type="expression" priority="5652" dxfId="22">
      <formula>AV227="후보"</formula>
    </cfRule>
  </conditionalFormatting>
  <conditionalFormatting sqref="AC22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23">
      <formula>AV228="X"</formula>
    </cfRule>
    <cfRule type="expression" priority="5634" dxfId="22">
      <formula>AV228="후보"</formula>
    </cfRule>
  </conditionalFormatting>
  <conditionalFormatting sqref="AC22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23">
      <formula>AV229="X"</formula>
    </cfRule>
    <cfRule type="expression" priority="5616" dxfId="22">
      <formula>AV229="후보"</formula>
    </cfRule>
  </conditionalFormatting>
  <conditionalFormatting sqref="AC22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2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23">
      <formula>AV230="X"</formula>
    </cfRule>
    <cfRule type="expression" priority="5598" dxfId="22">
      <formula>AV230="후보"</formula>
    </cfRule>
  </conditionalFormatting>
  <conditionalFormatting sqref="AC23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23">
      <formula>AV231="X"</formula>
    </cfRule>
    <cfRule type="expression" priority="5580" dxfId="22">
      <formula>AV231="후보"</formula>
    </cfRule>
  </conditionalFormatting>
  <conditionalFormatting sqref="AC23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23">
      <formula>AV232="X"</formula>
    </cfRule>
    <cfRule type="expression" priority="5562" dxfId="22">
      <formula>AV232="후보"</formula>
    </cfRule>
  </conditionalFormatting>
  <conditionalFormatting sqref="AC23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23">
      <formula>AV233="X"</formula>
    </cfRule>
    <cfRule type="expression" priority="5544" dxfId="22">
      <formula>AV233="후보"</formula>
    </cfRule>
  </conditionalFormatting>
  <conditionalFormatting sqref="AC23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23">
      <formula>AV234="X"</formula>
    </cfRule>
    <cfRule type="expression" priority="5526" dxfId="22">
      <formula>AV234="후보"</formula>
    </cfRule>
  </conditionalFormatting>
  <conditionalFormatting sqref="AC23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23">
      <formula>AV235="X"</formula>
    </cfRule>
    <cfRule type="expression" priority="5508" dxfId="22">
      <formula>AV235="후보"</formula>
    </cfRule>
  </conditionalFormatting>
  <conditionalFormatting sqref="AC23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23">
      <formula>AV236="X"</formula>
    </cfRule>
    <cfRule type="expression" priority="5490" dxfId="22">
      <formula>AV236="후보"</formula>
    </cfRule>
  </conditionalFormatting>
  <conditionalFormatting sqref="AC23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23">
      <formula>AV237="X"</formula>
    </cfRule>
    <cfRule type="expression" priority="5472" dxfId="22">
      <formula>AV237="후보"</formula>
    </cfRule>
  </conditionalFormatting>
  <conditionalFormatting sqref="AC23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23">
      <formula>AV238="X"</formula>
    </cfRule>
    <cfRule type="expression" priority="5454" dxfId="22">
      <formula>AV238="후보"</formula>
    </cfRule>
  </conditionalFormatting>
  <conditionalFormatting sqref="AC23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23">
      <formula>AV239="X"</formula>
    </cfRule>
    <cfRule type="expression" priority="5436" dxfId="22">
      <formula>AV239="후보"</formula>
    </cfRule>
  </conditionalFormatting>
  <conditionalFormatting sqref="AC23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3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23">
      <formula>AV240="X"</formula>
    </cfRule>
    <cfRule type="expression" priority="5418" dxfId="22">
      <formula>AV240="후보"</formula>
    </cfRule>
  </conditionalFormatting>
  <conditionalFormatting sqref="AC24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23">
      <formula>AV241="X"</formula>
    </cfRule>
    <cfRule type="expression" priority="5400" dxfId="22">
      <formula>AV241="후보"</formula>
    </cfRule>
  </conditionalFormatting>
  <conditionalFormatting sqref="AC24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23">
      <formula>AV242="X"</formula>
    </cfRule>
    <cfRule type="expression" priority="5382" dxfId="22">
      <formula>AV242="후보"</formula>
    </cfRule>
  </conditionalFormatting>
  <conditionalFormatting sqref="AC24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23">
      <formula>AV243="X"</formula>
    </cfRule>
    <cfRule type="expression" priority="5364" dxfId="22">
      <formula>AV243="후보"</formula>
    </cfRule>
  </conditionalFormatting>
  <conditionalFormatting sqref="AC24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23">
      <formula>AV244="X"</formula>
    </cfRule>
    <cfRule type="expression" priority="5346" dxfId="22">
      <formula>AV244="후보"</formula>
    </cfRule>
  </conditionalFormatting>
  <conditionalFormatting sqref="AC24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23">
      <formula>AV245="X"</formula>
    </cfRule>
    <cfRule type="expression" priority="5328" dxfId="22">
      <formula>AV245="후보"</formula>
    </cfRule>
  </conditionalFormatting>
  <conditionalFormatting sqref="AC24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23">
      <formula>AV246="X"</formula>
    </cfRule>
    <cfRule type="expression" priority="5310" dxfId="22">
      <formula>AV246="후보"</formula>
    </cfRule>
  </conditionalFormatting>
  <conditionalFormatting sqref="AC24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23">
      <formula>AV247="X"</formula>
    </cfRule>
    <cfRule type="expression" priority="5292" dxfId="22">
      <formula>AV247="후보"</formula>
    </cfRule>
  </conditionalFormatting>
  <conditionalFormatting sqref="AC24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23">
      <formula>AV248="X"</formula>
    </cfRule>
    <cfRule type="expression" priority="5274" dxfId="22">
      <formula>AV248="후보"</formula>
    </cfRule>
  </conditionalFormatting>
  <conditionalFormatting sqref="AC24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23">
      <formula>AV249="X"</formula>
    </cfRule>
    <cfRule type="expression" priority="5256" dxfId="22">
      <formula>AV249="후보"</formula>
    </cfRule>
  </conditionalFormatting>
  <conditionalFormatting sqref="AC24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23">
      <formula>AV250="X"</formula>
    </cfRule>
    <cfRule type="expression" priority="5238" dxfId="22">
      <formula>AV250="후보"</formula>
    </cfRule>
  </conditionalFormatting>
  <conditionalFormatting sqref="AC25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23">
      <formula>AV251="X"</formula>
    </cfRule>
    <cfRule type="expression" priority="5220" dxfId="22">
      <formula>AV251="후보"</formula>
    </cfRule>
  </conditionalFormatting>
  <conditionalFormatting sqref="AC25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23">
      <formula>AV252="X"</formula>
    </cfRule>
    <cfRule type="expression" priority="5202" dxfId="22">
      <formula>AV252="후보"</formula>
    </cfRule>
  </conditionalFormatting>
  <conditionalFormatting sqref="AC25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23">
      <formula>AV253="X"</formula>
    </cfRule>
    <cfRule type="expression" priority="5184" dxfId="22">
      <formula>AV253="후보"</formula>
    </cfRule>
  </conditionalFormatting>
  <conditionalFormatting sqref="AC25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23">
      <formula>AV254="X"</formula>
    </cfRule>
    <cfRule type="expression" priority="5166" dxfId="22">
      <formula>AV254="후보"</formula>
    </cfRule>
  </conditionalFormatting>
  <conditionalFormatting sqref="AC25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23">
      <formula>AV255="X"</formula>
    </cfRule>
    <cfRule type="expression" priority="5148" dxfId="22">
      <formula>AV255="후보"</formula>
    </cfRule>
  </conditionalFormatting>
  <conditionalFormatting sqref="AC25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23">
      <formula>AV256="X"</formula>
    </cfRule>
    <cfRule type="expression" priority="5130" dxfId="22">
      <formula>AV256="후보"</formula>
    </cfRule>
  </conditionalFormatting>
  <conditionalFormatting sqref="AC25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23">
      <formula>AV257="X"</formula>
    </cfRule>
    <cfRule type="expression" priority="5112" dxfId="22">
      <formula>AV257="후보"</formula>
    </cfRule>
  </conditionalFormatting>
  <conditionalFormatting sqref="AC25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23">
      <formula>AV258="X"</formula>
    </cfRule>
    <cfRule type="expression" priority="5094" dxfId="22">
      <formula>AV258="후보"</formula>
    </cfRule>
  </conditionalFormatting>
  <conditionalFormatting sqref="AC25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23">
      <formula>AV259="X"</formula>
    </cfRule>
    <cfRule type="expression" priority="5076" dxfId="22">
      <formula>AV259="후보"</formula>
    </cfRule>
  </conditionalFormatting>
  <conditionalFormatting sqref="AC25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23">
      <formula>AV260="X"</formula>
    </cfRule>
    <cfRule type="expression" priority="5058" dxfId="22">
      <formula>AV260="후보"</formula>
    </cfRule>
  </conditionalFormatting>
  <conditionalFormatting sqref="AC26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23">
      <formula>AV261="X"</formula>
    </cfRule>
    <cfRule type="expression" priority="5040" dxfId="22">
      <formula>AV261="후보"</formula>
    </cfRule>
  </conditionalFormatting>
  <conditionalFormatting sqref="AC26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23">
      <formula>AV262="X"</formula>
    </cfRule>
    <cfRule type="expression" priority="5022" dxfId="22">
      <formula>AV262="후보"</formula>
    </cfRule>
  </conditionalFormatting>
  <conditionalFormatting sqref="AC26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23">
      <formula>AV263="X"</formula>
    </cfRule>
    <cfRule type="expression" priority="5004" dxfId="22">
      <formula>AV263="후보"</formula>
    </cfRule>
  </conditionalFormatting>
  <conditionalFormatting sqref="AC26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23">
      <formula>AV264="X"</formula>
    </cfRule>
    <cfRule type="expression" priority="4986" dxfId="22">
      <formula>AV264="후보"</formula>
    </cfRule>
  </conditionalFormatting>
  <conditionalFormatting sqref="AC26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23">
      <formula>AV265="X"</formula>
    </cfRule>
    <cfRule type="expression" priority="4968" dxfId="22">
      <formula>AV265="후보"</formula>
    </cfRule>
  </conditionalFormatting>
  <conditionalFormatting sqref="AC26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23">
      <formula>AV266="X"</formula>
    </cfRule>
    <cfRule type="expression" priority="4950" dxfId="22">
      <formula>AV266="후보"</formula>
    </cfRule>
  </conditionalFormatting>
  <conditionalFormatting sqref="AC26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23">
      <formula>AV267="X"</formula>
    </cfRule>
    <cfRule type="expression" priority="4932" dxfId="22">
      <formula>AV267="후보"</formula>
    </cfRule>
  </conditionalFormatting>
  <conditionalFormatting sqref="AC26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23">
      <formula>AV268="X"</formula>
    </cfRule>
    <cfRule type="expression" priority="4914" dxfId="22">
      <formula>AV268="후보"</formula>
    </cfRule>
  </conditionalFormatting>
  <conditionalFormatting sqref="AC26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23">
      <formula>AV269="X"</formula>
    </cfRule>
    <cfRule type="expression" priority="4896" dxfId="22">
      <formula>AV269="후보"</formula>
    </cfRule>
  </conditionalFormatting>
  <conditionalFormatting sqref="AC26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6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23">
      <formula>AV270="X"</formula>
    </cfRule>
    <cfRule type="expression" priority="4878" dxfId="22">
      <formula>AV270="후보"</formula>
    </cfRule>
  </conditionalFormatting>
  <conditionalFormatting sqref="AC27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23">
      <formula>AV271="X"</formula>
    </cfRule>
    <cfRule type="expression" priority="4860" dxfId="22">
      <formula>AV271="후보"</formula>
    </cfRule>
  </conditionalFormatting>
  <conditionalFormatting sqref="AC27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23">
      <formula>AV272="X"</formula>
    </cfRule>
    <cfRule type="expression" priority="4842" dxfId="22">
      <formula>AV272="후보"</formula>
    </cfRule>
  </conditionalFormatting>
  <conditionalFormatting sqref="AC27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23">
      <formula>AV273="X"</formula>
    </cfRule>
    <cfRule type="expression" priority="4824" dxfId="22">
      <formula>AV273="후보"</formula>
    </cfRule>
  </conditionalFormatting>
  <conditionalFormatting sqref="AC27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23">
      <formula>AV274="X"</formula>
    </cfRule>
    <cfRule type="expression" priority="4806" dxfId="22">
      <formula>AV274="후보"</formula>
    </cfRule>
  </conditionalFormatting>
  <conditionalFormatting sqref="AC27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23">
      <formula>AV275="X"</formula>
    </cfRule>
    <cfRule type="expression" priority="4788" dxfId="22">
      <formula>AV275="후보"</formula>
    </cfRule>
  </conditionalFormatting>
  <conditionalFormatting sqref="AC27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23">
      <formula>AV276="X"</formula>
    </cfRule>
    <cfRule type="expression" priority="4770" dxfId="22">
      <formula>AV276="후보"</formula>
    </cfRule>
  </conditionalFormatting>
  <conditionalFormatting sqref="AC27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23">
      <formula>AV277="X"</formula>
    </cfRule>
    <cfRule type="expression" priority="4752" dxfId="22">
      <formula>AV277="후보"</formula>
    </cfRule>
  </conditionalFormatting>
  <conditionalFormatting sqref="AC27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23">
      <formula>AV278="X"</formula>
    </cfRule>
    <cfRule type="expression" priority="4734" dxfId="22">
      <formula>AV278="후보"</formula>
    </cfRule>
  </conditionalFormatting>
  <conditionalFormatting sqref="AC27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23">
      <formula>AV279="X"</formula>
    </cfRule>
    <cfRule type="expression" priority="4716" dxfId="22">
      <formula>AV279="후보"</formula>
    </cfRule>
  </conditionalFormatting>
  <conditionalFormatting sqref="AC27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7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23">
      <formula>AV280="X"</formula>
    </cfRule>
    <cfRule type="expression" priority="4698" dxfId="22">
      <formula>AV280="후보"</formula>
    </cfRule>
  </conditionalFormatting>
  <conditionalFormatting sqref="AC28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23">
      <formula>AV281="X"</formula>
    </cfRule>
    <cfRule type="expression" priority="4680" dxfId="22">
      <formula>AV281="후보"</formula>
    </cfRule>
  </conditionalFormatting>
  <conditionalFormatting sqref="AC28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23">
      <formula>AV282="X"</formula>
    </cfRule>
    <cfRule type="expression" priority="4662" dxfId="22">
      <formula>AV282="후보"</formula>
    </cfRule>
  </conditionalFormatting>
  <conditionalFormatting sqref="AC28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23">
      <formula>AV283="X"</formula>
    </cfRule>
    <cfRule type="expression" priority="4644" dxfId="22">
      <formula>AV283="후보"</formula>
    </cfRule>
  </conditionalFormatting>
  <conditionalFormatting sqref="AC28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23">
      <formula>AV284="X"</formula>
    </cfRule>
    <cfRule type="expression" priority="4626" dxfId="22">
      <formula>AV284="후보"</formula>
    </cfRule>
  </conditionalFormatting>
  <conditionalFormatting sqref="AC28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23">
      <formula>AV285="X"</formula>
    </cfRule>
    <cfRule type="expression" priority="4608" dxfId="22">
      <formula>AV285="후보"</formula>
    </cfRule>
  </conditionalFormatting>
  <conditionalFormatting sqref="AC28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23">
      <formula>AV286="X"</formula>
    </cfRule>
    <cfRule type="expression" priority="4590" dxfId="22">
      <formula>AV286="후보"</formula>
    </cfRule>
  </conditionalFormatting>
  <conditionalFormatting sqref="AC28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23">
      <formula>AV287="X"</formula>
    </cfRule>
    <cfRule type="expression" priority="4572" dxfId="22">
      <formula>AV287="후보"</formula>
    </cfRule>
  </conditionalFormatting>
  <conditionalFormatting sqref="AC28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23">
      <formula>AV288="X"</formula>
    </cfRule>
    <cfRule type="expression" priority="4554" dxfId="22">
      <formula>AV288="후보"</formula>
    </cfRule>
  </conditionalFormatting>
  <conditionalFormatting sqref="AC28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23">
      <formula>AV289="X"</formula>
    </cfRule>
    <cfRule type="expression" priority="4536" dxfId="22">
      <formula>AV289="후보"</formula>
    </cfRule>
  </conditionalFormatting>
  <conditionalFormatting sqref="AC28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8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23">
      <formula>AV290="X"</formula>
    </cfRule>
    <cfRule type="expression" priority="4518" dxfId="22">
      <formula>AV290="후보"</formula>
    </cfRule>
  </conditionalFormatting>
  <conditionalFormatting sqref="AC29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23">
      <formula>AV291="X"</formula>
    </cfRule>
    <cfRule type="expression" priority="4500" dxfId="22">
      <formula>AV291="후보"</formula>
    </cfRule>
  </conditionalFormatting>
  <conditionalFormatting sqref="AC29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23">
      <formula>AV292="X"</formula>
    </cfRule>
    <cfRule type="expression" priority="4482" dxfId="22">
      <formula>AV292="후보"</formula>
    </cfRule>
  </conditionalFormatting>
  <conditionalFormatting sqref="AC29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23">
      <formula>AV293="X"</formula>
    </cfRule>
    <cfRule type="expression" priority="4464" dxfId="22">
      <formula>AV293="후보"</formula>
    </cfRule>
  </conditionalFormatting>
  <conditionalFormatting sqref="AC29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23">
      <formula>AV294="X"</formula>
    </cfRule>
    <cfRule type="expression" priority="4446" dxfId="22">
      <formula>AV294="후보"</formula>
    </cfRule>
  </conditionalFormatting>
  <conditionalFormatting sqref="AC29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23">
      <formula>AV295="X"</formula>
    </cfRule>
    <cfRule type="expression" priority="4428" dxfId="22">
      <formula>AV295="후보"</formula>
    </cfRule>
  </conditionalFormatting>
  <conditionalFormatting sqref="AC29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23">
      <formula>AV296="X"</formula>
    </cfRule>
    <cfRule type="expression" priority="4410" dxfId="22">
      <formula>AV296="후보"</formula>
    </cfRule>
  </conditionalFormatting>
  <conditionalFormatting sqref="AC29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23">
      <formula>AV297="X"</formula>
    </cfRule>
    <cfRule type="expression" priority="4392" dxfId="22">
      <formula>AV297="후보"</formula>
    </cfRule>
  </conditionalFormatting>
  <conditionalFormatting sqref="AC29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23">
      <formula>AV298="X"</formula>
    </cfRule>
    <cfRule type="expression" priority="4374" dxfId="22">
      <formula>AV298="후보"</formula>
    </cfRule>
  </conditionalFormatting>
  <conditionalFormatting sqref="AC29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23">
      <formula>AV299="X"</formula>
    </cfRule>
    <cfRule type="expression" priority="4356" dxfId="22">
      <formula>AV299="후보"</formula>
    </cfRule>
  </conditionalFormatting>
  <conditionalFormatting sqref="AC29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9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23">
      <formula>AV300="X"</formula>
    </cfRule>
    <cfRule type="expression" priority="4338" dxfId="22">
      <formula>AV300="후보"</formula>
    </cfRule>
  </conditionalFormatting>
  <conditionalFormatting sqref="AC30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23">
      <formula>AV301="X"</formula>
    </cfRule>
    <cfRule type="expression" priority="4320" dxfId="22">
      <formula>AV301="후보"</formula>
    </cfRule>
  </conditionalFormatting>
  <conditionalFormatting sqref="AC30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23">
      <formula>AV302="X"</formula>
    </cfRule>
    <cfRule type="expression" priority="4302" dxfId="22">
      <formula>AV302="후보"</formula>
    </cfRule>
  </conditionalFormatting>
  <conditionalFormatting sqref="AC30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23">
      <formula>AV303="X"</formula>
    </cfRule>
    <cfRule type="expression" priority="4284" dxfId="22">
      <formula>AV303="후보"</formula>
    </cfRule>
  </conditionalFormatting>
  <conditionalFormatting sqref="AC30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23">
      <formula>AV304="X"</formula>
    </cfRule>
    <cfRule type="expression" priority="4266" dxfId="22">
      <formula>AV304="후보"</formula>
    </cfRule>
  </conditionalFormatting>
  <conditionalFormatting sqref="AC30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23">
      <formula>AV305="X"</formula>
    </cfRule>
    <cfRule type="expression" priority="4248" dxfId="22">
      <formula>AV305="후보"</formula>
    </cfRule>
  </conditionalFormatting>
  <conditionalFormatting sqref="AC30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23">
      <formula>AV306="X"</formula>
    </cfRule>
    <cfRule type="expression" priority="4230" dxfId="22">
      <formula>AV306="후보"</formula>
    </cfRule>
  </conditionalFormatting>
  <conditionalFormatting sqref="AC30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23">
      <formula>AV307="X"</formula>
    </cfRule>
    <cfRule type="expression" priority="4212" dxfId="22">
      <formula>AV307="후보"</formula>
    </cfRule>
  </conditionalFormatting>
  <conditionalFormatting sqref="AC30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23">
      <formula>AV308="X"</formula>
    </cfRule>
    <cfRule type="expression" priority="4194" dxfId="22">
      <formula>AV308="후보"</formula>
    </cfRule>
  </conditionalFormatting>
  <conditionalFormatting sqref="AC30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23">
      <formula>AV309="X"</formula>
    </cfRule>
    <cfRule type="expression" priority="4176" dxfId="22">
      <formula>AV309="후보"</formula>
    </cfRule>
  </conditionalFormatting>
  <conditionalFormatting sqref="AC30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0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23">
      <formula>AV310="X"</formula>
    </cfRule>
    <cfRule type="expression" priority="4158" dxfId="22">
      <formula>AV310="후보"</formula>
    </cfRule>
  </conditionalFormatting>
  <conditionalFormatting sqref="AC31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23">
      <formula>AV311="X"</formula>
    </cfRule>
    <cfRule type="expression" priority="4140" dxfId="22">
      <formula>AV311="후보"</formula>
    </cfRule>
  </conditionalFormatting>
  <conditionalFormatting sqref="AC31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23">
      <formula>AV312="X"</formula>
    </cfRule>
    <cfRule type="expression" priority="4122" dxfId="22">
      <formula>AV312="후보"</formula>
    </cfRule>
  </conditionalFormatting>
  <conditionalFormatting sqref="AC31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23">
      <formula>AV313="X"</formula>
    </cfRule>
    <cfRule type="expression" priority="4104" dxfId="22">
      <formula>AV313="후보"</formula>
    </cfRule>
  </conditionalFormatting>
  <conditionalFormatting sqref="AC31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23">
      <formula>AV314="X"</formula>
    </cfRule>
    <cfRule type="expression" priority="4086" dxfId="22">
      <formula>AV314="후보"</formula>
    </cfRule>
  </conditionalFormatting>
  <conditionalFormatting sqref="AC31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23">
      <formula>AV315="X"</formula>
    </cfRule>
    <cfRule type="expression" priority="4068" dxfId="22">
      <formula>AV315="후보"</formula>
    </cfRule>
  </conditionalFormatting>
  <conditionalFormatting sqref="AC31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23">
      <formula>AV316="X"</formula>
    </cfRule>
    <cfRule type="expression" priority="4050" dxfId="22">
      <formula>AV316="후보"</formula>
    </cfRule>
  </conditionalFormatting>
  <conditionalFormatting sqref="AC31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23">
      <formula>AV317="X"</formula>
    </cfRule>
    <cfRule type="expression" priority="4032" dxfId="22">
      <formula>AV317="후보"</formula>
    </cfRule>
  </conditionalFormatting>
  <conditionalFormatting sqref="AC31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23">
      <formula>AV318="X"</formula>
    </cfRule>
    <cfRule type="expression" priority="4014" dxfId="22">
      <formula>AV318="후보"</formula>
    </cfRule>
  </conditionalFormatting>
  <conditionalFormatting sqref="AC31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23">
      <formula>AV319="X"</formula>
    </cfRule>
    <cfRule type="expression" priority="3996" dxfId="22">
      <formula>AV319="후보"</formula>
    </cfRule>
  </conditionalFormatting>
  <conditionalFormatting sqref="AC31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1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23">
      <formula>AV320="X"</formula>
    </cfRule>
    <cfRule type="expression" priority="3978" dxfId="22">
      <formula>AV320="후보"</formula>
    </cfRule>
  </conditionalFormatting>
  <conditionalFormatting sqref="AC32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23">
      <formula>AV321="X"</formula>
    </cfRule>
    <cfRule type="expression" priority="3960" dxfId="22">
      <formula>AV321="후보"</formula>
    </cfRule>
  </conditionalFormatting>
  <conditionalFormatting sqref="AC32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23">
      <formula>AV322="X"</formula>
    </cfRule>
    <cfRule type="expression" priority="3942" dxfId="22">
      <formula>AV322="후보"</formula>
    </cfRule>
  </conditionalFormatting>
  <conditionalFormatting sqref="AC32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23">
      <formula>AV323="X"</formula>
    </cfRule>
    <cfRule type="expression" priority="3924" dxfId="22">
      <formula>AV323="후보"</formula>
    </cfRule>
  </conditionalFormatting>
  <conditionalFormatting sqref="AC32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23">
      <formula>AV324="X"</formula>
    </cfRule>
    <cfRule type="expression" priority="3906" dxfId="22">
      <formula>AV324="후보"</formula>
    </cfRule>
  </conditionalFormatting>
  <conditionalFormatting sqref="AC32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23">
      <formula>AV325="X"</formula>
    </cfRule>
    <cfRule type="expression" priority="3888" dxfId="22">
      <formula>AV325="후보"</formula>
    </cfRule>
  </conditionalFormatting>
  <conditionalFormatting sqref="AC32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23">
      <formula>AV326="X"</formula>
    </cfRule>
    <cfRule type="expression" priority="3870" dxfId="22">
      <formula>AV326="후보"</formula>
    </cfRule>
  </conditionalFormatting>
  <conditionalFormatting sqref="AC32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23">
      <formula>AV327="X"</formula>
    </cfRule>
    <cfRule type="expression" priority="3852" dxfId="22">
      <formula>AV327="후보"</formula>
    </cfRule>
  </conditionalFormatting>
  <conditionalFormatting sqref="AC32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23">
      <formula>AV328="X"</formula>
    </cfRule>
    <cfRule type="expression" priority="3834" dxfId="22">
      <formula>AV328="후보"</formula>
    </cfRule>
  </conditionalFormatting>
  <conditionalFormatting sqref="AC32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23">
      <formula>AV329="X"</formula>
    </cfRule>
    <cfRule type="expression" priority="3816" dxfId="22">
      <formula>AV329="후보"</formula>
    </cfRule>
  </conditionalFormatting>
  <conditionalFormatting sqref="AC32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23">
      <formula>AV330="X"</formula>
    </cfRule>
    <cfRule type="expression" priority="3798" dxfId="22">
      <formula>AV330="후보"</formula>
    </cfRule>
  </conditionalFormatting>
  <conditionalFormatting sqref="AC33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23">
      <formula>AV331="X"</formula>
    </cfRule>
    <cfRule type="expression" priority="3780" dxfId="22">
      <formula>AV331="후보"</formula>
    </cfRule>
  </conditionalFormatting>
  <conditionalFormatting sqref="AC33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23">
      <formula>AV332="X"</formula>
    </cfRule>
    <cfRule type="expression" priority="3762" dxfId="22">
      <formula>AV332="후보"</formula>
    </cfRule>
  </conditionalFormatting>
  <conditionalFormatting sqref="AC33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23">
      <formula>AV333="X"</formula>
    </cfRule>
    <cfRule type="expression" priority="3744" dxfId="22">
      <formula>AV333="후보"</formula>
    </cfRule>
  </conditionalFormatting>
  <conditionalFormatting sqref="AC33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23">
      <formula>AV334="X"</formula>
    </cfRule>
    <cfRule type="expression" priority="3726" dxfId="22">
      <formula>AV334="후보"</formula>
    </cfRule>
  </conditionalFormatting>
  <conditionalFormatting sqref="AC33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23">
      <formula>AV335="X"</formula>
    </cfRule>
    <cfRule type="expression" priority="3708" dxfId="22">
      <formula>AV335="후보"</formula>
    </cfRule>
  </conditionalFormatting>
  <conditionalFormatting sqref="AC33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23">
      <formula>AV336="X"</formula>
    </cfRule>
    <cfRule type="expression" priority="3690" dxfId="22">
      <formula>AV336="후보"</formula>
    </cfRule>
  </conditionalFormatting>
  <conditionalFormatting sqref="AC33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23">
      <formula>AV337="X"</formula>
    </cfRule>
    <cfRule type="expression" priority="3672" dxfId="22">
      <formula>AV337="후보"</formula>
    </cfRule>
  </conditionalFormatting>
  <conditionalFormatting sqref="AC33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23">
      <formula>AV338="X"</formula>
    </cfRule>
    <cfRule type="expression" priority="3654" dxfId="22">
      <formula>AV338="후보"</formula>
    </cfRule>
  </conditionalFormatting>
  <conditionalFormatting sqref="AC33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23">
      <formula>AV339="X"</formula>
    </cfRule>
    <cfRule type="expression" priority="3636" dxfId="22">
      <formula>AV339="후보"</formula>
    </cfRule>
  </conditionalFormatting>
  <conditionalFormatting sqref="AC33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3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23">
      <formula>AV340="X"</formula>
    </cfRule>
    <cfRule type="expression" priority="3618" dxfId="22">
      <formula>AV340="후보"</formula>
    </cfRule>
  </conditionalFormatting>
  <conditionalFormatting sqref="AC34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23">
      <formula>AV341="X"</formula>
    </cfRule>
    <cfRule type="expression" priority="3600" dxfId="22">
      <formula>AV341="후보"</formula>
    </cfRule>
  </conditionalFormatting>
  <conditionalFormatting sqref="AC34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23">
      <formula>AV342="X"</formula>
    </cfRule>
    <cfRule type="expression" priority="3582" dxfId="22">
      <formula>AV342="후보"</formula>
    </cfRule>
  </conditionalFormatting>
  <conditionalFormatting sqref="AC34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23">
      <formula>AV343="X"</formula>
    </cfRule>
    <cfRule type="expression" priority="3564" dxfId="22">
      <formula>AV343="후보"</formula>
    </cfRule>
  </conditionalFormatting>
  <conditionalFormatting sqref="AC34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23">
      <formula>AV344="X"</formula>
    </cfRule>
    <cfRule type="expression" priority="3546" dxfId="22">
      <formula>AV344="후보"</formula>
    </cfRule>
  </conditionalFormatting>
  <conditionalFormatting sqref="AC34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23">
      <formula>AV345="X"</formula>
    </cfRule>
    <cfRule type="expression" priority="3528" dxfId="22">
      <formula>AV345="후보"</formula>
    </cfRule>
  </conditionalFormatting>
  <conditionalFormatting sqref="AC34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23">
      <formula>AV346="X"</formula>
    </cfRule>
    <cfRule type="expression" priority="3510" dxfId="22">
      <formula>AV346="후보"</formula>
    </cfRule>
  </conditionalFormatting>
  <conditionalFormatting sqref="AC34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23">
      <formula>AV347="X"</formula>
    </cfRule>
    <cfRule type="expression" priority="3492" dxfId="22">
      <formula>AV347="후보"</formula>
    </cfRule>
  </conditionalFormatting>
  <conditionalFormatting sqref="AC34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23">
      <formula>AV348="X"</formula>
    </cfRule>
    <cfRule type="expression" priority="3474" dxfId="22">
      <formula>AV348="후보"</formula>
    </cfRule>
  </conditionalFormatting>
  <conditionalFormatting sqref="AC34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23">
      <formula>AV349="X"</formula>
    </cfRule>
    <cfRule type="expression" priority="3456" dxfId="22">
      <formula>AV349="후보"</formula>
    </cfRule>
  </conditionalFormatting>
  <conditionalFormatting sqref="AC34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4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23">
      <formula>AV350="X"</formula>
    </cfRule>
    <cfRule type="expression" priority="3438" dxfId="22">
      <formula>AV350="후보"</formula>
    </cfRule>
  </conditionalFormatting>
  <conditionalFormatting sqref="AC35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23">
      <formula>AV351="X"</formula>
    </cfRule>
    <cfRule type="expression" priority="3420" dxfId="22">
      <formula>AV351="후보"</formula>
    </cfRule>
  </conditionalFormatting>
  <conditionalFormatting sqref="AC35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23">
      <formula>AV352="X"</formula>
    </cfRule>
    <cfRule type="expression" priority="3402" dxfId="22">
      <formula>AV352="후보"</formula>
    </cfRule>
  </conditionalFormatting>
  <conditionalFormatting sqref="AC35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23">
      <formula>AV353="X"</formula>
    </cfRule>
    <cfRule type="expression" priority="3384" dxfId="22">
      <formula>AV353="후보"</formula>
    </cfRule>
  </conditionalFormatting>
  <conditionalFormatting sqref="AC35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23">
      <formula>AV354="X"</formula>
    </cfRule>
    <cfRule type="expression" priority="3366" dxfId="22">
      <formula>AV354="후보"</formula>
    </cfRule>
  </conditionalFormatting>
  <conditionalFormatting sqref="AC35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23">
      <formula>AV355="X"</formula>
    </cfRule>
    <cfRule type="expression" priority="3348" dxfId="22">
      <formula>AV355="후보"</formula>
    </cfRule>
  </conditionalFormatting>
  <conditionalFormatting sqref="AC35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23">
      <formula>AV356="X"</formula>
    </cfRule>
    <cfRule type="expression" priority="3330" dxfId="22">
      <formula>AV356="후보"</formula>
    </cfRule>
  </conditionalFormatting>
  <conditionalFormatting sqref="AC35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23">
      <formula>AV357="X"</formula>
    </cfRule>
    <cfRule type="expression" priority="3312" dxfId="22">
      <formula>AV357="후보"</formula>
    </cfRule>
  </conditionalFormatting>
  <conditionalFormatting sqref="AC35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23">
      <formula>AV358="X"</formula>
    </cfRule>
    <cfRule type="expression" priority="3294" dxfId="22">
      <formula>AV358="후보"</formula>
    </cfRule>
  </conditionalFormatting>
  <conditionalFormatting sqref="AC35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23">
      <formula>AV359="X"</formula>
    </cfRule>
    <cfRule type="expression" priority="3276" dxfId="22">
      <formula>AV359="후보"</formula>
    </cfRule>
  </conditionalFormatting>
  <conditionalFormatting sqref="AC35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23">
      <formula>AV360="X"</formula>
    </cfRule>
    <cfRule type="expression" priority="3258" dxfId="22">
      <formula>AV360="후보"</formula>
    </cfRule>
  </conditionalFormatting>
  <conditionalFormatting sqref="AC36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23">
      <formula>AV361="X"</formula>
    </cfRule>
    <cfRule type="expression" priority="3240" dxfId="22">
      <formula>AV361="후보"</formula>
    </cfRule>
  </conditionalFormatting>
  <conditionalFormatting sqref="AC36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23">
      <formula>AV362="X"</formula>
    </cfRule>
    <cfRule type="expression" priority="3222" dxfId="22">
      <formula>AV362="후보"</formula>
    </cfRule>
  </conditionalFormatting>
  <conditionalFormatting sqref="AC36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23">
      <formula>AV363="X"</formula>
    </cfRule>
    <cfRule type="expression" priority="3204" dxfId="22">
      <formula>AV363="후보"</formula>
    </cfRule>
  </conditionalFormatting>
  <conditionalFormatting sqref="AC36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23">
      <formula>AV364="X"</formula>
    </cfRule>
    <cfRule type="expression" priority="3186" dxfId="22">
      <formula>AV364="후보"</formula>
    </cfRule>
  </conditionalFormatting>
  <conditionalFormatting sqref="AC36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23">
      <formula>AV365="X"</formula>
    </cfRule>
    <cfRule type="expression" priority="3168" dxfId="22">
      <formula>AV365="후보"</formula>
    </cfRule>
  </conditionalFormatting>
  <conditionalFormatting sqref="AC36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23">
      <formula>AV366="X"</formula>
    </cfRule>
    <cfRule type="expression" priority="3150" dxfId="22">
      <formula>AV366="후보"</formula>
    </cfRule>
  </conditionalFormatting>
  <conditionalFormatting sqref="AC36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23">
      <formula>AV367="X"</formula>
    </cfRule>
    <cfRule type="expression" priority="3132" dxfId="22">
      <formula>AV367="후보"</formula>
    </cfRule>
  </conditionalFormatting>
  <conditionalFormatting sqref="AC36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23">
      <formula>AV368="X"</formula>
    </cfRule>
    <cfRule type="expression" priority="3114" dxfId="22">
      <formula>AV368="후보"</formula>
    </cfRule>
  </conditionalFormatting>
  <conditionalFormatting sqref="AC36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23">
      <formula>AV369="X"</formula>
    </cfRule>
    <cfRule type="expression" priority="3096" dxfId="22">
      <formula>AV369="후보"</formula>
    </cfRule>
  </conditionalFormatting>
  <conditionalFormatting sqref="AC3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23">
      <formula>AV370="X"</formula>
    </cfRule>
    <cfRule type="expression" priority="3078" dxfId="22">
      <formula>AV370="후보"</formula>
    </cfRule>
  </conditionalFormatting>
  <conditionalFormatting sqref="AC37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23">
      <formula>AV371="X"</formula>
    </cfRule>
    <cfRule type="expression" priority="3060" dxfId="22">
      <formula>AV371="후보"</formula>
    </cfRule>
  </conditionalFormatting>
  <conditionalFormatting sqref="AC37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23">
      <formula>AV372="X"</formula>
    </cfRule>
    <cfRule type="expression" priority="3042" dxfId="22">
      <formula>AV372="후보"</formula>
    </cfRule>
  </conditionalFormatting>
  <conditionalFormatting sqref="AC37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23">
      <formula>AV373="X"</formula>
    </cfRule>
    <cfRule type="expression" priority="3024" dxfId="22">
      <formula>AV373="후보"</formula>
    </cfRule>
  </conditionalFormatting>
  <conditionalFormatting sqref="AC37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23">
      <formula>AV374="X"</formula>
    </cfRule>
    <cfRule type="expression" priority="3006" dxfId="22">
      <formula>AV374="후보"</formula>
    </cfRule>
  </conditionalFormatting>
  <conditionalFormatting sqref="AC37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23">
      <formula>AV375="X"</formula>
    </cfRule>
    <cfRule type="expression" priority="2988" dxfId="22">
      <formula>AV375="후보"</formula>
    </cfRule>
  </conditionalFormatting>
  <conditionalFormatting sqref="AC37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23">
      <formula>AV376="X"</formula>
    </cfRule>
    <cfRule type="expression" priority="2970" dxfId="22">
      <formula>AV376="후보"</formula>
    </cfRule>
  </conditionalFormatting>
  <conditionalFormatting sqref="AC37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23">
      <formula>AV377="X"</formula>
    </cfRule>
    <cfRule type="expression" priority="2952" dxfId="22">
      <formula>AV377="후보"</formula>
    </cfRule>
  </conditionalFormatting>
  <conditionalFormatting sqref="AC37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23">
      <formula>AV378="X"</formula>
    </cfRule>
    <cfRule type="expression" priority="2934" dxfId="22">
      <formula>AV378="후보"</formula>
    </cfRule>
  </conditionalFormatting>
  <conditionalFormatting sqref="AC37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23">
      <formula>AV379="X"</formula>
    </cfRule>
    <cfRule type="expression" priority="2916" dxfId="22">
      <formula>AV379="후보"</formula>
    </cfRule>
  </conditionalFormatting>
  <conditionalFormatting sqref="AC37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7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23">
      <formula>AV380="X"</formula>
    </cfRule>
    <cfRule type="expression" priority="2898" dxfId="22">
      <formula>AV380="후보"</formula>
    </cfRule>
  </conditionalFormatting>
  <conditionalFormatting sqref="AC38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23">
      <formula>AV381="X"</formula>
    </cfRule>
    <cfRule type="expression" priority="2880" dxfId="22">
      <formula>AV381="후보"</formula>
    </cfRule>
  </conditionalFormatting>
  <conditionalFormatting sqref="AC38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23">
      <formula>AV382="X"</formula>
    </cfRule>
    <cfRule type="expression" priority="2862" dxfId="22">
      <formula>AV382="후보"</formula>
    </cfRule>
  </conditionalFormatting>
  <conditionalFormatting sqref="AC38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23">
      <formula>AV383="X"</formula>
    </cfRule>
    <cfRule type="expression" priority="2844" dxfId="22">
      <formula>AV383="후보"</formula>
    </cfRule>
  </conditionalFormatting>
  <conditionalFormatting sqref="AC38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23">
      <formula>AV384="X"</formula>
    </cfRule>
    <cfRule type="expression" priority="2826" dxfId="22">
      <formula>AV384="후보"</formula>
    </cfRule>
  </conditionalFormatting>
  <conditionalFormatting sqref="AC38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23">
      <formula>AV385="X"</formula>
    </cfRule>
    <cfRule type="expression" priority="2808" dxfId="22">
      <formula>AV385="후보"</formula>
    </cfRule>
  </conditionalFormatting>
  <conditionalFormatting sqref="AC38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23">
      <formula>AV386="X"</formula>
    </cfRule>
    <cfRule type="expression" priority="2790" dxfId="22">
      <formula>AV386="후보"</formula>
    </cfRule>
  </conditionalFormatting>
  <conditionalFormatting sqref="AC38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23">
      <formula>AV387="X"</formula>
    </cfRule>
    <cfRule type="expression" priority="2772" dxfId="22">
      <formula>AV387="후보"</formula>
    </cfRule>
  </conditionalFormatting>
  <conditionalFormatting sqref="AC38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23">
      <formula>AV388="X"</formula>
    </cfRule>
    <cfRule type="expression" priority="2754" dxfId="22">
      <formula>AV388="후보"</formula>
    </cfRule>
  </conditionalFormatting>
  <conditionalFormatting sqref="AC38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23">
      <formula>AV389="X"</formula>
    </cfRule>
    <cfRule type="expression" priority="2736" dxfId="22">
      <formula>AV389="후보"</formula>
    </cfRule>
  </conditionalFormatting>
  <conditionalFormatting sqref="AC38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8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23">
      <formula>AV390="X"</formula>
    </cfRule>
    <cfRule type="expression" priority="2718" dxfId="22">
      <formula>AV390="후보"</formula>
    </cfRule>
  </conditionalFormatting>
  <conditionalFormatting sqref="AC39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23">
      <formula>AV391="X"</formula>
    </cfRule>
    <cfRule type="expression" priority="2700" dxfId="22">
      <formula>AV391="후보"</formula>
    </cfRule>
  </conditionalFormatting>
  <conditionalFormatting sqref="AC39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23">
      <formula>AV392="X"</formula>
    </cfRule>
    <cfRule type="expression" priority="2682" dxfId="22">
      <formula>AV392="후보"</formula>
    </cfRule>
  </conditionalFormatting>
  <conditionalFormatting sqref="AC39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23">
      <formula>AV393="X"</formula>
    </cfRule>
    <cfRule type="expression" priority="2664" dxfId="22">
      <formula>AV393="후보"</formula>
    </cfRule>
  </conditionalFormatting>
  <conditionalFormatting sqref="AC39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23">
      <formula>AV394="X"</formula>
    </cfRule>
    <cfRule type="expression" priority="2646" dxfId="22">
      <formula>AV394="후보"</formula>
    </cfRule>
  </conditionalFormatting>
  <conditionalFormatting sqref="AC39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23">
      <formula>AV395="X"</formula>
    </cfRule>
    <cfRule type="expression" priority="2628" dxfId="22">
      <formula>AV395="후보"</formula>
    </cfRule>
  </conditionalFormatting>
  <conditionalFormatting sqref="AC39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23">
      <formula>AV396="X"</formula>
    </cfRule>
    <cfRule type="expression" priority="2610" dxfId="22">
      <formula>AV396="후보"</formula>
    </cfRule>
  </conditionalFormatting>
  <conditionalFormatting sqref="AC39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23">
      <formula>AV397="X"</formula>
    </cfRule>
    <cfRule type="expression" priority="2592" dxfId="22">
      <formula>AV397="후보"</formula>
    </cfRule>
  </conditionalFormatting>
  <conditionalFormatting sqref="AC39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23">
      <formula>AV398="X"</formula>
    </cfRule>
    <cfRule type="expression" priority="2574" dxfId="22">
      <formula>AV398="후보"</formula>
    </cfRule>
  </conditionalFormatting>
  <conditionalFormatting sqref="AC39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23">
      <formula>AV399="X"</formula>
    </cfRule>
    <cfRule type="expression" priority="2556" dxfId="22">
      <formula>AV399="후보"</formula>
    </cfRule>
  </conditionalFormatting>
  <conditionalFormatting sqref="AC39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23">
      <formula>AV400="X"</formula>
    </cfRule>
    <cfRule type="expression" priority="2538" dxfId="22">
      <formula>AV400="후보"</formula>
    </cfRule>
  </conditionalFormatting>
  <conditionalFormatting sqref="AC40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23">
      <formula>AV401="X"</formula>
    </cfRule>
    <cfRule type="expression" priority="2520" dxfId="22">
      <formula>AV401="후보"</formula>
    </cfRule>
  </conditionalFormatting>
  <conditionalFormatting sqref="AC40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23">
      <formula>AV402="X"</formula>
    </cfRule>
    <cfRule type="expression" priority="2502" dxfId="22">
      <formula>AV402="후보"</formula>
    </cfRule>
  </conditionalFormatting>
  <conditionalFormatting sqref="AC40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23">
      <formula>AV403="X"</formula>
    </cfRule>
    <cfRule type="expression" priority="2484" dxfId="22">
      <formula>AV403="후보"</formula>
    </cfRule>
  </conditionalFormatting>
  <conditionalFormatting sqref="AC40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23">
      <formula>AV404="X"</formula>
    </cfRule>
    <cfRule type="expression" priority="2466" dxfId="22">
      <formula>AV404="후보"</formula>
    </cfRule>
  </conditionalFormatting>
  <conditionalFormatting sqref="AC40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23">
      <formula>AV405="X"</formula>
    </cfRule>
    <cfRule type="expression" priority="2448" dxfId="22">
      <formula>AV405="후보"</formula>
    </cfRule>
  </conditionalFormatting>
  <conditionalFormatting sqref="AC40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23">
      <formula>AV406="X"</formula>
    </cfRule>
    <cfRule type="expression" priority="2430" dxfId="22">
      <formula>AV406="후보"</formula>
    </cfRule>
  </conditionalFormatting>
  <conditionalFormatting sqref="AC40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23">
      <formula>AV407="X"</formula>
    </cfRule>
    <cfRule type="expression" priority="2412" dxfId="22">
      <formula>AV407="후보"</formula>
    </cfRule>
  </conditionalFormatting>
  <conditionalFormatting sqref="AC40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23">
      <formula>AV408="X"</formula>
    </cfRule>
    <cfRule type="expression" priority="2394" dxfId="22">
      <formula>AV408="후보"</formula>
    </cfRule>
  </conditionalFormatting>
  <conditionalFormatting sqref="AC40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23">
      <formula>AV409="X"</formula>
    </cfRule>
    <cfRule type="expression" priority="2376" dxfId="22">
      <formula>AV409="후보"</formula>
    </cfRule>
  </conditionalFormatting>
  <conditionalFormatting sqref="AC40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0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23">
      <formula>AV410="X"</formula>
    </cfRule>
    <cfRule type="expression" priority="2358" dxfId="22">
      <formula>AV410="후보"</formula>
    </cfRule>
  </conditionalFormatting>
  <conditionalFormatting sqref="AC41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23">
      <formula>AV411="X"</formula>
    </cfRule>
    <cfRule type="expression" priority="2340" dxfId="22">
      <formula>AV411="후보"</formula>
    </cfRule>
  </conditionalFormatting>
  <conditionalFormatting sqref="AC41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23">
      <formula>AV412="X"</formula>
    </cfRule>
    <cfRule type="expression" priority="2322" dxfId="22">
      <formula>AV412="후보"</formula>
    </cfRule>
  </conditionalFormatting>
  <conditionalFormatting sqref="AC41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23">
      <formula>AV413="X"</formula>
    </cfRule>
    <cfRule type="expression" priority="2304" dxfId="22">
      <formula>AV413="후보"</formula>
    </cfRule>
  </conditionalFormatting>
  <conditionalFormatting sqref="AC41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23">
      <formula>AV414="X"</formula>
    </cfRule>
    <cfRule type="expression" priority="2286" dxfId="22">
      <formula>AV414="후보"</formula>
    </cfRule>
  </conditionalFormatting>
  <conditionalFormatting sqref="AC41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23">
      <formula>AV415="X"</formula>
    </cfRule>
    <cfRule type="expression" priority="2268" dxfId="22">
      <formula>AV415="후보"</formula>
    </cfRule>
  </conditionalFormatting>
  <conditionalFormatting sqref="AC41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23">
      <formula>AV416="X"</formula>
    </cfRule>
    <cfRule type="expression" priority="2250" dxfId="22">
      <formula>AV416="후보"</formula>
    </cfRule>
  </conditionalFormatting>
  <conditionalFormatting sqref="AC41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23">
      <formula>AV417="X"</formula>
    </cfRule>
    <cfRule type="expression" priority="2232" dxfId="22">
      <formula>AV417="후보"</formula>
    </cfRule>
  </conditionalFormatting>
  <conditionalFormatting sqref="AC41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23">
      <formula>AV418="X"</formula>
    </cfRule>
    <cfRule type="expression" priority="2214" dxfId="22">
      <formula>AV418="후보"</formula>
    </cfRule>
  </conditionalFormatting>
  <conditionalFormatting sqref="AC41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23">
      <formula>AV419="X"</formula>
    </cfRule>
    <cfRule type="expression" priority="2196" dxfId="22">
      <formula>AV419="후보"</formula>
    </cfRule>
  </conditionalFormatting>
  <conditionalFormatting sqref="AC41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1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23">
      <formula>AV420="X"</formula>
    </cfRule>
    <cfRule type="expression" priority="2178" dxfId="22">
      <formula>AV420="후보"</formula>
    </cfRule>
  </conditionalFormatting>
  <conditionalFormatting sqref="AC42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23">
      <formula>AV421="X"</formula>
    </cfRule>
    <cfRule type="expression" priority="2160" dxfId="22">
      <formula>AV421="후보"</formula>
    </cfRule>
  </conditionalFormatting>
  <conditionalFormatting sqref="AC42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23">
      <formula>AV422="X"</formula>
    </cfRule>
    <cfRule type="expression" priority="2142" dxfId="22">
      <formula>AV422="후보"</formula>
    </cfRule>
  </conditionalFormatting>
  <conditionalFormatting sqref="AC42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23">
      <formula>AV423="X"</formula>
    </cfRule>
    <cfRule type="expression" priority="2124" dxfId="22">
      <formula>AV423="후보"</formula>
    </cfRule>
  </conditionalFormatting>
  <conditionalFormatting sqref="AC42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23">
      <formula>AV424="X"</formula>
    </cfRule>
    <cfRule type="expression" priority="2106" dxfId="22">
      <formula>AV424="후보"</formula>
    </cfRule>
  </conditionalFormatting>
  <conditionalFormatting sqref="AC42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23">
      <formula>AV425="X"</formula>
    </cfRule>
    <cfRule type="expression" priority="2088" dxfId="22">
      <formula>AV425="후보"</formula>
    </cfRule>
  </conditionalFormatting>
  <conditionalFormatting sqref="AC42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23">
      <formula>AV426="X"</formula>
    </cfRule>
    <cfRule type="expression" priority="2070" dxfId="22">
      <formula>AV426="후보"</formula>
    </cfRule>
  </conditionalFormatting>
  <conditionalFormatting sqref="AC42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23">
      <formula>AV427="X"</formula>
    </cfRule>
    <cfRule type="expression" priority="2052" dxfId="22">
      <formula>AV427="후보"</formula>
    </cfRule>
  </conditionalFormatting>
  <conditionalFormatting sqref="AC42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23">
      <formula>AV428="X"</formula>
    </cfRule>
    <cfRule type="expression" priority="2034" dxfId="22">
      <formula>AV428="후보"</formula>
    </cfRule>
  </conditionalFormatting>
  <conditionalFormatting sqref="AC42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23">
      <formula>AV429="X"</formula>
    </cfRule>
    <cfRule type="expression" priority="2016" dxfId="22">
      <formula>AV429="후보"</formula>
    </cfRule>
  </conditionalFormatting>
  <conditionalFormatting sqref="AC42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2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23">
      <formula>AV430="X"</formula>
    </cfRule>
    <cfRule type="expression" priority="1998" dxfId="22">
      <formula>AV430="후보"</formula>
    </cfRule>
  </conditionalFormatting>
  <conditionalFormatting sqref="AC43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23">
      <formula>AV431="X"</formula>
    </cfRule>
    <cfRule type="expression" priority="1980" dxfId="22">
      <formula>AV431="후보"</formula>
    </cfRule>
  </conditionalFormatting>
  <conditionalFormatting sqref="AC43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23">
      <formula>AV432="X"</formula>
    </cfRule>
    <cfRule type="expression" priority="1962" dxfId="22">
      <formula>AV432="후보"</formula>
    </cfRule>
  </conditionalFormatting>
  <conditionalFormatting sqref="AC43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23">
      <formula>AV433="X"</formula>
    </cfRule>
    <cfRule type="expression" priority="1944" dxfId="22">
      <formula>AV433="후보"</formula>
    </cfRule>
  </conditionalFormatting>
  <conditionalFormatting sqref="AC43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23">
      <formula>AV434="X"</formula>
    </cfRule>
    <cfRule type="expression" priority="1926" dxfId="22">
      <formula>AV434="후보"</formula>
    </cfRule>
  </conditionalFormatting>
  <conditionalFormatting sqref="AC43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23">
      <formula>AV435="X"</formula>
    </cfRule>
    <cfRule type="expression" priority="1908" dxfId="22">
      <formula>AV435="후보"</formula>
    </cfRule>
  </conditionalFormatting>
  <conditionalFormatting sqref="AC43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23">
      <formula>AV436="X"</formula>
    </cfRule>
    <cfRule type="expression" priority="1890" dxfId="22">
      <formula>AV436="후보"</formula>
    </cfRule>
  </conditionalFormatting>
  <conditionalFormatting sqref="AC43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23">
      <formula>AV437="X"</formula>
    </cfRule>
    <cfRule type="expression" priority="1872" dxfId="22">
      <formula>AV437="후보"</formula>
    </cfRule>
  </conditionalFormatting>
  <conditionalFormatting sqref="AC4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23">
      <formula>AV438="X"</formula>
    </cfRule>
    <cfRule type="expression" priority="1854" dxfId="22">
      <formula>AV438="후보"</formula>
    </cfRule>
  </conditionalFormatting>
  <conditionalFormatting sqref="AC43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23">
      <formula>AV439="X"</formula>
    </cfRule>
    <cfRule type="expression" priority="1836" dxfId="22">
      <formula>AV439="후보"</formula>
    </cfRule>
  </conditionalFormatting>
  <conditionalFormatting sqref="AC4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23">
      <formula>AV440="X"</formula>
    </cfRule>
    <cfRule type="expression" priority="1818" dxfId="22">
      <formula>AV440="후보"</formula>
    </cfRule>
  </conditionalFormatting>
  <conditionalFormatting sqref="AC44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23">
      <formula>AV441="X"</formula>
    </cfRule>
    <cfRule type="expression" priority="1800" dxfId="22">
      <formula>AV441="후보"</formula>
    </cfRule>
  </conditionalFormatting>
  <conditionalFormatting sqref="AC44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23">
      <formula>AV442="X"</formula>
    </cfRule>
    <cfRule type="expression" priority="1782" dxfId="22">
      <formula>AV442="후보"</formula>
    </cfRule>
  </conditionalFormatting>
  <conditionalFormatting sqref="AC44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23">
      <formula>AV443="X"</formula>
    </cfRule>
    <cfRule type="expression" priority="1764" dxfId="22">
      <formula>AV443="후보"</formula>
    </cfRule>
  </conditionalFormatting>
  <conditionalFormatting sqref="AC44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23">
      <formula>AV444="X"</formula>
    </cfRule>
    <cfRule type="expression" priority="1746" dxfId="22">
      <formula>AV444="후보"</formula>
    </cfRule>
  </conditionalFormatting>
  <conditionalFormatting sqref="AC44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23">
      <formula>AV445="X"</formula>
    </cfRule>
    <cfRule type="expression" priority="1728" dxfId="22">
      <formula>AV445="후보"</formula>
    </cfRule>
  </conditionalFormatting>
  <conditionalFormatting sqref="AC44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23">
      <formula>AV446="X"</formula>
    </cfRule>
    <cfRule type="expression" priority="1710" dxfId="22">
      <formula>AV446="후보"</formula>
    </cfRule>
  </conditionalFormatting>
  <conditionalFormatting sqref="AC44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23">
      <formula>AV447="X"</formula>
    </cfRule>
    <cfRule type="expression" priority="1692" dxfId="22">
      <formula>AV447="후보"</formula>
    </cfRule>
  </conditionalFormatting>
  <conditionalFormatting sqref="AC44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23">
      <formula>AV448="X"</formula>
    </cfRule>
    <cfRule type="expression" priority="1674" dxfId="22">
      <formula>AV448="후보"</formula>
    </cfRule>
  </conditionalFormatting>
  <conditionalFormatting sqref="AC44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23">
      <formula>AV449="X"</formula>
    </cfRule>
    <cfRule type="expression" priority="1656" dxfId="22">
      <formula>AV449="후보"</formula>
    </cfRule>
  </conditionalFormatting>
  <conditionalFormatting sqref="AC4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4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23">
      <formula>AV450="X"</formula>
    </cfRule>
    <cfRule type="expression" priority="1638" dxfId="22">
      <formula>AV450="후보"</formula>
    </cfRule>
  </conditionalFormatting>
  <conditionalFormatting sqref="AC45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23">
      <formula>AV451="X"</formula>
    </cfRule>
    <cfRule type="expression" priority="1620" dxfId="22">
      <formula>AV451="후보"</formula>
    </cfRule>
  </conditionalFormatting>
  <conditionalFormatting sqref="AC4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23">
      <formula>AV452="X"</formula>
    </cfRule>
    <cfRule type="expression" priority="1602" dxfId="22">
      <formula>AV452="후보"</formula>
    </cfRule>
  </conditionalFormatting>
  <conditionalFormatting sqref="AC4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23">
      <formula>AV453="X"</formula>
    </cfRule>
    <cfRule type="expression" priority="1584" dxfId="22">
      <formula>AV453="후보"</formula>
    </cfRule>
  </conditionalFormatting>
  <conditionalFormatting sqref="AC45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23">
      <formula>AV454="X"</formula>
    </cfRule>
    <cfRule type="expression" priority="1566" dxfId="22">
      <formula>AV454="후보"</formula>
    </cfRule>
  </conditionalFormatting>
  <conditionalFormatting sqref="AC4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23">
      <formula>AV455="X"</formula>
    </cfRule>
    <cfRule type="expression" priority="1548" dxfId="22">
      <formula>AV455="후보"</formula>
    </cfRule>
  </conditionalFormatting>
  <conditionalFormatting sqref="AC45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23">
      <formula>AV456="X"</formula>
    </cfRule>
    <cfRule type="expression" priority="1530" dxfId="22">
      <formula>AV456="후보"</formula>
    </cfRule>
  </conditionalFormatting>
  <conditionalFormatting sqref="AC4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23">
      <formula>AV457="X"</formula>
    </cfRule>
    <cfRule type="expression" priority="1512" dxfId="22">
      <formula>AV457="후보"</formula>
    </cfRule>
  </conditionalFormatting>
  <conditionalFormatting sqref="AC45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23">
      <formula>AV458="X"</formula>
    </cfRule>
    <cfRule type="expression" priority="1494" dxfId="22">
      <formula>AV458="후보"</formula>
    </cfRule>
  </conditionalFormatting>
  <conditionalFormatting sqref="AC4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23">
      <formula>AV459="X"</formula>
    </cfRule>
    <cfRule type="expression" priority="1476" dxfId="22">
      <formula>AV459="후보"</formula>
    </cfRule>
  </conditionalFormatting>
  <conditionalFormatting sqref="AC45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5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23">
      <formula>AV460="X"</formula>
    </cfRule>
    <cfRule type="expression" priority="1458" dxfId="22">
      <formula>AV460="후보"</formula>
    </cfRule>
  </conditionalFormatting>
  <conditionalFormatting sqref="AC46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23">
      <formula>AV461="X"</formula>
    </cfRule>
    <cfRule type="expression" priority="1440" dxfId="22">
      <formula>AV461="후보"</formula>
    </cfRule>
  </conditionalFormatting>
  <conditionalFormatting sqref="AC46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23">
      <formula>AV462="X"</formula>
    </cfRule>
    <cfRule type="expression" priority="1422" dxfId="22">
      <formula>AV462="후보"</formula>
    </cfRule>
  </conditionalFormatting>
  <conditionalFormatting sqref="AC46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23">
      <formula>AV463="X"</formula>
    </cfRule>
    <cfRule type="expression" priority="1404" dxfId="22">
      <formula>AV463="후보"</formula>
    </cfRule>
  </conditionalFormatting>
  <conditionalFormatting sqref="AC46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23">
      <formula>AV464="X"</formula>
    </cfRule>
    <cfRule type="expression" priority="1386" dxfId="22">
      <formula>AV464="후보"</formula>
    </cfRule>
  </conditionalFormatting>
  <conditionalFormatting sqref="AC46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23">
      <formula>AV465="X"</formula>
    </cfRule>
    <cfRule type="expression" priority="1368" dxfId="22">
      <formula>AV465="후보"</formula>
    </cfRule>
  </conditionalFormatting>
  <conditionalFormatting sqref="AC46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23">
      <formula>AV466="X"</formula>
    </cfRule>
    <cfRule type="expression" priority="1350" dxfId="22">
      <formula>AV466="후보"</formula>
    </cfRule>
  </conditionalFormatting>
  <conditionalFormatting sqref="AC46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23">
      <formula>AV467="X"</formula>
    </cfRule>
    <cfRule type="expression" priority="1332" dxfId="22">
      <formula>AV467="후보"</formula>
    </cfRule>
  </conditionalFormatting>
  <conditionalFormatting sqref="AC46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23">
      <formula>AV468="X"</formula>
    </cfRule>
    <cfRule type="expression" priority="1314" dxfId="22">
      <formula>AV468="후보"</formula>
    </cfRule>
  </conditionalFormatting>
  <conditionalFormatting sqref="AC46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23">
      <formula>AV469="X"</formula>
    </cfRule>
    <cfRule type="expression" priority="1296" dxfId="22">
      <formula>AV469="후보"</formula>
    </cfRule>
  </conditionalFormatting>
  <conditionalFormatting sqref="AC46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6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23">
      <formula>AV470="X"</formula>
    </cfRule>
    <cfRule type="expression" priority="1278" dxfId="22">
      <formula>AV470="후보"</formula>
    </cfRule>
  </conditionalFormatting>
  <conditionalFormatting sqref="AC47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23">
      <formula>AV471="X"</formula>
    </cfRule>
    <cfRule type="expression" priority="1260" dxfId="22">
      <formula>AV471="후보"</formula>
    </cfRule>
  </conditionalFormatting>
  <conditionalFormatting sqref="AC47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23">
      <formula>AV472="X"</formula>
    </cfRule>
    <cfRule type="expression" priority="1242" dxfId="22">
      <formula>AV472="후보"</formula>
    </cfRule>
  </conditionalFormatting>
  <conditionalFormatting sqref="AC47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23">
      <formula>AV473="X"</formula>
    </cfRule>
    <cfRule type="expression" priority="1224" dxfId="22">
      <formula>AV473="후보"</formula>
    </cfRule>
  </conditionalFormatting>
  <conditionalFormatting sqref="AC47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23">
      <formula>AV474="X"</formula>
    </cfRule>
    <cfRule type="expression" priority="1206" dxfId="22">
      <formula>AV474="후보"</formula>
    </cfRule>
  </conditionalFormatting>
  <conditionalFormatting sqref="AC47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23">
      <formula>AV475="X"</formula>
    </cfRule>
    <cfRule type="expression" priority="1188" dxfId="22">
      <formula>AV475="후보"</formula>
    </cfRule>
  </conditionalFormatting>
  <conditionalFormatting sqref="AC4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23">
      <formula>AV476="X"</formula>
    </cfRule>
    <cfRule type="expression" priority="1170" dxfId="22">
      <formula>AV476="후보"</formula>
    </cfRule>
  </conditionalFormatting>
  <conditionalFormatting sqref="AC47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23">
      <formula>AV477="X"</formula>
    </cfRule>
    <cfRule type="expression" priority="1152" dxfId="22">
      <formula>AV477="후보"</formula>
    </cfRule>
  </conditionalFormatting>
  <conditionalFormatting sqref="AC47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23">
      <formula>AV478="X"</formula>
    </cfRule>
    <cfRule type="expression" priority="1134" dxfId="22">
      <formula>AV478="후보"</formula>
    </cfRule>
  </conditionalFormatting>
  <conditionalFormatting sqref="AC47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23">
      <formula>AV479="X"</formula>
    </cfRule>
    <cfRule type="expression" priority="1116" dxfId="22">
      <formula>AV479="후보"</formula>
    </cfRule>
  </conditionalFormatting>
  <conditionalFormatting sqref="AC47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7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23">
      <formula>AV480="X"</formula>
    </cfRule>
    <cfRule type="expression" priority="1098" dxfId="22">
      <formula>AV480="후보"</formula>
    </cfRule>
  </conditionalFormatting>
  <conditionalFormatting sqref="AC48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23">
      <formula>AV481="X"</formula>
    </cfRule>
    <cfRule type="expression" priority="1080" dxfId="22">
      <formula>AV481="후보"</formula>
    </cfRule>
  </conditionalFormatting>
  <conditionalFormatting sqref="AC48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23">
      <formula>AV482="X"</formula>
    </cfRule>
    <cfRule type="expression" priority="1062" dxfId="22">
      <formula>AV482="후보"</formula>
    </cfRule>
  </conditionalFormatting>
  <conditionalFormatting sqref="AC48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23">
      <formula>AV483="X"</formula>
    </cfRule>
    <cfRule type="expression" priority="1044" dxfId="22">
      <formula>AV483="후보"</formula>
    </cfRule>
  </conditionalFormatting>
  <conditionalFormatting sqref="AC48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23">
      <formula>AV484="X"</formula>
    </cfRule>
    <cfRule type="expression" priority="1026" dxfId="22">
      <formula>AV484="후보"</formula>
    </cfRule>
  </conditionalFormatting>
  <conditionalFormatting sqref="AC48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23">
      <formula>AV485="X"</formula>
    </cfRule>
    <cfRule type="expression" priority="1008" dxfId="22">
      <formula>AV485="후보"</formula>
    </cfRule>
  </conditionalFormatting>
  <conditionalFormatting sqref="AC48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23">
      <formula>AV486="X"</formula>
    </cfRule>
    <cfRule type="expression" priority="990" dxfId="22">
      <formula>AV486="후보"</formula>
    </cfRule>
  </conditionalFormatting>
  <conditionalFormatting sqref="AC48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23">
      <formula>AV487="X"</formula>
    </cfRule>
    <cfRule type="expression" priority="972" dxfId="22">
      <formula>AV487="후보"</formula>
    </cfRule>
  </conditionalFormatting>
  <conditionalFormatting sqref="AC48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23">
      <formula>AV488="X"</formula>
    </cfRule>
    <cfRule type="expression" priority="954" dxfId="22">
      <formula>AV488="후보"</formula>
    </cfRule>
  </conditionalFormatting>
  <conditionalFormatting sqref="AC48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23">
      <formula>AV489="X"</formula>
    </cfRule>
    <cfRule type="expression" priority="936" dxfId="22">
      <formula>AV489="후보"</formula>
    </cfRule>
  </conditionalFormatting>
  <conditionalFormatting sqref="AC4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8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23">
      <formula>AV490="X"</formula>
    </cfRule>
    <cfRule type="expression" priority="918" dxfId="22">
      <formula>AV490="후보"</formula>
    </cfRule>
  </conditionalFormatting>
  <conditionalFormatting sqref="AC49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23">
      <formula>AV491="X"</formula>
    </cfRule>
    <cfRule type="expression" priority="900" dxfId="22">
      <formula>AV491="후보"</formula>
    </cfRule>
  </conditionalFormatting>
  <conditionalFormatting sqref="AC4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23">
      <formula>AV492="X"</formula>
    </cfRule>
    <cfRule type="expression" priority="882" dxfId="22">
      <formula>AV492="후보"</formula>
    </cfRule>
  </conditionalFormatting>
  <conditionalFormatting sqref="AC49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23">
      <formula>AV493="X"</formula>
    </cfRule>
    <cfRule type="expression" priority="864" dxfId="22">
      <formula>AV493="후보"</formula>
    </cfRule>
  </conditionalFormatting>
  <conditionalFormatting sqref="AC49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23">
      <formula>AV494="X"</formula>
    </cfRule>
    <cfRule type="expression" priority="846" dxfId="22">
      <formula>AV494="후보"</formula>
    </cfRule>
  </conditionalFormatting>
  <conditionalFormatting sqref="AC49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23">
      <formula>AV495="X"</formula>
    </cfRule>
    <cfRule type="expression" priority="828" dxfId="22">
      <formula>AV495="후보"</formula>
    </cfRule>
  </conditionalFormatting>
  <conditionalFormatting sqref="AC49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23">
      <formula>AV496="X"</formula>
    </cfRule>
    <cfRule type="expression" priority="810" dxfId="22">
      <formula>AV496="후보"</formula>
    </cfRule>
  </conditionalFormatting>
  <conditionalFormatting sqref="AC49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23">
      <formula>AV497="X"</formula>
    </cfRule>
    <cfRule type="expression" priority="792" dxfId="22">
      <formula>AV497="후보"</formula>
    </cfRule>
  </conditionalFormatting>
  <conditionalFormatting sqref="AC49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23">
      <formula>AV498="X"</formula>
    </cfRule>
    <cfRule type="expression" priority="774" dxfId="22">
      <formula>AV498="후보"</formula>
    </cfRule>
  </conditionalFormatting>
  <conditionalFormatting sqref="AC49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23">
      <formula>AV499="X"</formula>
    </cfRule>
    <cfRule type="expression" priority="756" dxfId="22">
      <formula>AV499="후보"</formula>
    </cfRule>
  </conditionalFormatting>
  <conditionalFormatting sqref="AC49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9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23">
      <formula>AV500="X"</formula>
    </cfRule>
    <cfRule type="expression" priority="738" dxfId="22">
      <formula>AV500="후보"</formula>
    </cfRule>
  </conditionalFormatting>
  <conditionalFormatting sqref="AC50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23">
      <formula>AV501="X"</formula>
    </cfRule>
    <cfRule type="expression" priority="720" dxfId="22">
      <formula>AV501="후보"</formula>
    </cfRule>
  </conditionalFormatting>
  <conditionalFormatting sqref="AC50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23">
      <formula>AV502="X"</formula>
    </cfRule>
    <cfRule type="expression" priority="702" dxfId="22">
      <formula>AV502="후보"</formula>
    </cfRule>
  </conditionalFormatting>
  <conditionalFormatting sqref="AC50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23">
      <formula>AV503="X"</formula>
    </cfRule>
    <cfRule type="expression" priority="684" dxfId="22">
      <formula>AV503="후보"</formula>
    </cfRule>
  </conditionalFormatting>
  <conditionalFormatting sqref="AC50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23">
      <formula>AV504="X"</formula>
    </cfRule>
    <cfRule type="expression" priority="666" dxfId="22">
      <formula>AV504="후보"</formula>
    </cfRule>
  </conditionalFormatting>
  <conditionalFormatting sqref="AC50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23">
      <formula>AV505="X"</formula>
    </cfRule>
    <cfRule type="expression" priority="648" dxfId="22">
      <formula>AV505="후보"</formula>
    </cfRule>
  </conditionalFormatting>
  <conditionalFormatting sqref="AC50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23">
      <formula>AV506="X"</formula>
    </cfRule>
    <cfRule type="expression" priority="630" dxfId="22">
      <formula>AV506="후보"</formula>
    </cfRule>
  </conditionalFormatting>
  <conditionalFormatting sqref="AC50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23">
      <formula>AV507="X"</formula>
    </cfRule>
    <cfRule type="expression" priority="612" dxfId="22">
      <formula>AV507="후보"</formula>
    </cfRule>
  </conditionalFormatting>
  <conditionalFormatting sqref="AC50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23">
      <formula>AV508="X"</formula>
    </cfRule>
    <cfRule type="expression" priority="594" dxfId="22">
      <formula>AV508="후보"</formula>
    </cfRule>
  </conditionalFormatting>
  <conditionalFormatting sqref="AC50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23">
      <formula>AV509="X"</formula>
    </cfRule>
    <cfRule type="expression" priority="576" dxfId="22">
      <formula>AV509="후보"</formula>
    </cfRule>
  </conditionalFormatting>
  <conditionalFormatting sqref="AC50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0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23">
      <formula>AV510="X"</formula>
    </cfRule>
    <cfRule type="expression" priority="558" dxfId="22">
      <formula>AV510="후보"</formula>
    </cfRule>
  </conditionalFormatting>
  <conditionalFormatting sqref="AC51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23">
      <formula>AV511="X"</formula>
    </cfRule>
    <cfRule type="expression" priority="540" dxfId="22">
      <formula>AV511="후보"</formula>
    </cfRule>
  </conditionalFormatting>
  <conditionalFormatting sqref="AC5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23">
      <formula>AV512="X"</formula>
    </cfRule>
    <cfRule type="expression" priority="522" dxfId="22">
      <formula>AV512="후보"</formula>
    </cfRule>
  </conditionalFormatting>
  <conditionalFormatting sqref="AC51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23">
      <formula>AV513="X"</formula>
    </cfRule>
    <cfRule type="expression" priority="504" dxfId="22">
      <formula>AV513="후보"</formula>
    </cfRule>
  </conditionalFormatting>
  <conditionalFormatting sqref="AC5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23">
      <formula>AV514="X"</formula>
    </cfRule>
    <cfRule type="expression" priority="486" dxfId="22">
      <formula>AV514="후보"</formula>
    </cfRule>
  </conditionalFormatting>
  <conditionalFormatting sqref="AC51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23">
      <formula>AV515="X"</formula>
    </cfRule>
    <cfRule type="expression" priority="468" dxfId="22">
      <formula>AV515="후보"</formula>
    </cfRule>
  </conditionalFormatting>
  <conditionalFormatting sqref="AC5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23">
      <formula>AV516="X"</formula>
    </cfRule>
    <cfRule type="expression" priority="450" dxfId="22">
      <formula>AV516="후보"</formula>
    </cfRule>
  </conditionalFormatting>
  <conditionalFormatting sqref="AC5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23">
      <formula>AV517="X"</formula>
    </cfRule>
    <cfRule type="expression" priority="432" dxfId="22">
      <formula>AV517="후보"</formula>
    </cfRule>
  </conditionalFormatting>
  <conditionalFormatting sqref="AC5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23">
      <formula>AV518="X"</formula>
    </cfRule>
    <cfRule type="expression" priority="414" dxfId="22">
      <formula>AV518="후보"</formula>
    </cfRule>
  </conditionalFormatting>
  <conditionalFormatting sqref="AC5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23">
      <formula>AV519="X"</formula>
    </cfRule>
    <cfRule type="expression" priority="396" dxfId="22">
      <formula>AV519="후보"</formula>
    </cfRule>
  </conditionalFormatting>
  <conditionalFormatting sqref="AC51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23">
      <formula>AV520="X"</formula>
    </cfRule>
    <cfRule type="expression" priority="378" dxfId="22">
      <formula>AV520="후보"</formula>
    </cfRule>
  </conditionalFormatting>
  <conditionalFormatting sqref="AC52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23">
      <formula>AV521="X"</formula>
    </cfRule>
    <cfRule type="expression" priority="360" dxfId="22">
      <formula>AV521="후보"</formula>
    </cfRule>
  </conditionalFormatting>
  <conditionalFormatting sqref="AC52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23">
      <formula>AV522="X"</formula>
    </cfRule>
    <cfRule type="expression" priority="342" dxfId="22">
      <formula>AV522="후보"</formula>
    </cfRule>
  </conditionalFormatting>
  <conditionalFormatting sqref="AC52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23">
      <formula>AV523="X"</formula>
    </cfRule>
    <cfRule type="expression" priority="324" dxfId="22">
      <formula>AV523="후보"</formula>
    </cfRule>
  </conditionalFormatting>
  <conditionalFormatting sqref="AC52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23">
      <formula>AV524="X"</formula>
    </cfRule>
    <cfRule type="expression" priority="306" dxfId="22">
      <formula>AV524="후보"</formula>
    </cfRule>
  </conditionalFormatting>
  <conditionalFormatting sqref="AC52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23">
      <formula>AV525="X"</formula>
    </cfRule>
    <cfRule type="expression" priority="288" dxfId="22">
      <formula>AV525="후보"</formula>
    </cfRule>
  </conditionalFormatting>
  <conditionalFormatting sqref="AC5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23">
      <formula>AV526="X"</formula>
    </cfRule>
    <cfRule type="expression" priority="270" dxfId="22">
      <formula>AV526="후보"</formula>
    </cfRule>
  </conditionalFormatting>
  <conditionalFormatting sqref="AC52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23">
      <formula>AV527="X"</formula>
    </cfRule>
    <cfRule type="expression" priority="252" dxfId="22">
      <formula>AV527="후보"</formula>
    </cfRule>
  </conditionalFormatting>
  <conditionalFormatting sqref="AC5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23">
      <formula>AV528="X"</formula>
    </cfRule>
    <cfRule type="expression" priority="234" dxfId="22">
      <formula>AV528="후보"</formula>
    </cfRule>
  </conditionalFormatting>
  <conditionalFormatting sqref="AC52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23">
      <formula>AV529="X"</formula>
    </cfRule>
    <cfRule type="expression" priority="216" dxfId="22">
      <formula>AV529="후보"</formula>
    </cfRule>
  </conditionalFormatting>
  <conditionalFormatting sqref="AC5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2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23">
      <formula>AV530="X"</formula>
    </cfRule>
    <cfRule type="expression" priority="198" dxfId="22">
      <formula>AV530="후보"</formula>
    </cfRule>
  </conditionalFormatting>
  <conditionalFormatting sqref="AC53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23">
      <formula>AV531="X"</formula>
    </cfRule>
    <cfRule type="expression" priority="180" dxfId="22">
      <formula>AV531="후보"</formula>
    </cfRule>
  </conditionalFormatting>
  <conditionalFormatting sqref="AC5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23">
      <formula>AV532="X"</formula>
    </cfRule>
    <cfRule type="expression" priority="162" dxfId="22">
      <formula>AV532="후보"</formula>
    </cfRule>
  </conditionalFormatting>
  <conditionalFormatting sqref="AC53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23">
      <formula>AV533="X"</formula>
    </cfRule>
    <cfRule type="expression" priority="144" dxfId="22">
      <formula>AV533="후보"</formula>
    </cfRule>
  </conditionalFormatting>
  <conditionalFormatting sqref="AC53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23">
      <formula>AV534="X"</formula>
    </cfRule>
    <cfRule type="expression" priority="126" dxfId="22">
      <formula>AV534="후보"</formula>
    </cfRule>
  </conditionalFormatting>
  <conditionalFormatting sqref="AC53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23">
      <formula>AV535="X"</formula>
    </cfRule>
    <cfRule type="expression" priority="108" dxfId="22">
      <formula>AV535="후보"</formula>
    </cfRule>
  </conditionalFormatting>
  <conditionalFormatting sqref="AC53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23">
      <formula>AV536="X"</formula>
    </cfRule>
    <cfRule type="expression" priority="90" dxfId="22">
      <formula>AV536="후보"</formula>
    </cfRule>
  </conditionalFormatting>
  <conditionalFormatting sqref="AC53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23">
      <formula>AV537="X"</formula>
    </cfRule>
    <cfRule type="expression" priority="72" dxfId="22">
      <formula>AV537="후보"</formula>
    </cfRule>
  </conditionalFormatting>
  <conditionalFormatting sqref="AC53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23">
      <formula>AV538="X"</formula>
    </cfRule>
    <cfRule type="expression" priority="54" dxfId="22">
      <formula>AV538="후보"</formula>
    </cfRule>
  </conditionalFormatting>
  <conditionalFormatting sqref="AC5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23">
      <formula>AV539="X"</formula>
    </cfRule>
    <cfRule type="expression" priority="36" dxfId="22">
      <formula>AV539="후보"</formula>
    </cfRule>
  </conditionalFormatting>
  <conditionalFormatting sqref="AC53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3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23">
      <formula>AV540="X"</formula>
    </cfRule>
    <cfRule type="expression" priority="18" dxfId="22">
      <formula>AV540="후보"</formula>
    </cfRule>
  </conditionalFormatting>
  <conditionalFormatting sqref="AC5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96" activePane="bottomRight" state="frozen"/>
      <selection activeCell="U15" sqref="U15"/>
      <selection pane="topRight" activeCell="U15" sqref="U15"/>
      <selection pane="bottomLeft" activeCell="U15" sqref="U15"/>
      <selection pane="bottomRight" activeCell="M229" sqref="M22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호계동 평촌더샵아이파크</t>
        </is>
      </c>
      <c r="B4" s="74" t="inlineStr">
        <is>
          <t>19.03.</t>
        </is>
      </c>
      <c r="C4" s="123" t="n">
        <v>1174</v>
      </c>
      <c r="D4" s="124" t="n">
        <v>142.8</v>
      </c>
      <c r="E4" s="125" t="n">
        <v>43</v>
      </c>
      <c r="F4" s="124" t="n">
        <v>114.9</v>
      </c>
      <c r="G4" s="17" t="n">
        <v>35</v>
      </c>
      <c r="H4" s="126" t="n">
        <v>33</v>
      </c>
      <c r="I4" s="127" t="n">
        <v>200000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142</v>
      </c>
      <c r="U4" s="9" t="n"/>
    </row>
    <row r="5" ht="12" customFormat="1" customHeight="1" s="37">
      <c r="A5" s="73" t="inlineStr">
        <is>
          <t>호계동 목련9단지</t>
        </is>
      </c>
      <c r="B5" s="74" t="inlineStr">
        <is>
          <t>94.07.</t>
        </is>
      </c>
      <c r="C5" s="123" t="n">
        <v>578</v>
      </c>
      <c r="D5" s="124" t="n">
        <v>177</v>
      </c>
      <c r="E5" s="125" t="n">
        <v>54</v>
      </c>
      <c r="F5" s="124" t="n">
        <v>150.2</v>
      </c>
      <c r="G5" s="17" t="n">
        <v>45</v>
      </c>
      <c r="H5" s="126" t="n">
        <v>50</v>
      </c>
      <c r="I5" s="127" t="n">
        <v>186000</v>
      </c>
      <c r="J5" s="127" t="inlineStr">
        <is>
          <t>7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176</v>
      </c>
      <c r="U5" s="9" t="n"/>
    </row>
    <row r="6" ht="12" customFormat="1" customHeight="1" s="37">
      <c r="A6" s="73" t="inlineStr">
        <is>
          <t>호계동 목련6단지</t>
        </is>
      </c>
      <c r="B6" s="74" t="inlineStr">
        <is>
          <t>93.07.</t>
        </is>
      </c>
      <c r="C6" s="123" t="n">
        <v>440</v>
      </c>
      <c r="D6" s="124" t="n">
        <v>193.3</v>
      </c>
      <c r="E6" s="125" t="n">
        <v>58</v>
      </c>
      <c r="F6" s="124" t="n">
        <v>161.8</v>
      </c>
      <c r="G6" s="17" t="n">
        <v>49</v>
      </c>
      <c r="H6" s="126" t="n">
        <v>76</v>
      </c>
      <c r="I6" s="127" t="n">
        <v>185000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193</v>
      </c>
      <c r="U6" s="9" t="n"/>
    </row>
    <row r="7" ht="12" customFormat="1" customHeight="1" s="37">
      <c r="A7" s="73" t="inlineStr">
        <is>
          <t>평촌동 꿈한신</t>
        </is>
      </c>
      <c r="B7" s="74" t="inlineStr">
        <is>
          <t>93.08.</t>
        </is>
      </c>
      <c r="C7" s="123" t="n">
        <v>566</v>
      </c>
      <c r="D7" s="124" t="n">
        <v>145.5</v>
      </c>
      <c r="E7" s="125" t="n">
        <v>44</v>
      </c>
      <c r="F7" s="124" t="n">
        <v>117</v>
      </c>
      <c r="G7" s="17" t="n">
        <v>35</v>
      </c>
      <c r="H7" s="126" t="n">
        <v>96</v>
      </c>
      <c r="I7" s="127" t="n">
        <v>167000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145</v>
      </c>
      <c r="U7" s="9" t="n"/>
    </row>
    <row r="8" ht="12" customFormat="1" customHeight="1" s="37">
      <c r="A8" s="73" t="inlineStr">
        <is>
          <t>호계동 목련8단지</t>
        </is>
      </c>
      <c r="B8" s="74" t="inlineStr">
        <is>
          <t>92.10.</t>
        </is>
      </c>
      <c r="C8" s="123" t="n">
        <v>516</v>
      </c>
      <c r="D8" s="124" t="n">
        <v>195.4</v>
      </c>
      <c r="E8" s="125" t="n">
        <v>59</v>
      </c>
      <c r="F8" s="124" t="n">
        <v>164.4</v>
      </c>
      <c r="G8" s="17" t="n">
        <v>50</v>
      </c>
      <c r="H8" s="126" t="n">
        <v>80</v>
      </c>
      <c r="I8" s="127" t="n">
        <v>160000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n">
        <v>195</v>
      </c>
      <c r="U8" s="9" t="n"/>
    </row>
    <row r="9" ht="12" customFormat="1" customHeight="1" s="37">
      <c r="A9" s="73" t="inlineStr">
        <is>
          <t>평촌동 꿈라이프</t>
        </is>
      </c>
      <c r="B9" s="74" t="inlineStr">
        <is>
          <t>92.09.</t>
        </is>
      </c>
      <c r="C9" s="123" t="n">
        <v>548</v>
      </c>
      <c r="D9" s="124" t="n">
        <v>177.5</v>
      </c>
      <c r="E9" s="125" t="n">
        <v>54</v>
      </c>
      <c r="F9" s="124" t="n">
        <v>154.2</v>
      </c>
      <c r="G9" s="17" t="n">
        <v>47</v>
      </c>
      <c r="H9" s="126" t="n">
        <v>60</v>
      </c>
      <c r="I9" s="127" t="n">
        <v>158000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177</v>
      </c>
      <c r="U9" s="9" t="n"/>
    </row>
    <row r="10" ht="12" customFormat="1" customHeight="1" s="37">
      <c r="A10" s="73" t="inlineStr">
        <is>
          <t>호계동 목련1단지</t>
        </is>
      </c>
      <c r="B10" s="74" t="inlineStr">
        <is>
          <t>92.11.</t>
        </is>
      </c>
      <c r="C10" s="123" t="n">
        <v>480</v>
      </c>
      <c r="D10" s="124" t="n">
        <v>141.9</v>
      </c>
      <c r="E10" s="125" t="n">
        <v>43</v>
      </c>
      <c r="F10" s="124" t="n">
        <v>122.4</v>
      </c>
      <c r="G10" s="17" t="n">
        <v>37</v>
      </c>
      <c r="H10" s="126" t="n">
        <v>182</v>
      </c>
      <c r="I10" s="127" t="n">
        <v>158000</v>
      </c>
      <c r="J10" s="127" t="inlineStr">
        <is>
          <t>13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</row>
    <row r="11" ht="12" customFormat="1" customHeight="1" s="37">
      <c r="A11" s="73" t="inlineStr">
        <is>
          <t>호계동 목련1단지</t>
        </is>
      </c>
      <c r="B11" s="74" t="inlineStr">
        <is>
          <t>92.11.</t>
        </is>
      </c>
      <c r="C11" s="123" t="n">
        <v>480</v>
      </c>
      <c r="D11" s="124" t="n">
        <v>117.3</v>
      </c>
      <c r="E11" s="125" t="n">
        <v>35</v>
      </c>
      <c r="F11" s="124" t="n">
        <v>98.90000000000001</v>
      </c>
      <c r="G11" s="17" t="n">
        <v>30</v>
      </c>
      <c r="H11" s="126" t="n">
        <v>124</v>
      </c>
      <c r="I11" s="127" t="n">
        <v>150000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117</v>
      </c>
      <c r="U11" s="9" t="n"/>
    </row>
    <row r="12" ht="12" customFormat="1" customHeight="1" s="37">
      <c r="A12" s="73" t="inlineStr">
        <is>
          <t>비산동 뉴타운5차</t>
        </is>
      </c>
      <c r="B12" s="74" t="inlineStr">
        <is>
          <t>85.11.</t>
        </is>
      </c>
      <c r="C12" s="123" t="n">
        <v>540</v>
      </c>
      <c r="D12" s="124" t="n">
        <v>148.7</v>
      </c>
      <c r="E12" s="125" t="n">
        <v>45</v>
      </c>
      <c r="F12" s="124" t="n">
        <v>128.9</v>
      </c>
      <c r="G12" s="17" t="n">
        <v>39</v>
      </c>
      <c r="H12" s="126" t="n">
        <v>150</v>
      </c>
      <c r="I12" s="127" t="n">
        <v>135000</v>
      </c>
      <c r="J12" s="127" t="inlineStr">
        <is>
          <t>9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148</v>
      </c>
      <c r="U12" s="9" t="n"/>
    </row>
    <row r="13" ht="12" customFormat="1" customHeight="1" s="37">
      <c r="A13" s="73" t="inlineStr">
        <is>
          <t>평촌동 꿈우성</t>
        </is>
      </c>
      <c r="B13" s="74" t="inlineStr">
        <is>
          <t>93.11.</t>
        </is>
      </c>
      <c r="C13" s="123" t="n">
        <v>422</v>
      </c>
      <c r="D13" s="124" t="n">
        <v>121.3</v>
      </c>
      <c r="E13" s="125" t="n">
        <v>37</v>
      </c>
      <c r="F13" s="124" t="n">
        <v>101.2</v>
      </c>
      <c r="G13" s="17" t="n">
        <v>31</v>
      </c>
      <c r="H13" s="126" t="n">
        <v>132</v>
      </c>
      <c r="I13" s="127" t="n">
        <v>135000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121</v>
      </c>
      <c r="U13" s="9" t="n"/>
    </row>
    <row r="14" ht="12" customFormat="1" customHeight="1" s="37">
      <c r="A14" s="73" t="inlineStr">
        <is>
          <t>비산동 뉴타운4차</t>
        </is>
      </c>
      <c r="B14" s="74" t="inlineStr">
        <is>
          <t>85.08.</t>
        </is>
      </c>
      <c r="C14" s="123" t="n">
        <v>474</v>
      </c>
      <c r="D14" s="124" t="n">
        <v>103.7</v>
      </c>
      <c r="E14" s="125" t="n">
        <v>31</v>
      </c>
      <c r="F14" s="124" t="n">
        <v>84.7</v>
      </c>
      <c r="G14" s="17" t="n">
        <v>26</v>
      </c>
      <c r="H14" s="126" t="n">
        <v>240</v>
      </c>
      <c r="I14" s="127" t="n">
        <v>120000</v>
      </c>
      <c r="J14" s="127" t="inlineStr">
        <is>
          <t>고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103</v>
      </c>
      <c r="U14" s="9" t="n"/>
    </row>
    <row r="15" ht="12" customFormat="1" customHeight="1" s="37">
      <c r="A15" s="73" t="inlineStr">
        <is>
          <t>호계동 호계현대홈타운1차</t>
        </is>
      </c>
      <c r="B15" s="74" t="inlineStr">
        <is>
          <t>02.11.</t>
        </is>
      </c>
      <c r="C15" s="123" t="n">
        <v>604</v>
      </c>
      <c r="D15" s="124" t="n">
        <v>155.2</v>
      </c>
      <c r="E15" s="125" t="n">
        <v>47</v>
      </c>
      <c r="F15" s="124" t="n">
        <v>113.7</v>
      </c>
      <c r="G15" s="17" t="n">
        <v>34</v>
      </c>
      <c r="H15" s="126" t="n">
        <v>138</v>
      </c>
      <c r="I15" s="127" t="n">
        <v>120000</v>
      </c>
      <c r="J15" s="127" t="inlineStr">
        <is>
          <t>8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155</v>
      </c>
      <c r="U15" s="9" t="n"/>
    </row>
    <row r="16" ht="12" customFormat="1" customHeight="1" s="37">
      <c r="A16" s="73" t="inlineStr">
        <is>
          <t>비산동 평촌래미안푸르지오</t>
        </is>
      </c>
      <c r="B16" s="74" t="inlineStr">
        <is>
          <t>21.11.</t>
        </is>
      </c>
      <c r="C16" s="123" t="n">
        <v>1199</v>
      </c>
      <c r="D16" s="124" t="n">
        <v>128.9</v>
      </c>
      <c r="E16" s="125" t="n">
        <v>39</v>
      </c>
      <c r="F16" s="124" t="n">
        <v>97.90000000000001</v>
      </c>
      <c r="G16" s="17" t="n">
        <v>30</v>
      </c>
      <c r="H16" s="126" t="n">
        <v>37</v>
      </c>
      <c r="I16" s="127" t="n">
        <v>185000</v>
      </c>
      <c r="J16" s="127" t="inlineStr">
        <is>
          <t>고</t>
        </is>
      </c>
      <c r="K16" s="127" t="n">
        <v>70000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</row>
    <row r="17" ht="12" customFormat="1" customHeight="1" s="37">
      <c r="A17" s="73" t="inlineStr">
        <is>
          <t>비산동 뉴타운5차</t>
        </is>
      </c>
      <c r="B17" s="74" t="inlineStr">
        <is>
          <t>85.11.</t>
        </is>
      </c>
      <c r="C17" s="123" t="n">
        <v>540</v>
      </c>
      <c r="D17" s="124" t="n">
        <v>102.8</v>
      </c>
      <c r="E17" s="125" t="n">
        <v>31</v>
      </c>
      <c r="F17" s="124" t="n">
        <v>85</v>
      </c>
      <c r="G17" s="17" t="n">
        <v>26</v>
      </c>
      <c r="H17" s="126" t="n">
        <v>240</v>
      </c>
      <c r="I17" s="127" t="n">
        <v>115000</v>
      </c>
      <c r="J17" s="127" t="inlineStr">
        <is>
          <t>14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102</v>
      </c>
      <c r="U17" s="9" t="n"/>
    </row>
    <row r="18" ht="12" customFormat="1" customHeight="1" s="37">
      <c r="A18" s="73" t="inlineStr">
        <is>
          <t>관양동 현대</t>
        </is>
      </c>
      <c r="B18" s="74" t="inlineStr">
        <is>
          <t>85.04.</t>
        </is>
      </c>
      <c r="C18" s="123" t="n">
        <v>904</v>
      </c>
      <c r="D18" s="124" t="n">
        <v>169.7</v>
      </c>
      <c r="E18" s="125" t="n">
        <v>51</v>
      </c>
      <c r="F18" s="124" t="n">
        <v>147.1</v>
      </c>
      <c r="G18" s="17" t="n">
        <v>45</v>
      </c>
      <c r="H18" s="126" t="n">
        <v>168</v>
      </c>
      <c r="I18" s="127" t="n">
        <v>160000</v>
      </c>
      <c r="J18" s="127" t="inlineStr">
        <is>
          <t>중</t>
        </is>
      </c>
      <c r="K18" s="127" t="n">
        <v>49000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169</v>
      </c>
      <c r="U18" s="9" t="n"/>
    </row>
    <row r="19" ht="12" customFormat="1" customHeight="1" s="37">
      <c r="A19" s="73" t="inlineStr">
        <is>
          <t>평촌동 꿈라이프</t>
        </is>
      </c>
      <c r="B19" s="74" t="inlineStr">
        <is>
          <t>92.09.</t>
        </is>
      </c>
      <c r="C19" s="123" t="n">
        <v>548</v>
      </c>
      <c r="D19" s="124" t="n">
        <v>107.2</v>
      </c>
      <c r="E19" s="125" t="n">
        <v>32</v>
      </c>
      <c r="F19" s="124" t="n">
        <v>85</v>
      </c>
      <c r="G19" s="17" t="n">
        <v>26</v>
      </c>
      <c r="H19" s="126" t="n">
        <v>50</v>
      </c>
      <c r="I19" s="127" t="n">
        <v>110000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107B</t>
        </is>
      </c>
      <c r="U19" s="9" t="n"/>
    </row>
    <row r="20" ht="12" customFormat="1" customHeight="1" s="37">
      <c r="A20" s="73" t="inlineStr">
        <is>
          <t>호계동 금정역호계푸르지오</t>
        </is>
      </c>
      <c r="B20" s="74" t="inlineStr">
        <is>
          <t>15.08.</t>
        </is>
      </c>
      <c r="C20" s="123" t="n">
        <v>410</v>
      </c>
      <c r="D20" s="124" t="n">
        <v>98.7</v>
      </c>
      <c r="E20" s="125" t="n">
        <v>30</v>
      </c>
      <c r="F20" s="124" t="n">
        <v>75</v>
      </c>
      <c r="G20" s="17" t="n">
        <v>23</v>
      </c>
      <c r="H20" s="126" t="n">
        <v>30</v>
      </c>
      <c r="I20" s="127" t="n">
        <v>110000</v>
      </c>
      <c r="J20" s="127" t="inlineStr">
        <is>
          <t>7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98A</t>
        </is>
      </c>
      <c r="U20" s="9" t="n"/>
    </row>
    <row r="21" ht="12" customFormat="1" customHeight="1" s="37">
      <c r="A21" s="73" t="inlineStr">
        <is>
          <t>호계동 목련7단지</t>
        </is>
      </c>
      <c r="B21" s="74" t="inlineStr">
        <is>
          <t>92.09.</t>
        </is>
      </c>
      <c r="C21" s="123" t="n">
        <v>466</v>
      </c>
      <c r="D21" s="124" t="n">
        <v>187.3</v>
      </c>
      <c r="E21" s="125" t="n">
        <v>57</v>
      </c>
      <c r="F21" s="124" t="n">
        <v>158.9</v>
      </c>
      <c r="G21" s="17" t="n">
        <v>48</v>
      </c>
      <c r="H21" s="126" t="n">
        <v>126</v>
      </c>
      <c r="I21" s="127" t="n">
        <v>185000</v>
      </c>
      <c r="J21" s="127" t="inlineStr">
        <is>
          <t>중</t>
        </is>
      </c>
      <c r="K21" s="127" t="n">
        <v>80000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187</v>
      </c>
      <c r="U21" s="9" t="n"/>
    </row>
    <row r="22" ht="12" customFormat="1" customHeight="1" s="37">
      <c r="A22" s="73" t="inlineStr">
        <is>
          <t>비산동 한양수자인평촌리버뷰</t>
        </is>
      </c>
      <c r="B22" s="74" t="inlineStr">
        <is>
          <t>21.11.</t>
        </is>
      </c>
      <c r="C22" s="123" t="n">
        <v>304</v>
      </c>
      <c r="D22" s="124" t="n">
        <v>63.6</v>
      </c>
      <c r="E22" s="125" t="n">
        <v>19</v>
      </c>
      <c r="F22" s="124" t="n">
        <v>47.4</v>
      </c>
      <c r="G22" s="17" t="n">
        <v>14</v>
      </c>
      <c r="H22" s="126" t="n">
        <v>30</v>
      </c>
      <c r="I22" s="127" t="n">
        <v>100000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n">
        <v>63</v>
      </c>
      <c r="U22" s="9" t="n"/>
    </row>
    <row r="23" ht="12" customFormat="1" customHeight="1" s="37">
      <c r="A23" s="73" t="inlineStr">
        <is>
          <t>호계동 한마음2단지</t>
        </is>
      </c>
      <c r="B23" s="74" t="inlineStr">
        <is>
          <t>03.04.</t>
        </is>
      </c>
      <c r="C23" s="123" t="n">
        <v>426</v>
      </c>
      <c r="D23" s="124" t="n">
        <v>129.7</v>
      </c>
      <c r="E23" s="125" t="n">
        <v>39</v>
      </c>
      <c r="F23" s="124" t="n">
        <v>108</v>
      </c>
      <c r="G23" s="17" t="n">
        <v>33</v>
      </c>
      <c r="H23" s="126" t="n">
        <v>38</v>
      </c>
      <c r="I23" s="127" t="n">
        <v>100000</v>
      </c>
      <c r="J23" s="127" t="inlineStr">
        <is>
          <t>10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129</v>
      </c>
      <c r="U23" s="9" t="n"/>
    </row>
    <row r="24" ht="12" customFormat="1" customHeight="1" s="37">
      <c r="A24" s="73" t="inlineStr">
        <is>
          <t>비산동 평촌래미안푸르지오</t>
        </is>
      </c>
      <c r="B24" s="74" t="inlineStr">
        <is>
          <t>21.11.</t>
        </is>
      </c>
      <c r="C24" s="123" t="n">
        <v>1199</v>
      </c>
      <c r="D24" s="124" t="n">
        <v>115.2</v>
      </c>
      <c r="E24" s="125" t="n">
        <v>35</v>
      </c>
      <c r="F24" s="124" t="n">
        <v>84.90000000000001</v>
      </c>
      <c r="G24" s="17" t="n">
        <v>26</v>
      </c>
      <c r="H24" s="126" t="n">
        <v>283</v>
      </c>
      <c r="I24" s="127" t="n">
        <v>165000</v>
      </c>
      <c r="J24" s="127" t="inlineStr">
        <is>
          <t>27</t>
        </is>
      </c>
      <c r="K24" s="127" t="n">
        <v>70000</v>
      </c>
      <c r="L24" s="127" t="inlineStr">
        <is>
          <t>19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115B</t>
        </is>
      </c>
      <c r="U24" s="9" t="n"/>
    </row>
    <row r="25" ht="12" customFormat="1" customHeight="1" s="37">
      <c r="A25" s="73" t="inlineStr">
        <is>
          <t>관양동 현대</t>
        </is>
      </c>
      <c r="B25" s="74" t="inlineStr">
        <is>
          <t>85.04.</t>
        </is>
      </c>
      <c r="C25" s="123" t="n">
        <v>904</v>
      </c>
      <c r="D25" s="124" t="n">
        <v>144.2</v>
      </c>
      <c r="E25" s="125" t="n">
        <v>44</v>
      </c>
      <c r="F25" s="124" t="n">
        <v>123.6</v>
      </c>
      <c r="G25" s="17" t="n">
        <v>37</v>
      </c>
      <c r="H25" s="126" t="n">
        <v>280</v>
      </c>
      <c r="I25" s="127" t="n">
        <v>135000</v>
      </c>
      <c r="J25" s="127" t="inlineStr">
        <is>
          <t>8</t>
        </is>
      </c>
      <c r="K25" s="127" t="n">
        <v>40000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144</v>
      </c>
      <c r="U25" s="9" t="n"/>
    </row>
    <row r="26" ht="12" customFormat="1" customHeight="1" s="37">
      <c r="A26" s="73" t="inlineStr">
        <is>
          <t>관양동 동편LH4단지</t>
        </is>
      </c>
      <c r="B26" s="74" t="inlineStr">
        <is>
          <t>12.03.</t>
        </is>
      </c>
      <c r="C26" s="123" t="n">
        <v>711</v>
      </c>
      <c r="D26" s="124" t="n">
        <v>126.9</v>
      </c>
      <c r="E26" s="125" t="n">
        <v>38</v>
      </c>
      <c r="F26" s="124" t="n">
        <v>100.5</v>
      </c>
      <c r="G26" s="17" t="n">
        <v>30</v>
      </c>
      <c r="H26" s="126" t="n">
        <v>195</v>
      </c>
      <c r="I26" s="127" t="n">
        <v>160000</v>
      </c>
      <c r="J26" s="127" t="inlineStr">
        <is>
          <t>고</t>
        </is>
      </c>
      <c r="K26" s="127" t="n">
        <v>70000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126A</t>
        </is>
      </c>
      <c r="U26" s="9" t="n"/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171.1</v>
      </c>
      <c r="E27" s="125" t="n">
        <v>52</v>
      </c>
      <c r="F27" s="124" t="n">
        <v>135.5</v>
      </c>
      <c r="G27" s="17" t="n">
        <v>41</v>
      </c>
      <c r="H27" s="126" t="n">
        <v>65</v>
      </c>
      <c r="I27" s="127" t="n">
        <v>175000</v>
      </c>
      <c r="J27" s="127" t="inlineStr">
        <is>
          <t>11</t>
        </is>
      </c>
      <c r="K27" s="127" t="n">
        <v>90000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171X</t>
        </is>
      </c>
      <c r="U27" s="9" t="n"/>
    </row>
    <row r="28" ht="12" customFormat="1" customHeight="1" s="37">
      <c r="A28" s="73" t="inlineStr">
        <is>
          <t>호계동 무궁화금호</t>
        </is>
      </c>
      <c r="B28" s="74" t="inlineStr">
        <is>
          <t>92.08.</t>
        </is>
      </c>
      <c r="C28" s="123" t="n">
        <v>438</v>
      </c>
      <c r="D28" s="124" t="n">
        <v>88.90000000000001</v>
      </c>
      <c r="E28" s="125" t="n">
        <v>27</v>
      </c>
      <c r="F28" s="124" t="n">
        <v>72.90000000000001</v>
      </c>
      <c r="G28" s="17" t="n">
        <v>22</v>
      </c>
      <c r="H28" s="126" t="n">
        <v>60</v>
      </c>
      <c r="I28" s="127" t="n">
        <v>85000</v>
      </c>
      <c r="J28" s="127" t="inlineStr">
        <is>
          <t>10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88</v>
      </c>
      <c r="U28" s="9" t="n"/>
    </row>
    <row r="29" ht="12" customFormat="1" customHeight="1" s="37">
      <c r="A29" s="73" t="inlineStr">
        <is>
          <t>관양동 현대</t>
        </is>
      </c>
      <c r="B29" s="74" t="inlineStr">
        <is>
          <t>85.04.</t>
        </is>
      </c>
      <c r="C29" s="123" t="n">
        <v>904</v>
      </c>
      <c r="D29" s="124" t="n">
        <v>108.5</v>
      </c>
      <c r="E29" s="125" t="n">
        <v>33</v>
      </c>
      <c r="F29" s="124" t="n">
        <v>84.5</v>
      </c>
      <c r="G29" s="17" t="n">
        <v>26</v>
      </c>
      <c r="H29" s="126" t="n">
        <v>268</v>
      </c>
      <c r="I29" s="127" t="n">
        <v>125000</v>
      </c>
      <c r="J29" s="127" t="inlineStr">
        <is>
          <t>8</t>
        </is>
      </c>
      <c r="K29" s="127" t="n">
        <v>42000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108B</t>
        </is>
      </c>
      <c r="U29" s="9" t="n"/>
    </row>
    <row r="30" ht="12" customFormat="1" customHeight="1" s="37">
      <c r="A30" s="73" t="inlineStr">
        <is>
          <t>관양동 공작성일</t>
        </is>
      </c>
      <c r="B30" s="74" t="inlineStr">
        <is>
          <t>93.02.</t>
        </is>
      </c>
      <c r="C30" s="123" t="n">
        <v>750</v>
      </c>
      <c r="D30" s="124" t="n">
        <v>96.5</v>
      </c>
      <c r="E30" s="125" t="n">
        <v>29</v>
      </c>
      <c r="F30" s="124" t="n">
        <v>79</v>
      </c>
      <c r="G30" s="17" t="n">
        <v>24</v>
      </c>
      <c r="H30" s="126" t="n">
        <v>240</v>
      </c>
      <c r="I30" s="127" t="n">
        <v>83000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96</v>
      </c>
      <c r="U30" s="9" t="n"/>
    </row>
    <row r="31" ht="12" customFormat="1" customHeight="1" s="37">
      <c r="A31" s="73" t="inlineStr">
        <is>
          <t>호계동 무궁화코오롱</t>
        </is>
      </c>
      <c r="B31" s="74" t="inlineStr">
        <is>
          <t>92.09.</t>
        </is>
      </c>
      <c r="C31" s="123" t="n">
        <v>458</v>
      </c>
      <c r="D31" s="124" t="n">
        <v>93.5</v>
      </c>
      <c r="E31" s="125" t="n">
        <v>28</v>
      </c>
      <c r="F31" s="124" t="n">
        <v>76.59999999999999</v>
      </c>
      <c r="G31" s="17" t="n">
        <v>23</v>
      </c>
      <c r="H31" s="126" t="n">
        <v>84</v>
      </c>
      <c r="I31" s="127" t="n">
        <v>83000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93</v>
      </c>
      <c r="U31" s="9" t="n"/>
    </row>
    <row r="32" ht="12" customFormat="1" customHeight="1" s="37">
      <c r="A32" s="73" t="inlineStr">
        <is>
          <t>비산동 관악(동성,현대,청구)</t>
        </is>
      </c>
      <c r="B32" s="74" t="inlineStr">
        <is>
          <t>92.11.</t>
        </is>
      </c>
      <c r="C32" s="123" t="n">
        <v>1800</v>
      </c>
      <c r="D32" s="124" t="n">
        <v>88.2</v>
      </c>
      <c r="E32" s="125" t="n">
        <v>27</v>
      </c>
      <c r="F32" s="124" t="n">
        <v>71.2</v>
      </c>
      <c r="G32" s="17" t="n">
        <v>22</v>
      </c>
      <c r="H32" s="126" t="n">
        <v>180</v>
      </c>
      <c r="I32" s="127" t="n">
        <v>82000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88</v>
      </c>
      <c r="U32" s="9" t="n"/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152.1</v>
      </c>
      <c r="E33" s="125" t="n">
        <v>46</v>
      </c>
      <c r="F33" s="124" t="n">
        <v>120.5</v>
      </c>
      <c r="G33" s="17" t="n">
        <v>36</v>
      </c>
      <c r="H33" s="126" t="n">
        <v>118</v>
      </c>
      <c r="I33" s="127" t="n">
        <v>170000</v>
      </c>
      <c r="J33" s="127" t="inlineStr">
        <is>
          <t>7</t>
        </is>
      </c>
      <c r="K33" s="127" t="n">
        <v>90000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152C</t>
        </is>
      </c>
      <c r="U33" s="9" t="n"/>
    </row>
    <row r="34" ht="12" customFormat="1" customHeight="1" s="37">
      <c r="A34" s="73" t="inlineStr">
        <is>
          <t>호계동 목련1단지</t>
        </is>
      </c>
      <c r="B34" s="74" t="inlineStr">
        <is>
          <t>92.11.</t>
        </is>
      </c>
      <c r="C34" s="123" t="n">
        <v>480</v>
      </c>
      <c r="D34" s="124" t="n">
        <v>176.2</v>
      </c>
      <c r="E34" s="125" t="n">
        <v>53</v>
      </c>
      <c r="F34" s="124" t="n">
        <v>153</v>
      </c>
      <c r="G34" s="17" t="n">
        <v>46</v>
      </c>
      <c r="H34" s="126" t="n">
        <v>50</v>
      </c>
      <c r="I34" s="127" t="n">
        <v>170000</v>
      </c>
      <c r="J34" s="127" t="inlineStr">
        <is>
          <t>11</t>
        </is>
      </c>
      <c r="K34" s="127" t="n">
        <v>90000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176A</t>
        </is>
      </c>
      <c r="U34" s="9" t="n"/>
    </row>
    <row r="35" ht="12" customFormat="1" customHeight="1" s="37">
      <c r="A35" s="73" t="inlineStr">
        <is>
          <t>호계동 호계e-편한세상</t>
        </is>
      </c>
      <c r="B35" s="74" t="inlineStr">
        <is>
          <t>03.12.</t>
        </is>
      </c>
      <c r="C35" s="123" t="n">
        <v>1752</v>
      </c>
      <c r="D35" s="124" t="n">
        <v>122.8</v>
      </c>
      <c r="E35" s="125" t="n">
        <v>37</v>
      </c>
      <c r="F35" s="124" t="n">
        <v>97.7</v>
      </c>
      <c r="G35" s="17" t="n">
        <v>30</v>
      </c>
      <c r="H35" s="126" t="n">
        <v>89</v>
      </c>
      <c r="I35" s="127" t="n">
        <v>80000</v>
      </c>
      <c r="J35" s="127" t="inlineStr">
        <is>
          <t>7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122</v>
      </c>
      <c r="U35" s="9" t="n"/>
    </row>
    <row r="36" ht="12" customFormat="1" customHeight="1" s="37">
      <c r="A36" s="73" t="inlineStr">
        <is>
          <t>호계동 목련1단지</t>
        </is>
      </c>
      <c r="B36" s="74" t="inlineStr">
        <is>
          <t>92.11.</t>
        </is>
      </c>
      <c r="C36" s="123" t="n">
        <v>480</v>
      </c>
      <c r="D36" s="124" t="n">
        <v>156.6</v>
      </c>
      <c r="E36" s="125" t="n">
        <v>47</v>
      </c>
      <c r="F36" s="124" t="n">
        <v>134.6</v>
      </c>
      <c r="G36" s="17" t="n">
        <v>41</v>
      </c>
      <c r="H36" s="126" t="n">
        <v>100</v>
      </c>
      <c r="I36" s="127" t="n">
        <v>168000</v>
      </c>
      <c r="J36" s="127" t="inlineStr">
        <is>
          <t>14</t>
        </is>
      </c>
      <c r="K36" s="127" t="n">
        <v>90000</v>
      </c>
      <c r="L36" s="127" t="inlineStr">
        <is>
          <t>23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156</v>
      </c>
      <c r="U36" s="9" t="n"/>
    </row>
    <row r="37" ht="12" customFormat="1" customHeight="1" s="37">
      <c r="A37" s="73" t="inlineStr">
        <is>
          <t>호계동 목련6단지</t>
        </is>
      </c>
      <c r="B37" s="74" t="inlineStr">
        <is>
          <t>93.07.</t>
        </is>
      </c>
      <c r="C37" s="123" t="n">
        <v>440</v>
      </c>
      <c r="D37" s="124" t="n">
        <v>123.1</v>
      </c>
      <c r="E37" s="125" t="n">
        <v>37</v>
      </c>
      <c r="F37" s="124" t="n">
        <v>101.9</v>
      </c>
      <c r="G37" s="17" t="n">
        <v>31</v>
      </c>
      <c r="H37" s="126" t="n">
        <v>224</v>
      </c>
      <c r="I37" s="127" t="n">
        <v>158000</v>
      </c>
      <c r="J37" s="127" t="inlineStr">
        <is>
          <t>5</t>
        </is>
      </c>
      <c r="K37" s="127" t="n">
        <v>80000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123</v>
      </c>
      <c r="U37" s="9" t="n"/>
    </row>
    <row r="38" ht="12" customFormat="1" customHeight="1" s="37">
      <c r="A38" s="73" t="inlineStr">
        <is>
          <t>호계동 무궁화금호</t>
        </is>
      </c>
      <c r="B38" s="74" t="inlineStr">
        <is>
          <t>92.08.</t>
        </is>
      </c>
      <c r="C38" s="123" t="n">
        <v>438</v>
      </c>
      <c r="D38" s="124" t="n">
        <v>74</v>
      </c>
      <c r="E38" s="125" t="n">
        <v>22</v>
      </c>
      <c r="F38" s="124" t="n">
        <v>59.8</v>
      </c>
      <c r="G38" s="17" t="n">
        <v>18</v>
      </c>
      <c r="H38" s="126" t="n">
        <v>90</v>
      </c>
      <c r="I38" s="127" t="n">
        <v>76000</v>
      </c>
      <c r="J38" s="127" t="inlineStr">
        <is>
          <t>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74</v>
      </c>
      <c r="U38" s="9" t="n"/>
    </row>
    <row r="39" ht="12" customFormat="1" customHeight="1" s="37">
      <c r="A39" s="73" t="inlineStr">
        <is>
          <t>관양동 평촌더샵센트럴시티</t>
        </is>
      </c>
      <c r="B39" s="74" t="inlineStr">
        <is>
          <t>16.06.</t>
        </is>
      </c>
      <c r="C39" s="123" t="n">
        <v>1459</v>
      </c>
      <c r="D39" s="124" t="n">
        <v>127.4</v>
      </c>
      <c r="E39" s="125" t="n">
        <v>39</v>
      </c>
      <c r="F39" s="124" t="n">
        <v>97</v>
      </c>
      <c r="G39" s="17" t="n">
        <v>29</v>
      </c>
      <c r="H39" s="126" t="n">
        <v>114</v>
      </c>
      <c r="I39" s="127" t="n">
        <v>170000</v>
      </c>
      <c r="J39" s="127" t="inlineStr">
        <is>
          <t>22</t>
        </is>
      </c>
      <c r="K39" s="127" t="n">
        <v>95000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</row>
    <row r="40" ht="12" customFormat="1" customHeight="1" s="37">
      <c r="A40" s="73" t="inlineStr">
        <is>
          <t>호계동 샘마을임광</t>
        </is>
      </c>
      <c r="B40" s="74" t="inlineStr">
        <is>
          <t>92.12.</t>
        </is>
      </c>
      <c r="C40" s="123" t="n">
        <v>390</v>
      </c>
      <c r="D40" s="124" t="n">
        <v>191.8</v>
      </c>
      <c r="E40" s="125" t="n">
        <v>58</v>
      </c>
      <c r="F40" s="124" t="n">
        <v>165.3</v>
      </c>
      <c r="G40" s="17" t="n">
        <v>50</v>
      </c>
      <c r="H40" s="126" t="n">
        <v>96</v>
      </c>
      <c r="I40" s="127" t="n">
        <v>150000</v>
      </c>
      <c r="J40" s="127" t="inlineStr">
        <is>
          <t>고</t>
        </is>
      </c>
      <c r="K40" s="127" t="n">
        <v>75000</v>
      </c>
      <c r="L40" s="127" t="inlineStr">
        <is>
          <t>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191</v>
      </c>
      <c r="U40" s="9" t="n"/>
    </row>
    <row r="41" ht="12" customFormat="1" customHeight="1" s="37">
      <c r="A41" s="73" t="inlineStr">
        <is>
          <t>호계동 목련9단지</t>
        </is>
      </c>
      <c r="B41" s="74" t="inlineStr">
        <is>
          <t>94.07.</t>
        </is>
      </c>
      <c r="C41" s="123" t="n">
        <v>578</v>
      </c>
      <c r="D41" s="124" t="n">
        <v>120.1</v>
      </c>
      <c r="E41" s="125" t="n">
        <v>36</v>
      </c>
      <c r="F41" s="124" t="n">
        <v>100.8</v>
      </c>
      <c r="G41" s="17" t="n">
        <v>30</v>
      </c>
      <c r="H41" s="126" t="n">
        <v>222</v>
      </c>
      <c r="I41" s="127" t="n">
        <v>145000</v>
      </c>
      <c r="J41" s="127" t="inlineStr">
        <is>
          <t>5</t>
        </is>
      </c>
      <c r="K41" s="127" t="n">
        <v>70000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120</v>
      </c>
      <c r="U41" s="9" t="n"/>
    </row>
    <row r="42" ht="12" customFormat="1" customHeight="1" s="37">
      <c r="A42" s="73" t="inlineStr">
        <is>
          <t>호계동 평촌어바인퍼스트</t>
        </is>
      </c>
      <c r="B42" s="74" t="inlineStr">
        <is>
          <t>21.01.</t>
        </is>
      </c>
      <c r="C42" s="123" t="n">
        <v>3850</v>
      </c>
      <c r="D42" s="124" t="n">
        <v>67.7</v>
      </c>
      <c r="E42" s="125" t="n">
        <v>20</v>
      </c>
      <c r="F42" s="124" t="n">
        <v>46.9</v>
      </c>
      <c r="G42" s="17" t="n">
        <v>14</v>
      </c>
      <c r="H42" s="126" t="n">
        <v>80</v>
      </c>
      <c r="I42" s="127" t="n">
        <v>75000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inlineStr">
        <is>
          <t>67A</t>
        </is>
      </c>
      <c r="U42" s="9" t="n"/>
    </row>
    <row r="43" ht="12" customFormat="1" customHeight="1" s="37">
      <c r="A43" s="73" t="inlineStr">
        <is>
          <t>호계동 호계현대홈타운1차</t>
        </is>
      </c>
      <c r="B43" s="74" t="inlineStr">
        <is>
          <t>02.11.</t>
        </is>
      </c>
      <c r="C43" s="123" t="n">
        <v>604</v>
      </c>
      <c r="D43" s="124" t="n">
        <v>88.40000000000001</v>
      </c>
      <c r="E43" s="125" t="n">
        <v>27</v>
      </c>
      <c r="F43" s="124" t="n">
        <v>59.3</v>
      </c>
      <c r="G43" s="17" t="n">
        <v>18</v>
      </c>
      <c r="H43" s="126" t="n">
        <v>55</v>
      </c>
      <c r="I43" s="127" t="n">
        <v>75000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88</v>
      </c>
      <c r="U43" s="9" t="n"/>
    </row>
    <row r="44" ht="12" customFormat="1" customHeight="1" s="37">
      <c r="A44" s="73" t="inlineStr">
        <is>
          <t>호계동 목련9단지</t>
        </is>
      </c>
      <c r="B44" s="74" t="inlineStr">
        <is>
          <t>94.07.</t>
        </is>
      </c>
      <c r="C44" s="123" t="n">
        <v>578</v>
      </c>
      <c r="D44" s="124" t="n">
        <v>151.7</v>
      </c>
      <c r="E44" s="125" t="n">
        <v>46</v>
      </c>
      <c r="F44" s="124" t="n">
        <v>128.2</v>
      </c>
      <c r="G44" s="17" t="n">
        <v>39</v>
      </c>
      <c r="H44" s="126" t="n">
        <v>306</v>
      </c>
      <c r="I44" s="127" t="n">
        <v>153000</v>
      </c>
      <c r="J44" s="127" t="inlineStr">
        <is>
          <t>고</t>
        </is>
      </c>
      <c r="K44" s="127" t="n">
        <v>80000</v>
      </c>
      <c r="L44" s="127" t="inlineStr">
        <is>
          <t>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151</v>
      </c>
      <c r="U44" s="9" t="n"/>
    </row>
    <row r="45" ht="12" customFormat="1" customHeight="1" s="37">
      <c r="A45" s="73" t="inlineStr">
        <is>
          <t>비산동 비산한화꿈에그린</t>
        </is>
      </c>
      <c r="B45" s="74" t="inlineStr">
        <is>
          <t>09.11.</t>
        </is>
      </c>
      <c r="C45" s="123" t="n">
        <v>774</v>
      </c>
      <c r="D45" s="124" t="n">
        <v>83.2</v>
      </c>
      <c r="E45" s="125" t="n">
        <v>25</v>
      </c>
      <c r="F45" s="124" t="n">
        <v>60</v>
      </c>
      <c r="G45" s="17" t="n">
        <v>18</v>
      </c>
      <c r="H45" s="126" t="n">
        <v>175</v>
      </c>
      <c r="I45" s="127" t="n">
        <v>72000</v>
      </c>
      <c r="J45" s="127" t="inlineStr">
        <is>
          <t>9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83</v>
      </c>
      <c r="U45" s="9" t="n"/>
    </row>
    <row r="46" ht="12" customFormat="1" customHeight="1" s="37">
      <c r="A46" s="73" t="inlineStr">
        <is>
          <t>평촌동 꿈현대</t>
        </is>
      </c>
      <c r="B46" s="74" t="inlineStr">
        <is>
          <t>93.11.</t>
        </is>
      </c>
      <c r="C46" s="123" t="n">
        <v>386</v>
      </c>
      <c r="D46" s="124" t="n">
        <v>217.6</v>
      </c>
      <c r="E46" s="125" t="n">
        <v>66</v>
      </c>
      <c r="F46" s="124" t="n">
        <v>183.2</v>
      </c>
      <c r="G46" s="17" t="n">
        <v>55</v>
      </c>
      <c r="H46" s="126" t="n">
        <v>50</v>
      </c>
      <c r="I46" s="127" t="n">
        <v>190000</v>
      </c>
      <c r="J46" s="127" t="inlineStr">
        <is>
          <t>11</t>
        </is>
      </c>
      <c r="K46" s="127" t="n">
        <v>120000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217</v>
      </c>
      <c r="U46" s="9" t="n"/>
    </row>
    <row r="47" ht="12" customFormat="1" customHeight="1" s="37">
      <c r="A47" s="73" t="inlineStr">
        <is>
          <t>평촌동 꿈현대</t>
        </is>
      </c>
      <c r="B47" s="74" t="inlineStr">
        <is>
          <t>93.11.</t>
        </is>
      </c>
      <c r="C47" s="123" t="n">
        <v>386</v>
      </c>
      <c r="D47" s="124" t="n">
        <v>157.8</v>
      </c>
      <c r="E47" s="125" t="n">
        <v>48</v>
      </c>
      <c r="F47" s="124" t="n">
        <v>134.9</v>
      </c>
      <c r="G47" s="17" t="n">
        <v>41</v>
      </c>
      <c r="H47" s="126" t="n">
        <v>120</v>
      </c>
      <c r="I47" s="127" t="n">
        <v>170000</v>
      </c>
      <c r="J47" s="127" t="inlineStr">
        <is>
          <t>6</t>
        </is>
      </c>
      <c r="K47" s="127" t="n">
        <v>100000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</row>
    <row r="48" ht="12" customFormat="1" customHeight="1" s="37">
      <c r="A48" s="73" t="inlineStr">
        <is>
          <t>호계동 목련7단지</t>
        </is>
      </c>
      <c r="B48" s="74" t="inlineStr">
        <is>
          <t>92.09.</t>
        </is>
      </c>
      <c r="C48" s="123" t="n">
        <v>466</v>
      </c>
      <c r="D48" s="124" t="n">
        <v>122.8</v>
      </c>
      <c r="E48" s="125" t="n">
        <v>37</v>
      </c>
      <c r="F48" s="124" t="n">
        <v>101.3</v>
      </c>
      <c r="G48" s="17" t="n">
        <v>31</v>
      </c>
      <c r="H48" s="126" t="n">
        <v>100</v>
      </c>
      <c r="I48" s="127" t="n">
        <v>150000</v>
      </c>
      <c r="J48" s="127" t="inlineStr">
        <is>
          <t>중</t>
        </is>
      </c>
      <c r="K48" s="127" t="n">
        <v>80000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122</v>
      </c>
      <c r="U48" s="9" t="n"/>
    </row>
    <row r="49" ht="12" customFormat="1" customHeight="1" s="37">
      <c r="A49" s="73" t="inlineStr">
        <is>
          <t>평촌동 향촌롯데</t>
        </is>
      </c>
      <c r="B49" s="74" t="inlineStr">
        <is>
          <t>93.03.</t>
        </is>
      </c>
      <c r="C49" s="123" t="n">
        <v>530</v>
      </c>
      <c r="D49" s="124" t="n">
        <v>110.1</v>
      </c>
      <c r="E49" s="125" t="n">
        <v>33</v>
      </c>
      <c r="F49" s="124" t="n">
        <v>84.8</v>
      </c>
      <c r="G49" s="17" t="n">
        <v>26</v>
      </c>
      <c r="H49" s="126" t="n">
        <v>340</v>
      </c>
      <c r="I49" s="127" t="n">
        <v>140000</v>
      </c>
      <c r="J49" s="127" t="inlineStr">
        <is>
          <t>13</t>
        </is>
      </c>
      <c r="K49" s="127" t="n">
        <v>70000</v>
      </c>
      <c r="L49" s="127" t="inlineStr">
        <is>
          <t>11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110</v>
      </c>
      <c r="U49" s="9" t="n"/>
    </row>
    <row r="50" ht="12" customFormat="1" customHeight="1" s="37">
      <c r="A50" s="73" t="inlineStr">
        <is>
          <t>호계동 샘대우한양</t>
        </is>
      </c>
      <c r="B50" s="74" t="inlineStr">
        <is>
          <t>93.11.</t>
        </is>
      </c>
      <c r="C50" s="123" t="n">
        <v>1072</v>
      </c>
      <c r="D50" s="124" t="n">
        <v>198.7</v>
      </c>
      <c r="E50" s="125" t="n">
        <v>60</v>
      </c>
      <c r="F50" s="124" t="n">
        <v>164.5</v>
      </c>
      <c r="G50" s="17" t="n">
        <v>50</v>
      </c>
      <c r="H50" s="126" t="n">
        <v>94</v>
      </c>
      <c r="I50" s="127" t="n">
        <v>140000</v>
      </c>
      <c r="J50" s="127" t="inlineStr">
        <is>
          <t>고</t>
        </is>
      </c>
      <c r="K50" s="127" t="n">
        <v>70000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198B</t>
        </is>
      </c>
      <c r="U50" s="9" t="n"/>
    </row>
    <row r="51" ht="12" customFormat="1" customHeight="1" s="37">
      <c r="A51" s="73" t="inlineStr">
        <is>
          <t>비산동 평촌래미안푸르지오</t>
        </is>
      </c>
      <c r="B51" s="74" t="inlineStr">
        <is>
          <t>21.11.</t>
        </is>
      </c>
      <c r="C51" s="123" t="n">
        <v>1199</v>
      </c>
      <c r="D51" s="124" t="n">
        <v>94.09999999999999</v>
      </c>
      <c r="E51" s="125" t="n">
        <v>28</v>
      </c>
      <c r="F51" s="124" t="n">
        <v>69</v>
      </c>
      <c r="G51" s="17" t="n">
        <v>21</v>
      </c>
      <c r="H51" s="126" t="n">
        <v>64</v>
      </c>
      <c r="I51" s="127" t="n">
        <v>130000</v>
      </c>
      <c r="J51" s="127" t="inlineStr">
        <is>
          <t>18</t>
        </is>
      </c>
      <c r="K51" s="127" t="n">
        <v>60000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94</v>
      </c>
      <c r="U51" s="9" t="n"/>
    </row>
    <row r="52" ht="12" customFormat="1" customHeight="1" s="37">
      <c r="A52" s="73" t="inlineStr">
        <is>
          <t>호계동 목련8단지</t>
        </is>
      </c>
      <c r="B52" s="74" t="inlineStr">
        <is>
          <t>92.10.</t>
        </is>
      </c>
      <c r="C52" s="123" t="n">
        <v>516</v>
      </c>
      <c r="D52" s="124" t="n">
        <v>151.5</v>
      </c>
      <c r="E52" s="125" t="n">
        <v>46</v>
      </c>
      <c r="F52" s="124" t="n">
        <v>127.3</v>
      </c>
      <c r="G52" s="17" t="n">
        <v>39</v>
      </c>
      <c r="H52" s="126" t="n">
        <v>256</v>
      </c>
      <c r="I52" s="127" t="n">
        <v>157000</v>
      </c>
      <c r="J52" s="127" t="inlineStr">
        <is>
          <t>중</t>
        </is>
      </c>
      <c r="K52" s="127" t="n">
        <v>88000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151</v>
      </c>
      <c r="U52" s="9" t="n"/>
    </row>
    <row r="53" ht="12" customFormat="1" customHeight="1" s="37">
      <c r="A53" s="73" t="inlineStr">
        <is>
          <t>호계동 목련7단지</t>
        </is>
      </c>
      <c r="B53" s="74" t="inlineStr">
        <is>
          <t>92.09.</t>
        </is>
      </c>
      <c r="C53" s="123" t="n">
        <v>466</v>
      </c>
      <c r="D53" s="124" t="n">
        <v>155.7</v>
      </c>
      <c r="E53" s="125" t="n">
        <v>47</v>
      </c>
      <c r="F53" s="124" t="n">
        <v>133.7</v>
      </c>
      <c r="G53" s="17" t="n">
        <v>40</v>
      </c>
      <c r="H53" s="126" t="n">
        <v>240</v>
      </c>
      <c r="I53" s="127" t="n">
        <v>168000</v>
      </c>
      <c r="J53" s="127" t="inlineStr">
        <is>
          <t>9</t>
        </is>
      </c>
      <c r="K53" s="127" t="n">
        <v>100000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155</v>
      </c>
      <c r="U53" s="9" t="n"/>
    </row>
    <row r="54" ht="12" customFormat="1" customHeight="1" s="37">
      <c r="A54" s="73" t="inlineStr">
        <is>
          <t>호계동 평촌두산위브리버뷰</t>
        </is>
      </c>
      <c r="B54" s="74" t="inlineStr">
        <is>
          <t>21.12.</t>
        </is>
      </c>
      <c r="C54" s="123" t="n">
        <v>855</v>
      </c>
      <c r="D54" s="124" t="n">
        <v>111.3</v>
      </c>
      <c r="E54" s="125" t="n">
        <v>34</v>
      </c>
      <c r="F54" s="124" t="n">
        <v>85</v>
      </c>
      <c r="G54" s="17" t="n">
        <v>26</v>
      </c>
      <c r="H54" s="126" t="n">
        <v>66</v>
      </c>
      <c r="I54" s="127" t="n">
        <v>120000</v>
      </c>
      <c r="J54" s="127" t="inlineStr">
        <is>
          <t>중</t>
        </is>
      </c>
      <c r="K54" s="127" t="n">
        <v>52000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111D</t>
        </is>
      </c>
      <c r="U54" s="9" t="n"/>
    </row>
    <row r="55" ht="12" customFormat="1" customHeight="1" s="37">
      <c r="A55" s="73" t="inlineStr">
        <is>
          <t>비산동 한양수자인평촌리버뷰</t>
        </is>
      </c>
      <c r="B55" s="74" t="inlineStr">
        <is>
          <t>21.11.</t>
        </is>
      </c>
      <c r="C55" s="123" t="n">
        <v>304</v>
      </c>
      <c r="D55" s="124" t="n">
        <v>73.2</v>
      </c>
      <c r="E55" s="125" t="n">
        <v>22</v>
      </c>
      <c r="F55" s="124" t="n">
        <v>51.9</v>
      </c>
      <c r="G55" s="17" t="n">
        <v>16</v>
      </c>
      <c r="H55" s="126" t="n">
        <v>162</v>
      </c>
      <c r="I55" s="127" t="n">
        <v>67000</v>
      </c>
      <c r="J55" s="127" t="inlineStr">
        <is>
          <t>12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2</v>
      </c>
      <c r="S55" s="114" t="inlineStr">
        <is>
          <t>계</t>
        </is>
      </c>
      <c r="T55" s="5" t="inlineStr">
        <is>
          <t>73A</t>
        </is>
      </c>
      <c r="U55" s="9" t="n"/>
    </row>
    <row r="56" ht="12" customFormat="1" customHeight="1" s="37">
      <c r="A56" s="73" t="inlineStr">
        <is>
          <t>비산동 비산힐스테이트</t>
        </is>
      </c>
      <c r="B56" s="74" t="inlineStr">
        <is>
          <t>05.11.</t>
        </is>
      </c>
      <c r="C56" s="123" t="n">
        <v>551</v>
      </c>
      <c r="D56" s="124" t="n">
        <v>84.59999999999999</v>
      </c>
      <c r="E56" s="125" t="n">
        <v>26</v>
      </c>
      <c r="F56" s="124" t="n">
        <v>60</v>
      </c>
      <c r="G56" s="17" t="n">
        <v>18</v>
      </c>
      <c r="H56" s="126" t="n">
        <v>197</v>
      </c>
      <c r="I56" s="127" t="n">
        <v>64000</v>
      </c>
      <c r="J56" s="127" t="inlineStr">
        <is>
          <t>17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84</v>
      </c>
      <c r="U56" s="9" t="n"/>
    </row>
    <row r="57" ht="12" customFormat="1" customHeight="1" s="37">
      <c r="A57" s="73" t="inlineStr">
        <is>
          <t>호계동 목련8단지</t>
        </is>
      </c>
      <c r="B57" s="74" t="inlineStr">
        <is>
          <t>92.10.</t>
        </is>
      </c>
      <c r="C57" s="123" t="n">
        <v>516</v>
      </c>
      <c r="D57" s="124" t="n">
        <v>119.7</v>
      </c>
      <c r="E57" s="125" t="n">
        <v>36</v>
      </c>
      <c r="F57" s="124" t="n">
        <v>99</v>
      </c>
      <c r="G57" s="17" t="n">
        <v>30</v>
      </c>
      <c r="H57" s="126" t="n">
        <v>180</v>
      </c>
      <c r="I57" s="127" t="n">
        <v>133000</v>
      </c>
      <c r="J57" s="127" t="inlineStr">
        <is>
          <t>12</t>
        </is>
      </c>
      <c r="K57" s="127" t="n">
        <v>70000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</row>
    <row r="58" ht="12" customFormat="1" customHeight="1" s="37">
      <c r="A58" s="73" t="inlineStr">
        <is>
          <t>관양동 인덕원마을삼성</t>
        </is>
      </c>
      <c r="B58" s="74" t="inlineStr">
        <is>
          <t>98.12.</t>
        </is>
      </c>
      <c r="C58" s="123" t="n">
        <v>1314</v>
      </c>
      <c r="D58" s="124" t="n">
        <v>106.5</v>
      </c>
      <c r="E58" s="125" t="n">
        <v>32</v>
      </c>
      <c r="F58" s="124" t="n">
        <v>84.90000000000001</v>
      </c>
      <c r="G58" s="17" t="n">
        <v>26</v>
      </c>
      <c r="H58" s="126" t="n">
        <v>644</v>
      </c>
      <c r="I58" s="127" t="n">
        <v>120000</v>
      </c>
      <c r="J58" s="127" t="inlineStr">
        <is>
          <t>12</t>
        </is>
      </c>
      <c r="K58" s="127" t="n">
        <v>57000</v>
      </c>
      <c r="L58" s="127" t="inlineStr">
        <is>
          <t>20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106</v>
      </c>
      <c r="U58" s="9" t="n"/>
    </row>
    <row r="59" ht="12" customFormat="1" customHeight="1" s="37">
      <c r="A59" s="73" t="inlineStr">
        <is>
          <t>호계동 한마음2단지</t>
        </is>
      </c>
      <c r="B59" s="74" t="inlineStr">
        <is>
          <t>03.04.</t>
        </is>
      </c>
      <c r="C59" s="123" t="n">
        <v>426</v>
      </c>
      <c r="D59" s="124" t="n">
        <v>74.7</v>
      </c>
      <c r="E59" s="125" t="n">
        <v>23</v>
      </c>
      <c r="F59" s="124" t="n">
        <v>55.4</v>
      </c>
      <c r="G59" s="17" t="n">
        <v>17</v>
      </c>
      <c r="H59" s="126" t="n">
        <v>100</v>
      </c>
      <c r="I59" s="127" t="n">
        <v>63000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74A</t>
        </is>
      </c>
      <c r="U59" s="9" t="n"/>
    </row>
    <row r="60" ht="12" customFormat="1" customHeight="1" s="37">
      <c r="A60" s="73" t="inlineStr">
        <is>
          <t>호계동 호계신성미소지움</t>
        </is>
      </c>
      <c r="B60" s="74" t="inlineStr">
        <is>
          <t>04.12.</t>
        </is>
      </c>
      <c r="C60" s="123" t="n">
        <v>361</v>
      </c>
      <c r="D60" s="124" t="n">
        <v>80.3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62000</v>
      </c>
      <c r="J60" s="127" t="inlineStr">
        <is>
          <t>16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80</v>
      </c>
      <c r="U60" s="9" t="n"/>
    </row>
    <row r="61" ht="12" customFormat="1" customHeight="1" s="37">
      <c r="A61" s="73" t="inlineStr">
        <is>
          <t>비산동 은하수(벽산)</t>
        </is>
      </c>
      <c r="B61" s="74" t="inlineStr">
        <is>
          <t>92.05.</t>
        </is>
      </c>
      <c r="C61" s="123" t="n">
        <v>620</v>
      </c>
      <c r="D61" s="124" t="n">
        <v>106.2</v>
      </c>
      <c r="E61" s="125" t="n">
        <v>32</v>
      </c>
      <c r="F61" s="124" t="n">
        <v>84.90000000000001</v>
      </c>
      <c r="G61" s="17" t="n">
        <v>26</v>
      </c>
      <c r="H61" s="126" t="n">
        <v>348</v>
      </c>
      <c r="I61" s="127" t="n">
        <v>120000</v>
      </c>
      <c r="J61" s="127" t="inlineStr">
        <is>
          <t>11</t>
        </is>
      </c>
      <c r="K61" s="127" t="n">
        <v>59000</v>
      </c>
      <c r="L61" s="127" t="inlineStr">
        <is>
          <t>12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3" t="inlineStr">
        <is>
          <t>평촌동 꿈한신</t>
        </is>
      </c>
      <c r="B62" s="74" t="inlineStr">
        <is>
          <t>93.08.</t>
        </is>
      </c>
      <c r="C62" s="123" t="n">
        <v>566</v>
      </c>
      <c r="D62" s="124" t="n">
        <v>201.7</v>
      </c>
      <c r="E62" s="125" t="n">
        <v>61</v>
      </c>
      <c r="F62" s="124" t="n">
        <v>172.2</v>
      </c>
      <c r="G62" s="17" t="n">
        <v>52</v>
      </c>
      <c r="H62" s="126" t="n">
        <v>60</v>
      </c>
      <c r="I62" s="127" t="n">
        <v>180000</v>
      </c>
      <c r="J62" s="127" t="inlineStr">
        <is>
          <t>고</t>
        </is>
      </c>
      <c r="K62" s="127" t="n">
        <v>120000</v>
      </c>
      <c r="L62" s="127" t="inlineStr">
        <is>
          <t>14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6</v>
      </c>
      <c r="R62" s="114" t="n">
        <v>2</v>
      </c>
      <c r="S62" s="114" t="inlineStr">
        <is>
          <t>계</t>
        </is>
      </c>
      <c r="T62" s="5" t="n">
        <v>201</v>
      </c>
      <c r="U62" s="9" t="n"/>
    </row>
    <row r="63" ht="12" customFormat="1" customHeight="1" s="37">
      <c r="A63" s="73" t="inlineStr">
        <is>
          <t>평촌동 꿈우성</t>
        </is>
      </c>
      <c r="B63" s="74" t="inlineStr">
        <is>
          <t>93.11.</t>
        </is>
      </c>
      <c r="C63" s="123" t="n">
        <v>422</v>
      </c>
      <c r="D63" s="124" t="n">
        <v>184.2</v>
      </c>
      <c r="E63" s="125" t="n">
        <v>56</v>
      </c>
      <c r="F63" s="124" t="n">
        <v>158.2</v>
      </c>
      <c r="G63" s="17" t="n">
        <v>48</v>
      </c>
      <c r="H63" s="126" t="n">
        <v>86</v>
      </c>
      <c r="I63" s="127" t="n">
        <v>160000</v>
      </c>
      <c r="J63" s="127" t="inlineStr">
        <is>
          <t>15</t>
        </is>
      </c>
      <c r="K63" s="127" t="n">
        <v>100000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184</v>
      </c>
      <c r="U63" s="9" t="n"/>
    </row>
    <row r="64" ht="12" customFormat="1" customHeight="1" s="37">
      <c r="A64" s="73" t="inlineStr">
        <is>
          <t>관양동 평촌더샵센트럴시티</t>
        </is>
      </c>
      <c r="B64" s="74" t="inlineStr">
        <is>
          <t>16.06.</t>
        </is>
      </c>
      <c r="C64" s="123" t="n">
        <v>1459</v>
      </c>
      <c r="D64" s="124" t="n">
        <v>112.8</v>
      </c>
      <c r="E64" s="125" t="n">
        <v>34</v>
      </c>
      <c r="F64" s="124" t="n">
        <v>85</v>
      </c>
      <c r="G64" s="17" t="n">
        <v>26</v>
      </c>
      <c r="H64" s="126" t="n">
        <v>436</v>
      </c>
      <c r="I64" s="127" t="n">
        <v>140000</v>
      </c>
      <c r="J64" s="127" t="inlineStr">
        <is>
          <t>19</t>
        </is>
      </c>
      <c r="K64" s="127" t="n">
        <v>80000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</row>
    <row r="65" ht="12" customFormat="1" customHeight="1" s="37">
      <c r="A65" s="73" t="inlineStr">
        <is>
          <t>호계동 목련2단지</t>
        </is>
      </c>
      <c r="B65" s="74" t="inlineStr">
        <is>
          <t>92.03.</t>
        </is>
      </c>
      <c r="C65" s="123" t="n">
        <v>994</v>
      </c>
      <c r="D65" s="124" t="n">
        <v>77.09999999999999</v>
      </c>
      <c r="E65" s="125" t="n">
        <v>23</v>
      </c>
      <c r="F65" s="124" t="n">
        <v>58.3</v>
      </c>
      <c r="G65" s="17" t="n">
        <v>18</v>
      </c>
      <c r="H65" s="126" t="n">
        <v>610</v>
      </c>
      <c r="I65" s="127" t="n">
        <v>90000</v>
      </c>
      <c r="J65" s="127" t="inlineStr">
        <is>
          <t>10</t>
        </is>
      </c>
      <c r="K65" s="127" t="n">
        <v>32500</v>
      </c>
      <c r="L65" s="127" t="inlineStr">
        <is>
          <t>8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77</v>
      </c>
      <c r="U65" s="9" t="n"/>
    </row>
    <row r="66" ht="12" customFormat="1" customHeight="1" s="37">
      <c r="A66" s="73" t="inlineStr">
        <is>
          <t>호계동 평촌어바인퍼스트</t>
        </is>
      </c>
      <c r="B66" s="74" t="inlineStr">
        <is>
          <t>21.01.</t>
        </is>
      </c>
      <c r="C66" s="123" t="n">
        <v>3850</v>
      </c>
      <c r="D66" s="124" t="n">
        <v>101.3</v>
      </c>
      <c r="E66" s="125" t="n">
        <v>31</v>
      </c>
      <c r="F66" s="124" t="n">
        <v>74.7</v>
      </c>
      <c r="G66" s="17" t="n">
        <v>23</v>
      </c>
      <c r="H66" s="126" t="n">
        <v>111</v>
      </c>
      <c r="I66" s="127" t="n">
        <v>120000</v>
      </c>
      <c r="J66" s="127" t="inlineStr">
        <is>
          <t>고</t>
        </is>
      </c>
      <c r="K66" s="127" t="n">
        <v>63000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101</v>
      </c>
      <c r="U66" s="9" t="n"/>
    </row>
    <row r="67" ht="12" customFormat="1" customHeight="1" s="37">
      <c r="A67" s="73" t="inlineStr">
        <is>
          <t>호계동 평촌어바인퍼스트</t>
        </is>
      </c>
      <c r="B67" s="74" t="inlineStr">
        <is>
          <t>21.01.</t>
        </is>
      </c>
      <c r="C67" s="123" t="n">
        <v>3850</v>
      </c>
      <c r="D67" s="124" t="n">
        <v>114.3</v>
      </c>
      <c r="E67" s="125" t="n">
        <v>35</v>
      </c>
      <c r="F67" s="124" t="n">
        <v>84.59999999999999</v>
      </c>
      <c r="G67" s="17" t="n">
        <v>26</v>
      </c>
      <c r="H67" s="126" t="n">
        <v>926</v>
      </c>
      <c r="I67" s="127" t="n">
        <v>120000</v>
      </c>
      <c r="J67" s="127" t="inlineStr">
        <is>
          <t>17</t>
        </is>
      </c>
      <c r="K67" s="127" t="n">
        <v>63000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114A</t>
        </is>
      </c>
      <c r="U67" s="9" t="n"/>
    </row>
    <row r="68" ht="12" customFormat="1" customHeight="1" s="37">
      <c r="A68" s="73" t="inlineStr">
        <is>
          <t>호계동 호계럭키</t>
        </is>
      </c>
      <c r="B68" s="74" t="inlineStr">
        <is>
          <t>92.12.</t>
        </is>
      </c>
      <c r="C68" s="123" t="n">
        <v>794</v>
      </c>
      <c r="D68" s="124" t="n">
        <v>148.8</v>
      </c>
      <c r="E68" s="125" t="n">
        <v>45</v>
      </c>
      <c r="F68" s="124" t="n">
        <v>127.6</v>
      </c>
      <c r="G68" s="17" t="n">
        <v>39</v>
      </c>
      <c r="H68" s="126" t="n">
        <v>240</v>
      </c>
      <c r="I68" s="127" t="n">
        <v>102000</v>
      </c>
      <c r="J68" s="127" t="inlineStr">
        <is>
          <t>13</t>
        </is>
      </c>
      <c r="K68" s="127" t="n">
        <v>45000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148</v>
      </c>
      <c r="U68" s="9" t="n"/>
    </row>
    <row r="69" ht="12" customFormat="1" customHeight="1" s="37">
      <c r="A69" s="73" t="inlineStr">
        <is>
          <t>관양동 동편마을3단지</t>
        </is>
      </c>
      <c r="B69" s="74" t="inlineStr">
        <is>
          <t>12.04.</t>
        </is>
      </c>
      <c r="C69" s="123" t="n">
        <v>1042</v>
      </c>
      <c r="D69" s="124" t="n">
        <v>111.2</v>
      </c>
      <c r="E69" s="125" t="n">
        <v>34</v>
      </c>
      <c r="F69" s="124" t="n">
        <v>85</v>
      </c>
      <c r="G69" s="17" t="n">
        <v>26</v>
      </c>
      <c r="H69" s="126" t="n">
        <v>198</v>
      </c>
      <c r="I69" s="127" t="n">
        <v>120000</v>
      </c>
      <c r="J69" s="127" t="inlineStr">
        <is>
          <t>고</t>
        </is>
      </c>
      <c r="K69" s="127" t="n">
        <v>64000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111D</t>
        </is>
      </c>
      <c r="U69" s="9" t="n"/>
    </row>
    <row r="70" ht="12" customFormat="1" customHeight="1" s="37">
      <c r="A70" s="73" t="inlineStr">
        <is>
          <t>비산동 샛별한양3단지</t>
        </is>
      </c>
      <c r="B70" s="74" t="inlineStr">
        <is>
          <t>93.04.</t>
        </is>
      </c>
      <c r="C70" s="123" t="n">
        <v>638</v>
      </c>
      <c r="D70" s="124" t="n">
        <v>105.2</v>
      </c>
      <c r="E70" s="125" t="n">
        <v>32</v>
      </c>
      <c r="F70" s="124" t="n">
        <v>84.90000000000001</v>
      </c>
      <c r="G70" s="17" t="n">
        <v>26</v>
      </c>
      <c r="H70" s="126" t="n">
        <v>152</v>
      </c>
      <c r="I70" s="127" t="n">
        <v>100000</v>
      </c>
      <c r="J70" s="127" t="inlineStr">
        <is>
          <t>10</t>
        </is>
      </c>
      <c r="K70" s="127" t="n">
        <v>44000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복</t>
        </is>
      </c>
      <c r="T70" s="5" t="n">
        <v>105</v>
      </c>
      <c r="U70" s="9" t="n"/>
    </row>
    <row r="71" ht="12" customFormat="1" customHeight="1" s="37">
      <c r="A71" s="73" t="inlineStr">
        <is>
          <t>평촌동 꿈우성</t>
        </is>
      </c>
      <c r="B71" s="74" t="inlineStr">
        <is>
          <t>93.11.</t>
        </is>
      </c>
      <c r="C71" s="123" t="n">
        <v>422</v>
      </c>
      <c r="D71" s="124" t="n">
        <v>155.1</v>
      </c>
      <c r="E71" s="125" t="n">
        <v>47</v>
      </c>
      <c r="F71" s="124" t="n">
        <v>132.7</v>
      </c>
      <c r="G71" s="17" t="n">
        <v>40</v>
      </c>
      <c r="H71" s="126" t="n">
        <v>204</v>
      </c>
      <c r="I71" s="127" t="n">
        <v>150000</v>
      </c>
      <c r="J71" s="127" t="inlineStr">
        <is>
          <t>중</t>
        </is>
      </c>
      <c r="K71" s="127" t="n">
        <v>95000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155</v>
      </c>
      <c r="U71" s="9" t="n"/>
    </row>
    <row r="72" ht="12" customFormat="1" customHeight="1" s="37">
      <c r="A72" s="73" t="inlineStr">
        <is>
          <t>비산동 평촌자이아이파크</t>
        </is>
      </c>
      <c r="B72" s="74" t="inlineStr">
        <is>
          <t>21.12.</t>
        </is>
      </c>
      <c r="C72" s="123" t="n">
        <v>2531</v>
      </c>
      <c r="D72" s="124" t="n">
        <v>131.2</v>
      </c>
      <c r="E72" s="125" t="n">
        <v>40</v>
      </c>
      <c r="F72" s="124" t="n">
        <v>102.9</v>
      </c>
      <c r="G72" s="17" t="n">
        <v>31</v>
      </c>
      <c r="H72" s="126" t="n">
        <v>102</v>
      </c>
      <c r="I72" s="127" t="n">
        <v>135000</v>
      </c>
      <c r="J72" s="127" t="inlineStr">
        <is>
          <t>9</t>
        </is>
      </c>
      <c r="K72" s="127" t="n">
        <v>80000</v>
      </c>
      <c r="L72" s="127" t="inlineStr">
        <is>
          <t>20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131</v>
      </c>
      <c r="U72" s="9" t="n"/>
    </row>
    <row r="73" ht="12" customFormat="1" customHeight="1" s="37">
      <c r="A73" s="73" t="inlineStr">
        <is>
          <t>평촌동 꿈한신</t>
        </is>
      </c>
      <c r="B73" s="74" t="inlineStr">
        <is>
          <t>93.08.</t>
        </is>
      </c>
      <c r="C73" s="123" t="n">
        <v>566</v>
      </c>
      <c r="D73" s="124" t="n">
        <v>119</v>
      </c>
      <c r="E73" s="125" t="n">
        <v>36</v>
      </c>
      <c r="F73" s="124" t="n">
        <v>96.7</v>
      </c>
      <c r="G73" s="17" t="n">
        <v>29</v>
      </c>
      <c r="H73" s="126" t="n">
        <v>410</v>
      </c>
      <c r="I73" s="127" t="n">
        <v>130000</v>
      </c>
      <c r="J73" s="127" t="inlineStr">
        <is>
          <t>중</t>
        </is>
      </c>
      <c r="K73" s="127" t="n">
        <v>75000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119</v>
      </c>
      <c r="U73" s="9" t="n"/>
    </row>
    <row r="74" ht="12" customFormat="1" customHeight="1" s="37">
      <c r="A74" s="73" t="inlineStr">
        <is>
          <t>호계동 샘우방</t>
        </is>
      </c>
      <c r="B74" s="74" t="inlineStr">
        <is>
          <t>92.12.</t>
        </is>
      </c>
      <c r="C74" s="123" t="n">
        <v>488</v>
      </c>
      <c r="D74" s="124" t="n">
        <v>160.7</v>
      </c>
      <c r="E74" s="125" t="n">
        <v>49</v>
      </c>
      <c r="F74" s="124" t="n">
        <v>133.9</v>
      </c>
      <c r="G74" s="17" t="n">
        <v>40</v>
      </c>
      <c r="H74" s="126" t="n">
        <v>279</v>
      </c>
      <c r="I74" s="127" t="n">
        <v>130000</v>
      </c>
      <c r="J74" s="127" t="inlineStr">
        <is>
          <t>5</t>
        </is>
      </c>
      <c r="K74" s="127" t="n">
        <v>75000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</row>
    <row r="75" ht="12" customFormat="1" customHeight="1" s="37">
      <c r="A75" s="73" t="inlineStr">
        <is>
          <t>호계동 평촌더샵아이파크</t>
        </is>
      </c>
      <c r="B75" s="74" t="inlineStr">
        <is>
          <t>19.03.</t>
        </is>
      </c>
      <c r="C75" s="123" t="n">
        <v>1174</v>
      </c>
      <c r="D75" s="124" t="n">
        <v>112.8</v>
      </c>
      <c r="E75" s="125" t="n">
        <v>34</v>
      </c>
      <c r="F75" s="124" t="n">
        <v>85</v>
      </c>
      <c r="G75" s="17" t="n">
        <v>26</v>
      </c>
      <c r="H75" s="126" t="n">
        <v>396</v>
      </c>
      <c r="I75" s="127" t="n">
        <v>120000</v>
      </c>
      <c r="J75" s="127" t="inlineStr">
        <is>
          <t>5</t>
        </is>
      </c>
      <c r="K75" s="127" t="n">
        <v>65000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112A</t>
        </is>
      </c>
      <c r="U75" s="9" t="n"/>
    </row>
    <row r="76" ht="12" customFormat="1" customHeight="1" s="37">
      <c r="A76" s="73" t="inlineStr">
        <is>
          <t>평촌동 꿈현대</t>
        </is>
      </c>
      <c r="B76" s="74" t="inlineStr">
        <is>
          <t>93.11.</t>
        </is>
      </c>
      <c r="C76" s="123" t="n">
        <v>386</v>
      </c>
      <c r="D76" s="124" t="n">
        <v>120.3</v>
      </c>
      <c r="E76" s="125" t="n">
        <v>36</v>
      </c>
      <c r="F76" s="124" t="n">
        <v>101.5</v>
      </c>
      <c r="G76" s="17" t="n">
        <v>31</v>
      </c>
      <c r="H76" s="126" t="n">
        <v>216</v>
      </c>
      <c r="I76" s="127" t="n">
        <v>129000</v>
      </c>
      <c r="J76" s="127" t="inlineStr">
        <is>
          <t>13</t>
        </is>
      </c>
      <c r="K76" s="127" t="n">
        <v>75000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120</v>
      </c>
      <c r="U76" s="9" t="n"/>
    </row>
    <row r="77" ht="12" customFormat="1" customHeight="1" s="37">
      <c r="A77" s="73" t="inlineStr">
        <is>
          <t>평촌동 향촌현대4차</t>
        </is>
      </c>
      <c r="B77" s="74" t="inlineStr">
        <is>
          <t>92.11.</t>
        </is>
      </c>
      <c r="C77" s="123" t="n">
        <v>552</v>
      </c>
      <c r="D77" s="124" t="n">
        <v>107</v>
      </c>
      <c r="E77" s="125" t="n">
        <v>32</v>
      </c>
      <c r="F77" s="124" t="n">
        <v>85</v>
      </c>
      <c r="G77" s="17" t="n">
        <v>26</v>
      </c>
      <c r="H77" s="126" t="n">
        <v>364</v>
      </c>
      <c r="I77" s="127" t="n">
        <v>120000</v>
      </c>
      <c r="J77" s="127" t="inlineStr">
        <is>
          <t>5</t>
        </is>
      </c>
      <c r="K77" s="127" t="n">
        <v>66000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106</v>
      </c>
      <c r="U77" s="9" t="n"/>
    </row>
    <row r="78" ht="12" customFormat="1" customHeight="1" s="37">
      <c r="A78" s="73" t="inlineStr">
        <is>
          <t>평촌동 꿈동아</t>
        </is>
      </c>
      <c r="B78" s="74" t="inlineStr">
        <is>
          <t>94.04.</t>
        </is>
      </c>
      <c r="C78" s="123" t="n">
        <v>372</v>
      </c>
      <c r="D78" s="124" t="n">
        <v>157.8</v>
      </c>
      <c r="E78" s="125" t="n">
        <v>48</v>
      </c>
      <c r="F78" s="124" t="n">
        <v>130.1</v>
      </c>
      <c r="G78" s="17" t="n">
        <v>39</v>
      </c>
      <c r="H78" s="126" t="n">
        <v>202</v>
      </c>
      <c r="I78" s="127" t="n">
        <v>148000</v>
      </c>
      <c r="J78" s="127" t="inlineStr">
        <is>
          <t>5</t>
        </is>
      </c>
      <c r="K78" s="127" t="n">
        <v>95000</v>
      </c>
      <c r="L78" s="127" t="inlineStr">
        <is>
          <t>22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157</v>
      </c>
      <c r="U78" s="9" t="n"/>
    </row>
    <row r="79" ht="12" customFormat="1" customHeight="1" s="37">
      <c r="A79" s="73" t="inlineStr">
        <is>
          <t>평촌동 향촌현대5차</t>
        </is>
      </c>
      <c r="B79" s="74" t="inlineStr">
        <is>
          <t>93.04.</t>
        </is>
      </c>
      <c r="C79" s="123" t="n">
        <v>780</v>
      </c>
      <c r="D79" s="124" t="n">
        <v>105.6</v>
      </c>
      <c r="E79" s="125" t="n">
        <v>32</v>
      </c>
      <c r="F79" s="124" t="n">
        <v>84.8</v>
      </c>
      <c r="G79" s="17" t="n">
        <v>26</v>
      </c>
      <c r="H79" s="126" t="n">
        <v>510</v>
      </c>
      <c r="I79" s="127" t="n">
        <v>123000</v>
      </c>
      <c r="J79" s="127" t="inlineStr">
        <is>
          <t>12</t>
        </is>
      </c>
      <c r="K79" s="127" t="n">
        <v>73000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105</v>
      </c>
      <c r="U79" s="9" t="n"/>
    </row>
    <row r="80" ht="12" customFormat="1" customHeight="1" s="37">
      <c r="A80" s="73" t="inlineStr">
        <is>
          <t>비산동 비산삼성래미안</t>
        </is>
      </c>
      <c r="B80" s="74" t="inlineStr">
        <is>
          <t>03.12.</t>
        </is>
      </c>
      <c r="C80" s="123" t="n">
        <v>3806</v>
      </c>
      <c r="D80" s="124" t="n">
        <v>213.8</v>
      </c>
      <c r="E80" s="125" t="n">
        <v>65</v>
      </c>
      <c r="F80" s="124" t="n">
        <v>182.5</v>
      </c>
      <c r="G80" s="17" t="n">
        <v>55</v>
      </c>
      <c r="H80" s="126" t="n">
        <v>162</v>
      </c>
      <c r="I80" s="127" t="n">
        <v>120000</v>
      </c>
      <c r="J80" s="127" t="inlineStr">
        <is>
          <t>중</t>
        </is>
      </c>
      <c r="K80" s="127" t="n">
        <v>70000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5</v>
      </c>
      <c r="R80" s="114" t="n">
        <v>3</v>
      </c>
      <c r="S80" s="114" t="inlineStr">
        <is>
          <t>계</t>
        </is>
      </c>
      <c r="T80" s="5" t="n">
        <v>213</v>
      </c>
      <c r="U80" s="9" t="n"/>
    </row>
    <row r="81" ht="12" customFormat="1" customHeight="1" s="37">
      <c r="A81" s="73" t="inlineStr">
        <is>
          <t>평촌동 꿈건영3단지</t>
        </is>
      </c>
      <c r="B81" s="74" t="inlineStr">
        <is>
          <t>94.04.</t>
        </is>
      </c>
      <c r="C81" s="123" t="n">
        <v>386</v>
      </c>
      <c r="D81" s="124" t="n">
        <v>123.3</v>
      </c>
      <c r="E81" s="125" t="n">
        <v>37</v>
      </c>
      <c r="F81" s="124" t="n">
        <v>102</v>
      </c>
      <c r="G81" s="17" t="n">
        <v>31</v>
      </c>
      <c r="H81" s="126" t="n">
        <v>264</v>
      </c>
      <c r="I81" s="127" t="n">
        <v>120000</v>
      </c>
      <c r="J81" s="127" t="inlineStr">
        <is>
          <t>9</t>
        </is>
      </c>
      <c r="K81" s="127" t="n">
        <v>70000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123</v>
      </c>
      <c r="U81" s="9" t="n"/>
    </row>
    <row r="82" ht="12" customFormat="1" customHeight="1" s="37">
      <c r="A82" s="73" t="inlineStr">
        <is>
          <t>평촌동 꿈동아</t>
        </is>
      </c>
      <c r="B82" s="74" t="inlineStr">
        <is>
          <t>94.04.</t>
        </is>
      </c>
      <c r="C82" s="123" t="n">
        <v>372</v>
      </c>
      <c r="D82" s="124" t="n">
        <v>126.7</v>
      </c>
      <c r="E82" s="125" t="n">
        <v>38</v>
      </c>
      <c r="F82" s="124" t="n">
        <v>102</v>
      </c>
      <c r="G82" s="17" t="n">
        <v>31</v>
      </c>
      <c r="H82" s="126" t="n">
        <v>170</v>
      </c>
      <c r="I82" s="127" t="n">
        <v>120000</v>
      </c>
      <c r="J82" s="127" t="inlineStr">
        <is>
          <t>고</t>
        </is>
      </c>
      <c r="K82" s="127" t="n">
        <v>70000</v>
      </c>
      <c r="L82" s="127" t="inlineStr">
        <is>
          <t>15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126</v>
      </c>
      <c r="U82" s="9" t="n"/>
    </row>
    <row r="83" ht="12" customFormat="1" customHeight="1" s="37">
      <c r="A83" s="73" t="inlineStr">
        <is>
          <t>호계동 샘우방</t>
        </is>
      </c>
      <c r="B83" s="74" t="inlineStr">
        <is>
          <t>92.12.</t>
        </is>
      </c>
      <c r="C83" s="123" t="n">
        <v>488</v>
      </c>
      <c r="D83" s="124" t="n">
        <v>121.3</v>
      </c>
      <c r="E83" s="125" t="n">
        <v>37</v>
      </c>
      <c r="F83" s="124" t="n">
        <v>102</v>
      </c>
      <c r="G83" s="17" t="n">
        <v>31</v>
      </c>
      <c r="H83" s="126" t="n">
        <v>209</v>
      </c>
      <c r="I83" s="127" t="n">
        <v>115000</v>
      </c>
      <c r="J83" s="127" t="inlineStr">
        <is>
          <t>10</t>
        </is>
      </c>
      <c r="K83" s="127" t="n">
        <v>65000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121</v>
      </c>
      <c r="U83" s="9" t="n"/>
    </row>
    <row r="84" ht="12" customFormat="1" customHeight="1" s="37">
      <c r="A84" s="73" t="inlineStr">
        <is>
          <t>호계동 호계현대홈타운2차</t>
        </is>
      </c>
      <c r="B84" s="74" t="inlineStr">
        <is>
          <t>03.11.</t>
        </is>
      </c>
      <c r="C84" s="123" t="n">
        <v>1977</v>
      </c>
      <c r="D84" s="124" t="n">
        <v>172.2</v>
      </c>
      <c r="E84" s="125" t="n">
        <v>52</v>
      </c>
      <c r="F84" s="124" t="n">
        <v>142.7</v>
      </c>
      <c r="G84" s="17" t="n">
        <v>43</v>
      </c>
      <c r="H84" s="126" t="n">
        <v>108</v>
      </c>
      <c r="I84" s="127" t="n">
        <v>115000</v>
      </c>
      <c r="J84" s="127" t="inlineStr">
        <is>
          <t>16</t>
        </is>
      </c>
      <c r="K84" s="127" t="n">
        <v>65000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172</v>
      </c>
      <c r="U84" s="9" t="n"/>
    </row>
    <row r="85" ht="12" customFormat="1" customHeight="1" s="37">
      <c r="A85" s="73" t="inlineStr">
        <is>
          <t>호계동 샘마을임광</t>
        </is>
      </c>
      <c r="B85" s="74" t="inlineStr">
        <is>
          <t>92.12.</t>
        </is>
      </c>
      <c r="C85" s="123" t="n">
        <v>390</v>
      </c>
      <c r="D85" s="124" t="n">
        <v>138.5</v>
      </c>
      <c r="E85" s="125" t="n">
        <v>42</v>
      </c>
      <c r="F85" s="124" t="n">
        <v>118.9</v>
      </c>
      <c r="G85" s="17" t="n">
        <v>36</v>
      </c>
      <c r="H85" s="126" t="n">
        <v>180</v>
      </c>
      <c r="I85" s="127" t="n">
        <v>115000</v>
      </c>
      <c r="J85" s="127" t="inlineStr">
        <is>
          <t>13</t>
        </is>
      </c>
      <c r="K85" s="127" t="n">
        <v>65000</v>
      </c>
      <c r="L85" s="127" t="inlineStr">
        <is>
          <t>13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138</v>
      </c>
      <c r="U85" s="9" t="n"/>
    </row>
    <row r="86" ht="12" customFormat="1" customHeight="1" s="37">
      <c r="A86" s="73" t="inlineStr">
        <is>
          <t>관양동 동편마을3단지</t>
        </is>
      </c>
      <c r="B86" s="74" t="inlineStr">
        <is>
          <t>12.04.</t>
        </is>
      </c>
      <c r="C86" s="123" t="n">
        <v>1042</v>
      </c>
      <c r="D86" s="124" t="n">
        <v>97.3</v>
      </c>
      <c r="E86" s="125" t="n">
        <v>29</v>
      </c>
      <c r="F86" s="124" t="n">
        <v>74.3</v>
      </c>
      <c r="G86" s="17" t="n">
        <v>22</v>
      </c>
      <c r="H86" s="126" t="n">
        <v>90</v>
      </c>
      <c r="I86" s="127" t="n">
        <v>110000</v>
      </c>
      <c r="J86" s="127" t="inlineStr">
        <is>
          <t>14</t>
        </is>
      </c>
      <c r="K86" s="127" t="n">
        <v>60000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97B</t>
        </is>
      </c>
      <c r="U86" s="9" t="n"/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100.2</v>
      </c>
      <c r="E87" s="125" t="n">
        <v>30</v>
      </c>
      <c r="F87" s="124" t="n">
        <v>76</v>
      </c>
      <c r="G87" s="17" t="n">
        <v>23</v>
      </c>
      <c r="H87" s="126" t="n">
        <v>165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</row>
    <row r="88" ht="12" customFormat="1" customHeight="1" s="37">
      <c r="A88" s="73" t="inlineStr">
        <is>
          <t>비산동 비산e-편한세상</t>
        </is>
      </c>
      <c r="B88" s="74" t="inlineStr">
        <is>
          <t>08.10.</t>
        </is>
      </c>
      <c r="C88" s="123" t="n">
        <v>486</v>
      </c>
      <c r="D88" s="124" t="n">
        <v>151</v>
      </c>
      <c r="E88" s="125" t="n">
        <v>46</v>
      </c>
      <c r="F88" s="124" t="n">
        <v>125.8</v>
      </c>
      <c r="G88" s="17" t="n">
        <v>38</v>
      </c>
      <c r="H88" s="126" t="n">
        <v>88</v>
      </c>
      <c r="I88" s="127" t="n">
        <v>110000</v>
      </c>
      <c r="J88" s="127" t="inlineStr">
        <is>
          <t>8</t>
        </is>
      </c>
      <c r="K88" s="127" t="n">
        <v>60000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150A</t>
        </is>
      </c>
      <c r="U88" s="9" t="n"/>
    </row>
    <row r="89" ht="12" customFormat="1" customHeight="1" s="37">
      <c r="A89" s="73" t="inlineStr">
        <is>
          <t>관양동 한가람한양</t>
        </is>
      </c>
      <c r="B89" s="74" t="inlineStr">
        <is>
          <t>95.05.</t>
        </is>
      </c>
      <c r="C89" s="123" t="n">
        <v>952</v>
      </c>
      <c r="D89" s="124" t="n">
        <v>104.7</v>
      </c>
      <c r="E89" s="125" t="n">
        <v>32</v>
      </c>
      <c r="F89" s="124" t="n">
        <v>84.90000000000001</v>
      </c>
      <c r="G89" s="17" t="n">
        <v>26</v>
      </c>
      <c r="H89" s="126" t="n">
        <v>320</v>
      </c>
      <c r="I89" s="127" t="n">
        <v>95000</v>
      </c>
      <c r="J89" s="127" t="inlineStr">
        <is>
          <t>13</t>
        </is>
      </c>
      <c r="K89" s="127" t="n">
        <v>45000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104</v>
      </c>
      <c r="U89" s="9" t="n"/>
    </row>
    <row r="90" ht="12" customFormat="1" customHeight="1" s="37">
      <c r="A90" s="73" t="inlineStr">
        <is>
          <t>비산동 안양임곡휴먼시아</t>
        </is>
      </c>
      <c r="B90" s="74" t="inlineStr">
        <is>
          <t>07.07.</t>
        </is>
      </c>
      <c r="C90" s="123" t="n">
        <v>492</v>
      </c>
      <c r="D90" s="124" t="n">
        <v>63.7</v>
      </c>
      <c r="E90" s="125" t="n">
        <v>19</v>
      </c>
      <c r="F90" s="124" t="n">
        <v>46.8</v>
      </c>
      <c r="G90" s="17" t="n">
        <v>14</v>
      </c>
      <c r="H90" s="126" t="n">
        <v>57</v>
      </c>
      <c r="I90" s="127" t="n">
        <v>50000</v>
      </c>
      <c r="J90" s="127" t="inlineStr">
        <is>
          <t>13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inlineStr">
        <is>
          <t>63A</t>
        </is>
      </c>
      <c r="U90" s="9" t="n"/>
    </row>
    <row r="91" ht="12" customFormat="1" customHeight="1" s="37">
      <c r="A91" s="73" t="inlineStr">
        <is>
          <t>평촌동 초원6단지한양</t>
        </is>
      </c>
      <c r="B91" s="74" t="inlineStr">
        <is>
          <t>93.11.</t>
        </is>
      </c>
      <c r="C91" s="123" t="n">
        <v>870</v>
      </c>
      <c r="D91" s="124" t="n">
        <v>105.3</v>
      </c>
      <c r="E91" s="125" t="n">
        <v>32</v>
      </c>
      <c r="F91" s="124" t="n">
        <v>84.90000000000001</v>
      </c>
      <c r="G91" s="17" t="n">
        <v>26</v>
      </c>
      <c r="H91" s="126" t="n">
        <v>593</v>
      </c>
      <c r="I91" s="127" t="n">
        <v>92000</v>
      </c>
      <c r="J91" s="127" t="inlineStr">
        <is>
          <t>중</t>
        </is>
      </c>
      <c r="K91" s="127" t="n">
        <v>42400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105</v>
      </c>
      <c r="U91" s="9" t="n"/>
    </row>
    <row r="92" ht="12" customFormat="1" customHeight="1" s="37">
      <c r="A92" s="73" t="inlineStr">
        <is>
          <t>평촌동 꿈건영3단지</t>
        </is>
      </c>
      <c r="B92" s="74" t="inlineStr">
        <is>
          <t>94.04.</t>
        </is>
      </c>
      <c r="C92" s="123" t="n">
        <v>386</v>
      </c>
      <c r="D92" s="124" t="n">
        <v>167.6</v>
      </c>
      <c r="E92" s="125" t="n">
        <v>51</v>
      </c>
      <c r="F92" s="124" t="n">
        <v>145.3</v>
      </c>
      <c r="G92" s="17" t="n">
        <v>44</v>
      </c>
      <c r="H92" s="126" t="n">
        <v>48</v>
      </c>
      <c r="I92" s="127" t="n">
        <v>149000</v>
      </c>
      <c r="J92" s="127" t="inlineStr">
        <is>
          <t>18</t>
        </is>
      </c>
      <c r="K92" s="127" t="n">
        <v>100000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5</v>
      </c>
      <c r="R92" s="114" t="n">
        <v>2</v>
      </c>
      <c r="S92" s="114" t="inlineStr">
        <is>
          <t>계</t>
        </is>
      </c>
      <c r="T92" s="5" t="n">
        <v>167</v>
      </c>
      <c r="U92" s="9" t="n"/>
    </row>
    <row r="93" ht="12" customFormat="1" customHeight="1" s="37">
      <c r="A93" s="73" t="inlineStr">
        <is>
          <t>비산동 평촌자이아이파크</t>
        </is>
      </c>
      <c r="B93" s="74" t="inlineStr">
        <is>
          <t>21.12.</t>
        </is>
      </c>
      <c r="C93" s="123" t="n">
        <v>2531</v>
      </c>
      <c r="D93" s="124" t="n">
        <v>112.6</v>
      </c>
      <c r="E93" s="125" t="n">
        <v>34</v>
      </c>
      <c r="F93" s="124" t="n">
        <v>85</v>
      </c>
      <c r="G93" s="17" t="n">
        <v>26</v>
      </c>
      <c r="H93" s="126" t="n">
        <v>356</v>
      </c>
      <c r="I93" s="127" t="n">
        <v>119000</v>
      </c>
      <c r="J93" s="127" t="inlineStr">
        <is>
          <t>19</t>
        </is>
      </c>
      <c r="K93" s="127" t="n">
        <v>70000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112A</t>
        </is>
      </c>
      <c r="U93" s="9" t="n"/>
    </row>
    <row r="94" ht="12" customFormat="1" customHeight="1" s="37">
      <c r="A94" s="73" t="inlineStr">
        <is>
          <t>호계동 평촌더샵아이파크</t>
        </is>
      </c>
      <c r="B94" s="74" t="inlineStr">
        <is>
          <t>19.03.</t>
        </is>
      </c>
      <c r="C94" s="123" t="n">
        <v>1174</v>
      </c>
      <c r="D94" s="124" t="n">
        <v>100.6</v>
      </c>
      <c r="E94" s="125" t="n">
        <v>30</v>
      </c>
      <c r="F94" s="124" t="n">
        <v>74.90000000000001</v>
      </c>
      <c r="G94" s="17" t="n">
        <v>23</v>
      </c>
      <c r="H94" s="126" t="n">
        <v>205</v>
      </c>
      <c r="I94" s="127" t="n">
        <v>110000</v>
      </c>
      <c r="J94" s="127" t="inlineStr">
        <is>
          <t>12</t>
        </is>
      </c>
      <c r="K94" s="127" t="n">
        <v>61000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100</v>
      </c>
      <c r="U94" s="9" t="n"/>
    </row>
    <row r="95" ht="12" customFormat="1" customHeight="1" s="37">
      <c r="A95" s="73" t="inlineStr">
        <is>
          <t>비산동 은하수(신성)</t>
        </is>
      </c>
      <c r="B95" s="74" t="inlineStr">
        <is>
          <t>92.11.</t>
        </is>
      </c>
      <c r="C95" s="123" t="n">
        <v>508</v>
      </c>
      <c r="D95" s="124" t="n">
        <v>104.6</v>
      </c>
      <c r="E95" s="125" t="n">
        <v>32</v>
      </c>
      <c r="F95" s="124" t="n">
        <v>84.59999999999999</v>
      </c>
      <c r="G95" s="17" t="n">
        <v>26</v>
      </c>
      <c r="H95" s="126" t="n">
        <v>384</v>
      </c>
      <c r="I95" s="127" t="n">
        <v>98000</v>
      </c>
      <c r="J95" s="127" t="inlineStr">
        <is>
          <t>고</t>
        </is>
      </c>
      <c r="K95" s="127" t="n">
        <v>49000</v>
      </c>
      <c r="L95" s="127" t="inlineStr">
        <is>
          <t>9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104</v>
      </c>
      <c r="U95" s="9" t="n"/>
    </row>
    <row r="96" ht="12" customFormat="1" customHeight="1" s="37">
      <c r="A96" s="73" t="inlineStr">
        <is>
          <t>호계동 호계효성</t>
        </is>
      </c>
      <c r="B96" s="74" t="inlineStr">
        <is>
          <t>00.10.</t>
        </is>
      </c>
      <c r="C96" s="123" t="n">
        <v>370</v>
      </c>
      <c r="D96" s="124" t="n">
        <v>84</v>
      </c>
      <c r="E96" s="125" t="n">
        <v>25</v>
      </c>
      <c r="F96" s="124" t="n">
        <v>59.8</v>
      </c>
      <c r="G96" s="17" t="n">
        <v>18</v>
      </c>
      <c r="H96" s="126" t="n">
        <v>102</v>
      </c>
      <c r="I96" s="127" t="n">
        <v>49000</v>
      </c>
      <c r="J96" s="127" t="inlineStr">
        <is>
          <t>10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83</v>
      </c>
      <c r="U96" s="9" t="n"/>
    </row>
    <row r="97" ht="12" customFormat="1" customHeight="1" s="37">
      <c r="A97" s="73" t="inlineStr">
        <is>
          <t>호계동 샘쌍용</t>
        </is>
      </c>
      <c r="B97" s="74" t="inlineStr">
        <is>
          <t>92.09.</t>
        </is>
      </c>
      <c r="C97" s="123" t="n">
        <v>384</v>
      </c>
      <c r="D97" s="124" t="n">
        <v>158.2</v>
      </c>
      <c r="E97" s="125" t="n">
        <v>48</v>
      </c>
      <c r="F97" s="124" t="n">
        <v>132.6</v>
      </c>
      <c r="G97" s="17" t="n">
        <v>40</v>
      </c>
      <c r="H97" s="126" t="n">
        <v>256</v>
      </c>
      <c r="I97" s="127" t="n">
        <v>118000</v>
      </c>
      <c r="J97" s="127" t="inlineStr">
        <is>
          <t>14</t>
        </is>
      </c>
      <c r="K97" s="127" t="n">
        <v>70000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158</v>
      </c>
      <c r="U97" s="9" t="n"/>
    </row>
    <row r="98" ht="12" customFormat="1" customHeight="1" s="37">
      <c r="A98" s="73" t="inlineStr">
        <is>
          <t>비산동 한양수자인평촌리버뷰</t>
        </is>
      </c>
      <c r="B98" s="74" t="inlineStr">
        <is>
          <t>21.11.</t>
        </is>
      </c>
      <c r="C98" s="123" t="n">
        <v>304</v>
      </c>
      <c r="D98" s="124" t="n">
        <v>83</v>
      </c>
      <c r="E98" s="125" t="n">
        <v>25</v>
      </c>
      <c r="F98" s="124" t="n">
        <v>60</v>
      </c>
      <c r="G98" s="17" t="n">
        <v>18</v>
      </c>
      <c r="H98" s="126" t="n">
        <v>76</v>
      </c>
      <c r="I98" s="127" t="n">
        <v>100000</v>
      </c>
      <c r="J98" s="127" t="inlineStr">
        <is>
          <t>고</t>
        </is>
      </c>
      <c r="K98" s="127" t="n">
        <v>52000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82A</t>
        </is>
      </c>
      <c r="U98" s="9" t="n"/>
    </row>
    <row r="99" ht="12" customFormat="1" customHeight="1" s="37">
      <c r="A99" s="73" t="inlineStr">
        <is>
          <t>비산동 샛별한양2단지</t>
        </is>
      </c>
      <c r="B99" s="74" t="inlineStr">
        <is>
          <t>93.04.</t>
        </is>
      </c>
      <c r="C99" s="123" t="n">
        <v>844</v>
      </c>
      <c r="D99" s="124" t="n">
        <v>103.5</v>
      </c>
      <c r="E99" s="125" t="n">
        <v>31</v>
      </c>
      <c r="F99" s="124" t="n">
        <v>84.90000000000001</v>
      </c>
      <c r="G99" s="17" t="n">
        <v>26</v>
      </c>
      <c r="H99" s="126" t="n">
        <v>244</v>
      </c>
      <c r="I99" s="127" t="n">
        <v>95000</v>
      </c>
      <c r="J99" s="127" t="inlineStr">
        <is>
          <t>7</t>
        </is>
      </c>
      <c r="K99" s="127" t="n">
        <v>47000</v>
      </c>
      <c r="L99" s="127" t="inlineStr">
        <is>
          <t>21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</row>
    <row r="100" ht="12" customFormat="1" customHeight="1" s="37">
      <c r="A100" s="73" t="inlineStr">
        <is>
          <t>호계동 목련5단지</t>
        </is>
      </c>
      <c r="B100" s="74" t="inlineStr">
        <is>
          <t>93.03.</t>
        </is>
      </c>
      <c r="C100" s="123" t="n">
        <v>683</v>
      </c>
      <c r="D100" s="124" t="n">
        <v>78.59999999999999</v>
      </c>
      <c r="E100" s="125" t="n">
        <v>24</v>
      </c>
      <c r="F100" s="124" t="n">
        <v>60</v>
      </c>
      <c r="G100" s="17" t="n">
        <v>18</v>
      </c>
      <c r="H100" s="126" t="n">
        <v>80</v>
      </c>
      <c r="I100" s="127" t="n">
        <v>83000</v>
      </c>
      <c r="J100" s="127" t="inlineStr">
        <is>
          <t>11</t>
        </is>
      </c>
      <c r="K100" s="127" t="n">
        <v>35000</v>
      </c>
      <c r="L100" s="127" t="inlineStr">
        <is>
          <t>20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복</t>
        </is>
      </c>
      <c r="T100" s="5" t="n">
        <v>78</v>
      </c>
      <c r="U100" s="9" t="n"/>
    </row>
    <row r="101" ht="12" customFormat="1" customHeight="1" s="37">
      <c r="A101" s="73" t="inlineStr">
        <is>
          <t>비산동 비산삼성래미안</t>
        </is>
      </c>
      <c r="B101" s="74" t="inlineStr">
        <is>
          <t>03.12.</t>
        </is>
      </c>
      <c r="C101" s="123" t="n">
        <v>3806</v>
      </c>
      <c r="D101" s="124" t="n">
        <v>194.1</v>
      </c>
      <c r="E101" s="125" t="n">
        <v>59</v>
      </c>
      <c r="F101" s="124" t="n">
        <v>164.4</v>
      </c>
      <c r="G101" s="17" t="n">
        <v>50</v>
      </c>
      <c r="H101" s="126" t="n">
        <v>142</v>
      </c>
      <c r="I101" s="127" t="n">
        <v>120000</v>
      </c>
      <c r="J101" s="127" t="inlineStr">
        <is>
          <t>고</t>
        </is>
      </c>
      <c r="K101" s="127" t="n">
        <v>75000</v>
      </c>
      <c r="L101" s="127" t="inlineStr">
        <is>
          <t>19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5</v>
      </c>
      <c r="R101" s="114" t="n">
        <v>2</v>
      </c>
      <c r="S101" s="114" t="inlineStr">
        <is>
          <t>계</t>
        </is>
      </c>
      <c r="T101" s="5" t="n">
        <v>194</v>
      </c>
      <c r="U101" s="9" t="n"/>
    </row>
    <row r="102" ht="12" customFormat="1" customHeight="1" s="37">
      <c r="A102" s="73" t="inlineStr">
        <is>
          <t>호계동 샘대우한양</t>
        </is>
      </c>
      <c r="B102" s="74" t="inlineStr">
        <is>
          <t>93.11.</t>
        </is>
      </c>
      <c r="C102" s="123" t="n">
        <v>1072</v>
      </c>
      <c r="D102" s="124" t="n">
        <v>123.7</v>
      </c>
      <c r="E102" s="125" t="n">
        <v>37</v>
      </c>
      <c r="F102" s="124" t="n">
        <v>101.9</v>
      </c>
      <c r="G102" s="17" t="n">
        <v>31</v>
      </c>
      <c r="H102" s="126" t="n">
        <v>210</v>
      </c>
      <c r="I102" s="127" t="n">
        <v>110000</v>
      </c>
      <c r="J102" s="127" t="inlineStr">
        <is>
          <t>13</t>
        </is>
      </c>
      <c r="K102" s="127" t="n">
        <v>65000</v>
      </c>
      <c r="L102" s="127" t="inlineStr">
        <is>
          <t>12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123A</t>
        </is>
      </c>
      <c r="U102" s="9" t="n"/>
    </row>
    <row r="103" ht="12" customFormat="1" customHeight="1" s="37">
      <c r="A103" s="73" t="inlineStr">
        <is>
          <t>평촌동 초원2단지대림</t>
        </is>
      </c>
      <c r="B103" s="74" t="inlineStr">
        <is>
          <t>93.11.</t>
        </is>
      </c>
      <c r="C103" s="123" t="n">
        <v>1035</v>
      </c>
      <c r="D103" s="124" t="n">
        <v>106.8</v>
      </c>
      <c r="E103" s="125" t="n">
        <v>32</v>
      </c>
      <c r="F103" s="124" t="n">
        <v>84.90000000000001</v>
      </c>
      <c r="G103" s="17" t="n">
        <v>26</v>
      </c>
      <c r="H103" s="126" t="n">
        <v>691</v>
      </c>
      <c r="I103" s="127" t="n">
        <v>105000</v>
      </c>
      <c r="J103" s="127" t="inlineStr">
        <is>
          <t>7</t>
        </is>
      </c>
      <c r="K103" s="127" t="n">
        <v>60000</v>
      </c>
      <c r="L103" s="127" t="inlineStr">
        <is>
          <t>15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106</v>
      </c>
      <c r="U103" s="9" t="n"/>
    </row>
    <row r="104" ht="12" customFormat="1" customHeight="1" s="37">
      <c r="A104" s="73" t="inlineStr">
        <is>
          <t>관양동 한가람두산</t>
        </is>
      </c>
      <c r="B104" s="74" t="inlineStr">
        <is>
          <t>92.11.</t>
        </is>
      </c>
      <c r="C104" s="123" t="n">
        <v>436</v>
      </c>
      <c r="D104" s="124" t="n">
        <v>104.8</v>
      </c>
      <c r="E104" s="125" t="n">
        <v>32</v>
      </c>
      <c r="F104" s="124" t="n">
        <v>84.8</v>
      </c>
      <c r="G104" s="17" t="n">
        <v>26</v>
      </c>
      <c r="H104" s="126" t="n">
        <v>268</v>
      </c>
      <c r="I104" s="127" t="n">
        <v>95000</v>
      </c>
      <c r="J104" s="127" t="inlineStr">
        <is>
          <t>6</t>
        </is>
      </c>
      <c r="K104" s="127" t="n">
        <v>50000</v>
      </c>
      <c r="L104" s="127" t="inlineStr">
        <is>
          <t>10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104</v>
      </c>
      <c r="U104" s="9" t="n"/>
    </row>
    <row r="105" ht="12" customFormat="1" customHeight="1" s="37">
      <c r="A105" s="73" t="inlineStr">
        <is>
          <t>관양동 인덕원마을삼성</t>
        </is>
      </c>
      <c r="B105" s="74" t="inlineStr">
        <is>
          <t>98.12.</t>
        </is>
      </c>
      <c r="C105" s="123" t="n">
        <v>1314</v>
      </c>
      <c r="D105" s="124" t="n">
        <v>79.40000000000001</v>
      </c>
      <c r="E105" s="125" t="n">
        <v>24</v>
      </c>
      <c r="F105" s="124" t="n">
        <v>59.8</v>
      </c>
      <c r="G105" s="17" t="n">
        <v>18</v>
      </c>
      <c r="H105" s="126" t="n">
        <v>470</v>
      </c>
      <c r="I105" s="127" t="n">
        <v>87000</v>
      </c>
      <c r="J105" s="127" t="inlineStr">
        <is>
          <t>13</t>
        </is>
      </c>
      <c r="K105" s="127" t="n">
        <v>42000</v>
      </c>
      <c r="L105" s="127" t="inlineStr">
        <is>
          <t>23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계</t>
        </is>
      </c>
      <c r="T105" s="5" t="inlineStr">
        <is>
          <t>79A</t>
        </is>
      </c>
      <c r="U105" s="9" t="n"/>
    </row>
    <row r="106" ht="12" customFormat="1" customHeight="1" s="37">
      <c r="A106" s="73" t="inlineStr">
        <is>
          <t>호계동 금정역호계푸르지오</t>
        </is>
      </c>
      <c r="B106" s="74" t="inlineStr">
        <is>
          <t>15.08.</t>
        </is>
      </c>
      <c r="C106" s="123" t="n">
        <v>410</v>
      </c>
      <c r="D106" s="124" t="n">
        <v>108.3</v>
      </c>
      <c r="E106" s="125" t="n">
        <v>33</v>
      </c>
      <c r="F106" s="124" t="n">
        <v>84.90000000000001</v>
      </c>
      <c r="G106" s="17" t="n">
        <v>26</v>
      </c>
      <c r="H106" s="126" t="n">
        <v>105</v>
      </c>
      <c r="I106" s="127" t="n">
        <v>98000</v>
      </c>
      <c r="J106" s="127" t="inlineStr">
        <is>
          <t>중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108</v>
      </c>
      <c r="U106" s="9" t="n"/>
    </row>
    <row r="107" ht="12" customFormat="1" customHeight="1" s="37">
      <c r="A107" s="73" t="inlineStr">
        <is>
          <t>호계동 샘대우한양</t>
        </is>
      </c>
      <c r="B107" s="74" t="inlineStr">
        <is>
          <t>93.11.</t>
        </is>
      </c>
      <c r="C107" s="123" t="n">
        <v>1072</v>
      </c>
      <c r="D107" s="124" t="n">
        <v>109</v>
      </c>
      <c r="E107" s="125" t="n">
        <v>33</v>
      </c>
      <c r="F107" s="124" t="n">
        <v>88.8</v>
      </c>
      <c r="G107" s="17" t="n">
        <v>27</v>
      </c>
      <c r="H107" s="126" t="n">
        <v>96</v>
      </c>
      <c r="I107" s="127" t="n">
        <v>98000</v>
      </c>
      <c r="J107" s="127" t="inlineStr">
        <is>
          <t>9</t>
        </is>
      </c>
      <c r="K107" s="127" t="n">
        <v>55000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109B</t>
        </is>
      </c>
      <c r="U107" s="9" t="n"/>
    </row>
    <row r="108" ht="12" customFormat="1" customHeight="1" s="37">
      <c r="A108" s="73" t="inlineStr">
        <is>
          <t>평촌동 초원5단지LG</t>
        </is>
      </c>
      <c r="B108" s="74" t="inlineStr">
        <is>
          <t>93.10.</t>
        </is>
      </c>
      <c r="C108" s="123" t="n">
        <v>656</v>
      </c>
      <c r="D108" s="124" t="n">
        <v>77.5</v>
      </c>
      <c r="E108" s="125" t="n">
        <v>23</v>
      </c>
      <c r="F108" s="124" t="n">
        <v>59.8</v>
      </c>
      <c r="G108" s="17" t="n">
        <v>18</v>
      </c>
      <c r="H108" s="126" t="n">
        <v>210</v>
      </c>
      <c r="I108" s="127" t="n">
        <v>81000</v>
      </c>
      <c r="J108" s="127" t="inlineStr">
        <is>
          <t>고</t>
        </is>
      </c>
      <c r="K108" s="127" t="n">
        <v>38000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77</v>
      </c>
      <c r="U108" s="9" t="n"/>
    </row>
    <row r="109" ht="12" customFormat="1" customHeight="1" s="37">
      <c r="A109" s="73" t="inlineStr">
        <is>
          <t>호계동 호계럭키</t>
        </is>
      </c>
      <c r="B109" s="74" t="inlineStr">
        <is>
          <t>92.12.</t>
        </is>
      </c>
      <c r="C109" s="123" t="n">
        <v>794</v>
      </c>
      <c r="D109" s="124" t="n">
        <v>100.9</v>
      </c>
      <c r="E109" s="125" t="n">
        <v>31</v>
      </c>
      <c r="F109" s="124" t="n">
        <v>84.8</v>
      </c>
      <c r="G109" s="17" t="n">
        <v>26</v>
      </c>
      <c r="H109" s="126" t="n">
        <v>450</v>
      </c>
      <c r="I109" s="127" t="n">
        <v>80000</v>
      </c>
      <c r="J109" s="127" t="inlineStr">
        <is>
          <t>12</t>
        </is>
      </c>
      <c r="K109" s="127" t="n">
        <v>38000</v>
      </c>
      <c r="L109" s="127" t="inlineStr">
        <is>
          <t>15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100A</t>
        </is>
      </c>
      <c r="U109" s="9" t="n"/>
    </row>
    <row r="110" ht="12" customFormat="1" customHeight="1" s="37">
      <c r="A110" s="73" t="inlineStr">
        <is>
          <t>호계동 평촌더샵아이파크</t>
        </is>
      </c>
      <c r="B110" s="74" t="inlineStr">
        <is>
          <t>19.03.</t>
        </is>
      </c>
      <c r="C110" s="123" t="n">
        <v>1174</v>
      </c>
      <c r="D110" s="124" t="n">
        <v>82.2</v>
      </c>
      <c r="E110" s="125" t="n">
        <v>25</v>
      </c>
      <c r="F110" s="124" t="n">
        <v>59.9</v>
      </c>
      <c r="G110" s="17" t="n">
        <v>18</v>
      </c>
      <c r="H110" s="126" t="n">
        <v>310</v>
      </c>
      <c r="I110" s="127" t="n">
        <v>91000</v>
      </c>
      <c r="J110" s="127" t="inlineStr">
        <is>
          <t>8</t>
        </is>
      </c>
      <c r="K110" s="127" t="n">
        <v>50000</v>
      </c>
      <c r="L110" s="127" t="inlineStr">
        <is>
          <t>19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82A</t>
        </is>
      </c>
      <c r="U110" s="9" t="n"/>
    </row>
    <row r="111" ht="12" customFormat="1" customHeight="1" s="37">
      <c r="A111" s="73" t="inlineStr">
        <is>
          <t>비산동 은하수(벽산)</t>
        </is>
      </c>
      <c r="B111" s="74" t="inlineStr">
        <is>
          <t>92.05.</t>
        </is>
      </c>
      <c r="C111" s="123" t="n">
        <v>620</v>
      </c>
      <c r="D111" s="124" t="n">
        <v>74.3</v>
      </c>
      <c r="E111" s="125" t="n">
        <v>22</v>
      </c>
      <c r="F111" s="124" t="n">
        <v>59.4</v>
      </c>
      <c r="G111" s="17" t="n">
        <v>18</v>
      </c>
      <c r="H111" s="126" t="n">
        <v>68</v>
      </c>
      <c r="I111" s="127" t="n">
        <v>78000</v>
      </c>
      <c r="J111" s="127" t="inlineStr">
        <is>
          <t>8</t>
        </is>
      </c>
      <c r="K111" s="127" t="n">
        <v>37000</v>
      </c>
      <c r="L111" s="127" t="inlineStr">
        <is>
          <t>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74</v>
      </c>
      <c r="U111" s="9" t="n"/>
    </row>
    <row r="112" ht="12" customFormat="1" customHeight="1" s="37">
      <c r="A112" s="73" t="inlineStr">
        <is>
          <t>호계동 목련3단지</t>
        </is>
      </c>
      <c r="B112" s="74" t="inlineStr">
        <is>
          <t>92.07.</t>
        </is>
      </c>
      <c r="C112" s="123" t="n">
        <v>902</v>
      </c>
      <c r="D112" s="124" t="n">
        <v>56.2</v>
      </c>
      <c r="E112" s="125" t="n">
        <v>17</v>
      </c>
      <c r="F112" s="124" t="n">
        <v>41.6</v>
      </c>
      <c r="G112" s="17" t="n">
        <v>13</v>
      </c>
      <c r="H112" s="126" t="n">
        <v>98</v>
      </c>
      <c r="I112" s="127" t="n">
        <v>68000</v>
      </c>
      <c r="J112" s="127" t="inlineStr">
        <is>
          <t>11</t>
        </is>
      </c>
      <c r="K112" s="127" t="n">
        <v>27000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56</v>
      </c>
      <c r="U112" s="9" t="n"/>
    </row>
    <row r="113" ht="12" customFormat="1" customHeight="1" s="37">
      <c r="A113" s="73" t="inlineStr">
        <is>
          <t>호계동 샘대우한양</t>
        </is>
      </c>
      <c r="B113" s="74" t="inlineStr">
        <is>
          <t>93.11.</t>
        </is>
      </c>
      <c r="C113" s="123" t="n">
        <v>1072</v>
      </c>
      <c r="D113" s="124" t="n">
        <v>162.5</v>
      </c>
      <c r="E113" s="125" t="n">
        <v>49</v>
      </c>
      <c r="F113" s="124" t="n">
        <v>134.6</v>
      </c>
      <c r="G113" s="17" t="n">
        <v>41</v>
      </c>
      <c r="H113" s="126" t="n">
        <v>136</v>
      </c>
      <c r="I113" s="127" t="n">
        <v>110000</v>
      </c>
      <c r="J113" s="127" t="inlineStr">
        <is>
          <t>고</t>
        </is>
      </c>
      <c r="K113" s="127" t="n">
        <v>70000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162B</t>
        </is>
      </c>
      <c r="U113" s="9" t="n"/>
    </row>
    <row r="114" ht="12" customFormat="1" customHeight="1" s="37">
      <c r="A114" s="73" t="inlineStr">
        <is>
          <t>호계동 샘쌍용</t>
        </is>
      </c>
      <c r="B114" s="74" t="inlineStr">
        <is>
          <t>92.09.</t>
        </is>
      </c>
      <c r="C114" s="123" t="n">
        <v>384</v>
      </c>
      <c r="D114" s="124" t="n">
        <v>122.9</v>
      </c>
      <c r="E114" s="125" t="n">
        <v>37</v>
      </c>
      <c r="F114" s="124" t="n">
        <v>101.9</v>
      </c>
      <c r="G114" s="17" t="n">
        <v>31</v>
      </c>
      <c r="H114" s="126" t="n">
        <v>120</v>
      </c>
      <c r="I114" s="127" t="n">
        <v>110000</v>
      </c>
      <c r="J114" s="127" t="inlineStr">
        <is>
          <t>고</t>
        </is>
      </c>
      <c r="K114" s="127" t="n">
        <v>70000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122</v>
      </c>
      <c r="U114" s="9" t="n"/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159.7</v>
      </c>
      <c r="E115" s="125" t="n">
        <v>48</v>
      </c>
      <c r="F115" s="124" t="n">
        <v>132.8</v>
      </c>
      <c r="G115" s="17" t="n">
        <v>40</v>
      </c>
      <c r="H115" s="126" t="n">
        <v>108</v>
      </c>
      <c r="I115" s="127" t="n">
        <v>105000</v>
      </c>
      <c r="J115" s="127" t="inlineStr">
        <is>
          <t>26</t>
        </is>
      </c>
      <c r="K115" s="127" t="n">
        <v>65000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159</v>
      </c>
      <c r="U115" s="9" t="n"/>
    </row>
    <row r="116" ht="12" customFormat="1" customHeight="1" s="37">
      <c r="A116" s="73" t="inlineStr">
        <is>
          <t>관양동 평촌더샵센트럴시티</t>
        </is>
      </c>
      <c r="B116" s="74" t="inlineStr">
        <is>
          <t>16.06.</t>
        </is>
      </c>
      <c r="C116" s="123" t="n">
        <v>1459</v>
      </c>
      <c r="D116" s="124" t="n">
        <v>81.5</v>
      </c>
      <c r="E116" s="125" t="n">
        <v>25</v>
      </c>
      <c r="F116" s="124" t="n">
        <v>60</v>
      </c>
      <c r="G116" s="17" t="n">
        <v>18</v>
      </c>
      <c r="H116" s="126" t="n">
        <v>218</v>
      </c>
      <c r="I116" s="127" t="n">
        <v>103000</v>
      </c>
      <c r="J116" s="127" t="inlineStr">
        <is>
          <t>8</t>
        </is>
      </c>
      <c r="K116" s="127" t="n">
        <v>63000</v>
      </c>
      <c r="L116" s="127" t="inlineStr">
        <is>
          <t>22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81B</t>
        </is>
      </c>
      <c r="U116" s="9" t="n"/>
    </row>
    <row r="117" ht="12" customFormat="1" customHeight="1" s="37">
      <c r="A117" s="73" t="inlineStr">
        <is>
          <t>호계동 호계현대홈타운2차</t>
        </is>
      </c>
      <c r="B117" s="74" t="inlineStr">
        <is>
          <t>03.11.</t>
        </is>
      </c>
      <c r="C117" s="123" t="n">
        <v>1977</v>
      </c>
      <c r="D117" s="124" t="n">
        <v>144.8</v>
      </c>
      <c r="E117" s="125" t="n">
        <v>44</v>
      </c>
      <c r="F117" s="124" t="n">
        <v>115.1</v>
      </c>
      <c r="G117" s="17" t="n">
        <v>35</v>
      </c>
      <c r="H117" s="126" t="n">
        <v>303</v>
      </c>
      <c r="I117" s="127" t="n">
        <v>100000</v>
      </c>
      <c r="J117" s="127" t="inlineStr">
        <is>
          <t>중</t>
        </is>
      </c>
      <c r="K117" s="127" t="n">
        <v>60000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144</v>
      </c>
      <c r="U117" s="9" t="n"/>
    </row>
    <row r="118" ht="12" customFormat="1" customHeight="1" s="37">
      <c r="A118" s="73" t="inlineStr">
        <is>
          <t>비산동 은하수(청구)</t>
        </is>
      </c>
      <c r="B118" s="74" t="inlineStr">
        <is>
          <t>92.06.</t>
        </is>
      </c>
      <c r="C118" s="123" t="n">
        <v>502</v>
      </c>
      <c r="D118" s="124" t="n">
        <v>89.7</v>
      </c>
      <c r="E118" s="125" t="n">
        <v>27</v>
      </c>
      <c r="F118" s="124" t="n">
        <v>64.7</v>
      </c>
      <c r="G118" s="17" t="n">
        <v>20</v>
      </c>
      <c r="H118" s="126" t="n">
        <v>46</v>
      </c>
      <c r="I118" s="127" t="n">
        <v>90000</v>
      </c>
      <c r="J118" s="127" t="inlineStr">
        <is>
          <t>고</t>
        </is>
      </c>
      <c r="K118" s="127" t="n">
        <v>50000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89</v>
      </c>
      <c r="U118" s="9" t="n"/>
    </row>
    <row r="119" ht="12" customFormat="1" customHeight="1" s="37">
      <c r="A119" s="73" t="inlineStr">
        <is>
          <t>비산동 관악(부영)</t>
        </is>
      </c>
      <c r="B119" s="74" t="inlineStr">
        <is>
          <t>93.10.</t>
        </is>
      </c>
      <c r="C119" s="123" t="n">
        <v>796</v>
      </c>
      <c r="D119" s="124" t="n">
        <v>103.9</v>
      </c>
      <c r="E119" s="125" t="n">
        <v>31</v>
      </c>
      <c r="F119" s="124" t="n">
        <v>84.59999999999999</v>
      </c>
      <c r="G119" s="17" t="n">
        <v>26</v>
      </c>
      <c r="H119" s="126" t="n">
        <v>532</v>
      </c>
      <c r="I119" s="127" t="n">
        <v>86000</v>
      </c>
      <c r="J119" s="127" t="inlineStr">
        <is>
          <t>중</t>
        </is>
      </c>
      <c r="K119" s="127" t="n">
        <v>46000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103</v>
      </c>
      <c r="U119" s="9" t="n"/>
    </row>
    <row r="120" ht="12" customFormat="1" customHeight="1" s="37">
      <c r="A120" s="73" t="inlineStr">
        <is>
          <t>비산동 은하수(신성)</t>
        </is>
      </c>
      <c r="B120" s="74" t="inlineStr">
        <is>
          <t>92.11.</t>
        </is>
      </c>
      <c r="C120" s="123" t="n">
        <v>508</v>
      </c>
      <c r="D120" s="124" t="n">
        <v>74.09999999999999</v>
      </c>
      <c r="E120" s="125" t="n">
        <v>22</v>
      </c>
      <c r="F120" s="124" t="n">
        <v>59.9</v>
      </c>
      <c r="G120" s="17" t="n">
        <v>18</v>
      </c>
      <c r="H120" s="126" t="n">
        <v>124</v>
      </c>
      <c r="I120" s="127" t="n">
        <v>85000</v>
      </c>
      <c r="J120" s="127" t="inlineStr">
        <is>
          <t>18</t>
        </is>
      </c>
      <c r="K120" s="127" t="n">
        <v>45000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n">
        <v>74</v>
      </c>
      <c r="U120" s="9" t="n"/>
    </row>
    <row r="121" ht="12" customFormat="1" customHeight="1" s="37">
      <c r="A121" s="73" t="inlineStr">
        <is>
          <t>평촌동 초원7단지부영</t>
        </is>
      </c>
      <c r="B121" s="74" t="inlineStr">
        <is>
          <t>92.10.</t>
        </is>
      </c>
      <c r="C121" s="123" t="n">
        <v>1743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450</v>
      </c>
      <c r="I121" s="127" t="n">
        <v>82000</v>
      </c>
      <c r="J121" s="127" t="inlineStr">
        <is>
          <t>5</t>
        </is>
      </c>
      <c r="K121" s="127" t="n">
        <v>42000</v>
      </c>
      <c r="L121" s="127" t="inlineStr">
        <is>
          <t>13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복</t>
        </is>
      </c>
      <c r="T121" s="5" t="n">
        <v>81</v>
      </c>
      <c r="U121" s="9" t="n"/>
    </row>
    <row r="122" ht="12" customFormat="1" customHeight="1" s="37">
      <c r="A122" s="73" t="inlineStr">
        <is>
          <t>관양동 공작성일</t>
        </is>
      </c>
      <c r="B122" s="74" t="inlineStr">
        <is>
          <t>93.02.</t>
        </is>
      </c>
      <c r="C122" s="123" t="n">
        <v>750</v>
      </c>
      <c r="D122" s="124" t="n">
        <v>76.8</v>
      </c>
      <c r="E122" s="125" t="n">
        <v>23</v>
      </c>
      <c r="F122" s="124" t="n">
        <v>59.6</v>
      </c>
      <c r="G122" s="17" t="n">
        <v>18</v>
      </c>
      <c r="H122" s="126" t="n">
        <v>200</v>
      </c>
      <c r="I122" s="127" t="n">
        <v>80000</v>
      </c>
      <c r="J122" s="127" t="inlineStr">
        <is>
          <t>고</t>
        </is>
      </c>
      <c r="K122" s="127" t="n">
        <v>40000</v>
      </c>
      <c r="L122" s="127" t="inlineStr">
        <is>
          <t>11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</row>
    <row r="123" ht="12" customFormat="1" customHeight="1" s="37">
      <c r="A123" s="73" t="inlineStr">
        <is>
          <t>호계동 목련3단지</t>
        </is>
      </c>
      <c r="B123" s="74" t="inlineStr">
        <is>
          <t>92.07.</t>
        </is>
      </c>
      <c r="C123" s="123" t="n">
        <v>902</v>
      </c>
      <c r="D123" s="124" t="n">
        <v>74.8</v>
      </c>
      <c r="E123" s="125" t="n">
        <v>23</v>
      </c>
      <c r="F123" s="124" t="n">
        <v>56.7</v>
      </c>
      <c r="G123" s="17" t="n">
        <v>17</v>
      </c>
      <c r="H123" s="126" t="n">
        <v>270</v>
      </c>
      <c r="I123" s="127" t="n">
        <v>75000</v>
      </c>
      <c r="J123" s="127" t="inlineStr">
        <is>
          <t>15</t>
        </is>
      </c>
      <c r="K123" s="127" t="n">
        <v>35000</v>
      </c>
      <c r="L123" s="127" t="inlineStr">
        <is>
          <t>17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74A</t>
        </is>
      </c>
      <c r="U123" s="9" t="n"/>
    </row>
    <row r="124" ht="12" customFormat="1" customHeight="1" s="37">
      <c r="A124" s="73" t="inlineStr">
        <is>
          <t>호계동 목련3단지</t>
        </is>
      </c>
      <c r="B124" s="74" t="inlineStr">
        <is>
          <t>92.07.</t>
        </is>
      </c>
      <c r="C124" s="123" t="n">
        <v>902</v>
      </c>
      <c r="D124" s="124" t="n">
        <v>68.40000000000001</v>
      </c>
      <c r="E124" s="125" t="n">
        <v>21</v>
      </c>
      <c r="F124" s="124" t="n">
        <v>50.7</v>
      </c>
      <c r="G124" s="17" t="n">
        <v>15</v>
      </c>
      <c r="H124" s="126" t="n">
        <v>294</v>
      </c>
      <c r="I124" s="127" t="n">
        <v>68000</v>
      </c>
      <c r="J124" s="127" t="inlineStr">
        <is>
          <t>13</t>
        </is>
      </c>
      <c r="K124" s="127" t="n">
        <v>28000</v>
      </c>
      <c r="L124" s="127" t="inlineStr">
        <is>
          <t>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n">
        <v>68</v>
      </c>
      <c r="U124" s="9" t="n"/>
    </row>
    <row r="125" ht="12" customFormat="1" customHeight="1" s="37">
      <c r="A125" s="73" t="inlineStr">
        <is>
          <t>평촌동 초원5단지LG</t>
        </is>
      </c>
      <c r="B125" s="74" t="inlineStr">
        <is>
          <t>93.10.</t>
        </is>
      </c>
      <c r="C125" s="123" t="n">
        <v>656</v>
      </c>
      <c r="D125" s="124" t="n">
        <v>106.3</v>
      </c>
      <c r="E125" s="125" t="n">
        <v>32</v>
      </c>
      <c r="F125" s="124" t="n">
        <v>84.90000000000001</v>
      </c>
      <c r="G125" s="17" t="n">
        <v>26</v>
      </c>
      <c r="H125" s="126" t="n">
        <v>446</v>
      </c>
      <c r="I125" s="127" t="n">
        <v>95000</v>
      </c>
      <c r="J125" s="127" t="inlineStr">
        <is>
          <t>고</t>
        </is>
      </c>
      <c r="K125" s="127" t="n">
        <v>56000</v>
      </c>
      <c r="L125" s="127" t="inlineStr">
        <is>
          <t>11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106</v>
      </c>
      <c r="U125" s="9" t="n"/>
    </row>
    <row r="126" ht="12" customFormat="1" customHeight="1" s="37">
      <c r="A126" s="73" t="inlineStr">
        <is>
          <t>평촌동 귀인마을현대홈타운</t>
        </is>
      </c>
      <c r="B126" s="74" t="inlineStr">
        <is>
          <t>02.06.</t>
        </is>
      </c>
      <c r="C126" s="123" t="n">
        <v>967</v>
      </c>
      <c r="D126" s="124" t="n">
        <v>109.1</v>
      </c>
      <c r="E126" s="125" t="n">
        <v>33</v>
      </c>
      <c r="F126" s="124" t="n">
        <v>80.40000000000001</v>
      </c>
      <c r="G126" s="17" t="n">
        <v>24</v>
      </c>
      <c r="H126" s="126" t="n">
        <v>760</v>
      </c>
      <c r="I126" s="127" t="n">
        <v>118000</v>
      </c>
      <c r="J126" s="127" t="inlineStr">
        <is>
          <t>5</t>
        </is>
      </c>
      <c r="K126" s="127" t="n">
        <v>80000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109</v>
      </c>
      <c r="U126" s="9" t="n"/>
    </row>
    <row r="127" ht="12" customFormat="1" customHeight="1" s="37">
      <c r="A127" s="73" t="inlineStr">
        <is>
          <t>호계동 무궁화금호</t>
        </is>
      </c>
      <c r="B127" s="74" t="inlineStr">
        <is>
          <t>92.08.</t>
        </is>
      </c>
      <c r="C127" s="123" t="n">
        <v>438</v>
      </c>
      <c r="D127" s="124" t="n">
        <v>103.1</v>
      </c>
      <c r="E127" s="125" t="n">
        <v>31</v>
      </c>
      <c r="F127" s="124" t="n">
        <v>84.90000000000001</v>
      </c>
      <c r="G127" s="17" t="n">
        <v>26</v>
      </c>
      <c r="H127" s="126" t="n">
        <v>288</v>
      </c>
      <c r="I127" s="127" t="n">
        <v>98000</v>
      </c>
      <c r="J127" s="127" t="inlineStr">
        <is>
          <t>8</t>
        </is>
      </c>
      <c r="K127" s="127" t="n">
        <v>60000</v>
      </c>
      <c r="L127" s="127" t="inlineStr">
        <is>
          <t>8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103</v>
      </c>
      <c r="U127" s="9" t="n"/>
    </row>
    <row r="128" ht="12" customFormat="1" customHeight="1" s="37">
      <c r="A128" s="73" t="inlineStr">
        <is>
          <t>비산동 관악(동성,현대,청구)</t>
        </is>
      </c>
      <c r="B128" s="74" t="inlineStr">
        <is>
          <t>92.11.</t>
        </is>
      </c>
      <c r="C128" s="123" t="n">
        <v>1800</v>
      </c>
      <c r="D128" s="124" t="n">
        <v>105.7</v>
      </c>
      <c r="E128" s="125" t="n">
        <v>32</v>
      </c>
      <c r="F128" s="124" t="n">
        <v>84.90000000000001</v>
      </c>
      <c r="G128" s="17" t="n">
        <v>26</v>
      </c>
      <c r="H128" s="126" t="n">
        <v>948</v>
      </c>
      <c r="I128" s="127" t="n">
        <v>83000</v>
      </c>
      <c r="J128" s="127" t="inlineStr">
        <is>
          <t>중</t>
        </is>
      </c>
      <c r="K128" s="127" t="n">
        <v>45000</v>
      </c>
      <c r="L128" s="127" t="inlineStr">
        <is>
          <t>14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105C</t>
        </is>
      </c>
      <c r="U128" s="9" t="n"/>
    </row>
    <row r="129" ht="12" customFormat="1" customHeight="1" s="37">
      <c r="A129" s="73" t="inlineStr">
        <is>
          <t>평촌동 초원7단지부영</t>
        </is>
      </c>
      <c r="B129" s="74" t="inlineStr">
        <is>
          <t>92.10.</t>
        </is>
      </c>
      <c r="C129" s="123" t="n">
        <v>1743</v>
      </c>
      <c r="D129" s="124" t="n">
        <v>68.2</v>
      </c>
      <c r="E129" s="125" t="n">
        <v>21</v>
      </c>
      <c r="F129" s="124" t="n">
        <v>50</v>
      </c>
      <c r="G129" s="17" t="n">
        <v>15</v>
      </c>
      <c r="H129" s="126" t="n">
        <v>525</v>
      </c>
      <c r="I129" s="127" t="n">
        <v>66000</v>
      </c>
      <c r="J129" s="127" t="inlineStr">
        <is>
          <t>8</t>
        </is>
      </c>
      <c r="K129" s="127" t="n">
        <v>28665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복</t>
        </is>
      </c>
      <c r="T129" s="5" t="n">
        <v>68</v>
      </c>
      <c r="U129" s="9" t="n"/>
    </row>
    <row r="130" ht="12" customFormat="1" customHeight="1" s="37">
      <c r="A130" s="73" t="inlineStr">
        <is>
          <t>호계동 무궁화경남</t>
        </is>
      </c>
      <c r="B130" s="74" t="inlineStr">
        <is>
          <t>94.08.</t>
        </is>
      </c>
      <c r="C130" s="123" t="n">
        <v>590</v>
      </c>
      <c r="D130" s="124" t="n">
        <v>106.7</v>
      </c>
      <c r="E130" s="125" t="n">
        <v>32</v>
      </c>
      <c r="F130" s="124" t="n">
        <v>84.90000000000001</v>
      </c>
      <c r="G130" s="17" t="n">
        <v>26</v>
      </c>
      <c r="H130" s="126" t="n">
        <v>280</v>
      </c>
      <c r="I130" s="127" t="n">
        <v>97000</v>
      </c>
      <c r="J130" s="127" t="inlineStr">
        <is>
          <t>9</t>
        </is>
      </c>
      <c r="K130" s="127" t="n">
        <v>60000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106S</t>
        </is>
      </c>
      <c r="U130" s="9" t="n"/>
    </row>
    <row r="131" ht="12" customFormat="1" customHeight="1" s="37">
      <c r="A131" s="73" t="inlineStr">
        <is>
          <t>평촌동 인덕원대림2차</t>
        </is>
      </c>
      <c r="B131" s="74" t="inlineStr">
        <is>
          <t>04.11.</t>
        </is>
      </c>
      <c r="C131" s="123" t="n">
        <v>862</v>
      </c>
      <c r="D131" s="124" t="n">
        <v>107.5</v>
      </c>
      <c r="E131" s="125" t="n">
        <v>33</v>
      </c>
      <c r="F131" s="124" t="n">
        <v>84.90000000000001</v>
      </c>
      <c r="G131" s="17" t="n">
        <v>26</v>
      </c>
      <c r="H131" s="126" t="n">
        <v>705</v>
      </c>
      <c r="I131" s="127" t="n">
        <v>92000</v>
      </c>
      <c r="J131" s="127" t="inlineStr">
        <is>
          <t>7</t>
        </is>
      </c>
      <c r="K131" s="127" t="n">
        <v>55000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</row>
    <row r="132" ht="12" customFormat="1" customHeight="1" s="37">
      <c r="A132" s="73" t="inlineStr">
        <is>
          <t>비산동 은하수(청구)</t>
        </is>
      </c>
      <c r="B132" s="74" t="inlineStr">
        <is>
          <t>92.06.</t>
        </is>
      </c>
      <c r="C132" s="123" t="n">
        <v>502</v>
      </c>
      <c r="D132" s="124" t="n">
        <v>107.6</v>
      </c>
      <c r="E132" s="125" t="n">
        <v>33</v>
      </c>
      <c r="F132" s="124" t="n">
        <v>84.59999999999999</v>
      </c>
      <c r="G132" s="17" t="n">
        <v>26</v>
      </c>
      <c r="H132" s="126" t="n">
        <v>304</v>
      </c>
      <c r="I132" s="127" t="n">
        <v>90000</v>
      </c>
      <c r="J132" s="127" t="inlineStr">
        <is>
          <t>고</t>
        </is>
      </c>
      <c r="K132" s="127" t="n">
        <v>53000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</row>
    <row r="133" ht="12" customFormat="1" customHeight="1" s="37">
      <c r="A133" s="73" t="inlineStr">
        <is>
          <t>평촌동 푸른마을인덕원대우</t>
        </is>
      </c>
      <c r="B133" s="74" t="inlineStr">
        <is>
          <t>01.04.</t>
        </is>
      </c>
      <c r="C133" s="123" t="n">
        <v>1996</v>
      </c>
      <c r="D133" s="124" t="n">
        <v>108.3</v>
      </c>
      <c r="E133" s="125" t="n">
        <v>33</v>
      </c>
      <c r="F133" s="124" t="n">
        <v>85</v>
      </c>
      <c r="G133" s="17" t="n">
        <v>26</v>
      </c>
      <c r="H133" s="126" t="n">
        <v>1592</v>
      </c>
      <c r="I133" s="127" t="n">
        <v>86000</v>
      </c>
      <c r="J133" s="127" t="inlineStr">
        <is>
          <t>26</t>
        </is>
      </c>
      <c r="K133" s="127" t="n">
        <v>49000</v>
      </c>
      <c r="L133" s="127" t="inlineStr">
        <is>
          <t>25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108</v>
      </c>
      <c r="U133" s="9" t="n"/>
    </row>
    <row r="134" ht="12" customFormat="1" customHeight="1" s="37">
      <c r="A134" s="73" t="inlineStr">
        <is>
          <t>평촌동 초원3단지대원</t>
        </is>
      </c>
      <c r="B134" s="74" t="inlineStr">
        <is>
          <t>93.07.</t>
        </is>
      </c>
      <c r="C134" s="123" t="n">
        <v>752</v>
      </c>
      <c r="D134" s="124" t="n">
        <v>76.7</v>
      </c>
      <c r="E134" s="125" t="n">
        <v>23</v>
      </c>
      <c r="F134" s="124" t="n">
        <v>59.9</v>
      </c>
      <c r="G134" s="17" t="n">
        <v>18</v>
      </c>
      <c r="H134" s="126" t="n">
        <v>180</v>
      </c>
      <c r="I134" s="127" t="n">
        <v>82000</v>
      </c>
      <c r="J134" s="127" t="inlineStr">
        <is>
          <t>5</t>
        </is>
      </c>
      <c r="K134" s="127" t="n">
        <v>45000</v>
      </c>
      <c r="L134" s="127" t="inlineStr">
        <is>
          <t>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계</t>
        </is>
      </c>
      <c r="T134" s="5" t="inlineStr">
        <is>
          <t>76S</t>
        </is>
      </c>
      <c r="U134" s="9" t="n"/>
    </row>
    <row r="135" ht="12" customFormat="1" customHeight="1" s="37">
      <c r="A135" s="73" t="inlineStr">
        <is>
          <t>비산동 은하수,샛별5,6단지</t>
        </is>
      </c>
      <c r="B135" s="74" t="inlineStr">
        <is>
          <t>93.11.</t>
        </is>
      </c>
      <c r="C135" s="123" t="n">
        <v>3227</v>
      </c>
      <c r="D135" s="124" t="n">
        <v>71.40000000000001</v>
      </c>
      <c r="E135" s="125" t="n">
        <v>22</v>
      </c>
      <c r="F135" s="124" t="n">
        <v>49.7</v>
      </c>
      <c r="G135" s="17" t="n">
        <v>15</v>
      </c>
      <c r="H135" s="126" t="n">
        <v>480</v>
      </c>
      <c r="I135" s="127" t="n">
        <v>72000</v>
      </c>
      <c r="J135" s="127" t="inlineStr">
        <is>
          <t>16</t>
        </is>
      </c>
      <c r="K135" s="127" t="n">
        <v>35000</v>
      </c>
      <c r="L135" s="127" t="inlineStr">
        <is>
          <t>20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복</t>
        </is>
      </c>
      <c r="T135" s="5" t="n">
        <v>71</v>
      </c>
      <c r="U135" s="9" t="n"/>
    </row>
    <row r="136" ht="12" customFormat="1" customHeight="1" s="37">
      <c r="A136" s="73" t="inlineStr">
        <is>
          <t>비산동 비산한화꿈에그린</t>
        </is>
      </c>
      <c r="B136" s="74" t="inlineStr">
        <is>
          <t>09.11.</t>
        </is>
      </c>
      <c r="C136" s="123" t="n">
        <v>774</v>
      </c>
      <c r="D136" s="124" t="n">
        <v>141.6</v>
      </c>
      <c r="E136" s="125" t="n">
        <v>43</v>
      </c>
      <c r="F136" s="124" t="n">
        <v>111.5</v>
      </c>
      <c r="G136" s="17" t="n">
        <v>34</v>
      </c>
      <c r="H136" s="126" t="n">
        <v>170</v>
      </c>
      <c r="I136" s="127" t="n">
        <v>110000</v>
      </c>
      <c r="J136" s="127" t="inlineStr">
        <is>
          <t>15</t>
        </is>
      </c>
      <c r="K136" s="127" t="n">
        <v>75000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141</v>
      </c>
      <c r="U136" s="9" t="n"/>
    </row>
    <row r="137" ht="12" customFormat="1" customHeight="1" s="37">
      <c r="A137" s="73" t="inlineStr">
        <is>
          <t>비산동 비산삼성래미안</t>
        </is>
      </c>
      <c r="B137" s="74" t="inlineStr">
        <is>
          <t>03.12.</t>
        </is>
      </c>
      <c r="C137" s="123" t="n">
        <v>3806</v>
      </c>
      <c r="D137" s="124" t="n">
        <v>138.4</v>
      </c>
      <c r="E137" s="125" t="n">
        <v>42</v>
      </c>
      <c r="F137" s="124" t="n">
        <v>114.6</v>
      </c>
      <c r="G137" s="17" t="n">
        <v>35</v>
      </c>
      <c r="H137" s="126" t="n">
        <v>820</v>
      </c>
      <c r="I137" s="127" t="n">
        <v>95000</v>
      </c>
      <c r="J137" s="127" t="inlineStr">
        <is>
          <t>22</t>
        </is>
      </c>
      <c r="K137" s="127" t="n">
        <v>60000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138</v>
      </c>
      <c r="U137" s="9" t="n"/>
    </row>
    <row r="138" ht="12" customFormat="1" customHeight="1" s="37">
      <c r="A138" s="73" t="inlineStr">
        <is>
          <t>평촌동 초원3단지대원</t>
        </is>
      </c>
      <c r="B138" s="74" t="inlineStr">
        <is>
          <t>93.07.</t>
        </is>
      </c>
      <c r="C138" s="123" t="n">
        <v>752</v>
      </c>
      <c r="D138" s="124" t="n">
        <v>104</v>
      </c>
      <c r="E138" s="125" t="n">
        <v>31</v>
      </c>
      <c r="F138" s="124" t="n">
        <v>85</v>
      </c>
      <c r="G138" s="17" t="n">
        <v>26</v>
      </c>
      <c r="H138" s="126" t="n">
        <v>330</v>
      </c>
      <c r="I138" s="127" t="n">
        <v>95000</v>
      </c>
      <c r="J138" s="127" t="inlineStr">
        <is>
          <t>중</t>
        </is>
      </c>
      <c r="K138" s="127" t="n">
        <v>60000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103</v>
      </c>
      <c r="U138" s="9" t="n"/>
    </row>
    <row r="139" ht="12" customFormat="1" customHeight="1" s="37">
      <c r="A139" s="73" t="inlineStr">
        <is>
          <t>평촌동 초원1단지성원</t>
        </is>
      </c>
      <c r="B139" s="74" t="inlineStr">
        <is>
          <t>92.08.</t>
        </is>
      </c>
      <c r="C139" s="123" t="n">
        <v>368</v>
      </c>
      <c r="D139" s="124" t="n">
        <v>102.7</v>
      </c>
      <c r="E139" s="125" t="n">
        <v>31</v>
      </c>
      <c r="F139" s="124" t="n">
        <v>85</v>
      </c>
      <c r="G139" s="17" t="n">
        <v>26</v>
      </c>
      <c r="H139" s="126" t="n">
        <v>248</v>
      </c>
      <c r="I139" s="127" t="n">
        <v>95000</v>
      </c>
      <c r="J139" s="127" t="inlineStr">
        <is>
          <t>7</t>
        </is>
      </c>
      <c r="K139" s="127" t="n">
        <v>60000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102</v>
      </c>
      <c r="U139" s="9" t="n"/>
    </row>
    <row r="140" ht="12" customFormat="1" customHeight="1" s="37">
      <c r="A140" s="73" t="inlineStr">
        <is>
          <t>관양동 한가람삼성</t>
        </is>
      </c>
      <c r="B140" s="74" t="inlineStr">
        <is>
          <t>95.01.</t>
        </is>
      </c>
      <c r="C140" s="123" t="n">
        <v>708</v>
      </c>
      <c r="D140" s="124" t="n">
        <v>106.7</v>
      </c>
      <c r="E140" s="125" t="n">
        <v>32</v>
      </c>
      <c r="F140" s="124" t="n">
        <v>84.90000000000001</v>
      </c>
      <c r="G140" s="17" t="n">
        <v>26</v>
      </c>
      <c r="H140" s="126" t="n">
        <v>458</v>
      </c>
      <c r="I140" s="127" t="n">
        <v>90000</v>
      </c>
      <c r="J140" s="127" t="inlineStr">
        <is>
          <t>고</t>
        </is>
      </c>
      <c r="K140" s="127" t="n">
        <v>55000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</row>
    <row r="141" ht="12" customFormat="1" customHeight="1" s="37">
      <c r="A141" s="73" t="inlineStr">
        <is>
          <t>평촌동 향촌현대5차</t>
        </is>
      </c>
      <c r="B141" s="74" t="inlineStr">
        <is>
          <t>93.04.</t>
        </is>
      </c>
      <c r="C141" s="123" t="n">
        <v>780</v>
      </c>
      <c r="D141" s="124" t="n">
        <v>75.90000000000001</v>
      </c>
      <c r="E141" s="125" t="n">
        <v>23</v>
      </c>
      <c r="F141" s="124" t="n">
        <v>59.8</v>
      </c>
      <c r="G141" s="17" t="n">
        <v>18</v>
      </c>
      <c r="H141" s="126" t="n">
        <v>270</v>
      </c>
      <c r="I141" s="127" t="n">
        <v>85000</v>
      </c>
      <c r="J141" s="127" t="inlineStr">
        <is>
          <t>5</t>
        </is>
      </c>
      <c r="K141" s="127" t="n">
        <v>50000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75</v>
      </c>
      <c r="U141" s="9" t="n"/>
    </row>
    <row r="142" ht="12" customFormat="1" customHeight="1" s="37">
      <c r="A142" s="73" t="inlineStr">
        <is>
          <t>비산동 평촌자이아이파크</t>
        </is>
      </c>
      <c r="B142" s="74" t="inlineStr">
        <is>
          <t>21.12.</t>
        </is>
      </c>
      <c r="C142" s="123" t="n">
        <v>2531</v>
      </c>
      <c r="D142" s="124" t="n">
        <v>69.5</v>
      </c>
      <c r="E142" s="125" t="n">
        <v>21</v>
      </c>
      <c r="F142" s="124" t="n">
        <v>50</v>
      </c>
      <c r="G142" s="17" t="n">
        <v>15</v>
      </c>
      <c r="H142" s="126" t="n">
        <v>150</v>
      </c>
      <c r="I142" s="127" t="n">
        <v>80000</v>
      </c>
      <c r="J142" s="127" t="inlineStr">
        <is>
          <t>27</t>
        </is>
      </c>
      <c r="K142" s="127" t="n">
        <v>45000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inlineStr">
        <is>
          <t>69A</t>
        </is>
      </c>
      <c r="U142" s="9" t="n"/>
    </row>
    <row r="143" ht="12" customFormat="1" customHeight="1" s="37">
      <c r="A143" s="73" t="inlineStr">
        <is>
          <t>비산동 비산롯데캐슬</t>
        </is>
      </c>
      <c r="B143" s="74" t="inlineStr">
        <is>
          <t>03.09.</t>
        </is>
      </c>
      <c r="C143" s="123" t="n">
        <v>955</v>
      </c>
      <c r="D143" s="124" t="n">
        <v>104.7</v>
      </c>
      <c r="E143" s="125" t="n">
        <v>32</v>
      </c>
      <c r="F143" s="124" t="n">
        <v>82.2</v>
      </c>
      <c r="G143" s="17" t="n">
        <v>25</v>
      </c>
      <c r="H143" s="126" t="n">
        <v>648</v>
      </c>
      <c r="I143" s="127" t="n">
        <v>78000</v>
      </c>
      <c r="J143" s="127" t="inlineStr">
        <is>
          <t>고</t>
        </is>
      </c>
      <c r="K143" s="127" t="n">
        <v>43000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104</v>
      </c>
      <c r="U143" s="9" t="n"/>
    </row>
    <row r="144" ht="12" customFormat="1" customHeight="1" s="37">
      <c r="A144" s="73" t="inlineStr">
        <is>
          <t>관양동 한가람신라</t>
        </is>
      </c>
      <c r="B144" s="74" t="inlineStr">
        <is>
          <t>92.07.</t>
        </is>
      </c>
      <c r="C144" s="123" t="n">
        <v>1068</v>
      </c>
      <c r="D144" s="124" t="n">
        <v>80.09999999999999</v>
      </c>
      <c r="E144" s="125" t="n">
        <v>24</v>
      </c>
      <c r="F144" s="124" t="n">
        <v>59.8</v>
      </c>
      <c r="G144" s="17" t="n">
        <v>18</v>
      </c>
      <c r="H144" s="126" t="n">
        <v>330</v>
      </c>
      <c r="I144" s="127" t="n">
        <v>75000</v>
      </c>
      <c r="J144" s="127" t="inlineStr">
        <is>
          <t>중</t>
        </is>
      </c>
      <c r="K144" s="127" t="n">
        <v>40000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복</t>
        </is>
      </c>
      <c r="T144" s="5" t="n">
        <v>80</v>
      </c>
      <c r="U144" s="9" t="n"/>
    </row>
    <row r="145" ht="12" customFormat="1" customHeight="1" s="37">
      <c r="A145" s="73" t="inlineStr">
        <is>
          <t>평촌동 초원2단지대림</t>
        </is>
      </c>
      <c r="B145" s="74" t="inlineStr">
        <is>
          <t>93.11.</t>
        </is>
      </c>
      <c r="C145" s="123" t="n">
        <v>1035</v>
      </c>
      <c r="D145" s="124" t="n">
        <v>81.5</v>
      </c>
      <c r="E145" s="125" t="n">
        <v>25</v>
      </c>
      <c r="F145" s="124" t="n">
        <v>59.7</v>
      </c>
      <c r="G145" s="17" t="n">
        <v>18</v>
      </c>
      <c r="H145" s="126" t="n">
        <v>344</v>
      </c>
      <c r="I145" s="127" t="n">
        <v>74000</v>
      </c>
      <c r="J145" s="127" t="inlineStr">
        <is>
          <t>13</t>
        </is>
      </c>
      <c r="K145" s="127" t="n">
        <v>39000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81</v>
      </c>
      <c r="U145" s="9" t="n"/>
    </row>
    <row r="146" ht="12" customFormat="1" customHeight="1" s="37">
      <c r="A146" s="73" t="inlineStr">
        <is>
          <t>관양동 공작부영</t>
        </is>
      </c>
      <c r="B146" s="74" t="inlineStr">
        <is>
          <t>93.03.</t>
        </is>
      </c>
      <c r="C146" s="123" t="n">
        <v>1710</v>
      </c>
      <c r="D146" s="124" t="n">
        <v>83.7</v>
      </c>
      <c r="E146" s="125" t="n">
        <v>25</v>
      </c>
      <c r="F146" s="124" t="n">
        <v>60</v>
      </c>
      <c r="G146" s="17" t="n">
        <v>18</v>
      </c>
      <c r="H146" s="126" t="n">
        <v>465</v>
      </c>
      <c r="I146" s="127" t="n">
        <v>73000</v>
      </c>
      <c r="J146" s="127" t="inlineStr">
        <is>
          <t>중</t>
        </is>
      </c>
      <c r="K146" s="127" t="n">
        <v>38000</v>
      </c>
      <c r="L146" s="127" t="inlineStr">
        <is>
          <t>10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n">
        <v>83</v>
      </c>
      <c r="U146" s="9" t="n"/>
    </row>
    <row r="147" ht="12" customFormat="1" customHeight="1" s="37">
      <c r="A147" s="73" t="inlineStr">
        <is>
          <t>관양동 한가람삼성</t>
        </is>
      </c>
      <c r="B147" s="74" t="inlineStr">
        <is>
          <t>95.01.</t>
        </is>
      </c>
      <c r="C147" s="123" t="n">
        <v>708</v>
      </c>
      <c r="D147" s="124" t="n">
        <v>83.8</v>
      </c>
      <c r="E147" s="125" t="n">
        <v>25</v>
      </c>
      <c r="F147" s="124" t="n">
        <v>59.8</v>
      </c>
      <c r="G147" s="17" t="n">
        <v>18</v>
      </c>
      <c r="H147" s="126" t="n">
        <v>250</v>
      </c>
      <c r="I147" s="127" t="n">
        <v>72000</v>
      </c>
      <c r="J147" s="127" t="inlineStr">
        <is>
          <t>15</t>
        </is>
      </c>
      <c r="K147" s="127" t="n">
        <v>37000</v>
      </c>
      <c r="L147" s="127" t="inlineStr">
        <is>
          <t>10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n">
        <v>83</v>
      </c>
      <c r="U147" s="9" t="n"/>
    </row>
    <row r="148" ht="12" customFormat="1" customHeight="1" s="37">
      <c r="A148" s="73" t="inlineStr">
        <is>
          <t>호계동 샘마을임광</t>
        </is>
      </c>
      <c r="B148" s="74" t="inlineStr">
        <is>
          <t>92.12.</t>
        </is>
      </c>
      <c r="C148" s="123" t="n">
        <v>390</v>
      </c>
      <c r="D148" s="124" t="n">
        <v>110</v>
      </c>
      <c r="E148" s="125" t="n">
        <v>33</v>
      </c>
      <c r="F148" s="124" t="n">
        <v>91.09999999999999</v>
      </c>
      <c r="G148" s="17" t="n">
        <v>28</v>
      </c>
      <c r="H148" s="126" t="n">
        <v>114</v>
      </c>
      <c r="I148" s="127" t="n">
        <v>91000</v>
      </c>
      <c r="J148" s="127" t="inlineStr">
        <is>
          <t>5</t>
        </is>
      </c>
      <c r="K148" s="127" t="n">
        <v>57000</v>
      </c>
      <c r="L148" s="127" t="inlineStr">
        <is>
          <t>8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110</v>
      </c>
      <c r="U148" s="9" t="n"/>
    </row>
    <row r="149" ht="12" customFormat="1" customHeight="1" s="37">
      <c r="A149" s="73" t="inlineStr">
        <is>
          <t>호계동 무궁화진흥</t>
        </is>
      </c>
      <c r="B149" s="74" t="inlineStr">
        <is>
          <t>92.09.</t>
        </is>
      </c>
      <c r="C149" s="123" t="n">
        <v>321</v>
      </c>
      <c r="D149" s="124" t="n">
        <v>103.7</v>
      </c>
      <c r="E149" s="125" t="n">
        <v>31</v>
      </c>
      <c r="F149" s="124" t="n">
        <v>84.59999999999999</v>
      </c>
      <c r="G149" s="17" t="n">
        <v>26</v>
      </c>
      <c r="H149" s="126" t="n">
        <v>246</v>
      </c>
      <c r="I149" s="127" t="n">
        <v>88000</v>
      </c>
      <c r="J149" s="127" t="inlineStr">
        <is>
          <t>12</t>
        </is>
      </c>
      <c r="K149" s="127" t="n">
        <v>54000</v>
      </c>
      <c r="L149" s="127" t="inlineStr">
        <is>
          <t>9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103</v>
      </c>
      <c r="U149" s="9" t="n"/>
    </row>
    <row r="150" ht="12" customFormat="1" customHeight="1" s="37">
      <c r="A150" s="73" t="inlineStr">
        <is>
          <t>평촌동 향촌롯데</t>
        </is>
      </c>
      <c r="B150" s="74" t="inlineStr">
        <is>
          <t>93.03.</t>
        </is>
      </c>
      <c r="C150" s="123" t="n">
        <v>530</v>
      </c>
      <c r="D150" s="124" t="n">
        <v>77.2</v>
      </c>
      <c r="E150" s="125" t="n">
        <v>23</v>
      </c>
      <c r="F150" s="124" t="n">
        <v>59.8</v>
      </c>
      <c r="G150" s="17" t="n">
        <v>18</v>
      </c>
      <c r="H150" s="126" t="n">
        <v>188</v>
      </c>
      <c r="I150" s="127" t="n">
        <v>87000</v>
      </c>
      <c r="J150" s="127" t="inlineStr">
        <is>
          <t>14</t>
        </is>
      </c>
      <c r="K150" s="127" t="n">
        <v>53000</v>
      </c>
      <c r="L150" s="127" t="inlineStr">
        <is>
          <t>14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계</t>
        </is>
      </c>
      <c r="T150" s="5" t="n">
        <v>77</v>
      </c>
      <c r="U150" s="9" t="n"/>
    </row>
    <row r="151" ht="12" customFormat="1" customHeight="1" s="37">
      <c r="A151" s="73" t="inlineStr">
        <is>
          <t>호계동 무궁화효성,한양</t>
        </is>
      </c>
      <c r="B151" s="74" t="inlineStr">
        <is>
          <t>92.12.</t>
        </is>
      </c>
      <c r="C151" s="123" t="n">
        <v>800</v>
      </c>
      <c r="D151" s="124" t="n">
        <v>107.5</v>
      </c>
      <c r="E151" s="125" t="n">
        <v>33</v>
      </c>
      <c r="F151" s="124" t="n">
        <v>84.5</v>
      </c>
      <c r="G151" s="17" t="n">
        <v>26</v>
      </c>
      <c r="H151" s="126" t="n">
        <v>300</v>
      </c>
      <c r="I151" s="127" t="n">
        <v>86000</v>
      </c>
      <c r="J151" s="127" t="inlineStr">
        <is>
          <t>13</t>
        </is>
      </c>
      <c r="K151" s="127" t="n">
        <v>52000</v>
      </c>
      <c r="L151" s="127" t="inlineStr">
        <is>
          <t>22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107A</t>
        </is>
      </c>
      <c r="U151" s="9" t="n"/>
    </row>
    <row r="152" ht="12" customFormat="1" customHeight="1" s="37">
      <c r="A152" s="73" t="inlineStr">
        <is>
          <t>호계동 평촌두산위브리버뷰</t>
        </is>
      </c>
      <c r="B152" s="74" t="inlineStr">
        <is>
          <t>21.12.</t>
        </is>
      </c>
      <c r="C152" s="123" t="n">
        <v>855</v>
      </c>
      <c r="D152" s="124" t="n">
        <v>101.5</v>
      </c>
      <c r="E152" s="125" t="n">
        <v>31</v>
      </c>
      <c r="F152" s="124" t="n">
        <v>70</v>
      </c>
      <c r="G152" s="17" t="n">
        <v>21</v>
      </c>
      <c r="H152" s="126" t="n">
        <v>72</v>
      </c>
      <c r="I152" s="127" t="n">
        <v>80000</v>
      </c>
      <c r="J152" s="127" t="inlineStr">
        <is>
          <t>고</t>
        </is>
      </c>
      <c r="K152" s="127" t="n">
        <v>46000</v>
      </c>
      <c r="L152" s="127" t="inlineStr">
        <is>
          <t>32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101E</t>
        </is>
      </c>
      <c r="U152" s="9" t="n"/>
    </row>
    <row r="153" ht="12" customFormat="1" customHeight="1" s="37">
      <c r="A153" s="73" t="inlineStr">
        <is>
          <t>평촌동 푸른마을인덕원대우</t>
        </is>
      </c>
      <c r="B153" s="74" t="inlineStr">
        <is>
          <t>01.04.</t>
        </is>
      </c>
      <c r="C153" s="123" t="n">
        <v>1996</v>
      </c>
      <c r="D153" s="124" t="n">
        <v>81</v>
      </c>
      <c r="E153" s="125" t="n">
        <v>25</v>
      </c>
      <c r="F153" s="124" t="n">
        <v>59.9</v>
      </c>
      <c r="G153" s="17" t="n">
        <v>18</v>
      </c>
      <c r="H153" s="126" t="n">
        <v>236</v>
      </c>
      <c r="I153" s="127" t="n">
        <v>76000</v>
      </c>
      <c r="J153" s="127" t="inlineStr">
        <is>
          <t>고</t>
        </is>
      </c>
      <c r="K153" s="127" t="n">
        <v>42000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81A</t>
        </is>
      </c>
      <c r="U153" s="9" t="n"/>
    </row>
    <row r="154" ht="12" customFormat="1" customHeight="1" s="37">
      <c r="A154" s="73" t="inlineStr">
        <is>
          <t>비산동 샛별한양2단지</t>
        </is>
      </c>
      <c r="B154" s="74" t="inlineStr">
        <is>
          <t>93.04.</t>
        </is>
      </c>
      <c r="C154" s="123" t="n">
        <v>844</v>
      </c>
      <c r="D154" s="124" t="n">
        <v>78.7</v>
      </c>
      <c r="E154" s="125" t="n">
        <v>24</v>
      </c>
      <c r="F154" s="124" t="n">
        <v>59.8</v>
      </c>
      <c r="G154" s="17" t="n">
        <v>18</v>
      </c>
      <c r="H154" s="126" t="n">
        <v>300</v>
      </c>
      <c r="I154" s="127" t="n">
        <v>70000</v>
      </c>
      <c r="J154" s="127" t="inlineStr">
        <is>
          <t>8</t>
        </is>
      </c>
      <c r="K154" s="127" t="n">
        <v>36000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복</t>
        </is>
      </c>
      <c r="T154" s="5" t="n">
        <v>78</v>
      </c>
      <c r="U154" s="9" t="n"/>
    </row>
    <row r="155" ht="12" customFormat="1" customHeight="1" s="37">
      <c r="A155" s="73" t="inlineStr">
        <is>
          <t>호계동 무궁화태영</t>
        </is>
      </c>
      <c r="B155" s="74" t="inlineStr">
        <is>
          <t>92.08.</t>
        </is>
      </c>
      <c r="C155" s="123" t="n">
        <v>654</v>
      </c>
      <c r="D155" s="124" t="n">
        <v>80.3</v>
      </c>
      <c r="E155" s="125" t="n">
        <v>24</v>
      </c>
      <c r="F155" s="124" t="n">
        <v>59.8</v>
      </c>
      <c r="G155" s="17" t="n">
        <v>18</v>
      </c>
      <c r="H155" s="126" t="n">
        <v>150</v>
      </c>
      <c r="I155" s="127" t="n">
        <v>66000</v>
      </c>
      <c r="J155" s="127" t="inlineStr">
        <is>
          <t>고</t>
        </is>
      </c>
      <c r="K155" s="127" t="n">
        <v>32000</v>
      </c>
      <c r="L155" s="127" t="inlineStr">
        <is>
          <t>7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복</t>
        </is>
      </c>
      <c r="T155" s="5" t="n">
        <v>80</v>
      </c>
      <c r="U155" s="9" t="n"/>
    </row>
    <row r="156" ht="12" customFormat="1" customHeight="1" s="37">
      <c r="A156" s="73" t="inlineStr">
        <is>
          <t>호계동 무궁화효성,한양</t>
        </is>
      </c>
      <c r="B156" s="74" t="inlineStr">
        <is>
          <t>92.12.</t>
        </is>
      </c>
      <c r="C156" s="123" t="n">
        <v>800</v>
      </c>
      <c r="D156" s="124" t="n">
        <v>79.40000000000001</v>
      </c>
      <c r="E156" s="125" t="n">
        <v>24</v>
      </c>
      <c r="F156" s="124" t="n">
        <v>59.8</v>
      </c>
      <c r="G156" s="17" t="n">
        <v>18</v>
      </c>
      <c r="H156" s="126" t="n">
        <v>100</v>
      </c>
      <c r="I156" s="127" t="n">
        <v>73000</v>
      </c>
      <c r="J156" s="127" t="inlineStr">
        <is>
          <t>6</t>
        </is>
      </c>
      <c r="K156" s="127" t="n">
        <v>39900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inlineStr">
        <is>
          <t>79B</t>
        </is>
      </c>
      <c r="U156" s="9" t="n"/>
    </row>
    <row r="157" ht="12" customFormat="1" customHeight="1" s="37">
      <c r="A157" s="73" t="inlineStr">
        <is>
          <t>비산동 평촌자이아이파크</t>
        </is>
      </c>
      <c r="B157" s="74" t="inlineStr">
        <is>
          <t>21.12.</t>
        </is>
      </c>
      <c r="C157" s="123" t="n">
        <v>2531</v>
      </c>
      <c r="D157" s="124" t="n">
        <v>83.8</v>
      </c>
      <c r="E157" s="125" t="n">
        <v>25</v>
      </c>
      <c r="F157" s="124" t="n">
        <v>60</v>
      </c>
      <c r="G157" s="17" t="n">
        <v>18</v>
      </c>
      <c r="H157" s="126" t="n">
        <v>671</v>
      </c>
      <c r="I157" s="127" t="n">
        <v>90000</v>
      </c>
      <c r="J157" s="127" t="inlineStr">
        <is>
          <t>10</t>
        </is>
      </c>
      <c r="K157" s="127" t="n">
        <v>57000</v>
      </c>
      <c r="L157" s="127" t="inlineStr">
        <is>
          <t>23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83A</t>
        </is>
      </c>
      <c r="U157" s="9" t="n"/>
    </row>
    <row r="158" ht="12" customFormat="1" customHeight="1" s="37">
      <c r="A158" s="73" t="inlineStr">
        <is>
          <t>호계동 호계현대홈타운1차</t>
        </is>
      </c>
      <c r="B158" s="74" t="inlineStr">
        <is>
          <t>02.11.</t>
        </is>
      </c>
      <c r="C158" s="123" t="n">
        <v>604</v>
      </c>
      <c r="D158" s="124" t="n">
        <v>120.4</v>
      </c>
      <c r="E158" s="125" t="n">
        <v>36</v>
      </c>
      <c r="F158" s="124" t="n">
        <v>84.59999999999999</v>
      </c>
      <c r="G158" s="17" t="n">
        <v>26</v>
      </c>
      <c r="H158" s="126" t="n">
        <v>393</v>
      </c>
      <c r="I158" s="127" t="n">
        <v>85000</v>
      </c>
      <c r="J158" s="127" t="inlineStr">
        <is>
          <t>9</t>
        </is>
      </c>
      <c r="K158" s="127" t="n">
        <v>52000</v>
      </c>
      <c r="L158" s="127" t="inlineStr">
        <is>
          <t>15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120B</t>
        </is>
      </c>
      <c r="U158" s="9" t="n"/>
    </row>
    <row r="159" ht="12" customFormat="1" customHeight="1" s="37">
      <c r="A159" s="73" t="inlineStr">
        <is>
          <t>호계동 호계신성미소지움</t>
        </is>
      </c>
      <c r="B159" s="74" t="inlineStr">
        <is>
          <t>04.12.</t>
        </is>
      </c>
      <c r="C159" s="123" t="n">
        <v>361</v>
      </c>
      <c r="D159" s="124" t="n">
        <v>106.3</v>
      </c>
      <c r="E159" s="125" t="n">
        <v>32</v>
      </c>
      <c r="F159" s="124" t="n">
        <v>84.90000000000001</v>
      </c>
      <c r="G159" s="17" t="n">
        <v>26</v>
      </c>
      <c r="H159" s="126" t="n">
        <v>142</v>
      </c>
      <c r="I159" s="127" t="n">
        <v>75000</v>
      </c>
      <c r="J159" s="127" t="inlineStr">
        <is>
          <t>12</t>
        </is>
      </c>
      <c r="K159" s="127" t="n">
        <v>42000</v>
      </c>
      <c r="L159" s="127" t="inlineStr">
        <is>
          <t>10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106A</t>
        </is>
      </c>
      <c r="U159" s="9" t="n"/>
    </row>
    <row r="160" ht="12" customFormat="1" customHeight="1" s="37">
      <c r="A160" s="73" t="inlineStr">
        <is>
          <t>비산동 샛별한양3단지</t>
        </is>
      </c>
      <c r="B160" s="74" t="inlineStr">
        <is>
          <t>93.04.</t>
        </is>
      </c>
      <c r="C160" s="123" t="n">
        <v>638</v>
      </c>
      <c r="D160" s="124" t="n">
        <v>78.8</v>
      </c>
      <c r="E160" s="125" t="n">
        <v>24</v>
      </c>
      <c r="F160" s="124" t="n">
        <v>59.8</v>
      </c>
      <c r="G160" s="17" t="n">
        <v>18</v>
      </c>
      <c r="H160" s="126" t="n">
        <v>120</v>
      </c>
      <c r="I160" s="127" t="n">
        <v>73000</v>
      </c>
      <c r="J160" s="127" t="inlineStr">
        <is>
          <t>6</t>
        </is>
      </c>
      <c r="K160" s="127" t="n">
        <v>40000</v>
      </c>
      <c r="L160" s="127" t="inlineStr">
        <is>
          <t>13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복</t>
        </is>
      </c>
      <c r="T160" s="5" t="n">
        <v>78</v>
      </c>
      <c r="U160" s="9" t="n"/>
    </row>
    <row r="161" ht="12" customFormat="1" customHeight="1" s="37">
      <c r="A161" s="73" t="inlineStr">
        <is>
          <t>관양동 한가람두산</t>
        </is>
      </c>
      <c r="B161" s="74" t="inlineStr">
        <is>
          <t>92.11.</t>
        </is>
      </c>
      <c r="C161" s="123" t="n">
        <v>436</v>
      </c>
      <c r="D161" s="124" t="n">
        <v>77</v>
      </c>
      <c r="E161" s="125" t="n">
        <v>23</v>
      </c>
      <c r="F161" s="124" t="n">
        <v>60</v>
      </c>
      <c r="G161" s="17" t="n">
        <v>18</v>
      </c>
      <c r="H161" s="126" t="n">
        <v>168</v>
      </c>
      <c r="I161" s="127" t="n">
        <v>71000</v>
      </c>
      <c r="J161" s="127" t="inlineStr">
        <is>
          <t>8</t>
        </is>
      </c>
      <c r="K161" s="127" t="n">
        <v>38500</v>
      </c>
      <c r="L161" s="127" t="inlineStr">
        <is>
          <t>6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n">
        <v>76</v>
      </c>
      <c r="U161" s="9" t="n"/>
    </row>
    <row r="162" ht="12" customFormat="1" customHeight="1" s="37">
      <c r="A162" s="73" t="inlineStr">
        <is>
          <t>평촌동 귀인마을현대홈타운</t>
        </is>
      </c>
      <c r="B162" s="74" t="inlineStr">
        <is>
          <t>02.06.</t>
        </is>
      </c>
      <c r="C162" s="123" t="n">
        <v>967</v>
      </c>
      <c r="D162" s="124" t="n">
        <v>81.40000000000001</v>
      </c>
      <c r="E162" s="125" t="n">
        <v>25</v>
      </c>
      <c r="F162" s="124" t="n">
        <v>56.1</v>
      </c>
      <c r="G162" s="17" t="n">
        <v>17</v>
      </c>
      <c r="H162" s="126" t="n">
        <v>182</v>
      </c>
      <c r="I162" s="127" t="n">
        <v>88000</v>
      </c>
      <c r="J162" s="127" t="inlineStr">
        <is>
          <t>17</t>
        </is>
      </c>
      <c r="K162" s="127" t="n">
        <v>56000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81</v>
      </c>
      <c r="U162" s="9" t="n"/>
    </row>
    <row r="163" ht="12" customFormat="1" customHeight="1" s="37">
      <c r="A163" s="73" t="inlineStr">
        <is>
          <t>평촌동 향촌현대4차</t>
        </is>
      </c>
      <c r="B163" s="74" t="inlineStr">
        <is>
          <t>92.11.</t>
        </is>
      </c>
      <c r="C163" s="123" t="n">
        <v>552</v>
      </c>
      <c r="D163" s="124" t="n">
        <v>78.7</v>
      </c>
      <c r="E163" s="125" t="n">
        <v>24</v>
      </c>
      <c r="F163" s="124" t="n">
        <v>59.9</v>
      </c>
      <c r="G163" s="17" t="n">
        <v>18</v>
      </c>
      <c r="H163" s="126" t="n">
        <v>188</v>
      </c>
      <c r="I163" s="127" t="n">
        <v>84000</v>
      </c>
      <c r="J163" s="127" t="inlineStr">
        <is>
          <t>6</t>
        </is>
      </c>
      <c r="K163" s="127" t="n">
        <v>52000</v>
      </c>
      <c r="L163" s="127" t="inlineStr">
        <is>
          <t>12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계</t>
        </is>
      </c>
      <c r="T163" s="5" t="n">
        <v>78</v>
      </c>
      <c r="U163" s="9" t="n"/>
    </row>
    <row r="164" ht="12" customFormat="1" customHeight="1" s="37">
      <c r="A164" s="73" t="inlineStr">
        <is>
          <t>비산동 비산한화꿈에그린</t>
        </is>
      </c>
      <c r="B164" s="74" t="inlineStr">
        <is>
          <t>09.11.</t>
        </is>
      </c>
      <c r="C164" s="123" t="n">
        <v>774</v>
      </c>
      <c r="D164" s="124" t="n">
        <v>109.3</v>
      </c>
      <c r="E164" s="125" t="n">
        <v>33</v>
      </c>
      <c r="F164" s="124" t="n">
        <v>85</v>
      </c>
      <c r="G164" s="17" t="n">
        <v>26</v>
      </c>
      <c r="H164" s="126" t="n">
        <v>379</v>
      </c>
      <c r="I164" s="127" t="n">
        <v>83000</v>
      </c>
      <c r="J164" s="127" t="inlineStr">
        <is>
          <t>8</t>
        </is>
      </c>
      <c r="K164" s="127" t="n">
        <v>51000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109</v>
      </c>
      <c r="U164" s="9" t="n"/>
    </row>
    <row r="165" ht="12" customFormat="1" customHeight="1" s="37">
      <c r="A165" s="73" t="inlineStr">
        <is>
          <t>호계동 무궁화코오롱</t>
        </is>
      </c>
      <c r="B165" s="74" t="inlineStr">
        <is>
          <t>92.09.</t>
        </is>
      </c>
      <c r="C165" s="123" t="n">
        <v>458</v>
      </c>
      <c r="D165" s="124" t="n">
        <v>110</v>
      </c>
      <c r="E165" s="125" t="n">
        <v>33</v>
      </c>
      <c r="F165" s="124" t="n">
        <v>85</v>
      </c>
      <c r="G165" s="17" t="n">
        <v>26</v>
      </c>
      <c r="H165" s="126" t="n">
        <v>296</v>
      </c>
      <c r="I165" s="127" t="n">
        <v>82000</v>
      </c>
      <c r="J165" s="127" t="inlineStr">
        <is>
          <t>21</t>
        </is>
      </c>
      <c r="K165" s="127" t="n">
        <v>50000</v>
      </c>
      <c r="L165" s="127" t="inlineStr">
        <is>
          <t>10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109</v>
      </c>
      <c r="U165" s="9" t="n"/>
    </row>
    <row r="166" ht="12" customFormat="1" customHeight="1" s="37">
      <c r="A166" s="73" t="inlineStr">
        <is>
          <t>호계동 무궁화진흥</t>
        </is>
      </c>
      <c r="B166" s="74" t="inlineStr">
        <is>
          <t>92.09.</t>
        </is>
      </c>
      <c r="C166" s="123" t="n">
        <v>321</v>
      </c>
      <c r="D166" s="124" t="n">
        <v>74.90000000000001</v>
      </c>
      <c r="E166" s="125" t="n">
        <v>23</v>
      </c>
      <c r="F166" s="124" t="n">
        <v>56.8</v>
      </c>
      <c r="G166" s="17" t="n">
        <v>17</v>
      </c>
      <c r="H166" s="126" t="n">
        <v>75</v>
      </c>
      <c r="I166" s="127" t="n">
        <v>67000</v>
      </c>
      <c r="J166" s="127" t="inlineStr">
        <is>
          <t>12</t>
        </is>
      </c>
      <c r="K166" s="127" t="n">
        <v>35000</v>
      </c>
      <c r="L166" s="127" t="inlineStr">
        <is>
          <t>11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74</v>
      </c>
      <c r="U166" s="9" t="n"/>
    </row>
    <row r="167" ht="12" customFormat="1" customHeight="1" s="37">
      <c r="A167" s="73" t="inlineStr">
        <is>
          <t>호계동 목련5단지</t>
        </is>
      </c>
      <c r="B167" s="74" t="inlineStr">
        <is>
          <t>93.03.</t>
        </is>
      </c>
      <c r="C167" s="123" t="n">
        <v>683</v>
      </c>
      <c r="D167" s="124" t="n">
        <v>54.3</v>
      </c>
      <c r="E167" s="125" t="n">
        <v>16</v>
      </c>
      <c r="F167" s="124" t="n">
        <v>41.9</v>
      </c>
      <c r="G167" s="17" t="n">
        <v>13</v>
      </c>
      <c r="H167" s="126" t="n">
        <v>523</v>
      </c>
      <c r="I167" s="127" t="n">
        <v>57000</v>
      </c>
      <c r="J167" s="127" t="inlineStr">
        <is>
          <t>10</t>
        </is>
      </c>
      <c r="K167" s="127" t="n">
        <v>25000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n">
        <v>54</v>
      </c>
      <c r="U167" s="9" t="n"/>
    </row>
    <row r="168" ht="12" customFormat="1" customHeight="1" s="37">
      <c r="A168" s="73" t="inlineStr">
        <is>
          <t>비산동 은하수(청구)</t>
        </is>
      </c>
      <c r="B168" s="74" t="inlineStr">
        <is>
          <t>92.06.</t>
        </is>
      </c>
      <c r="C168" s="123" t="n">
        <v>502</v>
      </c>
      <c r="D168" s="124" t="n">
        <v>76.90000000000001</v>
      </c>
      <c r="E168" s="125" t="n">
        <v>23</v>
      </c>
      <c r="F168" s="124" t="n">
        <v>55.4</v>
      </c>
      <c r="G168" s="17" t="n">
        <v>17</v>
      </c>
      <c r="H168" s="126" t="n">
        <v>92</v>
      </c>
      <c r="I168" s="127" t="n">
        <v>69500</v>
      </c>
      <c r="J168" s="127" t="inlineStr">
        <is>
          <t>중</t>
        </is>
      </c>
      <c r="K168" s="127" t="n">
        <v>38000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복</t>
        </is>
      </c>
      <c r="T168" s="5" t="n">
        <v>76</v>
      </c>
      <c r="U168" s="9" t="n"/>
    </row>
    <row r="169" ht="12" customFormat="1" customHeight="1" s="37">
      <c r="A169" s="73" t="inlineStr">
        <is>
          <t>비산동 샛별한양2단지</t>
        </is>
      </c>
      <c r="B169" s="74" t="inlineStr">
        <is>
          <t>93.04.</t>
        </is>
      </c>
      <c r="C169" s="123" t="n">
        <v>844</v>
      </c>
      <c r="D169" s="124" t="n">
        <v>54.1</v>
      </c>
      <c r="E169" s="125" t="n">
        <v>16</v>
      </c>
      <c r="F169" s="124" t="n">
        <v>41.3</v>
      </c>
      <c r="G169" s="17" t="n">
        <v>12</v>
      </c>
      <c r="H169" s="126" t="n">
        <v>300</v>
      </c>
      <c r="I169" s="127" t="n">
        <v>50000</v>
      </c>
      <c r="J169" s="127" t="inlineStr">
        <is>
          <t>12</t>
        </is>
      </c>
      <c r="K169" s="127" t="n">
        <v>18900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54</v>
      </c>
      <c r="U169" s="9" t="n"/>
    </row>
    <row r="170" ht="12" customFormat="1" customHeight="1" s="37">
      <c r="A170" s="73" t="inlineStr">
        <is>
          <t>호계동 호계현대홈타운2차</t>
        </is>
      </c>
      <c r="B170" s="74" t="inlineStr">
        <is>
          <t>03.11.</t>
        </is>
      </c>
      <c r="C170" s="123" t="n">
        <v>1977</v>
      </c>
      <c r="D170" s="124" t="n">
        <v>126.8</v>
      </c>
      <c r="E170" s="125" t="n">
        <v>38</v>
      </c>
      <c r="F170" s="124" t="n">
        <v>98.8</v>
      </c>
      <c r="G170" s="17" t="n">
        <v>30</v>
      </c>
      <c r="H170" s="126" t="n">
        <v>108</v>
      </c>
      <c r="I170" s="127" t="n">
        <v>81000</v>
      </c>
      <c r="J170" s="127" t="inlineStr">
        <is>
          <t>12</t>
        </is>
      </c>
      <c r="K170" s="127" t="n">
        <v>50000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126</v>
      </c>
      <c r="U170" s="9" t="n"/>
    </row>
    <row r="171" ht="12" customFormat="1" customHeight="1" s="37">
      <c r="A171" s="73" t="inlineStr">
        <is>
          <t>평촌동 초원6단지한양</t>
        </is>
      </c>
      <c r="B171" s="74" t="inlineStr">
        <is>
          <t>93.11.</t>
        </is>
      </c>
      <c r="C171" s="123" t="n">
        <v>870</v>
      </c>
      <c r="D171" s="124" t="n">
        <v>77.90000000000001</v>
      </c>
      <c r="E171" s="125" t="n">
        <v>24</v>
      </c>
      <c r="F171" s="124" t="n">
        <v>59.4</v>
      </c>
      <c r="G171" s="17" t="n">
        <v>18</v>
      </c>
      <c r="H171" s="126" t="n">
        <v>260</v>
      </c>
      <c r="I171" s="127" t="n">
        <v>71000</v>
      </c>
      <c r="J171" s="127" t="inlineStr">
        <is>
          <t>13</t>
        </is>
      </c>
      <c r="K171" s="127" t="n">
        <v>40000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77</v>
      </c>
      <c r="U171" s="9" t="n"/>
    </row>
    <row r="172" ht="12" customFormat="1" customHeight="1" s="37">
      <c r="A172" s="73" t="inlineStr">
        <is>
          <t>비산동 비산롯데캐슬</t>
        </is>
      </c>
      <c r="B172" s="74" t="inlineStr">
        <is>
          <t>03.09.</t>
        </is>
      </c>
      <c r="C172" s="123" t="n">
        <v>955</v>
      </c>
      <c r="D172" s="124" t="n">
        <v>72.8</v>
      </c>
      <c r="E172" s="125" t="n">
        <v>22</v>
      </c>
      <c r="F172" s="124" t="n">
        <v>56.8</v>
      </c>
      <c r="G172" s="17" t="n">
        <v>17</v>
      </c>
      <c r="H172" s="126" t="n">
        <v>144</v>
      </c>
      <c r="I172" s="127" t="n">
        <v>69000</v>
      </c>
      <c r="J172" s="127" t="inlineStr">
        <is>
          <t>13</t>
        </is>
      </c>
      <c r="K172" s="127" t="n">
        <v>38000</v>
      </c>
      <c r="L172" s="127" t="inlineStr">
        <is>
          <t>14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n">
        <v>72</v>
      </c>
      <c r="U172" s="9" t="n"/>
    </row>
    <row r="173" ht="12" customFormat="1" customHeight="1" s="37">
      <c r="A173" s="73" t="inlineStr">
        <is>
          <t>비산동 은하수,샛별5,6단지</t>
        </is>
      </c>
      <c r="B173" s="74" t="inlineStr">
        <is>
          <t>93.11.</t>
        </is>
      </c>
      <c r="C173" s="123" t="n">
        <v>3227</v>
      </c>
      <c r="D173" s="124" t="n">
        <v>58.6</v>
      </c>
      <c r="E173" s="125" t="n">
        <v>18</v>
      </c>
      <c r="F173" s="124" t="n">
        <v>42.6</v>
      </c>
      <c r="G173" s="17" t="n">
        <v>13</v>
      </c>
      <c r="H173" s="126" t="n">
        <v>600</v>
      </c>
      <c r="I173" s="127" t="n">
        <v>56000</v>
      </c>
      <c r="J173" s="127" t="inlineStr">
        <is>
          <t>중</t>
        </is>
      </c>
      <c r="K173" s="127" t="n">
        <v>25000</v>
      </c>
      <c r="L173" s="127" t="inlineStr">
        <is>
          <t>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n">
        <v>58</v>
      </c>
      <c r="U173" s="9" t="n"/>
    </row>
    <row r="174" ht="12" customFormat="1" customHeight="1" s="37">
      <c r="A174" s="73" t="inlineStr">
        <is>
          <t>호계동 평촌어바인퍼스트</t>
        </is>
      </c>
      <c r="B174" s="74" t="inlineStr">
        <is>
          <t>21.01.</t>
        </is>
      </c>
      <c r="C174" s="123" t="n">
        <v>3850</v>
      </c>
      <c r="D174" s="124" t="n">
        <v>85.40000000000001</v>
      </c>
      <c r="E174" s="125" t="n">
        <v>26</v>
      </c>
      <c r="F174" s="124" t="n">
        <v>59.9</v>
      </c>
      <c r="G174" s="17" t="n">
        <v>18</v>
      </c>
      <c r="H174" s="126" t="n">
        <v>1397</v>
      </c>
      <c r="I174" s="127" t="n">
        <v>82000</v>
      </c>
      <c r="J174" s="127" t="inlineStr">
        <is>
          <t>중</t>
        </is>
      </c>
      <c r="K174" s="127" t="n">
        <v>52000</v>
      </c>
      <c r="L174" s="127" t="inlineStr">
        <is>
          <t>22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85A</t>
        </is>
      </c>
      <c r="U174" s="9" t="n"/>
    </row>
    <row r="175" ht="12" customFormat="1" customHeight="1" s="37">
      <c r="A175" s="73" t="inlineStr">
        <is>
          <t>비산동 비산삼성래미안</t>
        </is>
      </c>
      <c r="B175" s="74" t="inlineStr">
        <is>
          <t>03.12.</t>
        </is>
      </c>
      <c r="C175" s="123" t="n">
        <v>3806</v>
      </c>
      <c r="D175" s="124" t="n">
        <v>108.3</v>
      </c>
      <c r="E175" s="125" t="n">
        <v>33</v>
      </c>
      <c r="F175" s="124" t="n">
        <v>84.90000000000001</v>
      </c>
      <c r="G175" s="17" t="n">
        <v>26</v>
      </c>
      <c r="H175" s="126" t="n">
        <v>2000</v>
      </c>
      <c r="I175" s="127" t="n">
        <v>80000</v>
      </c>
      <c r="J175" s="127" t="inlineStr">
        <is>
          <t>중</t>
        </is>
      </c>
      <c r="K175" s="127" t="n">
        <v>50000</v>
      </c>
      <c r="L175" s="127" t="inlineStr">
        <is>
          <t>22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108</v>
      </c>
      <c r="U175" s="9" t="n"/>
    </row>
    <row r="176" ht="12" customFormat="1" customHeight="1" s="37">
      <c r="A176" s="73" t="inlineStr">
        <is>
          <t>평촌동 삼성래미안</t>
        </is>
      </c>
      <c r="B176" s="74" t="inlineStr">
        <is>
          <t>00.05.</t>
        </is>
      </c>
      <c r="C176" s="123" t="n">
        <v>535</v>
      </c>
      <c r="D176" s="124" t="n">
        <v>109.7</v>
      </c>
      <c r="E176" s="125" t="n">
        <v>33</v>
      </c>
      <c r="F176" s="124" t="n">
        <v>85</v>
      </c>
      <c r="G176" s="17" t="n">
        <v>26</v>
      </c>
      <c r="H176" s="126" t="n">
        <v>316</v>
      </c>
      <c r="I176" s="127" t="n">
        <v>80000</v>
      </c>
      <c r="J176" s="127" t="inlineStr">
        <is>
          <t>5</t>
        </is>
      </c>
      <c r="K176" s="127" t="n">
        <v>50000</v>
      </c>
      <c r="L176" s="127" t="inlineStr">
        <is>
          <t>5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109B</t>
        </is>
      </c>
      <c r="U176" s="9" t="n"/>
    </row>
    <row r="177" ht="12" customFormat="1" customHeight="1" s="37">
      <c r="A177" s="73" t="inlineStr">
        <is>
          <t>평촌동 초원1단지성원</t>
        </is>
      </c>
      <c r="B177" s="74" t="inlineStr">
        <is>
          <t>92.08.</t>
        </is>
      </c>
      <c r="C177" s="123" t="n">
        <v>368</v>
      </c>
      <c r="D177" s="124" t="n">
        <v>75.09999999999999</v>
      </c>
      <c r="E177" s="125" t="n">
        <v>23</v>
      </c>
      <c r="F177" s="124" t="n">
        <v>59.9</v>
      </c>
      <c r="G177" s="17" t="n">
        <v>18</v>
      </c>
      <c r="H177" s="126" t="n">
        <v>120</v>
      </c>
      <c r="I177" s="127" t="n">
        <v>75000</v>
      </c>
      <c r="J177" s="127" t="inlineStr">
        <is>
          <t>12</t>
        </is>
      </c>
      <c r="K177" s="127" t="n">
        <v>45000</v>
      </c>
      <c r="L177" s="127" t="inlineStr">
        <is>
          <t>7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75</v>
      </c>
      <c r="U177" s="9" t="n"/>
    </row>
    <row r="178" ht="12" customFormat="1" customHeight="1" s="37">
      <c r="A178" s="73" t="inlineStr">
        <is>
          <t>평촌동 삼성래미안</t>
        </is>
      </c>
      <c r="B178" s="74" t="inlineStr">
        <is>
          <t>00.05.</t>
        </is>
      </c>
      <c r="C178" s="123" t="n">
        <v>535</v>
      </c>
      <c r="D178" s="124" t="n">
        <v>82</v>
      </c>
      <c r="E178" s="125" t="n">
        <v>25</v>
      </c>
      <c r="F178" s="124" t="n">
        <v>59.8</v>
      </c>
      <c r="G178" s="17" t="n">
        <v>18</v>
      </c>
      <c r="H178" s="126" t="n">
        <v>112</v>
      </c>
      <c r="I178" s="127" t="n">
        <v>75000</v>
      </c>
      <c r="J178" s="127" t="inlineStr">
        <is>
          <t>고</t>
        </is>
      </c>
      <c r="K178" s="127" t="n">
        <v>45000</v>
      </c>
      <c r="L178" s="127" t="inlineStr">
        <is>
          <t>15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inlineStr">
        <is>
          <t>82B</t>
        </is>
      </c>
      <c r="U178" s="9" t="n"/>
    </row>
    <row r="179" ht="12" customFormat="1" customHeight="1" s="37">
      <c r="A179" s="73" t="inlineStr">
        <is>
          <t>호계동 무궁화경남</t>
        </is>
      </c>
      <c r="B179" s="74" t="inlineStr">
        <is>
          <t>94.08.</t>
        </is>
      </c>
      <c r="C179" s="123" t="n">
        <v>590</v>
      </c>
      <c r="D179" s="124" t="n">
        <v>81.40000000000001</v>
      </c>
      <c r="E179" s="125" t="n">
        <v>25</v>
      </c>
      <c r="F179" s="124" t="n">
        <v>59.9</v>
      </c>
      <c r="G179" s="17" t="n">
        <v>18</v>
      </c>
      <c r="H179" s="126" t="n">
        <v>210</v>
      </c>
      <c r="I179" s="127" t="n">
        <v>72000</v>
      </c>
      <c r="J179" s="127" t="inlineStr">
        <is>
          <t>12</t>
        </is>
      </c>
      <c r="K179" s="127" t="n">
        <v>42000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n">
        <v>81</v>
      </c>
      <c r="U179" s="9" t="n"/>
    </row>
    <row r="180" ht="12" customFormat="1" customHeight="1" s="37">
      <c r="A180" s="73" t="inlineStr">
        <is>
          <t>비산동 안양임곡휴먼시아</t>
        </is>
      </c>
      <c r="B180" s="74" t="inlineStr">
        <is>
          <t>07.07.</t>
        </is>
      </c>
      <c r="C180" s="123" t="n">
        <v>492</v>
      </c>
      <c r="D180" s="124" t="n">
        <v>81.7</v>
      </c>
      <c r="E180" s="125" t="n">
        <v>25</v>
      </c>
      <c r="F180" s="124" t="n">
        <v>60</v>
      </c>
      <c r="G180" s="17" t="n">
        <v>18</v>
      </c>
      <c r="H180" s="126" t="n">
        <v>147</v>
      </c>
      <c r="I180" s="127" t="n">
        <v>68000</v>
      </c>
      <c r="J180" s="127" t="inlineStr">
        <is>
          <t>20</t>
        </is>
      </c>
      <c r="K180" s="127" t="n">
        <v>38000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81A</t>
        </is>
      </c>
      <c r="U180" s="9" t="n"/>
    </row>
    <row r="181" ht="12" customFormat="1" customHeight="1" s="37">
      <c r="A181" s="73" t="inlineStr">
        <is>
          <t>비산동 관악(동성,현대,청구)</t>
        </is>
      </c>
      <c r="B181" s="74" t="inlineStr">
        <is>
          <t>92.11.</t>
        </is>
      </c>
      <c r="C181" s="123" t="n">
        <v>1800</v>
      </c>
      <c r="D181" s="124" t="n">
        <v>76.7</v>
      </c>
      <c r="E181" s="125" t="n">
        <v>23</v>
      </c>
      <c r="F181" s="124" t="n">
        <v>59.4</v>
      </c>
      <c r="G181" s="17" t="n">
        <v>18</v>
      </c>
      <c r="H181" s="126" t="n">
        <v>360</v>
      </c>
      <c r="I181" s="127" t="n">
        <v>65000</v>
      </c>
      <c r="J181" s="127" t="inlineStr">
        <is>
          <t>15</t>
        </is>
      </c>
      <c r="K181" s="127" t="n">
        <v>35000</v>
      </c>
      <c r="L181" s="127" t="inlineStr">
        <is>
          <t>14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76</v>
      </c>
      <c r="U181" s="9" t="n"/>
    </row>
    <row r="182" ht="12" customFormat="1" customHeight="1" s="37">
      <c r="A182" s="73" t="inlineStr">
        <is>
          <t>관양동 한가람세경</t>
        </is>
      </c>
      <c r="B182" s="74" t="inlineStr">
        <is>
          <t>96.11.</t>
        </is>
      </c>
      <c r="C182" s="123" t="n">
        <v>1292</v>
      </c>
      <c r="D182" s="124" t="n">
        <v>64.09999999999999</v>
      </c>
      <c r="E182" s="125" t="n">
        <v>19</v>
      </c>
      <c r="F182" s="124" t="n">
        <v>49.7</v>
      </c>
      <c r="G182" s="17" t="n">
        <v>15</v>
      </c>
      <c r="H182" s="126" t="n">
        <v>660</v>
      </c>
      <c r="I182" s="127" t="n">
        <v>60000</v>
      </c>
      <c r="J182" s="127" t="inlineStr">
        <is>
          <t>중</t>
        </is>
      </c>
      <c r="K182" s="127" t="n">
        <v>30000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n">
        <v>64</v>
      </c>
      <c r="U182" s="9" t="n"/>
    </row>
    <row r="183" ht="12" customFormat="1" customHeight="1" s="37">
      <c r="A183" s="73" t="inlineStr">
        <is>
          <t>호계동 목련2단지</t>
        </is>
      </c>
      <c r="B183" s="74" t="inlineStr">
        <is>
          <t>92.03.</t>
        </is>
      </c>
      <c r="C183" s="123" t="n">
        <v>994</v>
      </c>
      <c r="D183" s="124" t="n">
        <v>46.3</v>
      </c>
      <c r="E183" s="125" t="n">
        <v>14</v>
      </c>
      <c r="F183" s="124" t="n">
        <v>34.4</v>
      </c>
      <c r="G183" s="17" t="n">
        <v>10</v>
      </c>
      <c r="H183" s="126" t="n">
        <v>384</v>
      </c>
      <c r="I183" s="127" t="n">
        <v>50000</v>
      </c>
      <c r="J183" s="127" t="inlineStr">
        <is>
          <t>10</t>
        </is>
      </c>
      <c r="K183" s="127" t="n">
        <v>20000</v>
      </c>
      <c r="L183" s="127" t="inlineStr">
        <is>
          <t>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복</t>
        </is>
      </c>
      <c r="T183" s="5" t="n">
        <v>46</v>
      </c>
      <c r="U183" s="9" t="n"/>
    </row>
    <row r="184" ht="12" customFormat="1" customHeight="1" s="37">
      <c r="A184" s="73" t="inlineStr">
        <is>
          <t>호계동 호계e-편한세상</t>
        </is>
      </c>
      <c r="B184" s="74" t="inlineStr">
        <is>
          <t>03.12.</t>
        </is>
      </c>
      <c r="C184" s="123" t="n">
        <v>1752</v>
      </c>
      <c r="D184" s="124" t="n">
        <v>143.8</v>
      </c>
      <c r="E184" s="125" t="n">
        <v>43</v>
      </c>
      <c r="F184" s="124" t="n">
        <v>116.5</v>
      </c>
      <c r="G184" s="17" t="n">
        <v>35</v>
      </c>
      <c r="H184" s="126" t="n">
        <v>210</v>
      </c>
      <c r="I184" s="127" t="n">
        <v>99000</v>
      </c>
      <c r="J184" s="127" t="inlineStr">
        <is>
          <t>중</t>
        </is>
      </c>
      <c r="K184" s="127" t="n">
        <v>70000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143</v>
      </c>
      <c r="U184" s="9" t="n"/>
    </row>
    <row r="185" ht="12" customFormat="1" customHeight="1" s="37">
      <c r="A185" s="73" t="inlineStr">
        <is>
          <t>비산동 비산e-편한세상</t>
        </is>
      </c>
      <c r="B185" s="74" t="inlineStr">
        <is>
          <t>08.10.</t>
        </is>
      </c>
      <c r="C185" s="123" t="n">
        <v>486</v>
      </c>
      <c r="D185" s="124" t="n">
        <v>106.2</v>
      </c>
      <c r="E185" s="125" t="n">
        <v>32</v>
      </c>
      <c r="F185" s="124" t="n">
        <v>85</v>
      </c>
      <c r="G185" s="17" t="n">
        <v>26</v>
      </c>
      <c r="H185" s="126" t="n">
        <v>142</v>
      </c>
      <c r="I185" s="127" t="n">
        <v>92000</v>
      </c>
      <c r="J185" s="127" t="inlineStr">
        <is>
          <t>중</t>
        </is>
      </c>
      <c r="K185" s="127" t="n">
        <v>63000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106C</t>
        </is>
      </c>
      <c r="U185" s="9" t="n"/>
    </row>
    <row r="186" ht="12" customFormat="1" customHeight="1" s="37">
      <c r="A186" s="73" t="inlineStr">
        <is>
          <t>관양동 공작부영</t>
        </is>
      </c>
      <c r="B186" s="74" t="inlineStr">
        <is>
          <t>93.03.</t>
        </is>
      </c>
      <c r="C186" s="123" t="n">
        <v>1710</v>
      </c>
      <c r="D186" s="124" t="n">
        <v>68.09999999999999</v>
      </c>
      <c r="E186" s="125" t="n">
        <v>21</v>
      </c>
      <c r="F186" s="124" t="n">
        <v>50</v>
      </c>
      <c r="G186" s="17" t="n">
        <v>15</v>
      </c>
      <c r="H186" s="126" t="n">
        <v>510</v>
      </c>
      <c r="I186" s="127" t="n">
        <v>64000</v>
      </c>
      <c r="J186" s="127" t="inlineStr">
        <is>
          <t>고</t>
        </is>
      </c>
      <c r="K186" s="127" t="n">
        <v>35000</v>
      </c>
      <c r="L186" s="127" t="inlineStr">
        <is>
          <t>고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68</v>
      </c>
      <c r="U186" s="9" t="n"/>
    </row>
    <row r="187" ht="12" customFormat="1" customHeight="1" s="37">
      <c r="A187" s="73" t="inlineStr">
        <is>
          <t>관양동 한가람신라</t>
        </is>
      </c>
      <c r="B187" s="74" t="inlineStr">
        <is>
          <t>92.07.</t>
        </is>
      </c>
      <c r="C187" s="123" t="n">
        <v>1068</v>
      </c>
      <c r="D187" s="124" t="n">
        <v>59.7</v>
      </c>
      <c r="E187" s="125" t="n">
        <v>18</v>
      </c>
      <c r="F187" s="124" t="n">
        <v>45.8</v>
      </c>
      <c r="G187" s="17" t="n">
        <v>14</v>
      </c>
      <c r="H187" s="126" t="n">
        <v>182</v>
      </c>
      <c r="I187" s="127" t="n">
        <v>54000</v>
      </c>
      <c r="J187" s="127" t="inlineStr">
        <is>
          <t>고</t>
        </is>
      </c>
      <c r="K187" s="127" t="n">
        <v>25000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59</v>
      </c>
      <c r="U187" s="9" t="n"/>
    </row>
    <row r="188" ht="12" customFormat="1" customHeight="1" s="37">
      <c r="A188" s="73" t="inlineStr">
        <is>
          <t>비산동 관악(부영)</t>
        </is>
      </c>
      <c r="B188" s="74" t="inlineStr">
        <is>
          <t>93.10.</t>
        </is>
      </c>
      <c r="C188" s="123" t="n">
        <v>796</v>
      </c>
      <c r="D188" s="124" t="n">
        <v>85</v>
      </c>
      <c r="E188" s="125" t="n">
        <v>26</v>
      </c>
      <c r="F188" s="124" t="n">
        <v>59.4</v>
      </c>
      <c r="G188" s="17" t="n">
        <v>18</v>
      </c>
      <c r="H188" s="126" t="n">
        <v>264</v>
      </c>
      <c r="I188" s="127" t="n">
        <v>67000</v>
      </c>
      <c r="J188" s="127" t="inlineStr">
        <is>
          <t>고</t>
        </is>
      </c>
      <c r="K188" s="127" t="n">
        <v>39000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복</t>
        </is>
      </c>
      <c r="T188" s="5" t="n">
        <v>85</v>
      </c>
      <c r="U188" s="9" t="n"/>
    </row>
    <row r="189" ht="12" customFormat="1" customHeight="1" s="37">
      <c r="A189" s="73" t="inlineStr">
        <is>
          <t>관양동 공작럭키</t>
        </is>
      </c>
      <c r="B189" s="74" t="inlineStr">
        <is>
          <t>93.06.</t>
        </is>
      </c>
      <c r="C189" s="123" t="n">
        <v>766</v>
      </c>
      <c r="D189" s="124" t="n">
        <v>67.2</v>
      </c>
      <c r="E189" s="125" t="n">
        <v>20</v>
      </c>
      <c r="F189" s="124" t="n">
        <v>49.8</v>
      </c>
      <c r="G189" s="17" t="n">
        <v>15</v>
      </c>
      <c r="H189" s="126" t="n">
        <v>766</v>
      </c>
      <c r="I189" s="127" t="n">
        <v>56000</v>
      </c>
      <c r="J189" s="127" t="inlineStr">
        <is>
          <t>14</t>
        </is>
      </c>
      <c r="K189" s="127" t="n">
        <v>28000</v>
      </c>
      <c r="L189" s="127" t="inlineStr">
        <is>
          <t>9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n">
        <v>67</v>
      </c>
      <c r="U189" s="9" t="n"/>
    </row>
    <row r="190" ht="12" customFormat="1" customHeight="1" s="37">
      <c r="A190" s="73" t="inlineStr">
        <is>
          <t>호계동 평촌어바인퍼스트</t>
        </is>
      </c>
      <c r="B190" s="74" t="inlineStr">
        <is>
          <t>21.01.</t>
        </is>
      </c>
      <c r="C190" s="123" t="n">
        <v>3850</v>
      </c>
      <c r="D190" s="124" t="n">
        <v>57.6</v>
      </c>
      <c r="E190" s="125" t="n">
        <v>17</v>
      </c>
      <c r="F190" s="124" t="n">
        <v>39.3</v>
      </c>
      <c r="G190" s="17" t="n">
        <v>12</v>
      </c>
      <c r="H190" s="126" t="n">
        <v>463</v>
      </c>
      <c r="I190" s="127" t="n">
        <v>54000</v>
      </c>
      <c r="J190" s="127" t="inlineStr">
        <is>
          <t>14</t>
        </is>
      </c>
      <c r="K190" s="127" t="n">
        <v>26000</v>
      </c>
      <c r="L190" s="127" t="inlineStr">
        <is>
          <t>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계</t>
        </is>
      </c>
      <c r="T190" s="5" t="n">
        <v>57</v>
      </c>
      <c r="U190" s="9" t="n"/>
    </row>
    <row r="191" ht="12" customFormat="1" customHeight="1" s="37">
      <c r="A191" s="73" t="inlineStr">
        <is>
          <t>관양동 한가람신라</t>
        </is>
      </c>
      <c r="B191" s="74" t="inlineStr">
        <is>
          <t>92.07.</t>
        </is>
      </c>
      <c r="C191" s="123" t="n">
        <v>1068</v>
      </c>
      <c r="D191" s="124" t="n">
        <v>57.1</v>
      </c>
      <c r="E191" s="125" t="n">
        <v>17</v>
      </c>
      <c r="F191" s="124" t="n">
        <v>42.7</v>
      </c>
      <c r="G191" s="17" t="n">
        <v>13</v>
      </c>
      <c r="H191" s="126" t="n">
        <v>238</v>
      </c>
      <c r="I191" s="127" t="n">
        <v>53000</v>
      </c>
      <c r="J191" s="127" t="inlineStr">
        <is>
          <t>중</t>
        </is>
      </c>
      <c r="K191" s="127" t="n">
        <v>25000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57</v>
      </c>
      <c r="U191" s="9" t="n"/>
    </row>
    <row r="192" ht="12" customFormat="1" customHeight="1" s="37">
      <c r="A192" s="73" t="inlineStr">
        <is>
          <t>관양동 한가람한양</t>
        </is>
      </c>
      <c r="B192" s="74" t="inlineStr">
        <is>
          <t>95.05.</t>
        </is>
      </c>
      <c r="C192" s="123" t="n">
        <v>952</v>
      </c>
      <c r="D192" s="124" t="n">
        <v>55.1</v>
      </c>
      <c r="E192" s="125" t="n">
        <v>17</v>
      </c>
      <c r="F192" s="124" t="n">
        <v>41.1</v>
      </c>
      <c r="G192" s="17" t="n">
        <v>12</v>
      </c>
      <c r="H192" s="126" t="n">
        <v>560</v>
      </c>
      <c r="I192" s="127" t="n">
        <v>49000</v>
      </c>
      <c r="J192" s="127" t="inlineStr">
        <is>
          <t>6</t>
        </is>
      </c>
      <c r="K192" s="127" t="n">
        <v>21000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55</v>
      </c>
      <c r="U192" s="9" t="n"/>
    </row>
    <row r="193" ht="12" customFormat="1" customHeight="1" s="37">
      <c r="A193" s="73" t="inlineStr">
        <is>
          <t>비산동 샛별한양1단지</t>
        </is>
      </c>
      <c r="B193" s="74" t="inlineStr">
        <is>
          <t>93.03.</t>
        </is>
      </c>
      <c r="C193" s="123" t="n">
        <v>1262</v>
      </c>
      <c r="D193" s="124" t="n">
        <v>46.9</v>
      </c>
      <c r="E193" s="125" t="n">
        <v>14</v>
      </c>
      <c r="F193" s="124" t="n">
        <v>35.1</v>
      </c>
      <c r="G193" s="17" t="n">
        <v>11</v>
      </c>
      <c r="H193" s="126" t="n">
        <v>150</v>
      </c>
      <c r="I193" s="127" t="n">
        <v>48000</v>
      </c>
      <c r="J193" s="127" t="inlineStr">
        <is>
          <t>10</t>
        </is>
      </c>
      <c r="K193" s="127" t="n">
        <v>20000</v>
      </c>
      <c r="L193" s="127" t="inlineStr">
        <is>
          <t>14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46</v>
      </c>
      <c r="U193" s="9" t="n"/>
    </row>
    <row r="194" ht="12" customFormat="1" customHeight="1" s="37">
      <c r="A194" s="73" t="inlineStr">
        <is>
          <t>비산동 비산삼성래미안</t>
        </is>
      </c>
      <c r="B194" s="74" t="inlineStr">
        <is>
          <t>03.12.</t>
        </is>
      </c>
      <c r="C194" s="123" t="n">
        <v>3806</v>
      </c>
      <c r="D194" s="124" t="n">
        <v>81.7</v>
      </c>
      <c r="E194" s="125" t="n">
        <v>25</v>
      </c>
      <c r="F194" s="124" t="n">
        <v>59.9</v>
      </c>
      <c r="G194" s="17" t="n">
        <v>18</v>
      </c>
      <c r="H194" s="126" t="n">
        <v>250</v>
      </c>
      <c r="I194" s="127" t="n">
        <v>70500</v>
      </c>
      <c r="J194" s="127" t="inlineStr">
        <is>
          <t>5</t>
        </is>
      </c>
      <c r="K194" s="127" t="n">
        <v>43000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81C</t>
        </is>
      </c>
      <c r="U194" s="9" t="n"/>
    </row>
    <row r="195" ht="12" customFormat="1" customHeight="1" s="37">
      <c r="A195" s="73" t="inlineStr">
        <is>
          <t>호계동 무궁화건영</t>
        </is>
      </c>
      <c r="B195" s="74" t="inlineStr">
        <is>
          <t>92.09.</t>
        </is>
      </c>
      <c r="C195" s="123" t="n">
        <v>468</v>
      </c>
      <c r="D195" s="124" t="n">
        <v>102.4</v>
      </c>
      <c r="E195" s="125" t="n">
        <v>31</v>
      </c>
      <c r="F195" s="124" t="n">
        <v>84.8</v>
      </c>
      <c r="G195" s="17" t="n">
        <v>26</v>
      </c>
      <c r="H195" s="126" t="n">
        <v>300</v>
      </c>
      <c r="I195" s="127" t="n">
        <v>80000</v>
      </c>
      <c r="J195" s="127" t="inlineStr">
        <is>
          <t>12</t>
        </is>
      </c>
      <c r="K195" s="127" t="n">
        <v>53000</v>
      </c>
      <c r="L195" s="127" t="inlineStr">
        <is>
          <t>11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102</v>
      </c>
      <c r="U195" s="9" t="n"/>
    </row>
    <row r="196" ht="12" customFormat="1" customHeight="1" s="37">
      <c r="A196" s="73" t="inlineStr">
        <is>
          <t>호계동 무궁화태영</t>
        </is>
      </c>
      <c r="B196" s="74" t="inlineStr">
        <is>
          <t>92.08.</t>
        </is>
      </c>
      <c r="C196" s="123" t="n">
        <v>654</v>
      </c>
      <c r="D196" s="124" t="n">
        <v>93.8</v>
      </c>
      <c r="E196" s="125" t="n">
        <v>28</v>
      </c>
      <c r="F196" s="124" t="n">
        <v>76.2</v>
      </c>
      <c r="G196" s="17" t="n">
        <v>23</v>
      </c>
      <c r="H196" s="126" t="n">
        <v>144</v>
      </c>
      <c r="I196" s="127" t="n">
        <v>70000</v>
      </c>
      <c r="J196" s="127" t="inlineStr">
        <is>
          <t>고</t>
        </is>
      </c>
      <c r="K196" s="127" t="n">
        <v>43000</v>
      </c>
      <c r="L196" s="127" t="inlineStr">
        <is>
          <t>10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93</v>
      </c>
      <c r="U196" s="9" t="n"/>
    </row>
    <row r="197" ht="12" customFormat="1" customHeight="1" s="37">
      <c r="A197" s="73" t="inlineStr">
        <is>
          <t>비산동 샛별한양1단지</t>
        </is>
      </c>
      <c r="B197" s="74" t="inlineStr">
        <is>
          <t>93.03.</t>
        </is>
      </c>
      <c r="C197" s="123" t="n">
        <v>1262</v>
      </c>
      <c r="D197" s="124" t="n">
        <v>57.5</v>
      </c>
      <c r="E197" s="125" t="n">
        <v>17</v>
      </c>
      <c r="F197" s="124" t="n">
        <v>42.6</v>
      </c>
      <c r="G197" s="17" t="n">
        <v>13</v>
      </c>
      <c r="H197" s="126" t="n">
        <v>720</v>
      </c>
      <c r="I197" s="127" t="n">
        <v>48000</v>
      </c>
      <c r="J197" s="127" t="inlineStr">
        <is>
          <t>중</t>
        </is>
      </c>
      <c r="K197" s="127" t="n">
        <v>21000</v>
      </c>
      <c r="L197" s="127" t="inlineStr">
        <is>
          <t>6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57A</t>
        </is>
      </c>
      <c r="U197" s="9" t="n"/>
    </row>
    <row r="198" ht="12" customFormat="1" customHeight="1" s="37">
      <c r="A198" s="73" t="inlineStr">
        <is>
          <t>평촌동 인덕원대림2차</t>
        </is>
      </c>
      <c r="B198" s="74" t="inlineStr">
        <is>
          <t>04.11.</t>
        </is>
      </c>
      <c r="C198" s="123" t="n">
        <v>862</v>
      </c>
      <c r="D198" s="124" t="n">
        <v>79.59999999999999</v>
      </c>
      <c r="E198" s="125" t="n">
        <v>24</v>
      </c>
      <c r="F198" s="124" t="n">
        <v>59.8</v>
      </c>
      <c r="G198" s="17" t="n">
        <v>18</v>
      </c>
      <c r="H198" s="126" t="n">
        <v>157</v>
      </c>
      <c r="I198" s="127" t="n">
        <v>76500</v>
      </c>
      <c r="J198" s="127" t="inlineStr">
        <is>
          <t>10</t>
        </is>
      </c>
      <c r="K198" s="127" t="n">
        <v>50000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79</v>
      </c>
      <c r="U198" s="9" t="n"/>
    </row>
    <row r="199" ht="12" customFormat="1" customHeight="1" s="37">
      <c r="A199" s="73" t="inlineStr">
        <is>
          <t>호계동 무궁화코오롱</t>
        </is>
      </c>
      <c r="B199" s="74" t="inlineStr">
        <is>
          <t>92.09.</t>
        </is>
      </c>
      <c r="C199" s="123" t="n">
        <v>458</v>
      </c>
      <c r="D199" s="124" t="n">
        <v>82.8</v>
      </c>
      <c r="E199" s="125" t="n">
        <v>25</v>
      </c>
      <c r="F199" s="124" t="n">
        <v>59.3</v>
      </c>
      <c r="G199" s="17" t="n">
        <v>18</v>
      </c>
      <c r="H199" s="126" t="n">
        <v>78</v>
      </c>
      <c r="I199" s="127" t="n">
        <v>70000</v>
      </c>
      <c r="J199" s="127" t="inlineStr">
        <is>
          <t>8</t>
        </is>
      </c>
      <c r="K199" s="127" t="n">
        <v>44000</v>
      </c>
      <c r="L199" s="127" t="inlineStr">
        <is>
          <t>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82</v>
      </c>
      <c r="U199" s="9" t="n"/>
    </row>
    <row r="200" ht="12" customFormat="1" customHeight="1" s="37">
      <c r="A200" s="73" t="inlineStr">
        <is>
          <t>비산동 안양임곡휴먼시아</t>
        </is>
      </c>
      <c r="B200" s="74" t="inlineStr">
        <is>
          <t>07.07.</t>
        </is>
      </c>
      <c r="C200" s="123" t="n">
        <v>492</v>
      </c>
      <c r="D200" s="124" t="n">
        <v>148.2</v>
      </c>
      <c r="E200" s="125" t="n">
        <v>45</v>
      </c>
      <c r="F200" s="124" t="n">
        <v>108.7</v>
      </c>
      <c r="G200" s="17" t="n">
        <v>33</v>
      </c>
      <c r="H200" s="126" t="n">
        <v>39</v>
      </c>
      <c r="I200" s="127" t="n">
        <v>100000</v>
      </c>
      <c r="J200" s="127" t="inlineStr">
        <is>
          <t>20</t>
        </is>
      </c>
      <c r="K200" s="127" t="n">
        <v>75000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</row>
    <row r="201" ht="12" customFormat="1" customHeight="1" s="37">
      <c r="A201" s="73" t="inlineStr">
        <is>
          <t>비산동 비산롯데캐슬</t>
        </is>
      </c>
      <c r="B201" s="74" t="inlineStr">
        <is>
          <t>03.09.</t>
        </is>
      </c>
      <c r="C201" s="123" t="n">
        <v>955</v>
      </c>
      <c r="D201" s="124" t="n">
        <v>136.9</v>
      </c>
      <c r="E201" s="125" t="n">
        <v>41</v>
      </c>
      <c r="F201" s="124" t="n">
        <v>108.2</v>
      </c>
      <c r="G201" s="17" t="n">
        <v>33</v>
      </c>
      <c r="H201" s="126" t="n">
        <v>146</v>
      </c>
      <c r="I201" s="127" t="n">
        <v>90000</v>
      </c>
      <c r="J201" s="127" t="inlineStr">
        <is>
          <t>17</t>
        </is>
      </c>
      <c r="K201" s="127" t="n">
        <v>65000</v>
      </c>
      <c r="L201" s="127" t="inlineStr">
        <is>
          <t>20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136</v>
      </c>
      <c r="U201" s="9" t="n"/>
    </row>
    <row r="202" ht="12" customFormat="1" customHeight="1" s="37">
      <c r="A202" s="73" t="inlineStr">
        <is>
          <t>비산동 안양임곡휴먼시아</t>
        </is>
      </c>
      <c r="B202" s="74" t="inlineStr">
        <is>
          <t>07.07.</t>
        </is>
      </c>
      <c r="C202" s="123" t="n">
        <v>492</v>
      </c>
      <c r="D202" s="124" t="n">
        <v>115.8</v>
      </c>
      <c r="E202" s="125" t="n">
        <v>35</v>
      </c>
      <c r="F202" s="124" t="n">
        <v>85</v>
      </c>
      <c r="G202" s="17" t="n">
        <v>26</v>
      </c>
      <c r="H202" s="126" t="n">
        <v>79</v>
      </c>
      <c r="I202" s="127" t="n">
        <v>80000</v>
      </c>
      <c r="J202" s="127" t="inlineStr">
        <is>
          <t>9</t>
        </is>
      </c>
      <c r="K202" s="127" t="n">
        <v>55000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115A</t>
        </is>
      </c>
      <c r="U202" s="9" t="n"/>
    </row>
    <row r="203" ht="12" customFormat="1" customHeight="1" s="37">
      <c r="A203" s="73" t="inlineStr">
        <is>
          <t>비산동 비산힐스테이트</t>
        </is>
      </c>
      <c r="B203" s="74" t="inlineStr">
        <is>
          <t>05.11.</t>
        </is>
      </c>
      <c r="C203" s="123" t="n">
        <v>551</v>
      </c>
      <c r="D203" s="124" t="n">
        <v>104.2</v>
      </c>
      <c r="E203" s="125" t="n">
        <v>32</v>
      </c>
      <c r="F203" s="124" t="n">
        <v>82.2</v>
      </c>
      <c r="G203" s="17" t="n">
        <v>25</v>
      </c>
      <c r="H203" s="126" t="n">
        <v>314</v>
      </c>
      <c r="I203" s="127" t="n">
        <v>70000</v>
      </c>
      <c r="J203" s="127" t="inlineStr">
        <is>
          <t>중</t>
        </is>
      </c>
      <c r="K203" s="127" t="n">
        <v>45000</v>
      </c>
      <c r="L203" s="127" t="inlineStr">
        <is>
          <t>중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104</v>
      </c>
      <c r="U203" s="9" t="n"/>
    </row>
    <row r="204" ht="12" customFormat="1" customHeight="1" s="37">
      <c r="A204" s="73" t="inlineStr">
        <is>
          <t>호계동 금정역호계푸르지오</t>
        </is>
      </c>
      <c r="B204" s="74" t="inlineStr">
        <is>
          <t>15.08.</t>
        </is>
      </c>
      <c r="C204" s="123" t="n">
        <v>410</v>
      </c>
      <c r="D204" s="124" t="n">
        <v>80.90000000000001</v>
      </c>
      <c r="E204" s="125" t="n">
        <v>24</v>
      </c>
      <c r="F204" s="124" t="n">
        <v>59.9</v>
      </c>
      <c r="G204" s="17" t="n">
        <v>18</v>
      </c>
      <c r="H204" s="126" t="n">
        <v>179</v>
      </c>
      <c r="I204" s="127" t="n">
        <v>70000</v>
      </c>
      <c r="J204" s="127" t="inlineStr">
        <is>
          <t>10</t>
        </is>
      </c>
      <c r="K204" s="127" t="n">
        <v>45000</v>
      </c>
      <c r="L204" s="127" t="inlineStr">
        <is>
          <t>고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80A1</t>
        </is>
      </c>
      <c r="U204" s="9" t="n"/>
    </row>
    <row r="205" ht="12" customFormat="1" customHeight="1" s="37">
      <c r="A205" s="73" t="inlineStr">
        <is>
          <t>비산동 샛별한양3단지</t>
        </is>
      </c>
      <c r="B205" s="74" t="inlineStr">
        <is>
          <t>93.04.</t>
        </is>
      </c>
      <c r="C205" s="123" t="n">
        <v>638</v>
      </c>
      <c r="D205" s="124" t="n">
        <v>55.8</v>
      </c>
      <c r="E205" s="125" t="n">
        <v>17</v>
      </c>
      <c r="F205" s="124" t="n">
        <v>41.3</v>
      </c>
      <c r="G205" s="17" t="n">
        <v>12</v>
      </c>
      <c r="H205" s="126" t="n">
        <v>366</v>
      </c>
      <c r="I205" s="127" t="n">
        <v>49000</v>
      </c>
      <c r="J205" s="127" t="inlineStr">
        <is>
          <t>9</t>
        </is>
      </c>
      <c r="K205" s="127" t="n">
        <v>24000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55</v>
      </c>
      <c r="U205" s="9" t="n"/>
    </row>
    <row r="206" ht="12" customFormat="1" customHeight="1" s="37">
      <c r="A206" s="73" t="inlineStr">
        <is>
          <t>평촌동 초원7단지부영</t>
        </is>
      </c>
      <c r="B206" s="74" t="inlineStr">
        <is>
          <t>92.10.</t>
        </is>
      </c>
      <c r="C206" s="123" t="n">
        <v>1743</v>
      </c>
      <c r="D206" s="124" t="n">
        <v>51.8</v>
      </c>
      <c r="E206" s="125" t="n">
        <v>16</v>
      </c>
      <c r="F206" s="124" t="n">
        <v>37.9</v>
      </c>
      <c r="G206" s="17" t="n">
        <v>11</v>
      </c>
      <c r="H206" s="126" t="n">
        <v>768</v>
      </c>
      <c r="I206" s="127" t="n">
        <v>49000</v>
      </c>
      <c r="J206" s="127" t="inlineStr">
        <is>
          <t>7</t>
        </is>
      </c>
      <c r="K206" s="127" t="n">
        <v>25000</v>
      </c>
      <c r="L206" s="127" t="inlineStr">
        <is>
          <t>5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51</v>
      </c>
      <c r="U206" s="9" t="n"/>
    </row>
    <row r="207" ht="12" customFormat="1" customHeight="1" s="37">
      <c r="A207" s="73" t="inlineStr">
        <is>
          <t>관양동 한가람신라</t>
        </is>
      </c>
      <c r="B207" s="74" t="inlineStr">
        <is>
          <t>92.07.</t>
        </is>
      </c>
      <c r="C207" s="123" t="n">
        <v>1068</v>
      </c>
      <c r="D207" s="124" t="n">
        <v>50</v>
      </c>
      <c r="E207" s="125" t="n">
        <v>15</v>
      </c>
      <c r="F207" s="124" t="n">
        <v>38.3</v>
      </c>
      <c r="G207" s="17" t="n">
        <v>12</v>
      </c>
      <c r="H207" s="126" t="n">
        <v>180</v>
      </c>
      <c r="I207" s="127" t="n">
        <v>46000</v>
      </c>
      <c r="J207" s="127" t="inlineStr">
        <is>
          <t>7</t>
        </is>
      </c>
      <c r="K207" s="127" t="n">
        <v>22000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복</t>
        </is>
      </c>
      <c r="T207" s="5" t="n">
        <v>49</v>
      </c>
      <c r="U207" s="9" t="n"/>
    </row>
    <row r="208" ht="12" customFormat="1" customHeight="1" s="37">
      <c r="A208" s="73" t="inlineStr">
        <is>
          <t>비산동 관악(성원)</t>
        </is>
      </c>
      <c r="B208" s="74" t="inlineStr">
        <is>
          <t>93.07.</t>
        </is>
      </c>
      <c r="C208" s="123" t="n">
        <v>790</v>
      </c>
      <c r="D208" s="124" t="n">
        <v>51</v>
      </c>
      <c r="E208" s="125" t="n">
        <v>15</v>
      </c>
      <c r="F208" s="124" t="n">
        <v>33.7</v>
      </c>
      <c r="G208" s="17" t="n">
        <v>10</v>
      </c>
      <c r="H208" s="126" t="n">
        <v>200</v>
      </c>
      <c r="I208" s="127" t="n">
        <v>45000</v>
      </c>
      <c r="J208" s="127" t="inlineStr">
        <is>
          <t>9</t>
        </is>
      </c>
      <c r="K208" s="127" t="n">
        <v>21000</v>
      </c>
      <c r="L208" s="127" t="inlineStr">
        <is>
          <t>10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inlineStr">
        <is>
          <t>51A</t>
        </is>
      </c>
      <c r="U208" s="9" t="n"/>
    </row>
    <row r="209" ht="12" customFormat="1" customHeight="1" s="37">
      <c r="A209" s="73" t="inlineStr">
        <is>
          <t>호계동 호계현대홈타운2차</t>
        </is>
      </c>
      <c r="B209" s="74" t="inlineStr">
        <is>
          <t>03.11.</t>
        </is>
      </c>
      <c r="C209" s="123" t="n">
        <v>1977</v>
      </c>
      <c r="D209" s="124" t="n">
        <v>111.6</v>
      </c>
      <c r="E209" s="125" t="n">
        <v>34</v>
      </c>
      <c r="F209" s="124" t="n">
        <v>85</v>
      </c>
      <c r="G209" s="17" t="n">
        <v>26</v>
      </c>
      <c r="H209" s="126" t="n">
        <v>898</v>
      </c>
      <c r="I209" s="127" t="n">
        <v>71000</v>
      </c>
      <c r="J209" s="127" t="inlineStr">
        <is>
          <t>중</t>
        </is>
      </c>
      <c r="K209" s="127" t="n">
        <v>48000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111</v>
      </c>
      <c r="U209" s="9" t="n"/>
    </row>
    <row r="210" ht="12" customFormat="1" customHeight="1" s="37">
      <c r="A210" s="73" t="inlineStr">
        <is>
          <t>호계동 호계e-편한세상</t>
        </is>
      </c>
      <c r="B210" s="74" t="inlineStr">
        <is>
          <t>03.12.</t>
        </is>
      </c>
      <c r="C210" s="123" t="n">
        <v>1752</v>
      </c>
      <c r="D210" s="124" t="n">
        <v>107.4</v>
      </c>
      <c r="E210" s="125" t="n">
        <v>32</v>
      </c>
      <c r="F210" s="124" t="n">
        <v>84.8</v>
      </c>
      <c r="G210" s="17" t="n">
        <v>26</v>
      </c>
      <c r="H210" s="126" t="n">
        <v>810</v>
      </c>
      <c r="I210" s="127" t="n">
        <v>68000</v>
      </c>
      <c r="J210" s="127" t="inlineStr">
        <is>
          <t>12</t>
        </is>
      </c>
      <c r="K210" s="127" t="n">
        <v>45000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107A</t>
        </is>
      </c>
      <c r="U210" s="9" t="n"/>
    </row>
    <row r="211" ht="12" customFormat="1" customHeight="1" s="37">
      <c r="A211" s="73" t="inlineStr">
        <is>
          <t>호계동 한마음1단지</t>
        </is>
      </c>
      <c r="B211" s="74" t="inlineStr">
        <is>
          <t>99.07.</t>
        </is>
      </c>
      <c r="C211" s="123" t="n">
        <v>644</v>
      </c>
      <c r="D211" s="124" t="n">
        <v>107.2</v>
      </c>
      <c r="E211" s="125" t="n">
        <v>32</v>
      </c>
      <c r="F211" s="124" t="n">
        <v>85</v>
      </c>
      <c r="G211" s="17" t="n">
        <v>26</v>
      </c>
      <c r="H211" s="126" t="n">
        <v>320</v>
      </c>
      <c r="I211" s="127" t="n">
        <v>68000</v>
      </c>
      <c r="J211" s="127" t="inlineStr">
        <is>
          <t>19</t>
        </is>
      </c>
      <c r="K211" s="127" t="n">
        <v>45000</v>
      </c>
      <c r="L211" s="127" t="inlineStr">
        <is>
          <t>중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3" t="inlineStr">
        <is>
          <t>호계동 호계e-편한세상</t>
        </is>
      </c>
      <c r="B212" s="74" t="inlineStr">
        <is>
          <t>03.12.</t>
        </is>
      </c>
      <c r="C212" s="123" t="n">
        <v>1752</v>
      </c>
      <c r="D212" s="124" t="n">
        <v>82.09999999999999</v>
      </c>
      <c r="E212" s="125" t="n">
        <v>25</v>
      </c>
      <c r="F212" s="124" t="n">
        <v>59.9</v>
      </c>
      <c r="G212" s="17" t="n">
        <v>18</v>
      </c>
      <c r="H212" s="126" t="n">
        <v>130</v>
      </c>
      <c r="I212" s="127" t="n">
        <v>61000</v>
      </c>
      <c r="J212" s="127" t="inlineStr">
        <is>
          <t>중</t>
        </is>
      </c>
      <c r="K212" s="127" t="n">
        <v>38000</v>
      </c>
      <c r="L212" s="127" t="inlineStr">
        <is>
          <t>중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82A</t>
        </is>
      </c>
      <c r="U212" s="9" t="n"/>
    </row>
    <row r="213" ht="12" customFormat="1" customHeight="1" s="37">
      <c r="A213" s="73" t="inlineStr">
        <is>
          <t>비산동 관악(성원)</t>
        </is>
      </c>
      <c r="B213" s="74" t="inlineStr">
        <is>
          <t>93.07.</t>
        </is>
      </c>
      <c r="C213" s="123" t="n">
        <v>790</v>
      </c>
      <c r="D213" s="124" t="n">
        <v>69.90000000000001</v>
      </c>
      <c r="E213" s="125" t="n">
        <v>21</v>
      </c>
      <c r="F213" s="124" t="n">
        <v>49.7</v>
      </c>
      <c r="G213" s="17" t="n">
        <v>15</v>
      </c>
      <c r="H213" s="126" t="n">
        <v>360</v>
      </c>
      <c r="I213" s="127" t="n">
        <v>58000</v>
      </c>
      <c r="J213" s="127" t="inlineStr">
        <is>
          <t>12</t>
        </is>
      </c>
      <c r="K213" s="127" t="n">
        <v>35000</v>
      </c>
      <c r="L213" s="127" t="inlineStr">
        <is>
          <t>15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복</t>
        </is>
      </c>
      <c r="T213" s="5" t="n">
        <v>69</v>
      </c>
      <c r="U213" s="9" t="n"/>
    </row>
    <row r="214" ht="12" customFormat="1" customHeight="1" s="37">
      <c r="A214" s="73" t="inlineStr">
        <is>
          <t>호계동 무궁화건영</t>
        </is>
      </c>
      <c r="B214" s="74" t="inlineStr">
        <is>
          <t>92.09.</t>
        </is>
      </c>
      <c r="C214" s="123" t="n">
        <v>468</v>
      </c>
      <c r="D214" s="124" t="n">
        <v>66.7</v>
      </c>
      <c r="E214" s="125" t="n">
        <v>20</v>
      </c>
      <c r="F214" s="124" t="n">
        <v>53.6</v>
      </c>
      <c r="G214" s="17" t="n">
        <v>16</v>
      </c>
      <c r="H214" s="126" t="n">
        <v>112</v>
      </c>
      <c r="I214" s="127" t="n">
        <v>56000</v>
      </c>
      <c r="J214" s="127" t="inlineStr">
        <is>
          <t>14</t>
        </is>
      </c>
      <c r="K214" s="127" t="n">
        <v>33000</v>
      </c>
      <c r="L214" s="127" t="inlineStr">
        <is>
          <t>9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66</v>
      </c>
      <c r="U214" s="9" t="n"/>
    </row>
    <row r="215" ht="12" customFormat="1" customHeight="1" s="37">
      <c r="A215" s="73" t="inlineStr">
        <is>
          <t>비산동 은하수,샛별5,6단지</t>
        </is>
      </c>
      <c r="B215" s="74" t="inlineStr">
        <is>
          <t>93.11.</t>
        </is>
      </c>
      <c r="C215" s="123" t="n">
        <v>3227</v>
      </c>
      <c r="D215" s="124" t="n">
        <v>48.1</v>
      </c>
      <c r="E215" s="125" t="n">
        <v>15</v>
      </c>
      <c r="F215" s="124" t="n">
        <v>35.1</v>
      </c>
      <c r="G215" s="17" t="n">
        <v>11</v>
      </c>
      <c r="H215" s="126" t="n">
        <v>1787</v>
      </c>
      <c r="I215" s="127" t="n">
        <v>45000</v>
      </c>
      <c r="J215" s="127" t="inlineStr">
        <is>
          <t>15</t>
        </is>
      </c>
      <c r="K215" s="127" t="n">
        <v>22000</v>
      </c>
      <c r="L215" s="127" t="inlineStr">
        <is>
          <t>14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48</v>
      </c>
      <c r="U215" s="9" t="n"/>
    </row>
    <row r="216" ht="12" customFormat="1" customHeight="1" s="37">
      <c r="A216" s="73" t="inlineStr">
        <is>
          <t>관양동 공작부영</t>
        </is>
      </c>
      <c r="B216" s="74" t="inlineStr">
        <is>
          <t>93.03.</t>
        </is>
      </c>
      <c r="C216" s="123" t="n">
        <v>1710</v>
      </c>
      <c r="D216" s="124" t="n">
        <v>51.5</v>
      </c>
      <c r="E216" s="125" t="n">
        <v>16</v>
      </c>
      <c r="F216" s="124" t="n">
        <v>37.9</v>
      </c>
      <c r="G216" s="17" t="n">
        <v>11</v>
      </c>
      <c r="H216" s="126" t="n">
        <v>735</v>
      </c>
      <c r="I216" s="127" t="n">
        <v>44000</v>
      </c>
      <c r="J216" s="127" t="inlineStr">
        <is>
          <t>고</t>
        </is>
      </c>
      <c r="K216" s="127" t="n">
        <v>21000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51</v>
      </c>
      <c r="U216" s="9" t="n"/>
    </row>
    <row r="217" ht="12" customFormat="1" customHeight="1" s="37">
      <c r="A217" s="73" t="inlineStr">
        <is>
          <t>호계동 무궁화태영</t>
        </is>
      </c>
      <c r="B217" s="74" t="inlineStr">
        <is>
          <t>92.08.</t>
        </is>
      </c>
      <c r="C217" s="123" t="n">
        <v>654</v>
      </c>
      <c r="D217" s="124" t="n">
        <v>104.4</v>
      </c>
      <c r="E217" s="125" t="n">
        <v>32</v>
      </c>
      <c r="F217" s="124" t="n">
        <v>84.90000000000001</v>
      </c>
      <c r="G217" s="17" t="n">
        <v>26</v>
      </c>
      <c r="H217" s="126" t="n">
        <v>360</v>
      </c>
      <c r="I217" s="127" t="n">
        <v>69000</v>
      </c>
      <c r="J217" s="127" t="inlineStr">
        <is>
          <t>8</t>
        </is>
      </c>
      <c r="K217" s="127" t="n">
        <v>47000</v>
      </c>
      <c r="L217" s="127" t="inlineStr">
        <is>
          <t>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104</v>
      </c>
      <c r="U217" s="9" t="n"/>
    </row>
    <row r="218" ht="12" customFormat="1" customHeight="1" s="37">
      <c r="A218" s="73" t="inlineStr">
        <is>
          <t>호계동 호계효성</t>
        </is>
      </c>
      <c r="B218" s="74" t="inlineStr">
        <is>
          <t>00.10.</t>
        </is>
      </c>
      <c r="C218" s="123" t="n">
        <v>370</v>
      </c>
      <c r="D218" s="124" t="n">
        <v>108.1</v>
      </c>
      <c r="E218" s="125" t="n">
        <v>33</v>
      </c>
      <c r="F218" s="124" t="n">
        <v>85</v>
      </c>
      <c r="G218" s="17" t="n">
        <v>26</v>
      </c>
      <c r="H218" s="126" t="n">
        <v>226</v>
      </c>
      <c r="I218" s="127" t="n">
        <v>59800</v>
      </c>
      <c r="J218" s="127" t="inlineStr">
        <is>
          <t>고</t>
        </is>
      </c>
      <c r="K218" s="127" t="n">
        <v>38000</v>
      </c>
      <c r="L218" s="127" t="inlineStr">
        <is>
          <t>13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108</v>
      </c>
      <c r="U218" s="9" t="n"/>
    </row>
    <row r="219" ht="12" customFormat="1" customHeight="1" s="37">
      <c r="A219" s="73" t="inlineStr">
        <is>
          <t>호계동 호계현대홈타운2차</t>
        </is>
      </c>
      <c r="B219" s="74" t="inlineStr">
        <is>
          <t>03.11.</t>
        </is>
      </c>
      <c r="C219" s="123" t="n">
        <v>1977</v>
      </c>
      <c r="D219" s="124" t="n">
        <v>82.2</v>
      </c>
      <c r="E219" s="125" t="n">
        <v>25</v>
      </c>
      <c r="F219" s="124" t="n">
        <v>60</v>
      </c>
      <c r="G219" s="17" t="n">
        <v>18</v>
      </c>
      <c r="H219" s="126" t="n">
        <v>264</v>
      </c>
      <c r="I219" s="127" t="n">
        <v>60000</v>
      </c>
      <c r="J219" s="127" t="inlineStr">
        <is>
          <t>7</t>
        </is>
      </c>
      <c r="K219" s="127" t="n">
        <v>39000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82</v>
      </c>
      <c r="U219" s="9" t="n"/>
    </row>
    <row r="220" ht="12" customFormat="1" customHeight="1" s="37">
      <c r="A220" s="73" t="inlineStr">
        <is>
          <t>비산동 관악(성원)</t>
        </is>
      </c>
      <c r="B220" s="74" t="inlineStr">
        <is>
          <t>93.07.</t>
        </is>
      </c>
      <c r="C220" s="123" t="n">
        <v>790</v>
      </c>
      <c r="D220" s="124" t="n">
        <v>59.2</v>
      </c>
      <c r="E220" s="125" t="n">
        <v>18</v>
      </c>
      <c r="F220" s="124" t="n">
        <v>40.9</v>
      </c>
      <c r="G220" s="17" t="n">
        <v>12</v>
      </c>
      <c r="H220" s="126" t="n">
        <v>180</v>
      </c>
      <c r="I220" s="127" t="n">
        <v>46000</v>
      </c>
      <c r="J220" s="127" t="inlineStr">
        <is>
          <t>고</t>
        </is>
      </c>
      <c r="K220" s="127" t="n">
        <v>25000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59</v>
      </c>
      <c r="U220" s="9" t="n"/>
    </row>
    <row r="221" ht="12" customFormat="1" customHeight="1" s="37">
      <c r="A221" s="73" t="inlineStr">
        <is>
          <t>호계동 평촌두산위브리버뷰</t>
        </is>
      </c>
      <c r="B221" s="74" t="inlineStr">
        <is>
          <t>21.12.</t>
        </is>
      </c>
      <c r="C221" s="123" t="n">
        <v>855</v>
      </c>
      <c r="D221" s="124" t="n">
        <v>57.1</v>
      </c>
      <c r="E221" s="125" t="n">
        <v>17</v>
      </c>
      <c r="F221" s="124" t="n">
        <v>36.9</v>
      </c>
      <c r="G221" s="17" t="n">
        <v>11</v>
      </c>
      <c r="H221" s="126" t="n">
        <v>40</v>
      </c>
      <c r="I221" s="127" t="n">
        <v>50000</v>
      </c>
      <c r="J221" s="127" t="inlineStr">
        <is>
          <t>13</t>
        </is>
      </c>
      <c r="K221" s="127" t="n">
        <v>30000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계</t>
        </is>
      </c>
      <c r="T221" s="5" t="inlineStr">
        <is>
          <t>57A</t>
        </is>
      </c>
      <c r="U221" s="9" t="n"/>
    </row>
    <row r="222" ht="12" customFormat="1" customHeight="1" s="37">
      <c r="A222" s="73" t="inlineStr">
        <is>
          <t>호계동 한마음1단지</t>
        </is>
      </c>
      <c r="B222" s="74" t="inlineStr">
        <is>
          <t>99.07.</t>
        </is>
      </c>
      <c r="C222" s="123" t="n">
        <v>644</v>
      </c>
      <c r="D222" s="124" t="n">
        <v>80.09999999999999</v>
      </c>
      <c r="E222" s="125" t="n">
        <v>24</v>
      </c>
      <c r="F222" s="124" t="n">
        <v>60</v>
      </c>
      <c r="G222" s="17" t="n">
        <v>18</v>
      </c>
      <c r="H222" s="126" t="n">
        <v>324</v>
      </c>
      <c r="I222" s="127" t="n">
        <v>58000</v>
      </c>
      <c r="J222" s="127" t="inlineStr">
        <is>
          <t>7</t>
        </is>
      </c>
      <c r="K222" s="127" t="n">
        <v>39000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80</v>
      </c>
      <c r="U222" s="9" t="n"/>
    </row>
    <row r="223" ht="12" customFormat="1" customHeight="1" s="37">
      <c r="A223" s="73" t="inlineStr">
        <is>
          <t>관양동 공작성일</t>
        </is>
      </c>
      <c r="B223" s="74" t="inlineStr">
        <is>
          <t>93.02.</t>
        </is>
      </c>
      <c r="C223" s="123" t="n">
        <v>750</v>
      </c>
      <c r="D223" s="124" t="n">
        <v>55</v>
      </c>
      <c r="E223" s="125" t="n">
        <v>17</v>
      </c>
      <c r="F223" s="124" t="n">
        <v>39.6</v>
      </c>
      <c r="G223" s="17" t="n">
        <v>12</v>
      </c>
      <c r="H223" s="126" t="n">
        <v>310</v>
      </c>
      <c r="I223" s="127" t="n">
        <v>43000</v>
      </c>
      <c r="J223" s="127" t="inlineStr">
        <is>
          <t>고</t>
        </is>
      </c>
      <c r="K223" s="127" t="n">
        <v>24000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55</v>
      </c>
      <c r="U223" s="9" t="n"/>
    </row>
    <row r="224" ht="12" customFormat="1" customHeight="1" s="37">
      <c r="A224" s="73" t="inlineStr">
        <is>
          <t>호계동 한마음2단지</t>
        </is>
      </c>
      <c r="B224" s="74" t="inlineStr">
        <is>
          <t>03.04.</t>
        </is>
      </c>
      <c r="C224" s="123" t="n">
        <v>426</v>
      </c>
      <c r="D224" s="124" t="n">
        <v>98.8</v>
      </c>
      <c r="E224" s="125" t="n">
        <v>30</v>
      </c>
      <c r="F224" s="124" t="n">
        <v>79.5</v>
      </c>
      <c r="G224" s="17" t="n">
        <v>24</v>
      </c>
      <c r="H224" s="126" t="n">
        <v>238</v>
      </c>
      <c r="I224" s="127" t="n">
        <v>68000</v>
      </c>
      <c r="J224" s="127" t="inlineStr">
        <is>
          <t>고</t>
        </is>
      </c>
      <c r="K224" s="127" t="n">
        <v>50000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98</v>
      </c>
      <c r="U224" s="9" t="n"/>
    </row>
    <row r="225" ht="12" customFormat="1" customHeight="1" s="37">
      <c r="A225" s="73" t="inlineStr">
        <is>
          <t>비산동 평촌자이아이파크</t>
        </is>
      </c>
      <c r="B225" s="74" t="inlineStr">
        <is>
          <t>21.12.</t>
        </is>
      </c>
      <c r="C225" s="123" t="n">
        <v>2531</v>
      </c>
      <c r="D225" s="124" t="n">
        <v>68.59999999999999</v>
      </c>
      <c r="E225" s="125" t="n">
        <v>21</v>
      </c>
      <c r="F225" s="124" t="n">
        <v>45.6</v>
      </c>
      <c r="G225" s="17" t="n">
        <v>14</v>
      </c>
      <c r="H225" s="126" t="n">
        <v>113</v>
      </c>
      <c r="I225" s="127" t="n">
        <v>60000</v>
      </c>
      <c r="J225" s="127" t="inlineStr">
        <is>
          <t>고</t>
        </is>
      </c>
      <c r="K225" s="127" t="n">
        <v>42000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2</v>
      </c>
      <c r="R225" s="114" t="n">
        <v>1</v>
      </c>
      <c r="S225" s="114" t="inlineStr">
        <is>
          <t>복</t>
        </is>
      </c>
      <c r="T225" s="5" t="n">
        <v>68</v>
      </c>
      <c r="U225" s="9" t="n"/>
    </row>
    <row r="226" ht="12" customFormat="1" customHeight="1" s="37">
      <c r="A226" s="73" t="inlineStr">
        <is>
          <t>비산동 은하수,샛별5,6단지</t>
        </is>
      </c>
      <c r="B226" s="74" t="inlineStr">
        <is>
          <t>93.11.</t>
        </is>
      </c>
      <c r="C226" s="123" t="n">
        <v>3227</v>
      </c>
      <c r="D226" s="124" t="n">
        <v>38.8</v>
      </c>
      <c r="E226" s="125" t="n">
        <v>12</v>
      </c>
      <c r="F226" s="124" t="n">
        <v>28.2</v>
      </c>
      <c r="G226" s="17" t="n">
        <v>9</v>
      </c>
      <c r="H226" s="126" t="n">
        <v>300</v>
      </c>
      <c r="I226" s="127" t="n">
        <v>34000</v>
      </c>
      <c r="J226" s="127" t="inlineStr">
        <is>
          <t>6</t>
        </is>
      </c>
      <c r="K226" s="127" t="n">
        <v>20000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복</t>
        </is>
      </c>
      <c r="T226" s="5" t="n">
        <v>38</v>
      </c>
      <c r="U226" s="9" t="n"/>
    </row>
    <row r="227" ht="12" customFormat="1" customHeight="1" s="37">
      <c r="A227" s="73" t="inlineStr">
        <is>
          <t>관양동 한미</t>
        </is>
      </c>
      <c r="B227" s="74" t="inlineStr">
        <is>
          <t>86.05.</t>
        </is>
      </c>
      <c r="C227" s="123" t="n">
        <v>220</v>
      </c>
      <c r="D227" s="124" t="n">
        <v>54.6</v>
      </c>
      <c r="E227" s="125" t="n">
        <v>17</v>
      </c>
      <c r="F227" s="124" t="n">
        <v>41.1</v>
      </c>
      <c r="G227" s="17" t="n">
        <v>12</v>
      </c>
      <c r="H227" s="126" t="n">
        <v>40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inlineStr">
        <is>
          <t>54A</t>
        </is>
      </c>
      <c r="U227" s="9" t="n"/>
    </row>
    <row r="228" ht="12" customFormat="1" customHeight="1" s="37">
      <c r="A228" s="73" t="inlineStr">
        <is>
          <t>관양동 한미</t>
        </is>
      </c>
      <c r="B228" s="74" t="inlineStr">
        <is>
          <t>86.05.</t>
        </is>
      </c>
      <c r="C228" s="123" t="n">
        <v>220</v>
      </c>
      <c r="D228" s="124" t="n">
        <v>57.7</v>
      </c>
      <c r="E228" s="125" t="n">
        <v>17</v>
      </c>
      <c r="F228" s="124" t="n">
        <v>43.7</v>
      </c>
      <c r="G228" s="17" t="n">
        <v>13</v>
      </c>
      <c r="H228" s="126" t="n">
        <v>50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inlineStr">
        <is>
          <t>57B</t>
        </is>
      </c>
      <c r="U228" s="9" t="n"/>
    </row>
    <row r="229" ht="12" customFormat="1" customHeight="1" s="37">
      <c r="A229" s="73" t="inlineStr">
        <is>
          <t>관양동 한미</t>
        </is>
      </c>
      <c r="B229" s="74" t="inlineStr">
        <is>
          <t>86.05.</t>
        </is>
      </c>
      <c r="C229" s="123" t="n">
        <v>220</v>
      </c>
      <c r="D229" s="124" t="n">
        <v>64.90000000000001</v>
      </c>
      <c r="E229" s="125" t="n">
        <v>20</v>
      </c>
      <c r="F229" s="124" t="n">
        <v>49.7</v>
      </c>
      <c r="G229" s="17" t="n">
        <v>15</v>
      </c>
      <c r="H229" s="126" t="n">
        <v>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64</v>
      </c>
      <c r="U229" s="9" t="n"/>
    </row>
    <row r="230" ht="12" customFormat="1" customHeight="1" s="37">
      <c r="A230" s="73" t="inlineStr">
        <is>
          <t>관양동 한미</t>
        </is>
      </c>
      <c r="B230" s="74" t="inlineStr">
        <is>
          <t>86.05.</t>
        </is>
      </c>
      <c r="C230" s="123" t="n">
        <v>220</v>
      </c>
      <c r="D230" s="124" t="n">
        <v>74.7</v>
      </c>
      <c r="E230" s="125" t="n">
        <v>23</v>
      </c>
      <c r="F230" s="124" t="n">
        <v>58</v>
      </c>
      <c r="G230" s="17" t="n">
        <v>18</v>
      </c>
      <c r="H230" s="126" t="n">
        <v>80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74</v>
      </c>
      <c r="U230" s="9" t="n"/>
    </row>
    <row r="231" ht="12" customFormat="1" customHeight="1" s="37">
      <c r="A231" s="73" t="inlineStr">
        <is>
          <t>비산동 평촌엘프라우드</t>
        </is>
      </c>
      <c r="B231" s="74" t="inlineStr">
        <is>
          <t>24.06.</t>
        </is>
      </c>
      <c r="C231" s="123" t="n">
        <v>2739</v>
      </c>
      <c r="D231" s="124" t="n">
        <v>70.5</v>
      </c>
      <c r="E231" s="125" t="n">
        <v>21</v>
      </c>
      <c r="F231" s="124" t="n">
        <v>49.6</v>
      </c>
      <c r="G231" s="17" t="n">
        <v>15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70A</t>
        </is>
      </c>
      <c r="U231" s="9" t="n"/>
    </row>
    <row r="232" ht="12" customFormat="1" customHeight="1" s="37">
      <c r="A232" s="73" t="inlineStr">
        <is>
          <t>비산동 평촌엘프라우드</t>
        </is>
      </c>
      <c r="B232" s="74" t="inlineStr">
        <is>
          <t>24.06.</t>
        </is>
      </c>
      <c r="C232" s="123" t="n">
        <v>2739</v>
      </c>
      <c r="D232" s="124" t="n">
        <v>81.5</v>
      </c>
      <c r="E232" s="125" t="n">
        <v>25</v>
      </c>
      <c r="F232" s="124" t="n">
        <v>59.8</v>
      </c>
      <c r="G232" s="17" t="n">
        <v>18</v>
      </c>
      <c r="H232" s="126" t="n">
        <v>498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81B</t>
        </is>
      </c>
      <c r="U232" s="9" t="n"/>
    </row>
    <row r="233" ht="12" customFormat="1" customHeight="1" s="37">
      <c r="A233" s="73" t="inlineStr">
        <is>
          <t>비산동 평촌엘프라우드</t>
        </is>
      </c>
      <c r="B233" s="74" t="inlineStr">
        <is>
          <t>24.06.</t>
        </is>
      </c>
      <c r="C233" s="123" t="n">
        <v>2739</v>
      </c>
      <c r="D233" s="124" t="n">
        <v>97</v>
      </c>
      <c r="E233" s="125" t="n">
        <v>29</v>
      </c>
      <c r="F233" s="124" t="n">
        <v>74.09999999999999</v>
      </c>
      <c r="G233" s="17" t="n">
        <v>22</v>
      </c>
      <c r="H233" s="126" t="n">
        <v>110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96</v>
      </c>
      <c r="U233" s="9" t="n"/>
    </row>
    <row r="234" ht="12" customFormat="1" customHeight="1" s="37">
      <c r="A234" s="73" t="inlineStr">
        <is>
          <t>비산동 평촌엘프라우드</t>
        </is>
      </c>
      <c r="B234" s="74" t="inlineStr">
        <is>
          <t>24.06.</t>
        </is>
      </c>
      <c r="C234" s="123" t="n">
        <v>2739</v>
      </c>
      <c r="D234" s="124" t="n">
        <v>110.4</v>
      </c>
      <c r="E234" s="125" t="n">
        <v>33</v>
      </c>
      <c r="F234" s="124" t="n">
        <v>85</v>
      </c>
      <c r="G234" s="17" t="n">
        <v>26</v>
      </c>
      <c r="H234" s="126" t="n">
        <v>497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110A</t>
        </is>
      </c>
      <c r="U234" s="9" t="n"/>
    </row>
    <row r="235" ht="12" customFormat="1" customHeight="1" s="37">
      <c r="A235" s="73" t="inlineStr">
        <is>
          <t>비산동 뉴타운1,2,3차</t>
        </is>
      </c>
      <c r="B235" s="74" t="inlineStr">
        <is>
          <t>81.09.</t>
        </is>
      </c>
      <c r="C235" s="123" t="n">
        <v>912</v>
      </c>
      <c r="D235" s="124" t="n">
        <v>63.3</v>
      </c>
      <c r="E235" s="125" t="n">
        <v>19</v>
      </c>
      <c r="F235" s="124" t="n">
        <v>59.2</v>
      </c>
      <c r="G235" s="17" t="n">
        <v>18</v>
      </c>
      <c r="H235" s="126" t="n">
        <v>99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63B</t>
        </is>
      </c>
      <c r="U235" s="9" t="n"/>
    </row>
    <row r="236" ht="12" customFormat="1" customHeight="1" s="37">
      <c r="A236" s="73" t="inlineStr">
        <is>
          <t>비산동 뉴타운1,2,3차</t>
        </is>
      </c>
      <c r="B236" s="74" t="inlineStr">
        <is>
          <t>81.09.</t>
        </is>
      </c>
      <c r="C236" s="123" t="n">
        <v>912</v>
      </c>
      <c r="D236" s="124" t="n">
        <v>74.3</v>
      </c>
      <c r="E236" s="125" t="n">
        <v>22</v>
      </c>
      <c r="F236" s="124" t="n">
        <v>69.5</v>
      </c>
      <c r="G236" s="17" t="n">
        <v>21</v>
      </c>
      <c r="H236" s="126" t="n">
        <v>109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74A</t>
        </is>
      </c>
      <c r="U236" s="9" t="n"/>
    </row>
    <row r="237" ht="12" customFormat="1" customHeight="1" s="37">
      <c r="A237" s="73" t="inlineStr">
        <is>
          <t>비산동 뉴타운1,2,3차</t>
        </is>
      </c>
      <c r="B237" s="74" t="inlineStr">
        <is>
          <t>81.09.</t>
        </is>
      </c>
      <c r="C237" s="123" t="n">
        <v>912</v>
      </c>
      <c r="D237" s="124" t="n">
        <v>92.90000000000001</v>
      </c>
      <c r="E237" s="125" t="n">
        <v>28</v>
      </c>
      <c r="F237" s="124" t="n">
        <v>75.5</v>
      </c>
      <c r="G237" s="17" t="n">
        <v>23</v>
      </c>
      <c r="H237" s="126" t="n">
        <v>61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복</t>
        </is>
      </c>
      <c r="T237" s="5" t="inlineStr">
        <is>
          <t>92G</t>
        </is>
      </c>
      <c r="U237" s="9" t="n"/>
    </row>
    <row r="238" ht="12" customFormat="1" customHeight="1" s="37">
      <c r="A238" s="73" t="inlineStr">
        <is>
          <t>비산동 뉴타운1,2,3차</t>
        </is>
      </c>
      <c r="B238" s="74" t="inlineStr">
        <is>
          <t>81.09.</t>
        </is>
      </c>
      <c r="C238" s="123" t="n">
        <v>912</v>
      </c>
      <c r="D238" s="124" t="n">
        <v>105.3</v>
      </c>
      <c r="E238" s="125" t="n">
        <v>32</v>
      </c>
      <c r="F238" s="124" t="n">
        <v>84.90000000000001</v>
      </c>
      <c r="G238" s="17" t="n">
        <v>26</v>
      </c>
      <c r="H238" s="126" t="n">
        <v>109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inlineStr">
        <is>
          <t>105A</t>
        </is>
      </c>
      <c r="U238" s="9" t="n"/>
    </row>
    <row r="239" ht="12" customFormat="1" customHeight="1" s="37">
      <c r="A239" s="73" t="inlineStr">
        <is>
          <t>비산동 대광로제비앙</t>
        </is>
      </c>
      <c r="B239" s="74" t="inlineStr">
        <is>
          <t>17.01.</t>
        </is>
      </c>
      <c r="C239" s="123" t="n">
        <v>219</v>
      </c>
      <c r="D239" s="124" t="n">
        <v>115.2</v>
      </c>
      <c r="E239" s="125" t="n">
        <v>35</v>
      </c>
      <c r="F239" s="124" t="n">
        <v>84.7</v>
      </c>
      <c r="G239" s="17" t="n">
        <v>26</v>
      </c>
      <c r="H239" s="126" t="n">
        <v>66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115A</t>
        </is>
      </c>
      <c r="U239" s="9" t="n"/>
    </row>
    <row r="240" ht="12" customFormat="1" customHeight="1" s="37">
      <c r="A240" s="73" t="inlineStr">
        <is>
          <t>비산동 그린빌주공</t>
        </is>
      </c>
      <c r="B240" s="74" t="inlineStr">
        <is>
          <t>03.03.</t>
        </is>
      </c>
      <c r="C240" s="123" t="n">
        <v>2044</v>
      </c>
      <c r="D240" s="124" t="n">
        <v>60</v>
      </c>
      <c r="E240" s="125" t="n">
        <v>18</v>
      </c>
      <c r="F240" s="124" t="n">
        <v>39.7</v>
      </c>
      <c r="G240" s="17" t="n">
        <v>12</v>
      </c>
      <c r="H240" s="126" t="n">
        <v>211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n">
        <v>59</v>
      </c>
      <c r="U240" s="9" t="n"/>
    </row>
    <row r="241" ht="12" customFormat="1" customHeight="1" s="37">
      <c r="A241" s="73" t="inlineStr">
        <is>
          <t>비산동 그린빌주공</t>
        </is>
      </c>
      <c r="B241" s="74" t="inlineStr">
        <is>
          <t>03.03.</t>
        </is>
      </c>
      <c r="C241" s="123" t="n">
        <v>2044</v>
      </c>
      <c r="D241" s="124" t="n">
        <v>74.8</v>
      </c>
      <c r="E241" s="125" t="n">
        <v>23</v>
      </c>
      <c r="F241" s="124" t="n">
        <v>49.5</v>
      </c>
      <c r="G241" s="17" t="n">
        <v>15</v>
      </c>
      <c r="H241" s="126" t="n">
        <v>458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74A</t>
        </is>
      </c>
      <c r="U241" s="9" t="n"/>
    </row>
    <row r="242" ht="12" customFormat="1" customHeight="1" s="37">
      <c r="A242" s="73" t="inlineStr">
        <is>
          <t>비산동 그린빌주공</t>
        </is>
      </c>
      <c r="B242" s="74" t="inlineStr">
        <is>
          <t>03.03.</t>
        </is>
      </c>
      <c r="C242" s="123" t="n">
        <v>2044</v>
      </c>
      <c r="D242" s="124" t="n">
        <v>78.3</v>
      </c>
      <c r="E242" s="125" t="n">
        <v>24</v>
      </c>
      <c r="F242" s="124" t="n">
        <v>59.9</v>
      </c>
      <c r="G242" s="17" t="n">
        <v>18</v>
      </c>
      <c r="H242" s="126" t="n">
        <v>182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78A</t>
        </is>
      </c>
      <c r="U242" s="9" t="n"/>
    </row>
    <row r="243" ht="12" customFormat="1" customHeight="1" s="37">
      <c r="A243" s="73" t="inlineStr">
        <is>
          <t>비산동 그린빌주공</t>
        </is>
      </c>
      <c r="B243" s="74" t="inlineStr">
        <is>
          <t>03.03.</t>
        </is>
      </c>
      <c r="C243" s="123" t="n">
        <v>2044</v>
      </c>
      <c r="D243" s="124" t="n">
        <v>110.7</v>
      </c>
      <c r="E243" s="125" t="n">
        <v>33</v>
      </c>
      <c r="F243" s="124" t="n">
        <v>84.8</v>
      </c>
      <c r="G243" s="17" t="n">
        <v>26</v>
      </c>
      <c r="H243" s="126" t="n">
        <v>116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110D</t>
        </is>
      </c>
      <c r="U243" s="9" t="n"/>
    </row>
    <row r="244" ht="12" customFormat="1" customHeight="1" s="37">
      <c r="A244" s="73" t="inlineStr">
        <is>
          <t>비산동 그린빌주공</t>
        </is>
      </c>
      <c r="B244" s="74" t="inlineStr">
        <is>
          <t>03.03.</t>
        </is>
      </c>
      <c r="C244" s="123" t="n">
        <v>2044</v>
      </c>
      <c r="D244" s="124" t="n">
        <v>150.1</v>
      </c>
      <c r="E244" s="125" t="n">
        <v>45</v>
      </c>
      <c r="F244" s="124" t="n">
        <v>115</v>
      </c>
      <c r="G244" s="17" t="n">
        <v>35</v>
      </c>
      <c r="H244" s="126" t="n">
        <v>100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inlineStr">
        <is>
          <t>150A</t>
        </is>
      </c>
      <c r="U244" s="9" t="n"/>
    </row>
    <row r="245" ht="12" customFormat="1" customHeight="1" s="37">
      <c r="A245" s="73" t="inlineStr">
        <is>
          <t>비산동 뉴타운4차</t>
        </is>
      </c>
      <c r="B245" s="74" t="inlineStr">
        <is>
          <t>85.08.</t>
        </is>
      </c>
      <c r="C245" s="123" t="n">
        <v>474</v>
      </c>
      <c r="D245" s="124" t="n">
        <v>69.40000000000001</v>
      </c>
      <c r="E245" s="125" t="n">
        <v>21</v>
      </c>
      <c r="F245" s="124" t="n">
        <v>55.8</v>
      </c>
      <c r="G245" s="17" t="n">
        <v>17</v>
      </c>
      <c r="H245" s="126" t="n">
        <v>72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복</t>
        </is>
      </c>
      <c r="T245" s="5" t="n">
        <v>69</v>
      </c>
      <c r="U245" s="9" t="n"/>
    </row>
    <row r="246" ht="12" customFormat="1" customHeight="1" s="37">
      <c r="A246" s="73" t="inlineStr">
        <is>
          <t>비산동 뉴타운4차</t>
        </is>
      </c>
      <c r="B246" s="74" t="inlineStr">
        <is>
          <t>85.08.</t>
        </is>
      </c>
      <c r="C246" s="123" t="n">
        <v>474</v>
      </c>
      <c r="D246" s="124" t="n">
        <v>82.8</v>
      </c>
      <c r="E246" s="125" t="n">
        <v>25</v>
      </c>
      <c r="F246" s="124" t="n">
        <v>66.59999999999999</v>
      </c>
      <c r="G246" s="17" t="n">
        <v>20</v>
      </c>
      <c r="H246" s="126" t="n">
        <v>66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2</v>
      </c>
      <c r="R246" s="114" t="n">
        <v>1</v>
      </c>
      <c r="S246" s="114" t="inlineStr">
        <is>
          <t>복</t>
        </is>
      </c>
      <c r="T246" s="5" t="n">
        <v>82</v>
      </c>
      <c r="U246" s="9" t="n"/>
    </row>
    <row r="247" ht="12" customFormat="1" customHeight="1" s="37">
      <c r="A247" s="73" t="inlineStr">
        <is>
          <t>비산동 뉴타운4차</t>
        </is>
      </c>
      <c r="B247" s="74" t="inlineStr">
        <is>
          <t>85.08.</t>
        </is>
      </c>
      <c r="C247" s="123" t="n">
        <v>474</v>
      </c>
      <c r="D247" s="124" t="n">
        <v>145.6</v>
      </c>
      <c r="E247" s="125" t="n">
        <v>44</v>
      </c>
      <c r="F247" s="124" t="n">
        <v>123.4</v>
      </c>
      <c r="G247" s="17" t="n">
        <v>37</v>
      </c>
      <c r="H247" s="126" t="n">
        <v>96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145</v>
      </c>
      <c r="U247" s="9" t="n"/>
    </row>
    <row r="248" ht="12" customFormat="1" customHeight="1" s="37">
      <c r="A248" s="73" t="inlineStr">
        <is>
          <t>비산동 뉴타운5차</t>
        </is>
      </c>
      <c r="B248" s="74" t="inlineStr">
        <is>
          <t>85.11.</t>
        </is>
      </c>
      <c r="C248" s="123" t="n">
        <v>540</v>
      </c>
      <c r="D248" s="124" t="n">
        <v>188.3</v>
      </c>
      <c r="E248" s="125" t="n">
        <v>57</v>
      </c>
      <c r="F248" s="124" t="n">
        <v>164.2</v>
      </c>
      <c r="G248" s="17" t="n">
        <v>50</v>
      </c>
      <c r="H248" s="126" t="n">
        <v>30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5</v>
      </c>
      <c r="R248" s="114" t="n">
        <v>2</v>
      </c>
      <c r="S248" s="114" t="inlineStr">
        <is>
          <t>계</t>
        </is>
      </c>
      <c r="T248" s="5" t="n">
        <v>188</v>
      </c>
      <c r="U248" s="9" t="n"/>
    </row>
    <row r="249" ht="12" customFormat="1" customHeight="1" s="37">
      <c r="A249" s="73" t="inlineStr">
        <is>
          <t>비산동 성원</t>
        </is>
      </c>
      <c r="B249" s="74" t="inlineStr">
        <is>
          <t>95.12.</t>
        </is>
      </c>
      <c r="C249" s="123" t="n">
        <v>282</v>
      </c>
      <c r="D249" s="124" t="n">
        <v>80.90000000000001</v>
      </c>
      <c r="E249" s="125" t="n">
        <v>24</v>
      </c>
      <c r="F249" s="124" t="n">
        <v>59.8</v>
      </c>
      <c r="G249" s="17" t="n">
        <v>18</v>
      </c>
      <c r="H249" s="126" t="n">
        <v>144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n">
        <v>80</v>
      </c>
      <c r="U249" s="9" t="n"/>
    </row>
    <row r="250" ht="12" customFormat="1" customHeight="1" s="37">
      <c r="A250" s="73" t="inlineStr">
        <is>
          <t>비산동 성원</t>
        </is>
      </c>
      <c r="B250" s="74" t="inlineStr">
        <is>
          <t>95.12.</t>
        </is>
      </c>
      <c r="C250" s="123" t="n">
        <v>282</v>
      </c>
      <c r="D250" s="124" t="n">
        <v>114.7</v>
      </c>
      <c r="E250" s="125" t="n">
        <v>35</v>
      </c>
      <c r="F250" s="124" t="n">
        <v>84.8</v>
      </c>
      <c r="G250" s="17" t="n">
        <v>26</v>
      </c>
      <c r="H250" s="126" t="n">
        <v>138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복</t>
        </is>
      </c>
      <c r="T250" s="5" t="n">
        <v>114</v>
      </c>
      <c r="U250" s="9" t="n"/>
    </row>
    <row r="251" ht="12" customFormat="1" customHeight="1" s="37">
      <c r="A251" s="73" t="inlineStr">
        <is>
          <t>비산동 비산한신더휴</t>
        </is>
      </c>
      <c r="B251" s="74" t="inlineStr">
        <is>
          <t>23.05.</t>
        </is>
      </c>
      <c r="C251" s="123" t="n">
        <v>230</v>
      </c>
      <c r="D251" s="124" t="n">
        <v>67.09999999999999</v>
      </c>
      <c r="E251" s="125" t="n">
        <v>20</v>
      </c>
      <c r="F251" s="124" t="n">
        <v>48.7</v>
      </c>
      <c r="G251" s="17" t="n">
        <v>15</v>
      </c>
      <c r="H251" s="126" t="n">
        <v>77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계</t>
        </is>
      </c>
      <c r="T251" s="5" t="n">
        <v>67</v>
      </c>
      <c r="U251" s="9" t="n"/>
    </row>
    <row r="252" ht="12" customFormat="1" customHeight="1" s="37">
      <c r="A252" s="73" t="inlineStr">
        <is>
          <t>비산동 비산한화꿈에그린</t>
        </is>
      </c>
      <c r="B252" s="74" t="inlineStr">
        <is>
          <t>09.11.</t>
        </is>
      </c>
      <c r="C252" s="123" t="n">
        <v>774</v>
      </c>
      <c r="D252" s="124" t="n">
        <v>162.7</v>
      </c>
      <c r="E252" s="125" t="n">
        <v>49</v>
      </c>
      <c r="F252" s="124" t="n">
        <v>132.1</v>
      </c>
      <c r="G252" s="17" t="n">
        <v>40</v>
      </c>
      <c r="H252" s="126" t="n">
        <v>50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5</v>
      </c>
      <c r="R252" s="114" t="n">
        <v>2</v>
      </c>
      <c r="S252" s="114" t="inlineStr">
        <is>
          <t>계</t>
        </is>
      </c>
      <c r="T252" s="5" t="n">
        <v>162</v>
      </c>
      <c r="U252" s="9" t="n"/>
    </row>
    <row r="253" ht="12" customFormat="1" customHeight="1" s="37">
      <c r="A253" s="73" t="inlineStr">
        <is>
          <t>비산동 비산힐스테이트</t>
        </is>
      </c>
      <c r="B253" s="74" t="inlineStr">
        <is>
          <t>05.11.</t>
        </is>
      </c>
      <c r="C253" s="123" t="n">
        <v>551</v>
      </c>
      <c r="D253" s="124" t="n">
        <v>143</v>
      </c>
      <c r="E253" s="125" t="n">
        <v>43</v>
      </c>
      <c r="F253" s="124" t="n">
        <v>114.9</v>
      </c>
      <c r="G253" s="17" t="n">
        <v>35</v>
      </c>
      <c r="H253" s="126" t="n">
        <v>40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143</v>
      </c>
      <c r="U253" s="9" t="n"/>
    </row>
    <row r="254" ht="12" customFormat="1" customHeight="1" s="37">
      <c r="A254" s="73" t="inlineStr">
        <is>
          <t>비산동 미륭</t>
        </is>
      </c>
      <c r="B254" s="74" t="inlineStr">
        <is>
          <t>79.09.</t>
        </is>
      </c>
      <c r="C254" s="123" t="n">
        <v>576</v>
      </c>
      <c r="D254" s="124" t="n">
        <v>94.5</v>
      </c>
      <c r="E254" s="125" t="n">
        <v>29</v>
      </c>
      <c r="F254" s="124" t="n">
        <v>87.8</v>
      </c>
      <c r="G254" s="17" t="n">
        <v>27</v>
      </c>
      <c r="H254" s="126" t="n">
        <v>101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inlineStr">
        <is>
          <t>94B</t>
        </is>
      </c>
      <c r="U254" s="9" t="n"/>
    </row>
    <row r="255" ht="12" customFormat="1" customHeight="1" s="37">
      <c r="A255" s="73" t="inlineStr">
        <is>
          <t>비산동 미륭</t>
        </is>
      </c>
      <c r="B255" s="74" t="inlineStr">
        <is>
          <t>79.09.</t>
        </is>
      </c>
      <c r="C255" s="123" t="n">
        <v>576</v>
      </c>
      <c r="D255" s="124" t="n">
        <v>111.6</v>
      </c>
      <c r="E255" s="125" t="n">
        <v>34</v>
      </c>
      <c r="F255" s="124" t="n">
        <v>103.2</v>
      </c>
      <c r="G255" s="17" t="n">
        <v>31</v>
      </c>
      <c r="H255" s="126" t="n">
        <v>128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복</t>
        </is>
      </c>
      <c r="T255" s="5" t="inlineStr">
        <is>
          <t>111C</t>
        </is>
      </c>
      <c r="U255" s="9" t="n"/>
    </row>
    <row r="256" ht="12" customFormat="1" customHeight="1" s="37">
      <c r="A256" s="73" t="inlineStr">
        <is>
          <t>비산동 은하수(벽산)</t>
        </is>
      </c>
      <c r="B256" s="74" t="inlineStr">
        <is>
          <t>92.05.</t>
        </is>
      </c>
      <c r="C256" s="123" t="n">
        <v>620</v>
      </c>
      <c r="D256" s="124" t="n">
        <v>69.59999999999999</v>
      </c>
      <c r="E256" s="125" t="n">
        <v>21</v>
      </c>
      <c r="F256" s="124" t="n">
        <v>55.7</v>
      </c>
      <c r="G256" s="17" t="n">
        <v>17</v>
      </c>
      <c r="H256" s="126" t="n">
        <v>68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복</t>
        </is>
      </c>
      <c r="T256" s="5" t="n">
        <v>69</v>
      </c>
      <c r="U256" s="9" t="n"/>
    </row>
    <row r="257" ht="12" customFormat="1" customHeight="1" s="37">
      <c r="A257" s="73" t="inlineStr">
        <is>
          <t>비산동 은하수(벽산)</t>
        </is>
      </c>
      <c r="B257" s="74" t="inlineStr">
        <is>
          <t>92.05.</t>
        </is>
      </c>
      <c r="C257" s="123" t="n">
        <v>620</v>
      </c>
      <c r="D257" s="124" t="n">
        <v>95.09999999999999</v>
      </c>
      <c r="E257" s="125" t="n">
        <v>29</v>
      </c>
      <c r="F257" s="124" t="n">
        <v>76.09999999999999</v>
      </c>
      <c r="G257" s="17" t="n">
        <v>23</v>
      </c>
      <c r="H257" s="126" t="n">
        <v>136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85.59999999999999</v>
      </c>
      <c r="E258" s="125" t="n">
        <v>26</v>
      </c>
      <c r="F258" s="124" t="n">
        <v>60</v>
      </c>
      <c r="G258" s="17" t="n">
        <v>18</v>
      </c>
      <c r="H258" s="126" t="n">
        <v>361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85B</t>
        </is>
      </c>
      <c r="U258" s="9" t="n"/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138.2</v>
      </c>
      <c r="E259" s="125" t="n">
        <v>42</v>
      </c>
      <c r="F259" s="124" t="n">
        <v>106</v>
      </c>
      <c r="G259" s="17" t="n">
        <v>32</v>
      </c>
      <c r="H259" s="126" t="n">
        <v>37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138B</t>
        </is>
      </c>
      <c r="U259" s="9" t="n"/>
    </row>
    <row r="260" ht="12" customFormat="1" customHeight="1" s="37">
      <c r="A260" s="73" t="inlineStr">
        <is>
          <t>평촌동 꿈건영3단지</t>
        </is>
      </c>
      <c r="B260" s="74" t="inlineStr">
        <is>
          <t>94.04.</t>
        </is>
      </c>
      <c r="C260" s="123" t="n">
        <v>386</v>
      </c>
      <c r="D260" s="124" t="n">
        <v>157.5</v>
      </c>
      <c r="E260" s="125" t="n">
        <v>48</v>
      </c>
      <c r="F260" s="124" t="n">
        <v>133.9</v>
      </c>
      <c r="G260" s="17" t="n">
        <v>41</v>
      </c>
      <c r="H260" s="126" t="n">
        <v>74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157</v>
      </c>
      <c r="U260" s="9" t="n"/>
    </row>
    <row r="261" ht="12" customFormat="1" customHeight="1" s="37">
      <c r="A261" s="73" t="inlineStr">
        <is>
          <t>평촌동 초원8단지세경</t>
        </is>
      </c>
      <c r="B261" s="74" t="inlineStr">
        <is>
          <t>96.07.</t>
        </is>
      </c>
      <c r="C261" s="123" t="n">
        <v>709</v>
      </c>
      <c r="D261" s="124" t="n">
        <v>64.09999999999999</v>
      </c>
      <c r="E261" s="125" t="n">
        <v>19</v>
      </c>
      <c r="F261" s="124" t="n">
        <v>49.7</v>
      </c>
      <c r="G261" s="17" t="n">
        <v>15</v>
      </c>
      <c r="H261" s="126" t="n">
        <v>709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2</v>
      </c>
      <c r="R261" s="114" t="n">
        <v>1</v>
      </c>
      <c r="S261" s="114" t="inlineStr">
        <is>
          <t>복</t>
        </is>
      </c>
      <c r="T261" s="5" t="n">
        <v>64</v>
      </c>
      <c r="U261" s="9" t="n"/>
    </row>
    <row r="262" ht="12" customFormat="1" customHeight="1" s="37">
      <c r="A262" s="73" t="inlineStr">
        <is>
          <t>평촌동 꿈라이프</t>
        </is>
      </c>
      <c r="B262" s="74" t="inlineStr">
        <is>
          <t>92.09.</t>
        </is>
      </c>
      <c r="C262" s="123" t="n">
        <v>548</v>
      </c>
      <c r="D262" s="124" t="n">
        <v>128.5</v>
      </c>
      <c r="E262" s="125" t="n">
        <v>39</v>
      </c>
      <c r="F262" s="124" t="n">
        <v>110.4</v>
      </c>
      <c r="G262" s="17" t="n">
        <v>33</v>
      </c>
      <c r="H262" s="126" t="n">
        <v>390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n">
        <v>128</v>
      </c>
      <c r="U262" s="9" t="n"/>
    </row>
    <row r="263" ht="12" customFormat="1" customHeight="1" s="37">
      <c r="A263" s="73" t="inlineStr">
        <is>
          <t>평촌동 평촌e-편한세상</t>
        </is>
      </c>
      <c r="B263" s="74" t="inlineStr">
        <is>
          <t>10.06.</t>
        </is>
      </c>
      <c r="C263" s="123" t="n">
        <v>220</v>
      </c>
      <c r="D263" s="124" t="n">
        <v>157.8</v>
      </c>
      <c r="E263" s="125" t="n">
        <v>48</v>
      </c>
      <c r="F263" s="124" t="n">
        <v>130.6</v>
      </c>
      <c r="G263" s="17" t="n">
        <v>40</v>
      </c>
      <c r="H263" s="126" t="n">
        <v>92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157</v>
      </c>
      <c r="U263" s="9" t="n"/>
    </row>
    <row r="264" ht="12" customFormat="1" customHeight="1" s="37">
      <c r="A264" s="73" t="inlineStr">
        <is>
          <t>평촌동 평촌e-편한세상</t>
        </is>
      </c>
      <c r="B264" s="74" t="inlineStr">
        <is>
          <t>10.06.</t>
        </is>
      </c>
      <c r="C264" s="123" t="n">
        <v>220</v>
      </c>
      <c r="D264" s="124" t="n">
        <v>187.2</v>
      </c>
      <c r="E264" s="125" t="n">
        <v>57</v>
      </c>
      <c r="F264" s="124" t="n">
        <v>157.9</v>
      </c>
      <c r="G264" s="17" t="n">
        <v>48</v>
      </c>
      <c r="H264" s="126" t="n">
        <v>100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187A</t>
        </is>
      </c>
      <c r="U264" s="9" t="n"/>
    </row>
    <row r="265" ht="12" customFormat="1" customHeight="1" s="37">
      <c r="A265" s="73" t="inlineStr">
        <is>
          <t>평촌동 영풍</t>
        </is>
      </c>
      <c r="B265" s="74" t="inlineStr">
        <is>
          <t>00.04.</t>
        </is>
      </c>
      <c r="C265" s="123" t="n">
        <v>230</v>
      </c>
      <c r="D265" s="124" t="n">
        <v>47.4</v>
      </c>
      <c r="E265" s="125" t="n">
        <v>14</v>
      </c>
      <c r="F265" s="124" t="n">
        <v>36.9</v>
      </c>
      <c r="G265" s="17" t="n">
        <v>11</v>
      </c>
      <c r="H265" s="126" t="n">
        <v>48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47</v>
      </c>
      <c r="U265" s="9" t="n"/>
    </row>
    <row r="266" ht="12" customFormat="1" customHeight="1" s="37">
      <c r="A266" s="73" t="inlineStr">
        <is>
          <t>평촌동 영풍</t>
        </is>
      </c>
      <c r="B266" s="74" t="inlineStr">
        <is>
          <t>00.04.</t>
        </is>
      </c>
      <c r="C266" s="123" t="n">
        <v>230</v>
      </c>
      <c r="D266" s="124" t="n">
        <v>109.1</v>
      </c>
      <c r="E266" s="125" t="n">
        <v>33</v>
      </c>
      <c r="F266" s="124" t="n">
        <v>84.8</v>
      </c>
      <c r="G266" s="17" t="n">
        <v>26</v>
      </c>
      <c r="H266" s="126" t="n">
        <v>182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109</v>
      </c>
      <c r="U266" s="9" t="n"/>
    </row>
    <row r="267" ht="12" customFormat="1" customHeight="1" s="37">
      <c r="A267" s="73" t="inlineStr">
        <is>
          <t>평촌동 꿈금호</t>
        </is>
      </c>
      <c r="B267" s="74" t="inlineStr">
        <is>
          <t>93.09.</t>
        </is>
      </c>
      <c r="C267" s="123" t="n">
        <v>250</v>
      </c>
      <c r="D267" s="124" t="n">
        <v>123.2</v>
      </c>
      <c r="E267" s="125" t="n">
        <v>37</v>
      </c>
      <c r="F267" s="124" t="n">
        <v>102</v>
      </c>
      <c r="G267" s="17" t="n">
        <v>31</v>
      </c>
      <c r="H267" s="126" t="n">
        <v>90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123</v>
      </c>
      <c r="U267" s="9" t="n"/>
    </row>
    <row r="268" ht="12" customFormat="1" customHeight="1" s="37">
      <c r="A268" s="73" t="inlineStr">
        <is>
          <t>평촌동 꿈금호</t>
        </is>
      </c>
      <c r="B268" s="74" t="inlineStr">
        <is>
          <t>93.09.</t>
        </is>
      </c>
      <c r="C268" s="123" t="n">
        <v>250</v>
      </c>
      <c r="D268" s="124" t="n">
        <v>157.3</v>
      </c>
      <c r="E268" s="125" t="n">
        <v>48</v>
      </c>
      <c r="F268" s="124" t="n">
        <v>133.6</v>
      </c>
      <c r="G268" s="17" t="n">
        <v>40</v>
      </c>
      <c r="H268" s="126" t="n">
        <v>160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157</v>
      </c>
      <c r="U268" s="9" t="n"/>
    </row>
    <row r="269" ht="12" customFormat="1" customHeight="1" s="37">
      <c r="A269" s="73" t="inlineStr">
        <is>
          <t>호계동 호계현대</t>
        </is>
      </c>
      <c r="B269" s="74" t="inlineStr">
        <is>
          <t>99.12.</t>
        </is>
      </c>
      <c r="C269" s="123" t="n">
        <v>212</v>
      </c>
      <c r="D269" s="124" t="n">
        <v>78.7</v>
      </c>
      <c r="E269" s="125" t="n">
        <v>24</v>
      </c>
      <c r="F269" s="124" t="n">
        <v>59.9</v>
      </c>
      <c r="G269" s="17" t="n">
        <v>18</v>
      </c>
      <c r="H269" s="126" t="n">
        <v>90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78</v>
      </c>
      <c r="U269" s="9" t="n"/>
    </row>
    <row r="270" ht="12" customFormat="1" customHeight="1" s="37">
      <c r="A270" s="73" t="inlineStr">
        <is>
          <t>호계동 호계현대</t>
        </is>
      </c>
      <c r="B270" s="74" t="inlineStr">
        <is>
          <t>99.12.</t>
        </is>
      </c>
      <c r="C270" s="123" t="n">
        <v>212</v>
      </c>
      <c r="D270" s="124" t="n">
        <v>111.7</v>
      </c>
      <c r="E270" s="125" t="n">
        <v>34</v>
      </c>
      <c r="F270" s="124" t="n">
        <v>84.90000000000001</v>
      </c>
      <c r="G270" s="17" t="n">
        <v>26</v>
      </c>
      <c r="H270" s="126" t="n">
        <v>104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111</v>
      </c>
      <c r="U270" s="9" t="n"/>
    </row>
    <row r="271" ht="12" customFormat="1" customHeight="1" s="37">
      <c r="A271" s="73" t="inlineStr">
        <is>
          <t>호계동 평촌트리지아</t>
        </is>
      </c>
      <c r="B271" s="74" t="inlineStr">
        <is>
          <t>24.08.</t>
        </is>
      </c>
      <c r="C271" s="123" t="n">
        <v>2417</v>
      </c>
      <c r="D271" s="124" t="n">
        <v>83.90000000000001</v>
      </c>
      <c r="E271" s="125" t="n">
        <v>25</v>
      </c>
      <c r="F271" s="124" t="n">
        <v>60</v>
      </c>
      <c r="G271" s="17" t="n">
        <v>18</v>
      </c>
      <c r="H271" s="126" t="n">
        <v>768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83A</t>
        </is>
      </c>
      <c r="U271" s="9" t="n"/>
    </row>
    <row r="272" ht="12" customFormat="1" customHeight="1" s="37">
      <c r="A272" s="73" t="inlineStr">
        <is>
          <t>호계동 평촌트리지아</t>
        </is>
      </c>
      <c r="B272" s="74" t="inlineStr">
        <is>
          <t>24.08.</t>
        </is>
      </c>
      <c r="C272" s="123" t="n">
        <v>2417</v>
      </c>
      <c r="D272" s="124" t="n">
        <v>101.7</v>
      </c>
      <c r="E272" s="125" t="n">
        <v>31</v>
      </c>
      <c r="F272" s="124" t="n">
        <v>74.90000000000001</v>
      </c>
      <c r="G272" s="17" t="n">
        <v>23</v>
      </c>
      <c r="H272" s="126" t="n">
        <v>509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101</v>
      </c>
      <c r="U272" s="9" t="n"/>
    </row>
    <row r="273" ht="12" customFormat="1" customHeight="1" s="37">
      <c r="A273" s="73" t="inlineStr">
        <is>
          <t>호계동 평촌트리지아</t>
        </is>
      </c>
      <c r="B273" s="74" t="inlineStr">
        <is>
          <t>24.08.</t>
        </is>
      </c>
      <c r="C273" s="123" t="n">
        <v>2417</v>
      </c>
      <c r="D273" s="124" t="n">
        <v>111.6</v>
      </c>
      <c r="E273" s="125" t="n">
        <v>34</v>
      </c>
      <c r="F273" s="124" t="n">
        <v>85</v>
      </c>
      <c r="G273" s="17" t="n">
        <v>26</v>
      </c>
      <c r="H273" s="126" t="n">
        <v>413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111A</t>
        </is>
      </c>
      <c r="U273" s="9" t="n"/>
    </row>
    <row r="274" ht="12" customFormat="1" customHeight="1" s="37">
      <c r="A274" s="73" t="inlineStr">
        <is>
          <t>호계동 호계아크로리버</t>
        </is>
      </c>
      <c r="B274" s="74" t="inlineStr">
        <is>
          <t>07.03.</t>
        </is>
      </c>
      <c r="C274" s="123" t="n">
        <v>210</v>
      </c>
      <c r="D274" s="124" t="n">
        <v>115.3</v>
      </c>
      <c r="E274" s="125" t="n">
        <v>35</v>
      </c>
      <c r="F274" s="124" t="n">
        <v>84.90000000000001</v>
      </c>
      <c r="G274" s="17" t="n">
        <v>26</v>
      </c>
      <c r="H274" s="126" t="n">
        <v>91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115</v>
      </c>
      <c r="U274" s="9" t="n"/>
    </row>
    <row r="275" ht="12" customFormat="1" customHeight="1" s="37">
      <c r="A275" s="73" t="inlineStr">
        <is>
          <t>호계동 호계아크로리버</t>
        </is>
      </c>
      <c r="B275" s="74" t="inlineStr">
        <is>
          <t>07.03.</t>
        </is>
      </c>
      <c r="C275" s="123" t="n">
        <v>210</v>
      </c>
      <c r="D275" s="124" t="n">
        <v>163.8</v>
      </c>
      <c r="E275" s="125" t="n">
        <v>50</v>
      </c>
      <c r="F275" s="124" t="n">
        <v>122.4</v>
      </c>
      <c r="G275" s="17" t="n">
        <v>37</v>
      </c>
      <c r="H275" s="126" t="n">
        <v>82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n">
        <v>163</v>
      </c>
      <c r="U275" s="9" t="n"/>
    </row>
    <row r="276" ht="12" customFormat="1" customHeight="1" s="37">
      <c r="A276" s="73" t="inlineStr">
        <is>
          <t>호계동 삼신6차</t>
        </is>
      </c>
      <c r="B276" s="74" t="inlineStr">
        <is>
          <t>84.06.</t>
        </is>
      </c>
      <c r="C276" s="123" t="n">
        <v>252</v>
      </c>
      <c r="D276" s="124" t="n">
        <v>61.1</v>
      </c>
      <c r="E276" s="125" t="n">
        <v>18</v>
      </c>
      <c r="F276" s="124" t="n">
        <v>47</v>
      </c>
      <c r="G276" s="17" t="n">
        <v>14</v>
      </c>
      <c r="H276" s="126" t="n">
        <v>72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61</v>
      </c>
      <c r="U276" s="9" t="n"/>
    </row>
    <row r="277" ht="12" customFormat="1" customHeight="1" s="37">
      <c r="A277" s="73" t="inlineStr">
        <is>
          <t>호계동 삼신6차</t>
        </is>
      </c>
      <c r="B277" s="74" t="inlineStr">
        <is>
          <t>84.06.</t>
        </is>
      </c>
      <c r="C277" s="123" t="n">
        <v>252</v>
      </c>
      <c r="D277" s="124" t="n">
        <v>64</v>
      </c>
      <c r="E277" s="125" t="n">
        <v>19</v>
      </c>
      <c r="F277" s="124" t="n">
        <v>49.5</v>
      </c>
      <c r="G277" s="17" t="n">
        <v>15</v>
      </c>
      <c r="H277" s="126" t="n">
        <v>96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64A</t>
        </is>
      </c>
      <c r="U277" s="9" t="n"/>
    </row>
    <row r="278" ht="12" customFormat="1" customHeight="1" s="37">
      <c r="A278" s="73" t="inlineStr">
        <is>
          <t>호계동 삼신6차</t>
        </is>
      </c>
      <c r="B278" s="74" t="inlineStr">
        <is>
          <t>84.06.</t>
        </is>
      </c>
      <c r="C278" s="123" t="n">
        <v>252</v>
      </c>
      <c r="D278" s="124" t="n">
        <v>67.09999999999999</v>
      </c>
      <c r="E278" s="125" t="n">
        <v>20</v>
      </c>
      <c r="F278" s="124" t="n">
        <v>52.1</v>
      </c>
      <c r="G278" s="17" t="n">
        <v>16</v>
      </c>
      <c r="H278" s="126" t="n">
        <v>72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inlineStr">
        <is>
          <t>67B</t>
        </is>
      </c>
      <c r="U278" s="9" t="n"/>
    </row>
    <row r="279" ht="12" customFormat="1" customHeight="1" s="37">
      <c r="A279" s="73" t="inlineStr">
        <is>
          <t>호계동 호계e-편한세상</t>
        </is>
      </c>
      <c r="B279" s="74" t="inlineStr">
        <is>
          <t>03.12.</t>
        </is>
      </c>
      <c r="C279" s="123" t="n">
        <v>1752</v>
      </c>
      <c r="D279" s="124" t="n">
        <v>172</v>
      </c>
      <c r="E279" s="125" t="n">
        <v>52</v>
      </c>
      <c r="F279" s="124" t="n">
        <v>143.3</v>
      </c>
      <c r="G279" s="17" t="n">
        <v>43</v>
      </c>
      <c r="H279" s="126" t="n">
        <v>108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171</v>
      </c>
      <c r="U279" s="9" t="n"/>
    </row>
    <row r="280" ht="12" customFormat="1" customHeight="1" s="37">
      <c r="A280" s="73" t="inlineStr">
        <is>
          <t>호계동 목련6단지</t>
        </is>
      </c>
      <c r="B280" s="74" t="inlineStr">
        <is>
          <t>93.07.</t>
        </is>
      </c>
      <c r="C280" s="123" t="n">
        <v>440</v>
      </c>
      <c r="D280" s="124" t="n">
        <v>158.8</v>
      </c>
      <c r="E280" s="125" t="n">
        <v>48</v>
      </c>
      <c r="F280" s="124" t="n">
        <v>131.9</v>
      </c>
      <c r="G280" s="17" t="n">
        <v>40</v>
      </c>
      <c r="H280" s="126" t="n">
        <v>140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158</v>
      </c>
      <c r="U280" s="9" t="n"/>
    </row>
    <row r="281" ht="12" customFormat="1" customHeight="1" s="37">
      <c r="A281" s="73" t="inlineStr">
        <is>
          <t>호계동 호계신도브래뉴</t>
        </is>
      </c>
      <c r="B281" s="74" t="inlineStr">
        <is>
          <t>04.10.</t>
        </is>
      </c>
      <c r="C281" s="123" t="n">
        <v>203</v>
      </c>
      <c r="D281" s="124" t="n">
        <v>84.8</v>
      </c>
      <c r="E281" s="125" t="n">
        <v>26</v>
      </c>
      <c r="F281" s="124" t="n">
        <v>66.7</v>
      </c>
      <c r="G281" s="17" t="n">
        <v>20</v>
      </c>
      <c r="H281" s="126" t="n">
        <v>36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84B</t>
        </is>
      </c>
      <c r="U281" s="9" t="n"/>
    </row>
    <row r="282" ht="12" customFormat="1" customHeight="1" s="37">
      <c r="A282" s="73" t="inlineStr">
        <is>
          <t>호계동 호계신도브래뉴</t>
        </is>
      </c>
      <c r="B282" s="74" t="inlineStr">
        <is>
          <t>04.10.</t>
        </is>
      </c>
      <c r="C282" s="123" t="n">
        <v>203</v>
      </c>
      <c r="D282" s="124" t="n">
        <v>107.9</v>
      </c>
      <c r="E282" s="125" t="n">
        <v>33</v>
      </c>
      <c r="F282" s="124" t="n">
        <v>85</v>
      </c>
      <c r="G282" s="17" t="n">
        <v>26</v>
      </c>
      <c r="H282" s="126" t="n">
        <v>97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107B</t>
        </is>
      </c>
      <c r="U282" s="9" t="n"/>
    </row>
    <row r="283" ht="12" customFormat="1" customHeight="1" s="37">
      <c r="A283" s="73" t="inlineStr">
        <is>
          <t>호계동 삼신5차</t>
        </is>
      </c>
      <c r="B283" s="74" t="inlineStr">
        <is>
          <t>83.11.</t>
        </is>
      </c>
      <c r="C283" s="123" t="n">
        <v>216</v>
      </c>
      <c r="D283" s="124" t="n">
        <v>65</v>
      </c>
      <c r="E283" s="125" t="n">
        <v>20</v>
      </c>
      <c r="F283" s="124" t="n">
        <v>48.8</v>
      </c>
      <c r="G283" s="17" t="n">
        <v>15</v>
      </c>
      <c r="H283" s="126" t="n">
        <v>48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64A</t>
        </is>
      </c>
      <c r="U283" s="9" t="n"/>
    </row>
    <row r="284" ht="12" customFormat="1" customHeight="1" s="37">
      <c r="A284" s="73" t="inlineStr">
        <is>
          <t>호계동 삼신5차</t>
        </is>
      </c>
      <c r="B284" s="74" t="inlineStr">
        <is>
          <t>83.11.</t>
        </is>
      </c>
      <c r="C284" s="123" t="n">
        <v>216</v>
      </c>
      <c r="D284" s="124" t="n">
        <v>67.90000000000001</v>
      </c>
      <c r="E284" s="125" t="n">
        <v>21</v>
      </c>
      <c r="F284" s="124" t="n">
        <v>51.3</v>
      </c>
      <c r="G284" s="17" t="n">
        <v>16</v>
      </c>
      <c r="H284" s="126" t="n">
        <v>78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</row>
    <row r="285" ht="12" customFormat="1" customHeight="1" s="37">
      <c r="A285" s="73" t="inlineStr">
        <is>
          <t>호계동 삼신5차</t>
        </is>
      </c>
      <c r="B285" s="74" t="inlineStr">
        <is>
          <t>83.11.</t>
        </is>
      </c>
      <c r="C285" s="123" t="n">
        <v>216</v>
      </c>
      <c r="D285" s="124" t="n">
        <v>81.09999999999999</v>
      </c>
      <c r="E285" s="125" t="n">
        <v>25</v>
      </c>
      <c r="F285" s="124" t="n">
        <v>62.6</v>
      </c>
      <c r="G285" s="17" t="n">
        <v>19</v>
      </c>
      <c r="H285" s="126" t="n">
        <v>36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81A</t>
        </is>
      </c>
      <c r="U285" s="9" t="n"/>
    </row>
    <row r="286" ht="12" customFormat="1" customHeight="1" s="37">
      <c r="A286" s="73" t="inlineStr">
        <is>
          <t>호계동 평촌트루엘파크</t>
        </is>
      </c>
      <c r="B286" s="74" t="inlineStr">
        <is>
          <t>18.03.</t>
        </is>
      </c>
      <c r="C286" s="123" t="n">
        <v>200</v>
      </c>
      <c r="D286" s="124" t="n">
        <v>85.09999999999999</v>
      </c>
      <c r="E286" s="125" t="n">
        <v>26</v>
      </c>
      <c r="F286" s="124" t="n">
        <v>59.9</v>
      </c>
      <c r="G286" s="17" t="n">
        <v>18</v>
      </c>
      <c r="H286" s="126" t="n">
        <v>58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85A</t>
        </is>
      </c>
      <c r="U286" s="9" t="n"/>
    </row>
    <row r="287" ht="12" customFormat="1" customHeight="1" s="37">
      <c r="A287" s="73" t="inlineStr">
        <is>
          <t>호계동 평촌트루엘파크</t>
        </is>
      </c>
      <c r="B287" s="74" t="inlineStr">
        <is>
          <t>18.03.</t>
        </is>
      </c>
      <c r="C287" s="123" t="n">
        <v>200</v>
      </c>
      <c r="D287" s="124" t="n">
        <v>99.2</v>
      </c>
      <c r="E287" s="125" t="n">
        <v>30</v>
      </c>
      <c r="F287" s="124" t="n">
        <v>73.5</v>
      </c>
      <c r="G287" s="17" t="n">
        <v>22</v>
      </c>
      <c r="H287" s="126" t="n">
        <v>44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99</v>
      </c>
      <c r="U287" s="9" t="n"/>
    </row>
    <row r="288" ht="12" customFormat="1" customHeight="1" s="37">
      <c r="A288" s="73" t="inlineStr">
        <is>
          <t>호계동 호계신성미소지움</t>
        </is>
      </c>
      <c r="B288" s="74" t="inlineStr">
        <is>
          <t>04.12.</t>
        </is>
      </c>
      <c r="C288" s="123" t="n">
        <v>361</v>
      </c>
      <c r="D288" s="124" t="n">
        <v>95.2</v>
      </c>
      <c r="E288" s="125" t="n">
        <v>29</v>
      </c>
      <c r="F288" s="124" t="n">
        <v>75</v>
      </c>
      <c r="G288" s="17" t="n">
        <v>23</v>
      </c>
      <c r="H288" s="126" t="n">
        <v>42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95</v>
      </c>
      <c r="U288" s="9" t="n"/>
    </row>
    <row r="289" ht="12" customFormat="1" customHeight="1" s="37">
      <c r="A289" s="73" t="inlineStr">
        <is>
          <t>호계동 삼익</t>
        </is>
      </c>
      <c r="B289" s="74" t="inlineStr">
        <is>
          <t>96.10.</t>
        </is>
      </c>
      <c r="C289" s="123" t="n">
        <v>261</v>
      </c>
      <c r="D289" s="124" t="n">
        <v>81.5</v>
      </c>
      <c r="E289" s="125" t="n">
        <v>25</v>
      </c>
      <c r="F289" s="124" t="n">
        <v>59.9</v>
      </c>
      <c r="G289" s="17" t="n">
        <v>18</v>
      </c>
      <c r="H289" s="126" t="n">
        <v>110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계</t>
        </is>
      </c>
      <c r="T289" s="5" t="n">
        <v>81</v>
      </c>
      <c r="U289" s="9" t="n"/>
    </row>
    <row r="290" ht="12" customFormat="1" customHeight="1" s="37">
      <c r="A290" s="73" t="inlineStr">
        <is>
          <t>호계동 삼익</t>
        </is>
      </c>
      <c r="B290" s="74" t="inlineStr">
        <is>
          <t>96.10.</t>
        </is>
      </c>
      <c r="C290" s="123" t="n">
        <v>261</v>
      </c>
      <c r="D290" s="124" t="n">
        <v>97.40000000000001</v>
      </c>
      <c r="E290" s="125" t="n">
        <v>29</v>
      </c>
      <c r="F290" s="124" t="n">
        <v>71.5</v>
      </c>
      <c r="G290" s="17" t="n">
        <v>22</v>
      </c>
      <c r="H290" s="126" t="n">
        <v>71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97A</t>
        </is>
      </c>
      <c r="U290" s="9" t="n"/>
    </row>
    <row r="291" ht="12" customFormat="1" customHeight="1" s="37">
      <c r="A291" s="73" t="inlineStr">
        <is>
          <t>호계동 삼익</t>
        </is>
      </c>
      <c r="B291" s="74" t="inlineStr">
        <is>
          <t>96.10.</t>
        </is>
      </c>
      <c r="C291" s="123" t="n">
        <v>261</v>
      </c>
      <c r="D291" s="124" t="n">
        <v>115.7</v>
      </c>
      <c r="E291" s="125" t="n">
        <v>35</v>
      </c>
      <c r="F291" s="124" t="n">
        <v>85</v>
      </c>
      <c r="G291" s="17" t="n">
        <v>26</v>
      </c>
      <c r="H291" s="126" t="n">
        <v>60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115</v>
      </c>
      <c r="U291" s="9" t="n"/>
    </row>
    <row r="292" ht="12" customFormat="1" customHeight="1" s="37">
      <c r="A292" s="73" t="inlineStr">
        <is>
          <t>호계동 무궁화건영</t>
        </is>
      </c>
      <c r="B292" s="74" t="inlineStr">
        <is>
          <t>92.09.</t>
        </is>
      </c>
      <c r="C292" s="123" t="n">
        <v>468</v>
      </c>
      <c r="D292" s="124" t="n">
        <v>95.09999999999999</v>
      </c>
      <c r="E292" s="125" t="n">
        <v>29</v>
      </c>
      <c r="F292" s="124" t="n">
        <v>76.40000000000001</v>
      </c>
      <c r="G292" s="17" t="n">
        <v>23</v>
      </c>
      <c r="H292" s="126" t="n">
        <v>56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95</v>
      </c>
      <c r="U292" s="9" t="n"/>
    </row>
    <row r="293" ht="12" customFormat="1" customHeight="1" s="37">
      <c r="A293" s="73" t="inlineStr">
        <is>
          <t>호계동 평촌대성유니드</t>
        </is>
      </c>
      <c r="B293" s="74" t="inlineStr">
        <is>
          <t>19.04.</t>
        </is>
      </c>
      <c r="C293" s="123" t="n">
        <v>203</v>
      </c>
      <c r="D293" s="124" t="n">
        <v>65.40000000000001</v>
      </c>
      <c r="E293" s="125" t="n">
        <v>20</v>
      </c>
      <c r="F293" s="124" t="n">
        <v>45.8</v>
      </c>
      <c r="G293" s="17" t="n">
        <v>14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2</v>
      </c>
      <c r="R293" s="114" t="n">
        <v>1</v>
      </c>
      <c r="S293" s="114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3" t="inlineStr">
        <is>
          <t>호계동 평촌대성유니드</t>
        </is>
      </c>
      <c r="B294" s="74" t="inlineStr">
        <is>
          <t>19.04.</t>
        </is>
      </c>
      <c r="C294" s="123" t="n">
        <v>203</v>
      </c>
      <c r="D294" s="124" t="n">
        <v>84.90000000000001</v>
      </c>
      <c r="E294" s="125" t="n">
        <v>26</v>
      </c>
      <c r="F294" s="124" t="n">
        <v>59.9</v>
      </c>
      <c r="G294" s="17" t="n">
        <v>18</v>
      </c>
      <c r="H294" s="126" t="n">
        <v>68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84A</t>
        </is>
      </c>
      <c r="U294" s="9" t="n"/>
    </row>
    <row r="295" ht="12" customFormat="1" customHeight="1" s="37">
      <c r="A295" s="73" t="inlineStr">
        <is>
          <t>호계동 푸른마을삼성</t>
        </is>
      </c>
      <c r="B295" s="74" t="inlineStr">
        <is>
          <t>99.01.</t>
        </is>
      </c>
      <c r="C295" s="123" t="n">
        <v>231</v>
      </c>
      <c r="D295" s="124" t="n">
        <v>83.90000000000001</v>
      </c>
      <c r="E295" s="125" t="n">
        <v>25</v>
      </c>
      <c r="F295" s="124" t="n">
        <v>59.4</v>
      </c>
      <c r="G295" s="17" t="n">
        <v>18</v>
      </c>
      <c r="H295" s="126" t="n">
        <v>115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복</t>
        </is>
      </c>
      <c r="T295" s="5" t="n">
        <v>83</v>
      </c>
      <c r="U295" s="9" t="n"/>
    </row>
    <row r="296" ht="12" customFormat="1" customHeight="1" s="37">
      <c r="A296" s="73" t="inlineStr">
        <is>
          <t>호계동 푸른마을삼성</t>
        </is>
      </c>
      <c r="B296" s="74" t="inlineStr">
        <is>
          <t>99.01.</t>
        </is>
      </c>
      <c r="C296" s="123" t="n">
        <v>231</v>
      </c>
      <c r="D296" s="124" t="n">
        <v>107.1</v>
      </c>
      <c r="E296" s="125" t="n">
        <v>32</v>
      </c>
      <c r="F296" s="124" t="n">
        <v>85</v>
      </c>
      <c r="G296" s="17" t="n">
        <v>26</v>
      </c>
      <c r="H296" s="126" t="n">
        <v>116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3" t="inlineStr">
        <is>
          <t>비산동 평촌자이아이파크</t>
        </is>
      </c>
      <c r="B297" s="74" t="inlineStr">
        <is>
          <t>21.12.</t>
        </is>
      </c>
      <c r="C297" s="123" t="n">
        <v>2531</v>
      </c>
      <c r="D297" s="124" t="n">
        <v>59.1</v>
      </c>
      <c r="E297" s="125" t="n">
        <v>18</v>
      </c>
      <c r="F297" s="124" t="n">
        <v>39.9</v>
      </c>
      <c r="G297" s="17" t="n">
        <v>12</v>
      </c>
      <c r="H297" s="126" t="n">
        <v>212</v>
      </c>
      <c r="I297" s="127" t="n"/>
      <c r="J297" s="127" t="n"/>
      <c r="K297" s="127" t="n">
        <v>29370</v>
      </c>
      <c r="L297" s="127" t="inlineStr">
        <is>
          <t>21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복</t>
        </is>
      </c>
      <c r="T297" s="5" t="n">
        <v>59</v>
      </c>
      <c r="U297" s="9" t="n"/>
    </row>
    <row r="298" ht="12" customFormat="1" customHeight="1" s="37">
      <c r="A298" s="73" t="inlineStr">
        <is>
          <t>관양동 한가람한양</t>
        </is>
      </c>
      <c r="B298" s="74" t="inlineStr">
        <is>
          <t>95.05.</t>
        </is>
      </c>
      <c r="C298" s="123" t="n">
        <v>952</v>
      </c>
      <c r="D298" s="124" t="n">
        <v>79.7</v>
      </c>
      <c r="E298" s="125" t="n">
        <v>24</v>
      </c>
      <c r="F298" s="124" t="n">
        <v>59.8</v>
      </c>
      <c r="G298" s="17" t="n">
        <v>18</v>
      </c>
      <c r="H298" s="126" t="n">
        <v>72</v>
      </c>
      <c r="I298" s="127" t="n"/>
      <c r="J298" s="127" t="n"/>
      <c r="K298" s="127" t="n">
        <v>38000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79</v>
      </c>
      <c r="U298" s="9" t="n"/>
    </row>
    <row r="299" ht="12" customFormat="1" customHeight="1" s="37">
      <c r="A299" s="73" t="inlineStr">
        <is>
          <t>비산동 힐스테이트비산파크뷰</t>
        </is>
      </c>
      <c r="B299" s="74" t="inlineStr">
        <is>
          <t>22.04.</t>
        </is>
      </c>
      <c r="C299" s="123" t="n">
        <v>303</v>
      </c>
      <c r="D299" s="124" t="n">
        <v>84.2</v>
      </c>
      <c r="E299" s="125" t="n">
        <v>25</v>
      </c>
      <c r="F299" s="124" t="n">
        <v>59.9</v>
      </c>
      <c r="G299" s="17" t="n">
        <v>18</v>
      </c>
      <c r="H299" s="126" t="n">
        <v>153</v>
      </c>
      <c r="I299" s="127" t="n"/>
      <c r="J299" s="127" t="n"/>
      <c r="K299" s="127" t="n">
        <v>48000</v>
      </c>
      <c r="L299" s="127" t="inlineStr">
        <is>
          <t>25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84A</t>
        </is>
      </c>
      <c r="U299" s="9" t="n"/>
    </row>
    <row r="300" ht="12" customFormat="1" customHeight="1" s="37">
      <c r="A300" s="73" t="inlineStr">
        <is>
          <t>호계동 평촌두산위브리버뷰</t>
        </is>
      </c>
      <c r="B300" s="74" t="inlineStr">
        <is>
          <t>21.12.</t>
        </is>
      </c>
      <c r="C300" s="123" t="n">
        <v>855</v>
      </c>
      <c r="D300" s="124" t="n">
        <v>87.8</v>
      </c>
      <c r="E300" s="125" t="n">
        <v>27</v>
      </c>
      <c r="F300" s="124" t="n">
        <v>60</v>
      </c>
      <c r="G300" s="17" t="n">
        <v>18</v>
      </c>
      <c r="H300" s="126" t="n">
        <v>37</v>
      </c>
      <c r="I300" s="127" t="n"/>
      <c r="J300" s="127" t="n"/>
      <c r="K300" s="127" t="n">
        <v>48000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87G</t>
        </is>
      </c>
      <c r="U300" s="9" t="n"/>
    </row>
    <row r="301" ht="12" customFormat="1" customHeight="1" s="37">
      <c r="A301" s="73" t="inlineStr">
        <is>
          <t>비산동 힐스테이트비산파크뷰</t>
        </is>
      </c>
      <c r="B301" s="74" t="inlineStr">
        <is>
          <t>22.04.</t>
        </is>
      </c>
      <c r="C301" s="123" t="n">
        <v>303</v>
      </c>
      <c r="D301" s="124" t="n">
        <v>107.2</v>
      </c>
      <c r="E301" s="125" t="n">
        <v>32</v>
      </c>
      <c r="F301" s="124" t="n">
        <v>76.8</v>
      </c>
      <c r="G301" s="17" t="n">
        <v>23</v>
      </c>
      <c r="H301" s="126" t="n">
        <v>150</v>
      </c>
      <c r="I301" s="127" t="n"/>
      <c r="J301" s="127" t="n"/>
      <c r="K301" s="127" t="n">
        <v>55000</v>
      </c>
      <c r="L301" s="127" t="inlineStr">
        <is>
          <t>6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107A</t>
        </is>
      </c>
      <c r="U301" s="9" t="n"/>
    </row>
    <row r="302" ht="12" customFormat="1" customHeight="1" s="37">
      <c r="A302" s="73" t="inlineStr">
        <is>
          <t>호계동 호계효성</t>
        </is>
      </c>
      <c r="B302" s="74" t="inlineStr">
        <is>
          <t>00.10.</t>
        </is>
      </c>
      <c r="C302" s="123" t="n">
        <v>370</v>
      </c>
      <c r="D302" s="124" t="n">
        <v>154.3</v>
      </c>
      <c r="E302" s="125" t="n">
        <v>47</v>
      </c>
      <c r="F302" s="124" t="n">
        <v>126.9</v>
      </c>
      <c r="G302" s="17" t="n">
        <v>38</v>
      </c>
      <c r="H302" s="126" t="n">
        <v>42</v>
      </c>
      <c r="I302" s="127" t="n"/>
      <c r="J302" s="127" t="n"/>
      <c r="K302" s="127" t="n">
        <v>59000</v>
      </c>
      <c r="L302" s="127" t="inlineStr">
        <is>
          <t>14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n">
        <v>154</v>
      </c>
      <c r="U302" s="9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2">
    <sortState ref="A4:U302">
      <sortCondition descending="1" ref="M3:M302"/>
    </sortState>
  </autoFilter>
  <mergeCells count="3">
    <mergeCell ref="J1:K1"/>
    <mergeCell ref="N1:O1"/>
    <mergeCell ref="Q1:S1"/>
  </mergeCells>
  <conditionalFormatting sqref="N2">
    <cfRule type="cellIs" priority="69326" operator="greaterThan" dxfId="17">
      <formula>0.9</formula>
    </cfRule>
    <cfRule type="cellIs" priority="69327" operator="greaterThan" dxfId="16">
      <formula>0.85</formula>
    </cfRule>
  </conditionalFormatting>
  <conditionalFormatting sqref="N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27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28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29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2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3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4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4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4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4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5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5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5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5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5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6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6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6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6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6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7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7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7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7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7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7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8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8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8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8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1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1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1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1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1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1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1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2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2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2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5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5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5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6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6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9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1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1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1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3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4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4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4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0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2">
    <cfRule type="expression" priority="127564" dxfId="3">
      <formula>AND(IF(OR($Q4=1,$Q4=2),1,0),IF(#REF!&lt;=20,1,0))</formula>
    </cfRule>
    <cfRule type="expression" priority="127565" dxfId="2">
      <formula>AND(IF($Q4=2,1,0),IF(#REF!&lt;30,1,0))</formula>
    </cfRule>
    <cfRule type="expression" priority="127566" dxfId="1">
      <formula>AND(IF($Q4=3,1,0),IF(#REF!&lt;30,1,0))</formula>
    </cfRule>
    <cfRule type="expression" priority="12756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opLeftCell="A16" zoomScale="115" zoomScaleNormal="115" workbookViewId="0">
      <selection activeCell="E10" sqref="E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4"/>
    <col width="17.5" customWidth="1" style="113" min="55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관양동</t>
        </is>
      </c>
      <c r="E4" s="113" t="inlineStr">
        <is>
          <t>비산동</t>
        </is>
      </c>
      <c r="F4" s="113" t="inlineStr">
        <is>
          <t>평촌동</t>
        </is>
      </c>
      <c r="G4" s="113" t="inlineStr">
        <is>
          <t>호계동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15</v>
      </c>
      <c r="B8" s="57" t="inlineStr">
        <is>
          <t>~</t>
        </is>
      </c>
      <c r="C8" s="132" t="n">
        <v>20</v>
      </c>
      <c r="D8" s="58" t="n"/>
      <c r="E8" s="58" t="inlineStr">
        <is>
          <t>평촌래미안푸르지오(35평/16.5)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7">
      <c r="A9" s="133" t="n">
        <v>13</v>
      </c>
      <c r="B9" s="59" t="inlineStr">
        <is>
          <t>~</t>
        </is>
      </c>
      <c r="C9" s="134" t="n">
        <v>15</v>
      </c>
      <c r="D9" s="58" t="inlineStr">
        <is>
          <t>평촌더샵센트럴시티(34평/14.0)</t>
        </is>
      </c>
      <c r="E9" s="58" t="inlineStr">
        <is>
          <t>평촌래미안푸르지오(28평/13.0)</t>
        </is>
      </c>
      <c r="F9" s="58" t="inlineStr">
        <is>
          <t>향촌롯데(33평/14.0)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141.75" customHeight="1" s="117">
      <c r="A10" s="135" t="n">
        <v>10</v>
      </c>
      <c r="B10" s="55" t="inlineStr">
        <is>
          <t>~</t>
        </is>
      </c>
      <c r="C10" s="136" t="n">
        <v>13</v>
      </c>
      <c r="D10" s="56" t="inlineStr">
        <is>
          <t>현대(33평/12.5)_x000D_
인덕원마을삼성(32평/12.0)_x000D_
동편마을3단지(34평/12.0)_x000D_
동편마을3단지(29평/11.0)_x000D_
평촌더샵센트럴시티(25평/10.3)</t>
        </is>
      </c>
      <c r="E10" s="56" t="inlineStr">
        <is>
          <t>뉴타운4차(31평/12.0)_x000D_
은하수(벽산)(32평/12.0)_x000D_
평촌자이아이파크(34평/11.9)_x000D_
뉴타운5차(31평/11.5)_x000D_
평촌자이아이파크(30평/11.0)_x000D_
한양수자인평촌리버뷰(19평/10.0)_x000D_
한양수자인평촌리버뷰(25평/10.0)_x000D_
샛별한양3단지(32평/10.0)</t>
        </is>
      </c>
      <c r="F10" s="56" t="inlineStr">
        <is>
          <t>향촌현대5차(32평/12.3)_x000D_
향촌현대4차(32평/12.0)_x000D_
귀인마을현대홈타운(33평/11.8)_x000D_
꿈라이프(32평/11.0)_x000D_
초원2단지대림(32평/10.5)</t>
        </is>
      </c>
      <c r="G10" s="56" t="inlineStr">
        <is>
          <t>평촌어바인퍼스트(31평/12.0)_x000D_
평촌어바인퍼스트(35평/12.0)_x000D_
평촌더샵아이파크(34평/12.0)_x000D_
평촌두산위브리버뷰(34평/12.0)_x000D_
평촌더샵아이파크(30평/11.0)_x000D_
금정역호계푸르지오(30평/11.0)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9</v>
      </c>
      <c r="B11" s="55" t="inlineStr">
        <is>
          <t>~</t>
        </is>
      </c>
      <c r="C11" s="136" t="n">
        <v>10</v>
      </c>
      <c r="D11" s="56" t="inlineStr">
        <is>
          <t>한가람한양(32평/9.5)_x000D_
한가람두산(32평/9.5)_x000D_
한가람삼성(32평/9.0)</t>
        </is>
      </c>
      <c r="E11" s="56" t="inlineStr">
        <is>
          <t>은하수(신성)(32평/9.8)_x000D_
샛별한양2단지(31평/9.5)_x000D_
비산e-편한세상(32평/9.2)_x000D_
평촌자이아이파크(25평/9.0)_x000D_
은하수(청구)(27평/9.0)_x000D_
은하수(청구)(33평/9.0)</t>
        </is>
      </c>
      <c r="F11" s="56" t="inlineStr">
        <is>
          <t>초원3단지대원(31평/9.5)_x000D_
초원5단지LG(32평/9.5)_x000D_
초원1단지성원(31평/9.5)_x000D_
초원6단지한양(32평/9.2)_x000D_
인덕원대림2차(33평/9.2)</t>
        </is>
      </c>
      <c r="G11" s="56" t="inlineStr">
        <is>
          <t>금정역호계푸르지오(33평/9.8)_x000D_
무궁화금호(31평/9.8)_x000D_
무궁화경남(32평/9.7)_x000D_
평촌더샵아이파크(25평/9.1)_x000D_
목련2단지(23평/9.0)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5.25" customHeight="1" s="117">
      <c r="A12" s="135" t="n">
        <v>8</v>
      </c>
      <c r="B12" s="55" t="inlineStr">
        <is>
          <t>~</t>
        </is>
      </c>
      <c r="C12" s="136" t="n">
        <v>9</v>
      </c>
      <c r="D12" s="56" t="inlineStr">
        <is>
          <t>인덕원마을삼성(24평/8.7)_x000D_
공작성일(29평/8.3)_x000D_
공작성일(23평/8.0)</t>
        </is>
      </c>
      <c r="E12" s="56" t="inlineStr">
        <is>
          <t>관악(부영)(31평/8.6)_x000D_
은하수(신성)(22평/8.5)_x000D_
비산한화꿈에그린(33평/8.3)_x000D_
관악(동성,현대,청구)(32평/8.3)_x000D_
관악(동성,현대,청구)(27평/8.2)_x000D_
평촌자이아이파크(21평/8.0)_x000D_
비산삼성래미안(33평/8.0)_x000D_
안양임곡휴먼시아(35평/8.0)</t>
        </is>
      </c>
      <c r="F12" s="56" t="inlineStr">
        <is>
          <t>귀인마을현대홈타운(25평/8.8)_x000D_
향촌롯데(23평/8.7)_x000D_
푸른마을인덕원대우(33평/8.6)_x000D_
향촌현대5차(23평/8.5)_x000D_
향촌현대4차(24평/8.4)_x000D_
초원7단지부영(25평/8.2)_x000D_
초원3단지대원(23평/8.2)_x000D_
초원5단지LG(23평/8.1)_x000D_
삼성래미안(33평/8.0)</t>
        </is>
      </c>
      <c r="G12" s="56" t="inlineStr">
        <is>
          <t>무궁화진흥(31평/8.8)_x000D_
무궁화효성,한양(33평/8.6)_x000D_
호계현대홈타운1차(36평/8.5)_x000D_
무궁화금호(27평/8.5)_x000D_
무궁화코오롱(28평/8.3)_x000D_
목련5단지(24평/8.3)_x000D_
평촌어바인퍼스트(26평/8.2)_x000D_
무궁화코오롱(33평/8.2)_x000D_
평촌두산위브리버뷰(31평/8.0)_x000D_
호계럭키(31평/8.0)_x000D_
무궁화건영(31평/8.0)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10" customHeight="1" s="117">
      <c r="A13" s="137" t="n">
        <v>7</v>
      </c>
      <c r="B13" s="60" t="inlineStr">
        <is>
          <t>~</t>
        </is>
      </c>
      <c r="C13" s="138" t="n">
        <v>8</v>
      </c>
      <c r="D13" s="61" t="inlineStr">
        <is>
          <t>한가람신라(24평/7.5)_x000D_
공작부영(25평/7.3)_x000D_
한가람삼성(25평/7.2)_x000D_
한가람두산(23평/7.1)</t>
        </is>
      </c>
      <c r="E13" s="61" t="inlineStr">
        <is>
          <t>비산롯데캐슬(32평/7.8)_x000D_
은하수(벽산)(22평/7.8)_x000D_
샛별한양3단지(24평/7.3)_x000D_
은하수,샛별5,6단지(22평/7.2)_x000D_
비산한화꿈에그린(25평/7.2)_x000D_
비산삼성래미안(25평/7.1)_x000D_
샛별한양2단지(24평/7.0)_x000D_
비산힐스테이트(32평/7.0)</t>
        </is>
      </c>
      <c r="F13" s="61" t="inlineStr">
        <is>
          <t>인덕원대림2차(24평/7.7)_x000D_
푸른마을인덕원대우(25평/7.6)_x000D_
초원1단지성원(23평/7.5)_x000D_
삼성래미안(25평/7.5)_x000D_
초원2단지대림(25평/7.4)_x000D_
초원6단지한양(24평/7.1)</t>
        </is>
      </c>
      <c r="G13" s="61" t="inlineStr">
        <is>
          <t>무궁화금호(22평/7.6)_x000D_
평촌어바인퍼스트(20평/7.5)_x000D_
목련3단지(23평/7.5)_x000D_
호계신성미소지움(32평/7.5)_x000D_
호계현대홈타운1차(27평/7.5)_x000D_
무궁화효성,한양(24평/7.3)_x000D_
무궁화경남(25평/7.2)_x000D_
호계현대홈타운2차(34평/7.1)_x000D_
무궁화코오롱(25평/7.0)_x000D_
금정역호계푸르지오(24평/7.0)_x000D_
무궁화태영(28평/7.0)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6</v>
      </c>
      <c r="B14" s="60" t="inlineStr">
        <is>
          <t>~</t>
        </is>
      </c>
      <c r="C14" s="138" t="n">
        <v>7</v>
      </c>
      <c r="D14" s="61" t="inlineStr">
        <is>
          <t>공작부영(21평/6.4)_x000D_
한가람세경(19평/6.0)</t>
        </is>
      </c>
      <c r="E14" s="61" t="inlineStr">
        <is>
          <t>은하수(청구)(23평/7.0)_x000D_
비산롯데캐슬(22평/6.9)_x000D_
안양임곡휴먼시아(25평/6.8)_x000D_
한양수자인평촌리버뷰(22평/6.7)_x000D_
관악(부영)(26평/6.7)_x000D_
관악(동성,현대,청구)(23평/6.5)_x000D_
비산힐스테이트(26평/6.4)_x000D_
평촌자이아이파크(21평/6.0)</t>
        </is>
      </c>
      <c r="F14" s="61" t="inlineStr">
        <is>
          <t>초원7단지부영(21평/6.6)</t>
        </is>
      </c>
      <c r="G14" s="61" t="inlineStr">
        <is>
          <t>무궁화태영(32평/6.9)_x000D_
호계e-편한세상(32평/6.8)_x000D_
한마음1단지(32평/6.8)_x000D_
한마음2단지(30평/6.8)_x000D_
목련3단지(17평/6.8)_x000D_
목련3단지(21평/6.8)_x000D_
무궁화진흥(23평/6.7)_x000D_
무궁화태영(24평/6.6)_x000D_
한마음2단지(23평/6.3)_x000D_
호계신성미소지움(24평/6.2)_x000D_
호계e-편한세상(25평/6.1)_x000D_
호계현대홈타운2차(25평/6.0)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17">
      <c r="A15" s="137" t="n">
        <v>5</v>
      </c>
      <c r="B15" s="60" t="inlineStr">
        <is>
          <t>~</t>
        </is>
      </c>
      <c r="C15" s="138" t="n">
        <v>6</v>
      </c>
      <c r="D15" s="61" t="inlineStr">
        <is>
          <t>공작럭키(20평/5.6)_x000D_
한가람신라(18평/5.4)_x000D_
한가람신라(17평/5.3)</t>
        </is>
      </c>
      <c r="E15" s="61" t="inlineStr">
        <is>
          <t>관악(성원)(21평/5.8)_x000D_
은하수,샛별5,6단지(18평/5.6)_x000D_
샛별한양2단지(16평/5.0)_x000D_
안양임곡휴먼시아(19평/5.0)</t>
        </is>
      </c>
      <c r="F15" s="61" t="n"/>
      <c r="G15" s="61" t="inlineStr">
        <is>
          <t>호계효성(33평/6.0)_x000D_
한마음1단지(24평/5.8)_x000D_
목련5단지(16평/5.7)_x000D_
무궁화건영(20평/5.6)_x000D_
평촌어바인퍼스트(17평/5.4)_x000D_
평촌두산위브리버뷰(17평/5.0)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4</v>
      </c>
      <c r="B16" s="62" t="inlineStr">
        <is>
          <t>~</t>
        </is>
      </c>
      <c r="C16" s="140" t="n">
        <v>5</v>
      </c>
      <c r="D16" s="63" t="inlineStr">
        <is>
          <t>한가람한양(17평/4.9)_x000D_
한가람신라(15평/4.6)_x000D_
공작부영(16평/4.4)_x000D_
공작성일(17평/4.3)</t>
        </is>
      </c>
      <c r="E16" s="63" t="inlineStr">
        <is>
          <t>샛별한양3단지(17평/4.9)_x000D_
샛별한양1단지(17평/4.8)_x000D_
관악(성원)(18평/4.6)_x000D_
관악(성원)(15평/4.5)_x000D_
은하수,샛별5,6단지(15평/4.5)</t>
        </is>
      </c>
      <c r="F16" s="63" t="inlineStr">
        <is>
          <t>초원7단지부영(16평/4.9)</t>
        </is>
      </c>
      <c r="G16" s="63" t="inlineStr">
        <is>
          <t>호계효성(25평/4.9)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3</v>
      </c>
      <c r="B17" s="62" t="inlineStr">
        <is>
          <t>~</t>
        </is>
      </c>
      <c r="C17" s="140" t="n">
        <v>4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평촌래미안푸르지오('21/16.5)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평촌더샵센트럴시티('16/14.0)</t>
        </is>
      </c>
      <c r="E22" s="58" t="n"/>
      <c r="F22" s="58" t="inlineStr">
        <is>
          <t>향촌롯데('93/14.0)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현대('85/12.5)_x000D_
인덕원마을삼성('98/12.0)_x000D_
동편마을3단지('12/12.0)</t>
        </is>
      </c>
      <c r="E23" s="56" t="inlineStr">
        <is>
          <t>뉴타운4차('85/12.0)_x000D_
은하수(벽산)('92/12.0)_x000D_
평촌자이아이파크('21/11.9)_x000D_
뉴타운5차('85/11.5)_x000D_
평촌자이아이파크('21/11.0)_x000D_
샛별한양3단지('93/10.0)</t>
        </is>
      </c>
      <c r="F23" s="56" t="inlineStr">
        <is>
          <t>향촌현대5차('93/12.3)_x000D_
향촌현대4차('92/12.0)_x000D_
귀인마을현대홈타운('02/11.8)_x000D_
꿈라이프('92/11.0)_x000D_
초원2단지대림('93/10.5)</t>
        </is>
      </c>
      <c r="G23" s="56" t="inlineStr">
        <is>
          <t>평촌어바인퍼스트('21/12.0)_x000D_
평촌어바인퍼스트('21/12.0)_x000D_
평촌더샵아이파크('19/12.0)_x000D_
평촌두산위브리버뷰('21/12.0)_x000D_
평촌더샵아이파크('19/11.0)_x000D_
금정역호계푸르지오('15/11.0)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한가람한양('95/9.5)_x000D_
한가람두산('92/9.5)_x000D_
한가람삼성('95/9.0)</t>
        </is>
      </c>
      <c r="E24" s="56" t="inlineStr">
        <is>
          <t>은하수(신성)('92/9.8)_x000D_
샛별한양2단지('93/9.5)_x000D_
비산e-편한세상('08/9.2)_x000D_
은하수(청구)('92/9.0)</t>
        </is>
      </c>
      <c r="F24" s="56" t="inlineStr">
        <is>
          <t>초원3단지대원('93/9.5)_x000D_
초원5단지LG('93/9.5)_x000D_
초원1단지성원('92/9.5)_x000D_
초원6단지한양('93/9.2)_x000D_
인덕원대림2차('04/9.2)</t>
        </is>
      </c>
      <c r="G24" s="56" t="inlineStr">
        <is>
          <t>금정역호계푸르지오('15/9.8)_x000D_
무궁화금호('92/9.8)_x000D_
무궁화경남('94/9.7)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관악(부영)('93/8.6)_x000D_
비산한화꿈에그린('09/8.3)_x000D_
관악(동성,현대,청구)('92/8.3)_x000D_
비산삼성래미안('03/8.0)_x000D_
안양임곡휴먼시아('07/8.0)</t>
        </is>
      </c>
      <c r="F25" s="56" t="inlineStr">
        <is>
          <t>푸른마을인덕원대우('01/8.6)_x000D_
삼성래미안('00/8.0)</t>
        </is>
      </c>
      <c r="G25" s="56" t="inlineStr">
        <is>
          <t>무궁화진흥('92/8.8)_x000D_
무궁화효성,한양('92/8.6)_x000D_
호계현대홈타운1차('02/8.5)_x000D_
무궁화코오롱('92/8.2)_x000D_
평촌두산위브리버뷰('21/8.0)_x000D_
호계럭키('92/8.0)_x000D_
무궁화건영('92/8.0)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비산롯데캐슬('03/7.8)_x000D_
비산힐스테이트('05/7.0)</t>
        </is>
      </c>
      <c r="F26" s="61" t="n"/>
      <c r="G26" s="61" t="inlineStr">
        <is>
          <t>호계신성미소지움('04/7.5)_x000D_
호계현대홈타운2차('03/7.1)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무궁화태영('92/6.9)_x000D_
호계e-편한세상('03/6.8)_x000D_
한마음1단지('99/6.8)_x000D_
한마음2단지('03/6.8)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inlineStr">
        <is>
          <t>호계효성('00/6.0)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평촌래미안푸르지오('21/13.0)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동편마을3단지('12/11.0)_x000D_
평촌더샵센트럴시티('16/10.3)</t>
        </is>
      </c>
      <c r="E36" s="56" t="inlineStr">
        <is>
          <t>한양수자인평촌리버뷰('21/10.0)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평촌자이아이파크('21/9.0)_x000D_
은하수(청구)('92/9.0)</t>
        </is>
      </c>
      <c r="F37" s="56" t="n"/>
      <c r="G37" s="56" t="inlineStr">
        <is>
          <t>평촌더샵아이파크('19/9.1)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공작성일('93/8.3)_x000D_
공작성일('93/8.0)</t>
        </is>
      </c>
      <c r="E38" s="56" t="inlineStr">
        <is>
          <t>은하수(신성)('92/8.5)_x000D_
관악(동성,현대,청구)('92/8.2)</t>
        </is>
      </c>
      <c r="F38" s="56" t="inlineStr">
        <is>
          <t>귀인마을현대홈타운('02/8.8)_x000D_
향촌현대5차('93/8.5)_x000D_
향촌현대4차('92/8.4)_x000D_
초원7단지부영('92/8.2)_x000D_
초원3단지대원('93/8.2)_x000D_
초원5단지LG('93/8.1)</t>
        </is>
      </c>
      <c r="G38" s="56" t="inlineStr">
        <is>
          <t>무궁화금호('92/8.5)_x000D_
무궁화코오롱('92/8.3)_x000D_
평촌어바인퍼스트('21/8.2)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84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한가람신라('92/7.5)_x000D_
공작부영('93/7.3)_x000D_
한가람삼성('95/7.2)_x000D_
한가람두산('92/7.1)</t>
        </is>
      </c>
      <c r="E39" s="61" t="inlineStr">
        <is>
          <t>샛별한양3단지('93/7.3)_x000D_
은하수,샛별5,6단지('93/7.2)_x000D_
비산한화꿈에그린('09/7.2)_x000D_
비산삼성래미안('03/7.1)_x000D_
샛별한양2단지('93/7.0)</t>
        </is>
      </c>
      <c r="F39" s="61" t="inlineStr">
        <is>
          <t>인덕원대림2차('04/7.7)_x000D_
푸른마을인덕원대우('01/7.6)_x000D_
초원1단지성원('92/7.5)_x000D_
삼성래미안('00/7.5)_x000D_
초원2단지대림('93/7.4)_x000D_
초원6단지한양('93/7.1)</t>
        </is>
      </c>
      <c r="G39" s="61" t="inlineStr">
        <is>
          <t>무궁화금호('92/7.6)_x000D_
호계현대홈타운1차('02/7.5)_x000D_
무궁화효성,한양('92/7.3)_x000D_
무궁화경남('94/7.2)_x000D_
무궁화코오롱('92/7.0)_x000D_
금정역호계푸르지오('15/7.0)_x000D_
무궁화태영('92/7.0)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공작부영('93/6.4)</t>
        </is>
      </c>
      <c r="E40" s="61" t="inlineStr">
        <is>
          <t>비산롯데캐슬('03/6.9)_x000D_
안양임곡휴먼시아('07/6.8)_x000D_
관악(부영)('93/6.7)_x000D_
관악(동성,현대,청구)('92/6.5)_x000D_
비산힐스테이트('05/6.4)</t>
        </is>
      </c>
      <c r="F40" s="61" t="inlineStr">
        <is>
          <t>초원7단지부영('92/6.6)</t>
        </is>
      </c>
      <c r="G40" s="61" t="inlineStr">
        <is>
          <t>무궁화태영('92/6.6)_x000D_
한마음2단지('03/6.3)_x000D_
호계신성미소지움('04/6.2)_x000D_
호계e-편한세상('03/6.1)_x000D_
호계현대홈타운2차('03/6.0)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공작럭키('93/5.6)</t>
        </is>
      </c>
      <c r="E41" s="61" t="inlineStr">
        <is>
          <t>관악(성원)('93/5.8)</t>
        </is>
      </c>
      <c r="F41" s="61" t="n"/>
      <c r="G41" s="61" t="inlineStr">
        <is>
          <t>한마음1단지('99/5.8)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inlineStr">
        <is>
          <t>목련2단지('92/9.0)</t>
        </is>
      </c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인덕원마을삼성('98/8.7)</t>
        </is>
      </c>
      <c r="E51" s="56" t="inlineStr">
        <is>
          <t>평촌자이아이파크('21/8.0)</t>
        </is>
      </c>
      <c r="F51" s="56" t="inlineStr">
        <is>
          <t>향촌롯데('93/8.7)</t>
        </is>
      </c>
      <c r="G51" s="56" t="inlineStr">
        <is>
          <t>목련5단지('93/8.3)</t>
        </is>
      </c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36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은하수(벽산)('92/7.8)</t>
        </is>
      </c>
      <c r="F52" s="61" t="n"/>
      <c r="G52" s="61" t="inlineStr">
        <is>
          <t>평촌어바인퍼스트('21/7.5)_x000D_
목련3단지('92/7.5)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은하수(청구)('92/7.0)_x000D_
한양수자인평촌리버뷰('21/6.7)_x000D_
평촌자이아이파크('21/6.0)</t>
        </is>
      </c>
      <c r="F53" s="61" t="n"/>
      <c r="G53" s="61" t="inlineStr">
        <is>
          <t>목련3단지('92/6.8)_x000D_
무궁화진흥('92/6.7)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무궁화건영('92/5.6)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inlineStr">
        <is>
          <t>호계효성('00/4.9)</t>
        </is>
      </c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한양수자인평촌리버뷰('21/10.0)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한가람세경('96/6.0)</t>
        </is>
      </c>
      <c r="E66" s="61" t="n"/>
      <c r="F66" s="61" t="n"/>
      <c r="G66" s="61" t="inlineStr">
        <is>
          <t>목련3단지('92/6.8)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60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한가람신라('92/5.4)_x000D_
한가람신라('92/5.3)</t>
        </is>
      </c>
      <c r="E67" s="61" t="inlineStr">
        <is>
          <t>은하수,샛별5,6단지('93/5.6)_x000D_
샛별한양2단지('93/5.0)_x000D_
안양임곡휴먼시아('07/5.0)</t>
        </is>
      </c>
      <c r="F67" s="61" t="n"/>
      <c r="G67" s="61" t="inlineStr">
        <is>
          <t>목련5단지('93/5.7)_x000D_
평촌어바인퍼스트('21/5.4)_x000D_
평촌두산위브리버뷰('21/5.0)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한가람한양('95/4.9)_x000D_
한가람신라('92/4.6)_x000D_
공작부영('93/4.4)_x000D_
공작성일('93/4.3)</t>
        </is>
      </c>
      <c r="E68" s="63" t="inlineStr">
        <is>
          <t>샛별한양3단지('93/4.9)_x000D_
샛별한양1단지('93/4.8)_x000D_
관악(성원)('93/4.6)_x000D_
관악(성원)('93/4.5)_x000D_
은하수,샛별5,6단지('93/4.5)</t>
        </is>
      </c>
      <c r="F68" s="63" t="inlineStr">
        <is>
          <t>초원7단지부영('92/4.9)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관양동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87000</v>
      </c>
      <c r="J6" s="127" t="inlineStr">
        <is>
          <t>13</t>
        </is>
      </c>
      <c r="K6" s="127" t="n">
        <v>45000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85000</v>
      </c>
      <c r="J7" s="127" t="inlineStr">
        <is>
          <t>고</t>
        </is>
      </c>
      <c r="K7" s="127" t="n">
        <v>30000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120000</v>
      </c>
      <c r="J8" s="127" t="inlineStr">
        <is>
          <t>12</t>
        </is>
      </c>
      <c r="K8" s="127" t="n">
        <v>57000</v>
      </c>
      <c r="L8" s="127" t="inlineStr">
        <is>
          <t>20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49000</v>
      </c>
      <c r="J10" s="127" t="inlineStr">
        <is>
          <t>6</t>
        </is>
      </c>
      <c r="K10" s="127" t="n">
        <v>21000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/>
      <c r="J11" s="127" t="n"/>
      <c r="K11" s="127" t="n">
        <v>38000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89000</v>
      </c>
      <c r="J12" s="127" t="inlineStr">
        <is>
          <t>13</t>
        </is>
      </c>
      <c r="K12" s="127" t="n">
        <v>45000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71000</v>
      </c>
      <c r="J19" s="127" t="inlineStr">
        <is>
          <t>8</t>
        </is>
      </c>
      <c r="K19" s="127" t="n">
        <v>38500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95000</v>
      </c>
      <c r="J20" s="127" t="inlineStr">
        <is>
          <t>6</t>
        </is>
      </c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46000</v>
      </c>
      <c r="J22" s="127" t="inlineStr">
        <is>
          <t>7</t>
        </is>
      </c>
      <c r="K22" s="127" t="n">
        <v>23000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49000</v>
      </c>
      <c r="J23" s="127" t="inlineStr">
        <is>
          <t>12</t>
        </is>
      </c>
      <c r="K23" s="127" t="n">
        <v>22000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50000</v>
      </c>
      <c r="J24" s="127" t="inlineStr">
        <is>
          <t>중</t>
        </is>
      </c>
      <c r="K24" s="127" t="n">
        <v>25000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54000</v>
      </c>
      <c r="J25" s="127" t="inlineStr">
        <is>
          <t>고</t>
        </is>
      </c>
      <c r="K25" s="127" t="n">
        <v>25000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75000</v>
      </c>
      <c r="J26" s="127" t="inlineStr">
        <is>
          <t>중</t>
        </is>
      </c>
      <c r="K26" s="127" t="n">
        <v>40000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110000</v>
      </c>
      <c r="J28" s="127" t="inlineStr">
        <is>
          <t>19</t>
        </is>
      </c>
      <c r="K28" s="127" t="n">
        <v>70000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103000</v>
      </c>
      <c r="J29" s="127" t="inlineStr">
        <is>
          <t>8</t>
        </is>
      </c>
      <c r="K29" s="127" t="n">
        <v>63000</v>
      </c>
      <c r="L29" s="127" t="inlineStr">
        <is>
          <t>22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140000</v>
      </c>
      <c r="J30" s="127" t="inlineStr">
        <is>
          <t>19</t>
        </is>
      </c>
      <c r="K30" s="127" t="n">
        <v>80000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140000</v>
      </c>
      <c r="J31" s="127" t="inlineStr">
        <is>
          <t>17</t>
        </is>
      </c>
      <c r="K31" s="127" t="n">
        <v>75000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140000</v>
      </c>
      <c r="J32" s="127" t="inlineStr">
        <is>
          <t>29</t>
        </is>
      </c>
      <c r="K32" s="127" t="n">
        <v>78000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170000</v>
      </c>
      <c r="J33" s="127" t="inlineStr">
        <is>
          <t>22</t>
        </is>
      </c>
      <c r="K33" s="127" t="n">
        <v>95000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60000</v>
      </c>
      <c r="J48" s="127" t="inlineStr">
        <is>
          <t>중</t>
        </is>
      </c>
      <c r="K48" s="127" t="n">
        <v>30000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58000</v>
      </c>
      <c r="J49" s="127" t="inlineStr">
        <is>
          <t>고</t>
        </is>
      </c>
      <c r="K49" s="127" t="n">
        <v>30000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110000</v>
      </c>
      <c r="J51" s="127" t="inlineStr">
        <is>
          <t>14</t>
        </is>
      </c>
      <c r="K51" s="127" t="n">
        <v>60000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110000</v>
      </c>
      <c r="J52" s="127" t="inlineStr">
        <is>
          <t>5</t>
        </is>
      </c>
      <c r="K52" s="127" t="n">
        <v>55000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/>
      <c r="J53" s="127" t="n"/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110000</v>
      </c>
      <c r="J54" s="127" t="inlineStr">
        <is>
          <t>5</t>
        </is>
      </c>
      <c r="K54" s="127" t="n">
        <v>55000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>
        <v>135000</v>
      </c>
      <c r="J55" s="127" t="inlineStr">
        <is>
          <t>7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120000</v>
      </c>
      <c r="J56" s="127" t="inlineStr">
        <is>
          <t>고</t>
        </is>
      </c>
      <c r="K56" s="127" t="n">
        <v>64000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120000</v>
      </c>
      <c r="J57" s="127" t="inlineStr">
        <is>
          <t>고</t>
        </is>
      </c>
      <c r="K57" s="127" t="n">
        <v>64000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120000</v>
      </c>
      <c r="J58" s="127" t="inlineStr">
        <is>
          <t>고</t>
        </is>
      </c>
      <c r="K58" s="127" t="n">
        <v>64000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5</t>
        </is>
      </c>
      <c r="K59" s="127" t="n">
        <v>63000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120000</v>
      </c>
      <c r="J60" s="127" t="inlineStr">
        <is>
          <t>고</t>
        </is>
      </c>
      <c r="K60" s="127" t="n">
        <v>64000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124000</v>
      </c>
      <c r="J61" s="127" t="inlineStr">
        <is>
          <t>6</t>
        </is>
      </c>
      <c r="K61" s="127" t="n">
        <v>64000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122000</v>
      </c>
      <c r="J62" s="127" t="inlineStr">
        <is>
          <t>7</t>
        </is>
      </c>
      <c r="K62" s="127" t="n">
        <v>65000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120000</v>
      </c>
      <c r="J63" s="127" t="inlineStr">
        <is>
          <t>고</t>
        </is>
      </c>
      <c r="K63" s="127" t="n">
        <v>64000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124000</v>
      </c>
      <c r="J64" s="127" t="inlineStr">
        <is>
          <t>6</t>
        </is>
      </c>
      <c r="K64" s="127" t="n">
        <v>64000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56000</v>
      </c>
      <c r="J66" s="127" t="inlineStr">
        <is>
          <t>14</t>
        </is>
      </c>
      <c r="K66" s="127" t="n">
        <v>30000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>
        <v>125000</v>
      </c>
      <c r="J68" s="127" t="inlineStr">
        <is>
          <t>8</t>
        </is>
      </c>
      <c r="K68" s="127" t="n">
        <v>42000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120000</v>
      </c>
      <c r="J69" s="127" t="inlineStr">
        <is>
          <t>9</t>
        </is>
      </c>
      <c r="K69" s="127" t="n">
        <v>40000</v>
      </c>
      <c r="L69" s="127" t="inlineStr">
        <is>
          <t>12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135000</v>
      </c>
      <c r="J70" s="127" t="inlineStr">
        <is>
          <t>8</t>
        </is>
      </c>
      <c r="K70" s="127" t="n">
        <v>45000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160000</v>
      </c>
      <c r="J71" s="127" t="inlineStr">
        <is>
          <t>5</t>
        </is>
      </c>
      <c r="K71" s="127" t="n">
        <v>49000</v>
      </c>
      <c r="L71" s="127" t="inlineStr">
        <is>
          <t>10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44000</v>
      </c>
      <c r="J73" s="127" t="inlineStr">
        <is>
          <t>고</t>
        </is>
      </c>
      <c r="K73" s="127" t="n">
        <v>21000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64000</v>
      </c>
      <c r="J74" s="127" t="inlineStr">
        <is>
          <t>고</t>
        </is>
      </c>
      <c r="K74" s="127" t="n">
        <v>35000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73000</v>
      </c>
      <c r="J75" s="127" t="inlineStr">
        <is>
          <t>중</t>
        </is>
      </c>
      <c r="K75" s="127" t="n">
        <v>29400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43000</v>
      </c>
      <c r="J77" s="127" t="inlineStr">
        <is>
          <t>고</t>
        </is>
      </c>
      <c r="K77" s="127" t="n">
        <v>24000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80000</v>
      </c>
      <c r="J78" s="127" t="inlineStr">
        <is>
          <t>고</t>
        </is>
      </c>
      <c r="K78" s="127" t="n">
        <v>40000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83000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72000</v>
      </c>
      <c r="J81" s="127" t="inlineStr">
        <is>
          <t>15</t>
        </is>
      </c>
      <c r="K81" s="127" t="n">
        <v>37000</v>
      </c>
      <c r="L81" s="127" t="inlineStr">
        <is>
          <t>10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100000</v>
      </c>
      <c r="J82" s="127" t="inlineStr">
        <is>
          <t>중</t>
        </is>
      </c>
      <c r="K82" s="127" t="n">
        <v>50000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23">
      <formula>AV4="X"</formula>
    </cfRule>
    <cfRule type="expression" priority="1283" dxfId="22">
      <formula>AV4="후보"</formula>
    </cfRule>
  </conditionalFormatting>
  <conditionalFormatting sqref="AC1:AC2 AC4:AC6 N4:N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:N2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23">
      <formula>AV7="X"</formula>
    </cfRule>
    <cfRule type="expression" priority="1262" dxfId="22">
      <formula>AV7="후보"</formula>
    </cfRule>
  </conditionalFormatting>
  <conditionalFormatting sqref="AC7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7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23">
      <formula>AV8="X"</formula>
    </cfRule>
    <cfRule type="expression" priority="1243" dxfId="22">
      <formula>AV8="후보"</formula>
    </cfRule>
  </conditionalFormatting>
  <conditionalFormatting sqref="AC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23">
      <formula>AV9="X"</formula>
    </cfRule>
    <cfRule type="expression" priority="1224" dxfId="22">
      <formula>AV9="후보"</formula>
    </cfRule>
  </conditionalFormatting>
  <conditionalFormatting sqref="AC9 N9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0">
    <cfRule type="expression" priority="1218" dxfId="23">
      <formula>AV10="X"</formula>
    </cfRule>
    <cfRule type="expression" priority="1219" dxfId="22">
      <formula>AV10="후보"</formula>
    </cfRule>
  </conditionalFormatting>
  <conditionalFormatting sqref="AC1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23">
      <formula>AV11="X"</formula>
    </cfRule>
    <cfRule type="expression" priority="1200" dxfId="22">
      <formula>AV11="후보"</formula>
    </cfRule>
  </conditionalFormatting>
  <conditionalFormatting sqref="AC1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1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23">
      <formula>AV12="X"</formula>
    </cfRule>
    <cfRule type="expression" priority="1181" dxfId="22">
      <formula>AV12="후보"</formula>
    </cfRule>
  </conditionalFormatting>
  <conditionalFormatting sqref="AC1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23">
      <formula>AV13="X"</formula>
    </cfRule>
    <cfRule type="expression" priority="1162" dxfId="22">
      <formula>AV13="후보"</formula>
    </cfRule>
  </conditionalFormatting>
  <conditionalFormatting sqref="AC13 N13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14">
    <cfRule type="expression" priority="1156" dxfId="23">
      <formula>AV14="X"</formula>
    </cfRule>
    <cfRule type="expression" priority="1157" dxfId="22">
      <formula>AV14="후보"</formula>
    </cfRule>
  </conditionalFormatting>
  <conditionalFormatting sqref="AC1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23">
      <formula>AV15="X"</formula>
    </cfRule>
    <cfRule type="expression" priority="1138" dxfId="22">
      <formula>AV15="후보"</formula>
    </cfRule>
  </conditionalFormatting>
  <conditionalFormatting sqref="AC1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23">
      <formula>AV16="X"</formula>
    </cfRule>
    <cfRule type="expression" priority="1119" dxfId="22">
      <formula>AV16="후보"</formula>
    </cfRule>
  </conditionalFormatting>
  <conditionalFormatting sqref="AC1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23">
      <formula>AV17="X"</formula>
    </cfRule>
    <cfRule type="expression" priority="1100" dxfId="22">
      <formula>AV17="후보"</formula>
    </cfRule>
  </conditionalFormatting>
  <conditionalFormatting sqref="AC1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23">
      <formula>AV18="X"</formula>
    </cfRule>
    <cfRule type="expression" priority="1081" dxfId="22">
      <formula>AV18="후보"</formula>
    </cfRule>
  </conditionalFormatting>
  <conditionalFormatting sqref="AC18 N1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 N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5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23">
      <formula>AV26="X"</formula>
    </cfRule>
    <cfRule type="expression" priority="957" dxfId="22">
      <formula>AV26="후보"</formula>
    </cfRule>
  </conditionalFormatting>
  <conditionalFormatting sqref="AC2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 N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23">
      <formula>AV47="X"</formula>
    </cfRule>
    <cfRule type="expression" priority="586" dxfId="22">
      <formula>AV47="후보"</formula>
    </cfRule>
  </conditionalFormatting>
  <conditionalFormatting sqref="AC47 N4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 N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23">
      <formula>AV53="X"</formula>
    </cfRule>
    <cfRule type="expression" priority="500" dxfId="22">
      <formula>AV53="후보"</formula>
    </cfRule>
  </conditionalFormatting>
  <conditionalFormatting sqref="AC5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5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23">
      <formula>AV59="X"</formula>
    </cfRule>
    <cfRule type="expression" priority="386" dxfId="22">
      <formula>AV59="후보"</formula>
    </cfRule>
  </conditionalFormatting>
  <conditionalFormatting sqref="AC5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5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23">
      <formula>AV60="X"</formula>
    </cfRule>
    <cfRule type="expression" priority="367" dxfId="22">
      <formula>AV60="후보"</formula>
    </cfRule>
  </conditionalFormatting>
  <conditionalFormatting sqref="AC6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23">
      <formula>AV61="X"</formula>
    </cfRule>
    <cfRule type="expression" priority="348" dxfId="22">
      <formula>AV61="후보"</formula>
    </cfRule>
  </conditionalFormatting>
  <conditionalFormatting sqref="AC6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23">
      <formula>AV62="X"</formula>
    </cfRule>
    <cfRule type="expression" priority="329" dxfId="22">
      <formula>AV62="후보"</formula>
    </cfRule>
  </conditionalFormatting>
  <conditionalFormatting sqref="AC6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23">
      <formula>AV63="X"</formula>
    </cfRule>
    <cfRule type="expression" priority="310" dxfId="22">
      <formula>AV63="후보"</formula>
    </cfRule>
  </conditionalFormatting>
  <conditionalFormatting sqref="AC6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23">
      <formula>AV64="X"</formula>
    </cfRule>
    <cfRule type="expression" priority="291" dxfId="22">
      <formula>AV64="후보"</formula>
    </cfRule>
  </conditionalFormatting>
  <conditionalFormatting sqref="AC6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23">
      <formula>AV65="X"</formula>
    </cfRule>
    <cfRule type="expression" priority="272" dxfId="22">
      <formula>AV65="후보"</formula>
    </cfRule>
  </conditionalFormatting>
  <conditionalFormatting sqref="AC65 N6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6">
    <cfRule type="expression" priority="266" dxfId="23">
      <formula>AV66="X"</formula>
    </cfRule>
    <cfRule type="expression" priority="267" dxfId="22">
      <formula>AV66="후보"</formula>
    </cfRule>
  </conditionalFormatting>
  <conditionalFormatting sqref="AC6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23">
      <formula>AV67="X"</formula>
    </cfRule>
    <cfRule type="expression" priority="248" dxfId="22">
      <formula>AV67="후보"</formula>
    </cfRule>
  </conditionalFormatting>
  <conditionalFormatting sqref="AC67 N6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68">
    <cfRule type="expression" priority="242" dxfId="23">
      <formula>AV68="X"</formula>
    </cfRule>
    <cfRule type="expression" priority="243" dxfId="22">
      <formula>AV68="후보"</formula>
    </cfRule>
  </conditionalFormatting>
  <conditionalFormatting sqref="AC6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23">
      <formula>AV69="X"</formula>
    </cfRule>
    <cfRule type="expression" priority="224" dxfId="22">
      <formula>AV69="후보"</formula>
    </cfRule>
  </conditionalFormatting>
  <conditionalFormatting sqref="AC6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23">
      <formula>AV70="X"</formula>
    </cfRule>
    <cfRule type="expression" priority="205" dxfId="22">
      <formula>AV70="후보"</formula>
    </cfRule>
  </conditionalFormatting>
  <conditionalFormatting sqref="AC7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23">
      <formula>AV71="X"</formula>
    </cfRule>
    <cfRule type="expression" priority="186" dxfId="22">
      <formula>AV71="후보"</formula>
    </cfRule>
  </conditionalFormatting>
  <conditionalFormatting sqref="AC7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23">
      <formula>AV72="X"</formula>
    </cfRule>
    <cfRule type="expression" priority="167" dxfId="22">
      <formula>AV72="후보"</formula>
    </cfRule>
  </conditionalFormatting>
  <conditionalFormatting sqref="AC72 N7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73">
    <cfRule type="expression" priority="161" dxfId="23">
      <formula>AV73="X"</formula>
    </cfRule>
    <cfRule type="expression" priority="162" dxfId="22">
      <formula>AV73="후보"</formula>
    </cfRule>
  </conditionalFormatting>
  <conditionalFormatting sqref="AC7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23">
      <formula>AV74="X"</formula>
    </cfRule>
    <cfRule type="expression" priority="143" dxfId="22">
      <formula>AV74="후보"</formula>
    </cfRule>
  </conditionalFormatting>
  <conditionalFormatting sqref="AC7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23">
      <formula>AV75="X"</formula>
    </cfRule>
    <cfRule type="expression" priority="124" dxfId="22">
      <formula>AV75="후보"</formula>
    </cfRule>
  </conditionalFormatting>
  <conditionalFormatting sqref="AC7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23">
      <formula>AV76="X"</formula>
    </cfRule>
    <cfRule type="expression" priority="105" dxfId="22">
      <formula>AV76="후보"</formula>
    </cfRule>
  </conditionalFormatting>
  <conditionalFormatting sqref="AC76 N7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23">
      <formula>AV79="X"</formula>
    </cfRule>
    <cfRule type="expression" priority="62" dxfId="22">
      <formula>AV79="후보"</formula>
    </cfRule>
  </conditionalFormatting>
  <conditionalFormatting sqref="AC7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23">
      <formula>AV80="X"</formula>
    </cfRule>
    <cfRule type="expression" priority="43" dxfId="22">
      <formula>AV80="후보"</formula>
    </cfRule>
  </conditionalFormatting>
  <conditionalFormatting sqref="AC80 N8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>
        <v>100000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67000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70000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2</v>
      </c>
      <c r="S8" s="114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100000</v>
      </c>
      <c r="J9" s="127" t="inlineStr">
        <is>
          <t>고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90000</v>
      </c>
      <c r="J10" s="127" t="inlineStr">
        <is>
          <t>16</t>
        </is>
      </c>
      <c r="K10" s="127" t="n">
        <v>48000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50000</v>
      </c>
      <c r="J12" s="127" t="inlineStr">
        <is>
          <t>12</t>
        </is>
      </c>
      <c r="K12" s="127" t="n">
        <v>18900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70000</v>
      </c>
      <c r="J13" s="127" t="inlineStr">
        <is>
          <t>8</t>
        </is>
      </c>
      <c r="K13" s="127" t="n">
        <v>36000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95000</v>
      </c>
      <c r="J14" s="127" t="inlineStr">
        <is>
          <t>7</t>
        </is>
      </c>
      <c r="K14" s="127" t="n">
        <v>47000</v>
      </c>
      <c r="L14" s="127" t="inlineStr">
        <is>
          <t>21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/>
      <c r="J16" s="127" t="n"/>
      <c r="K16" s="127" t="n">
        <v>29370</v>
      </c>
      <c r="L16" s="127" t="inlineStr">
        <is>
          <t>21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42000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>
        <v>80000</v>
      </c>
      <c r="J18" s="127" t="inlineStr">
        <is>
          <t>고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90000</v>
      </c>
      <c r="J21" s="127" t="inlineStr">
        <is>
          <t>10</t>
        </is>
      </c>
      <c r="K21" s="127" t="n">
        <v>57000</v>
      </c>
      <c r="L21" s="127" t="inlineStr">
        <is>
          <t>23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90000</v>
      </c>
      <c r="J22" s="127" t="inlineStr">
        <is>
          <t>8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58000</v>
      </c>
      <c r="L23" s="127" t="inlineStr">
        <is>
          <t>23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/>
      <c r="J24" s="127" t="n"/>
      <c r="K24" s="127" t="n">
        <v>60000</v>
      </c>
      <c r="L24" s="127" t="inlineStr">
        <is>
          <t>20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120000</v>
      </c>
      <c r="J25" s="127" t="inlineStr">
        <is>
          <t>중</t>
        </is>
      </c>
      <c r="K25" s="127" t="n">
        <v>58000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110000</v>
      </c>
      <c r="J26" s="127" t="inlineStr">
        <is>
          <t>고</t>
        </is>
      </c>
      <c r="K26" s="127" t="n">
        <v>60000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118000</v>
      </c>
      <c r="J27" s="127" t="inlineStr">
        <is>
          <t>8</t>
        </is>
      </c>
      <c r="K27" s="127" t="n">
        <v>65000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118000</v>
      </c>
      <c r="J28" s="127" t="inlineStr">
        <is>
          <t>16</t>
        </is>
      </c>
      <c r="K28" s="127" t="n">
        <v>62000</v>
      </c>
      <c r="L28" s="127" t="inlineStr">
        <is>
          <t>24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80000</v>
      </c>
      <c r="L29" s="127" t="inlineStr">
        <is>
          <t>20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47500</v>
      </c>
      <c r="J31" s="127" t="inlineStr">
        <is>
          <t>16</t>
        </is>
      </c>
      <c r="K31" s="127" t="n">
        <v>24000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73000</v>
      </c>
      <c r="J32" s="127" t="inlineStr">
        <is>
          <t>6</t>
        </is>
      </c>
      <c r="K32" s="127" t="n">
        <v>40000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100000</v>
      </c>
      <c r="J33" s="127" t="inlineStr">
        <is>
          <t>10</t>
        </is>
      </c>
      <c r="K33" s="127" t="n">
        <v>44000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65000</v>
      </c>
      <c r="J35" s="127" t="inlineStr">
        <is>
          <t>중</t>
        </is>
      </c>
      <c r="K35" s="127" t="n">
        <v>38000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78000</v>
      </c>
      <c r="J36" s="127" t="inlineStr">
        <is>
          <t>고</t>
        </is>
      </c>
      <c r="K36" s="127" t="n">
        <v>43000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90000</v>
      </c>
      <c r="J38" s="127" t="inlineStr">
        <is>
          <t>17</t>
        </is>
      </c>
      <c r="K38" s="127" t="n">
        <v>65000</v>
      </c>
      <c r="L38" s="127" t="inlineStr">
        <is>
          <t>20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69500</v>
      </c>
      <c r="J40" s="127" t="inlineStr">
        <is>
          <t>중</t>
        </is>
      </c>
      <c r="K40" s="127" t="n">
        <v>38000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고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90000</v>
      </c>
      <c r="J42" s="127" t="inlineStr">
        <is>
          <t>고</t>
        </is>
      </c>
      <c r="K42" s="127" t="n">
        <v>53000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112000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>
        <v>48000</v>
      </c>
      <c r="L56" s="127" t="inlineStr">
        <is>
          <t>25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/>
      <c r="J57" s="127" t="n"/>
      <c r="K57" s="127" t="n">
        <v>55000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72000</v>
      </c>
      <c r="J59" s="127" t="inlineStr">
        <is>
          <t>9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70500</v>
      </c>
      <c r="J60" s="127" t="inlineStr">
        <is>
          <t>5</t>
        </is>
      </c>
      <c r="K60" s="127" t="n">
        <v>43000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69000</v>
      </c>
      <c r="J61" s="127" t="inlineStr">
        <is>
          <t>9</t>
        </is>
      </c>
      <c r="K61" s="127" t="n">
        <v>43000</v>
      </c>
      <c r="L61" s="127" t="inlineStr">
        <is>
          <t>8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80000</v>
      </c>
      <c r="J62" s="127" t="inlineStr">
        <is>
          <t>중</t>
        </is>
      </c>
      <c r="K62" s="127" t="n">
        <v>50000</v>
      </c>
      <c r="L62" s="127" t="inlineStr">
        <is>
          <t>22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95000</v>
      </c>
      <c r="J63" s="127" t="inlineStr">
        <is>
          <t>22</t>
        </is>
      </c>
      <c r="K63" s="127" t="n">
        <v>60000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105000</v>
      </c>
      <c r="J64" s="127" t="inlineStr">
        <is>
          <t>26</t>
        </is>
      </c>
      <c r="K64" s="127" t="n">
        <v>65000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120000</v>
      </c>
      <c r="J65" s="127" t="inlineStr">
        <is>
          <t>고</t>
        </is>
      </c>
      <c r="K65" s="127" t="n">
        <v>75000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120000</v>
      </c>
      <c r="J66" s="127" t="inlineStr">
        <is>
          <t>중</t>
        </is>
      </c>
      <c r="K66" s="127" t="n">
        <v>70000</v>
      </c>
      <c r="L66" s="127" t="inlineStr">
        <is>
          <t>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3</v>
      </c>
      <c r="S66" s="114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>
        <v>45000</v>
      </c>
      <c r="J115" s="127" t="inlineStr">
        <is>
          <t>7</t>
        </is>
      </c>
      <c r="K115" s="127" t="n">
        <v>21000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>
        <v>45000</v>
      </c>
      <c r="J116" s="127" t="inlineStr">
        <is>
          <t>7</t>
        </is>
      </c>
      <c r="K116" s="127" t="n">
        <v>21000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46000</v>
      </c>
      <c r="J117" s="127" t="inlineStr">
        <is>
          <t>고</t>
        </is>
      </c>
      <c r="K117" s="127" t="n">
        <v>25000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58000</v>
      </c>
      <c r="J118" s="127" t="inlineStr">
        <is>
          <t>12</t>
        </is>
      </c>
      <c r="K118" s="127" t="n">
        <v>35000</v>
      </c>
      <c r="L118" s="127" t="inlineStr">
        <is>
          <t>15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67000</v>
      </c>
      <c r="J127" s="127" t="inlineStr">
        <is>
          <t>고</t>
        </is>
      </c>
      <c r="K127" s="127" t="n">
        <v>39000</v>
      </c>
      <c r="L127" s="127" t="inlineStr">
        <is>
          <t>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86000</v>
      </c>
      <c r="J128" s="127" t="inlineStr">
        <is>
          <t>중</t>
        </is>
      </c>
      <c r="K128" s="127" t="n">
        <v>46000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34000</v>
      </c>
      <c r="J130" s="127" t="inlineStr">
        <is>
          <t>6</t>
        </is>
      </c>
      <c r="K130" s="127" t="n">
        <v>20000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1</v>
      </c>
      <c r="R130" s="114" t="n">
        <v>1</v>
      </c>
      <c r="S130" s="114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45000</v>
      </c>
      <c r="J131" s="127" t="inlineStr">
        <is>
          <t>15</t>
        </is>
      </c>
      <c r="K131" s="127" t="n">
        <v>16600</v>
      </c>
      <c r="L131" s="127" t="inlineStr">
        <is>
          <t>8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56000</v>
      </c>
      <c r="J132" s="127" t="inlineStr">
        <is>
          <t>중</t>
        </is>
      </c>
      <c r="K132" s="127" t="n">
        <v>25000</v>
      </c>
      <c r="L132" s="127" t="inlineStr">
        <is>
          <t>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>
        <v>70000</v>
      </c>
      <c r="J133" s="127" t="inlineStr">
        <is>
          <t>5</t>
        </is>
      </c>
      <c r="K133" s="127" t="n">
        <v>33000</v>
      </c>
      <c r="L133" s="127" t="inlineStr">
        <is>
          <t>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72000</v>
      </c>
      <c r="J134" s="127" t="inlineStr">
        <is>
          <t>15</t>
        </is>
      </c>
      <c r="K134" s="127" t="n">
        <v>33000</v>
      </c>
      <c r="L134" s="127" t="inlineStr">
        <is>
          <t>9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>
        <v>120000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n"/>
      <c r="B161" s="114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7" t="n"/>
      <c r="U161" s="9" t="n"/>
      <c r="W161" s="67">
        <f>$A$4&amp;" "&amp;A162&amp;"("&amp;B162&amp;","&amp;C162&amp;"^)"</f>
        <v/>
      </c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9" t="n"/>
      <c r="AH161" s="20">
        <f>IF(A161="","",A161)</f>
        <v/>
      </c>
      <c r="AI161" s="144">
        <f>IF(E161="","",E161)</f>
        <v/>
      </c>
      <c r="AJ161" s="114" t="n"/>
      <c r="AK161" s="114" t="n"/>
      <c r="AL161" s="114" t="n"/>
      <c r="AM161" s="114" t="n"/>
      <c r="AN161" s="114" t="n"/>
      <c r="AO161" s="114" t="n"/>
      <c r="AP161" s="114" t="n"/>
      <c r="AQ161" s="114" t="n"/>
      <c r="AR161" s="114" t="n"/>
      <c r="AS161" s="114" t="n"/>
      <c r="AT161" s="114" t="n"/>
      <c r="AU161" s="114" t="n"/>
      <c r="AV161" s="114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48000</v>
      </c>
      <c r="J162" s="127" t="inlineStr">
        <is>
          <t>10</t>
        </is>
      </c>
      <c r="K162" s="127" t="n">
        <v>20000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55000</v>
      </c>
      <c r="J163" s="127" t="inlineStr">
        <is>
          <t>고</t>
        </is>
      </c>
      <c r="K163" s="127" t="n">
        <v>25000</v>
      </c>
      <c r="L163" s="127" t="inlineStr">
        <is>
          <t>15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48000</v>
      </c>
      <c r="J164" s="127" t="inlineStr">
        <is>
          <t>중</t>
        </is>
      </c>
      <c r="K164" s="127" t="n">
        <v>21000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n"/>
      <c r="B165" s="114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4">
        <f>IF(E165="","",E165)</f>
        <v/>
      </c>
      <c r="AJ165" s="114" t="n"/>
      <c r="AK165" s="114" t="n"/>
      <c r="AL165" s="114" t="n"/>
      <c r="AM165" s="114" t="n"/>
      <c r="AN165" s="114" t="n"/>
      <c r="AO165" s="114" t="n"/>
      <c r="AP165" s="114" t="n"/>
      <c r="AQ165" s="114" t="n"/>
      <c r="AR165" s="114" t="n"/>
      <c r="AS165" s="114" t="n"/>
      <c r="AT165" s="114" t="n"/>
      <c r="AU165" s="114" t="n"/>
      <c r="AV165" s="114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>
        <v>115000</v>
      </c>
      <c r="J166" s="127" t="inlineStr">
        <is>
          <t>14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135000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5</v>
      </c>
      <c r="R169" s="114" t="n">
        <v>2</v>
      </c>
      <c r="S169" s="114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n"/>
      <c r="B177" s="114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4">
        <f>IF(E177="","",E177)</f>
        <v/>
      </c>
      <c r="AJ177" s="114" t="n"/>
      <c r="AK177" s="114" t="n"/>
      <c r="AL177" s="114" t="n"/>
      <c r="AM177" s="114" t="n"/>
      <c r="AN177" s="114" t="n"/>
      <c r="AO177" s="114" t="n"/>
      <c r="AP177" s="114" t="n"/>
      <c r="AQ177" s="114" t="n"/>
      <c r="AR177" s="114" t="n"/>
      <c r="AS177" s="114" t="n"/>
      <c r="AT177" s="114" t="n"/>
      <c r="AU177" s="114" t="n"/>
      <c r="AV177" s="114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80000</v>
      </c>
      <c r="J178" s="127" t="inlineStr">
        <is>
          <t>고</t>
        </is>
      </c>
      <c r="K178" s="127" t="n">
        <v>45000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98000</v>
      </c>
      <c r="J179" s="127" t="inlineStr">
        <is>
          <t>18</t>
        </is>
      </c>
      <c r="K179" s="127" t="n">
        <v>49000</v>
      </c>
      <c r="L179" s="127" t="inlineStr">
        <is>
          <t>9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n"/>
      <c r="B180" s="114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7" t="n"/>
      <c r="U180" s="9" t="n"/>
      <c r="W180" s="67">
        <f>$A$4&amp;" "&amp;A181&amp;"("&amp;B181&amp;","&amp;C181&amp;"^)"</f>
        <v/>
      </c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9" t="n"/>
      <c r="AH180" s="20">
        <f>IF(A180="","",A180)</f>
        <v/>
      </c>
      <c r="AI180" s="144">
        <f>IF(E180="","",E180)</f>
        <v/>
      </c>
      <c r="AJ180" s="114" t="n"/>
      <c r="AK180" s="114" t="n"/>
      <c r="AL180" s="114" t="n"/>
      <c r="AM180" s="114" t="n"/>
      <c r="AN180" s="114" t="n"/>
      <c r="AO180" s="114" t="n"/>
      <c r="AP180" s="114" t="n"/>
      <c r="AQ180" s="114" t="n"/>
      <c r="AR180" s="114" t="n"/>
      <c r="AS180" s="114" t="n"/>
      <c r="AT180" s="114" t="n"/>
      <c r="AU180" s="114" t="n"/>
      <c r="AV180" s="114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90000</v>
      </c>
      <c r="J182" s="127" t="inlineStr">
        <is>
          <t>고</t>
        </is>
      </c>
      <c r="K182" s="127" t="n">
        <v>65000</v>
      </c>
      <c r="L182" s="127" t="inlineStr">
        <is>
          <t>11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92000</v>
      </c>
      <c r="J183" s="127" t="inlineStr">
        <is>
          <t>중</t>
        </is>
      </c>
      <c r="K183" s="127" t="n">
        <v>63000</v>
      </c>
      <c r="L183" s="127" t="inlineStr">
        <is>
          <t>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/>
      <c r="J184" s="127" t="n"/>
      <c r="K184" s="127" t="n">
        <v>53000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110000</v>
      </c>
      <c r="J185" s="127" t="inlineStr">
        <is>
          <t>8</t>
        </is>
      </c>
      <c r="K185" s="127" t="n">
        <v>60000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72000</v>
      </c>
      <c r="J188" s="127" t="inlineStr">
        <is>
          <t>9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83000</v>
      </c>
      <c r="J189" s="127" t="inlineStr">
        <is>
          <t>중</t>
        </is>
      </c>
      <c r="K189" s="127" t="n">
        <v>51000</v>
      </c>
      <c r="L189" s="127" t="inlineStr">
        <is>
          <t>10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110000</v>
      </c>
      <c r="J190" s="127" t="inlineStr">
        <is>
          <t>15</t>
        </is>
      </c>
      <c r="K190" s="127" t="n">
        <v>75000</v>
      </c>
      <c r="L190" s="127" t="inlineStr">
        <is>
          <t>15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5</v>
      </c>
      <c r="R191" s="114" t="n">
        <v>2</v>
      </c>
      <c r="S191" s="114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64000</v>
      </c>
      <c r="J193" s="127" t="inlineStr">
        <is>
          <t>17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70000</v>
      </c>
      <c r="J194" s="127" t="inlineStr">
        <is>
          <t>중</t>
        </is>
      </c>
      <c r="K194" s="127" t="n">
        <v>45000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n"/>
      <c r="B196" s="114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7" t="n"/>
      <c r="U196" s="9" t="n"/>
      <c r="W196" s="67">
        <f>$A$4&amp;" "&amp;A197&amp;"("&amp;B197&amp;","&amp;C197&amp;"^)"</f>
        <v/>
      </c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9" t="n"/>
      <c r="AH196" s="20">
        <f>IF(A196="","",A196)</f>
        <v/>
      </c>
      <c r="AI196" s="144">
        <f>IF(E196="","",E196)</f>
        <v/>
      </c>
      <c r="AJ196" s="114" t="n"/>
      <c r="AK196" s="114" t="n"/>
      <c r="AL196" s="114" t="n"/>
      <c r="AM196" s="114" t="n"/>
      <c r="AN196" s="114" t="n"/>
      <c r="AO196" s="114" t="n"/>
      <c r="AP196" s="114" t="n"/>
      <c r="AQ196" s="114" t="n"/>
      <c r="AR196" s="114" t="n"/>
      <c r="AS196" s="114" t="n"/>
      <c r="AT196" s="114" t="n"/>
      <c r="AU196" s="114" t="n"/>
      <c r="AV196" s="114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n"/>
      <c r="B213" s="114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7" t="n"/>
      <c r="U213" s="9" t="n"/>
      <c r="W213" s="67">
        <f>$A$4&amp;" "&amp;A214&amp;"("&amp;B214&amp;","&amp;C214&amp;"^)"</f>
        <v/>
      </c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9" t="n"/>
      <c r="AH213" s="20">
        <f>IF(A213="","",A213)</f>
        <v/>
      </c>
      <c r="AI213" s="144">
        <f>IF(E213="","",E213)</f>
        <v/>
      </c>
      <c r="AJ213" s="114" t="n"/>
      <c r="AK213" s="114" t="n"/>
      <c r="AL213" s="114" t="n"/>
      <c r="AM213" s="114" t="n"/>
      <c r="AN213" s="114" t="n"/>
      <c r="AO213" s="114" t="n"/>
      <c r="AP213" s="114" t="n"/>
      <c r="AQ213" s="114" t="n"/>
      <c r="AR213" s="114" t="n"/>
      <c r="AS213" s="114" t="n"/>
      <c r="AT213" s="114" t="n"/>
      <c r="AU213" s="114" t="n"/>
      <c r="AV213" s="114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>
        <v>78000</v>
      </c>
      <c r="J215" s="127" t="inlineStr">
        <is>
          <t>중</t>
        </is>
      </c>
      <c r="K215" s="127" t="n">
        <v>37000</v>
      </c>
      <c r="L215" s="127" t="inlineStr">
        <is>
          <t>8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120000</v>
      </c>
      <c r="J217" s="127" t="inlineStr">
        <is>
          <t>11</t>
        </is>
      </c>
      <c r="K217" s="127" t="n">
        <v>59000</v>
      </c>
      <c r="L217" s="127" t="inlineStr">
        <is>
          <t>12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110000</v>
      </c>
      <c r="J220" s="127" t="inlineStr">
        <is>
          <t>6</t>
        </is>
      </c>
      <c r="K220" s="127" t="n">
        <v>60000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110000</v>
      </c>
      <c r="J221" s="127" t="inlineStr">
        <is>
          <t>8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130000</v>
      </c>
      <c r="J222" s="127" t="inlineStr">
        <is>
          <t>18</t>
        </is>
      </c>
      <c r="K222" s="127" t="n">
        <v>60000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165000</v>
      </c>
      <c r="J223" s="127" t="inlineStr">
        <is>
          <t>27</t>
        </is>
      </c>
      <c r="K223" s="127" t="n">
        <v>69000</v>
      </c>
      <c r="L223" s="127" t="inlineStr">
        <is>
          <t>19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>
        <v>155000</v>
      </c>
      <c r="J224" s="127" t="inlineStr">
        <is>
          <t>고</t>
        </is>
      </c>
      <c r="K224" s="127" t="n">
        <v>69000</v>
      </c>
      <c r="L224" s="127" t="inlineStr">
        <is>
          <t>16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79000</v>
      </c>
      <c r="L225" s="127" t="inlineStr">
        <is>
          <t>35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>
        <v>180000</v>
      </c>
      <c r="J226" s="127" t="inlineStr">
        <is>
          <t>고</t>
        </is>
      </c>
      <c r="K226" s="127" t="n">
        <v>94000</v>
      </c>
      <c r="L226" s="127" t="inlineStr">
        <is>
          <t>35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>
        <v>70000</v>
      </c>
      <c r="L227" s="127" t="inlineStr">
        <is>
          <t>19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/>
      <c r="J228" s="127" t="n"/>
      <c r="K228" s="127" t="n">
        <v>110000</v>
      </c>
      <c r="L228" s="127" t="inlineStr">
        <is>
          <t>18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n"/>
      <c r="B230" s="114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4">
        <f>IF(E230="","",E230)</f>
        <v/>
      </c>
      <c r="AJ230" s="114" t="n"/>
      <c r="AK230" s="114" t="n"/>
      <c r="AL230" s="114" t="n"/>
      <c r="AM230" s="114" t="n"/>
      <c r="AN230" s="114" t="n"/>
      <c r="AO230" s="114" t="n"/>
      <c r="AP230" s="114" t="n"/>
      <c r="AQ230" s="114" t="n"/>
      <c r="AR230" s="114" t="n"/>
      <c r="AS230" s="114" t="n"/>
      <c r="AT230" s="114" t="n"/>
      <c r="AU230" s="114" t="n"/>
      <c r="AV230" s="114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65000</v>
      </c>
      <c r="J231" s="127" t="inlineStr">
        <is>
          <t>15</t>
        </is>
      </c>
      <c r="K231" s="127" t="n">
        <v>35000</v>
      </c>
      <c r="L231" s="127" t="inlineStr">
        <is>
          <t>14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82000</v>
      </c>
      <c r="J232" s="127" t="inlineStr">
        <is>
          <t>9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83000</v>
      </c>
      <c r="J233" s="127" t="inlineStr">
        <is>
          <t>중</t>
        </is>
      </c>
      <c r="K233" s="127" t="n">
        <v>45000</v>
      </c>
      <c r="L233" s="127" t="inlineStr">
        <is>
          <t>14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89000</v>
      </c>
      <c r="J234" s="127" t="inlineStr">
        <is>
          <t>중</t>
        </is>
      </c>
      <c r="K234" s="127" t="n">
        <v>47000</v>
      </c>
      <c r="L234" s="127" t="inlineStr">
        <is>
          <t>11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83000</v>
      </c>
      <c r="J235" s="127" t="inlineStr">
        <is>
          <t>12</t>
        </is>
      </c>
      <c r="K235" s="127" t="n">
        <v>52000</v>
      </c>
      <c r="L235" s="127" t="inlineStr">
        <is>
          <t>중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n"/>
      <c r="B236" s="114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4">
        <f>IF(E236="","",E236)</f>
        <v/>
      </c>
      <c r="AJ236" s="114" t="n"/>
      <c r="AK236" s="114" t="n"/>
      <c r="AL236" s="114" t="n"/>
      <c r="AM236" s="114" t="n"/>
      <c r="AN236" s="114" t="n"/>
      <c r="AO236" s="114" t="n"/>
      <c r="AP236" s="114" t="n"/>
      <c r="AQ236" s="114" t="n"/>
      <c r="AR236" s="114" t="n"/>
      <c r="AS236" s="114" t="n"/>
      <c r="AT236" s="114" t="n"/>
      <c r="AU236" s="114" t="n"/>
      <c r="AV236" s="114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50000</v>
      </c>
      <c r="J237" s="127" t="inlineStr">
        <is>
          <t>13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55000</v>
      </c>
      <c r="J238" s="127" t="inlineStr">
        <is>
          <t>11</t>
        </is>
      </c>
      <c r="K238" s="127" t="n">
        <v>30000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68000</v>
      </c>
      <c r="J239" s="127" t="inlineStr">
        <is>
          <t>20</t>
        </is>
      </c>
      <c r="K239" s="127" t="n">
        <v>38000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74000</v>
      </c>
      <c r="J240" s="127" t="inlineStr">
        <is>
          <t>고</t>
        </is>
      </c>
      <c r="K240" s="127" t="n">
        <v>40000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64000</v>
      </c>
      <c r="J241" s="127" t="inlineStr">
        <is>
          <t>6</t>
        </is>
      </c>
      <c r="K241" s="127" t="n">
        <v>66000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80000</v>
      </c>
      <c r="J242" s="127" t="inlineStr">
        <is>
          <t>9</t>
        </is>
      </c>
      <c r="K242" s="127" t="n">
        <v>55000</v>
      </c>
      <c r="L242" s="127" t="inlineStr">
        <is>
          <t>6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고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20</t>
        </is>
      </c>
      <c r="K245" s="127" t="n">
        <v>75000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23">
      <formula>AV4="X"</formula>
    </cfRule>
    <cfRule type="expression" priority="4170" dxfId="22">
      <formula>AV4="후보"</formula>
    </cfRule>
  </conditionalFormatting>
  <conditionalFormatting sqref="AC1:AC2 AC4:AC6 N4:N5">
    <cfRule type="cellIs" priority="4166" operator="greaterThan" dxfId="17">
      <formula>0.9</formula>
    </cfRule>
    <cfRule type="cellIs" priority="4167" operator="greaterThan" dxfId="16">
      <formula>0.85</formula>
    </cfRule>
  </conditionalFormatting>
  <conditionalFormatting sqref="N1:N2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6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23">
      <formula>AV7="X"</formula>
    </cfRule>
    <cfRule type="expression" priority="4149" dxfId="22">
      <formula>AV7="후보"</formula>
    </cfRule>
  </conditionalFormatting>
  <conditionalFormatting sqref="AC7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7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23">
      <formula>AV8="X"</formula>
    </cfRule>
    <cfRule type="expression" priority="4130" dxfId="22">
      <formula>AV8="후보"</formula>
    </cfRule>
  </conditionalFormatting>
  <conditionalFormatting sqref="AC8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8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23">
      <formula>AV9="X"</formula>
    </cfRule>
    <cfRule type="expression" priority="4111" dxfId="22">
      <formula>AV9="후보"</formula>
    </cfRule>
  </conditionalFormatting>
  <conditionalFormatting sqref="AC9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N9">
    <cfRule type="cellIs" priority="4105" operator="greaterThan" dxfId="17">
      <formula>0.9</formula>
    </cfRule>
    <cfRule type="cellIs" priority="4106" operator="greaterThan" dxfId="16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23">
      <formula>AV10="X"</formula>
    </cfRule>
    <cfRule type="expression" priority="4092" dxfId="22">
      <formula>AV10="후보"</formula>
    </cfRule>
  </conditionalFormatting>
  <conditionalFormatting sqref="AC10">
    <cfRule type="cellIs" priority="4088" operator="greaterThan" dxfId="17">
      <formula>0.9</formula>
    </cfRule>
    <cfRule type="cellIs" priority="4089" operator="greaterThan" dxfId="16">
      <formula>0.85</formula>
    </cfRule>
  </conditionalFormatting>
  <conditionalFormatting sqref="N10">
    <cfRule type="cellIs" priority="4086" operator="greaterThan" dxfId="17">
      <formula>0.9</formula>
    </cfRule>
    <cfRule type="cellIs" priority="4087" operator="greaterThan" dxfId="16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23">
      <formula>AV11="X"</formula>
    </cfRule>
    <cfRule type="expression" priority="4073" dxfId="22">
      <formula>AV11="후보"</formula>
    </cfRule>
  </conditionalFormatting>
  <conditionalFormatting sqref="AC11 N11">
    <cfRule type="cellIs" priority="4069" operator="greaterThan" dxfId="17">
      <formula>0.9</formula>
    </cfRule>
    <cfRule type="cellIs" priority="4070" operator="greaterThan" dxfId="16">
      <formula>0.85</formula>
    </cfRule>
  </conditionalFormatting>
  <conditionalFormatting sqref="AV12">
    <cfRule type="expression" priority="4067" dxfId="23">
      <formula>AV12="X"</formula>
    </cfRule>
    <cfRule type="expression" priority="4068" dxfId="22">
      <formula>AV12="후보"</formula>
    </cfRule>
  </conditionalFormatting>
  <conditionalFormatting sqref="AC12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12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23">
      <formula>AV13="X"</formula>
    </cfRule>
    <cfRule type="expression" priority="4049" dxfId="22">
      <formula>AV13="후보"</formula>
    </cfRule>
  </conditionalFormatting>
  <conditionalFormatting sqref="AC1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3">
    <cfRule type="cellIs" priority="4043" operator="greaterThan" dxfId="17">
      <formula>0.9</formula>
    </cfRule>
    <cfRule type="cellIs" priority="4044" operator="greaterThan" dxfId="16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23">
      <formula>AV14="X"</formula>
    </cfRule>
    <cfRule type="expression" priority="4030" dxfId="22">
      <formula>AV14="후보"</formula>
    </cfRule>
  </conditionalFormatting>
  <conditionalFormatting sqref="AC14">
    <cfRule type="cellIs" priority="4026" operator="greaterThan" dxfId="17">
      <formula>0.9</formula>
    </cfRule>
    <cfRule type="cellIs" priority="4027" operator="greaterThan" dxfId="16">
      <formula>0.85</formula>
    </cfRule>
  </conditionalFormatting>
  <conditionalFormatting sqref="N14">
    <cfRule type="cellIs" priority="4024" operator="greaterThan" dxfId="17">
      <formula>0.9</formula>
    </cfRule>
    <cfRule type="cellIs" priority="4025" operator="greaterThan" dxfId="16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23">
      <formula>AV15="X"</formula>
    </cfRule>
    <cfRule type="expression" priority="4011" dxfId="22">
      <formula>AV15="후보"</formula>
    </cfRule>
  </conditionalFormatting>
  <conditionalFormatting sqref="AC15 N15">
    <cfRule type="cellIs" priority="4007" operator="greaterThan" dxfId="17">
      <formula>0.9</formula>
    </cfRule>
    <cfRule type="cellIs" priority="4008" operator="greaterThan" dxfId="16">
      <formula>0.85</formula>
    </cfRule>
  </conditionalFormatting>
  <conditionalFormatting sqref="AV16">
    <cfRule type="expression" priority="4005" dxfId="23">
      <formula>AV16="X"</formula>
    </cfRule>
    <cfRule type="expression" priority="4006" dxfId="22">
      <formula>AV16="후보"</formula>
    </cfRule>
  </conditionalFormatting>
  <conditionalFormatting sqref="AC16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16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23">
      <formula>AV17="X"</formula>
    </cfRule>
    <cfRule type="expression" priority="3987" dxfId="22">
      <formula>AV17="후보"</formula>
    </cfRule>
  </conditionalFormatting>
  <conditionalFormatting sqref="AC17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N17">
    <cfRule type="cellIs" priority="3981" operator="greaterThan" dxfId="17">
      <formula>0.9</formula>
    </cfRule>
    <cfRule type="cellIs" priority="3982" operator="greaterThan" dxfId="16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23">
      <formula>AV18="X"</formula>
    </cfRule>
    <cfRule type="expression" priority="3968" dxfId="22">
      <formula>AV18="후보"</formula>
    </cfRule>
  </conditionalFormatting>
  <conditionalFormatting sqref="AC18">
    <cfRule type="cellIs" priority="3964" operator="greaterThan" dxfId="17">
      <formula>0.9</formula>
    </cfRule>
    <cfRule type="cellIs" priority="3965" operator="greaterThan" dxfId="16">
      <formula>0.85</formula>
    </cfRule>
  </conditionalFormatting>
  <conditionalFormatting sqref="N18">
    <cfRule type="cellIs" priority="3962" operator="greaterThan" dxfId="17">
      <formula>0.9</formula>
    </cfRule>
    <cfRule type="cellIs" priority="3963" operator="greaterThan" dxfId="16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23">
      <formula>AV19="X"</formula>
    </cfRule>
    <cfRule type="expression" priority="3949" dxfId="22">
      <formula>AV19="후보"</formula>
    </cfRule>
  </conditionalFormatting>
  <conditionalFormatting sqref="AC19">
    <cfRule type="cellIs" priority="3945" operator="greaterThan" dxfId="17">
      <formula>0.9</formula>
    </cfRule>
    <cfRule type="cellIs" priority="3946" operator="greaterThan" dxfId="16">
      <formula>0.85</formula>
    </cfRule>
  </conditionalFormatting>
  <conditionalFormatting sqref="N19">
    <cfRule type="cellIs" priority="3943" operator="greaterThan" dxfId="17">
      <formula>0.9</formula>
    </cfRule>
    <cfRule type="cellIs" priority="3944" operator="greaterThan" dxfId="16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23">
      <formula>AV20="X"</formula>
    </cfRule>
    <cfRule type="expression" priority="3930" dxfId="22">
      <formula>AV20="후보"</formula>
    </cfRule>
  </conditionalFormatting>
  <conditionalFormatting sqref="AC20">
    <cfRule type="cellIs" priority="3926" operator="greaterThan" dxfId="17">
      <formula>0.9</formula>
    </cfRule>
    <cfRule type="cellIs" priority="3927" operator="greaterThan" dxfId="16">
      <formula>0.85</formula>
    </cfRule>
  </conditionalFormatting>
  <conditionalFormatting sqref="N20">
    <cfRule type="cellIs" priority="3924" operator="greaterThan" dxfId="17">
      <formula>0.9</formula>
    </cfRule>
    <cfRule type="cellIs" priority="3925" operator="greaterThan" dxfId="16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23">
      <formula>AV21="X"</formula>
    </cfRule>
    <cfRule type="expression" priority="3911" dxfId="22">
      <formula>AV21="후보"</formula>
    </cfRule>
  </conditionalFormatting>
  <conditionalFormatting sqref="AC21">
    <cfRule type="cellIs" priority="3907" operator="greaterThan" dxfId="17">
      <formula>0.9</formula>
    </cfRule>
    <cfRule type="cellIs" priority="3908" operator="greaterThan" dxfId="16">
      <formula>0.85</formula>
    </cfRule>
  </conditionalFormatting>
  <conditionalFormatting sqref="N21">
    <cfRule type="cellIs" priority="3905" operator="greaterThan" dxfId="17">
      <formula>0.9</formula>
    </cfRule>
    <cfRule type="cellIs" priority="3906" operator="greaterThan" dxfId="16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23">
      <formula>AV22="X"</formula>
    </cfRule>
    <cfRule type="expression" priority="3892" dxfId="22">
      <formula>AV22="후보"</formula>
    </cfRule>
  </conditionalFormatting>
  <conditionalFormatting sqref="AC22">
    <cfRule type="cellIs" priority="3888" operator="greaterThan" dxfId="17">
      <formula>0.9</formula>
    </cfRule>
    <cfRule type="cellIs" priority="3889" operator="greaterThan" dxfId="16">
      <formula>0.85</formula>
    </cfRule>
  </conditionalFormatting>
  <conditionalFormatting sqref="N22">
    <cfRule type="cellIs" priority="3886" operator="greaterThan" dxfId="17">
      <formula>0.9</formula>
    </cfRule>
    <cfRule type="cellIs" priority="3887" operator="greaterThan" dxfId="16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23">
      <formula>AV23="X"</formula>
    </cfRule>
    <cfRule type="expression" priority="3873" dxfId="22">
      <formula>AV23="후보"</formula>
    </cfRule>
  </conditionalFormatting>
  <conditionalFormatting sqref="AC23">
    <cfRule type="cellIs" priority="3869" operator="greaterThan" dxfId="17">
      <formula>0.9</formula>
    </cfRule>
    <cfRule type="cellIs" priority="3870" operator="greaterThan" dxfId="16">
      <formula>0.85</formula>
    </cfRule>
  </conditionalFormatting>
  <conditionalFormatting sqref="N2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23">
      <formula>AV24="X"</formula>
    </cfRule>
    <cfRule type="expression" priority="3854" dxfId="22">
      <formula>AV24="후보"</formula>
    </cfRule>
  </conditionalFormatting>
  <conditionalFormatting sqref="AC24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N24">
    <cfRule type="cellIs" priority="3848" operator="greaterThan" dxfId="17">
      <formula>0.9</formula>
    </cfRule>
    <cfRule type="cellIs" priority="3849" operator="greaterThan" dxfId="16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23">
      <formula>AV25="X"</formula>
    </cfRule>
    <cfRule type="expression" priority="3835" dxfId="22">
      <formula>AV25="후보"</formula>
    </cfRule>
  </conditionalFormatting>
  <conditionalFormatting sqref="AC2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23">
      <formula>AV26="X"</formula>
    </cfRule>
    <cfRule type="expression" priority="3816" dxfId="22">
      <formula>AV26="후보"</formula>
    </cfRule>
  </conditionalFormatting>
  <conditionalFormatting sqref="AC26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N26">
    <cfRule type="cellIs" priority="3810" operator="greaterThan" dxfId="17">
      <formula>0.9</formula>
    </cfRule>
    <cfRule type="cellIs" priority="3811" operator="greaterThan" dxfId="16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23">
      <formula>AV27="X"</formula>
    </cfRule>
    <cfRule type="expression" priority="3797" dxfId="22">
      <formula>AV27="후보"</formula>
    </cfRule>
  </conditionalFormatting>
  <conditionalFormatting sqref="AC2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">
    <cfRule type="cellIs" priority="3791" operator="greaterThan" dxfId="17">
      <formula>0.9</formula>
    </cfRule>
    <cfRule type="cellIs" priority="3792" operator="greaterThan" dxfId="16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23">
      <formula>AV28="X"</formula>
    </cfRule>
    <cfRule type="expression" priority="3778" dxfId="22">
      <formula>AV28="후보"</formula>
    </cfRule>
  </conditionalFormatting>
  <conditionalFormatting sqref="AC28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28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23">
      <formula>AV29="X"</formula>
    </cfRule>
    <cfRule type="expression" priority="3759" dxfId="22">
      <formula>AV29="후보"</formula>
    </cfRule>
  </conditionalFormatting>
  <conditionalFormatting sqref="AC29">
    <cfRule type="cellIs" priority="3755" operator="greaterThan" dxfId="17">
      <formula>0.9</formula>
    </cfRule>
    <cfRule type="cellIs" priority="3756" operator="greaterThan" dxfId="16">
      <formula>0.85</formula>
    </cfRule>
  </conditionalFormatting>
  <conditionalFormatting sqref="N29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23">
      <formula>AV30="X"</formula>
    </cfRule>
    <cfRule type="expression" priority="3740" dxfId="22">
      <formula>AV30="후보"</formula>
    </cfRule>
  </conditionalFormatting>
  <conditionalFormatting sqref="AC30 N30">
    <cfRule type="cellIs" priority="3736" operator="greaterThan" dxfId="17">
      <formula>0.9</formula>
    </cfRule>
    <cfRule type="cellIs" priority="3737" operator="greaterThan" dxfId="16">
      <formula>0.85</formula>
    </cfRule>
  </conditionalFormatting>
  <conditionalFormatting sqref="AV31">
    <cfRule type="expression" priority="3734" dxfId="23">
      <formula>AV31="X"</formula>
    </cfRule>
    <cfRule type="expression" priority="3735" dxfId="22">
      <formula>AV31="후보"</formula>
    </cfRule>
  </conditionalFormatting>
  <conditionalFormatting sqref="AC31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N31">
    <cfRule type="cellIs" priority="3729" operator="greaterThan" dxfId="17">
      <formula>0.9</formula>
    </cfRule>
    <cfRule type="cellIs" priority="3730" operator="greaterThan" dxfId="16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23">
      <formula>AV32="X"</formula>
    </cfRule>
    <cfRule type="expression" priority="3716" dxfId="22">
      <formula>AV32="후보"</formula>
    </cfRule>
  </conditionalFormatting>
  <conditionalFormatting sqref="AC32">
    <cfRule type="cellIs" priority="3712" operator="greaterThan" dxfId="17">
      <formula>0.9</formula>
    </cfRule>
    <cfRule type="cellIs" priority="3713" operator="greaterThan" dxfId="16">
      <formula>0.85</formula>
    </cfRule>
  </conditionalFormatting>
  <conditionalFormatting sqref="N32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23">
      <formula>AV33="X"</formula>
    </cfRule>
    <cfRule type="expression" priority="3697" dxfId="22">
      <formula>AV33="후보"</formula>
    </cfRule>
  </conditionalFormatting>
  <conditionalFormatting sqref="AC33">
    <cfRule type="cellIs" priority="3693" operator="greaterThan" dxfId="17">
      <formula>0.9</formula>
    </cfRule>
    <cfRule type="cellIs" priority="3694" operator="greaterThan" dxfId="16">
      <formula>0.85</formula>
    </cfRule>
  </conditionalFormatting>
  <conditionalFormatting sqref="N33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23">
      <formula>AV34="X"</formula>
    </cfRule>
    <cfRule type="expression" priority="3678" dxfId="22">
      <formula>AV34="후보"</formula>
    </cfRule>
  </conditionalFormatting>
  <conditionalFormatting sqref="AC34 N34">
    <cfRule type="cellIs" priority="3674" operator="greaterThan" dxfId="17">
      <formula>0.9</formula>
    </cfRule>
    <cfRule type="cellIs" priority="3675" operator="greaterThan" dxfId="16">
      <formula>0.85</formula>
    </cfRule>
  </conditionalFormatting>
  <conditionalFormatting sqref="AV35">
    <cfRule type="expression" priority="3672" dxfId="23">
      <formula>AV35="X"</formula>
    </cfRule>
    <cfRule type="expression" priority="3673" dxfId="22">
      <formula>AV35="후보"</formula>
    </cfRule>
  </conditionalFormatting>
  <conditionalFormatting sqref="AC3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23">
      <formula>AV36="X"</formula>
    </cfRule>
    <cfRule type="expression" priority="3654" dxfId="22">
      <formula>AV36="후보"</formula>
    </cfRule>
  </conditionalFormatting>
  <conditionalFormatting sqref="AC36">
    <cfRule type="cellIs" priority="3650" operator="greaterThan" dxfId="17">
      <formula>0.9</formula>
    </cfRule>
    <cfRule type="cellIs" priority="3651" operator="greaterThan" dxfId="16">
      <formula>0.85</formula>
    </cfRule>
  </conditionalFormatting>
  <conditionalFormatting sqref="N36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23">
      <formula>AV37="X"</formula>
    </cfRule>
    <cfRule type="expression" priority="3635" dxfId="22">
      <formula>AV37="후보"</formula>
    </cfRule>
  </conditionalFormatting>
  <conditionalFormatting sqref="AC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7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23">
      <formula>AV38="X"</formula>
    </cfRule>
    <cfRule type="expression" priority="3616" dxfId="22">
      <formula>AV38="후보"</formula>
    </cfRule>
  </conditionalFormatting>
  <conditionalFormatting sqref="AC38">
    <cfRule type="cellIs" priority="3612" operator="greaterThan" dxfId="17">
      <formula>0.9</formula>
    </cfRule>
    <cfRule type="cellIs" priority="3613" operator="greaterThan" dxfId="16">
      <formula>0.85</formula>
    </cfRule>
  </conditionalFormatting>
  <conditionalFormatting sqref="N38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23">
      <formula>AV39="X"</formula>
    </cfRule>
    <cfRule type="expression" priority="3597" dxfId="22">
      <formula>AV39="후보"</formula>
    </cfRule>
  </conditionalFormatting>
  <conditionalFormatting sqref="AC39 N39">
    <cfRule type="cellIs" priority="3593" operator="greaterThan" dxfId="17">
      <formula>0.9</formula>
    </cfRule>
    <cfRule type="cellIs" priority="3594" operator="greaterThan" dxfId="16">
      <formula>0.85</formula>
    </cfRule>
  </conditionalFormatting>
  <conditionalFormatting sqref="AV40">
    <cfRule type="expression" priority="3591" dxfId="23">
      <formula>AV40="X"</formula>
    </cfRule>
    <cfRule type="expression" priority="3592" dxfId="22">
      <formula>AV40="후보"</formula>
    </cfRule>
  </conditionalFormatting>
  <conditionalFormatting sqref="AC40">
    <cfRule type="cellIs" priority="3588" operator="greaterThan" dxfId="17">
      <formula>0.9</formula>
    </cfRule>
    <cfRule type="cellIs" priority="3589" operator="greaterThan" dxfId="16">
      <formula>0.85</formula>
    </cfRule>
  </conditionalFormatting>
  <conditionalFormatting sqref="N40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23">
      <formula>AV41="X"</formula>
    </cfRule>
    <cfRule type="expression" priority="3573" dxfId="22">
      <formula>AV41="후보"</formula>
    </cfRule>
  </conditionalFormatting>
  <conditionalFormatting sqref="AC41">
    <cfRule type="cellIs" priority="3569" operator="greaterThan" dxfId="17">
      <formula>0.9</formula>
    </cfRule>
    <cfRule type="cellIs" priority="3570" operator="greaterThan" dxfId="16">
      <formula>0.85</formula>
    </cfRule>
  </conditionalFormatting>
  <conditionalFormatting sqref="N41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23">
      <formula>AV42="X"</formula>
    </cfRule>
    <cfRule type="expression" priority="3554" dxfId="22">
      <formula>AV42="후보"</formula>
    </cfRule>
  </conditionalFormatting>
  <conditionalFormatting sqref="AC42">
    <cfRule type="cellIs" priority="3550" operator="greaterThan" dxfId="17">
      <formula>0.9</formula>
    </cfRule>
    <cfRule type="cellIs" priority="3551" operator="greaterThan" dxfId="16">
      <formula>0.85</formula>
    </cfRule>
  </conditionalFormatting>
  <conditionalFormatting sqref="N42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23">
      <formula>AV43="X"</formula>
    </cfRule>
    <cfRule type="expression" priority="3535" dxfId="22">
      <formula>AV43="후보"</formula>
    </cfRule>
  </conditionalFormatting>
  <conditionalFormatting sqref="AC43">
    <cfRule type="cellIs" priority="3531" operator="greaterThan" dxfId="17">
      <formula>0.9</formula>
    </cfRule>
    <cfRule type="cellIs" priority="3532" operator="greaterThan" dxfId="16">
      <formula>0.85</formula>
    </cfRule>
  </conditionalFormatting>
  <conditionalFormatting sqref="N43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23">
      <formula>AV44="X"</formula>
    </cfRule>
    <cfRule type="expression" priority="3516" dxfId="22">
      <formula>AV44="후보"</formula>
    </cfRule>
  </conditionalFormatting>
  <conditionalFormatting sqref="AC44 N44">
    <cfRule type="cellIs" priority="3512" operator="greaterThan" dxfId="17">
      <formula>0.9</formula>
    </cfRule>
    <cfRule type="cellIs" priority="3513" operator="greaterThan" dxfId="16">
      <formula>0.85</formula>
    </cfRule>
  </conditionalFormatting>
  <conditionalFormatting sqref="AV45">
    <cfRule type="expression" priority="3510" dxfId="23">
      <formula>AV45="X"</formula>
    </cfRule>
    <cfRule type="expression" priority="3511" dxfId="22">
      <formula>AV45="후보"</formula>
    </cfRule>
  </conditionalFormatting>
  <conditionalFormatting sqref="AC4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23">
      <formula>AV46="X"</formula>
    </cfRule>
    <cfRule type="expression" priority="3492" dxfId="22">
      <formula>AV46="후보"</formula>
    </cfRule>
  </conditionalFormatting>
  <conditionalFormatting sqref="AC46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46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23">
      <formula>AV47="X"</formula>
    </cfRule>
    <cfRule type="expression" priority="3473" dxfId="22">
      <formula>AV47="후보"</formula>
    </cfRule>
  </conditionalFormatting>
  <conditionalFormatting sqref="AC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7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23">
      <formula>AV48="X"</formula>
    </cfRule>
    <cfRule type="expression" priority="3454" dxfId="22">
      <formula>AV48="후보"</formula>
    </cfRule>
  </conditionalFormatting>
  <conditionalFormatting sqref="AC48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48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23">
      <formula>AV49="X"</formula>
    </cfRule>
    <cfRule type="expression" priority="3435" dxfId="22">
      <formula>AV49="후보"</formula>
    </cfRule>
  </conditionalFormatting>
  <conditionalFormatting sqref="AC49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49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23">
      <formula>AV50="X"</formula>
    </cfRule>
    <cfRule type="expression" priority="3416" dxfId="22">
      <formula>AV50="후보"</formula>
    </cfRule>
  </conditionalFormatting>
  <conditionalFormatting sqref="AC50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50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23">
      <formula>AV51="X"</formula>
    </cfRule>
    <cfRule type="expression" priority="3397" dxfId="22">
      <formula>AV51="후보"</formula>
    </cfRule>
  </conditionalFormatting>
  <conditionalFormatting sqref="AC51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N51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23">
      <formula>AV52="X"</formula>
    </cfRule>
    <cfRule type="expression" priority="3378" dxfId="22">
      <formula>AV52="후보"</formula>
    </cfRule>
  </conditionalFormatting>
  <conditionalFormatting sqref="AC52">
    <cfRule type="cellIs" priority="3374" operator="greaterThan" dxfId="17">
      <formula>0.9</formula>
    </cfRule>
    <cfRule type="cellIs" priority="3375" operator="greaterThan" dxfId="16">
      <formula>0.85</formula>
    </cfRule>
  </conditionalFormatting>
  <conditionalFormatting sqref="N52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23">
      <formula>AV53="X"</formula>
    </cfRule>
    <cfRule type="expression" priority="3359" dxfId="22">
      <formula>AV53="후보"</formula>
    </cfRule>
  </conditionalFormatting>
  <conditionalFormatting sqref="AC53">
    <cfRule type="cellIs" priority="3355" operator="greaterThan" dxfId="17">
      <formula>0.9</formula>
    </cfRule>
    <cfRule type="cellIs" priority="3356" operator="greaterThan" dxfId="16">
      <formula>0.85</formula>
    </cfRule>
  </conditionalFormatting>
  <conditionalFormatting sqref="N53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23">
      <formula>AV54="X"</formula>
    </cfRule>
    <cfRule type="expression" priority="3340" dxfId="22">
      <formula>AV54="후보"</formula>
    </cfRule>
  </conditionalFormatting>
  <conditionalFormatting sqref="AC54">
    <cfRule type="cellIs" priority="3336" operator="greaterThan" dxfId="17">
      <formula>0.9</formula>
    </cfRule>
    <cfRule type="cellIs" priority="3337" operator="greaterThan" dxfId="16">
      <formula>0.85</formula>
    </cfRule>
  </conditionalFormatting>
  <conditionalFormatting sqref="N54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23">
      <formula>AV55="X"</formula>
    </cfRule>
    <cfRule type="expression" priority="3321" dxfId="22">
      <formula>AV55="후보"</formula>
    </cfRule>
  </conditionalFormatting>
  <conditionalFormatting sqref="AC55 N55">
    <cfRule type="cellIs" priority="3317" operator="greaterThan" dxfId="17">
      <formula>0.9</formula>
    </cfRule>
    <cfRule type="cellIs" priority="3318" operator="greaterThan" dxfId="16">
      <formula>0.85</formula>
    </cfRule>
  </conditionalFormatting>
  <conditionalFormatting sqref="AV56">
    <cfRule type="expression" priority="3315" dxfId="23">
      <formula>AV56="X"</formula>
    </cfRule>
    <cfRule type="expression" priority="3316" dxfId="22">
      <formula>AV56="후보"</formula>
    </cfRule>
  </conditionalFormatting>
  <conditionalFormatting sqref="AC56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56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23">
      <formula>AV57="X"</formula>
    </cfRule>
    <cfRule type="expression" priority="3297" dxfId="22">
      <formula>AV57="후보"</formula>
    </cfRule>
  </conditionalFormatting>
  <conditionalFormatting sqref="AC57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5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23">
      <formula>AV58="X"</formula>
    </cfRule>
    <cfRule type="expression" priority="3278" dxfId="22">
      <formula>AV58="후보"</formula>
    </cfRule>
  </conditionalFormatting>
  <conditionalFormatting sqref="AC58 N58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AV59">
    <cfRule type="expression" priority="3272" dxfId="23">
      <formula>AV59="X"</formula>
    </cfRule>
    <cfRule type="expression" priority="3273" dxfId="22">
      <formula>AV59="후보"</formula>
    </cfRule>
  </conditionalFormatting>
  <conditionalFormatting sqref="AC59">
    <cfRule type="cellIs" priority="3269" operator="greaterThan" dxfId="17">
      <formula>0.9</formula>
    </cfRule>
    <cfRule type="cellIs" priority="3270" operator="greaterThan" dxfId="16">
      <formula>0.85</formula>
    </cfRule>
  </conditionalFormatting>
  <conditionalFormatting sqref="N59">
    <cfRule type="cellIs" priority="3267" operator="greaterThan" dxfId="17">
      <formula>0.9</formula>
    </cfRule>
    <cfRule type="cellIs" priority="3268" operator="greaterThan" dxfId="16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23">
      <formula>AV60="X"</formula>
    </cfRule>
    <cfRule type="expression" priority="3254" dxfId="22">
      <formula>AV60="후보"</formula>
    </cfRule>
  </conditionalFormatting>
  <conditionalFormatting sqref="AC60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0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23">
      <formula>AV61="X"</formula>
    </cfRule>
    <cfRule type="expression" priority="3235" dxfId="22">
      <formula>AV61="후보"</formula>
    </cfRule>
  </conditionalFormatting>
  <conditionalFormatting sqref="AC61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61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23">
      <formula>AV62="X"</formula>
    </cfRule>
    <cfRule type="expression" priority="3216" dxfId="22">
      <formula>AV62="후보"</formula>
    </cfRule>
  </conditionalFormatting>
  <conditionalFormatting sqref="AC62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62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23">
      <formula>AV63="X"</formula>
    </cfRule>
    <cfRule type="expression" priority="3197" dxfId="22">
      <formula>AV63="후보"</formula>
    </cfRule>
  </conditionalFormatting>
  <conditionalFormatting sqref="AC6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63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23">
      <formula>AV64="X"</formula>
    </cfRule>
    <cfRule type="expression" priority="3178" dxfId="22">
      <formula>AV64="후보"</formula>
    </cfRule>
  </conditionalFormatting>
  <conditionalFormatting sqref="AC6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64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23">
      <formula>AV65="X"</formula>
    </cfRule>
    <cfRule type="expression" priority="3159" dxfId="22">
      <formula>AV65="후보"</formula>
    </cfRule>
  </conditionalFormatting>
  <conditionalFormatting sqref="AC65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65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23">
      <formula>AV66="X"</formula>
    </cfRule>
    <cfRule type="expression" priority="3140" dxfId="22">
      <formula>AV66="후보"</formula>
    </cfRule>
  </conditionalFormatting>
  <conditionalFormatting sqref="AC66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66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23">
      <formula>AV67="X"</formula>
    </cfRule>
    <cfRule type="expression" priority="3121" dxfId="22">
      <formula>AV67="후보"</formula>
    </cfRule>
  </conditionalFormatting>
  <conditionalFormatting sqref="AC67 N67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68">
    <cfRule type="expression" priority="3115" dxfId="23">
      <formula>AV68="X"</formula>
    </cfRule>
    <cfRule type="expression" priority="3116" dxfId="22">
      <formula>AV68="후보"</formula>
    </cfRule>
  </conditionalFormatting>
  <conditionalFormatting sqref="AC68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68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23">
      <formula>AV69="X"</formula>
    </cfRule>
    <cfRule type="expression" priority="3097" dxfId="22">
      <formula>AV69="후보"</formula>
    </cfRule>
  </conditionalFormatting>
  <conditionalFormatting sqref="AC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23">
      <formula>AV70="X"</formula>
    </cfRule>
    <cfRule type="expression" priority="3078" dxfId="22">
      <formula>AV70="후보"</formula>
    </cfRule>
  </conditionalFormatting>
  <conditionalFormatting sqref="AC70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0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23">
      <formula>AV71="X"</formula>
    </cfRule>
    <cfRule type="expression" priority="3059" dxfId="22">
      <formula>AV71="후보"</formula>
    </cfRule>
  </conditionalFormatting>
  <conditionalFormatting sqref="AC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1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23">
      <formula>AV72="X"</formula>
    </cfRule>
    <cfRule type="expression" priority="3040" dxfId="22">
      <formula>AV72="후보"</formula>
    </cfRule>
  </conditionalFormatting>
  <conditionalFormatting sqref="AC72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72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23">
      <formula>AV73="X"</formula>
    </cfRule>
    <cfRule type="expression" priority="3021" dxfId="22">
      <formula>AV73="후보"</formula>
    </cfRule>
  </conditionalFormatting>
  <conditionalFormatting sqref="AC73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73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23">
      <formula>AV74="X"</formula>
    </cfRule>
    <cfRule type="expression" priority="3002" dxfId="22">
      <formula>AV74="후보"</formula>
    </cfRule>
  </conditionalFormatting>
  <conditionalFormatting sqref="AC74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74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23">
      <formula>AV75="X"</formula>
    </cfRule>
    <cfRule type="expression" priority="2983" dxfId="22">
      <formula>AV75="후보"</formula>
    </cfRule>
  </conditionalFormatting>
  <conditionalFormatting sqref="AC7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75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23">
      <formula>AV76="X"</formula>
    </cfRule>
    <cfRule type="expression" priority="2964" dxfId="22">
      <formula>AV76="후보"</formula>
    </cfRule>
  </conditionalFormatting>
  <conditionalFormatting sqref="AC7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76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23">
      <formula>AV77="X"</formula>
    </cfRule>
    <cfRule type="expression" priority="2945" dxfId="22">
      <formula>AV77="후보"</formula>
    </cfRule>
  </conditionalFormatting>
  <conditionalFormatting sqref="AC7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77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23">
      <formula>AV78="X"</formula>
    </cfRule>
    <cfRule type="expression" priority="2926" dxfId="22">
      <formula>AV78="후보"</formula>
    </cfRule>
  </conditionalFormatting>
  <conditionalFormatting sqref="AC78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78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23">
      <formula>AV79="X"</formula>
    </cfRule>
    <cfRule type="expression" priority="2907" dxfId="22">
      <formula>AV79="후보"</formula>
    </cfRule>
  </conditionalFormatting>
  <conditionalFormatting sqref="AC79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79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23">
      <formula>AV80="X"</formula>
    </cfRule>
    <cfRule type="expression" priority="2888" dxfId="22">
      <formula>AV80="후보"</formula>
    </cfRule>
  </conditionalFormatting>
  <conditionalFormatting sqref="AC80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0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23">
      <formula>AV81="X"</formula>
    </cfRule>
    <cfRule type="expression" priority="2869" dxfId="22">
      <formula>AV81="후보"</formula>
    </cfRule>
  </conditionalFormatting>
  <conditionalFormatting sqref="AC81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81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23">
      <formula>AV82="X"</formula>
    </cfRule>
    <cfRule type="expression" priority="2850" dxfId="22">
      <formula>AV82="후보"</formula>
    </cfRule>
  </conditionalFormatting>
  <conditionalFormatting sqref="AC82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82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23">
      <formula>AV83="X"</formula>
    </cfRule>
    <cfRule type="expression" priority="2831" dxfId="22">
      <formula>AV83="후보"</formula>
    </cfRule>
  </conditionalFormatting>
  <conditionalFormatting sqref="AC83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83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23">
      <formula>AV84="X"</formula>
    </cfRule>
    <cfRule type="expression" priority="2812" dxfId="22">
      <formula>AV84="후보"</formula>
    </cfRule>
  </conditionalFormatting>
  <conditionalFormatting sqref="AC84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84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23">
      <formula>AV85="X"</formula>
    </cfRule>
    <cfRule type="expression" priority="2793" dxfId="22">
      <formula>AV85="후보"</formula>
    </cfRule>
  </conditionalFormatting>
  <conditionalFormatting sqref="AC85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8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23">
      <formula>AV86="X"</formula>
    </cfRule>
    <cfRule type="expression" priority="2774" dxfId="22">
      <formula>AV86="후보"</formula>
    </cfRule>
  </conditionalFormatting>
  <conditionalFormatting sqref="AC86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86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23">
      <formula>AV87="X"</formula>
    </cfRule>
    <cfRule type="expression" priority="2755" dxfId="22">
      <formula>AV87="후보"</formula>
    </cfRule>
  </conditionalFormatting>
  <conditionalFormatting sqref="AC8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23">
      <formula>AV88="X"</formula>
    </cfRule>
    <cfRule type="expression" priority="2736" dxfId="22">
      <formula>AV88="후보"</formula>
    </cfRule>
  </conditionalFormatting>
  <conditionalFormatting sqref="AC88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8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23">
      <formula>AV89="X"</formula>
    </cfRule>
    <cfRule type="expression" priority="2717" dxfId="22">
      <formula>AV89="후보"</formula>
    </cfRule>
  </conditionalFormatting>
  <conditionalFormatting sqref="AC8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23">
      <formula>AV90="X"</formula>
    </cfRule>
    <cfRule type="expression" priority="2698" dxfId="22">
      <formula>AV90="후보"</formula>
    </cfRule>
  </conditionalFormatting>
  <conditionalFormatting sqref="AC90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0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23">
      <formula>AV91="X"</formula>
    </cfRule>
    <cfRule type="expression" priority="2679" dxfId="22">
      <formula>AV91="후보"</formula>
    </cfRule>
  </conditionalFormatting>
  <conditionalFormatting sqref="AC91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91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23">
      <formula>AV92="X"</formula>
    </cfRule>
    <cfRule type="expression" priority="2660" dxfId="22">
      <formula>AV92="후보"</formula>
    </cfRule>
  </conditionalFormatting>
  <conditionalFormatting sqref="AC92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92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23">
      <formula>AV93="X"</formula>
    </cfRule>
    <cfRule type="expression" priority="2641" dxfId="22">
      <formula>AV93="후보"</formula>
    </cfRule>
  </conditionalFormatting>
  <conditionalFormatting sqref="AC93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93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23">
      <formula>AV94="X"</formula>
    </cfRule>
    <cfRule type="expression" priority="2622" dxfId="22">
      <formula>AV94="후보"</formula>
    </cfRule>
  </conditionalFormatting>
  <conditionalFormatting sqref="AC94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94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23">
      <formula>AV95="X"</formula>
    </cfRule>
    <cfRule type="expression" priority="2603" dxfId="22">
      <formula>AV95="후보"</formula>
    </cfRule>
  </conditionalFormatting>
  <conditionalFormatting sqref="AC95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5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23">
      <formula>AV96="X"</formula>
    </cfRule>
    <cfRule type="expression" priority="2584" dxfId="22">
      <formula>AV96="후보"</formula>
    </cfRule>
  </conditionalFormatting>
  <conditionalFormatting sqref="AC96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6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23">
      <formula>AV97="X"</formula>
    </cfRule>
    <cfRule type="expression" priority="2565" dxfId="22">
      <formula>AV97="후보"</formula>
    </cfRule>
  </conditionalFormatting>
  <conditionalFormatting sqref="AC97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7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23">
      <formula>AV98="X"</formula>
    </cfRule>
    <cfRule type="expression" priority="2546" dxfId="22">
      <formula>AV98="후보"</formula>
    </cfRule>
  </conditionalFormatting>
  <conditionalFormatting sqref="AC98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N98">
    <cfRule type="cellIs" priority="2540" operator="greaterThan" dxfId="17">
      <formula>0.9</formula>
    </cfRule>
    <cfRule type="cellIs" priority="2541" operator="greaterThan" dxfId="16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23">
      <formula>AV99="X"</formula>
    </cfRule>
    <cfRule type="expression" priority="2527" dxfId="22">
      <formula>AV99="후보"</formula>
    </cfRule>
  </conditionalFormatting>
  <conditionalFormatting sqref="AC99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99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23">
      <formula>AV100="X"</formula>
    </cfRule>
    <cfRule type="expression" priority="2508" dxfId="22">
      <formula>AV100="후보"</formula>
    </cfRule>
  </conditionalFormatting>
  <conditionalFormatting sqref="AC100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100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23">
      <formula>AV101="X"</formula>
    </cfRule>
    <cfRule type="expression" priority="2489" dxfId="22">
      <formula>AV101="후보"</formula>
    </cfRule>
  </conditionalFormatting>
  <conditionalFormatting sqref="AC101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1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23">
      <formula>AV102="X"</formula>
    </cfRule>
    <cfRule type="expression" priority="2470" dxfId="22">
      <formula>AV102="후보"</formula>
    </cfRule>
  </conditionalFormatting>
  <conditionalFormatting sqref="AC102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02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23">
      <formula>AV103="X"</formula>
    </cfRule>
    <cfRule type="expression" priority="2451" dxfId="22">
      <formula>AV103="후보"</formula>
    </cfRule>
  </conditionalFormatting>
  <conditionalFormatting sqref="AC103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N10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23">
      <formula>AV104="X"</formula>
    </cfRule>
    <cfRule type="expression" priority="2432" dxfId="22">
      <formula>AV104="후보"</formula>
    </cfRule>
  </conditionalFormatting>
  <conditionalFormatting sqref="AC104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N104">
    <cfRule type="cellIs" priority="2426" operator="greaterThan" dxfId="17">
      <formula>0.9</formula>
    </cfRule>
    <cfRule type="cellIs" priority="2427" operator="greaterThan" dxfId="16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23">
      <formula>AV105="X"</formula>
    </cfRule>
    <cfRule type="expression" priority="2413" dxfId="22">
      <formula>AV105="후보"</formula>
    </cfRule>
  </conditionalFormatting>
  <conditionalFormatting sqref="AC10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23">
      <formula>AV106="X"</formula>
    </cfRule>
    <cfRule type="expression" priority="2394" dxfId="22">
      <formula>AV106="후보"</formula>
    </cfRule>
  </conditionalFormatting>
  <conditionalFormatting sqref="AC10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10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23">
      <formula>AV107="X"</formula>
    </cfRule>
    <cfRule type="expression" priority="2375" dxfId="22">
      <formula>AV107="후보"</formula>
    </cfRule>
  </conditionalFormatting>
  <conditionalFormatting sqref="AC10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23">
      <formula>AV108="X"</formula>
    </cfRule>
    <cfRule type="expression" priority="2356" dxfId="22">
      <formula>AV108="후보"</formula>
    </cfRule>
  </conditionalFormatting>
  <conditionalFormatting sqref="AC10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108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23">
      <formula>AV109="X"</formula>
    </cfRule>
    <cfRule type="expression" priority="2337" dxfId="22">
      <formula>AV109="후보"</formula>
    </cfRule>
  </conditionalFormatting>
  <conditionalFormatting sqref="AC10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109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23">
      <formula>AV110="X"</formula>
    </cfRule>
    <cfRule type="expression" priority="2318" dxfId="22">
      <formula>AV110="후보"</formula>
    </cfRule>
  </conditionalFormatting>
  <conditionalFormatting sqref="AC11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N110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23">
      <formula>AV111="X"</formula>
    </cfRule>
    <cfRule type="expression" priority="2299" dxfId="22">
      <formula>AV111="후보"</formula>
    </cfRule>
  </conditionalFormatting>
  <conditionalFormatting sqref="AC111">
    <cfRule type="cellIs" priority="2295" operator="greaterThan" dxfId="17">
      <formula>0.9</formula>
    </cfRule>
    <cfRule type="cellIs" priority="2296" operator="greaterThan" dxfId="16">
      <formula>0.85</formula>
    </cfRule>
  </conditionalFormatting>
  <conditionalFormatting sqref="N111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23">
      <formula>AV112="X"</formula>
    </cfRule>
    <cfRule type="expression" priority="2280" dxfId="22">
      <formula>AV112="후보"</formula>
    </cfRule>
  </conditionalFormatting>
  <conditionalFormatting sqref="AC112">
    <cfRule type="cellIs" priority="2276" operator="greaterThan" dxfId="17">
      <formula>0.9</formula>
    </cfRule>
    <cfRule type="cellIs" priority="2277" operator="greaterThan" dxfId="16">
      <formula>0.85</formula>
    </cfRule>
  </conditionalFormatting>
  <conditionalFormatting sqref="N112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23">
      <formula>AV113="X"</formula>
    </cfRule>
    <cfRule type="expression" priority="2261" dxfId="22">
      <formula>AV113="후보"</formula>
    </cfRule>
  </conditionalFormatting>
  <conditionalFormatting sqref="AC113">
    <cfRule type="cellIs" priority="2257" operator="greaterThan" dxfId="17">
      <formula>0.9</formula>
    </cfRule>
    <cfRule type="cellIs" priority="2258" operator="greaterThan" dxfId="16">
      <formula>0.85</formula>
    </cfRule>
  </conditionalFormatting>
  <conditionalFormatting sqref="N113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23">
      <formula>AV114="X"</formula>
    </cfRule>
    <cfRule type="expression" priority="2242" dxfId="22">
      <formula>AV114="후보"</formula>
    </cfRule>
  </conditionalFormatting>
  <conditionalFormatting sqref="AC114 N114">
    <cfRule type="cellIs" priority="2238" operator="greaterThan" dxfId="17">
      <formula>0.9</formula>
    </cfRule>
    <cfRule type="cellIs" priority="2239" operator="greaterThan" dxfId="16">
      <formula>0.85</formula>
    </cfRule>
  </conditionalFormatting>
  <conditionalFormatting sqref="AV115">
    <cfRule type="expression" priority="2236" dxfId="23">
      <formula>AV115="X"</formula>
    </cfRule>
    <cfRule type="expression" priority="2237" dxfId="22">
      <formula>AV115="후보"</formula>
    </cfRule>
  </conditionalFormatting>
  <conditionalFormatting sqref="AC11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1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23">
      <formula>AV116="X"</formula>
    </cfRule>
    <cfRule type="expression" priority="2218" dxfId="22">
      <formula>AV116="후보"</formula>
    </cfRule>
  </conditionalFormatting>
  <conditionalFormatting sqref="AC11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1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23">
      <formula>AV117="X"</formula>
    </cfRule>
    <cfRule type="expression" priority="2199" dxfId="22">
      <formula>AV117="후보"</formula>
    </cfRule>
  </conditionalFormatting>
  <conditionalFormatting sqref="AC11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1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23">
      <formula>AV118="X"</formula>
    </cfRule>
    <cfRule type="expression" priority="2180" dxfId="22">
      <formula>AV118="후보"</formula>
    </cfRule>
  </conditionalFormatting>
  <conditionalFormatting sqref="AC11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1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23">
      <formula>AV119="X"</formula>
    </cfRule>
    <cfRule type="expression" priority="2161" dxfId="22">
      <formula>AV119="후보"</formula>
    </cfRule>
  </conditionalFormatting>
  <conditionalFormatting sqref="AC119 N11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AV120">
    <cfRule type="expression" priority="2155" dxfId="23">
      <formula>AV120="X"</formula>
    </cfRule>
    <cfRule type="expression" priority="2156" dxfId="22">
      <formula>AV120="후보"</formula>
    </cfRule>
  </conditionalFormatting>
  <conditionalFormatting sqref="AC12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N120">
    <cfRule type="cellIs" priority="2150" operator="greaterThan" dxfId="17">
      <formula>0.9</formula>
    </cfRule>
    <cfRule type="cellIs" priority="2151" operator="greaterThan" dxfId="16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23">
      <formula>AV121="X"</formula>
    </cfRule>
    <cfRule type="expression" priority="2137" dxfId="22">
      <formula>AV121="후보"</formula>
    </cfRule>
  </conditionalFormatting>
  <conditionalFormatting sqref="AC12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2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23">
      <formula>AV122="X"</formula>
    </cfRule>
    <cfRule type="expression" priority="2118" dxfId="22">
      <formula>AV122="후보"</formula>
    </cfRule>
  </conditionalFormatting>
  <conditionalFormatting sqref="AC12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2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23">
      <formula>AV123="X"</formula>
    </cfRule>
    <cfRule type="expression" priority="2099" dxfId="22">
      <formula>AV123="후보"</formula>
    </cfRule>
  </conditionalFormatting>
  <conditionalFormatting sqref="AC12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2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23">
      <formula>AV124="X"</formula>
    </cfRule>
    <cfRule type="expression" priority="2080" dxfId="22">
      <formula>AV124="후보"</formula>
    </cfRule>
  </conditionalFormatting>
  <conditionalFormatting sqref="AC1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23">
      <formula>AV125="X"</formula>
    </cfRule>
    <cfRule type="expression" priority="2061" dxfId="22">
      <formula>AV125="후보"</formula>
    </cfRule>
  </conditionalFormatting>
  <conditionalFormatting sqref="AC1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N125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23">
      <formula>AV126="X"</formula>
    </cfRule>
    <cfRule type="expression" priority="2042" dxfId="22">
      <formula>AV126="후보"</formula>
    </cfRule>
  </conditionalFormatting>
  <conditionalFormatting sqref="AC126 N126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AV127">
    <cfRule type="expression" priority="2036" dxfId="23">
      <formula>AV127="X"</formula>
    </cfRule>
    <cfRule type="expression" priority="2037" dxfId="22">
      <formula>AV127="후보"</formula>
    </cfRule>
  </conditionalFormatting>
  <conditionalFormatting sqref="AC1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23">
      <formula>AV128="X"</formula>
    </cfRule>
    <cfRule type="expression" priority="2018" dxfId="22">
      <formula>AV128="후보"</formula>
    </cfRule>
  </conditionalFormatting>
  <conditionalFormatting sqref="AC1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2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23">
      <formula>AV129="X"</formula>
    </cfRule>
    <cfRule type="expression" priority="1999" dxfId="22">
      <formula>AV129="후보"</formula>
    </cfRule>
  </conditionalFormatting>
  <conditionalFormatting sqref="AC129 N12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AV130">
    <cfRule type="expression" priority="1993" dxfId="23">
      <formula>AV130="X"</formula>
    </cfRule>
    <cfRule type="expression" priority="1994" dxfId="22">
      <formula>AV130="후보"</formula>
    </cfRule>
  </conditionalFormatting>
  <conditionalFormatting sqref="AC1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23">
      <formula>AV131="X"</formula>
    </cfRule>
    <cfRule type="expression" priority="1975" dxfId="22">
      <formula>AV131="후보"</formula>
    </cfRule>
  </conditionalFormatting>
  <conditionalFormatting sqref="AC1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31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23">
      <formula>AV132="X"</formula>
    </cfRule>
    <cfRule type="expression" priority="1956" dxfId="22">
      <formula>AV132="후보"</formula>
    </cfRule>
  </conditionalFormatting>
  <conditionalFormatting sqref="AC132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32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23">
      <formula>AV133="X"</formula>
    </cfRule>
    <cfRule type="expression" priority="1937" dxfId="22">
      <formula>AV133="후보"</formula>
    </cfRule>
  </conditionalFormatting>
  <conditionalFormatting sqref="AC133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33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23">
      <formula>AV134="X"</formula>
    </cfRule>
    <cfRule type="expression" priority="1918" dxfId="22">
      <formula>AV134="후보"</formula>
    </cfRule>
  </conditionalFormatting>
  <conditionalFormatting sqref="AC134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34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23">
      <formula>AV135="X"</formula>
    </cfRule>
    <cfRule type="expression" priority="1899" dxfId="22">
      <formula>AV135="후보"</formula>
    </cfRule>
  </conditionalFormatting>
  <conditionalFormatting sqref="AC135 N13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AV136">
    <cfRule type="expression" priority="1893" dxfId="23">
      <formula>AV136="X"</formula>
    </cfRule>
    <cfRule type="expression" priority="1894" dxfId="22">
      <formula>AV136="후보"</formula>
    </cfRule>
  </conditionalFormatting>
  <conditionalFormatting sqref="AC136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36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23">
      <formula>AV137="X"</formula>
    </cfRule>
    <cfRule type="expression" priority="1875" dxfId="22">
      <formula>AV137="후보"</formula>
    </cfRule>
  </conditionalFormatting>
  <conditionalFormatting sqref="AC137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23">
      <formula>AV138="X"</formula>
    </cfRule>
    <cfRule type="expression" priority="1856" dxfId="22">
      <formula>AV138="후보"</formula>
    </cfRule>
  </conditionalFormatting>
  <conditionalFormatting sqref="AC138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38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23">
      <formula>AV139="X"</formula>
    </cfRule>
    <cfRule type="expression" priority="1837" dxfId="22">
      <formula>AV139="후보"</formula>
    </cfRule>
  </conditionalFormatting>
  <conditionalFormatting sqref="AC1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23">
      <formula>AV140="X"</formula>
    </cfRule>
    <cfRule type="expression" priority="1818" dxfId="22">
      <formula>AV140="후보"</formula>
    </cfRule>
  </conditionalFormatting>
  <conditionalFormatting sqref="AC14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23">
      <formula>AV141="X"</formula>
    </cfRule>
    <cfRule type="expression" priority="1799" dxfId="22">
      <formula>AV141="후보"</formula>
    </cfRule>
  </conditionalFormatting>
  <conditionalFormatting sqref="AC1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1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23">
      <formula>AV142="X"</formula>
    </cfRule>
    <cfRule type="expression" priority="1780" dxfId="22">
      <formula>AV142="후보"</formula>
    </cfRule>
  </conditionalFormatting>
  <conditionalFormatting sqref="AC142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42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23">
      <formula>AV143="X"</formula>
    </cfRule>
    <cfRule type="expression" priority="1761" dxfId="22">
      <formula>AV143="후보"</formula>
    </cfRule>
  </conditionalFormatting>
  <conditionalFormatting sqref="AC143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43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23">
      <formula>AV144="X"</formula>
    </cfRule>
    <cfRule type="expression" priority="1742" dxfId="22">
      <formula>AV144="후보"</formula>
    </cfRule>
  </conditionalFormatting>
  <conditionalFormatting sqref="AC144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N144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23">
      <formula>AV145="X"</formula>
    </cfRule>
    <cfRule type="expression" priority="1723" dxfId="22">
      <formula>AV145="후보"</formula>
    </cfRule>
  </conditionalFormatting>
  <conditionalFormatting sqref="AC145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N145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23">
      <formula>AV146="X"</formula>
    </cfRule>
    <cfRule type="expression" priority="1704" dxfId="22">
      <formula>AV146="후보"</formula>
    </cfRule>
  </conditionalFormatting>
  <conditionalFormatting sqref="AC14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N1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23">
      <formula>AV147="X"</formula>
    </cfRule>
    <cfRule type="expression" priority="1685" dxfId="22">
      <formula>AV147="후보"</formula>
    </cfRule>
  </conditionalFormatting>
  <conditionalFormatting sqref="AC14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N1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23">
      <formula>AV148="X"</formula>
    </cfRule>
    <cfRule type="expression" priority="1666" dxfId="22">
      <formula>AV148="후보"</formula>
    </cfRule>
  </conditionalFormatting>
  <conditionalFormatting sqref="AC148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148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23">
      <formula>AV149="X"</formula>
    </cfRule>
    <cfRule type="expression" priority="1647" dxfId="22">
      <formula>AV149="후보"</formula>
    </cfRule>
  </conditionalFormatting>
  <conditionalFormatting sqref="AC149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149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23">
      <formula>AV150="X"</formula>
    </cfRule>
    <cfRule type="expression" priority="1628" dxfId="22">
      <formula>AV150="후보"</formula>
    </cfRule>
  </conditionalFormatting>
  <conditionalFormatting sqref="AC150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150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23">
      <formula>AV151="X"</formula>
    </cfRule>
    <cfRule type="expression" priority="1609" dxfId="22">
      <formula>AV151="후보"</formula>
    </cfRule>
  </conditionalFormatting>
  <conditionalFormatting sqref="AC151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151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23">
      <formula>AV152="X"</formula>
    </cfRule>
    <cfRule type="expression" priority="1590" dxfId="22">
      <formula>AV152="후보"</formula>
    </cfRule>
  </conditionalFormatting>
  <conditionalFormatting sqref="AC152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5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23">
      <formula>AV153="X"</formula>
    </cfRule>
    <cfRule type="expression" priority="1571" dxfId="22">
      <formula>AV153="후보"</formula>
    </cfRule>
  </conditionalFormatting>
  <conditionalFormatting sqref="AC15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N15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23">
      <formula>AV154="X"</formula>
    </cfRule>
    <cfRule type="expression" priority="1552" dxfId="22">
      <formula>AV154="후보"</formula>
    </cfRule>
  </conditionalFormatting>
  <conditionalFormatting sqref="AC15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N15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23">
      <formula>AV155="X"</formula>
    </cfRule>
    <cfRule type="expression" priority="1533" dxfId="22">
      <formula>AV155="후보"</formula>
    </cfRule>
  </conditionalFormatting>
  <conditionalFormatting sqref="AC15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5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23">
      <formula>AV156="X"</formula>
    </cfRule>
    <cfRule type="expression" priority="1514" dxfId="22">
      <formula>AV156="후보"</formula>
    </cfRule>
  </conditionalFormatting>
  <conditionalFormatting sqref="AC156 N156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AV157">
    <cfRule type="expression" priority="1508" dxfId="23">
      <formula>AV157="X"</formula>
    </cfRule>
    <cfRule type="expression" priority="1509" dxfId="22">
      <formula>AV157="후보"</formula>
    </cfRule>
  </conditionalFormatting>
  <conditionalFormatting sqref="AC15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5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23">
      <formula>AV158="X"</formula>
    </cfRule>
    <cfRule type="expression" priority="1490" dxfId="22">
      <formula>AV158="후보"</formula>
    </cfRule>
  </conditionalFormatting>
  <conditionalFormatting sqref="AC15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5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23">
      <formula>AV159="X"</formula>
    </cfRule>
    <cfRule type="expression" priority="1471" dxfId="22">
      <formula>AV159="후보"</formula>
    </cfRule>
  </conditionalFormatting>
  <conditionalFormatting sqref="AC15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5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23">
      <formula>AV160="X"</formula>
    </cfRule>
    <cfRule type="expression" priority="1452" dxfId="22">
      <formula>AV160="후보"</formula>
    </cfRule>
  </conditionalFormatting>
  <conditionalFormatting sqref="AC16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16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23">
      <formula>AV161="X"</formula>
    </cfRule>
    <cfRule type="expression" priority="1433" dxfId="22">
      <formula>AV161="후보"</formula>
    </cfRule>
  </conditionalFormatting>
  <conditionalFormatting sqref="AC161 N161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162">
    <cfRule type="expression" priority="1427" dxfId="23">
      <formula>AV162="X"</formula>
    </cfRule>
    <cfRule type="expression" priority="1428" dxfId="22">
      <formula>AV162="후보"</formula>
    </cfRule>
  </conditionalFormatting>
  <conditionalFormatting sqref="AC16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6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23">
      <formula>AV163="X"</formula>
    </cfRule>
    <cfRule type="expression" priority="1409" dxfId="22">
      <formula>AV163="후보"</formula>
    </cfRule>
  </conditionalFormatting>
  <conditionalFormatting sqref="AC16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6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23">
      <formula>AV164="X"</formula>
    </cfRule>
    <cfRule type="expression" priority="1390" dxfId="22">
      <formula>AV164="후보"</formula>
    </cfRule>
  </conditionalFormatting>
  <conditionalFormatting sqref="AC16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6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23">
      <formula>AV165="X"</formula>
    </cfRule>
    <cfRule type="expression" priority="1371" dxfId="22">
      <formula>AV165="후보"</formula>
    </cfRule>
  </conditionalFormatting>
  <conditionalFormatting sqref="AC165 N16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AV166">
    <cfRule type="expression" priority="1365" dxfId="23">
      <formula>AV166="X"</formula>
    </cfRule>
    <cfRule type="expression" priority="1366" dxfId="22">
      <formula>AV166="후보"</formula>
    </cfRule>
  </conditionalFormatting>
  <conditionalFormatting sqref="AC166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6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23">
      <formula>AV167="X"</formula>
    </cfRule>
    <cfRule type="expression" priority="1347" dxfId="22">
      <formula>AV167="후보"</formula>
    </cfRule>
  </conditionalFormatting>
  <conditionalFormatting sqref="AC167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6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23">
      <formula>AV168="X"</formula>
    </cfRule>
    <cfRule type="expression" priority="1328" dxfId="22">
      <formula>AV168="후보"</formula>
    </cfRule>
  </conditionalFormatting>
  <conditionalFormatting sqref="AC168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6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23">
      <formula>AV169="X"</formula>
    </cfRule>
    <cfRule type="expression" priority="1309" dxfId="22">
      <formula>AV169="후보"</formula>
    </cfRule>
  </conditionalFormatting>
  <conditionalFormatting sqref="AC169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6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23">
      <formula>AV170="X"</formula>
    </cfRule>
    <cfRule type="expression" priority="1290" dxfId="22">
      <formula>AV170="후보"</formula>
    </cfRule>
  </conditionalFormatting>
  <conditionalFormatting sqref="AC170 N17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171">
    <cfRule type="expression" priority="1284" dxfId="23">
      <formula>AV171="X"</formula>
    </cfRule>
    <cfRule type="expression" priority="1285" dxfId="22">
      <formula>AV171="후보"</formula>
    </cfRule>
  </conditionalFormatting>
  <conditionalFormatting sqref="AC17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7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23">
      <formula>AV172="X"</formula>
    </cfRule>
    <cfRule type="expression" priority="1266" dxfId="22">
      <formula>AV172="후보"</formula>
    </cfRule>
  </conditionalFormatting>
  <conditionalFormatting sqref="AC17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23">
      <formula>AV173="X"</formula>
    </cfRule>
    <cfRule type="expression" priority="1247" dxfId="22">
      <formula>AV173="후보"</formula>
    </cfRule>
  </conditionalFormatting>
  <conditionalFormatting sqref="AC173 N17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174">
    <cfRule type="expression" priority="1241" dxfId="23">
      <formula>AV174="X"</formula>
    </cfRule>
    <cfRule type="expression" priority="1242" dxfId="22">
      <formula>AV174="후보"</formula>
    </cfRule>
  </conditionalFormatting>
  <conditionalFormatting sqref="AC174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74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23">
      <formula>AV175="X"</formula>
    </cfRule>
    <cfRule type="expression" priority="1223" dxfId="22">
      <formula>AV175="후보"</formula>
    </cfRule>
  </conditionalFormatting>
  <conditionalFormatting sqref="AC17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7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23">
      <formula>AV176="X"</formula>
    </cfRule>
    <cfRule type="expression" priority="1204" dxfId="22">
      <formula>AV176="후보"</formula>
    </cfRule>
  </conditionalFormatting>
  <conditionalFormatting sqref="AC176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7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23">
      <formula>AV177="X"</formula>
    </cfRule>
    <cfRule type="expression" priority="1185" dxfId="22">
      <formula>AV177="후보"</formula>
    </cfRule>
  </conditionalFormatting>
  <conditionalFormatting sqref="AC177 N177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78">
    <cfRule type="expression" priority="1179" dxfId="23">
      <formula>AV178="X"</formula>
    </cfRule>
    <cfRule type="expression" priority="1180" dxfId="22">
      <formula>AV178="후보"</formula>
    </cfRule>
  </conditionalFormatting>
  <conditionalFormatting sqref="AC178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23">
      <formula>AV179="X"</formula>
    </cfRule>
    <cfRule type="expression" priority="1161" dxfId="22">
      <formula>AV179="후보"</formula>
    </cfRule>
  </conditionalFormatting>
  <conditionalFormatting sqref="AC179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7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23">
      <formula>AV180="X"</formula>
    </cfRule>
    <cfRule type="expression" priority="1142" dxfId="22">
      <formula>AV180="후보"</formula>
    </cfRule>
  </conditionalFormatting>
  <conditionalFormatting sqref="AC180 N180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AV181">
    <cfRule type="expression" priority="1136" dxfId="23">
      <formula>AV181="X"</formula>
    </cfRule>
    <cfRule type="expression" priority="1137" dxfId="22">
      <formula>AV181="후보"</formula>
    </cfRule>
  </conditionalFormatting>
  <conditionalFormatting sqref="AC18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23">
      <formula>AV182="X"</formula>
    </cfRule>
    <cfRule type="expression" priority="1118" dxfId="22">
      <formula>AV182="후보"</formula>
    </cfRule>
  </conditionalFormatting>
  <conditionalFormatting sqref="AC18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1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23">
      <formula>AV183="X"</formula>
    </cfRule>
    <cfRule type="expression" priority="1099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8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23">
      <formula>AV185="X"</formula>
    </cfRule>
    <cfRule type="expression" priority="1061" dxfId="22">
      <formula>AV185="후보"</formula>
    </cfRule>
  </conditionalFormatting>
  <conditionalFormatting sqref="AC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8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23">
      <formula>AV186="X"</formula>
    </cfRule>
    <cfRule type="expression" priority="1042" dxfId="22">
      <formula>AV186="후보"</formula>
    </cfRule>
  </conditionalFormatting>
  <conditionalFormatting sqref="AC18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8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23">
      <formula>AV187="X"</formula>
    </cfRule>
    <cfRule type="expression" priority="1023" dxfId="22">
      <formula>AV187="후보"</formula>
    </cfRule>
  </conditionalFormatting>
  <conditionalFormatting sqref="AC187 N18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88">
    <cfRule type="expression" priority="1017" dxfId="23">
      <formula>AV188="X"</formula>
    </cfRule>
    <cfRule type="expression" priority="1018" dxfId="22">
      <formula>AV188="후보"</formula>
    </cfRule>
  </conditionalFormatting>
  <conditionalFormatting sqref="AC18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8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23">
      <formula>AV189="X"</formula>
    </cfRule>
    <cfRule type="expression" priority="999" dxfId="22">
      <formula>AV189="후보"</formula>
    </cfRule>
  </conditionalFormatting>
  <conditionalFormatting sqref="AC18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8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23">
      <formula>AV190="X"</formula>
    </cfRule>
    <cfRule type="expression" priority="980" dxfId="22">
      <formula>AV190="후보"</formula>
    </cfRule>
  </conditionalFormatting>
  <conditionalFormatting sqref="AC19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9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23">
      <formula>AV191="X"</formula>
    </cfRule>
    <cfRule type="expression" priority="961" dxfId="22">
      <formula>AV191="후보"</formula>
    </cfRule>
  </conditionalFormatting>
  <conditionalFormatting sqref="AC19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9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23">
      <formula>AV192="X"</formula>
    </cfRule>
    <cfRule type="expression" priority="942" dxfId="22">
      <formula>AV192="후보"</formula>
    </cfRule>
  </conditionalFormatting>
  <conditionalFormatting sqref="AC192 N19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193">
    <cfRule type="expression" priority="936" dxfId="23">
      <formula>AV193="X"</formula>
    </cfRule>
    <cfRule type="expression" priority="937" dxfId="22">
      <formula>AV193="후보"</formula>
    </cfRule>
  </conditionalFormatting>
  <conditionalFormatting sqref="AC19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23">
      <formula>AV194="X"</formula>
    </cfRule>
    <cfRule type="expression" priority="918" dxfId="22">
      <formula>AV194="후보"</formula>
    </cfRule>
  </conditionalFormatting>
  <conditionalFormatting sqref="AC194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94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23">
      <formula>AV195="X"</formula>
    </cfRule>
    <cfRule type="expression" priority="899" dxfId="22">
      <formula>AV195="후보"</formula>
    </cfRule>
  </conditionalFormatting>
  <conditionalFormatting sqref="AC19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95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23">
      <formula>AV196="X"</formula>
    </cfRule>
    <cfRule type="expression" priority="880" dxfId="22">
      <formula>AV196="후보"</formula>
    </cfRule>
  </conditionalFormatting>
  <conditionalFormatting sqref="AC196 N19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197">
    <cfRule type="expression" priority="874" dxfId="23">
      <formula>AV197="X"</formula>
    </cfRule>
    <cfRule type="expression" priority="875" dxfId="22">
      <formula>AV197="후보"</formula>
    </cfRule>
  </conditionalFormatting>
  <conditionalFormatting sqref="AC197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9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23">
      <formula>AV198="X"</formula>
    </cfRule>
    <cfRule type="expression" priority="856" dxfId="22">
      <formula>AV198="후보"</formula>
    </cfRule>
  </conditionalFormatting>
  <conditionalFormatting sqref="AC198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98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23">
      <formula>AV199="X"</formula>
    </cfRule>
    <cfRule type="expression" priority="837" dxfId="22">
      <formula>AV199="후보"</formula>
    </cfRule>
  </conditionalFormatting>
  <conditionalFormatting sqref="AC19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99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23">
      <formula>AV200="X"</formula>
    </cfRule>
    <cfRule type="expression" priority="818" dxfId="22">
      <formula>AV200="후보"</formula>
    </cfRule>
  </conditionalFormatting>
  <conditionalFormatting sqref="AC20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00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23">
      <formula>AV201="X"</formula>
    </cfRule>
    <cfRule type="expression" priority="799" dxfId="22">
      <formula>AV201="후보"</formula>
    </cfRule>
  </conditionalFormatting>
  <conditionalFormatting sqref="AC20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0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23">
      <formula>AV202="X"</formula>
    </cfRule>
    <cfRule type="expression" priority="780" dxfId="22">
      <formula>AV202="후보"</formula>
    </cfRule>
  </conditionalFormatting>
  <conditionalFormatting sqref="AC20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0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23">
      <formula>AV203="X"</formula>
    </cfRule>
    <cfRule type="expression" priority="761" dxfId="22">
      <formula>AV203="후보"</formula>
    </cfRule>
  </conditionalFormatting>
  <conditionalFormatting sqref="AC20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0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23">
      <formula>AV204="X"</formula>
    </cfRule>
    <cfRule type="expression" priority="742" dxfId="22">
      <formula>AV204="후보"</formula>
    </cfRule>
  </conditionalFormatting>
  <conditionalFormatting sqref="AC20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4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23">
      <formula>AV205="X"</formula>
    </cfRule>
    <cfRule type="expression" priority="723" dxfId="22">
      <formula>AV205="후보"</formula>
    </cfRule>
  </conditionalFormatting>
  <conditionalFormatting sqref="AC20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0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23">
      <formula>AV206="X"</formula>
    </cfRule>
    <cfRule type="expression" priority="704" dxfId="22">
      <formula>AV206="후보"</formula>
    </cfRule>
  </conditionalFormatting>
  <conditionalFormatting sqref="AC20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0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23">
      <formula>AV207="X"</formula>
    </cfRule>
    <cfRule type="expression" priority="685" dxfId="22">
      <formula>AV207="후보"</formula>
    </cfRule>
  </conditionalFormatting>
  <conditionalFormatting sqref="AC20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23">
      <formula>AV208="X"</formula>
    </cfRule>
    <cfRule type="expression" priority="666" dxfId="22">
      <formula>AV208="후보"</formula>
    </cfRule>
  </conditionalFormatting>
  <conditionalFormatting sqref="AC20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0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23">
      <formula>AV209="X"</formula>
    </cfRule>
    <cfRule type="expression" priority="647" dxfId="22">
      <formula>AV209="후보"</formula>
    </cfRule>
  </conditionalFormatting>
  <conditionalFormatting sqref="AC20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0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23">
      <formula>AV210="X"</formula>
    </cfRule>
    <cfRule type="expression" priority="628" dxfId="22">
      <formula>AV210="후보"</formula>
    </cfRule>
  </conditionalFormatting>
  <conditionalFormatting sqref="AC2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23">
      <formula>AV211="X"</formula>
    </cfRule>
    <cfRule type="expression" priority="609" dxfId="22">
      <formula>AV211="후보"</formula>
    </cfRule>
  </conditionalFormatting>
  <conditionalFormatting sqref="AC2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23">
      <formula>AV212="X"</formula>
    </cfRule>
    <cfRule type="expression" priority="590" dxfId="22">
      <formula>AV212="후보"</formula>
    </cfRule>
  </conditionalFormatting>
  <conditionalFormatting sqref="AC2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1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23">
      <formula>AV213="X"</formula>
    </cfRule>
    <cfRule type="expression" priority="571" dxfId="22">
      <formula>AV213="후보"</formula>
    </cfRule>
  </conditionalFormatting>
  <conditionalFormatting sqref="AC213 N21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214">
    <cfRule type="expression" priority="565" dxfId="23">
      <formula>AV214="X"</formula>
    </cfRule>
    <cfRule type="expression" priority="566" dxfId="22">
      <formula>AV214="후보"</formula>
    </cfRule>
  </conditionalFormatting>
  <conditionalFormatting sqref="AC2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23">
      <formula>AV215="X"</formula>
    </cfRule>
    <cfRule type="expression" priority="547" dxfId="22">
      <formula>AV215="후보"</formula>
    </cfRule>
  </conditionalFormatting>
  <conditionalFormatting sqref="AC2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23">
      <formula>AV216="X"</formula>
    </cfRule>
    <cfRule type="expression" priority="528" dxfId="22">
      <formula>AV216="후보"</formula>
    </cfRule>
  </conditionalFormatting>
  <conditionalFormatting sqref="AC2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23">
      <formula>AV217="X"</formula>
    </cfRule>
    <cfRule type="expression" priority="509" dxfId="22">
      <formula>AV217="후보"</formula>
    </cfRule>
  </conditionalFormatting>
  <conditionalFormatting sqref="AC21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23">
      <formula>AV218="X"</formula>
    </cfRule>
    <cfRule type="expression" priority="490" dxfId="22">
      <formula>AV218="후보"</formula>
    </cfRule>
  </conditionalFormatting>
  <conditionalFormatting sqref="AC218 N21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219">
    <cfRule type="expression" priority="484" dxfId="23">
      <formula>AV219="X"</formula>
    </cfRule>
    <cfRule type="expression" priority="485" dxfId="22">
      <formula>AV219="후보"</formula>
    </cfRule>
  </conditionalFormatting>
  <conditionalFormatting sqref="AC2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23">
      <formula>AV220="X"</formula>
    </cfRule>
    <cfRule type="expression" priority="466" dxfId="22">
      <formula>AV220="후보"</formula>
    </cfRule>
  </conditionalFormatting>
  <conditionalFormatting sqref="AC2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23">
      <formula>AV221="X"</formula>
    </cfRule>
    <cfRule type="expression" priority="447" dxfId="22">
      <formula>AV221="후보"</formula>
    </cfRule>
  </conditionalFormatting>
  <conditionalFormatting sqref="AC2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23">
      <formula>AV222="X"</formula>
    </cfRule>
    <cfRule type="expression" priority="428" dxfId="22">
      <formula>AV222="후보"</formula>
    </cfRule>
  </conditionalFormatting>
  <conditionalFormatting sqref="AC2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2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23">
      <formula>AV223="X"</formula>
    </cfRule>
    <cfRule type="expression" priority="409" dxfId="22">
      <formula>AV223="후보"</formula>
    </cfRule>
  </conditionalFormatting>
  <conditionalFormatting sqref="AC22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23">
      <formula>AV224="X"</formula>
    </cfRule>
    <cfRule type="expression" priority="390" dxfId="22">
      <formula>AV224="후보"</formula>
    </cfRule>
  </conditionalFormatting>
  <conditionalFormatting sqref="AC22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2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23">
      <formula>AV225="X"</formula>
    </cfRule>
    <cfRule type="expression" priority="371" dxfId="22">
      <formula>AV225="후보"</formula>
    </cfRule>
  </conditionalFormatting>
  <conditionalFormatting sqref="AC22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23">
      <formula>AV226="X"</formula>
    </cfRule>
    <cfRule type="expression" priority="352" dxfId="22">
      <formula>AV226="후보"</formula>
    </cfRule>
  </conditionalFormatting>
  <conditionalFormatting sqref="AC22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23">
      <formula>AV227="X"</formula>
    </cfRule>
    <cfRule type="expression" priority="333" dxfId="22">
      <formula>AV227="후보"</formula>
    </cfRule>
  </conditionalFormatting>
  <conditionalFormatting sqref="AC22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23">
      <formula>AV228="X"</formula>
    </cfRule>
    <cfRule type="expression" priority="314" dxfId="22">
      <formula>AV228="후보"</formula>
    </cfRule>
  </conditionalFormatting>
  <conditionalFormatting sqref="AC22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23">
      <formula>AV229="X"</formula>
    </cfRule>
    <cfRule type="expression" priority="295" dxfId="22">
      <formula>AV229="후보"</formula>
    </cfRule>
  </conditionalFormatting>
  <conditionalFormatting sqref="AC22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23">
      <formula>AV230="X"</formula>
    </cfRule>
    <cfRule type="expression" priority="276" dxfId="22">
      <formula>AV230="후보"</formula>
    </cfRule>
  </conditionalFormatting>
  <conditionalFormatting sqref="AC230 N23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31">
    <cfRule type="expression" priority="270" dxfId="23">
      <formula>AV231="X"</formula>
    </cfRule>
    <cfRule type="expression" priority="271" dxfId="22">
      <formula>AV231="후보"</formula>
    </cfRule>
  </conditionalFormatting>
  <conditionalFormatting sqref="AC2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23">
      <formula>AV232="X"</formula>
    </cfRule>
    <cfRule type="expression" priority="252" dxfId="22">
      <formula>AV232="후보"</formula>
    </cfRule>
  </conditionalFormatting>
  <conditionalFormatting sqref="AC2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23">
      <formula>AV233="X"</formula>
    </cfRule>
    <cfRule type="expression" priority="233" dxfId="22">
      <formula>AV233="후보"</formula>
    </cfRule>
  </conditionalFormatting>
  <conditionalFormatting sqref="AC2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23">
      <formula>AV234="X"</formula>
    </cfRule>
    <cfRule type="expression" priority="214" dxfId="22">
      <formula>AV234="후보"</formula>
    </cfRule>
  </conditionalFormatting>
  <conditionalFormatting sqref="AC2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23">
      <formula>AV235="X"</formula>
    </cfRule>
    <cfRule type="expression" priority="195" dxfId="22">
      <formula>AV235="후보"</formula>
    </cfRule>
  </conditionalFormatting>
  <conditionalFormatting sqref="AC2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23">
      <formula>AV236="X"</formula>
    </cfRule>
    <cfRule type="expression" priority="176" dxfId="22">
      <formula>AV236="후보"</formula>
    </cfRule>
  </conditionalFormatting>
  <conditionalFormatting sqref="AC236 N2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37">
    <cfRule type="expression" priority="170" dxfId="23">
      <formula>AV237="X"</formula>
    </cfRule>
    <cfRule type="expression" priority="171" dxfId="22">
      <formula>AV237="후보"</formula>
    </cfRule>
  </conditionalFormatting>
  <conditionalFormatting sqref="AC23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3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23">
      <formula>AV238="X"</formula>
    </cfRule>
    <cfRule type="expression" priority="152" dxfId="22">
      <formula>AV238="후보"</formula>
    </cfRule>
  </conditionalFormatting>
  <conditionalFormatting sqref="AC23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3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23">
      <formula>AV239="X"</formula>
    </cfRule>
    <cfRule type="expression" priority="133" dxfId="22">
      <formula>AV239="후보"</formula>
    </cfRule>
  </conditionalFormatting>
  <conditionalFormatting sqref="AC23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23">
      <formula>AV240="X"</formula>
    </cfRule>
    <cfRule type="expression" priority="114" dxfId="22">
      <formula>AV240="후보"</formula>
    </cfRule>
  </conditionalFormatting>
  <conditionalFormatting sqref="AC2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23">
      <formula>AV241="X"</formula>
    </cfRule>
    <cfRule type="expression" priority="95" dxfId="22">
      <formula>AV241="후보"</formula>
    </cfRule>
  </conditionalFormatting>
  <conditionalFormatting sqref="AC2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23">
      <formula>AV242="X"</formula>
    </cfRule>
    <cfRule type="expression" priority="76" dxfId="22">
      <formula>AV242="후보"</formula>
    </cfRule>
  </conditionalFormatting>
  <conditionalFormatting sqref="AC2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23">
      <formula>AV243="X"</formula>
    </cfRule>
    <cfRule type="expression" priority="57" dxfId="22">
      <formula>AV243="후보"</formula>
    </cfRule>
  </conditionalFormatting>
  <conditionalFormatting sqref="AC2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23">
      <formula>AV244="X"</formula>
    </cfRule>
    <cfRule type="expression" priority="38" dxfId="22">
      <formula>AV244="후보"</formula>
    </cfRule>
  </conditionalFormatting>
  <conditionalFormatting sqref="AC2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23">
      <formula>AV245="X"</formula>
    </cfRule>
    <cfRule type="expression" priority="19" dxfId="22">
      <formula>AV245="후보"</formula>
    </cfRule>
  </conditionalFormatting>
  <conditionalFormatting sqref="AC2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49000</v>
      </c>
      <c r="J6" s="127" t="inlineStr">
        <is>
          <t>7</t>
        </is>
      </c>
      <c r="K6" s="127" t="n">
        <v>25000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66000</v>
      </c>
      <c r="J7" s="127" t="inlineStr">
        <is>
          <t>8</t>
        </is>
      </c>
      <c r="K7" s="127" t="n">
        <v>31000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82000</v>
      </c>
      <c r="J8" s="127" t="inlineStr">
        <is>
          <t>5</t>
        </is>
      </c>
      <c r="K8" s="127" t="n">
        <v>42000</v>
      </c>
      <c r="L8" s="127" t="inlineStr">
        <is>
          <t>13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85000</v>
      </c>
      <c r="J10" s="127" t="inlineStr">
        <is>
          <t>5</t>
        </is>
      </c>
      <c r="K10" s="127" t="n">
        <v>50000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125000</v>
      </c>
      <c r="J11" s="127" t="inlineStr">
        <is>
          <t>10</t>
        </is>
      </c>
      <c r="K11" s="127" t="n">
        <v>70000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87000</v>
      </c>
      <c r="J13" s="127" t="inlineStr">
        <is>
          <t>5</t>
        </is>
      </c>
      <c r="K13" s="127" t="n">
        <v>56000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118000</v>
      </c>
      <c r="J15" s="127" t="inlineStr">
        <is>
          <t>22</t>
        </is>
      </c>
      <c r="K15" s="127" t="n">
        <v>80000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71000</v>
      </c>
      <c r="J17" s="127" t="inlineStr">
        <is>
          <t>13</t>
        </is>
      </c>
      <c r="K17" s="127" t="n">
        <v>40000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92000</v>
      </c>
      <c r="J19" s="127" t="inlineStr">
        <is>
          <t>중</t>
        </is>
      </c>
      <c r="K19" s="127" t="n">
        <v>42400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120000</v>
      </c>
      <c r="J21" s="127" t="inlineStr">
        <is>
          <t>9</t>
        </is>
      </c>
      <c r="K21" s="127" t="n">
        <v>70000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>
        <v>149000</v>
      </c>
      <c r="J23" s="127" t="inlineStr">
        <is>
          <t>18</t>
        </is>
      </c>
      <c r="K23" s="127" t="n">
        <v>100000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84000</v>
      </c>
      <c r="J25" s="127" t="inlineStr">
        <is>
          <t>6</t>
        </is>
      </c>
      <c r="K25" s="127" t="n">
        <v>52000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120000</v>
      </c>
      <c r="J26" s="127" t="inlineStr">
        <is>
          <t>5</t>
        </is>
      </c>
      <c r="K26" s="127" t="n">
        <v>66000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82000</v>
      </c>
      <c r="J28" s="127" t="inlineStr">
        <is>
          <t>5</t>
        </is>
      </c>
      <c r="K28" s="127" t="n">
        <v>45000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82000</v>
      </c>
      <c r="J29" s="127" t="inlineStr">
        <is>
          <t>5</t>
        </is>
      </c>
      <c r="K29" s="127" t="n">
        <v>45000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95000</v>
      </c>
      <c r="J30" s="127" t="inlineStr">
        <is>
          <t>중</t>
        </is>
      </c>
      <c r="K30" s="127" t="n">
        <v>60000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96000</v>
      </c>
      <c r="J31" s="127" t="inlineStr">
        <is>
          <t>17</t>
        </is>
      </c>
      <c r="K31" s="127" t="n">
        <v>65000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81000</v>
      </c>
      <c r="J33" s="127" t="inlineStr">
        <is>
          <t>고</t>
        </is>
      </c>
      <c r="K33" s="127" t="n">
        <v>38000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95000</v>
      </c>
      <c r="J34" s="127" t="inlineStr">
        <is>
          <t>고</t>
        </is>
      </c>
      <c r="K34" s="127" t="n">
        <v>56000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135000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150000</v>
      </c>
      <c r="J37" s="127" t="inlineStr">
        <is>
          <t>6</t>
        </is>
      </c>
      <c r="K37" s="127" t="n">
        <v>95000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160000</v>
      </c>
      <c r="J38" s="127" t="inlineStr">
        <is>
          <t>15</t>
        </is>
      </c>
      <c r="K38" s="127" t="n">
        <v>100000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129000</v>
      </c>
      <c r="J40" s="127" t="inlineStr">
        <is>
          <t>13</t>
        </is>
      </c>
      <c r="K40" s="127" t="n">
        <v>75000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170000</v>
      </c>
      <c r="J41" s="127" t="inlineStr">
        <is>
          <t>6</t>
        </is>
      </c>
      <c r="K41" s="127" t="n">
        <v>100000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190000</v>
      </c>
      <c r="J42" s="127" t="inlineStr">
        <is>
          <t>11</t>
        </is>
      </c>
      <c r="K42" s="127" t="n">
        <v>120000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>
        <v>110000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>
        <v>110000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158000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76500</v>
      </c>
      <c r="J51" s="127" t="inlineStr">
        <is>
          <t>중</t>
        </is>
      </c>
      <c r="K51" s="127" t="n">
        <v>50000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92000</v>
      </c>
      <c r="J52" s="127" t="inlineStr">
        <is>
          <t>7</t>
        </is>
      </c>
      <c r="K52" s="127" t="n">
        <v>55000</v>
      </c>
      <c r="L52" s="127" t="inlineStr">
        <is>
          <t>6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120000</v>
      </c>
      <c r="J54" s="127" t="inlineStr">
        <is>
          <t>고</t>
        </is>
      </c>
      <c r="K54" s="127" t="n">
        <v>70000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>
        <v>148000</v>
      </c>
      <c r="J55" s="127" t="inlineStr">
        <is>
          <t>5</t>
        </is>
      </c>
      <c r="K55" s="127" t="n">
        <v>95000</v>
      </c>
      <c r="L55" s="127" t="inlineStr">
        <is>
          <t>22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130000</v>
      </c>
      <c r="J57" s="127" t="inlineStr">
        <is>
          <t>중</t>
        </is>
      </c>
      <c r="K57" s="127" t="n">
        <v>75000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고</t>
        </is>
      </c>
      <c r="K59" s="127" t="n">
        <v>120000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6</v>
      </c>
      <c r="R59" s="114" t="n">
        <v>2</v>
      </c>
      <c r="S59" s="114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75000</v>
      </c>
      <c r="J66" s="127" t="inlineStr">
        <is>
          <t>12</t>
        </is>
      </c>
      <c r="K66" s="127" t="n">
        <v>45000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95000</v>
      </c>
      <c r="J67" s="127" t="inlineStr">
        <is>
          <t>7</t>
        </is>
      </c>
      <c r="K67" s="127" t="n">
        <v>60000</v>
      </c>
      <c r="L67" s="127" t="inlineStr">
        <is>
          <t>14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74000</v>
      </c>
      <c r="J69" s="127" t="inlineStr">
        <is>
          <t>13</t>
        </is>
      </c>
      <c r="K69" s="127" t="n">
        <v>39000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105000</v>
      </c>
      <c r="J70" s="127" t="inlineStr">
        <is>
          <t>7</t>
        </is>
      </c>
      <c r="K70" s="127" t="n">
        <v>60000</v>
      </c>
      <c r="L70" s="127" t="inlineStr">
        <is>
          <t>15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75000</v>
      </c>
      <c r="J73" s="127" t="inlineStr">
        <is>
          <t>고</t>
        </is>
      </c>
      <c r="K73" s="127" t="n">
        <v>45000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80000</v>
      </c>
      <c r="J74" s="127" t="inlineStr">
        <is>
          <t>5</t>
        </is>
      </c>
      <c r="K74" s="127" t="n">
        <v>50000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120000</v>
      </c>
      <c r="J75" s="127" t="inlineStr">
        <is>
          <t>13</t>
        </is>
      </c>
      <c r="K75" s="127" t="n">
        <v>53000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85000</v>
      </c>
      <c r="J80" s="127" t="inlineStr">
        <is>
          <t>6</t>
        </is>
      </c>
      <c r="K80" s="127" t="n">
        <v>50000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140000</v>
      </c>
      <c r="J82" s="127" t="inlineStr">
        <is>
          <t>13</t>
        </is>
      </c>
      <c r="K82" s="127" t="n">
        <v>70000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76000</v>
      </c>
      <c r="J87" s="127" t="inlineStr">
        <is>
          <t>고</t>
        </is>
      </c>
      <c r="K87" s="127" t="n">
        <v>45000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85000</v>
      </c>
      <c r="J89" s="127" t="inlineStr">
        <is>
          <t>7</t>
        </is>
      </c>
      <c r="K89" s="127" t="n">
        <v>49000</v>
      </c>
      <c r="L89" s="127" t="inlineStr">
        <is>
          <t>25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23">
      <formula>AV4="X"</formula>
    </cfRule>
    <cfRule type="expression" priority="1290" dxfId="22">
      <formula>AV4="후보"</formula>
    </cfRule>
  </conditionalFormatting>
  <conditionalFormatting sqref="AC1:AC2 AC4:AC6 N4:N5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:N2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N6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23">
      <formula>AV7="X"</formula>
    </cfRule>
    <cfRule type="expression" priority="1269" dxfId="22">
      <formula>AV7="후보"</formula>
    </cfRule>
  </conditionalFormatting>
  <conditionalFormatting sqref="AC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7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23">
      <formula>AV8="X"</formula>
    </cfRule>
    <cfRule type="expression" priority="1250" dxfId="22">
      <formula>AV8="후보"</formula>
    </cfRule>
  </conditionalFormatting>
  <conditionalFormatting sqref="AC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8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23">
      <formula>AV9="X"</formula>
    </cfRule>
    <cfRule type="expression" priority="1231" dxfId="22">
      <formula>AV9="후보"</formula>
    </cfRule>
  </conditionalFormatting>
  <conditionalFormatting sqref="AC9 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AV10">
    <cfRule type="expression" priority="1225" dxfId="23">
      <formula>AV10="X"</formula>
    </cfRule>
    <cfRule type="expression" priority="1226" dxfId="22">
      <formula>AV10="후보"</formula>
    </cfRule>
  </conditionalFormatting>
  <conditionalFormatting sqref="AC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23">
      <formula>AV11="X"</formula>
    </cfRule>
    <cfRule type="expression" priority="1207" dxfId="22">
      <formula>AV11="후보"</formula>
    </cfRule>
  </conditionalFormatting>
  <conditionalFormatting sqref="AC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23">
      <formula>AV12="X"</formula>
    </cfRule>
    <cfRule type="expression" priority="1188" dxfId="22">
      <formula>AV12="후보"</formula>
    </cfRule>
  </conditionalFormatting>
  <conditionalFormatting sqref="AC12 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AV13">
    <cfRule type="expression" priority="1182" dxfId="23">
      <formula>AV13="X"</formula>
    </cfRule>
    <cfRule type="expression" priority="1183" dxfId="22">
      <formula>AV13="후보"</formula>
    </cfRule>
  </conditionalFormatting>
  <conditionalFormatting sqref="AC1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23">
      <formula>AV14="X"</formula>
    </cfRule>
    <cfRule type="expression" priority="1164" dxfId="22">
      <formula>AV14="후보"</formula>
    </cfRule>
  </conditionalFormatting>
  <conditionalFormatting sqref="AC1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1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23">
      <formula>AV15="X"</formula>
    </cfRule>
    <cfRule type="expression" priority="1145" dxfId="22">
      <formula>AV15="후보"</formula>
    </cfRule>
  </conditionalFormatting>
  <conditionalFormatting sqref="AC1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1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23">
      <formula>AV16="X"</formula>
    </cfRule>
    <cfRule type="expression" priority="1126" dxfId="22">
      <formula>AV16="후보"</formula>
    </cfRule>
  </conditionalFormatting>
  <conditionalFormatting sqref="AC16 N1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AV17">
    <cfRule type="expression" priority="1120" dxfId="23">
      <formula>AV17="X"</formula>
    </cfRule>
    <cfRule type="expression" priority="1121" dxfId="22">
      <formula>AV17="후보"</formula>
    </cfRule>
  </conditionalFormatting>
  <conditionalFormatting sqref="AC17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7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23">
      <formula>AV18="X"</formula>
    </cfRule>
    <cfRule type="expression" priority="1102" dxfId="22">
      <formula>AV18="후보"</formula>
    </cfRule>
  </conditionalFormatting>
  <conditionalFormatting sqref="AC18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18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23">
      <formula>AV19="X"</formula>
    </cfRule>
    <cfRule type="expression" priority="1083" dxfId="22">
      <formula>AV19="후보"</formula>
    </cfRule>
  </conditionalFormatting>
  <conditionalFormatting sqref="AC19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N1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23">
      <formula>AV20="X"</formula>
    </cfRule>
    <cfRule type="expression" priority="1064" dxfId="22">
      <formula>AV20="후보"</formula>
    </cfRule>
  </conditionalFormatting>
  <conditionalFormatting sqref="AC20 N20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AV21">
    <cfRule type="expression" priority="1058" dxfId="23">
      <formula>AV21="X"</formula>
    </cfRule>
    <cfRule type="expression" priority="1059" dxfId="22">
      <formula>AV21="후보"</formula>
    </cfRule>
  </conditionalFormatting>
  <conditionalFormatting sqref="AC21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21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23">
      <formula>AV22="X"</formula>
    </cfRule>
    <cfRule type="expression" priority="1040" dxfId="22">
      <formula>AV22="후보"</formula>
    </cfRule>
  </conditionalFormatting>
  <conditionalFormatting sqref="AC22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2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23">
      <formula>AV23="X"</formula>
    </cfRule>
    <cfRule type="expression" priority="1021" dxfId="22">
      <formula>AV23="후보"</formula>
    </cfRule>
  </conditionalFormatting>
  <conditionalFormatting sqref="AC23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2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23">
      <formula>AV24="X"</formula>
    </cfRule>
    <cfRule type="expression" priority="1002" dxfId="22">
      <formula>AV24="후보"</formula>
    </cfRule>
  </conditionalFormatting>
  <conditionalFormatting sqref="AC24 N24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25">
    <cfRule type="expression" priority="996" dxfId="23">
      <formula>AV25="X"</formula>
    </cfRule>
    <cfRule type="expression" priority="997" dxfId="22">
      <formula>AV25="후보"</formula>
    </cfRule>
  </conditionalFormatting>
  <conditionalFormatting sqref="AC25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25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23">
      <formula>AV26="X"</formula>
    </cfRule>
    <cfRule type="expression" priority="978" dxfId="22">
      <formula>AV26="후보"</formula>
    </cfRule>
  </conditionalFormatting>
  <conditionalFormatting sqref="AC2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N26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23">
      <formula>AV27="X"</formula>
    </cfRule>
    <cfRule type="expression" priority="959" dxfId="22">
      <formula>AV27="후보"</formula>
    </cfRule>
  </conditionalFormatting>
  <conditionalFormatting sqref="AC27 N2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AV28">
    <cfRule type="expression" priority="953" dxfId="23">
      <formula>AV28="X"</formula>
    </cfRule>
    <cfRule type="expression" priority="954" dxfId="22">
      <formula>AV28="후보"</formula>
    </cfRule>
  </conditionalFormatting>
  <conditionalFormatting sqref="AC2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2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23">
      <formula>AV29="X"</formula>
    </cfRule>
    <cfRule type="expression" priority="935" dxfId="22">
      <formula>AV29="후보"</formula>
    </cfRule>
  </conditionalFormatting>
  <conditionalFormatting sqref="AC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23">
      <formula>AV30="X"</formula>
    </cfRule>
    <cfRule type="expression" priority="916" dxfId="22">
      <formula>AV30="후보"</formula>
    </cfRule>
  </conditionalFormatting>
  <conditionalFormatting sqref="AC30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3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23">
      <formula>AV31="X"</formula>
    </cfRule>
    <cfRule type="expression" priority="897" dxfId="22">
      <formula>AV31="후보"</formula>
    </cfRule>
  </conditionalFormatting>
  <conditionalFormatting sqref="AC31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3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23">
      <formula>AV32="X"</formula>
    </cfRule>
    <cfRule type="expression" priority="878" dxfId="22">
      <formula>AV32="후보"</formula>
    </cfRule>
  </conditionalFormatting>
  <conditionalFormatting sqref="AC32 N3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AV33">
    <cfRule type="expression" priority="872" dxfId="23">
      <formula>AV33="X"</formula>
    </cfRule>
    <cfRule type="expression" priority="873" dxfId="22">
      <formula>AV33="후보"</formula>
    </cfRule>
  </conditionalFormatting>
  <conditionalFormatting sqref="AC3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33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23">
      <formula>AV34="X"</formula>
    </cfRule>
    <cfRule type="expression" priority="854" dxfId="22">
      <formula>AV34="후보"</formula>
    </cfRule>
  </conditionalFormatting>
  <conditionalFormatting sqref="AC3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34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23">
      <formula>AV35="X"</formula>
    </cfRule>
    <cfRule type="expression" priority="835" dxfId="22">
      <formula>AV35="후보"</formula>
    </cfRule>
  </conditionalFormatting>
  <conditionalFormatting sqref="AC35 N3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AV36">
    <cfRule type="expression" priority="829" dxfId="23">
      <formula>AV36="X"</formula>
    </cfRule>
    <cfRule type="expression" priority="830" dxfId="22">
      <formula>AV36="후보"</formula>
    </cfRule>
  </conditionalFormatting>
  <conditionalFormatting sqref="AC36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23">
      <formula>AV37="X"</formula>
    </cfRule>
    <cfRule type="expression" priority="811" dxfId="22">
      <formula>AV37="후보"</formula>
    </cfRule>
  </conditionalFormatting>
  <conditionalFormatting sqref="AC3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23">
      <formula>AV38="X"</formula>
    </cfRule>
    <cfRule type="expression" priority="792" dxfId="22">
      <formula>AV38="후보"</formula>
    </cfRule>
  </conditionalFormatting>
  <conditionalFormatting sqref="AC38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3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23">
      <formula>AV39="X"</formula>
    </cfRule>
    <cfRule type="expression" priority="773" dxfId="22">
      <formula>AV39="후보"</formula>
    </cfRule>
  </conditionalFormatting>
  <conditionalFormatting sqref="AC39 N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V40">
    <cfRule type="expression" priority="767" dxfId="23">
      <formula>AV40="X"</formula>
    </cfRule>
    <cfRule type="expression" priority="768" dxfId="22">
      <formula>AV40="후보"</formula>
    </cfRule>
  </conditionalFormatting>
  <conditionalFormatting sqref="AC40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4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23">
      <formula>AV41="X"</formula>
    </cfRule>
    <cfRule type="expression" priority="749" dxfId="22">
      <formula>AV41="후보"</formula>
    </cfRule>
  </conditionalFormatting>
  <conditionalFormatting sqref="AC41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N4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23">
      <formula>AV42="X"</formula>
    </cfRule>
    <cfRule type="expression" priority="730" dxfId="22">
      <formula>AV42="후보"</formula>
    </cfRule>
  </conditionalFormatting>
  <conditionalFormatting sqref="AC42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4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23">
      <formula>AV43="X"</formula>
    </cfRule>
    <cfRule type="expression" priority="711" dxfId="22">
      <formula>AV43="후보"</formula>
    </cfRule>
  </conditionalFormatting>
  <conditionalFormatting sqref="AC43 N43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44">
    <cfRule type="expression" priority="705" dxfId="23">
      <formula>AV44="X"</formula>
    </cfRule>
    <cfRule type="expression" priority="706" dxfId="22">
      <formula>AV44="후보"</formula>
    </cfRule>
  </conditionalFormatting>
  <conditionalFormatting sqref="AC4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4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23">
      <formula>AV45="X"</formula>
    </cfRule>
    <cfRule type="expression" priority="687" dxfId="22">
      <formula>AV45="후보"</formula>
    </cfRule>
  </conditionalFormatting>
  <conditionalFormatting sqref="AC45 N45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46">
    <cfRule type="expression" priority="681" dxfId="23">
      <formula>AV46="X"</formula>
    </cfRule>
    <cfRule type="expression" priority="682" dxfId="22">
      <formula>AV46="후보"</formula>
    </cfRule>
  </conditionalFormatting>
  <conditionalFormatting sqref="AC4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23">
      <formula>AV47="X"</formula>
    </cfRule>
    <cfRule type="expression" priority="663" dxfId="22">
      <formula>AV47="후보"</formula>
    </cfRule>
  </conditionalFormatting>
  <conditionalFormatting sqref="AC4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23">
      <formula>AV48="X"</formula>
    </cfRule>
    <cfRule type="expression" priority="644" dxfId="22">
      <formula>AV48="후보"</formula>
    </cfRule>
  </conditionalFormatting>
  <conditionalFormatting sqref="AC4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23">
      <formula>AV49="X"</formula>
    </cfRule>
    <cfRule type="expression" priority="625" dxfId="22">
      <formula>AV49="후보"</formula>
    </cfRule>
  </conditionalFormatting>
  <conditionalFormatting sqref="AC49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4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23">
      <formula>AV50="X"</formula>
    </cfRule>
    <cfRule type="expression" priority="606" dxfId="22">
      <formula>AV50="후보"</formula>
    </cfRule>
  </conditionalFormatting>
  <conditionalFormatting sqref="AC50 N50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AV51">
    <cfRule type="expression" priority="600" dxfId="23">
      <formula>AV51="X"</formula>
    </cfRule>
    <cfRule type="expression" priority="601" dxfId="22">
      <formula>AV51="후보"</formula>
    </cfRule>
  </conditionalFormatting>
  <conditionalFormatting sqref="AC5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23">
      <formula>AV52="X"</formula>
    </cfRule>
    <cfRule type="expression" priority="582" dxfId="22">
      <formula>AV52="후보"</formula>
    </cfRule>
  </conditionalFormatting>
  <conditionalFormatting sqref="AC5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5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23">
      <formula>AV53="X"</formula>
    </cfRule>
    <cfRule type="expression" priority="563" dxfId="22">
      <formula>AV53="후보"</formula>
    </cfRule>
  </conditionalFormatting>
  <conditionalFormatting sqref="AC53 N5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54">
    <cfRule type="expression" priority="557" dxfId="23">
      <formula>AV54="X"</formula>
    </cfRule>
    <cfRule type="expression" priority="558" dxfId="22">
      <formula>AV54="후보"</formula>
    </cfRule>
  </conditionalFormatting>
  <conditionalFormatting sqref="AC5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23">
      <formula>AV55="X"</formula>
    </cfRule>
    <cfRule type="expression" priority="539" dxfId="22">
      <formula>AV55="후보"</formula>
    </cfRule>
  </conditionalFormatting>
  <conditionalFormatting sqref="AC5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23">
      <formula>AV56="X"</formula>
    </cfRule>
    <cfRule type="expression" priority="520" dxfId="22">
      <formula>AV56="후보"</formula>
    </cfRule>
  </conditionalFormatting>
  <conditionalFormatting sqref="AC56 N5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7">
    <cfRule type="expression" priority="514" dxfId="23">
      <formula>AV57="X"</formula>
    </cfRule>
    <cfRule type="expression" priority="515" dxfId="22">
      <formula>AV57="후보"</formula>
    </cfRule>
  </conditionalFormatting>
  <conditionalFormatting sqref="AC5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23">
      <formula>AV58="X"</formula>
    </cfRule>
    <cfRule type="expression" priority="496" dxfId="22">
      <formula>AV58="후보"</formula>
    </cfRule>
  </conditionalFormatting>
  <conditionalFormatting sqref="AC5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23">
      <formula>AV59="X"</formula>
    </cfRule>
    <cfRule type="expression" priority="477" dxfId="22">
      <formula>AV59="후보"</formula>
    </cfRule>
  </conditionalFormatting>
  <conditionalFormatting sqref="AC5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59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23">
      <formula>AV60="X"</formula>
    </cfRule>
    <cfRule type="expression" priority="458" dxfId="22">
      <formula>AV60="후보"</formula>
    </cfRule>
  </conditionalFormatting>
  <conditionalFormatting sqref="AC60 N6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1">
    <cfRule type="expression" priority="452" dxfId="23">
      <formula>AV61="X"</formula>
    </cfRule>
    <cfRule type="expression" priority="453" dxfId="22">
      <formula>AV61="후보"</formula>
    </cfRule>
  </conditionalFormatting>
  <conditionalFormatting sqref="AC6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23">
      <formula>AV62="X"</formula>
    </cfRule>
    <cfRule type="expression" priority="434" dxfId="22">
      <formula>AV62="후보"</formula>
    </cfRule>
  </conditionalFormatting>
  <conditionalFormatting sqref="AC6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23">
      <formula>AV63="X"</formula>
    </cfRule>
    <cfRule type="expression" priority="415" dxfId="22">
      <formula>AV63="후보"</formula>
    </cfRule>
  </conditionalFormatting>
  <conditionalFormatting sqref="AC6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23">
      <formula>AV64="X"</formula>
    </cfRule>
    <cfRule type="expression" priority="396" dxfId="22">
      <formula>AV64="후보"</formula>
    </cfRule>
  </conditionalFormatting>
  <conditionalFormatting sqref="AC6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6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23">
      <formula>AV65="X"</formula>
    </cfRule>
    <cfRule type="expression" priority="377" dxfId="22">
      <formula>AV65="후보"</formula>
    </cfRule>
  </conditionalFormatting>
  <conditionalFormatting sqref="AC65 N6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66">
    <cfRule type="expression" priority="371" dxfId="23">
      <formula>AV66="X"</formula>
    </cfRule>
    <cfRule type="expression" priority="372" dxfId="22">
      <formula>AV66="후보"</formula>
    </cfRule>
  </conditionalFormatting>
  <conditionalFormatting sqref="AC6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23">
      <formula>AV67="X"</formula>
    </cfRule>
    <cfRule type="expression" priority="353" dxfId="22">
      <formula>AV67="후보"</formula>
    </cfRule>
  </conditionalFormatting>
  <conditionalFormatting sqref="AC6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23">
      <formula>AV68="X"</formula>
    </cfRule>
    <cfRule type="expression" priority="334" dxfId="22">
      <formula>AV68="후보"</formula>
    </cfRule>
  </conditionalFormatting>
  <conditionalFormatting sqref="AC68 N6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69">
    <cfRule type="expression" priority="328" dxfId="23">
      <formula>AV69="X"</formula>
    </cfRule>
    <cfRule type="expression" priority="329" dxfId="22">
      <formula>AV69="후보"</formula>
    </cfRule>
  </conditionalFormatting>
  <conditionalFormatting sqref="AC6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23">
      <formula>AV70="X"</formula>
    </cfRule>
    <cfRule type="expression" priority="310" dxfId="22">
      <formula>AV70="후보"</formula>
    </cfRule>
  </conditionalFormatting>
  <conditionalFormatting sqref="AC7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23">
      <formula>AV71="X"</formula>
    </cfRule>
    <cfRule type="expression" priority="291" dxfId="22">
      <formula>AV71="후보"</formula>
    </cfRule>
  </conditionalFormatting>
  <conditionalFormatting sqref="AC71 N7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2">
    <cfRule type="expression" priority="285" dxfId="23">
      <formula>AV72="X"</formula>
    </cfRule>
    <cfRule type="expression" priority="286" dxfId="22">
      <formula>AV72="후보"</formula>
    </cfRule>
  </conditionalFormatting>
  <conditionalFormatting sqref="AC7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23">
      <formula>AV73="X"</formula>
    </cfRule>
    <cfRule type="expression" priority="267" dxfId="22">
      <formula>AV73="후보"</formula>
    </cfRule>
  </conditionalFormatting>
  <conditionalFormatting sqref="AC7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23">
      <formula>AV74="X"</formula>
    </cfRule>
    <cfRule type="expression" priority="248" dxfId="22">
      <formula>AV74="후보"</formula>
    </cfRule>
  </conditionalFormatting>
  <conditionalFormatting sqref="AC7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23">
      <formula>AV75="X"</formula>
    </cfRule>
    <cfRule type="expression" priority="229" dxfId="22">
      <formula>AV75="후보"</formula>
    </cfRule>
  </conditionalFormatting>
  <conditionalFormatting sqref="AC7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23">
      <formula>AV76="X"</formula>
    </cfRule>
    <cfRule type="expression" priority="210" dxfId="22">
      <formula>AV76="후보"</formula>
    </cfRule>
  </conditionalFormatting>
  <conditionalFormatting sqref="AC76 N7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7">
    <cfRule type="expression" priority="204" dxfId="23">
      <formula>AV77="X"</formula>
    </cfRule>
    <cfRule type="expression" priority="205" dxfId="22">
      <formula>AV77="후보"</formula>
    </cfRule>
  </conditionalFormatting>
  <conditionalFormatting sqref="AC7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23">
      <formula>AV78="X"</formula>
    </cfRule>
    <cfRule type="expression" priority="186" dxfId="22">
      <formula>AV78="후보"</formula>
    </cfRule>
  </conditionalFormatting>
  <conditionalFormatting sqref="AC7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23">
      <formula>AV79="X"</formula>
    </cfRule>
    <cfRule type="expression" priority="167" dxfId="22">
      <formula>AV79="후보"</formula>
    </cfRule>
  </conditionalFormatting>
  <conditionalFormatting sqref="AC79 N7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23">
      <formula>AV83="X"</formula>
    </cfRule>
    <cfRule type="expression" priority="105" dxfId="22">
      <formula>AV83="후보"</formula>
    </cfRule>
  </conditionalFormatting>
  <conditionalFormatting sqref="AC83 N8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 N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7">
    <cfRule type="expression" priority="56" dxfId="23">
      <formula>AV87="X"</formula>
    </cfRule>
    <cfRule type="expression" priority="57" dxfId="22">
      <formula>AV87="후보"</formula>
    </cfRule>
  </conditionalFormatting>
  <conditionalFormatting sqref="AC8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54000</v>
      </c>
      <c r="J6" s="127" t="inlineStr">
        <is>
          <t>14</t>
        </is>
      </c>
      <c r="K6" s="127" t="n">
        <v>26000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75000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>
        <v>78000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>
        <v>48500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82000</v>
      </c>
      <c r="J10" s="127" t="inlineStr">
        <is>
          <t>중</t>
        </is>
      </c>
      <c r="K10" s="127" t="n">
        <v>51000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>
        <v>95000</v>
      </c>
      <c r="J11" s="127" t="inlineStr">
        <is>
          <t>10</t>
        </is>
      </c>
      <c r="K11" s="127" t="n">
        <v>48000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120000</v>
      </c>
      <c r="J12" s="127" t="inlineStr">
        <is>
          <t>고</t>
        </is>
      </c>
      <c r="K12" s="127" t="n">
        <v>63000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120000</v>
      </c>
      <c r="J13" s="127" t="inlineStr">
        <is>
          <t>17</t>
        </is>
      </c>
      <c r="K13" s="127" t="n">
        <v>63000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>
        <v>135000</v>
      </c>
      <c r="J14" s="127" t="inlineStr">
        <is>
          <t>14</t>
        </is>
      </c>
      <c r="K14" s="127" t="n">
        <v>64000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115000</v>
      </c>
      <c r="J20" s="127" t="inlineStr">
        <is>
          <t>10</t>
        </is>
      </c>
      <c r="K20" s="127" t="n">
        <v>65000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130000</v>
      </c>
      <c r="J21" s="127" t="inlineStr">
        <is>
          <t>5</t>
        </is>
      </c>
      <c r="K21" s="127" t="n">
        <v>75000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91000</v>
      </c>
      <c r="J23" s="127" t="inlineStr">
        <is>
          <t>8</t>
        </is>
      </c>
      <c r="K23" s="127" t="n">
        <v>55000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85000</v>
      </c>
      <c r="J24" s="127" t="inlineStr">
        <is>
          <t>고</t>
        </is>
      </c>
      <c r="K24" s="127" t="n">
        <v>50000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110000</v>
      </c>
      <c r="J25" s="127" t="inlineStr">
        <is>
          <t>12</t>
        </is>
      </c>
      <c r="K25" s="127" t="n">
        <v>61000</v>
      </c>
      <c r="L25" s="127" t="inlineStr">
        <is>
          <t>21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120000</v>
      </c>
      <c r="J26" s="127" t="inlineStr">
        <is>
          <t>5</t>
        </is>
      </c>
      <c r="K26" s="127" t="n">
        <v>65000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125000</v>
      </c>
      <c r="J27" s="127" t="inlineStr">
        <is>
          <t>고</t>
        </is>
      </c>
      <c r="K27" s="127" t="n">
        <v>70000</v>
      </c>
      <c r="L27" s="127" t="inlineStr">
        <is>
          <t>24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200000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50000</v>
      </c>
      <c r="J36" s="127" t="inlineStr">
        <is>
          <t>13</t>
        </is>
      </c>
      <c r="K36" s="127" t="n">
        <v>30000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58000</v>
      </c>
      <c r="J37" s="127" t="inlineStr">
        <is>
          <t>22</t>
        </is>
      </c>
      <c r="K37" s="127" t="n">
        <v>29000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60000</v>
      </c>
      <c r="J38" s="127" t="inlineStr">
        <is>
          <t>15</t>
        </is>
      </c>
      <c r="K38" s="127" t="n">
        <v>29000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80000</v>
      </c>
      <c r="J39" s="127" t="inlineStr">
        <is>
          <t>5</t>
        </is>
      </c>
      <c r="K39" s="127" t="n">
        <v>45000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45000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>
        <v>90000</v>
      </c>
      <c r="J41" s="127" t="inlineStr">
        <is>
          <t>23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95000</v>
      </c>
      <c r="J42" s="127" t="inlineStr">
        <is>
          <t>고</t>
        </is>
      </c>
      <c r="K42" s="127" t="n">
        <v>45000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/>
      <c r="J44" s="127" t="n"/>
      <c r="K44" s="127" t="n">
        <v>51000</v>
      </c>
      <c r="L44" s="127" t="inlineStr">
        <is>
          <t>11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>
        <v>100000</v>
      </c>
      <c r="J46" s="127" t="inlineStr">
        <is>
          <t>중</t>
        </is>
      </c>
      <c r="K46" s="127" t="n">
        <v>52000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80000</v>
      </c>
      <c r="J48" s="127" t="inlineStr">
        <is>
          <t>고</t>
        </is>
      </c>
      <c r="K48" s="127" t="n">
        <v>46000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>
        <v>110000</v>
      </c>
      <c r="J49" s="127" t="inlineStr">
        <is>
          <t>중</t>
        </is>
      </c>
      <c r="K49" s="127" t="n">
        <v>46000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120000</v>
      </c>
      <c r="J50" s="127" t="inlineStr">
        <is>
          <t>중</t>
        </is>
      </c>
      <c r="K50" s="127" t="n">
        <v>52000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53000</v>
      </c>
      <c r="L51" s="127" t="inlineStr">
        <is>
          <t>17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120000</v>
      </c>
      <c r="J52" s="127" t="inlineStr">
        <is>
          <t>중</t>
        </is>
      </c>
      <c r="K52" s="127" t="n">
        <v>52000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/>
      <c r="J53" s="127" t="n"/>
      <c r="K53" s="127" t="n">
        <v>53000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>
        <v>120000</v>
      </c>
      <c r="J55" s="127" t="inlineStr">
        <is>
          <t>16</t>
        </is>
      </c>
      <c r="K55" s="127" t="n">
        <v>53000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50000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67000</v>
      </c>
      <c r="J69" s="127" t="inlineStr">
        <is>
          <t>12</t>
        </is>
      </c>
      <c r="K69" s="127" t="n">
        <v>35000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88000</v>
      </c>
      <c r="J70" s="127" t="inlineStr">
        <is>
          <t>12</t>
        </is>
      </c>
      <c r="K70" s="127" t="n">
        <v>54000</v>
      </c>
      <c r="L70" s="127" t="inlineStr">
        <is>
          <t>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60000</v>
      </c>
      <c r="J72" s="127" t="inlineStr">
        <is>
          <t>7</t>
        </is>
      </c>
      <c r="K72" s="127" t="n">
        <v>39000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82000</v>
      </c>
      <c r="J73" s="127" t="inlineStr">
        <is>
          <t>중</t>
        </is>
      </c>
      <c r="K73" s="127" t="n">
        <v>50000</v>
      </c>
      <c r="L73" s="127" t="inlineStr">
        <is>
          <t>9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71000</v>
      </c>
      <c r="J74" s="127" t="inlineStr">
        <is>
          <t>중</t>
        </is>
      </c>
      <c r="K74" s="127" t="n">
        <v>48000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81000</v>
      </c>
      <c r="J75" s="127" t="inlineStr">
        <is>
          <t>12</t>
        </is>
      </c>
      <c r="K75" s="127" t="n">
        <v>50000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100000</v>
      </c>
      <c r="J76" s="127" t="inlineStr">
        <is>
          <t>중</t>
        </is>
      </c>
      <c r="K76" s="127" t="n">
        <v>60000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115000</v>
      </c>
      <c r="J77" s="127" t="inlineStr">
        <is>
          <t>16</t>
        </is>
      </c>
      <c r="K77" s="127" t="n">
        <v>65000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70000</v>
      </c>
      <c r="J79" s="127" t="inlineStr">
        <is>
          <t>7</t>
        </is>
      </c>
      <c r="K79" s="127" t="n">
        <v>39000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61000</v>
      </c>
      <c r="J80" s="127" t="inlineStr">
        <is>
          <t>중</t>
        </is>
      </c>
      <c r="K80" s="127" t="n">
        <v>38000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68000</v>
      </c>
      <c r="J81" s="127" t="inlineStr">
        <is>
          <t>12</t>
        </is>
      </c>
      <c r="K81" s="127" t="n">
        <v>45000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80000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99000</v>
      </c>
      <c r="J84" s="127" t="inlineStr">
        <is>
          <t>중</t>
        </is>
      </c>
      <c r="K84" s="127" t="n">
        <v>70000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58000</v>
      </c>
      <c r="J87" s="127" t="inlineStr">
        <is>
          <t>7</t>
        </is>
      </c>
      <c r="K87" s="127" t="n">
        <v>39000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67000</v>
      </c>
      <c r="J88" s="127" t="inlineStr">
        <is>
          <t>중</t>
        </is>
      </c>
      <c r="K88" s="127" t="n">
        <v>45000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150000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158000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168000</v>
      </c>
      <c r="J92" s="127" t="inlineStr">
        <is>
          <t>14</t>
        </is>
      </c>
      <c r="K92" s="127" t="n">
        <v>90000</v>
      </c>
      <c r="L92" s="127" t="inlineStr">
        <is>
          <t>23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5</v>
      </c>
      <c r="R93" s="114" t="n">
        <v>2</v>
      </c>
      <c r="S93" s="114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11</t>
        </is>
      </c>
      <c r="K94" s="127" t="n">
        <v>90000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158000</v>
      </c>
      <c r="J97" s="127" t="inlineStr">
        <is>
          <t>5</t>
        </is>
      </c>
      <c r="K97" s="127" t="n">
        <v>80000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185000</v>
      </c>
      <c r="J99" s="127" t="inlineStr">
        <is>
          <t>15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5</v>
      </c>
      <c r="R99" s="114" t="n">
        <v>2</v>
      </c>
      <c r="S99" s="114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>
        <v>70000</v>
      </c>
      <c r="J101" s="127" t="inlineStr">
        <is>
          <t>8</t>
        </is>
      </c>
      <c r="K101" s="127" t="n">
        <v>44000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83000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82000</v>
      </c>
      <c r="J103" s="127" t="inlineStr">
        <is>
          <t>21</t>
        </is>
      </c>
      <c r="K103" s="127" t="n">
        <v>50000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70000</v>
      </c>
      <c r="J105" s="127" t="inlineStr">
        <is>
          <t>10</t>
        </is>
      </c>
      <c r="K105" s="127" t="n">
        <v>45000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>
        <v>70000</v>
      </c>
      <c r="J106" s="127" t="inlineStr">
        <is>
          <t>중</t>
        </is>
      </c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70000</v>
      </c>
      <c r="J108" s="127" t="inlineStr">
        <is>
          <t>5</t>
        </is>
      </c>
      <c r="K108" s="127" t="n">
        <v>40000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>
        <v>110000</v>
      </c>
      <c r="J109" s="127" t="inlineStr">
        <is>
          <t>7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89500</v>
      </c>
      <c r="J110" s="127" t="inlineStr">
        <is>
          <t>16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98000</v>
      </c>
      <c r="J113" s="127" t="inlineStr">
        <is>
          <t>중</t>
        </is>
      </c>
      <c r="K113" s="127" t="n">
        <v>55000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57000</v>
      </c>
      <c r="J116" s="127" t="inlineStr">
        <is>
          <t>10</t>
        </is>
      </c>
      <c r="K116" s="127" t="n">
        <v>28000</v>
      </c>
      <c r="L116" s="127" t="inlineStr">
        <is>
          <t>7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>
        <v>89000</v>
      </c>
      <c r="J117" s="127" t="inlineStr">
        <is>
          <t>15</t>
        </is>
      </c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83000</v>
      </c>
      <c r="J118" s="127" t="inlineStr">
        <is>
          <t>11</t>
        </is>
      </c>
      <c r="K118" s="127" t="n">
        <v>35000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49000</v>
      </c>
      <c r="J120" s="127" t="inlineStr">
        <is>
          <t>10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59800</v>
      </c>
      <c r="J121" s="127" t="inlineStr">
        <is>
          <t>고</t>
        </is>
      </c>
      <c r="K121" s="127" t="n">
        <v>38000</v>
      </c>
      <c r="L121" s="127" t="inlineStr">
        <is>
          <t>13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63000</v>
      </c>
      <c r="J124" s="127" t="inlineStr">
        <is>
          <t>중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63000</v>
      </c>
      <c r="J125" s="127" t="inlineStr">
        <is>
          <t>중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63000</v>
      </c>
      <c r="J126" s="127" t="inlineStr">
        <is>
          <t>중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68000</v>
      </c>
      <c r="J127" s="127" t="inlineStr">
        <is>
          <t>고</t>
        </is>
      </c>
      <c r="K127" s="127" t="n">
        <v>50000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>
        <v>100000</v>
      </c>
      <c r="J128" s="127" t="inlineStr">
        <is>
          <t>10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80000</v>
      </c>
      <c r="J145" s="127" t="inlineStr">
        <is>
          <t>12</t>
        </is>
      </c>
      <c r="K145" s="127" t="n">
        <v>38000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72000</v>
      </c>
      <c r="J146" s="127" t="inlineStr">
        <is>
          <t>고</t>
        </is>
      </c>
      <c r="K146" s="127" t="n">
        <v>35000</v>
      </c>
      <c r="L146" s="127" t="inlineStr">
        <is>
          <t>5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102000</v>
      </c>
      <c r="J147" s="127" t="inlineStr">
        <is>
          <t>13</t>
        </is>
      </c>
      <c r="K147" s="127" t="n">
        <v>45000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n"/>
      <c r="B148" s="114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7" t="n"/>
      <c r="U148" s="9" t="n"/>
      <c r="W148" s="67">
        <f>$A$4&amp;" "&amp;A149&amp;"("&amp;B149&amp;","&amp;C149&amp;"^)"</f>
        <v/>
      </c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9" t="n"/>
      <c r="AH148" s="20">
        <f>IF(A148="","",A148)</f>
        <v/>
      </c>
      <c r="AI148" s="144">
        <f>IF(E148="","",E148)</f>
        <v/>
      </c>
      <c r="AJ148" s="114" t="n"/>
      <c r="AK148" s="114" t="n"/>
      <c r="AL148" s="114" t="n"/>
      <c r="AM148" s="114" t="n"/>
      <c r="AN148" s="114" t="n"/>
      <c r="AO148" s="114" t="n"/>
      <c r="AP148" s="114" t="n"/>
      <c r="AQ148" s="114" t="n"/>
      <c r="AR148" s="114" t="n"/>
      <c r="AS148" s="114" t="n"/>
      <c r="AT148" s="114" t="n"/>
      <c r="AU148" s="114" t="n"/>
      <c r="AV148" s="114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n"/>
      <c r="B155" s="114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4">
        <f>IF(E155="","",E155)</f>
        <v/>
      </c>
      <c r="AJ155" s="114" t="n"/>
      <c r="AK155" s="114" t="n"/>
      <c r="AL155" s="114" t="n"/>
      <c r="AM155" s="114" t="n"/>
      <c r="AN155" s="114" t="n"/>
      <c r="AO155" s="114" t="n"/>
      <c r="AP155" s="114" t="n"/>
      <c r="AQ155" s="114" t="n"/>
      <c r="AR155" s="114" t="n"/>
      <c r="AS155" s="114" t="n"/>
      <c r="AT155" s="114" t="n"/>
      <c r="AU155" s="114" t="n"/>
      <c r="AV155" s="114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>
        <v>68000</v>
      </c>
      <c r="J156" s="127" t="inlineStr">
        <is>
          <t>11</t>
        </is>
      </c>
      <c r="K156" s="127" t="n">
        <v>27000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68000</v>
      </c>
      <c r="J157" s="127" t="inlineStr">
        <is>
          <t>13</t>
        </is>
      </c>
      <c r="K157" s="127" t="n">
        <v>30000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75000</v>
      </c>
      <c r="J158" s="127" t="inlineStr">
        <is>
          <t>15</t>
        </is>
      </c>
      <c r="K158" s="127" t="n">
        <v>35000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75000</v>
      </c>
      <c r="J159" s="127" t="inlineStr">
        <is>
          <t>15</t>
        </is>
      </c>
      <c r="K159" s="127" t="n">
        <v>35000</v>
      </c>
      <c r="L159" s="127" t="inlineStr">
        <is>
          <t>중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n"/>
      <c r="B160" s="114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7" t="n"/>
      <c r="U160" s="9" t="n"/>
      <c r="W160" s="67">
        <f>$A$4&amp;" "&amp;A161&amp;"("&amp;B161&amp;","&amp;C161&amp;"^)"</f>
        <v/>
      </c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9" t="n"/>
      <c r="AH160" s="20">
        <f>IF(A160="","",A160)</f>
        <v/>
      </c>
      <c r="AI160" s="144">
        <f>IF(E160="","",E160)</f>
        <v/>
      </c>
      <c r="AJ160" s="114" t="n"/>
      <c r="AK160" s="114" t="n"/>
      <c r="AL160" s="114" t="n"/>
      <c r="AM160" s="114" t="n"/>
      <c r="AN160" s="114" t="n"/>
      <c r="AO160" s="114" t="n"/>
      <c r="AP160" s="114" t="n"/>
      <c r="AQ160" s="114" t="n"/>
      <c r="AR160" s="114" t="n"/>
      <c r="AS160" s="114" t="n"/>
      <c r="AT160" s="114" t="n"/>
      <c r="AU160" s="114" t="n"/>
      <c r="AV160" s="114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66000</v>
      </c>
      <c r="J161" s="127" t="inlineStr">
        <is>
          <t>고</t>
        </is>
      </c>
      <c r="K161" s="127" t="n">
        <v>32000</v>
      </c>
      <c r="L161" s="127" t="inlineStr">
        <is>
          <t>7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70000</v>
      </c>
      <c r="J162" s="127" t="inlineStr">
        <is>
          <t>고</t>
        </is>
      </c>
      <c r="K162" s="127" t="n">
        <v>43000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69000</v>
      </c>
      <c r="J163" s="127" t="inlineStr">
        <is>
          <t>8</t>
        </is>
      </c>
      <c r="K163" s="127" t="n">
        <v>47000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50000</v>
      </c>
      <c r="J165" s="127" t="inlineStr">
        <is>
          <t>10</t>
        </is>
      </c>
      <c r="K165" s="127" t="n">
        <v>20000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90000</v>
      </c>
      <c r="J166" s="127" t="inlineStr">
        <is>
          <t>10</t>
        </is>
      </c>
      <c r="K166" s="127" t="n">
        <v>32500</v>
      </c>
      <c r="L166" s="127" t="inlineStr">
        <is>
          <t>8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n"/>
      <c r="B167" s="114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7" t="n"/>
      <c r="U167" s="9" t="n"/>
      <c r="W167" s="67">
        <f>$A$4&amp;" "&amp;A168&amp;"("&amp;B168&amp;","&amp;C168&amp;"^)"</f>
        <v/>
      </c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9" t="n"/>
      <c r="AH167" s="20">
        <f>IF(A167="","",A167)</f>
        <v/>
      </c>
      <c r="AI167" s="144">
        <f>IF(E167="","",E167)</f>
        <v/>
      </c>
      <c r="AJ167" s="114" t="n"/>
      <c r="AK167" s="114" t="n"/>
      <c r="AL167" s="114" t="n"/>
      <c r="AM167" s="114" t="n"/>
      <c r="AN167" s="114" t="n"/>
      <c r="AO167" s="114" t="n"/>
      <c r="AP167" s="114" t="n"/>
      <c r="AQ167" s="114" t="n"/>
      <c r="AR167" s="114" t="n"/>
      <c r="AS167" s="114" t="n"/>
      <c r="AT167" s="114" t="n"/>
      <c r="AU167" s="114" t="n"/>
      <c r="AV167" s="114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62000</v>
      </c>
      <c r="J168" s="127" t="inlineStr">
        <is>
          <t>16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75000</v>
      </c>
      <c r="J170" s="127" t="inlineStr">
        <is>
          <t>12</t>
        </is>
      </c>
      <c r="K170" s="127" t="n">
        <v>42000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>
        <v>75000</v>
      </c>
      <c r="J171" s="127" t="inlineStr">
        <is>
          <t>20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>
        <v>68000</v>
      </c>
      <c r="J172" s="127" t="inlineStr">
        <is>
          <t>7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n"/>
      <c r="B174" s="114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4">
        <f>IF(E174="","",E174)</f>
        <v/>
      </c>
      <c r="AJ174" s="114" t="n"/>
      <c r="AK174" s="114" t="n"/>
      <c r="AL174" s="114" t="n"/>
      <c r="AM174" s="114" t="n"/>
      <c r="AN174" s="114" t="n"/>
      <c r="AO174" s="114" t="n"/>
      <c r="AP174" s="114" t="n"/>
      <c r="AQ174" s="114" t="n"/>
      <c r="AR174" s="114" t="n"/>
      <c r="AS174" s="114" t="n"/>
      <c r="AT174" s="114" t="n"/>
      <c r="AU174" s="114" t="n"/>
      <c r="AV174" s="114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133000</v>
      </c>
      <c r="J175" s="127" t="inlineStr">
        <is>
          <t>12</t>
        </is>
      </c>
      <c r="K175" s="127" t="n">
        <v>70000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157000</v>
      </c>
      <c r="J176" s="127" t="inlineStr">
        <is>
          <t>중</t>
        </is>
      </c>
      <c r="K176" s="127" t="n">
        <v>88000</v>
      </c>
      <c r="L176" s="127" t="inlineStr">
        <is>
          <t>10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160000</v>
      </c>
      <c r="J177" s="127" t="inlineStr">
        <is>
          <t>10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2</v>
      </c>
      <c r="S177" s="114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n"/>
      <c r="B178" s="114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7" t="n"/>
      <c r="U178" s="9" t="n"/>
      <c r="W178" s="67">
        <f>$A$4&amp;" "&amp;A179&amp;"("&amp;B179&amp;","&amp;C179&amp;"^)"</f>
        <v/>
      </c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9" t="n"/>
      <c r="AH178" s="20">
        <f>IF(A178="","",A178)</f>
        <v/>
      </c>
      <c r="AI178" s="144">
        <f>IF(E178="","",E178)</f>
        <v/>
      </c>
      <c r="AJ178" s="114" t="n"/>
      <c r="AK178" s="114" t="n"/>
      <c r="AL178" s="114" t="n"/>
      <c r="AM178" s="114" t="n"/>
      <c r="AN178" s="114" t="n"/>
      <c r="AO178" s="114" t="n"/>
      <c r="AP178" s="114" t="n"/>
      <c r="AQ178" s="114" t="n"/>
      <c r="AR178" s="114" t="n"/>
      <c r="AS178" s="114" t="n"/>
      <c r="AT178" s="114" t="n"/>
      <c r="AU178" s="114" t="n"/>
      <c r="AV178" s="114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145000</v>
      </c>
      <c r="J179" s="127" t="inlineStr">
        <is>
          <t>5</t>
        </is>
      </c>
      <c r="K179" s="127" t="n">
        <v>70000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153000</v>
      </c>
      <c r="J180" s="127" t="inlineStr">
        <is>
          <t>고</t>
        </is>
      </c>
      <c r="K180" s="127" t="n">
        <v>80000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>
        <v>186000</v>
      </c>
      <c r="J181" s="127" t="inlineStr">
        <is>
          <t>7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72000</v>
      </c>
      <c r="J183" s="127" t="inlineStr">
        <is>
          <t>12</t>
        </is>
      </c>
      <c r="K183" s="127" t="n">
        <v>42000</v>
      </c>
      <c r="L183" s="127" t="inlineStr">
        <is>
          <t>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97000</v>
      </c>
      <c r="J184" s="127" t="inlineStr">
        <is>
          <t>9</t>
        </is>
      </c>
      <c r="K184" s="127" t="n">
        <v>60000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/>
      <c r="J185" s="127" t="n"/>
      <c r="K185" s="127" t="n">
        <v>62000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n"/>
      <c r="B186" s="114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4">
        <f>IF(E186="","",E186)</f>
        <v/>
      </c>
      <c r="AJ186" s="114" t="n"/>
      <c r="AK186" s="114" t="n"/>
      <c r="AL186" s="114" t="n"/>
      <c r="AM186" s="114" t="n"/>
      <c r="AN186" s="114" t="n"/>
      <c r="AO186" s="114" t="n"/>
      <c r="AP186" s="114" t="n"/>
      <c r="AQ186" s="114" t="n"/>
      <c r="AR186" s="114" t="n"/>
      <c r="AS186" s="114" t="n"/>
      <c r="AT186" s="114" t="n"/>
      <c r="AU186" s="114" t="n"/>
      <c r="AV186" s="114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75000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85000</v>
      </c>
      <c r="J189" s="127" t="inlineStr">
        <is>
          <t>9</t>
        </is>
      </c>
      <c r="K189" s="127" t="n">
        <v>52000</v>
      </c>
      <c r="L189" s="127" t="inlineStr">
        <is>
          <t>15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120000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n"/>
      <c r="B191" s="114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4">
        <f>IF(E191="","",E191)</f>
        <v/>
      </c>
      <c r="AJ191" s="114" t="n"/>
      <c r="AK191" s="114" t="n"/>
      <c r="AL191" s="114" t="n"/>
      <c r="AM191" s="114" t="n"/>
      <c r="AN191" s="114" t="n"/>
      <c r="AO191" s="114" t="n"/>
      <c r="AP191" s="114" t="n"/>
      <c r="AQ191" s="114" t="n"/>
      <c r="AR191" s="114" t="n"/>
      <c r="AS191" s="114" t="n"/>
      <c r="AT191" s="114" t="n"/>
      <c r="AU191" s="114" t="n"/>
      <c r="AV191" s="114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71000</v>
      </c>
      <c r="J192" s="127" t="inlineStr">
        <is>
          <t>중</t>
        </is>
      </c>
      <c r="K192" s="127" t="n">
        <v>38500</v>
      </c>
      <c r="L192" s="127" t="inlineStr">
        <is>
          <t>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73000</v>
      </c>
      <c r="J193" s="127" t="inlineStr">
        <is>
          <t>6</t>
        </is>
      </c>
      <c r="K193" s="127" t="n">
        <v>39900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86000</v>
      </c>
      <c r="J195" s="127" t="inlineStr">
        <is>
          <t>13</t>
        </is>
      </c>
      <c r="K195" s="127" t="n">
        <v>52000</v>
      </c>
      <c r="L195" s="127" t="inlineStr">
        <is>
          <t>22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88000</v>
      </c>
      <c r="J196" s="127" t="inlineStr">
        <is>
          <t>17</t>
        </is>
      </c>
      <c r="K196" s="127" t="n">
        <v>60000</v>
      </c>
      <c r="L196" s="127" t="inlineStr">
        <is>
          <t>13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91000</v>
      </c>
      <c r="J198" s="127" t="inlineStr">
        <is>
          <t>5</t>
        </is>
      </c>
      <c r="K198" s="127" t="n">
        <v>57000</v>
      </c>
      <c r="L198" s="127" t="inlineStr">
        <is>
          <t>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115000</v>
      </c>
      <c r="J199" s="127" t="inlineStr">
        <is>
          <t>13</t>
        </is>
      </c>
      <c r="K199" s="127" t="n">
        <v>65000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150000</v>
      </c>
      <c r="J200" s="127" t="inlineStr">
        <is>
          <t>고</t>
        </is>
      </c>
      <c r="K200" s="127" t="n">
        <v>75000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5</v>
      </c>
      <c r="R200" s="114" t="n">
        <v>2</v>
      </c>
      <c r="S200" s="114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100000</v>
      </c>
      <c r="J203" s="127" t="inlineStr">
        <is>
          <t>6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98000</v>
      </c>
      <c r="J204" s="127" t="inlineStr">
        <is>
          <t>고</t>
        </is>
      </c>
      <c r="K204" s="127" t="n">
        <v>55000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>
        <v>110000</v>
      </c>
      <c r="J206" s="127" t="inlineStr">
        <is>
          <t>13</t>
        </is>
      </c>
      <c r="K206" s="127" t="n">
        <v>65000</v>
      </c>
      <c r="L206" s="127" t="inlineStr">
        <is>
          <t>12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100000</v>
      </c>
      <c r="J207" s="127" t="inlineStr">
        <is>
          <t>중</t>
        </is>
      </c>
      <c r="K207" s="127" t="n">
        <v>65000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110000</v>
      </c>
      <c r="J209" s="127" t="inlineStr">
        <is>
          <t>고</t>
        </is>
      </c>
      <c r="K209" s="127" t="n">
        <v>70000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120000</v>
      </c>
      <c r="J210" s="127" t="inlineStr">
        <is>
          <t>8</t>
        </is>
      </c>
      <c r="K210" s="127" t="n">
        <v>70000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140000</v>
      </c>
      <c r="J212" s="127" t="inlineStr">
        <is>
          <t>고</t>
        </is>
      </c>
      <c r="K212" s="127" t="n">
        <v>70000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5</v>
      </c>
      <c r="R212" s="114" t="n">
        <v>2</v>
      </c>
      <c r="S212" s="114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152000</v>
      </c>
      <c r="J213" s="127" t="inlineStr">
        <is>
          <t>고</t>
        </is>
      </c>
      <c r="K213" s="127" t="n">
        <v>80000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5</v>
      </c>
      <c r="R213" s="114" t="n">
        <v>2</v>
      </c>
      <c r="S213" s="114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n"/>
      <c r="B214" s="114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7" t="n"/>
      <c r="U214" s="9" t="n"/>
      <c r="W214" s="67">
        <f>$A$4&amp;" "&amp;A215&amp;"("&amp;B215&amp;","&amp;C215&amp;"^)"</f>
        <v/>
      </c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9" t="n"/>
      <c r="AH214" s="20">
        <f>IF(A214="","",A214)</f>
        <v/>
      </c>
      <c r="AI214" s="144">
        <f>IF(E214="","",E214)</f>
        <v/>
      </c>
      <c r="AJ214" s="114" t="n"/>
      <c r="AK214" s="114" t="n"/>
      <c r="AL214" s="114" t="n"/>
      <c r="AM214" s="114" t="n"/>
      <c r="AN214" s="114" t="n"/>
      <c r="AO214" s="114" t="n"/>
      <c r="AP214" s="114" t="n"/>
      <c r="AQ214" s="114" t="n"/>
      <c r="AR214" s="114" t="n"/>
      <c r="AS214" s="114" t="n"/>
      <c r="AT214" s="114" t="n"/>
      <c r="AU214" s="114" t="n"/>
      <c r="AV214" s="114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>
        <v>110000</v>
      </c>
      <c r="J215" s="127" t="inlineStr">
        <is>
          <t>고</t>
        </is>
      </c>
      <c r="K215" s="127" t="n">
        <v>70000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118000</v>
      </c>
      <c r="J216" s="127" t="inlineStr">
        <is>
          <t>14</t>
        </is>
      </c>
      <c r="K216" s="127" t="n">
        <v>70000</v>
      </c>
      <c r="L216" s="127" t="inlineStr">
        <is>
          <t>고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>
        <v>150000</v>
      </c>
      <c r="J219" s="127" t="inlineStr">
        <is>
          <t>중</t>
        </is>
      </c>
      <c r="K219" s="127" t="n">
        <v>80000</v>
      </c>
      <c r="L219" s="127" t="inlineStr">
        <is>
          <t>중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168000</v>
      </c>
      <c r="J220" s="127" t="inlineStr">
        <is>
          <t>9</t>
        </is>
      </c>
      <c r="K220" s="127" t="n">
        <v>100000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185000</v>
      </c>
      <c r="J221" s="127" t="inlineStr">
        <is>
          <t>중</t>
        </is>
      </c>
      <c r="K221" s="127" t="n">
        <v>80000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n"/>
      <c r="B222" s="114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4">
        <f>IF(E222="","",E222)</f>
        <v/>
      </c>
      <c r="AJ222" s="114" t="n"/>
      <c r="AK222" s="114" t="n"/>
      <c r="AL222" s="114" t="n"/>
      <c r="AM222" s="114" t="n"/>
      <c r="AN222" s="114" t="n"/>
      <c r="AO222" s="114" t="n"/>
      <c r="AP222" s="114" t="n"/>
      <c r="AQ222" s="114" t="n"/>
      <c r="AR222" s="114" t="n"/>
      <c r="AS222" s="114" t="n"/>
      <c r="AT222" s="114" t="n"/>
      <c r="AU222" s="114" t="n"/>
      <c r="AV222" s="114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n"/>
      <c r="B227" s="114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7" t="n"/>
      <c r="U227" s="9" t="n"/>
      <c r="W227" s="67">
        <f>$A$4&amp;" "&amp;A228&amp;"("&amp;B228&amp;","&amp;C228&amp;"^)"</f>
        <v/>
      </c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9" t="n"/>
      <c r="AH227" s="20">
        <f>IF(A227="","",A227)</f>
        <v/>
      </c>
      <c r="AI227" s="144">
        <f>IF(E227="","",E227)</f>
        <v/>
      </c>
      <c r="AJ227" s="114" t="n"/>
      <c r="AK227" s="114" t="n"/>
      <c r="AL227" s="114" t="n"/>
      <c r="AM227" s="114" t="n"/>
      <c r="AN227" s="114" t="n"/>
      <c r="AO227" s="114" t="n"/>
      <c r="AP227" s="114" t="n"/>
      <c r="AQ227" s="114" t="n"/>
      <c r="AR227" s="114" t="n"/>
      <c r="AS227" s="114" t="n"/>
      <c r="AT227" s="114" t="n"/>
      <c r="AU227" s="114" t="n"/>
      <c r="AV227" s="114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56000</v>
      </c>
      <c r="J228" s="127" t="inlineStr">
        <is>
          <t>14</t>
        </is>
      </c>
      <c r="K228" s="127" t="n">
        <v>33000</v>
      </c>
      <c r="L228" s="127" t="inlineStr">
        <is>
          <t>9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80000</v>
      </c>
      <c r="J230" s="127" t="inlineStr">
        <is>
          <t>12</t>
        </is>
      </c>
      <c r="K230" s="127" t="n">
        <v>53000</v>
      </c>
      <c r="L230" s="127" t="inlineStr">
        <is>
          <t>11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n"/>
      <c r="B231" s="114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7" t="n"/>
      <c r="U231" s="9" t="n"/>
      <c r="W231" s="67">
        <f>$A$4&amp;" "&amp;A232&amp;"("&amp;B232&amp;","&amp;C232&amp;"^)"</f>
        <v/>
      </c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9" t="n"/>
      <c r="AH231" s="20">
        <f>IF(A231="","",A231)</f>
        <v/>
      </c>
      <c r="AI231" s="144">
        <f>IF(E231="","",E231)</f>
        <v/>
      </c>
      <c r="AJ231" s="114" t="n"/>
      <c r="AK231" s="114" t="n"/>
      <c r="AL231" s="114" t="n"/>
      <c r="AM231" s="114" t="n"/>
      <c r="AN231" s="114" t="n"/>
      <c r="AO231" s="114" t="n"/>
      <c r="AP231" s="114" t="n"/>
      <c r="AQ231" s="114" t="n"/>
      <c r="AR231" s="114" t="n"/>
      <c r="AS231" s="114" t="n"/>
      <c r="AT231" s="114" t="n"/>
      <c r="AU231" s="114" t="n"/>
      <c r="AV231" s="114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76000</v>
      </c>
      <c r="J232" s="127" t="inlineStr">
        <is>
          <t>8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85000</v>
      </c>
      <c r="J233" s="127" t="inlineStr">
        <is>
          <t>10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98000</v>
      </c>
      <c r="J234" s="127" t="inlineStr">
        <is>
          <t>8</t>
        </is>
      </c>
      <c r="K234" s="127" t="n">
        <v>60000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n"/>
      <c r="B235" s="114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7" t="n"/>
      <c r="U235" s="9" t="n"/>
      <c r="W235" s="67">
        <f>$A$4&amp;" "&amp;A236&amp;"("&amp;B236&amp;","&amp;C236&amp;"^)"</f>
        <v/>
      </c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9" t="n"/>
      <c r="AH235" s="20">
        <f>IF(A235="","",A235)</f>
        <v/>
      </c>
      <c r="AI235" s="144">
        <f>IF(E235="","",E235)</f>
        <v/>
      </c>
      <c r="AJ235" s="114" t="n"/>
      <c r="AK235" s="114" t="n"/>
      <c r="AL235" s="114" t="n"/>
      <c r="AM235" s="114" t="n"/>
      <c r="AN235" s="114" t="n"/>
      <c r="AO235" s="114" t="n"/>
      <c r="AP235" s="114" t="n"/>
      <c r="AQ235" s="114" t="n"/>
      <c r="AR235" s="114" t="n"/>
      <c r="AS235" s="114" t="n"/>
      <c r="AT235" s="114" t="n"/>
      <c r="AU235" s="114" t="n"/>
      <c r="AV235" s="114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n"/>
      <c r="B242" s="114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4">
        <f>IF(E242="","",E242)</f>
        <v/>
      </c>
      <c r="AJ242" s="114" t="n"/>
      <c r="AK242" s="114" t="n"/>
      <c r="AL242" s="114" t="n"/>
      <c r="AM242" s="114" t="n"/>
      <c r="AN242" s="114" t="n"/>
      <c r="AO242" s="114" t="n"/>
      <c r="AP242" s="114" t="n"/>
      <c r="AQ242" s="114" t="n"/>
      <c r="AR242" s="114" t="n"/>
      <c r="AS242" s="114" t="n"/>
      <c r="AT242" s="114" t="n"/>
      <c r="AU242" s="114" t="n"/>
      <c r="AV242" s="114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23">
      <formula>AV4="X"</formula>
    </cfRule>
    <cfRule type="expression" priority="3983" dxfId="22">
      <formula>AV4="후보"</formula>
    </cfRule>
  </conditionalFormatting>
  <conditionalFormatting sqref="AC1:AC2 AC4:AC6 N4:N5">
    <cfRule type="cellIs" priority="3979" operator="greaterThan" dxfId="17">
      <formula>0.9</formula>
    </cfRule>
    <cfRule type="cellIs" priority="3980" operator="greaterThan" dxfId="16">
      <formula>0.85</formula>
    </cfRule>
  </conditionalFormatting>
  <conditionalFormatting sqref="N1:N2">
    <cfRule type="cellIs" priority="3977" operator="greaterThan" dxfId="17">
      <formula>0.9</formula>
    </cfRule>
    <cfRule type="cellIs" priority="3978" operator="greaterThan" dxfId="16">
      <formula>0.85</formula>
    </cfRule>
  </conditionalFormatting>
  <conditionalFormatting sqref="N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23">
      <formula>AV7="X"</formula>
    </cfRule>
    <cfRule type="expression" priority="3962" dxfId="22">
      <formula>AV7="후보"</formula>
    </cfRule>
  </conditionalFormatting>
  <conditionalFormatting sqref="AC7">
    <cfRule type="cellIs" priority="3958" operator="greaterThan" dxfId="17">
      <formula>0.9</formula>
    </cfRule>
    <cfRule type="cellIs" priority="3959" operator="greaterThan" dxfId="16">
      <formula>0.85</formula>
    </cfRule>
  </conditionalFormatting>
  <conditionalFormatting sqref="N7">
    <cfRule type="cellIs" priority="3956" operator="greaterThan" dxfId="17">
      <formula>0.9</formula>
    </cfRule>
    <cfRule type="cellIs" priority="3957" operator="greaterThan" dxfId="16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23">
      <formula>AV8="X"</formula>
    </cfRule>
    <cfRule type="expression" priority="3943" dxfId="22">
      <formula>AV8="후보"</formula>
    </cfRule>
  </conditionalFormatting>
  <conditionalFormatting sqref="AC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23">
      <formula>AV9="X"</formula>
    </cfRule>
    <cfRule type="expression" priority="3924" dxfId="22">
      <formula>AV9="후보"</formula>
    </cfRule>
  </conditionalFormatting>
  <conditionalFormatting sqref="AC9">
    <cfRule type="cellIs" priority="3920" operator="greaterThan" dxfId="17">
      <formula>0.9</formula>
    </cfRule>
    <cfRule type="cellIs" priority="3921" operator="greaterThan" dxfId="16">
      <formula>0.85</formula>
    </cfRule>
  </conditionalFormatting>
  <conditionalFormatting sqref="N9">
    <cfRule type="cellIs" priority="3918" operator="greaterThan" dxfId="17">
      <formula>0.9</formula>
    </cfRule>
    <cfRule type="cellIs" priority="3919" operator="greaterThan" dxfId="16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23">
      <formula>AV10="X"</formula>
    </cfRule>
    <cfRule type="expression" priority="3905" dxfId="22">
      <formula>AV10="후보"</formula>
    </cfRule>
  </conditionalFormatting>
  <conditionalFormatting sqref="AC1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">
    <cfRule type="cellIs" priority="3899" operator="greaterThan" dxfId="17">
      <formula>0.9</formula>
    </cfRule>
    <cfRule type="cellIs" priority="3900" operator="greaterThan" dxfId="16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23">
      <formula>AV11="X"</formula>
    </cfRule>
    <cfRule type="expression" priority="3886" dxfId="22">
      <formula>AV11="후보"</formula>
    </cfRule>
  </conditionalFormatting>
  <conditionalFormatting sqref="AC11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11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23">
      <formula>AV12="X"</formula>
    </cfRule>
    <cfRule type="expression" priority="3867" dxfId="22">
      <formula>AV12="후보"</formula>
    </cfRule>
  </conditionalFormatting>
  <conditionalFormatting sqref="AC12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12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23">
      <formula>AV13="X"</formula>
    </cfRule>
    <cfRule type="expression" priority="3848" dxfId="22">
      <formula>AV13="후보"</formula>
    </cfRule>
  </conditionalFormatting>
  <conditionalFormatting sqref="AC13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N13">
    <cfRule type="cellIs" priority="3842" operator="greaterThan" dxfId="17">
      <formula>0.9</formula>
    </cfRule>
    <cfRule type="cellIs" priority="3843" operator="greaterThan" dxfId="16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23">
      <formula>AV14="X"</formula>
    </cfRule>
    <cfRule type="expression" priority="3829" dxfId="22">
      <formula>AV14="후보"</formula>
    </cfRule>
  </conditionalFormatting>
  <conditionalFormatting sqref="AC14">
    <cfRule type="cellIs" priority="3825" operator="greaterThan" dxfId="17">
      <formula>0.9</formula>
    </cfRule>
    <cfRule type="cellIs" priority="3826" operator="greaterThan" dxfId="16">
      <formula>0.85</formula>
    </cfRule>
  </conditionalFormatting>
  <conditionalFormatting sqref="N14">
    <cfRule type="cellIs" priority="3823" operator="greaterThan" dxfId="17">
      <formula>0.9</formula>
    </cfRule>
    <cfRule type="cellIs" priority="3824" operator="greaterThan" dxfId="16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23">
      <formula>AV15="X"</formula>
    </cfRule>
    <cfRule type="expression" priority="3810" dxfId="22">
      <formula>AV15="후보"</formula>
    </cfRule>
  </conditionalFormatting>
  <conditionalFormatting sqref="AC15 N15">
    <cfRule type="cellIs" priority="3806" operator="greaterThan" dxfId="17">
      <formula>0.9</formula>
    </cfRule>
    <cfRule type="cellIs" priority="3807" operator="greaterThan" dxfId="16">
      <formula>0.85</formula>
    </cfRule>
  </conditionalFormatting>
  <conditionalFormatting sqref="AV16">
    <cfRule type="expression" priority="3804" dxfId="23">
      <formula>AV16="X"</formula>
    </cfRule>
    <cfRule type="expression" priority="3805" dxfId="22">
      <formula>AV16="후보"</formula>
    </cfRule>
  </conditionalFormatting>
  <conditionalFormatting sqref="AC16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6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23">
      <formula>AV17="X"</formula>
    </cfRule>
    <cfRule type="expression" priority="3786" dxfId="22">
      <formula>AV17="후보"</formula>
    </cfRule>
  </conditionalFormatting>
  <conditionalFormatting sqref="AC17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N17">
    <cfRule type="cellIs" priority="3780" operator="greaterThan" dxfId="17">
      <formula>0.9</formula>
    </cfRule>
    <cfRule type="cellIs" priority="3781" operator="greaterThan" dxfId="16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23">
      <formula>AV18="X"</formula>
    </cfRule>
    <cfRule type="expression" priority="3767" dxfId="22">
      <formula>AV18="후보"</formula>
    </cfRule>
  </conditionalFormatting>
  <conditionalFormatting sqref="AC18">
    <cfRule type="cellIs" priority="3763" operator="greaterThan" dxfId="17">
      <formula>0.9</formula>
    </cfRule>
    <cfRule type="cellIs" priority="3764" operator="greaterThan" dxfId="16">
      <formula>0.85</formula>
    </cfRule>
  </conditionalFormatting>
  <conditionalFormatting sqref="N18">
    <cfRule type="cellIs" priority="3761" operator="greaterThan" dxfId="17">
      <formula>0.9</formula>
    </cfRule>
    <cfRule type="cellIs" priority="3762" operator="greaterThan" dxfId="16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23">
      <formula>AV19="X"</formula>
    </cfRule>
    <cfRule type="expression" priority="3748" dxfId="22">
      <formula>AV19="후보"</formula>
    </cfRule>
  </conditionalFormatting>
  <conditionalFormatting sqref="AC19 N19">
    <cfRule type="cellIs" priority="3744" operator="greaterThan" dxfId="17">
      <formula>0.9</formula>
    </cfRule>
    <cfRule type="cellIs" priority="3745" operator="greaterThan" dxfId="16">
      <formula>0.85</formula>
    </cfRule>
  </conditionalFormatting>
  <conditionalFormatting sqref="AV20">
    <cfRule type="expression" priority="3742" dxfId="23">
      <formula>AV20="X"</formula>
    </cfRule>
    <cfRule type="expression" priority="3743" dxfId="22">
      <formula>AV20="후보"</formula>
    </cfRule>
  </conditionalFormatting>
  <conditionalFormatting sqref="AC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23">
      <formula>AV21="X"</formula>
    </cfRule>
    <cfRule type="expression" priority="3724" dxfId="22">
      <formula>AV21="후보"</formula>
    </cfRule>
  </conditionalFormatting>
  <conditionalFormatting sqref="AC21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21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23">
      <formula>AV22="X"</formula>
    </cfRule>
    <cfRule type="expression" priority="3705" dxfId="22">
      <formula>AV22="후보"</formula>
    </cfRule>
  </conditionalFormatting>
  <conditionalFormatting sqref="AC22 N22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AV23">
    <cfRule type="expression" priority="3699" dxfId="23">
      <formula>AV23="X"</formula>
    </cfRule>
    <cfRule type="expression" priority="3700" dxfId="22">
      <formula>AV23="후보"</formula>
    </cfRule>
  </conditionalFormatting>
  <conditionalFormatting sqref="AC23">
    <cfRule type="cellIs" priority="3696" operator="greaterThan" dxfId="17">
      <formula>0.9</formula>
    </cfRule>
    <cfRule type="cellIs" priority="3697" operator="greaterThan" dxfId="16">
      <formula>0.85</formula>
    </cfRule>
  </conditionalFormatting>
  <conditionalFormatting sqref="N23">
    <cfRule type="cellIs" priority="3694" operator="greaterThan" dxfId="17">
      <formula>0.9</formula>
    </cfRule>
    <cfRule type="cellIs" priority="3695" operator="greaterThan" dxfId="16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23">
      <formula>AV24="X"</formula>
    </cfRule>
    <cfRule type="expression" priority="3681" dxfId="22">
      <formula>AV24="후보"</formula>
    </cfRule>
  </conditionalFormatting>
  <conditionalFormatting sqref="AC24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4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23">
      <formula>AV25="X"</formula>
    </cfRule>
    <cfRule type="expression" priority="3662" dxfId="22">
      <formula>AV25="후보"</formula>
    </cfRule>
  </conditionalFormatting>
  <conditionalFormatting sqref="AC25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5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23">
      <formula>AV26="X"</formula>
    </cfRule>
    <cfRule type="expression" priority="3643" dxfId="22">
      <formula>AV26="후보"</formula>
    </cfRule>
  </conditionalFormatting>
  <conditionalFormatting sqref="AC26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6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23">
      <formula>AV27="X"</formula>
    </cfRule>
    <cfRule type="expression" priority="3624" dxfId="22">
      <formula>AV27="후보"</formula>
    </cfRule>
  </conditionalFormatting>
  <conditionalFormatting sqref="AC27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7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23">
      <formula>AV28="X"</formula>
    </cfRule>
    <cfRule type="expression" priority="3605" dxfId="22">
      <formula>AV28="후보"</formula>
    </cfRule>
  </conditionalFormatting>
  <conditionalFormatting sqref="AC28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N28">
    <cfRule type="cellIs" priority="3599" operator="greaterThan" dxfId="17">
      <formula>0.9</formula>
    </cfRule>
    <cfRule type="cellIs" priority="3600" operator="greaterThan" dxfId="16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23">
      <formula>AV29="X"</formula>
    </cfRule>
    <cfRule type="expression" priority="3586" dxfId="22">
      <formula>AV29="후보"</formula>
    </cfRule>
  </conditionalFormatting>
  <conditionalFormatting sqref="AC29 N29">
    <cfRule type="cellIs" priority="3582" operator="greaterThan" dxfId="17">
      <formula>0.9</formula>
    </cfRule>
    <cfRule type="cellIs" priority="3583" operator="greaterThan" dxfId="16">
      <formula>0.85</formula>
    </cfRule>
  </conditionalFormatting>
  <conditionalFormatting sqref="AV30">
    <cfRule type="expression" priority="3580" dxfId="23">
      <formula>AV30="X"</formula>
    </cfRule>
    <cfRule type="expression" priority="3581" dxfId="22">
      <formula>AV30="후보"</formula>
    </cfRule>
  </conditionalFormatting>
  <conditionalFormatting sqref="AC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0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23">
      <formula>AV31="X"</formula>
    </cfRule>
    <cfRule type="expression" priority="3562" dxfId="22">
      <formula>AV31="후보"</formula>
    </cfRule>
  </conditionalFormatting>
  <conditionalFormatting sqref="AC31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31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23">
      <formula>AV32="X"</formula>
    </cfRule>
    <cfRule type="expression" priority="3543" dxfId="22">
      <formula>AV32="후보"</formula>
    </cfRule>
  </conditionalFormatting>
  <conditionalFormatting sqref="AC32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N32">
    <cfRule type="cellIs" priority="3537" operator="greaterThan" dxfId="17">
      <formula>0.9</formula>
    </cfRule>
    <cfRule type="cellIs" priority="3538" operator="greaterThan" dxfId="16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23">
      <formula>AV33="X"</formula>
    </cfRule>
    <cfRule type="expression" priority="3524" dxfId="22">
      <formula>AV33="후보"</formula>
    </cfRule>
  </conditionalFormatting>
  <conditionalFormatting sqref="AC33">
    <cfRule type="cellIs" priority="3520" operator="greaterThan" dxfId="17">
      <formula>0.9</formula>
    </cfRule>
    <cfRule type="cellIs" priority="3521" operator="greaterThan" dxfId="16">
      <formula>0.85</formula>
    </cfRule>
  </conditionalFormatting>
  <conditionalFormatting sqref="N33">
    <cfRule type="cellIs" priority="3518" operator="greaterThan" dxfId="17">
      <formula>0.9</formula>
    </cfRule>
    <cfRule type="cellIs" priority="3519" operator="greaterThan" dxfId="16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23">
      <formula>AV34="X"</formula>
    </cfRule>
    <cfRule type="expression" priority="3505" dxfId="22">
      <formula>AV34="후보"</formula>
    </cfRule>
  </conditionalFormatting>
  <conditionalFormatting sqref="AC34">
    <cfRule type="cellIs" priority="3501" operator="greaterThan" dxfId="17">
      <formula>0.9</formula>
    </cfRule>
    <cfRule type="cellIs" priority="3502" operator="greaterThan" dxfId="16">
      <formula>0.85</formula>
    </cfRule>
  </conditionalFormatting>
  <conditionalFormatting sqref="N34">
    <cfRule type="cellIs" priority="3499" operator="greaterThan" dxfId="17">
      <formula>0.9</formula>
    </cfRule>
    <cfRule type="cellIs" priority="3500" operator="greaterThan" dxfId="16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23">
      <formula>AV35="X"</formula>
    </cfRule>
    <cfRule type="expression" priority="3486" dxfId="22">
      <formula>AV35="후보"</formula>
    </cfRule>
  </conditionalFormatting>
  <conditionalFormatting sqref="AC35 N35">
    <cfRule type="cellIs" priority="3482" operator="greaterThan" dxfId="17">
      <formula>0.9</formula>
    </cfRule>
    <cfRule type="cellIs" priority="3483" operator="greaterThan" dxfId="16">
      <formula>0.85</formula>
    </cfRule>
  </conditionalFormatting>
  <conditionalFormatting sqref="AV36">
    <cfRule type="expression" priority="3480" dxfId="23">
      <formula>AV36="X"</formula>
    </cfRule>
    <cfRule type="expression" priority="3481" dxfId="22">
      <formula>AV36="후보"</formula>
    </cfRule>
  </conditionalFormatting>
  <conditionalFormatting sqref="AC36">
    <cfRule type="cellIs" priority="3477" operator="greaterThan" dxfId="17">
      <formula>0.9</formula>
    </cfRule>
    <cfRule type="cellIs" priority="3478" operator="greaterThan" dxfId="16">
      <formula>0.85</formula>
    </cfRule>
  </conditionalFormatting>
  <conditionalFormatting sqref="N36">
    <cfRule type="cellIs" priority="3475" operator="greaterThan" dxfId="17">
      <formula>0.9</formula>
    </cfRule>
    <cfRule type="cellIs" priority="3476" operator="greaterThan" dxfId="16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23">
      <formula>AV37="X"</formula>
    </cfRule>
    <cfRule type="expression" priority="3462" dxfId="22">
      <formula>AV37="후보"</formula>
    </cfRule>
  </conditionalFormatting>
  <conditionalFormatting sqref="AC37">
    <cfRule type="cellIs" priority="3458" operator="greaterThan" dxfId="17">
      <formula>0.9</formula>
    </cfRule>
    <cfRule type="cellIs" priority="3459" operator="greaterThan" dxfId="16">
      <formula>0.85</formula>
    </cfRule>
  </conditionalFormatting>
  <conditionalFormatting sqref="N37">
    <cfRule type="cellIs" priority="3456" operator="greaterThan" dxfId="17">
      <formula>0.9</formula>
    </cfRule>
    <cfRule type="cellIs" priority="3457" operator="greaterThan" dxfId="16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23">
      <formula>AV38="X"</formula>
    </cfRule>
    <cfRule type="expression" priority="3443" dxfId="22">
      <formula>AV38="후보"</formula>
    </cfRule>
  </conditionalFormatting>
  <conditionalFormatting sqref="AC38">
    <cfRule type="cellIs" priority="3439" operator="greaterThan" dxfId="17">
      <formula>0.9</formula>
    </cfRule>
    <cfRule type="cellIs" priority="3440" operator="greaterThan" dxfId="16">
      <formula>0.85</formula>
    </cfRule>
  </conditionalFormatting>
  <conditionalFormatting sqref="N38">
    <cfRule type="cellIs" priority="3437" operator="greaterThan" dxfId="17">
      <formula>0.9</formula>
    </cfRule>
    <cfRule type="cellIs" priority="3438" operator="greaterThan" dxfId="16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23">
      <formula>AV39="X"</formula>
    </cfRule>
    <cfRule type="expression" priority="3424" dxfId="22">
      <formula>AV39="후보"</formula>
    </cfRule>
  </conditionalFormatting>
  <conditionalFormatting sqref="AC39">
    <cfRule type="cellIs" priority="3420" operator="greaterThan" dxfId="17">
      <formula>0.9</formula>
    </cfRule>
    <cfRule type="cellIs" priority="3421" operator="greaterThan" dxfId="16">
      <formula>0.85</formula>
    </cfRule>
  </conditionalFormatting>
  <conditionalFormatting sqref="N39">
    <cfRule type="cellIs" priority="3418" operator="greaterThan" dxfId="17">
      <formula>0.9</formula>
    </cfRule>
    <cfRule type="cellIs" priority="3419" operator="greaterThan" dxfId="16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23">
      <formula>AV40="X"</formula>
    </cfRule>
    <cfRule type="expression" priority="3405" dxfId="22">
      <formula>AV40="후보"</formula>
    </cfRule>
  </conditionalFormatting>
  <conditionalFormatting sqref="AC40">
    <cfRule type="cellIs" priority="3401" operator="greaterThan" dxfId="17">
      <formula>0.9</formula>
    </cfRule>
    <cfRule type="cellIs" priority="3402" operator="greaterThan" dxfId="16">
      <formula>0.85</formula>
    </cfRule>
  </conditionalFormatting>
  <conditionalFormatting sqref="N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23">
      <formula>AV41="X"</formula>
    </cfRule>
    <cfRule type="expression" priority="3386" dxfId="22">
      <formula>AV41="후보"</formula>
    </cfRule>
  </conditionalFormatting>
  <conditionalFormatting sqref="AC41">
    <cfRule type="cellIs" priority="3382" operator="greaterThan" dxfId="17">
      <formula>0.9</formula>
    </cfRule>
    <cfRule type="cellIs" priority="3383" operator="greaterThan" dxfId="16">
      <formula>0.85</formula>
    </cfRule>
  </conditionalFormatting>
  <conditionalFormatting sqref="N41">
    <cfRule type="cellIs" priority="3380" operator="greaterThan" dxfId="17">
      <formula>0.9</formula>
    </cfRule>
    <cfRule type="cellIs" priority="3381" operator="greaterThan" dxfId="16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23">
      <formula>AV42="X"</formula>
    </cfRule>
    <cfRule type="expression" priority="3367" dxfId="22">
      <formula>AV42="후보"</formula>
    </cfRule>
  </conditionalFormatting>
  <conditionalFormatting sqref="AC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23">
      <formula>AV43="X"</formula>
    </cfRule>
    <cfRule type="expression" priority="3348" dxfId="22">
      <formula>AV43="후보"</formula>
    </cfRule>
  </conditionalFormatting>
  <conditionalFormatting sqref="AC43">
    <cfRule type="cellIs" priority="3344" operator="greaterThan" dxfId="17">
      <formula>0.9</formula>
    </cfRule>
    <cfRule type="cellIs" priority="3345" operator="greaterThan" dxfId="16">
      <formula>0.85</formula>
    </cfRule>
  </conditionalFormatting>
  <conditionalFormatting sqref="N43">
    <cfRule type="cellIs" priority="3342" operator="greaterThan" dxfId="17">
      <formula>0.9</formula>
    </cfRule>
    <cfRule type="cellIs" priority="3343" operator="greaterThan" dxfId="16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23">
      <formula>AV44="X"</formula>
    </cfRule>
    <cfRule type="expression" priority="3329" dxfId="22">
      <formula>AV44="후보"</formula>
    </cfRule>
  </conditionalFormatting>
  <conditionalFormatting sqref="AC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4">
    <cfRule type="cellIs" priority="3323" operator="greaterThan" dxfId="17">
      <formula>0.9</formula>
    </cfRule>
    <cfRule type="cellIs" priority="3324" operator="greaterThan" dxfId="16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23">
      <formula>AV45="X"</formula>
    </cfRule>
    <cfRule type="expression" priority="3310" dxfId="22">
      <formula>AV45="후보"</formula>
    </cfRule>
  </conditionalFormatting>
  <conditionalFormatting sqref="AC45">
    <cfRule type="cellIs" priority="3306" operator="greaterThan" dxfId="17">
      <formula>0.9</formula>
    </cfRule>
    <cfRule type="cellIs" priority="3307" operator="greaterThan" dxfId="16">
      <formula>0.85</formula>
    </cfRule>
  </conditionalFormatting>
  <conditionalFormatting sqref="N45">
    <cfRule type="cellIs" priority="3304" operator="greaterThan" dxfId="17">
      <formula>0.9</formula>
    </cfRule>
    <cfRule type="cellIs" priority="3305" operator="greaterThan" dxfId="16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23">
      <formula>AV46="X"</formula>
    </cfRule>
    <cfRule type="expression" priority="3291" dxfId="22">
      <formula>AV46="후보"</formula>
    </cfRule>
  </conditionalFormatting>
  <conditionalFormatting sqref="AC46">
    <cfRule type="cellIs" priority="3287" operator="greaterThan" dxfId="17">
      <formula>0.9</formula>
    </cfRule>
    <cfRule type="cellIs" priority="3288" operator="greaterThan" dxfId="16">
      <formula>0.85</formula>
    </cfRule>
  </conditionalFormatting>
  <conditionalFormatting sqref="N46">
    <cfRule type="cellIs" priority="3285" operator="greaterThan" dxfId="17">
      <formula>0.9</formula>
    </cfRule>
    <cfRule type="cellIs" priority="3286" operator="greaterThan" dxfId="16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23">
      <formula>AV47="X"</formula>
    </cfRule>
    <cfRule type="expression" priority="3272" dxfId="22">
      <formula>AV47="후보"</formula>
    </cfRule>
  </conditionalFormatting>
  <conditionalFormatting sqref="AC47">
    <cfRule type="cellIs" priority="3268" operator="greaterThan" dxfId="17">
      <formula>0.9</formula>
    </cfRule>
    <cfRule type="cellIs" priority="3269" operator="greaterThan" dxfId="16">
      <formula>0.85</formula>
    </cfRule>
  </conditionalFormatting>
  <conditionalFormatting sqref="N47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23">
      <formula>AV48="X"</formula>
    </cfRule>
    <cfRule type="expression" priority="3253" dxfId="22">
      <formula>AV48="후보"</formula>
    </cfRule>
  </conditionalFormatting>
  <conditionalFormatting sqref="AC48">
    <cfRule type="cellIs" priority="3249" operator="greaterThan" dxfId="17">
      <formula>0.9</formula>
    </cfRule>
    <cfRule type="cellIs" priority="3250" operator="greaterThan" dxfId="16">
      <formula>0.85</formula>
    </cfRule>
  </conditionalFormatting>
  <conditionalFormatting sqref="N48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23">
      <formula>AV49="X"</formula>
    </cfRule>
    <cfRule type="expression" priority="3234" dxfId="22">
      <formula>AV49="후보"</formula>
    </cfRule>
  </conditionalFormatting>
  <conditionalFormatting sqref="AC49">
    <cfRule type="cellIs" priority="3230" operator="greaterThan" dxfId="17">
      <formula>0.9</formula>
    </cfRule>
    <cfRule type="cellIs" priority="3231" operator="greaterThan" dxfId="16">
      <formula>0.85</formula>
    </cfRule>
  </conditionalFormatting>
  <conditionalFormatting sqref="N49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23">
      <formula>AV50="X"</formula>
    </cfRule>
    <cfRule type="expression" priority="3215" dxfId="22">
      <formula>AV50="후보"</formula>
    </cfRule>
  </conditionalFormatting>
  <conditionalFormatting sqref="AC50">
    <cfRule type="cellIs" priority="3211" operator="greaterThan" dxfId="17">
      <formula>0.9</formula>
    </cfRule>
    <cfRule type="cellIs" priority="3212" operator="greaterThan" dxfId="16">
      <formula>0.85</formula>
    </cfRule>
  </conditionalFormatting>
  <conditionalFormatting sqref="N50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23">
      <formula>AV51="X"</formula>
    </cfRule>
    <cfRule type="expression" priority="3196" dxfId="22">
      <formula>AV51="후보"</formula>
    </cfRule>
  </conditionalFormatting>
  <conditionalFormatting sqref="AC51">
    <cfRule type="cellIs" priority="3192" operator="greaterThan" dxfId="17">
      <formula>0.9</formula>
    </cfRule>
    <cfRule type="cellIs" priority="3193" operator="greaterThan" dxfId="16">
      <formula>0.85</formula>
    </cfRule>
  </conditionalFormatting>
  <conditionalFormatting sqref="N51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23">
      <formula>AV52="X"</formula>
    </cfRule>
    <cfRule type="expression" priority="3177" dxfId="22">
      <formula>AV52="후보"</formula>
    </cfRule>
  </conditionalFormatting>
  <conditionalFormatting sqref="AC52">
    <cfRule type="cellIs" priority="3173" operator="greaterThan" dxfId="17">
      <formula>0.9</formula>
    </cfRule>
    <cfRule type="cellIs" priority="3174" operator="greaterThan" dxfId="16">
      <formula>0.85</formula>
    </cfRule>
  </conditionalFormatting>
  <conditionalFormatting sqref="N52">
    <cfRule type="cellIs" priority="3171" operator="greaterThan" dxfId="17">
      <formula>0.9</formula>
    </cfRule>
    <cfRule type="cellIs" priority="3172" operator="greaterThan" dxfId="16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23">
      <formula>AV53="X"</formula>
    </cfRule>
    <cfRule type="expression" priority="3158" dxfId="22">
      <formula>AV53="후보"</formula>
    </cfRule>
  </conditionalFormatting>
  <conditionalFormatting sqref="AC53">
    <cfRule type="cellIs" priority="3154" operator="greaterThan" dxfId="17">
      <formula>0.9</formula>
    </cfRule>
    <cfRule type="cellIs" priority="3155" operator="greaterThan" dxfId="16">
      <formula>0.85</formula>
    </cfRule>
  </conditionalFormatting>
  <conditionalFormatting sqref="N53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23">
      <formula>AV54="X"</formula>
    </cfRule>
    <cfRule type="expression" priority="3139" dxfId="22">
      <formula>AV54="후보"</formula>
    </cfRule>
  </conditionalFormatting>
  <conditionalFormatting sqref="AC54">
    <cfRule type="cellIs" priority="3135" operator="greaterThan" dxfId="17">
      <formula>0.9</formula>
    </cfRule>
    <cfRule type="cellIs" priority="3136" operator="greaterThan" dxfId="16">
      <formula>0.85</formula>
    </cfRule>
  </conditionalFormatting>
  <conditionalFormatting sqref="N54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23">
      <formula>AV55="X"</formula>
    </cfRule>
    <cfRule type="expression" priority="3120" dxfId="22">
      <formula>AV55="후보"</formula>
    </cfRule>
  </conditionalFormatting>
  <conditionalFormatting sqref="AC55">
    <cfRule type="cellIs" priority="3116" operator="greaterThan" dxfId="17">
      <formula>0.9</formula>
    </cfRule>
    <cfRule type="cellIs" priority="3117" operator="greaterThan" dxfId="16">
      <formula>0.85</formula>
    </cfRule>
  </conditionalFormatting>
  <conditionalFormatting sqref="N55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23">
      <formula>AV56="X"</formula>
    </cfRule>
    <cfRule type="expression" priority="3101" dxfId="22">
      <formula>AV56="후보"</formula>
    </cfRule>
  </conditionalFormatting>
  <conditionalFormatting sqref="AC56">
    <cfRule type="cellIs" priority="3097" operator="greaterThan" dxfId="17">
      <formula>0.9</formula>
    </cfRule>
    <cfRule type="cellIs" priority="3098" operator="greaterThan" dxfId="16">
      <formula>0.85</formula>
    </cfRule>
  </conditionalFormatting>
  <conditionalFormatting sqref="N56">
    <cfRule type="cellIs" priority="3095" operator="greaterThan" dxfId="17">
      <formula>0.9</formula>
    </cfRule>
    <cfRule type="cellIs" priority="3096" operator="greaterThan" dxfId="16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23">
      <formula>AV57="X"</formula>
    </cfRule>
    <cfRule type="expression" priority="3082" dxfId="22">
      <formula>AV57="후보"</formula>
    </cfRule>
  </conditionalFormatting>
  <conditionalFormatting sqref="AC57">
    <cfRule type="cellIs" priority="3078" operator="greaterThan" dxfId="17">
      <formula>0.9</formula>
    </cfRule>
    <cfRule type="cellIs" priority="3079" operator="greaterThan" dxfId="16">
      <formula>0.85</formula>
    </cfRule>
  </conditionalFormatting>
  <conditionalFormatting sqref="N57">
    <cfRule type="cellIs" priority="3076" operator="greaterThan" dxfId="17">
      <formula>0.9</formula>
    </cfRule>
    <cfRule type="cellIs" priority="3077" operator="greaterThan" dxfId="16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23">
      <formula>AV58="X"</formula>
    </cfRule>
    <cfRule type="expression" priority="3063" dxfId="22">
      <formula>AV58="후보"</formula>
    </cfRule>
  </conditionalFormatting>
  <conditionalFormatting sqref="AC58 N58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AV59">
    <cfRule type="expression" priority="3057" dxfId="23">
      <formula>AV59="X"</formula>
    </cfRule>
    <cfRule type="expression" priority="3058" dxfId="22">
      <formula>AV59="후보"</formula>
    </cfRule>
  </conditionalFormatting>
  <conditionalFormatting sqref="AC59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59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23">
      <formula>AV60="X"</formula>
    </cfRule>
    <cfRule type="expression" priority="3039" dxfId="22">
      <formula>AV60="후보"</formula>
    </cfRule>
  </conditionalFormatting>
  <conditionalFormatting sqref="AC60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60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23">
      <formula>AV61="X"</formula>
    </cfRule>
    <cfRule type="expression" priority="3020" dxfId="22">
      <formula>AV61="후보"</formula>
    </cfRule>
  </conditionalFormatting>
  <conditionalFormatting sqref="AC61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N61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23">
      <formula>AV62="X"</formula>
    </cfRule>
    <cfRule type="expression" priority="3001" dxfId="22">
      <formula>AV62="후보"</formula>
    </cfRule>
  </conditionalFormatting>
  <conditionalFormatting sqref="AC62">
    <cfRule type="cellIs" priority="2997" operator="greaterThan" dxfId="17">
      <formula>0.9</formula>
    </cfRule>
    <cfRule type="cellIs" priority="2998" operator="greaterThan" dxfId="16">
      <formula>0.85</formula>
    </cfRule>
  </conditionalFormatting>
  <conditionalFormatting sqref="N62">
    <cfRule type="cellIs" priority="2995" operator="greaterThan" dxfId="17">
      <formula>0.9</formula>
    </cfRule>
    <cfRule type="cellIs" priority="2996" operator="greaterThan" dxfId="16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23">
      <formula>AV63="X"</formula>
    </cfRule>
    <cfRule type="expression" priority="2982" dxfId="22">
      <formula>AV63="후보"</formula>
    </cfRule>
  </conditionalFormatting>
  <conditionalFormatting sqref="AC63 N63">
    <cfRule type="cellIs" priority="2978" operator="greaterThan" dxfId="17">
      <formula>0.9</formula>
    </cfRule>
    <cfRule type="cellIs" priority="2979" operator="greaterThan" dxfId="16">
      <formula>0.85</formula>
    </cfRule>
  </conditionalFormatting>
  <conditionalFormatting sqref="AV64">
    <cfRule type="expression" priority="2976" dxfId="23">
      <formula>AV64="X"</formula>
    </cfRule>
    <cfRule type="expression" priority="2977" dxfId="22">
      <formula>AV64="후보"</formula>
    </cfRule>
  </conditionalFormatting>
  <conditionalFormatting sqref="AC64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64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23">
      <formula>AV65="X"</formula>
    </cfRule>
    <cfRule type="expression" priority="2958" dxfId="22">
      <formula>AV65="후보"</formula>
    </cfRule>
  </conditionalFormatting>
  <conditionalFormatting sqref="AC65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65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23">
      <formula>AV66="X"</formula>
    </cfRule>
    <cfRule type="expression" priority="2939" dxfId="22">
      <formula>AV66="후보"</formula>
    </cfRule>
  </conditionalFormatting>
  <conditionalFormatting sqref="AC66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66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23">
      <formula>AV67="X"</formula>
    </cfRule>
    <cfRule type="expression" priority="2920" dxfId="22">
      <formula>AV67="후보"</formula>
    </cfRule>
  </conditionalFormatting>
  <conditionalFormatting sqref="AC67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67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23">
      <formula>AV68="X"</formula>
    </cfRule>
    <cfRule type="expression" priority="2901" dxfId="22">
      <formula>AV68="후보"</formula>
    </cfRule>
  </conditionalFormatting>
  <conditionalFormatting sqref="AC68 N68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69">
    <cfRule type="expression" priority="2895" dxfId="23">
      <formula>AV69="X"</formula>
    </cfRule>
    <cfRule type="expression" priority="2896" dxfId="22">
      <formula>AV69="후보"</formula>
    </cfRule>
  </conditionalFormatting>
  <conditionalFormatting sqref="AC69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69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23">
      <formula>AV70="X"</formula>
    </cfRule>
    <cfRule type="expression" priority="2877" dxfId="22">
      <formula>AV70="후보"</formula>
    </cfRule>
  </conditionalFormatting>
  <conditionalFormatting sqref="AC70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70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23">
      <formula>AV71="X"</formula>
    </cfRule>
    <cfRule type="expression" priority="2858" dxfId="22">
      <formula>AV71="후보"</formula>
    </cfRule>
  </conditionalFormatting>
  <conditionalFormatting sqref="AC71 N71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AV72">
    <cfRule type="expression" priority="2852" dxfId="23">
      <formula>AV72="X"</formula>
    </cfRule>
    <cfRule type="expression" priority="2853" dxfId="22">
      <formula>AV72="후보"</formula>
    </cfRule>
  </conditionalFormatting>
  <conditionalFormatting sqref="AC72">
    <cfRule type="cellIs" priority="2849" operator="greaterThan" dxfId="17">
      <formula>0.9</formula>
    </cfRule>
    <cfRule type="cellIs" priority="2850" operator="greaterThan" dxfId="16">
      <formula>0.85</formula>
    </cfRule>
  </conditionalFormatting>
  <conditionalFormatting sqref="N72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23">
      <formula>AV73="X"</formula>
    </cfRule>
    <cfRule type="expression" priority="2834" dxfId="22">
      <formula>AV73="후보"</formula>
    </cfRule>
  </conditionalFormatting>
  <conditionalFormatting sqref="AC73">
    <cfRule type="cellIs" priority="2830" operator="greaterThan" dxfId="17">
      <formula>0.9</formula>
    </cfRule>
    <cfRule type="cellIs" priority="2831" operator="greaterThan" dxfId="16">
      <formula>0.85</formula>
    </cfRule>
  </conditionalFormatting>
  <conditionalFormatting sqref="N73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23">
      <formula>AV74="X"</formula>
    </cfRule>
    <cfRule type="expression" priority="2815" dxfId="22">
      <formula>AV74="후보"</formula>
    </cfRule>
  </conditionalFormatting>
  <conditionalFormatting sqref="AC74">
    <cfRule type="cellIs" priority="2811" operator="greaterThan" dxfId="17">
      <formula>0.9</formula>
    </cfRule>
    <cfRule type="cellIs" priority="2812" operator="greaterThan" dxfId="16">
      <formula>0.85</formula>
    </cfRule>
  </conditionalFormatting>
  <conditionalFormatting sqref="N74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23">
      <formula>AV75="X"</formula>
    </cfRule>
    <cfRule type="expression" priority="2796" dxfId="22">
      <formula>AV75="후보"</formula>
    </cfRule>
  </conditionalFormatting>
  <conditionalFormatting sqref="AC75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75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23">
      <formula>AV76="X"</formula>
    </cfRule>
    <cfRule type="expression" priority="2777" dxfId="22">
      <formula>AV76="후보"</formula>
    </cfRule>
  </conditionalFormatting>
  <conditionalFormatting sqref="AC76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76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23">
      <formula>AV77="X"</formula>
    </cfRule>
    <cfRule type="expression" priority="2758" dxfId="22">
      <formula>AV77="후보"</formula>
    </cfRule>
  </conditionalFormatting>
  <conditionalFormatting sqref="AC77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N77">
    <cfRule type="cellIs" priority="2752" operator="greaterThan" dxfId="17">
      <formula>0.9</formula>
    </cfRule>
    <cfRule type="cellIs" priority="2753" operator="greaterThan" dxfId="16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23">
      <formula>AV78="X"</formula>
    </cfRule>
    <cfRule type="expression" priority="2739" dxfId="22">
      <formula>AV78="후보"</formula>
    </cfRule>
  </conditionalFormatting>
  <conditionalFormatting sqref="AC78 N78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AV79">
    <cfRule type="expression" priority="2733" dxfId="23">
      <formula>AV79="X"</formula>
    </cfRule>
    <cfRule type="expression" priority="2734" dxfId="22">
      <formula>AV79="후보"</formula>
    </cfRule>
  </conditionalFormatting>
  <conditionalFormatting sqref="AC79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79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23">
      <formula>AV80="X"</formula>
    </cfRule>
    <cfRule type="expression" priority="2715" dxfId="22">
      <formula>AV80="후보"</formula>
    </cfRule>
  </conditionalFormatting>
  <conditionalFormatting sqref="AC80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N80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23">
      <formula>AV81="X"</formula>
    </cfRule>
    <cfRule type="expression" priority="2696" dxfId="22">
      <formula>AV81="후보"</formula>
    </cfRule>
  </conditionalFormatting>
  <conditionalFormatting sqref="AC81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N81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23">
      <formula>AV82="X"</formula>
    </cfRule>
    <cfRule type="expression" priority="2677" dxfId="22">
      <formula>AV82="후보"</formula>
    </cfRule>
  </conditionalFormatting>
  <conditionalFormatting sqref="AC82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N82">
    <cfRule type="cellIs" priority="2671" operator="greaterThan" dxfId="17">
      <formula>0.9</formula>
    </cfRule>
    <cfRule type="cellIs" priority="2672" operator="greaterThan" dxfId="16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23">
      <formula>AV83="X"</formula>
    </cfRule>
    <cfRule type="expression" priority="2658" dxfId="22">
      <formula>AV83="후보"</formula>
    </cfRule>
  </conditionalFormatting>
  <conditionalFormatting sqref="AC83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3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23">
      <formula>AV84="X"</formula>
    </cfRule>
    <cfRule type="expression" priority="2639" dxfId="22">
      <formula>AV84="후보"</formula>
    </cfRule>
  </conditionalFormatting>
  <conditionalFormatting sqref="AC84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4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23">
      <formula>AV85="X"</formula>
    </cfRule>
    <cfRule type="expression" priority="2620" dxfId="22">
      <formula>AV85="후보"</formula>
    </cfRule>
  </conditionalFormatting>
  <conditionalFormatting sqref="AC85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5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23">
      <formula>AV86="X"</formula>
    </cfRule>
    <cfRule type="expression" priority="2601" dxfId="22">
      <formula>AV86="후보"</formula>
    </cfRule>
  </conditionalFormatting>
  <conditionalFormatting sqref="AC86 N86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AV87">
    <cfRule type="expression" priority="2595" dxfId="23">
      <formula>AV87="X"</formula>
    </cfRule>
    <cfRule type="expression" priority="2596" dxfId="22">
      <formula>AV87="후보"</formula>
    </cfRule>
  </conditionalFormatting>
  <conditionalFormatting sqref="AC87">
    <cfRule type="cellIs" priority="2592" operator="greaterThan" dxfId="17">
      <formula>0.9</formula>
    </cfRule>
    <cfRule type="cellIs" priority="2593" operator="greaterThan" dxfId="16">
      <formula>0.85</formula>
    </cfRule>
  </conditionalFormatting>
  <conditionalFormatting sqref="N87">
    <cfRule type="cellIs" priority="2590" operator="greaterThan" dxfId="17">
      <formula>0.9</formula>
    </cfRule>
    <cfRule type="cellIs" priority="2591" operator="greaterThan" dxfId="16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23">
      <formula>AV88="X"</formula>
    </cfRule>
    <cfRule type="expression" priority="2577" dxfId="22">
      <formula>AV88="후보"</formula>
    </cfRule>
  </conditionalFormatting>
  <conditionalFormatting sqref="AC88">
    <cfRule type="cellIs" priority="2573" operator="greaterThan" dxfId="17">
      <formula>0.9</formula>
    </cfRule>
    <cfRule type="cellIs" priority="2574" operator="greaterThan" dxfId="16">
      <formula>0.85</formula>
    </cfRule>
  </conditionalFormatting>
  <conditionalFormatting sqref="N8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23">
      <formula>AV89="X"</formula>
    </cfRule>
    <cfRule type="expression" priority="2558" dxfId="22">
      <formula>AV89="후보"</formula>
    </cfRule>
  </conditionalFormatting>
  <conditionalFormatting sqref="AC89 N89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AV90">
    <cfRule type="expression" priority="2552" dxfId="23">
      <formula>AV90="X"</formula>
    </cfRule>
    <cfRule type="expression" priority="2553" dxfId="22">
      <formula>AV90="후보"</formula>
    </cfRule>
  </conditionalFormatting>
  <conditionalFormatting sqref="AC90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90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23">
      <formula>AV91="X"</formula>
    </cfRule>
    <cfRule type="expression" priority="2534" dxfId="22">
      <formula>AV91="후보"</formula>
    </cfRule>
  </conditionalFormatting>
  <conditionalFormatting sqref="AC91">
    <cfRule type="cellIs" priority="2530" operator="greaterThan" dxfId="17">
      <formula>0.9</formula>
    </cfRule>
    <cfRule type="cellIs" priority="2531" operator="greaterThan" dxfId="16">
      <formula>0.85</formula>
    </cfRule>
  </conditionalFormatting>
  <conditionalFormatting sqref="N91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23">
      <formula>AV92="X"</formula>
    </cfRule>
    <cfRule type="expression" priority="2515" dxfId="22">
      <formula>AV92="후보"</formula>
    </cfRule>
  </conditionalFormatting>
  <conditionalFormatting sqref="AC92">
    <cfRule type="cellIs" priority="2511" operator="greaterThan" dxfId="17">
      <formula>0.9</formula>
    </cfRule>
    <cfRule type="cellIs" priority="2512" operator="greaterThan" dxfId="16">
      <formula>0.85</formula>
    </cfRule>
  </conditionalFormatting>
  <conditionalFormatting sqref="N92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23">
      <formula>AV93="X"</formula>
    </cfRule>
    <cfRule type="expression" priority="2496" dxfId="22">
      <formula>AV93="후보"</formula>
    </cfRule>
  </conditionalFormatting>
  <conditionalFormatting sqref="AC93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3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23">
      <formula>AV94="X"</formula>
    </cfRule>
    <cfRule type="expression" priority="2477" dxfId="22">
      <formula>AV94="후보"</formula>
    </cfRule>
  </conditionalFormatting>
  <conditionalFormatting sqref="AC94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4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23">
      <formula>AV95="X"</formula>
    </cfRule>
    <cfRule type="expression" priority="2458" dxfId="22">
      <formula>AV95="후보"</formula>
    </cfRule>
  </conditionalFormatting>
  <conditionalFormatting sqref="AC95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5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23">
      <formula>AV96="X"</formula>
    </cfRule>
    <cfRule type="expression" priority="2439" dxfId="22">
      <formula>AV96="후보"</formula>
    </cfRule>
  </conditionalFormatting>
  <conditionalFormatting sqref="AC96 N96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AV97">
    <cfRule type="expression" priority="2433" dxfId="23">
      <formula>AV97="X"</formula>
    </cfRule>
    <cfRule type="expression" priority="2434" dxfId="22">
      <formula>AV97="후보"</formula>
    </cfRule>
  </conditionalFormatting>
  <conditionalFormatting sqref="AC9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N97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23">
      <formula>AV98="X"</formula>
    </cfRule>
    <cfRule type="expression" priority="2415" dxfId="22">
      <formula>AV98="후보"</formula>
    </cfRule>
  </conditionalFormatting>
  <conditionalFormatting sqref="AC9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23">
      <formula>AV99="X"</formula>
    </cfRule>
    <cfRule type="expression" priority="2396" dxfId="22">
      <formula>AV99="후보"</formula>
    </cfRule>
  </conditionalFormatting>
  <conditionalFormatting sqref="AC99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9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23">
      <formula>AV100="X"</formula>
    </cfRule>
    <cfRule type="expression" priority="2377" dxfId="22">
      <formula>AV100="후보"</formula>
    </cfRule>
  </conditionalFormatting>
  <conditionalFormatting sqref="AC100 N10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AV101">
    <cfRule type="expression" priority="2371" dxfId="23">
      <formula>AV101="X"</formula>
    </cfRule>
    <cfRule type="expression" priority="2372" dxfId="22">
      <formula>AV101="후보"</formula>
    </cfRule>
  </conditionalFormatting>
  <conditionalFormatting sqref="AC10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101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23">
      <formula>AV102="X"</formula>
    </cfRule>
    <cfRule type="expression" priority="2353" dxfId="22">
      <formula>AV102="후보"</formula>
    </cfRule>
  </conditionalFormatting>
  <conditionalFormatting sqref="AC102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102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23">
      <formula>AV103="X"</formula>
    </cfRule>
    <cfRule type="expression" priority="2334" dxfId="22">
      <formula>AV103="후보"</formula>
    </cfRule>
  </conditionalFormatting>
  <conditionalFormatting sqref="AC103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103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23">
      <formula>AV104="X"</formula>
    </cfRule>
    <cfRule type="expression" priority="2315" dxfId="22">
      <formula>AV104="후보"</formula>
    </cfRule>
  </conditionalFormatting>
  <conditionalFormatting sqref="AC104 N104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AV105">
    <cfRule type="expression" priority="2309" dxfId="23">
      <formula>AV105="X"</formula>
    </cfRule>
    <cfRule type="expression" priority="2310" dxfId="22">
      <formula>AV105="후보"</formula>
    </cfRule>
  </conditionalFormatting>
  <conditionalFormatting sqref="AC10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105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23">
      <formula>AV106="X"</formula>
    </cfRule>
    <cfRule type="expression" priority="2291" dxfId="22">
      <formula>AV106="후보"</formula>
    </cfRule>
  </conditionalFormatting>
  <conditionalFormatting sqref="AC10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6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23">
      <formula>AV107="X"</formula>
    </cfRule>
    <cfRule type="expression" priority="2272" dxfId="22">
      <formula>AV107="후보"</formula>
    </cfRule>
  </conditionalFormatting>
  <conditionalFormatting sqref="AC10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07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23">
      <formula>AV108="X"</formula>
    </cfRule>
    <cfRule type="expression" priority="2253" dxfId="22">
      <formula>AV108="후보"</formula>
    </cfRule>
  </conditionalFormatting>
  <conditionalFormatting sqref="AC10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0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23">
      <formula>AV109="X"</formula>
    </cfRule>
    <cfRule type="expression" priority="2234" dxfId="22">
      <formula>AV109="후보"</formula>
    </cfRule>
  </conditionalFormatting>
  <conditionalFormatting sqref="AC10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9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23">
      <formula>AV110="X"</formula>
    </cfRule>
    <cfRule type="expression" priority="2215" dxfId="22">
      <formula>AV110="후보"</formula>
    </cfRule>
  </conditionalFormatting>
  <conditionalFormatting sqref="AC11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23">
      <formula>AV111="X"</formula>
    </cfRule>
    <cfRule type="expression" priority="2196" dxfId="22">
      <formula>AV111="후보"</formula>
    </cfRule>
  </conditionalFormatting>
  <conditionalFormatting sqref="AC11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11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23">
      <formula>AV112="X"</formula>
    </cfRule>
    <cfRule type="expression" priority="2177" dxfId="22">
      <formula>AV112="후보"</formula>
    </cfRule>
  </conditionalFormatting>
  <conditionalFormatting sqref="AC11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2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23">
      <formula>AV113="X"</formula>
    </cfRule>
    <cfRule type="expression" priority="2158" dxfId="22">
      <formula>AV113="후보"</formula>
    </cfRule>
  </conditionalFormatting>
  <conditionalFormatting sqref="AC11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3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23">
      <formula>AV114="X"</formula>
    </cfRule>
    <cfRule type="expression" priority="2139" dxfId="22">
      <formula>AV114="후보"</formula>
    </cfRule>
  </conditionalFormatting>
  <conditionalFormatting sqref="AC11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4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23">
      <formula>AV115="X"</formula>
    </cfRule>
    <cfRule type="expression" priority="2120" dxfId="22">
      <formula>AV115="후보"</formula>
    </cfRule>
  </conditionalFormatting>
  <conditionalFormatting sqref="AC115 N11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6">
    <cfRule type="expression" priority="2114" dxfId="23">
      <formula>AV116="X"</formula>
    </cfRule>
    <cfRule type="expression" priority="2115" dxfId="22">
      <formula>AV116="후보"</formula>
    </cfRule>
  </conditionalFormatting>
  <conditionalFormatting sqref="AC116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6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23">
      <formula>AV117="X"</formula>
    </cfRule>
    <cfRule type="expression" priority="2096" dxfId="22">
      <formula>AV117="후보"</formula>
    </cfRule>
  </conditionalFormatting>
  <conditionalFormatting sqref="AC117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7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23">
      <formula>AV118="X"</formula>
    </cfRule>
    <cfRule type="expression" priority="2077" dxfId="22">
      <formula>AV118="후보"</formula>
    </cfRule>
  </conditionalFormatting>
  <conditionalFormatting sqref="AC118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118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23">
      <formula>AV119="X"</formula>
    </cfRule>
    <cfRule type="expression" priority="2058" dxfId="22">
      <formula>AV119="후보"</formula>
    </cfRule>
  </conditionalFormatting>
  <conditionalFormatting sqref="AC119 N119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120">
    <cfRule type="expression" priority="2052" dxfId="23">
      <formula>AV120="X"</formula>
    </cfRule>
    <cfRule type="expression" priority="2053" dxfId="22">
      <formula>AV120="후보"</formula>
    </cfRule>
  </conditionalFormatting>
  <conditionalFormatting sqref="AC12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23">
      <formula>AV121="X"</formula>
    </cfRule>
    <cfRule type="expression" priority="2034" dxfId="22">
      <formula>AV121="후보"</formula>
    </cfRule>
  </conditionalFormatting>
  <conditionalFormatting sqref="AC121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21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23">
      <formula>AV122="X"</formula>
    </cfRule>
    <cfRule type="expression" priority="2015" dxfId="22">
      <formula>AV122="후보"</formula>
    </cfRule>
  </conditionalFormatting>
  <conditionalFormatting sqref="AC12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2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23">
      <formula>AV123="X"</formula>
    </cfRule>
    <cfRule type="expression" priority="1996" dxfId="22">
      <formula>AV123="후보"</formula>
    </cfRule>
  </conditionalFormatting>
  <conditionalFormatting sqref="AC123 N123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AV124">
    <cfRule type="expression" priority="1990" dxfId="23">
      <formula>AV124="X"</formula>
    </cfRule>
    <cfRule type="expression" priority="1991" dxfId="22">
      <formula>AV124="후보"</formula>
    </cfRule>
  </conditionalFormatting>
  <conditionalFormatting sqref="AC124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4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23">
      <formula>AV125="X"</formula>
    </cfRule>
    <cfRule type="expression" priority="1972" dxfId="22">
      <formula>AV125="후보"</formula>
    </cfRule>
  </conditionalFormatting>
  <conditionalFormatting sqref="AC125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5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23">
      <formula>AV126="X"</formula>
    </cfRule>
    <cfRule type="expression" priority="1953" dxfId="22">
      <formula>AV126="후보"</formula>
    </cfRule>
  </conditionalFormatting>
  <conditionalFormatting sqref="AC126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N126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23">
      <formula>AV127="X"</formula>
    </cfRule>
    <cfRule type="expression" priority="1934" dxfId="22">
      <formula>AV127="후보"</formula>
    </cfRule>
  </conditionalFormatting>
  <conditionalFormatting sqref="AC127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27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23">
      <formula>AV128="X"</formula>
    </cfRule>
    <cfRule type="expression" priority="1915" dxfId="22">
      <formula>AV128="후보"</formula>
    </cfRule>
  </conditionalFormatting>
  <conditionalFormatting sqref="AC128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28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23">
      <formula>AV129="X"</formula>
    </cfRule>
    <cfRule type="expression" priority="1896" dxfId="22">
      <formula>AV129="후보"</formula>
    </cfRule>
  </conditionalFormatting>
  <conditionalFormatting sqref="AC129 N129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AV130">
    <cfRule type="expression" priority="1890" dxfId="23">
      <formula>AV130="X"</formula>
    </cfRule>
    <cfRule type="expression" priority="1891" dxfId="22">
      <formula>AV130="후보"</formula>
    </cfRule>
  </conditionalFormatting>
  <conditionalFormatting sqref="AC13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23">
      <formula>AV131="X"</formula>
    </cfRule>
    <cfRule type="expression" priority="1872" dxfId="22">
      <formula>AV131="후보"</formula>
    </cfRule>
  </conditionalFormatting>
  <conditionalFormatting sqref="AC131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N131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23">
      <formula>AV132="X"</formula>
    </cfRule>
    <cfRule type="expression" priority="1853" dxfId="22">
      <formula>AV132="후보"</formula>
    </cfRule>
  </conditionalFormatting>
  <conditionalFormatting sqref="AC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2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23">
      <formula>AV133="X"</formula>
    </cfRule>
    <cfRule type="expression" priority="1834" dxfId="22">
      <formula>AV133="후보"</formula>
    </cfRule>
  </conditionalFormatting>
  <conditionalFormatting sqref="AC133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33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23">
      <formula>AV134="X"</formula>
    </cfRule>
    <cfRule type="expression" priority="1815" dxfId="22">
      <formula>AV134="후보"</formula>
    </cfRule>
  </conditionalFormatting>
  <conditionalFormatting sqref="AC134 N13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AV135">
    <cfRule type="expression" priority="1809" dxfId="23">
      <formula>AV135="X"</formula>
    </cfRule>
    <cfRule type="expression" priority="1810" dxfId="22">
      <formula>AV135="후보"</formula>
    </cfRule>
  </conditionalFormatting>
  <conditionalFormatting sqref="AC13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N135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23">
      <formula>AV136="X"</formula>
    </cfRule>
    <cfRule type="expression" priority="1791" dxfId="22">
      <formula>AV136="후보"</formula>
    </cfRule>
  </conditionalFormatting>
  <conditionalFormatting sqref="AC13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N136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23">
      <formula>AV137="X"</formula>
    </cfRule>
    <cfRule type="expression" priority="1772" dxfId="22">
      <formula>AV137="후보"</formula>
    </cfRule>
  </conditionalFormatting>
  <conditionalFormatting sqref="AC13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N137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23">
      <formula>AV138="X"</formula>
    </cfRule>
    <cfRule type="expression" priority="1753" dxfId="22">
      <formula>AV138="후보"</formula>
    </cfRule>
  </conditionalFormatting>
  <conditionalFormatting sqref="AC13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3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23">
      <formula>AV139="X"</formula>
    </cfRule>
    <cfRule type="expression" priority="1734" dxfId="22">
      <formula>AV139="후보"</formula>
    </cfRule>
  </conditionalFormatting>
  <conditionalFormatting sqref="AC13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3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23">
      <formula>AV140="X"</formula>
    </cfRule>
    <cfRule type="expression" priority="1715" dxfId="22">
      <formula>AV140="후보"</formula>
    </cfRule>
  </conditionalFormatting>
  <conditionalFormatting sqref="AC14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14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23">
      <formula>AV141="X"</formula>
    </cfRule>
    <cfRule type="expression" priority="1696" dxfId="22">
      <formula>AV141="후보"</formula>
    </cfRule>
  </conditionalFormatting>
  <conditionalFormatting sqref="AC14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14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23">
      <formula>AV142="X"</formula>
    </cfRule>
    <cfRule type="expression" priority="1677" dxfId="22">
      <formula>AV142="후보"</formula>
    </cfRule>
  </conditionalFormatting>
  <conditionalFormatting sqref="AC14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4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23">
      <formula>AV143="X"</formula>
    </cfRule>
    <cfRule type="expression" priority="1658" dxfId="22">
      <formula>AV143="후보"</formula>
    </cfRule>
  </conditionalFormatting>
  <conditionalFormatting sqref="AC14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43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23">
      <formula>AV144="X"</formula>
    </cfRule>
    <cfRule type="expression" priority="1639" dxfId="22">
      <formula>AV144="후보"</formula>
    </cfRule>
  </conditionalFormatting>
  <conditionalFormatting sqref="AC144 N14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45">
    <cfRule type="expression" priority="1633" dxfId="23">
      <formula>AV145="X"</formula>
    </cfRule>
    <cfRule type="expression" priority="1634" dxfId="22">
      <formula>AV145="후보"</formula>
    </cfRule>
  </conditionalFormatting>
  <conditionalFormatting sqref="AC14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4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23">
      <formula>AV146="X"</formula>
    </cfRule>
    <cfRule type="expression" priority="1615" dxfId="22">
      <formula>AV146="후보"</formula>
    </cfRule>
  </conditionalFormatting>
  <conditionalFormatting sqref="AC14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6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23">
      <formula>AV147="X"</formula>
    </cfRule>
    <cfRule type="expression" priority="1596" dxfId="22">
      <formula>AV147="후보"</formula>
    </cfRule>
  </conditionalFormatting>
  <conditionalFormatting sqref="AC147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47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23">
      <formula>AV148="X"</formula>
    </cfRule>
    <cfRule type="expression" priority="1577" dxfId="22">
      <formula>AV148="후보"</formula>
    </cfRule>
  </conditionalFormatting>
  <conditionalFormatting sqref="AC148 N148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149">
    <cfRule type="expression" priority="1571" dxfId="23">
      <formula>AV149="X"</formula>
    </cfRule>
    <cfRule type="expression" priority="1572" dxfId="22">
      <formula>AV149="후보"</formula>
    </cfRule>
  </conditionalFormatting>
  <conditionalFormatting sqref="AC14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4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23">
      <formula>AV150="X"</formula>
    </cfRule>
    <cfRule type="expression" priority="1553" dxfId="22">
      <formula>AV150="후보"</formula>
    </cfRule>
  </conditionalFormatting>
  <conditionalFormatting sqref="AC15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5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23">
      <formula>AV151="X"</formula>
    </cfRule>
    <cfRule type="expression" priority="1534" dxfId="22">
      <formula>AV151="후보"</formula>
    </cfRule>
  </conditionalFormatting>
  <conditionalFormatting sqref="AC15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23">
      <formula>AV152="X"</formula>
    </cfRule>
    <cfRule type="expression" priority="1515" dxfId="22">
      <formula>AV152="후보"</formula>
    </cfRule>
  </conditionalFormatting>
  <conditionalFormatting sqref="AC15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5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23">
      <formula>AV153="X"</formula>
    </cfRule>
    <cfRule type="expression" priority="1496" dxfId="22">
      <formula>AV153="후보"</formula>
    </cfRule>
  </conditionalFormatting>
  <conditionalFormatting sqref="AC15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5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23">
      <formula>AV154="X"</formula>
    </cfRule>
    <cfRule type="expression" priority="1477" dxfId="22">
      <formula>AV154="후보"</formula>
    </cfRule>
  </conditionalFormatting>
  <conditionalFormatting sqref="AC15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23">
      <formula>AV155="X"</formula>
    </cfRule>
    <cfRule type="expression" priority="1458" dxfId="22">
      <formula>AV155="후보"</formula>
    </cfRule>
  </conditionalFormatting>
  <conditionalFormatting sqref="AC155 N15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156">
    <cfRule type="expression" priority="1452" dxfId="23">
      <formula>AV156="X"</formula>
    </cfRule>
    <cfRule type="expression" priority="1453" dxfId="22">
      <formula>AV156="후보"</formula>
    </cfRule>
  </conditionalFormatting>
  <conditionalFormatting sqref="AC156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5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23">
      <formula>AV157="X"</formula>
    </cfRule>
    <cfRule type="expression" priority="1434" dxfId="22">
      <formula>AV157="후보"</formula>
    </cfRule>
  </conditionalFormatting>
  <conditionalFormatting sqref="AC157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5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23">
      <formula>AV158="X"</formula>
    </cfRule>
    <cfRule type="expression" priority="1415" dxfId="22">
      <formula>AV158="후보"</formula>
    </cfRule>
  </conditionalFormatting>
  <conditionalFormatting sqref="AC158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23">
      <formula>AV159="X"</formula>
    </cfRule>
    <cfRule type="expression" priority="1396" dxfId="22">
      <formula>AV159="후보"</formula>
    </cfRule>
  </conditionalFormatting>
  <conditionalFormatting sqref="AC159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5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23">
      <formula>AV160="X"</formula>
    </cfRule>
    <cfRule type="expression" priority="1377" dxfId="22">
      <formula>AV160="후보"</formula>
    </cfRule>
  </conditionalFormatting>
  <conditionalFormatting sqref="AC160 N16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61">
    <cfRule type="expression" priority="1371" dxfId="23">
      <formula>AV161="X"</formula>
    </cfRule>
    <cfRule type="expression" priority="1372" dxfId="22">
      <formula>AV161="후보"</formula>
    </cfRule>
  </conditionalFormatting>
  <conditionalFormatting sqref="AC161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23">
      <formula>AV162="X"</formula>
    </cfRule>
    <cfRule type="expression" priority="1353" dxfId="22">
      <formula>AV162="후보"</formula>
    </cfRule>
  </conditionalFormatting>
  <conditionalFormatting sqref="AC162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23">
      <formula>AV163="X"</formula>
    </cfRule>
    <cfRule type="expression" priority="1334" dxfId="22">
      <formula>AV163="후보"</formula>
    </cfRule>
  </conditionalFormatting>
  <conditionalFormatting sqref="AC163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6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23">
      <formula>AV164="X"</formula>
    </cfRule>
    <cfRule type="expression" priority="1315" dxfId="22">
      <formula>AV164="후보"</formula>
    </cfRule>
  </conditionalFormatting>
  <conditionalFormatting sqref="AC164 N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165">
    <cfRule type="expression" priority="1309" dxfId="23">
      <formula>AV165="X"</formula>
    </cfRule>
    <cfRule type="expression" priority="1310" dxfId="22">
      <formula>AV165="후보"</formula>
    </cfRule>
  </conditionalFormatting>
  <conditionalFormatting sqref="AC165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16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23">
      <formula>AV166="X"</formula>
    </cfRule>
    <cfRule type="expression" priority="1291" dxfId="22">
      <formula>AV166="후보"</formula>
    </cfRule>
  </conditionalFormatting>
  <conditionalFormatting sqref="AC166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16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23">
      <formula>AV167="X"</formula>
    </cfRule>
    <cfRule type="expression" priority="1272" dxfId="22">
      <formula>AV167="후보"</formula>
    </cfRule>
  </conditionalFormatting>
  <conditionalFormatting sqref="AC167 N167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168">
    <cfRule type="expression" priority="1266" dxfId="23">
      <formula>AV168="X"</formula>
    </cfRule>
    <cfRule type="expression" priority="1267" dxfId="22">
      <formula>AV168="후보"</formula>
    </cfRule>
  </conditionalFormatting>
  <conditionalFormatting sqref="AC168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68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23">
      <formula>AV169="X"</formula>
    </cfRule>
    <cfRule type="expression" priority="1248" dxfId="22">
      <formula>AV169="후보"</formula>
    </cfRule>
  </conditionalFormatting>
  <conditionalFormatting sqref="AC169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169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23">
      <formula>AV170="X"</formula>
    </cfRule>
    <cfRule type="expression" priority="1229" dxfId="22">
      <formula>AV170="후보"</formula>
    </cfRule>
  </conditionalFormatting>
  <conditionalFormatting sqref="AC170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170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23">
      <formula>AV171="X"</formula>
    </cfRule>
    <cfRule type="expression" priority="1210" dxfId="22">
      <formula>AV171="후보"</formula>
    </cfRule>
  </conditionalFormatting>
  <conditionalFormatting sqref="AC171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171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23">
      <formula>AV172="X"</formula>
    </cfRule>
    <cfRule type="expression" priority="1191" dxfId="22">
      <formula>AV172="후보"</formula>
    </cfRule>
  </conditionalFormatting>
  <conditionalFormatting sqref="AC172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7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23">
      <formula>AV173="X"</formula>
    </cfRule>
    <cfRule type="expression" priority="1172" dxfId="22">
      <formula>AV173="후보"</formula>
    </cfRule>
  </conditionalFormatting>
  <conditionalFormatting sqref="AC173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73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23">
      <formula>AV174="X"</formula>
    </cfRule>
    <cfRule type="expression" priority="1153" dxfId="22">
      <formula>AV174="후보"</formula>
    </cfRule>
  </conditionalFormatting>
  <conditionalFormatting sqref="AC174 N17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175">
    <cfRule type="expression" priority="1147" dxfId="23">
      <formula>AV175="X"</formula>
    </cfRule>
    <cfRule type="expression" priority="1148" dxfId="22">
      <formula>AV175="후보"</formula>
    </cfRule>
  </conditionalFormatting>
  <conditionalFormatting sqref="AC175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175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23">
      <formula>AV176="X"</formula>
    </cfRule>
    <cfRule type="expression" priority="1129" dxfId="22">
      <formula>AV176="후보"</formula>
    </cfRule>
  </conditionalFormatting>
  <conditionalFormatting sqref="AC176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76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23">
      <formula>AV177="X"</formula>
    </cfRule>
    <cfRule type="expression" priority="1110" dxfId="22">
      <formula>AV177="후보"</formula>
    </cfRule>
  </conditionalFormatting>
  <conditionalFormatting sqref="AC177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77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23">
      <formula>AV178="X"</formula>
    </cfRule>
    <cfRule type="expression" priority="1091" dxfId="22">
      <formula>AV178="후보"</formula>
    </cfRule>
  </conditionalFormatting>
  <conditionalFormatting sqref="AC178 N178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179">
    <cfRule type="expression" priority="1085" dxfId="23">
      <formula>AV179="X"</formula>
    </cfRule>
    <cfRule type="expression" priority="1086" dxfId="22">
      <formula>AV179="후보"</formula>
    </cfRule>
  </conditionalFormatting>
  <conditionalFormatting sqref="AC179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179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23">
      <formula>AV180="X"</formula>
    </cfRule>
    <cfRule type="expression" priority="1067" dxfId="22">
      <formula>AV180="후보"</formula>
    </cfRule>
  </conditionalFormatting>
  <conditionalFormatting sqref="AC180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80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23">
      <formula>AV181="X"</formula>
    </cfRule>
    <cfRule type="expression" priority="1048" dxfId="22">
      <formula>AV181="후보"</formula>
    </cfRule>
  </conditionalFormatting>
  <conditionalFormatting sqref="AC181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81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23">
      <formula>AV182="X"</formula>
    </cfRule>
    <cfRule type="expression" priority="1029" dxfId="22">
      <formula>AV182="후보"</formula>
    </cfRule>
  </conditionalFormatting>
  <conditionalFormatting sqref="AC182 N182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183">
    <cfRule type="expression" priority="1023" dxfId="23">
      <formula>AV183="X"</formula>
    </cfRule>
    <cfRule type="expression" priority="1024" dxfId="22">
      <formula>AV183="후보"</formula>
    </cfRule>
  </conditionalFormatting>
  <conditionalFormatting sqref="AC18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23">
      <formula>AV184="X"</formula>
    </cfRule>
    <cfRule type="expression" priority="1005" dxfId="22">
      <formula>AV184="후보"</formula>
    </cfRule>
  </conditionalFormatting>
  <conditionalFormatting sqref="AC18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23">
      <formula>AV185="X"</formula>
    </cfRule>
    <cfRule type="expression" priority="986" dxfId="22">
      <formula>AV185="후보"</formula>
    </cfRule>
  </conditionalFormatting>
  <conditionalFormatting sqref="AC18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8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23">
      <formula>AV186="X"</formula>
    </cfRule>
    <cfRule type="expression" priority="967" dxfId="22">
      <formula>AV186="후보"</formula>
    </cfRule>
  </conditionalFormatting>
  <conditionalFormatting sqref="AC186 N18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87">
    <cfRule type="expression" priority="961" dxfId="23">
      <formula>AV187="X"</formula>
    </cfRule>
    <cfRule type="expression" priority="962" dxfId="22">
      <formula>AV187="후보"</formula>
    </cfRule>
  </conditionalFormatting>
  <conditionalFormatting sqref="AC18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8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23">
      <formula>AV188="X"</formula>
    </cfRule>
    <cfRule type="expression" priority="943" dxfId="22">
      <formula>AV188="후보"</formula>
    </cfRule>
  </conditionalFormatting>
  <conditionalFormatting sqref="AC18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8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23">
      <formula>AV189="X"</formula>
    </cfRule>
    <cfRule type="expression" priority="924" dxfId="22">
      <formula>AV189="후보"</formula>
    </cfRule>
  </conditionalFormatting>
  <conditionalFormatting sqref="AC18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8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23">
      <formula>AV190="X"</formula>
    </cfRule>
    <cfRule type="expression" priority="905" dxfId="22">
      <formula>AV190="후보"</formula>
    </cfRule>
  </conditionalFormatting>
  <conditionalFormatting sqref="AC19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9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23">
      <formula>AV191="X"</formula>
    </cfRule>
    <cfRule type="expression" priority="886" dxfId="22">
      <formula>AV191="후보"</formula>
    </cfRule>
  </conditionalFormatting>
  <conditionalFormatting sqref="AC191 N19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AV192">
    <cfRule type="expression" priority="880" dxfId="23">
      <formula>AV192="X"</formula>
    </cfRule>
    <cfRule type="expression" priority="881" dxfId="22">
      <formula>AV192="후보"</formula>
    </cfRule>
  </conditionalFormatting>
  <conditionalFormatting sqref="AC1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23">
      <formula>AV193="X"</formula>
    </cfRule>
    <cfRule type="expression" priority="862" dxfId="22">
      <formula>AV193="후보"</formula>
    </cfRule>
  </conditionalFormatting>
  <conditionalFormatting sqref="AC19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19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23">
      <formula>AV194="X"</formula>
    </cfRule>
    <cfRule type="expression" priority="843" dxfId="22">
      <formula>AV194="후보"</formula>
    </cfRule>
  </conditionalFormatting>
  <conditionalFormatting sqref="AC19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9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23">
      <formula>AV195="X"</formula>
    </cfRule>
    <cfRule type="expression" priority="824" dxfId="22">
      <formula>AV195="후보"</formula>
    </cfRule>
  </conditionalFormatting>
  <conditionalFormatting sqref="AC19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9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23">
      <formula>AV196="X"</formula>
    </cfRule>
    <cfRule type="expression" priority="805" dxfId="22">
      <formula>AV196="후보"</formula>
    </cfRule>
  </conditionalFormatting>
  <conditionalFormatting sqref="AC19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9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23">
      <formula>AV197="X"</formula>
    </cfRule>
    <cfRule type="expression" priority="786" dxfId="22">
      <formula>AV197="후보"</formula>
    </cfRule>
  </conditionalFormatting>
  <conditionalFormatting sqref="AC197 N19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98">
    <cfRule type="expression" priority="780" dxfId="23">
      <formula>AV198="X"</formula>
    </cfRule>
    <cfRule type="expression" priority="781" dxfId="22">
      <formula>AV198="후보"</formula>
    </cfRule>
  </conditionalFormatting>
  <conditionalFormatting sqref="AC19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9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23">
      <formula>AV199="X"</formula>
    </cfRule>
    <cfRule type="expression" priority="762" dxfId="22">
      <formula>AV199="후보"</formula>
    </cfRule>
  </conditionalFormatting>
  <conditionalFormatting sqref="AC19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9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23">
      <formula>AV200="X"</formula>
    </cfRule>
    <cfRule type="expression" priority="743" dxfId="22">
      <formula>AV200="후보"</formula>
    </cfRule>
  </conditionalFormatting>
  <conditionalFormatting sqref="AC20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0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23">
      <formula>AV201="X"</formula>
    </cfRule>
    <cfRule type="expression" priority="724" dxfId="22">
      <formula>AV201="후보"</formula>
    </cfRule>
  </conditionalFormatting>
  <conditionalFormatting sqref="AC201 N20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202">
    <cfRule type="expression" priority="718" dxfId="23">
      <formula>AV202="X"</formula>
    </cfRule>
    <cfRule type="expression" priority="719" dxfId="22">
      <formula>AV202="후보"</formula>
    </cfRule>
  </conditionalFormatting>
  <conditionalFormatting sqref="AC2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0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23">
      <formula>AV203="X"</formula>
    </cfRule>
    <cfRule type="expression" priority="700" dxfId="22">
      <formula>AV203="후보"</formula>
    </cfRule>
  </conditionalFormatting>
  <conditionalFormatting sqref="AC20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20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23">
      <formula>AV204="X"</formula>
    </cfRule>
    <cfRule type="expression" priority="681" dxfId="22">
      <formula>AV204="후보"</formula>
    </cfRule>
  </conditionalFormatting>
  <conditionalFormatting sqref="AC20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20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23">
      <formula>AV205="X"</formula>
    </cfRule>
    <cfRule type="expression" priority="662" dxfId="22">
      <formula>AV205="후보"</formula>
    </cfRule>
  </conditionalFormatting>
  <conditionalFormatting sqref="AC20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20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23">
      <formula>AV206="X"</formula>
    </cfRule>
    <cfRule type="expression" priority="643" dxfId="22">
      <formula>AV206="후보"</formula>
    </cfRule>
  </conditionalFormatting>
  <conditionalFormatting sqref="AC20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23">
      <formula>AV207="X"</formula>
    </cfRule>
    <cfRule type="expression" priority="624" dxfId="22">
      <formula>AV207="후보"</formula>
    </cfRule>
  </conditionalFormatting>
  <conditionalFormatting sqref="AC20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0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23">
      <formula>AV208="X"</formula>
    </cfRule>
    <cfRule type="expression" priority="605" dxfId="22">
      <formula>AV208="후보"</formula>
    </cfRule>
  </conditionalFormatting>
  <conditionalFormatting sqref="AC20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8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23">
      <formula>AV209="X"</formula>
    </cfRule>
    <cfRule type="expression" priority="586" dxfId="22">
      <formula>AV209="후보"</formula>
    </cfRule>
  </conditionalFormatting>
  <conditionalFormatting sqref="AC209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9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23">
      <formula>AV210="X"</formula>
    </cfRule>
    <cfRule type="expression" priority="567" dxfId="22">
      <formula>AV210="후보"</formula>
    </cfRule>
  </conditionalFormatting>
  <conditionalFormatting sqref="AC210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0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23">
      <formula>AV211="X"</formula>
    </cfRule>
    <cfRule type="expression" priority="548" dxfId="22">
      <formula>AV211="후보"</formula>
    </cfRule>
  </conditionalFormatting>
  <conditionalFormatting sqref="AC2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23">
      <formula>AV212="X"</formula>
    </cfRule>
    <cfRule type="expression" priority="529" dxfId="22">
      <formula>AV212="후보"</formula>
    </cfRule>
  </conditionalFormatting>
  <conditionalFormatting sqref="AC2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23">
      <formula>AV213="X"</formula>
    </cfRule>
    <cfRule type="expression" priority="510" dxfId="22">
      <formula>AV213="후보"</formula>
    </cfRule>
  </conditionalFormatting>
  <conditionalFormatting sqref="AC2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23">
      <formula>AV214="X"</formula>
    </cfRule>
    <cfRule type="expression" priority="491" dxfId="22">
      <formula>AV214="후보"</formula>
    </cfRule>
  </conditionalFormatting>
  <conditionalFormatting sqref="AC214 N2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5">
    <cfRule type="expression" priority="485" dxfId="23">
      <formula>AV215="X"</formula>
    </cfRule>
    <cfRule type="expression" priority="486" dxfId="22">
      <formula>AV215="후보"</formula>
    </cfRule>
  </conditionalFormatting>
  <conditionalFormatting sqref="AC21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23">
      <formula>AV216="X"</formula>
    </cfRule>
    <cfRule type="expression" priority="467" dxfId="22">
      <formula>AV216="후보"</formula>
    </cfRule>
  </conditionalFormatting>
  <conditionalFormatting sqref="AC2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23">
      <formula>AV217="X"</formula>
    </cfRule>
    <cfRule type="expression" priority="448" dxfId="22">
      <formula>AV217="후보"</formula>
    </cfRule>
  </conditionalFormatting>
  <conditionalFormatting sqref="AC2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23">
      <formula>AV218="X"</formula>
    </cfRule>
    <cfRule type="expression" priority="429" dxfId="22">
      <formula>AV218="후보"</formula>
    </cfRule>
  </conditionalFormatting>
  <conditionalFormatting sqref="AC218 N2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9">
    <cfRule type="expression" priority="423" dxfId="23">
      <formula>AV219="X"</formula>
    </cfRule>
    <cfRule type="expression" priority="424" dxfId="22">
      <formula>AV219="후보"</formula>
    </cfRule>
  </conditionalFormatting>
  <conditionalFormatting sqref="AC21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23">
      <formula>AV220="X"</formula>
    </cfRule>
    <cfRule type="expression" priority="405" dxfId="22">
      <formula>AV220="후보"</formula>
    </cfRule>
  </conditionalFormatting>
  <conditionalFormatting sqref="AC22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23">
      <formula>AV221="X"</formula>
    </cfRule>
    <cfRule type="expression" priority="386" dxfId="22">
      <formula>AV221="후보"</formula>
    </cfRule>
  </conditionalFormatting>
  <conditionalFormatting sqref="AC2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23">
      <formula>AV222="X"</formula>
    </cfRule>
    <cfRule type="expression" priority="367" dxfId="22">
      <formula>AV222="후보"</formula>
    </cfRule>
  </conditionalFormatting>
  <conditionalFormatting sqref="AC222 N2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3">
    <cfRule type="expression" priority="361" dxfId="23">
      <formula>AV223="X"</formula>
    </cfRule>
    <cfRule type="expression" priority="362" dxfId="22">
      <formula>AV223="후보"</formula>
    </cfRule>
  </conditionalFormatting>
  <conditionalFormatting sqref="AC22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23">
      <formula>AV224="X"</formula>
    </cfRule>
    <cfRule type="expression" priority="343" dxfId="22">
      <formula>AV224="후보"</formula>
    </cfRule>
  </conditionalFormatting>
  <conditionalFormatting sqref="AC2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23">
      <formula>AV225="X"</formula>
    </cfRule>
    <cfRule type="expression" priority="324" dxfId="22">
      <formula>AV225="후보"</formula>
    </cfRule>
  </conditionalFormatting>
  <conditionalFormatting sqref="AC2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23">
      <formula>AV226="X"</formula>
    </cfRule>
    <cfRule type="expression" priority="305" dxfId="22">
      <formula>AV226="후보"</formula>
    </cfRule>
  </conditionalFormatting>
  <conditionalFormatting sqref="AC2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23">
      <formula>AV227="X"</formula>
    </cfRule>
    <cfRule type="expression" priority="286" dxfId="22">
      <formula>AV227="후보"</formula>
    </cfRule>
  </conditionalFormatting>
  <conditionalFormatting sqref="AC227 N2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8">
    <cfRule type="expression" priority="280" dxfId="23">
      <formula>AV228="X"</formula>
    </cfRule>
    <cfRule type="expression" priority="281" dxfId="22">
      <formula>AV228="후보"</formula>
    </cfRule>
  </conditionalFormatting>
  <conditionalFormatting sqref="AC2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23">
      <formula>AV229="X"</formula>
    </cfRule>
    <cfRule type="expression" priority="262" dxfId="22">
      <formula>AV229="후보"</formula>
    </cfRule>
  </conditionalFormatting>
  <conditionalFormatting sqref="AC2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23">
      <formula>AV230="X"</formula>
    </cfRule>
    <cfRule type="expression" priority="243" dxfId="22">
      <formula>AV230="후보"</formula>
    </cfRule>
  </conditionalFormatting>
  <conditionalFormatting sqref="AC2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23">
      <formula>AV231="X"</formula>
    </cfRule>
    <cfRule type="expression" priority="224" dxfId="22">
      <formula>AV231="후보"</formula>
    </cfRule>
  </conditionalFormatting>
  <conditionalFormatting sqref="AC231 N2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2">
    <cfRule type="expression" priority="218" dxfId="23">
      <formula>AV232="X"</formula>
    </cfRule>
    <cfRule type="expression" priority="219" dxfId="22">
      <formula>AV232="후보"</formula>
    </cfRule>
  </conditionalFormatting>
  <conditionalFormatting sqref="AC2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23">
      <formula>AV233="X"</formula>
    </cfRule>
    <cfRule type="expression" priority="200" dxfId="22">
      <formula>AV233="후보"</formula>
    </cfRule>
  </conditionalFormatting>
  <conditionalFormatting sqref="AC2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23">
      <formula>AV234="X"</formula>
    </cfRule>
    <cfRule type="expression" priority="181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 N23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36">
    <cfRule type="expression" priority="156" dxfId="23">
      <formula>AV236="X"</formula>
    </cfRule>
    <cfRule type="expression" priority="157" dxfId="22">
      <formula>AV236="후보"</formula>
    </cfRule>
  </conditionalFormatting>
  <conditionalFormatting sqref="AC2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23">
      <formula>AV237="X"</formula>
    </cfRule>
    <cfRule type="expression" priority="138" dxfId="22">
      <formula>AV237="후보"</formula>
    </cfRule>
  </conditionalFormatting>
  <conditionalFormatting sqref="AC2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23">
      <formula>AV238="X"</formula>
    </cfRule>
    <cfRule type="expression" priority="119" dxfId="22">
      <formula>AV238="후보"</formula>
    </cfRule>
  </conditionalFormatting>
  <conditionalFormatting sqref="AC2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23">
      <formula>AV239="X"</formula>
    </cfRule>
    <cfRule type="expression" priority="100" dxfId="22">
      <formula>AV239="후보"</formula>
    </cfRule>
  </conditionalFormatting>
  <conditionalFormatting sqref="AC2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23">
      <formula>AV240="X"</formula>
    </cfRule>
    <cfRule type="expression" priority="81" dxfId="22">
      <formula>AV240="후보"</formula>
    </cfRule>
  </conditionalFormatting>
  <conditionalFormatting sqref="AC2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23">
      <formula>AV241="X"</formula>
    </cfRule>
    <cfRule type="expression" priority="62" dxfId="22">
      <formula>AV241="후보"</formula>
    </cfRule>
  </conditionalFormatting>
  <conditionalFormatting sqref="AC2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23">
      <formula>AV242="X"</formula>
    </cfRule>
    <cfRule type="expression" priority="43" dxfId="22">
      <formula>AV242="후보"</formula>
    </cfRule>
  </conditionalFormatting>
  <conditionalFormatting sqref="AC242 N2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43">
    <cfRule type="expression" priority="37" dxfId="23">
      <formula>AV243="X"</formula>
    </cfRule>
    <cfRule type="expression" priority="38" dxfId="22">
      <formula>AV243="후보"</formula>
    </cfRule>
  </conditionalFormatting>
  <conditionalFormatting sqref="AC2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23">
      <formula>AV244="X"</formula>
    </cfRule>
    <cfRule type="expression" priority="19" dxfId="22">
      <formula>AV244="후보"</formula>
    </cfRule>
  </conditionalFormatting>
  <conditionalFormatting sqref="AC2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2022-07-06T14:29:32Z</dcterms:modified>
  <cp:lastModifiedBy>MinsuKwon</cp:lastModifiedBy>
  <cp:lastPrinted>2018-04-28T10:52:41Z</cp:lastPrinted>
</cp:coreProperties>
</file>