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0" activeTab="24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06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0676">
      <formula>18.1</formula>
    </cfRule>
    <cfRule type="cellIs" priority="69564" operator="lessThan" dxfId="10675">
      <formula>21.1</formula>
    </cfRule>
    <cfRule type="cellIs" priority="69565" operator="lessThan" dxfId="10674">
      <formula>24.1</formula>
    </cfRule>
    <cfRule type="cellIs" priority="69566" operator="lessThan" dxfId="1">
      <formula>30</formula>
    </cfRule>
    <cfRule type="cellIs" priority="69567" operator="lessThan" dxfId="1067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권곡동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모종삼일파라뷰더스위트</t>
        </is>
      </c>
      <c r="B6" s="16" t="inlineStr">
        <is>
          <t>'22.03.</t>
        </is>
      </c>
      <c r="C6" s="164" t="n">
        <v>346</v>
      </c>
      <c r="D6" s="161" t="n">
        <v>87.7</v>
      </c>
      <c r="E6" s="163" t="n">
        <v>27</v>
      </c>
      <c r="F6" s="161" t="n">
        <v>59.9</v>
      </c>
      <c r="G6" s="27" t="n">
        <v>18</v>
      </c>
      <c r="H6" s="164" t="n">
        <v>260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모종삼일파라뷰더스위트</t>
        </is>
      </c>
      <c r="B7" s="16" t="inlineStr">
        <is>
          <t>'22.03.</t>
        </is>
      </c>
      <c r="C7" s="164" t="n">
        <v>346</v>
      </c>
      <c r="D7" s="161" t="n">
        <v>87.7</v>
      </c>
      <c r="E7" s="163" t="n">
        <v>27</v>
      </c>
      <c r="F7" s="161" t="n">
        <v>60</v>
      </c>
      <c r="G7" s="27" t="n">
        <v>18</v>
      </c>
      <c r="H7" s="164" t="n">
        <v>86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87B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서해그랑블2단지</t>
        </is>
      </c>
      <c r="B9" s="16" t="inlineStr">
        <is>
          <t>'09.05.</t>
        </is>
      </c>
      <c r="C9" s="164" t="n">
        <v>537</v>
      </c>
      <c r="D9" s="161" t="n">
        <v>113.2</v>
      </c>
      <c r="E9" s="163" t="n">
        <v>34</v>
      </c>
      <c r="F9" s="161" t="n">
        <v>84.8</v>
      </c>
      <c r="G9" s="27" t="n">
        <v>26</v>
      </c>
      <c r="H9" s="164" t="n">
        <v>101</v>
      </c>
      <c r="I9" s="165" t="n">
        <v>28500</v>
      </c>
      <c r="J9" s="165" t="inlineStr">
        <is>
          <t>8</t>
        </is>
      </c>
      <c r="K9" s="165" t="n">
        <v>24000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서해그랑블2단지</t>
        </is>
      </c>
      <c r="B10" s="16" t="inlineStr">
        <is>
          <t>'09.05.</t>
        </is>
      </c>
      <c r="C10" s="164" t="n">
        <v>537</v>
      </c>
      <c r="D10" s="161" t="n">
        <v>113.7</v>
      </c>
      <c r="E10" s="163" t="n">
        <v>34</v>
      </c>
      <c r="F10" s="161" t="n">
        <v>84.5</v>
      </c>
      <c r="G10" s="27" t="n">
        <v>26</v>
      </c>
      <c r="H10" s="164" t="n">
        <v>101</v>
      </c>
      <c r="I10" s="165" t="n">
        <v>30000</v>
      </c>
      <c r="J10" s="165" t="inlineStr">
        <is>
          <t>13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113B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서해그랑블2단지</t>
        </is>
      </c>
      <c r="B11" s="16" t="inlineStr">
        <is>
          <t>'09.05.</t>
        </is>
      </c>
      <c r="C11" s="164" t="n">
        <v>537</v>
      </c>
      <c r="D11" s="161" t="n">
        <v>114.7</v>
      </c>
      <c r="E11" s="163" t="n">
        <v>35</v>
      </c>
      <c r="F11" s="161" t="n">
        <v>85</v>
      </c>
      <c r="G11" s="27" t="n">
        <v>26</v>
      </c>
      <c r="H11" s="164" t="n">
        <v>204</v>
      </c>
      <c r="I11" s="165" t="n">
        <v>30000</v>
      </c>
      <c r="J11" s="165" t="inlineStr">
        <is>
          <t>14</t>
        </is>
      </c>
      <c r="K11" s="165" t="n">
        <v>27000</v>
      </c>
      <c r="L11" s="165" t="inlineStr">
        <is>
          <t>11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서해그랑블2단지</t>
        </is>
      </c>
      <c r="B12" s="16" t="inlineStr">
        <is>
          <t>'09.05.</t>
        </is>
      </c>
      <c r="C12" s="164" t="n">
        <v>537</v>
      </c>
      <c r="D12" s="161" t="n">
        <v>115.7</v>
      </c>
      <c r="E12" s="163" t="n">
        <v>35</v>
      </c>
      <c r="F12" s="161" t="n">
        <v>84.5</v>
      </c>
      <c r="G12" s="27" t="n">
        <v>26</v>
      </c>
      <c r="H12" s="164" t="n">
        <v>15</v>
      </c>
      <c r="I12" s="165" t="n">
        <v>28000</v>
      </c>
      <c r="J12" s="165" t="inlineStr">
        <is>
          <t>11</t>
        </is>
      </c>
      <c r="K12" s="165" t="n">
        <v>24000</v>
      </c>
      <c r="L12" s="165" t="inlineStr">
        <is>
          <t>13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서해그랑블2단지</t>
        </is>
      </c>
      <c r="B13" s="16" t="inlineStr">
        <is>
          <t>'09.05.</t>
        </is>
      </c>
      <c r="C13" s="164" t="n">
        <v>537</v>
      </c>
      <c r="D13" s="161" t="n">
        <v>143.9</v>
      </c>
      <c r="E13" s="163" t="n">
        <v>44</v>
      </c>
      <c r="F13" s="161" t="n">
        <v>118.8</v>
      </c>
      <c r="G13" s="27" t="n">
        <v>36</v>
      </c>
      <c r="H13" s="164" t="n">
        <v>116</v>
      </c>
      <c r="I13" s="165" t="n">
        <v>33000</v>
      </c>
      <c r="J13" s="165" t="inlineStr">
        <is>
          <t>8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서해그랑블1단지</t>
        </is>
      </c>
      <c r="B15" s="16" t="inlineStr">
        <is>
          <t>'09.05.</t>
        </is>
      </c>
      <c r="C15" s="164" t="n">
        <v>506</v>
      </c>
      <c r="D15" s="161" t="n">
        <v>95.5</v>
      </c>
      <c r="E15" s="163" t="n">
        <v>29</v>
      </c>
      <c r="F15" s="161" t="n">
        <v>72</v>
      </c>
      <c r="G15" s="27" t="n">
        <v>22</v>
      </c>
      <c r="H15" s="164" t="n">
        <v>156</v>
      </c>
      <c r="I15" s="165" t="n">
        <v>25000</v>
      </c>
      <c r="J15" s="165" t="inlineStr">
        <is>
          <t>15</t>
        </is>
      </c>
      <c r="K15" s="165" t="n">
        <v>22500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서해그랑블1단지</t>
        </is>
      </c>
      <c r="B16" s="16" t="inlineStr">
        <is>
          <t>'09.05.</t>
        </is>
      </c>
      <c r="C16" s="164" t="n">
        <v>506</v>
      </c>
      <c r="D16" s="161" t="n">
        <v>112.8</v>
      </c>
      <c r="E16" s="163" t="n">
        <v>34</v>
      </c>
      <c r="F16" s="161" t="n">
        <v>84.8</v>
      </c>
      <c r="G16" s="27" t="n">
        <v>26</v>
      </c>
      <c r="H16" s="164" t="n">
        <v>174</v>
      </c>
      <c r="I16" s="165" t="n">
        <v>28000</v>
      </c>
      <c r="J16" s="165" t="inlineStr">
        <is>
          <t>10</t>
        </is>
      </c>
      <c r="K16" s="165" t="n">
        <v>26000</v>
      </c>
      <c r="L16" s="165" t="inlineStr">
        <is>
          <t>11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서해그랑블1단지</t>
        </is>
      </c>
      <c r="B17" s="16" t="inlineStr">
        <is>
          <t>'09.05.</t>
        </is>
      </c>
      <c r="C17" s="164" t="n">
        <v>506</v>
      </c>
      <c r="D17" s="161" t="n">
        <v>113.3</v>
      </c>
      <c r="E17" s="163" t="n">
        <v>34</v>
      </c>
      <c r="F17" s="161" t="n">
        <v>84.5</v>
      </c>
      <c r="G17" s="27" t="n">
        <v>26</v>
      </c>
      <c r="H17" s="164" t="n">
        <v>176</v>
      </c>
      <c r="I17" s="165" t="n">
        <v>27000</v>
      </c>
      <c r="J17" s="165" t="inlineStr">
        <is>
          <t>11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아산더샵퍼스트타워</t>
        </is>
      </c>
      <c r="B19" s="16" t="inlineStr">
        <is>
          <t>'09.06.</t>
        </is>
      </c>
      <c r="C19" s="164" t="n">
        <v>390</v>
      </c>
      <c r="D19" s="161" t="n">
        <v>127</v>
      </c>
      <c r="E19" s="163" t="n">
        <v>38</v>
      </c>
      <c r="F19" s="161" t="n">
        <v>99.5</v>
      </c>
      <c r="G19" s="27" t="n">
        <v>30</v>
      </c>
      <c r="H19" s="164" t="n">
        <v>160</v>
      </c>
      <c r="I19" s="165" t="n">
        <v>37000</v>
      </c>
      <c r="J19" s="165" t="inlineStr">
        <is>
          <t>15</t>
        </is>
      </c>
      <c r="K19" s="165" t="n">
        <v>28000</v>
      </c>
      <c r="L19" s="165" t="inlineStr">
        <is>
          <t>19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복</t>
        </is>
      </c>
      <c r="T19" s="8" t="n">
        <v>127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아산더샵퍼스트타워</t>
        </is>
      </c>
      <c r="B20" s="16" t="inlineStr">
        <is>
          <t>'09.06.</t>
        </is>
      </c>
      <c r="C20" s="164" t="n">
        <v>390</v>
      </c>
      <c r="D20" s="161" t="n">
        <v>161.3</v>
      </c>
      <c r="E20" s="163" t="n">
        <v>49</v>
      </c>
      <c r="F20" s="161" t="n">
        <v>126.7</v>
      </c>
      <c r="G20" s="27" t="n">
        <v>38</v>
      </c>
      <c r="H20" s="164" t="n">
        <v>64</v>
      </c>
      <c r="I20" s="165" t="n"/>
      <c r="J20" s="165" t="n"/>
      <c r="K20" s="165" t="n">
        <v>31000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복</t>
        </is>
      </c>
      <c r="T20" s="8" t="inlineStr">
        <is>
          <t>161A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아산더샵퍼스트타워</t>
        </is>
      </c>
      <c r="B21" s="16" t="inlineStr">
        <is>
          <t>'09.06.</t>
        </is>
      </c>
      <c r="C21" s="164" t="n">
        <v>390</v>
      </c>
      <c r="D21" s="161" t="n">
        <v>161.8</v>
      </c>
      <c r="E21" s="163" t="n">
        <v>49</v>
      </c>
      <c r="F21" s="161" t="n">
        <v>127.1</v>
      </c>
      <c r="G21" s="27" t="n">
        <v>38</v>
      </c>
      <c r="H21" s="164" t="n">
        <v>63</v>
      </c>
      <c r="I21" s="165" t="n">
        <v>49000</v>
      </c>
      <c r="J21" s="165" t="inlineStr">
        <is>
          <t>5</t>
        </is>
      </c>
      <c r="K21" s="165" t="n">
        <v>35000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복</t>
        </is>
      </c>
      <c r="T21" s="8" t="inlineStr">
        <is>
          <t>161B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아산더샵퍼스트타워</t>
        </is>
      </c>
      <c r="B22" s="16" t="inlineStr">
        <is>
          <t>'09.06.</t>
        </is>
      </c>
      <c r="C22" s="164" t="n">
        <v>390</v>
      </c>
      <c r="D22" s="161" t="n">
        <v>189.9</v>
      </c>
      <c r="E22" s="163" t="n">
        <v>57</v>
      </c>
      <c r="F22" s="161" t="n">
        <v>149</v>
      </c>
      <c r="G22" s="27" t="n">
        <v>45</v>
      </c>
      <c r="H22" s="164" t="n">
        <v>92</v>
      </c>
      <c r="I22" s="165" t="n">
        <v>48000</v>
      </c>
      <c r="J22" s="165" t="inlineStr">
        <is>
          <t>7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복</t>
        </is>
      </c>
      <c r="T22" s="8" t="n">
        <v>189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아산더샵퍼스트타워</t>
        </is>
      </c>
      <c r="B23" s="16" t="inlineStr">
        <is>
          <t>'09.06.</t>
        </is>
      </c>
      <c r="C23" s="164" t="n">
        <v>390</v>
      </c>
      <c r="D23" s="161" t="n">
        <v>225.9</v>
      </c>
      <c r="E23" s="163" t="n">
        <v>68</v>
      </c>
      <c r="F23" s="161" t="n">
        <v>176.7</v>
      </c>
      <c r="G23" s="27" t="n">
        <v>53</v>
      </c>
      <c r="H23" s="164" t="n">
        <v>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5</v>
      </c>
      <c r="R23" s="113" t="n">
        <v>3</v>
      </c>
      <c r="S23" s="113" t="inlineStr">
        <is>
          <t>복</t>
        </is>
      </c>
      <c r="T23" s="8" t="inlineStr">
        <is>
          <t>225B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아산더샵퍼스트타워</t>
        </is>
      </c>
      <c r="B24" s="16" t="inlineStr">
        <is>
          <t>'09.06.</t>
        </is>
      </c>
      <c r="C24" s="164" t="n">
        <v>390</v>
      </c>
      <c r="D24" s="161" t="n">
        <v>226.7</v>
      </c>
      <c r="E24" s="163" t="n">
        <v>69</v>
      </c>
      <c r="F24" s="161" t="n">
        <v>176.6</v>
      </c>
      <c r="G24" s="27" t="n">
        <v>53</v>
      </c>
      <c r="H24" s="164" t="n">
        <v>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5</v>
      </c>
      <c r="R24" s="113" t="n">
        <v>3</v>
      </c>
      <c r="S24" s="113" t="inlineStr">
        <is>
          <t>복</t>
        </is>
      </c>
      <c r="T24" s="8" t="inlineStr">
        <is>
          <t>226A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아산더샵퍼스트타워</t>
        </is>
      </c>
      <c r="B25" s="16" t="inlineStr">
        <is>
          <t>'09.06.</t>
        </is>
      </c>
      <c r="C25" s="164" t="n">
        <v>390</v>
      </c>
      <c r="D25" s="161" t="n">
        <v>263.4</v>
      </c>
      <c r="E25" s="163" t="n">
        <v>80</v>
      </c>
      <c r="F25" s="161" t="n">
        <v>206</v>
      </c>
      <c r="G25" s="27" t="n">
        <v>62</v>
      </c>
      <c r="H25" s="164" t="n">
        <v>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5</v>
      </c>
      <c r="R25" s="113" t="n">
        <v>3</v>
      </c>
      <c r="S25" s="113" t="inlineStr">
        <is>
          <t>복</t>
        </is>
      </c>
      <c r="T25" s="8" t="n">
        <v>263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청솔</t>
        </is>
      </c>
      <c r="B27" s="16" t="inlineStr">
        <is>
          <t>'02.07.</t>
        </is>
      </c>
      <c r="C27" s="164" t="n">
        <v>620</v>
      </c>
      <c r="D27" s="161" t="n">
        <v>73.2</v>
      </c>
      <c r="E27" s="163" t="n">
        <v>22</v>
      </c>
      <c r="F27" s="161" t="n">
        <v>58.2</v>
      </c>
      <c r="G27" s="27" t="n">
        <v>18</v>
      </c>
      <c r="H27" s="164" t="n">
        <v>620</v>
      </c>
      <c r="I27" s="165" t="n">
        <v>11000</v>
      </c>
      <c r="J27" s="165" t="inlineStr">
        <is>
          <t>15</t>
        </is>
      </c>
      <c r="K27" s="165" t="n">
        <v>9500</v>
      </c>
      <c r="L27" s="165" t="inlineStr">
        <is>
          <t>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73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삼부르네상스</t>
        </is>
      </c>
      <c r="B29" s="16" t="inlineStr">
        <is>
          <t>'05.11.</t>
        </is>
      </c>
      <c r="C29" s="164" t="n">
        <v>498</v>
      </c>
      <c r="D29" s="161" t="n">
        <v>118.3</v>
      </c>
      <c r="E29" s="163" t="n">
        <v>36</v>
      </c>
      <c r="F29" s="161" t="n">
        <v>85</v>
      </c>
      <c r="G29" s="27" t="n">
        <v>26</v>
      </c>
      <c r="H29" s="164" t="n">
        <v>318</v>
      </c>
      <c r="I29" s="165" t="n">
        <v>26000</v>
      </c>
      <c r="J29" s="165" t="inlineStr">
        <is>
          <t>5</t>
        </is>
      </c>
      <c r="K29" s="165" t="n">
        <v>21000</v>
      </c>
      <c r="L29" s="165" t="inlineStr">
        <is>
          <t>11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삼부르네상스</t>
        </is>
      </c>
      <c r="B30" s="16" t="inlineStr">
        <is>
          <t>'05.11.</t>
        </is>
      </c>
      <c r="C30" s="164" t="n">
        <v>498</v>
      </c>
      <c r="D30" s="161" t="n">
        <v>145.3</v>
      </c>
      <c r="E30" s="163" t="n">
        <v>44</v>
      </c>
      <c r="F30" s="161" t="n">
        <v>121.5</v>
      </c>
      <c r="G30" s="27" t="n">
        <v>37</v>
      </c>
      <c r="H30" s="164" t="n">
        <v>180</v>
      </c>
      <c r="I30" s="165" t="n">
        <v>28000</v>
      </c>
      <c r="J30" s="165" t="inlineStr">
        <is>
          <t>8</t>
        </is>
      </c>
      <c r="K30" s="165" t="n">
        <v>27000</v>
      </c>
      <c r="L30" s="165" t="inlineStr">
        <is>
          <t>9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145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주공</t>
        </is>
      </c>
      <c r="B32" s="16" t="inlineStr">
        <is>
          <t>'03.09.</t>
        </is>
      </c>
      <c r="C32" s="164" t="n">
        <v>268</v>
      </c>
      <c r="D32" s="161" t="n">
        <v>67.5</v>
      </c>
      <c r="E32" s="163" t="n">
        <v>20</v>
      </c>
      <c r="F32" s="161" t="n">
        <v>49.8</v>
      </c>
      <c r="G32" s="27" t="n">
        <v>15</v>
      </c>
      <c r="H32" s="164" t="n">
        <v>68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67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</t>
        </is>
      </c>
      <c r="B33" s="16" t="inlineStr">
        <is>
          <t>'03.09.</t>
        </is>
      </c>
      <c r="C33" s="164" t="n">
        <v>268</v>
      </c>
      <c r="D33" s="161" t="n">
        <v>80.8</v>
      </c>
      <c r="E33" s="163" t="n">
        <v>24</v>
      </c>
      <c r="F33" s="161" t="n">
        <v>59.6</v>
      </c>
      <c r="G33" s="27" t="n">
        <v>18</v>
      </c>
      <c r="H33" s="164" t="n">
        <v>200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inlineStr">
        <is>
          <t>80B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17">
      <formula>AV4="X"</formula>
    </cfRule>
    <cfRule type="expression" priority="450" dxfId="16">
      <formula>AV4="후보"</formula>
    </cfRule>
  </conditionalFormatting>
  <conditionalFormatting sqref="AC1:AC2 AC4:AC6 N4:N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N1:N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17">
      <formula>AV7="X"</formula>
    </cfRule>
    <cfRule type="expression" priority="429" dxfId="16">
      <formula>AV7="후보"</formula>
    </cfRule>
  </conditionalFormatting>
  <conditionalFormatting sqref="AC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17">
      <formula>AV8="X"</formula>
    </cfRule>
    <cfRule type="expression" priority="410" dxfId="16">
      <formula>AV8="후보"</formula>
    </cfRule>
  </conditionalFormatting>
  <conditionalFormatting sqref="AC8 N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17">
      <formula>AV14="X"</formula>
    </cfRule>
    <cfRule type="expression" priority="310" dxfId="16">
      <formula>AV14="후보"</formula>
    </cfRule>
  </conditionalFormatting>
  <conditionalFormatting sqref="AC14 N1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17">
      <formula>AV18="X"</formula>
    </cfRule>
    <cfRule type="expression" priority="248" dxfId="16">
      <formula>AV18="후보"</formula>
    </cfRule>
  </conditionalFormatting>
  <conditionalFormatting sqref="AC18 N1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17">
      <formula>AV22="X"</formula>
    </cfRule>
    <cfRule type="expression" priority="186" dxfId="16">
      <formula>AV22="후보"</formula>
    </cfRule>
  </conditionalFormatting>
  <conditionalFormatting sqref="AC2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17">
      <formula>AV23="X"</formula>
    </cfRule>
    <cfRule type="expression" priority="167" dxfId="16">
      <formula>AV23="후보"</formula>
    </cfRule>
  </conditionalFormatting>
  <conditionalFormatting sqref="AC2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17">
      <formula>AV24="X"</formula>
    </cfRule>
    <cfRule type="expression" priority="148" dxfId="16">
      <formula>AV24="후보"</formula>
    </cfRule>
  </conditionalFormatting>
  <conditionalFormatting sqref="AC2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17">
      <formula>AV25="X"</formula>
    </cfRule>
    <cfRule type="expression" priority="129" dxfId="16">
      <formula>AV25="후보"</formula>
    </cfRule>
  </conditionalFormatting>
  <conditionalFormatting sqref="AC2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2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17">
      <formula>AV26="X"</formula>
    </cfRule>
    <cfRule type="expression" priority="110" dxfId="16">
      <formula>AV26="후보"</formula>
    </cfRule>
  </conditionalFormatting>
  <conditionalFormatting sqref="AC26 N26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27">
    <cfRule type="expression" priority="104" dxfId="17">
      <formula>AV27="X"</formula>
    </cfRule>
    <cfRule type="expression" priority="105" dxfId="16">
      <formula>AV27="후보"</formula>
    </cfRule>
  </conditionalFormatting>
  <conditionalFormatting sqref="AC2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17">
      <formula>AV28="X"</formula>
    </cfRule>
    <cfRule type="expression" priority="86" dxfId="16">
      <formula>AV28="후보"</formula>
    </cfRule>
  </conditionalFormatting>
  <conditionalFormatting sqref="AC28 N2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17">
      <formula>AV31="X"</formula>
    </cfRule>
    <cfRule type="expression" priority="43" dxfId="16">
      <formula>AV31="후보"</formula>
    </cfRule>
  </conditionalFormatting>
  <conditionalFormatting sqref="AC31 N3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둔포면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테크노밸리이지더원2단지</t>
        </is>
      </c>
      <c r="B6" s="16" t="inlineStr">
        <is>
          <t>'15.09.</t>
        </is>
      </c>
      <c r="C6" s="164" t="n">
        <v>542</v>
      </c>
      <c r="D6" s="161" t="n">
        <v>83.8</v>
      </c>
      <c r="E6" s="163" t="n">
        <v>25</v>
      </c>
      <c r="F6" s="161" t="n">
        <v>60</v>
      </c>
      <c r="G6" s="27" t="n">
        <v>18</v>
      </c>
      <c r="H6" s="164" t="n">
        <v>174</v>
      </c>
      <c r="I6" s="165" t="n">
        <v>24500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테크노밸리이지더원2단지</t>
        </is>
      </c>
      <c r="B7" s="16" t="inlineStr">
        <is>
          <t>'15.09.</t>
        </is>
      </c>
      <c r="C7" s="164" t="n">
        <v>542</v>
      </c>
      <c r="D7" s="161" t="n">
        <v>83.7</v>
      </c>
      <c r="E7" s="163" t="n">
        <v>25</v>
      </c>
      <c r="F7" s="161" t="n">
        <v>59.9</v>
      </c>
      <c r="G7" s="27" t="n">
        <v>18</v>
      </c>
      <c r="H7" s="164" t="n">
        <v>74</v>
      </c>
      <c r="I7" s="165" t="n">
        <v>24000</v>
      </c>
      <c r="J7" s="165" t="inlineStr">
        <is>
          <t>중</t>
        </is>
      </c>
      <c r="K7" s="165" t="n">
        <v>20000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테크노밸리이지더원2단지</t>
        </is>
      </c>
      <c r="B8" s="16" t="inlineStr">
        <is>
          <t>'15.09.</t>
        </is>
      </c>
      <c r="C8" s="164" t="n">
        <v>542</v>
      </c>
      <c r="D8" s="161" t="n">
        <v>103</v>
      </c>
      <c r="E8" s="163" t="n">
        <v>31</v>
      </c>
      <c r="F8" s="161" t="n">
        <v>80</v>
      </c>
      <c r="G8" s="27" t="n">
        <v>24</v>
      </c>
      <c r="H8" s="164" t="n">
        <v>294</v>
      </c>
      <c r="I8" s="165" t="n">
        <v>28000</v>
      </c>
      <c r="J8" s="165" t="inlineStr">
        <is>
          <t>18</t>
        </is>
      </c>
      <c r="K8" s="165" t="n">
        <v>24000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아산테크노밸리이지더원5단지</t>
        </is>
      </c>
      <c r="B10" s="16" t="inlineStr">
        <is>
          <t>'17.02.</t>
        </is>
      </c>
      <c r="C10" s="164" t="n">
        <v>534</v>
      </c>
      <c r="D10" s="161" t="n">
        <v>95.3</v>
      </c>
      <c r="E10" s="163" t="n">
        <v>29</v>
      </c>
      <c r="F10" s="161" t="n">
        <v>72.40000000000001</v>
      </c>
      <c r="G10" s="27" t="n">
        <v>22</v>
      </c>
      <c r="H10" s="164" t="n">
        <v>418</v>
      </c>
      <c r="I10" s="165" t="n">
        <v>27000</v>
      </c>
      <c r="J10" s="165" t="inlineStr">
        <is>
          <t>17</t>
        </is>
      </c>
      <c r="K10" s="165" t="n">
        <v>22000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아산테크노밸리이지더원5단지</t>
        </is>
      </c>
      <c r="B11" s="16" t="inlineStr">
        <is>
          <t>'17.02.</t>
        </is>
      </c>
      <c r="C11" s="164" t="n">
        <v>534</v>
      </c>
      <c r="D11" s="161" t="n">
        <v>95.40000000000001</v>
      </c>
      <c r="E11" s="163" t="n">
        <v>29</v>
      </c>
      <c r="F11" s="161" t="n">
        <v>72.2</v>
      </c>
      <c r="G11" s="27" t="n">
        <v>22</v>
      </c>
      <c r="H11" s="164" t="n">
        <v>116</v>
      </c>
      <c r="I11" s="165" t="n">
        <v>28000</v>
      </c>
      <c r="J11" s="165" t="inlineStr">
        <is>
          <t>12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95A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테크노밸리이지더원1단지</t>
        </is>
      </c>
      <c r="B13" s="16" t="inlineStr">
        <is>
          <t>'15.09.</t>
        </is>
      </c>
      <c r="C13" s="164" t="n">
        <v>471</v>
      </c>
      <c r="D13" s="161" t="n">
        <v>83.3</v>
      </c>
      <c r="E13" s="163" t="n">
        <v>25</v>
      </c>
      <c r="F13" s="161" t="n">
        <v>60</v>
      </c>
      <c r="G13" s="27" t="n">
        <v>18</v>
      </c>
      <c r="H13" s="164" t="n">
        <v>143</v>
      </c>
      <c r="I13" s="165" t="n">
        <v>24000</v>
      </c>
      <c r="J13" s="165" t="inlineStr">
        <is>
          <t>14</t>
        </is>
      </c>
      <c r="K13" s="165" t="n">
        <v>22000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테크노밸리이지더원1단지</t>
        </is>
      </c>
      <c r="B14" s="16" t="inlineStr">
        <is>
          <t>'15.09.</t>
        </is>
      </c>
      <c r="C14" s="164" t="n">
        <v>471</v>
      </c>
      <c r="D14" s="161" t="n">
        <v>83.2</v>
      </c>
      <c r="E14" s="163" t="n">
        <v>25</v>
      </c>
      <c r="F14" s="161" t="n">
        <v>59.9</v>
      </c>
      <c r="G14" s="27" t="n">
        <v>18</v>
      </c>
      <c r="H14" s="164" t="n">
        <v>60</v>
      </c>
      <c r="I14" s="165" t="n">
        <v>23000</v>
      </c>
      <c r="J14" s="165" t="inlineStr">
        <is>
          <t>중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83A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테크노밸리이지더원1단지</t>
        </is>
      </c>
      <c r="B15" s="16" t="inlineStr">
        <is>
          <t>'15.09.</t>
        </is>
      </c>
      <c r="C15" s="164" t="n">
        <v>471</v>
      </c>
      <c r="D15" s="161" t="n">
        <v>102.5</v>
      </c>
      <c r="E15" s="163" t="n">
        <v>31</v>
      </c>
      <c r="F15" s="161" t="n">
        <v>80</v>
      </c>
      <c r="G15" s="27" t="n">
        <v>24</v>
      </c>
      <c r="H15" s="164" t="n">
        <v>268</v>
      </c>
      <c r="I15" s="165" t="n">
        <v>28000</v>
      </c>
      <c r="J15" s="165" t="inlineStr">
        <is>
          <t>10</t>
        </is>
      </c>
      <c r="K15" s="165" t="n">
        <v>23000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아산테크노밸리Ab5블럭이지더원6차</t>
        </is>
      </c>
      <c r="B17" s="16" t="inlineStr">
        <is>
          <t>'23.09.</t>
        </is>
      </c>
      <c r="C17" s="164" t="n">
        <v>822</v>
      </c>
      <c r="D17" s="161" t="n">
        <v>90.5</v>
      </c>
      <c r="E17" s="163" t="n">
        <v>27</v>
      </c>
      <c r="F17" s="161" t="n">
        <v>68.90000000000001</v>
      </c>
      <c r="G17" s="27" t="n">
        <v>21</v>
      </c>
      <c r="H17" s="164" t="n">
        <v>103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아산테크노밸리Ab5블럭이지더원6차</t>
        </is>
      </c>
      <c r="B18" s="16" t="inlineStr">
        <is>
          <t>'23.09.</t>
        </is>
      </c>
      <c r="C18" s="164" t="n">
        <v>822</v>
      </c>
      <c r="D18" s="161" t="n">
        <v>111.3</v>
      </c>
      <c r="E18" s="163" t="n">
        <v>34</v>
      </c>
      <c r="F18" s="161" t="n">
        <v>85</v>
      </c>
      <c r="G18" s="27" t="n">
        <v>26</v>
      </c>
      <c r="H18" s="164" t="n">
        <v>394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아산테크노밸리Ab5블럭이지더원6차</t>
        </is>
      </c>
      <c r="B19" s="16" t="inlineStr">
        <is>
          <t>'23.09.</t>
        </is>
      </c>
      <c r="C19" s="164" t="n">
        <v>822</v>
      </c>
      <c r="D19" s="161" t="n">
        <v>111.5</v>
      </c>
      <c r="E19" s="163" t="n">
        <v>34</v>
      </c>
      <c r="F19" s="161" t="n">
        <v>84.90000000000001</v>
      </c>
      <c r="G19" s="27" t="n">
        <v>26</v>
      </c>
      <c r="H19" s="164" t="n">
        <v>325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아산테크노밸리이지더원3단지</t>
        </is>
      </c>
      <c r="B21" s="16" t="inlineStr">
        <is>
          <t>'16.12.</t>
        </is>
      </c>
      <c r="C21" s="164" t="n">
        <v>589</v>
      </c>
      <c r="D21" s="161" t="n">
        <v>95.59999999999999</v>
      </c>
      <c r="E21" s="163" t="n">
        <v>29</v>
      </c>
      <c r="F21" s="161" t="n">
        <v>72.3</v>
      </c>
      <c r="G21" s="27" t="n">
        <v>22</v>
      </c>
      <c r="H21" s="164" t="n">
        <v>447</v>
      </c>
      <c r="I21" s="165" t="n">
        <v>27500</v>
      </c>
      <c r="J21" s="165" t="inlineStr">
        <is>
          <t>24</t>
        </is>
      </c>
      <c r="K21" s="165" t="n">
        <v>23000</v>
      </c>
      <c r="L21" s="165" t="inlineStr">
        <is>
          <t>19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아산테크노밸리이지더원3단지</t>
        </is>
      </c>
      <c r="B22" s="16" t="inlineStr">
        <is>
          <t>'16.12.</t>
        </is>
      </c>
      <c r="C22" s="164" t="n">
        <v>589</v>
      </c>
      <c r="D22" s="161" t="n">
        <v>95.90000000000001</v>
      </c>
      <c r="E22" s="163" t="n">
        <v>29</v>
      </c>
      <c r="F22" s="161" t="n">
        <v>72.09999999999999</v>
      </c>
      <c r="G22" s="27" t="n">
        <v>22</v>
      </c>
      <c r="H22" s="164" t="n">
        <v>142</v>
      </c>
      <c r="I22" s="165" t="n">
        <v>27800</v>
      </c>
      <c r="J22" s="165" t="inlineStr">
        <is>
          <t>고</t>
        </is>
      </c>
      <c r="K22" s="165" t="n">
        <v>23000</v>
      </c>
      <c r="L22" s="165" t="inlineStr">
        <is>
          <t>22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아산테크노밸리이지더원6단지</t>
        </is>
      </c>
      <c r="B24" s="16" t="inlineStr">
        <is>
          <t>'17.02.</t>
        </is>
      </c>
      <c r="C24" s="164" t="n">
        <v>650</v>
      </c>
      <c r="D24" s="161" t="n">
        <v>95.40000000000001</v>
      </c>
      <c r="E24" s="163" t="n">
        <v>29</v>
      </c>
      <c r="F24" s="161" t="n">
        <v>72.40000000000001</v>
      </c>
      <c r="G24" s="27" t="n">
        <v>22</v>
      </c>
      <c r="H24" s="164" t="n">
        <v>522</v>
      </c>
      <c r="I24" s="165" t="n"/>
      <c r="J24" s="165" t="n"/>
      <c r="K24" s="165" t="n">
        <v>23000</v>
      </c>
      <c r="L24" s="165" t="inlineStr">
        <is>
          <t>15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95B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아산테크노밸리이지더원6단지</t>
        </is>
      </c>
      <c r="B25" s="16" t="inlineStr">
        <is>
          <t>'17.02.</t>
        </is>
      </c>
      <c r="C25" s="164" t="n">
        <v>650</v>
      </c>
      <c r="D25" s="161" t="n">
        <v>95.40000000000001</v>
      </c>
      <c r="E25" s="163" t="n">
        <v>29</v>
      </c>
      <c r="F25" s="161" t="n">
        <v>72.2</v>
      </c>
      <c r="G25" s="27" t="n">
        <v>22</v>
      </c>
      <c r="H25" s="164" t="n">
        <v>128</v>
      </c>
      <c r="I25" s="165" t="n">
        <v>27500</v>
      </c>
      <c r="J25" s="165" t="inlineStr">
        <is>
          <t>중</t>
        </is>
      </c>
      <c r="K25" s="165" t="n">
        <v>23000</v>
      </c>
      <c r="L25" s="165" t="inlineStr">
        <is>
          <t>15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아산테크노밸리이지더원4단지</t>
        </is>
      </c>
      <c r="B27" s="16" t="inlineStr">
        <is>
          <t>'16.12.</t>
        </is>
      </c>
      <c r="C27" s="164" t="n">
        <v>665</v>
      </c>
      <c r="D27" s="161" t="n">
        <v>95.5</v>
      </c>
      <c r="E27" s="163" t="n">
        <v>29</v>
      </c>
      <c r="F27" s="161" t="n">
        <v>72.3</v>
      </c>
      <c r="G27" s="27" t="n">
        <v>22</v>
      </c>
      <c r="H27" s="164" t="n">
        <v>531</v>
      </c>
      <c r="I27" s="165" t="n">
        <v>26000</v>
      </c>
      <c r="J27" s="165" t="inlineStr">
        <is>
          <t>중</t>
        </is>
      </c>
      <c r="K27" s="165" t="n">
        <v>22000</v>
      </c>
      <c r="L27" s="165" t="inlineStr">
        <is>
          <t>13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95A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아산테크노밸리이지더원4단지</t>
        </is>
      </c>
      <c r="B28" s="16" t="inlineStr">
        <is>
          <t>'16.12.</t>
        </is>
      </c>
      <c r="C28" s="164" t="n">
        <v>665</v>
      </c>
      <c r="D28" s="161" t="n">
        <v>95.7</v>
      </c>
      <c r="E28" s="163" t="n">
        <v>29</v>
      </c>
      <c r="F28" s="161" t="n">
        <v>72.09999999999999</v>
      </c>
      <c r="G28" s="27" t="n">
        <v>22</v>
      </c>
      <c r="H28" s="164" t="n">
        <v>134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아산테크노밸리이지더원7단지</t>
        </is>
      </c>
      <c r="B30" s="16" t="inlineStr">
        <is>
          <t>'17.11.</t>
        </is>
      </c>
      <c r="C30" s="164" t="n">
        <v>422</v>
      </c>
      <c r="D30" s="161" t="n">
        <v>101.8</v>
      </c>
      <c r="E30" s="163" t="n">
        <v>31</v>
      </c>
      <c r="F30" s="161" t="n">
        <v>76.8</v>
      </c>
      <c r="G30" s="27" t="n">
        <v>23</v>
      </c>
      <c r="H30" s="164" t="n">
        <v>219</v>
      </c>
      <c r="I30" s="165" t="n">
        <v>33500</v>
      </c>
      <c r="J30" s="165" t="inlineStr">
        <is>
          <t>중</t>
        </is>
      </c>
      <c r="K30" s="165" t="n">
        <v>25000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아산테크노밸리이지더원7단지</t>
        </is>
      </c>
      <c r="B31" s="16" t="inlineStr">
        <is>
          <t>'17.11.</t>
        </is>
      </c>
      <c r="C31" s="164" t="n">
        <v>422</v>
      </c>
      <c r="D31" s="161" t="n">
        <v>102.8</v>
      </c>
      <c r="E31" s="163" t="n">
        <v>31</v>
      </c>
      <c r="F31" s="161" t="n">
        <v>76.59999999999999</v>
      </c>
      <c r="G31" s="27" t="n">
        <v>23</v>
      </c>
      <c r="H31" s="164" t="n">
        <v>121</v>
      </c>
      <c r="I31" s="165" t="n">
        <v>31700</v>
      </c>
      <c r="J31" s="165" t="inlineStr">
        <is>
          <t>중</t>
        </is>
      </c>
      <c r="K31" s="165" t="n">
        <v>25000</v>
      </c>
      <c r="L31" s="165" t="inlineStr">
        <is>
          <t>15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아산테크노밸리이지더원7단지</t>
        </is>
      </c>
      <c r="B32" s="16" t="inlineStr">
        <is>
          <t>'17.11.</t>
        </is>
      </c>
      <c r="C32" s="164" t="n">
        <v>422</v>
      </c>
      <c r="D32" s="161" t="n">
        <v>112.1</v>
      </c>
      <c r="E32" s="163" t="n">
        <v>34</v>
      </c>
      <c r="F32" s="161" t="n">
        <v>84.90000000000001</v>
      </c>
      <c r="G32" s="27" t="n">
        <v>26</v>
      </c>
      <c r="H32" s="164" t="n">
        <v>82</v>
      </c>
      <c r="I32" s="165" t="n">
        <v>38000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112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신영모닝빌</t>
        </is>
      </c>
      <c r="B34" s="16" t="inlineStr">
        <is>
          <t>'00.07.</t>
        </is>
      </c>
      <c r="C34" s="164" t="n">
        <v>299</v>
      </c>
      <c r="D34" s="161" t="n">
        <v>64.2</v>
      </c>
      <c r="E34" s="163" t="n">
        <v>19</v>
      </c>
      <c r="F34" s="161" t="n">
        <v>39.8</v>
      </c>
      <c r="G34" s="27" t="n">
        <v>12</v>
      </c>
      <c r="H34" s="164" t="n">
        <v>144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신영모닝빌</t>
        </is>
      </c>
      <c r="B35" s="16" t="inlineStr">
        <is>
          <t>'00.07.</t>
        </is>
      </c>
      <c r="C35" s="164" t="n">
        <v>299</v>
      </c>
      <c r="D35" s="161" t="n">
        <v>77</v>
      </c>
      <c r="E35" s="163" t="n">
        <v>23</v>
      </c>
      <c r="F35" s="161" t="n">
        <v>47.5</v>
      </c>
      <c r="G35" s="27" t="n">
        <v>14</v>
      </c>
      <c r="H35" s="164" t="n">
        <v>155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아산테크노밸리이지더원8단지</t>
        </is>
      </c>
      <c r="B37" s="16" t="inlineStr">
        <is>
          <t>'17.12.</t>
        </is>
      </c>
      <c r="C37" s="164" t="n">
        <v>929</v>
      </c>
      <c r="D37" s="161" t="n">
        <v>92.5</v>
      </c>
      <c r="E37" s="163" t="n">
        <v>28</v>
      </c>
      <c r="F37" s="161" t="n">
        <v>66</v>
      </c>
      <c r="G37" s="27" t="n">
        <v>20</v>
      </c>
      <c r="H37" s="164" t="n">
        <v>288</v>
      </c>
      <c r="I37" s="165" t="n">
        <v>28000</v>
      </c>
      <c r="J37" s="165" t="inlineStr">
        <is>
          <t>중</t>
        </is>
      </c>
      <c r="K37" s="165" t="n">
        <v>23000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아산테크노밸리이지더원8단지</t>
        </is>
      </c>
      <c r="B38" s="16" t="inlineStr">
        <is>
          <t>'17.12.</t>
        </is>
      </c>
      <c r="C38" s="164" t="n">
        <v>929</v>
      </c>
      <c r="D38" s="161" t="n">
        <v>101.7</v>
      </c>
      <c r="E38" s="163" t="n">
        <v>31</v>
      </c>
      <c r="F38" s="161" t="n">
        <v>76.8</v>
      </c>
      <c r="G38" s="27" t="n">
        <v>23</v>
      </c>
      <c r="H38" s="164" t="n">
        <v>220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아산테크노밸리이지더원8단지</t>
        </is>
      </c>
      <c r="B39" s="16" t="inlineStr">
        <is>
          <t>'17.12.</t>
        </is>
      </c>
      <c r="C39" s="164" t="n">
        <v>929</v>
      </c>
      <c r="D39" s="161" t="n">
        <v>101.7</v>
      </c>
      <c r="E39" s="163" t="n">
        <v>31</v>
      </c>
      <c r="F39" s="161" t="n">
        <v>76.59999999999999</v>
      </c>
      <c r="G39" s="27" t="n">
        <v>23</v>
      </c>
      <c r="H39" s="164" t="n">
        <v>148</v>
      </c>
      <c r="I39" s="165" t="n">
        <v>31500</v>
      </c>
      <c r="J39" s="165" t="inlineStr">
        <is>
          <t>18</t>
        </is>
      </c>
      <c r="K39" s="165" t="n">
        <v>25000</v>
      </c>
      <c r="L39" s="165" t="inlineStr">
        <is>
          <t>13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아산테크노밸리이지더원8단지</t>
        </is>
      </c>
      <c r="B40" s="16" t="inlineStr">
        <is>
          <t>'17.12.</t>
        </is>
      </c>
      <c r="C40" s="164" t="n">
        <v>929</v>
      </c>
      <c r="D40" s="161" t="n">
        <v>112.6</v>
      </c>
      <c r="E40" s="163" t="n">
        <v>34</v>
      </c>
      <c r="F40" s="161" t="n">
        <v>84.90000000000001</v>
      </c>
      <c r="G40" s="27" t="n">
        <v>26</v>
      </c>
      <c r="H40" s="164" t="n">
        <v>273</v>
      </c>
      <c r="I40" s="165" t="n">
        <v>37000</v>
      </c>
      <c r="J40" s="165" t="inlineStr">
        <is>
          <t>중</t>
        </is>
      </c>
      <c r="K40" s="165" t="n">
        <v>31000</v>
      </c>
      <c r="L40" s="165" t="inlineStr">
        <is>
          <t>18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백남청솔</t>
        </is>
      </c>
      <c r="B42" s="16" t="inlineStr">
        <is>
          <t>'96.12.</t>
        </is>
      </c>
      <c r="C42" s="164" t="n">
        <v>297</v>
      </c>
      <c r="D42" s="161" t="n">
        <v>64.2</v>
      </c>
      <c r="E42" s="163" t="n">
        <v>19</v>
      </c>
      <c r="F42" s="161" t="n">
        <v>49.5</v>
      </c>
      <c r="G42" s="27" t="n">
        <v>15</v>
      </c>
      <c r="H42" s="164" t="n">
        <v>140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64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백남청솔</t>
        </is>
      </c>
      <c r="B43" s="16" t="inlineStr">
        <is>
          <t>'96.12.</t>
        </is>
      </c>
      <c r="C43" s="164" t="n">
        <v>297</v>
      </c>
      <c r="D43" s="161" t="n">
        <v>74.8</v>
      </c>
      <c r="E43" s="163" t="n">
        <v>23</v>
      </c>
      <c r="F43" s="161" t="n">
        <v>59.4</v>
      </c>
      <c r="G43" s="27" t="n">
        <v>18</v>
      </c>
      <c r="H43" s="164" t="n">
        <v>157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n">
        <v>74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17">
      <formula>AV4="X"</formula>
    </cfRule>
    <cfRule type="expression" priority="584" dxfId="16">
      <formula>AV4="후보"</formula>
    </cfRule>
  </conditionalFormatting>
  <conditionalFormatting sqref="AC1:AC2 AC4:AC6 N4:N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N1:N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17">
      <formula>AV7="X"</formula>
    </cfRule>
    <cfRule type="expression" priority="563" dxfId="16">
      <formula>AV7="후보"</formula>
    </cfRule>
  </conditionalFormatting>
  <conditionalFormatting sqref="AC7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17">
      <formula>AV8="X"</formula>
    </cfRule>
    <cfRule type="expression" priority="544" dxfId="16">
      <formula>AV8="후보"</formula>
    </cfRule>
  </conditionalFormatting>
  <conditionalFormatting sqref="AC8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17">
      <formula>AV9="X"</formula>
    </cfRule>
    <cfRule type="expression" priority="525" dxfId="16">
      <formula>AV9="후보"</formula>
    </cfRule>
  </conditionalFormatting>
  <conditionalFormatting sqref="AC9 N9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AV10">
    <cfRule type="expression" priority="519" dxfId="17">
      <formula>AV10="X"</formula>
    </cfRule>
    <cfRule type="expression" priority="520" dxfId="16">
      <formula>AV10="후보"</formula>
    </cfRule>
  </conditionalFormatting>
  <conditionalFormatting sqref="AC10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17">
      <formula>AV11="X"</formula>
    </cfRule>
    <cfRule type="expression" priority="501" dxfId="16">
      <formula>AV11="후보"</formula>
    </cfRule>
  </conditionalFormatting>
  <conditionalFormatting sqref="AC1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N1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17">
      <formula>AV12="X"</formula>
    </cfRule>
    <cfRule type="expression" priority="482" dxfId="16">
      <formula>AV12="후보"</formula>
    </cfRule>
  </conditionalFormatting>
  <conditionalFormatting sqref="AC12 N1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AV13">
    <cfRule type="expression" priority="476" dxfId="17">
      <formula>AV13="X"</formula>
    </cfRule>
    <cfRule type="expression" priority="477" dxfId="16">
      <formula>AV13="후보"</formula>
    </cfRule>
  </conditionalFormatting>
  <conditionalFormatting sqref="AC1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17">
      <formula>AV14="X"</formula>
    </cfRule>
    <cfRule type="expression" priority="458" dxfId="16">
      <formula>AV14="후보"</formula>
    </cfRule>
  </conditionalFormatting>
  <conditionalFormatting sqref="AC14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14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17">
      <formula>AV15="X"</formula>
    </cfRule>
    <cfRule type="expression" priority="439" dxfId="16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7">
      <formula>AV16="X"</formula>
    </cfRule>
    <cfRule type="expression" priority="420" dxfId="16">
      <formula>AV16="후보"</formula>
    </cfRule>
  </conditionalFormatting>
  <conditionalFormatting sqref="AC16 N16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AV17">
    <cfRule type="expression" priority="414" dxfId="17">
      <formula>AV17="X"</formula>
    </cfRule>
    <cfRule type="expression" priority="415" dxfId="16">
      <formula>AV17="후보"</formula>
    </cfRule>
  </conditionalFormatting>
  <conditionalFormatting sqref="AC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17">
      <formula>AV18="X"</formula>
    </cfRule>
    <cfRule type="expression" priority="396" dxfId="16">
      <formula>AV18="후보"</formula>
    </cfRule>
  </conditionalFormatting>
  <conditionalFormatting sqref="AC1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8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17">
      <formula>AV19="X"</formula>
    </cfRule>
    <cfRule type="expression" priority="377" dxfId="16">
      <formula>AV19="후보"</formula>
    </cfRule>
  </conditionalFormatting>
  <conditionalFormatting sqref="AC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9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17">
      <formula>AV20="X"</formula>
    </cfRule>
    <cfRule type="expression" priority="358" dxfId="16">
      <formula>AV20="후보"</formula>
    </cfRule>
  </conditionalFormatting>
  <conditionalFormatting sqref="AC20 N20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21">
    <cfRule type="expression" priority="352" dxfId="17">
      <formula>AV21="X"</formula>
    </cfRule>
    <cfRule type="expression" priority="353" dxfId="16">
      <formula>AV21="후보"</formula>
    </cfRule>
  </conditionalFormatting>
  <conditionalFormatting sqref="AC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21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17">
      <formula>AV22="X"</formula>
    </cfRule>
    <cfRule type="expression" priority="334" dxfId="16">
      <formula>AV22="후보"</formula>
    </cfRule>
  </conditionalFormatting>
  <conditionalFormatting sqref="AC22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22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17">
      <formula>AV23="X"</formula>
    </cfRule>
    <cfRule type="expression" priority="315" dxfId="16">
      <formula>AV23="후보"</formula>
    </cfRule>
  </conditionalFormatting>
  <conditionalFormatting sqref="AC23 N23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24">
    <cfRule type="expression" priority="309" dxfId="17">
      <formula>AV24="X"</formula>
    </cfRule>
    <cfRule type="expression" priority="310" dxfId="16">
      <formula>AV24="후보"</formula>
    </cfRule>
  </conditionalFormatting>
  <conditionalFormatting sqref="AC2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17">
      <formula>AV25="X"</formula>
    </cfRule>
    <cfRule type="expression" priority="291" dxfId="16">
      <formula>AV25="후보"</formula>
    </cfRule>
  </conditionalFormatting>
  <conditionalFormatting sqref="AC2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17">
      <formula>AV26="X"</formula>
    </cfRule>
    <cfRule type="expression" priority="272" dxfId="16">
      <formula>AV26="후보"</formula>
    </cfRule>
  </conditionalFormatting>
  <conditionalFormatting sqref="AC26 N2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7">
    <cfRule type="expression" priority="266" dxfId="17">
      <formula>AV27="X"</formula>
    </cfRule>
    <cfRule type="expression" priority="267" dxfId="16">
      <formula>AV27="후보"</formula>
    </cfRule>
  </conditionalFormatting>
  <conditionalFormatting sqref="AC2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17">
      <formula>AV28="X"</formula>
    </cfRule>
    <cfRule type="expression" priority="248" dxfId="16">
      <formula>AV28="후보"</formula>
    </cfRule>
  </conditionalFormatting>
  <conditionalFormatting sqref="AC2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17">
      <formula>AV29="X"</formula>
    </cfRule>
    <cfRule type="expression" priority="229" dxfId="16">
      <formula>AV29="후보"</formula>
    </cfRule>
  </conditionalFormatting>
  <conditionalFormatting sqref="AC29 N2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7">
      <formula>AV31="X"</formula>
    </cfRule>
    <cfRule type="expression" priority="205" dxfId="16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7">
      <formula>AV32="X"</formula>
    </cfRule>
    <cfRule type="expression" priority="186" dxfId="16">
      <formula>AV32="후보"</formula>
    </cfRule>
  </conditionalFormatting>
  <conditionalFormatting sqref="AC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17">
      <formula>AV33="X"</formula>
    </cfRule>
    <cfRule type="expression" priority="167" dxfId="16">
      <formula>AV33="후보"</formula>
    </cfRule>
  </conditionalFormatting>
  <conditionalFormatting sqref="AC33 N3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34">
    <cfRule type="expression" priority="161" dxfId="17">
      <formula>AV34="X"</formula>
    </cfRule>
    <cfRule type="expression" priority="162" dxfId="16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7">
      <formula>AV35="X"</formula>
    </cfRule>
    <cfRule type="expression" priority="143" dxfId="16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7">
      <formula>AV36="X"</formula>
    </cfRule>
    <cfRule type="expression" priority="124" dxfId="16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득산동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부영</t>
        </is>
      </c>
      <c r="B6" s="16" t="inlineStr">
        <is>
          <t>'98.05.</t>
        </is>
      </c>
      <c r="C6" s="164" t="n">
        <v>1163</v>
      </c>
      <c r="D6" s="161" t="n">
        <v>69.2</v>
      </c>
      <c r="E6" s="163" t="n">
        <v>21</v>
      </c>
      <c r="F6" s="161" t="n">
        <v>49.9</v>
      </c>
      <c r="G6" s="27" t="n">
        <v>15</v>
      </c>
      <c r="H6" s="164" t="n">
        <v>898</v>
      </c>
      <c r="I6" s="165" t="n">
        <v>7600</v>
      </c>
      <c r="J6" s="165" t="inlineStr">
        <is>
          <t>11</t>
        </is>
      </c>
      <c r="K6" s="165" t="n">
        <v>7500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부영</t>
        </is>
      </c>
      <c r="B7" s="16" t="inlineStr">
        <is>
          <t>'98.05.</t>
        </is>
      </c>
      <c r="C7" s="164" t="n">
        <v>1163</v>
      </c>
      <c r="D7" s="161" t="n">
        <v>82.2</v>
      </c>
      <c r="E7" s="163" t="n">
        <v>25</v>
      </c>
      <c r="F7" s="161" t="n">
        <v>59.8</v>
      </c>
      <c r="G7" s="27" t="n">
        <v>18</v>
      </c>
      <c r="H7" s="164" t="n">
        <v>265</v>
      </c>
      <c r="I7" s="165" t="n">
        <v>10500</v>
      </c>
      <c r="J7" s="165" t="inlineStr">
        <is>
          <t>15</t>
        </is>
      </c>
      <c r="K7" s="165" t="n">
        <v>9500</v>
      </c>
      <c r="L7" s="165" t="inlineStr">
        <is>
          <t>10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n">
        <v>82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아산모종푸르지오</t>
        </is>
      </c>
      <c r="B6" s="16" t="inlineStr">
        <is>
          <t>'08.07.</t>
        </is>
      </c>
      <c r="C6" s="164" t="n">
        <v>427</v>
      </c>
      <c r="D6" s="161" t="n">
        <v>95.7</v>
      </c>
      <c r="E6" s="163" t="n">
        <v>29</v>
      </c>
      <c r="F6" s="161" t="n">
        <v>74.7</v>
      </c>
      <c r="G6" s="27" t="n">
        <v>23</v>
      </c>
      <c r="H6" s="164" t="n">
        <v>116</v>
      </c>
      <c r="I6" s="165" t="n">
        <v>28000</v>
      </c>
      <c r="J6" s="165" t="inlineStr">
        <is>
          <t>18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아산모종푸르지오</t>
        </is>
      </c>
      <c r="B7" s="16" t="inlineStr">
        <is>
          <t>'08.07.</t>
        </is>
      </c>
      <c r="C7" s="164" t="n">
        <v>427</v>
      </c>
      <c r="D7" s="161" t="n">
        <v>110.1</v>
      </c>
      <c r="E7" s="163" t="n">
        <v>33</v>
      </c>
      <c r="F7" s="161" t="n">
        <v>84.59999999999999</v>
      </c>
      <c r="G7" s="27" t="n">
        <v>26</v>
      </c>
      <c r="H7" s="164" t="n">
        <v>142</v>
      </c>
      <c r="I7" s="165" t="n">
        <v>32000</v>
      </c>
      <c r="J7" s="165" t="inlineStr">
        <is>
          <t>13</t>
        </is>
      </c>
      <c r="K7" s="165" t="n">
        <v>30000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아산모종푸르지오</t>
        </is>
      </c>
      <c r="B8" s="16" t="inlineStr">
        <is>
          <t>'08.07.</t>
        </is>
      </c>
      <c r="C8" s="164" t="n">
        <v>427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36</v>
      </c>
      <c r="I8" s="165" t="n">
        <v>33500</v>
      </c>
      <c r="J8" s="165" t="inlineStr">
        <is>
          <t>중</t>
        </is>
      </c>
      <c r="K8" s="165" t="n">
        <v>24000</v>
      </c>
      <c r="L8" s="165" t="inlineStr">
        <is>
          <t>16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아산모종푸르지오</t>
        </is>
      </c>
      <c r="B9" s="16" t="inlineStr">
        <is>
          <t>'08.07.</t>
        </is>
      </c>
      <c r="C9" s="164" t="n">
        <v>427</v>
      </c>
      <c r="D9" s="161" t="n">
        <v>133.6</v>
      </c>
      <c r="E9" s="163" t="n">
        <v>40</v>
      </c>
      <c r="F9" s="161" t="n">
        <v>101</v>
      </c>
      <c r="G9" s="27" t="n">
        <v>31</v>
      </c>
      <c r="H9" s="164" t="n">
        <v>133</v>
      </c>
      <c r="I9" s="165" t="n">
        <v>34000</v>
      </c>
      <c r="J9" s="165" t="inlineStr">
        <is>
          <t>6</t>
        </is>
      </c>
      <c r="K9" s="165" t="n">
        <v>29000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모종e-편한세상</t>
        </is>
      </c>
      <c r="B11" s="16" t="inlineStr">
        <is>
          <t>'06.08.</t>
        </is>
      </c>
      <c r="C11" s="164" t="n">
        <v>754</v>
      </c>
      <c r="D11" s="161" t="n">
        <v>115</v>
      </c>
      <c r="E11" s="163" t="n">
        <v>35</v>
      </c>
      <c r="F11" s="161" t="n">
        <v>84.90000000000001</v>
      </c>
      <c r="G11" s="27" t="n">
        <v>26</v>
      </c>
      <c r="H11" s="164" t="n">
        <v>566</v>
      </c>
      <c r="I11" s="165" t="n">
        <v>29000</v>
      </c>
      <c r="J11" s="165" t="inlineStr">
        <is>
          <t>12</t>
        </is>
      </c>
      <c r="K11" s="165" t="n">
        <v>25000</v>
      </c>
      <c r="L11" s="165" t="inlineStr">
        <is>
          <t>20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모종e-편한세상</t>
        </is>
      </c>
      <c r="B12" s="16" t="inlineStr">
        <is>
          <t>'06.08.</t>
        </is>
      </c>
      <c r="C12" s="164" t="n">
        <v>754</v>
      </c>
      <c r="D12" s="161" t="n">
        <v>147.1</v>
      </c>
      <c r="E12" s="163" t="n">
        <v>45</v>
      </c>
      <c r="F12" s="161" t="n">
        <v>119.4</v>
      </c>
      <c r="G12" s="27" t="n">
        <v>36</v>
      </c>
      <c r="H12" s="164" t="n">
        <v>188</v>
      </c>
      <c r="I12" s="165" t="n">
        <v>37000</v>
      </c>
      <c r="J12" s="165" t="inlineStr">
        <is>
          <t>14</t>
        </is>
      </c>
      <c r="K12" s="165" t="n">
        <v>30000</v>
      </c>
      <c r="L12" s="165" t="inlineStr">
        <is>
          <t>17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모종한성필하우스2차</t>
        </is>
      </c>
      <c r="B14" s="16" t="inlineStr">
        <is>
          <t>'10.04.</t>
        </is>
      </c>
      <c r="C14" s="164" t="n">
        <v>374</v>
      </c>
      <c r="D14" s="161" t="n">
        <v>101.1</v>
      </c>
      <c r="E14" s="163" t="n">
        <v>31</v>
      </c>
      <c r="F14" s="161" t="n">
        <v>78.7</v>
      </c>
      <c r="G14" s="27" t="n">
        <v>24</v>
      </c>
      <c r="H14" s="164" t="n">
        <v>94</v>
      </c>
      <c r="I14" s="165" t="n">
        <v>33000</v>
      </c>
      <c r="J14" s="165" t="inlineStr">
        <is>
          <t>9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모종한성필하우스2차</t>
        </is>
      </c>
      <c r="B15" s="16" t="inlineStr">
        <is>
          <t>'10.04.</t>
        </is>
      </c>
      <c r="C15" s="164" t="n">
        <v>374</v>
      </c>
      <c r="D15" s="161" t="n">
        <v>102.4</v>
      </c>
      <c r="E15" s="163" t="n">
        <v>31</v>
      </c>
      <c r="F15" s="161" t="n">
        <v>79.2</v>
      </c>
      <c r="G15" s="27" t="n">
        <v>24</v>
      </c>
      <c r="H15" s="164" t="n">
        <v>38</v>
      </c>
      <c r="I15" s="165" t="n">
        <v>34800</v>
      </c>
      <c r="J15" s="165" t="inlineStr">
        <is>
          <t>13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모종한성필하우스2차</t>
        </is>
      </c>
      <c r="B16" s="16" t="inlineStr">
        <is>
          <t>'10.04.</t>
        </is>
      </c>
      <c r="C16" s="164" t="n">
        <v>374</v>
      </c>
      <c r="D16" s="161" t="n">
        <v>117.2</v>
      </c>
      <c r="E16" s="163" t="n">
        <v>35</v>
      </c>
      <c r="F16" s="161" t="n">
        <v>84.90000000000001</v>
      </c>
      <c r="G16" s="27" t="n">
        <v>26</v>
      </c>
      <c r="H16" s="164" t="n">
        <v>242</v>
      </c>
      <c r="I16" s="165" t="n">
        <v>34500</v>
      </c>
      <c r="J16" s="165" t="inlineStr">
        <is>
          <t>5</t>
        </is>
      </c>
      <c r="K16" s="165" t="n">
        <v>30000</v>
      </c>
      <c r="L16" s="165" t="inlineStr">
        <is>
          <t>16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모종리슈빌더스카이</t>
        </is>
      </c>
      <c r="B18" s="16" t="inlineStr">
        <is>
          <t>'24.07.</t>
        </is>
      </c>
      <c r="C18" s="164" t="n">
        <v>268</v>
      </c>
      <c r="D18" s="161" t="n">
        <v>90.59999999999999</v>
      </c>
      <c r="E18" s="163" t="n">
        <v>27</v>
      </c>
      <c r="F18" s="161" t="n">
        <v>59.7</v>
      </c>
      <c r="G18" s="27" t="n">
        <v>18</v>
      </c>
      <c r="H18" s="164" t="n">
        <v>74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90A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모종리슈빌더스카이</t>
        </is>
      </c>
      <c r="B19" s="16" t="inlineStr">
        <is>
          <t>'24.07.</t>
        </is>
      </c>
      <c r="C19" s="164" t="n">
        <v>268</v>
      </c>
      <c r="D19" s="161" t="n">
        <v>90.8</v>
      </c>
      <c r="E19" s="163" t="n">
        <v>27</v>
      </c>
      <c r="F19" s="161" t="n">
        <v>60</v>
      </c>
      <c r="G19" s="27" t="n">
        <v>18</v>
      </c>
      <c r="H19" s="164" t="n">
        <v>27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모종리슈빌더스카이</t>
        </is>
      </c>
      <c r="B20" s="16" t="inlineStr">
        <is>
          <t>'24.07.</t>
        </is>
      </c>
      <c r="C20" s="164" t="n">
        <v>268</v>
      </c>
      <c r="D20" s="161" t="n">
        <v>91.59999999999999</v>
      </c>
      <c r="E20" s="163" t="n">
        <v>28</v>
      </c>
      <c r="F20" s="161" t="n">
        <v>60</v>
      </c>
      <c r="G20" s="27" t="n">
        <v>18</v>
      </c>
      <c r="H20" s="164" t="n">
        <v>74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91B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모종리슈빌더스카이</t>
        </is>
      </c>
      <c r="B21" s="16" t="inlineStr">
        <is>
          <t>'24.07.</t>
        </is>
      </c>
      <c r="C21" s="164" t="n">
        <v>268</v>
      </c>
      <c r="D21" s="161" t="n">
        <v>91.7</v>
      </c>
      <c r="E21" s="163" t="n">
        <v>28</v>
      </c>
      <c r="F21" s="161" t="n">
        <v>59.9</v>
      </c>
      <c r="G21" s="27" t="n">
        <v>18</v>
      </c>
      <c r="H21" s="164" t="n">
        <v>28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91D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모종리슈빌더스카이</t>
        </is>
      </c>
      <c r="B22" s="16" t="inlineStr">
        <is>
          <t>'24.07.</t>
        </is>
      </c>
      <c r="C22" s="164" t="n">
        <v>268</v>
      </c>
      <c r="D22" s="161" t="n">
        <v>93</v>
      </c>
      <c r="E22" s="163" t="n">
        <v>28</v>
      </c>
      <c r="F22" s="161" t="n">
        <v>60</v>
      </c>
      <c r="G22" s="27" t="n">
        <v>18</v>
      </c>
      <c r="H22" s="164" t="n">
        <v>28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모종리슈빌더스카이</t>
        </is>
      </c>
      <c r="B23" s="16" t="inlineStr">
        <is>
          <t>'24.07.</t>
        </is>
      </c>
      <c r="C23" s="164" t="n">
        <v>268</v>
      </c>
      <c r="D23" s="161" t="n">
        <v>102.1</v>
      </c>
      <c r="E23" s="163" t="n">
        <v>31</v>
      </c>
      <c r="F23" s="161" t="n">
        <v>67.5</v>
      </c>
      <c r="G23" s="27" t="n">
        <v>20</v>
      </c>
      <c r="H23" s="164" t="n">
        <v>37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모종금호어울림아이퍼스트</t>
        </is>
      </c>
      <c r="B25" s="16" t="inlineStr">
        <is>
          <t>'22.02.</t>
        </is>
      </c>
      <c r="C25" s="164" t="n">
        <v>463</v>
      </c>
      <c r="D25" s="161" t="n">
        <v>81.40000000000001</v>
      </c>
      <c r="E25" s="163" t="n">
        <v>25</v>
      </c>
      <c r="F25" s="161" t="n">
        <v>60</v>
      </c>
      <c r="G25" s="27" t="n">
        <v>18</v>
      </c>
      <c r="H25" s="164" t="n">
        <v>167</v>
      </c>
      <c r="I25" s="165" t="n">
        <v>28500</v>
      </c>
      <c r="J25" s="165" t="inlineStr">
        <is>
          <t>중</t>
        </is>
      </c>
      <c r="K25" s="165" t="n">
        <v>23000</v>
      </c>
      <c r="L25" s="165" t="inlineStr">
        <is>
          <t>17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모종금호어울림아이퍼스트</t>
        </is>
      </c>
      <c r="B26" s="16" t="inlineStr">
        <is>
          <t>'22.02.</t>
        </is>
      </c>
      <c r="C26" s="164" t="n">
        <v>463</v>
      </c>
      <c r="D26" s="161" t="n">
        <v>81.7</v>
      </c>
      <c r="E26" s="163" t="n">
        <v>25</v>
      </c>
      <c r="F26" s="161" t="n">
        <v>59.9</v>
      </c>
      <c r="G26" s="27" t="n">
        <v>18</v>
      </c>
      <c r="H26" s="164" t="n">
        <v>44</v>
      </c>
      <c r="I26" s="165" t="n">
        <v>27400</v>
      </c>
      <c r="J26" s="165" t="inlineStr">
        <is>
          <t>11</t>
        </is>
      </c>
      <c r="K26" s="165" t="n">
        <v>25000</v>
      </c>
      <c r="L26" s="165" t="inlineStr">
        <is>
          <t>7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모종금호어울림아이퍼스트</t>
        </is>
      </c>
      <c r="B27" s="16" t="inlineStr">
        <is>
          <t>'22.02.</t>
        </is>
      </c>
      <c r="C27" s="164" t="n">
        <v>463</v>
      </c>
      <c r="D27" s="161" t="n">
        <v>113.6</v>
      </c>
      <c r="E27" s="163" t="n">
        <v>34</v>
      </c>
      <c r="F27" s="161" t="n">
        <v>85</v>
      </c>
      <c r="G27" s="27" t="n">
        <v>26</v>
      </c>
      <c r="H27" s="164" t="n">
        <v>164</v>
      </c>
      <c r="I27" s="165" t="n">
        <v>34450</v>
      </c>
      <c r="J27" s="165" t="inlineStr">
        <is>
          <t>23</t>
        </is>
      </c>
      <c r="K27" s="165" t="n">
        <v>25000</v>
      </c>
      <c r="L27" s="165" t="inlineStr">
        <is>
          <t>11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모종금호어울림아이퍼스트</t>
        </is>
      </c>
      <c r="B28" s="16" t="inlineStr">
        <is>
          <t>'22.02.</t>
        </is>
      </c>
      <c r="C28" s="164" t="n">
        <v>463</v>
      </c>
      <c r="D28" s="161" t="n">
        <v>113.7</v>
      </c>
      <c r="E28" s="163" t="n">
        <v>34</v>
      </c>
      <c r="F28" s="161" t="n">
        <v>84.90000000000001</v>
      </c>
      <c r="G28" s="27" t="n">
        <v>26</v>
      </c>
      <c r="H28" s="164" t="n">
        <v>88</v>
      </c>
      <c r="I28" s="165" t="n">
        <v>38000</v>
      </c>
      <c r="J28" s="165" t="inlineStr">
        <is>
          <t>중</t>
        </is>
      </c>
      <c r="K28" s="165" t="n">
        <v>25000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한라동백</t>
        </is>
      </c>
      <c r="B30" s="16" t="inlineStr">
        <is>
          <t>'98.11.</t>
        </is>
      </c>
      <c r="C30" s="164" t="n">
        <v>688</v>
      </c>
      <c r="D30" s="161" t="n">
        <v>77.40000000000001</v>
      </c>
      <c r="E30" s="163" t="n">
        <v>23</v>
      </c>
      <c r="F30" s="161" t="n">
        <v>59.9</v>
      </c>
      <c r="G30" s="27" t="n">
        <v>18</v>
      </c>
      <c r="H30" s="164" t="n">
        <v>244</v>
      </c>
      <c r="I30" s="165" t="n">
        <v>14500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inlineStr">
        <is>
          <t>77A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한라동백</t>
        </is>
      </c>
      <c r="B31" s="16" t="inlineStr">
        <is>
          <t>'98.11.</t>
        </is>
      </c>
      <c r="C31" s="164" t="n">
        <v>688</v>
      </c>
      <c r="D31" s="161" t="n">
        <v>77.5</v>
      </c>
      <c r="E31" s="163" t="n">
        <v>23</v>
      </c>
      <c r="F31" s="161" t="n">
        <v>60</v>
      </c>
      <c r="G31" s="27" t="n">
        <v>18</v>
      </c>
      <c r="H31" s="164" t="n">
        <v>44</v>
      </c>
      <c r="I31" s="165" t="n">
        <v>15000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inlineStr">
        <is>
          <t>77B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한라동백</t>
        </is>
      </c>
      <c r="B32" s="16" t="inlineStr">
        <is>
          <t>'98.11.</t>
        </is>
      </c>
      <c r="C32" s="164" t="n">
        <v>688</v>
      </c>
      <c r="D32" s="161" t="n">
        <v>101.4</v>
      </c>
      <c r="E32" s="163" t="n">
        <v>31</v>
      </c>
      <c r="F32" s="161" t="n">
        <v>84.90000000000001</v>
      </c>
      <c r="G32" s="27" t="n">
        <v>26</v>
      </c>
      <c r="H32" s="164" t="n">
        <v>298</v>
      </c>
      <c r="I32" s="165" t="n">
        <v>17500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한라동백</t>
        </is>
      </c>
      <c r="B33" s="16" t="inlineStr">
        <is>
          <t>'98.11.</t>
        </is>
      </c>
      <c r="C33" s="164" t="n">
        <v>688</v>
      </c>
      <c r="D33" s="161" t="n">
        <v>101.3</v>
      </c>
      <c r="E33" s="163" t="n">
        <v>31</v>
      </c>
      <c r="F33" s="161" t="n">
        <v>84.8</v>
      </c>
      <c r="G33" s="27" t="n">
        <v>26</v>
      </c>
      <c r="H33" s="164" t="n">
        <v>36</v>
      </c>
      <c r="I33" s="165" t="n">
        <v>22000</v>
      </c>
      <c r="J33" s="165" t="inlineStr">
        <is>
          <t>8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한라동백</t>
        </is>
      </c>
      <c r="B34" s="16" t="inlineStr">
        <is>
          <t>'98.11.</t>
        </is>
      </c>
      <c r="C34" s="164" t="n">
        <v>688</v>
      </c>
      <c r="D34" s="161" t="n">
        <v>130.9</v>
      </c>
      <c r="E34" s="163" t="n">
        <v>40</v>
      </c>
      <c r="F34" s="161" t="n">
        <v>115</v>
      </c>
      <c r="G34" s="27" t="n">
        <v>35</v>
      </c>
      <c r="H34" s="164" t="n">
        <v>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130A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한라동백</t>
        </is>
      </c>
      <c r="B35" s="16" t="inlineStr">
        <is>
          <t>'98.11.</t>
        </is>
      </c>
      <c r="C35" s="164" t="n">
        <v>688</v>
      </c>
      <c r="D35" s="161" t="n">
        <v>130.9</v>
      </c>
      <c r="E35" s="163" t="n">
        <v>40</v>
      </c>
      <c r="F35" s="161" t="n">
        <v>115</v>
      </c>
      <c r="G35" s="27" t="n">
        <v>35</v>
      </c>
      <c r="H35" s="164" t="n">
        <v>22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130B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모종2차삼일파라뷰센트럴</t>
        </is>
      </c>
      <c r="B37" s="16" t="inlineStr">
        <is>
          <t>'22.11.</t>
        </is>
      </c>
      <c r="C37" s="164" t="n">
        <v>352</v>
      </c>
      <c r="D37" s="161" t="n">
        <v>87.09999999999999</v>
      </c>
      <c r="E37" s="163" t="n">
        <v>26</v>
      </c>
      <c r="F37" s="161" t="n">
        <v>59.6</v>
      </c>
      <c r="G37" s="27" t="n">
        <v>18</v>
      </c>
      <c r="H37" s="164" t="n">
        <v>234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87A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모종2차삼일파라뷰센트럴</t>
        </is>
      </c>
      <c r="B38" s="16" t="inlineStr">
        <is>
          <t>'22.11.</t>
        </is>
      </c>
      <c r="C38" s="164" t="n">
        <v>352</v>
      </c>
      <c r="D38" s="161" t="n">
        <v>87.59999999999999</v>
      </c>
      <c r="E38" s="163" t="n">
        <v>27</v>
      </c>
      <c r="F38" s="161" t="n">
        <v>59.8</v>
      </c>
      <c r="G38" s="27" t="n">
        <v>18</v>
      </c>
      <c r="H38" s="164" t="n">
        <v>118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87B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모종한성필하우스1차</t>
        </is>
      </c>
      <c r="B40" s="16" t="inlineStr">
        <is>
          <t>'05.12.</t>
        </is>
      </c>
      <c r="C40" s="164" t="n">
        <v>769</v>
      </c>
      <c r="D40" s="161" t="n">
        <v>95.2</v>
      </c>
      <c r="E40" s="163" t="n">
        <v>29</v>
      </c>
      <c r="F40" s="161" t="n">
        <v>75.59999999999999</v>
      </c>
      <c r="G40" s="27" t="n">
        <v>23</v>
      </c>
      <c r="H40" s="164" t="n">
        <v>178</v>
      </c>
      <c r="I40" s="165" t="n">
        <v>28000</v>
      </c>
      <c r="J40" s="165" t="inlineStr">
        <is>
          <t>12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모종한성필하우스1차</t>
        </is>
      </c>
      <c r="B41" s="16" t="inlineStr">
        <is>
          <t>'05.12.</t>
        </is>
      </c>
      <c r="C41" s="164" t="n">
        <v>769</v>
      </c>
      <c r="D41" s="161" t="n">
        <v>115</v>
      </c>
      <c r="E41" s="163" t="n">
        <v>35</v>
      </c>
      <c r="F41" s="161" t="n">
        <v>84.8</v>
      </c>
      <c r="G41" s="27" t="n">
        <v>26</v>
      </c>
      <c r="H41" s="164" t="n">
        <v>444</v>
      </c>
      <c r="I41" s="165" t="n">
        <v>30500</v>
      </c>
      <c r="J41" s="165" t="inlineStr">
        <is>
          <t>8</t>
        </is>
      </c>
      <c r="K41" s="165" t="n">
        <v>26000</v>
      </c>
      <c r="L41" s="165" t="inlineStr">
        <is>
          <t>10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114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모종한성필하우스1차</t>
        </is>
      </c>
      <c r="B42" s="16" t="inlineStr">
        <is>
          <t>'05.12.</t>
        </is>
      </c>
      <c r="C42" s="164" t="n">
        <v>769</v>
      </c>
      <c r="D42" s="161" t="n">
        <v>158.4</v>
      </c>
      <c r="E42" s="163" t="n">
        <v>48</v>
      </c>
      <c r="F42" s="161" t="n">
        <v>132.6</v>
      </c>
      <c r="G42" s="27" t="n">
        <v>40</v>
      </c>
      <c r="H42" s="164" t="n">
        <v>147</v>
      </c>
      <c r="I42" s="165" t="n">
        <v>40000</v>
      </c>
      <c r="J42" s="165" t="inlineStr">
        <is>
          <t>9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158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모종캐슬어울림3단지</t>
        </is>
      </c>
      <c r="B44" s="16" t="inlineStr">
        <is>
          <t>'17.02.</t>
        </is>
      </c>
      <c r="C44" s="164" t="n">
        <v>516</v>
      </c>
      <c r="D44" s="161" t="n">
        <v>79.59999999999999</v>
      </c>
      <c r="E44" s="163" t="n">
        <v>24</v>
      </c>
      <c r="F44" s="161" t="n">
        <v>59.9</v>
      </c>
      <c r="G44" s="27" t="n">
        <v>18</v>
      </c>
      <c r="H44" s="164" t="n">
        <v>16</v>
      </c>
      <c r="I44" s="165" t="n">
        <v>35000</v>
      </c>
      <c r="J44" s="165" t="inlineStr">
        <is>
          <t>6</t>
        </is>
      </c>
      <c r="K44" s="165" t="n">
        <v>24000</v>
      </c>
      <c r="L44" s="165" t="inlineStr">
        <is>
          <t>11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모종캐슬어울림3단지</t>
        </is>
      </c>
      <c r="B45" s="16" t="inlineStr">
        <is>
          <t>'17.02.</t>
        </is>
      </c>
      <c r="C45" s="164" t="n">
        <v>516</v>
      </c>
      <c r="D45" s="161" t="n">
        <v>84.7</v>
      </c>
      <c r="E45" s="163" t="n">
        <v>26</v>
      </c>
      <c r="F45" s="161" t="n">
        <v>59.8</v>
      </c>
      <c r="G45" s="27" t="n">
        <v>18</v>
      </c>
      <c r="H45" s="164" t="n">
        <v>82</v>
      </c>
      <c r="I45" s="165" t="n">
        <v>33000</v>
      </c>
      <c r="J45" s="165" t="inlineStr">
        <is>
          <t>7</t>
        </is>
      </c>
      <c r="K45" s="165" t="n">
        <v>25000</v>
      </c>
      <c r="L45" s="165" t="inlineStr">
        <is>
          <t>11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모종캐슬어울림3단지</t>
        </is>
      </c>
      <c r="B46" s="16" t="inlineStr">
        <is>
          <t>'17.02.</t>
        </is>
      </c>
      <c r="C46" s="164" t="n">
        <v>516</v>
      </c>
      <c r="D46" s="161" t="n">
        <v>112.6</v>
      </c>
      <c r="E46" s="163" t="n">
        <v>34</v>
      </c>
      <c r="F46" s="161" t="n">
        <v>84.90000000000001</v>
      </c>
      <c r="G46" s="27" t="n">
        <v>26</v>
      </c>
      <c r="H46" s="164" t="n">
        <v>222</v>
      </c>
      <c r="I46" s="165" t="n">
        <v>43500</v>
      </c>
      <c r="J46" s="165" t="inlineStr">
        <is>
          <t>5</t>
        </is>
      </c>
      <c r="K46" s="165" t="n">
        <v>35000</v>
      </c>
      <c r="L46" s="165" t="inlineStr">
        <is>
          <t>14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모종캐슬어울림3단지</t>
        </is>
      </c>
      <c r="B47" s="16" t="inlineStr">
        <is>
          <t>'17.02.</t>
        </is>
      </c>
      <c r="C47" s="164" t="n">
        <v>516</v>
      </c>
      <c r="D47" s="161" t="n">
        <v>113.7</v>
      </c>
      <c r="E47" s="163" t="n">
        <v>34</v>
      </c>
      <c r="F47" s="161" t="n">
        <v>85</v>
      </c>
      <c r="G47" s="27" t="n">
        <v>26</v>
      </c>
      <c r="H47" s="164" t="n">
        <v>73</v>
      </c>
      <c r="I47" s="165" t="n">
        <v>44000</v>
      </c>
      <c r="J47" s="165" t="inlineStr">
        <is>
          <t>6</t>
        </is>
      </c>
      <c r="K47" s="165" t="n">
        <v>33000</v>
      </c>
      <c r="L47" s="165" t="inlineStr">
        <is>
          <t>10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모종캐슬어울림3단지</t>
        </is>
      </c>
      <c r="B48" s="16" t="inlineStr">
        <is>
          <t>'17.02.</t>
        </is>
      </c>
      <c r="C48" s="164" t="n">
        <v>516</v>
      </c>
      <c r="D48" s="161" t="n">
        <v>113.4</v>
      </c>
      <c r="E48" s="163" t="n">
        <v>34</v>
      </c>
      <c r="F48" s="161" t="n">
        <v>85</v>
      </c>
      <c r="G48" s="27" t="n">
        <v>26</v>
      </c>
      <c r="H48" s="164" t="n">
        <v>44</v>
      </c>
      <c r="I48" s="165" t="n">
        <v>48000</v>
      </c>
      <c r="J48" s="165" t="inlineStr">
        <is>
          <t>11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모종캐슬어울림3단지</t>
        </is>
      </c>
      <c r="B49" s="16" t="inlineStr">
        <is>
          <t>'17.02.</t>
        </is>
      </c>
      <c r="C49" s="164" t="n">
        <v>516</v>
      </c>
      <c r="D49" s="161" t="n">
        <v>115</v>
      </c>
      <c r="E49" s="163" t="n">
        <v>35</v>
      </c>
      <c r="F49" s="161" t="n">
        <v>85</v>
      </c>
      <c r="G49" s="27" t="n">
        <v>26</v>
      </c>
      <c r="H49" s="164" t="n">
        <v>35</v>
      </c>
      <c r="I49" s="165" t="n">
        <v>45000</v>
      </c>
      <c r="J49" s="165" t="inlineStr">
        <is>
          <t>20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모종캐슬어울림3단지</t>
        </is>
      </c>
      <c r="B50" s="16" t="inlineStr">
        <is>
          <t>'17.02.</t>
        </is>
      </c>
      <c r="C50" s="164" t="n">
        <v>516</v>
      </c>
      <c r="D50" s="161" t="n">
        <v>142.3</v>
      </c>
      <c r="E50" s="163" t="n">
        <v>43</v>
      </c>
      <c r="F50" s="161" t="n">
        <v>112.9</v>
      </c>
      <c r="G50" s="27" t="n">
        <v>34</v>
      </c>
      <c r="H50" s="164" t="n">
        <v>44</v>
      </c>
      <c r="I50" s="165" t="n">
        <v>62000</v>
      </c>
      <c r="J50" s="165" t="inlineStr">
        <is>
          <t>고</t>
        </is>
      </c>
      <c r="K50" s="165" t="n">
        <v>48000</v>
      </c>
      <c r="L50" s="165" t="inlineStr">
        <is>
          <t>16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모종캐슬어울림2단지</t>
        </is>
      </c>
      <c r="B52" s="16" t="inlineStr">
        <is>
          <t>'17.06.</t>
        </is>
      </c>
      <c r="C52" s="164" t="n">
        <v>794</v>
      </c>
      <c r="D52" s="161" t="n">
        <v>84.40000000000001</v>
      </c>
      <c r="E52" s="163" t="n">
        <v>26</v>
      </c>
      <c r="F52" s="161" t="n">
        <v>59.8</v>
      </c>
      <c r="G52" s="27" t="n">
        <v>18</v>
      </c>
      <c r="H52" s="164" t="n">
        <v>288</v>
      </c>
      <c r="I52" s="165" t="n">
        <v>29400</v>
      </c>
      <c r="J52" s="165" t="inlineStr">
        <is>
          <t>7</t>
        </is>
      </c>
      <c r="K52" s="165" t="n">
        <v>25000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84A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모종캐슬어울림2단지</t>
        </is>
      </c>
      <c r="B53" s="16" t="inlineStr">
        <is>
          <t>'17.06.</t>
        </is>
      </c>
      <c r="C53" s="164" t="n">
        <v>794</v>
      </c>
      <c r="D53" s="161" t="n">
        <v>112.5</v>
      </c>
      <c r="E53" s="163" t="n">
        <v>34</v>
      </c>
      <c r="F53" s="161" t="n">
        <v>84.90000000000001</v>
      </c>
      <c r="G53" s="27" t="n">
        <v>26</v>
      </c>
      <c r="H53" s="164" t="n">
        <v>274</v>
      </c>
      <c r="I53" s="165" t="n">
        <v>42000</v>
      </c>
      <c r="J53" s="165" t="inlineStr">
        <is>
          <t>13</t>
        </is>
      </c>
      <c r="K53" s="165" t="n">
        <v>32000</v>
      </c>
      <c r="L53" s="165" t="inlineStr">
        <is>
          <t>13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모종캐슬어울림2단지</t>
        </is>
      </c>
      <c r="B54" s="16" t="inlineStr">
        <is>
          <t>'17.06.</t>
        </is>
      </c>
      <c r="C54" s="164" t="n">
        <v>794</v>
      </c>
      <c r="D54" s="161" t="n">
        <v>113.1</v>
      </c>
      <c r="E54" s="163" t="n">
        <v>34</v>
      </c>
      <c r="F54" s="161" t="n">
        <v>85</v>
      </c>
      <c r="G54" s="27" t="n">
        <v>26</v>
      </c>
      <c r="H54" s="164" t="n">
        <v>128</v>
      </c>
      <c r="I54" s="165" t="n">
        <v>42000</v>
      </c>
      <c r="J54" s="165" t="inlineStr">
        <is>
          <t>10</t>
        </is>
      </c>
      <c r="K54" s="165" t="n">
        <v>32000</v>
      </c>
      <c r="L54" s="165" t="inlineStr">
        <is>
          <t>11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113C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모종캐슬어울림2단지</t>
        </is>
      </c>
      <c r="B55" s="16" t="inlineStr">
        <is>
          <t>'17.06.</t>
        </is>
      </c>
      <c r="C55" s="164" t="n">
        <v>794</v>
      </c>
      <c r="D55" s="161" t="n">
        <v>114.5</v>
      </c>
      <c r="E55" s="163" t="n">
        <v>35</v>
      </c>
      <c r="F55" s="161" t="n">
        <v>85</v>
      </c>
      <c r="G55" s="27" t="n">
        <v>26</v>
      </c>
      <c r="H55" s="164" t="n">
        <v>58</v>
      </c>
      <c r="I55" s="165" t="n">
        <v>45000</v>
      </c>
      <c r="J55" s="165" t="inlineStr">
        <is>
          <t>18</t>
        </is>
      </c>
      <c r="K55" s="165" t="n">
        <v>32000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114B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모종캐슬어울림2단지</t>
        </is>
      </c>
      <c r="B56" s="16" t="inlineStr">
        <is>
          <t>'17.06.</t>
        </is>
      </c>
      <c r="C56" s="164" t="n">
        <v>794</v>
      </c>
      <c r="D56" s="161" t="n">
        <v>142.3</v>
      </c>
      <c r="E56" s="163" t="n">
        <v>43</v>
      </c>
      <c r="F56" s="161" t="n">
        <v>112.9</v>
      </c>
      <c r="G56" s="27" t="n">
        <v>34</v>
      </c>
      <c r="H56" s="164" t="n">
        <v>46</v>
      </c>
      <c r="I56" s="165" t="n">
        <v>55000</v>
      </c>
      <c r="J56" s="165" t="inlineStr">
        <is>
          <t>고</t>
        </is>
      </c>
      <c r="K56" s="165" t="n">
        <v>45000</v>
      </c>
      <c r="L56" s="165" t="inlineStr">
        <is>
          <t>15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142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라이프타운</t>
        </is>
      </c>
      <c r="B58" s="16" t="inlineStr">
        <is>
          <t>'92.12.</t>
        </is>
      </c>
      <c r="C58" s="164" t="n">
        <v>374</v>
      </c>
      <c r="D58" s="161" t="n">
        <v>78.3</v>
      </c>
      <c r="E58" s="163" t="n">
        <v>24</v>
      </c>
      <c r="F58" s="161" t="n">
        <v>59.8</v>
      </c>
      <c r="G58" s="27" t="n">
        <v>18</v>
      </c>
      <c r="H58" s="164" t="n">
        <v>136</v>
      </c>
      <c r="I58" s="165" t="n">
        <v>13500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복</t>
        </is>
      </c>
      <c r="T58" s="8" t="n">
        <v>78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라이프타운</t>
        </is>
      </c>
      <c r="B59" s="16" t="inlineStr">
        <is>
          <t>'92.12.</t>
        </is>
      </c>
      <c r="C59" s="164" t="n">
        <v>374</v>
      </c>
      <c r="D59" s="161" t="n">
        <v>98.90000000000001</v>
      </c>
      <c r="E59" s="163" t="n">
        <v>30</v>
      </c>
      <c r="F59" s="161" t="n">
        <v>85</v>
      </c>
      <c r="G59" s="27" t="n">
        <v>26</v>
      </c>
      <c r="H59" s="164" t="n">
        <v>196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라이프타운</t>
        </is>
      </c>
      <c r="B60" s="16" t="inlineStr">
        <is>
          <t>'92.12.</t>
        </is>
      </c>
      <c r="C60" s="164" t="n">
        <v>374</v>
      </c>
      <c r="D60" s="161" t="n">
        <v>148.2</v>
      </c>
      <c r="E60" s="163" t="n">
        <v>45</v>
      </c>
      <c r="F60" s="161" t="n">
        <v>133.7</v>
      </c>
      <c r="G60" s="27" t="n">
        <v>40</v>
      </c>
      <c r="H60" s="164" t="n">
        <v>42</v>
      </c>
      <c r="I60" s="165" t="n">
        <v>20000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148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힐스테이트모종네오루체</t>
        </is>
      </c>
      <c r="B62" s="16" t="inlineStr">
        <is>
          <t>'23.08.</t>
        </is>
      </c>
      <c r="C62" s="164" t="n">
        <v>927</v>
      </c>
      <c r="D62" s="161" t="n">
        <v>98.40000000000001</v>
      </c>
      <c r="E62" s="163" t="n">
        <v>30</v>
      </c>
      <c r="F62" s="161" t="n">
        <v>75</v>
      </c>
      <c r="G62" s="27" t="n">
        <v>23</v>
      </c>
      <c r="H62" s="164" t="n">
        <v>194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힐스테이트모종네오루체</t>
        </is>
      </c>
      <c r="B63" s="16" t="inlineStr">
        <is>
          <t>'23.08.</t>
        </is>
      </c>
      <c r="C63" s="164" t="n">
        <v>927</v>
      </c>
      <c r="D63" s="161" t="n">
        <v>110.4</v>
      </c>
      <c r="E63" s="163" t="n">
        <v>33</v>
      </c>
      <c r="F63" s="161" t="n">
        <v>85</v>
      </c>
      <c r="G63" s="27" t="n">
        <v>26</v>
      </c>
      <c r="H63" s="164" t="n">
        <v>313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힐스테이트모종네오루체</t>
        </is>
      </c>
      <c r="B64" s="16" t="inlineStr">
        <is>
          <t>'23.08.</t>
        </is>
      </c>
      <c r="C64" s="164" t="n">
        <v>927</v>
      </c>
      <c r="D64" s="161" t="n">
        <v>110.2</v>
      </c>
      <c r="E64" s="163" t="n">
        <v>33</v>
      </c>
      <c r="F64" s="161" t="n">
        <v>85</v>
      </c>
      <c r="G64" s="27" t="n">
        <v>26</v>
      </c>
      <c r="H64" s="164" t="n">
        <v>309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힐스테이트모종네오루체</t>
        </is>
      </c>
      <c r="B65" s="16" t="inlineStr">
        <is>
          <t>'23.08.</t>
        </is>
      </c>
      <c r="C65" s="164" t="n">
        <v>927</v>
      </c>
      <c r="D65" s="161" t="n">
        <v>131.1</v>
      </c>
      <c r="E65" s="163" t="n">
        <v>40</v>
      </c>
      <c r="F65" s="161" t="n">
        <v>100</v>
      </c>
      <c r="G65" s="27" t="n">
        <v>30</v>
      </c>
      <c r="H65" s="164" t="n">
        <v>111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131A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모종캐슬어울림1단지</t>
        </is>
      </c>
      <c r="B67" s="16" t="inlineStr">
        <is>
          <t>'17.02.</t>
        </is>
      </c>
      <c r="C67" s="164" t="n">
        <v>792</v>
      </c>
      <c r="D67" s="161" t="n">
        <v>84.7</v>
      </c>
      <c r="E67" s="163" t="n">
        <v>26</v>
      </c>
      <c r="F67" s="161" t="n">
        <v>59.8</v>
      </c>
      <c r="G67" s="27" t="n">
        <v>18</v>
      </c>
      <c r="H67" s="164" t="n">
        <v>292</v>
      </c>
      <c r="I67" s="165" t="n">
        <v>30000</v>
      </c>
      <c r="J67" s="165" t="inlineStr">
        <is>
          <t>9</t>
        </is>
      </c>
      <c r="K67" s="165" t="n">
        <v>25000</v>
      </c>
      <c r="L67" s="165" t="inlineStr">
        <is>
          <t>중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84A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모종캐슬어울림1단지</t>
        </is>
      </c>
      <c r="B68" s="16" t="inlineStr">
        <is>
          <t>'17.02.</t>
        </is>
      </c>
      <c r="C68" s="164" t="n">
        <v>792</v>
      </c>
      <c r="D68" s="161" t="n">
        <v>112.5</v>
      </c>
      <c r="E68" s="163" t="n">
        <v>34</v>
      </c>
      <c r="F68" s="161" t="n">
        <v>84.90000000000001</v>
      </c>
      <c r="G68" s="27" t="n">
        <v>26</v>
      </c>
      <c r="H68" s="164" t="n">
        <v>190</v>
      </c>
      <c r="I68" s="165" t="n">
        <v>40500</v>
      </c>
      <c r="J68" s="165" t="inlineStr">
        <is>
          <t>5</t>
        </is>
      </c>
      <c r="K68" s="165" t="n">
        <v>33000</v>
      </c>
      <c r="L68" s="165" t="inlineStr">
        <is>
          <t>23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모종캐슬어울림1단지</t>
        </is>
      </c>
      <c r="B69" s="16" t="inlineStr">
        <is>
          <t>'17.02.</t>
        </is>
      </c>
      <c r="C69" s="164" t="n">
        <v>792</v>
      </c>
      <c r="D69" s="161" t="n">
        <v>112.9</v>
      </c>
      <c r="E69" s="163" t="n">
        <v>34</v>
      </c>
      <c r="F69" s="161" t="n">
        <v>85</v>
      </c>
      <c r="G69" s="27" t="n">
        <v>26</v>
      </c>
      <c r="H69" s="164" t="n">
        <v>170</v>
      </c>
      <c r="I69" s="165" t="n">
        <v>42000</v>
      </c>
      <c r="J69" s="165" t="inlineStr">
        <is>
          <t>5</t>
        </is>
      </c>
      <c r="K69" s="165" t="n">
        <v>34000</v>
      </c>
      <c r="L69" s="165" t="inlineStr">
        <is>
          <t>8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모종캐슬어울림1단지</t>
        </is>
      </c>
      <c r="B70" s="16" t="inlineStr">
        <is>
          <t>'17.02.</t>
        </is>
      </c>
      <c r="C70" s="164" t="n">
        <v>792</v>
      </c>
      <c r="D70" s="161" t="n">
        <v>114.3</v>
      </c>
      <c r="E70" s="163" t="n">
        <v>35</v>
      </c>
      <c r="F70" s="161" t="n">
        <v>85</v>
      </c>
      <c r="G70" s="27" t="n">
        <v>26</v>
      </c>
      <c r="H70" s="164" t="n">
        <v>100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114B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모종캐슬어울림1단지</t>
        </is>
      </c>
      <c r="B71" s="16" t="inlineStr">
        <is>
          <t>'17.02.</t>
        </is>
      </c>
      <c r="C71" s="164" t="n">
        <v>792</v>
      </c>
      <c r="D71" s="161" t="n">
        <v>142.4</v>
      </c>
      <c r="E71" s="163" t="n">
        <v>43</v>
      </c>
      <c r="F71" s="161" t="n">
        <v>112.9</v>
      </c>
      <c r="G71" s="27" t="n">
        <v>34</v>
      </c>
      <c r="H71" s="164" t="n">
        <v>40</v>
      </c>
      <c r="I71" s="165" t="n">
        <v>57500</v>
      </c>
      <c r="J71" s="165" t="inlineStr">
        <is>
          <t>6</t>
        </is>
      </c>
      <c r="K71" s="165" t="n">
        <v>40000</v>
      </c>
      <c r="L71" s="165" t="inlineStr">
        <is>
          <t>15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142C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8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17">
      <formula>AV9="X"</formula>
    </cfRule>
    <cfRule type="expression" priority="1029" dxfId="16">
      <formula>AV9="후보"</formula>
    </cfRule>
  </conditionalFormatting>
  <conditionalFormatting sqref="AC9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9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17">
      <formula>AV10="X"</formula>
    </cfRule>
    <cfRule type="expression" priority="1010" dxfId="16">
      <formula>AV10="후보"</formula>
    </cfRule>
  </conditionalFormatting>
  <conditionalFormatting sqref="AC10 N10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17">
      <formula>AV13="X"</formula>
    </cfRule>
    <cfRule type="expression" priority="967" dxfId="16">
      <formula>AV13="후보"</formula>
    </cfRule>
  </conditionalFormatting>
  <conditionalFormatting sqref="AC13 N13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17">
      <formula>AV17="X"</formula>
    </cfRule>
    <cfRule type="expression" priority="905" dxfId="16">
      <formula>AV17="후보"</formula>
    </cfRule>
  </conditionalFormatting>
  <conditionalFormatting sqref="AC17 N1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17">
      <formula>AV22="X"</formula>
    </cfRule>
    <cfRule type="expression" priority="824" dxfId="16">
      <formula>AV22="후보"</formula>
    </cfRule>
  </conditionalFormatting>
  <conditionalFormatting sqref="AC2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2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17">
      <formula>AV23="X"</formula>
    </cfRule>
    <cfRule type="expression" priority="805" dxfId="16">
      <formula>AV23="후보"</formula>
    </cfRule>
  </conditionalFormatting>
  <conditionalFormatting sqref="AC2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2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17">
      <formula>AV24="X"</formula>
    </cfRule>
    <cfRule type="expression" priority="786" dxfId="16">
      <formula>AV24="후보"</formula>
    </cfRule>
  </conditionalFormatting>
  <conditionalFormatting sqref="AC24 N2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17">
      <formula>AV28="X"</formula>
    </cfRule>
    <cfRule type="expression" priority="724" dxfId="16">
      <formula>AV28="후보"</formula>
    </cfRule>
  </conditionalFormatting>
  <conditionalFormatting sqref="AC2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17">
      <formula>AV29="X"</formula>
    </cfRule>
    <cfRule type="expression" priority="705" dxfId="16">
      <formula>AV29="후보"</formula>
    </cfRule>
  </conditionalFormatting>
  <conditionalFormatting sqref="AC29 N2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 N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7">
    <cfRule type="expression" priority="580" dxfId="17">
      <formula>AV37="X"</formula>
    </cfRule>
    <cfRule type="expression" priority="581" dxfId="16">
      <formula>AV37="후보"</formula>
    </cfRule>
  </conditionalFormatting>
  <conditionalFormatting sqref="AC3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17">
      <formula>AV38="X"</formula>
    </cfRule>
    <cfRule type="expression" priority="562" dxfId="16">
      <formula>AV38="후보"</formula>
    </cfRule>
  </conditionalFormatting>
  <conditionalFormatting sqref="AC3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17">
      <formula>AV39="X"</formula>
    </cfRule>
    <cfRule type="expression" priority="543" dxfId="16">
      <formula>AV39="후보"</formula>
    </cfRule>
  </conditionalFormatting>
  <conditionalFormatting sqref="AC39 N3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40">
    <cfRule type="expression" priority="537" dxfId="17">
      <formula>AV40="X"</formula>
    </cfRule>
    <cfRule type="expression" priority="538" dxfId="16">
      <formula>AV40="후보"</formula>
    </cfRule>
  </conditionalFormatting>
  <conditionalFormatting sqref="AC4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17">
      <formula>AV41="X"</formula>
    </cfRule>
    <cfRule type="expression" priority="519" dxfId="16">
      <formula>AV41="후보"</formula>
    </cfRule>
  </conditionalFormatting>
  <conditionalFormatting sqref="AC4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17">
      <formula>AV42="X"</formula>
    </cfRule>
    <cfRule type="expression" priority="500" dxfId="16">
      <formula>AV42="후보"</formula>
    </cfRule>
  </conditionalFormatting>
  <conditionalFormatting sqref="AC4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17">
      <formula>AV43="X"</formula>
    </cfRule>
    <cfRule type="expression" priority="481" dxfId="16">
      <formula>AV43="후보"</formula>
    </cfRule>
  </conditionalFormatting>
  <conditionalFormatting sqref="AC43 N4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44">
    <cfRule type="expression" priority="475" dxfId="17">
      <formula>AV44="X"</formula>
    </cfRule>
    <cfRule type="expression" priority="476" dxfId="16">
      <formula>AV44="후보"</formula>
    </cfRule>
  </conditionalFormatting>
  <conditionalFormatting sqref="AC4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17">
      <formula>AV45="X"</formula>
    </cfRule>
    <cfRule type="expression" priority="457" dxfId="16">
      <formula>AV45="후보"</formula>
    </cfRule>
  </conditionalFormatting>
  <conditionalFormatting sqref="AC4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4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17">
      <formula>AV46="X"</formula>
    </cfRule>
    <cfRule type="expression" priority="438" dxfId="16">
      <formula>AV46="후보"</formula>
    </cfRule>
  </conditionalFormatting>
  <conditionalFormatting sqref="AC4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17">
      <formula>AV47="X"</formula>
    </cfRule>
    <cfRule type="expression" priority="419" dxfId="16">
      <formula>AV47="후보"</formula>
    </cfRule>
  </conditionalFormatting>
  <conditionalFormatting sqref="AC4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17">
      <formula>AV48="X"</formula>
    </cfRule>
    <cfRule type="expression" priority="400" dxfId="16">
      <formula>AV48="후보"</formula>
    </cfRule>
  </conditionalFormatting>
  <conditionalFormatting sqref="AC4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4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17">
      <formula>AV49="X"</formula>
    </cfRule>
    <cfRule type="expression" priority="381" dxfId="16">
      <formula>AV49="후보"</formula>
    </cfRule>
  </conditionalFormatting>
  <conditionalFormatting sqref="AC4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 N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8">
    <cfRule type="expression" priority="237" dxfId="17">
      <formula>AV58="X"</formula>
    </cfRule>
    <cfRule type="expression" priority="238" dxfId="16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7">
      <formula>AV59="X"</formula>
    </cfRule>
    <cfRule type="expression" priority="219" dxfId="16">
      <formula>AV59="후보"</formula>
    </cfRule>
  </conditionalFormatting>
  <conditionalFormatting sqref="AC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 N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62">
    <cfRule type="expression" priority="175" dxfId="17">
      <formula>AV62="X"</formula>
    </cfRule>
    <cfRule type="expression" priority="176" dxfId="16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7">
      <formula>AV63="X"</formula>
    </cfRule>
    <cfRule type="expression" priority="157" dxfId="16">
      <formula>AV63="후보"</formula>
    </cfRule>
  </conditionalFormatting>
  <conditionalFormatting sqref="AC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 N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67">
    <cfRule type="expression" priority="94" dxfId="17">
      <formula>AV67="X"</formula>
    </cfRule>
    <cfRule type="expression" priority="95" dxfId="16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방축동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주공</t>
        </is>
      </c>
      <c r="B6" s="16" t="inlineStr">
        <is>
          <t>'90.08.</t>
        </is>
      </c>
      <c r="C6" s="164" t="n">
        <v>410</v>
      </c>
      <c r="D6" s="161" t="n">
        <v>45.5</v>
      </c>
      <c r="E6" s="163" t="n">
        <v>14</v>
      </c>
      <c r="F6" s="161" t="n">
        <v>39.7</v>
      </c>
      <c r="G6" s="27" t="n">
        <v>12</v>
      </c>
      <c r="H6" s="164" t="n">
        <v>170</v>
      </c>
      <c r="I6" s="165" t="n">
        <v>8300</v>
      </c>
      <c r="J6" s="165" t="inlineStr">
        <is>
          <t>5</t>
        </is>
      </c>
      <c r="K6" s="165" t="n">
        <v>5500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45B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주공</t>
        </is>
      </c>
      <c r="B7" s="16" t="inlineStr">
        <is>
          <t>'90.08.</t>
        </is>
      </c>
      <c r="C7" s="164" t="n">
        <v>410</v>
      </c>
      <c r="D7" s="161" t="n">
        <v>45.2</v>
      </c>
      <c r="E7" s="163" t="n">
        <v>14</v>
      </c>
      <c r="F7" s="161" t="n">
        <v>39.3</v>
      </c>
      <c r="G7" s="27" t="n">
        <v>12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45A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주공</t>
        </is>
      </c>
      <c r="B8" s="16" t="inlineStr">
        <is>
          <t>'90.08.</t>
        </is>
      </c>
      <c r="C8" s="164" t="n">
        <v>410</v>
      </c>
      <c r="D8" s="161" t="n">
        <v>52.9</v>
      </c>
      <c r="E8" s="163" t="n">
        <v>16</v>
      </c>
      <c r="F8" s="161" t="n">
        <v>47</v>
      </c>
      <c r="G8" s="27" t="n">
        <v>14</v>
      </c>
      <c r="H8" s="164" t="n">
        <v>80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inlineStr">
        <is>
          <t>52B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</t>
        </is>
      </c>
      <c r="B9" s="16" t="inlineStr">
        <is>
          <t>'90.08.</t>
        </is>
      </c>
      <c r="C9" s="164" t="n">
        <v>410</v>
      </c>
      <c r="D9" s="161" t="n">
        <v>52.5</v>
      </c>
      <c r="E9" s="163" t="n">
        <v>16</v>
      </c>
      <c r="F9" s="161" t="n">
        <v>46.7</v>
      </c>
      <c r="G9" s="27" t="n">
        <v>14</v>
      </c>
      <c r="H9" s="164" t="n">
        <v>40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52A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동아2차</t>
        </is>
      </c>
      <c r="B11" s="16" t="inlineStr">
        <is>
          <t>'97.08.</t>
        </is>
      </c>
      <c r="C11" s="164" t="n">
        <v>280</v>
      </c>
      <c r="D11" s="161" t="n">
        <v>74.40000000000001</v>
      </c>
      <c r="E11" s="163" t="n">
        <v>22</v>
      </c>
      <c r="F11" s="161" t="n">
        <v>59.8</v>
      </c>
      <c r="G11" s="27" t="n">
        <v>18</v>
      </c>
      <c r="H11" s="164" t="n">
        <v>180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동아2차</t>
        </is>
      </c>
      <c r="B12" s="16" t="inlineStr">
        <is>
          <t>'97.08.</t>
        </is>
      </c>
      <c r="C12" s="164" t="n">
        <v>280</v>
      </c>
      <c r="D12" s="161" t="n">
        <v>90</v>
      </c>
      <c r="E12" s="163" t="n">
        <v>27</v>
      </c>
      <c r="F12" s="161" t="n">
        <v>73.90000000000001</v>
      </c>
      <c r="G12" s="27" t="n">
        <v>22</v>
      </c>
      <c r="H12" s="164" t="n">
        <v>20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90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동아2차</t>
        </is>
      </c>
      <c r="B13" s="16" t="inlineStr">
        <is>
          <t>'97.08.</t>
        </is>
      </c>
      <c r="C13" s="164" t="n">
        <v>280</v>
      </c>
      <c r="D13" s="161" t="n">
        <v>99.59999999999999</v>
      </c>
      <c r="E13" s="163" t="n">
        <v>30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삼일파라뷰더스테이</t>
        </is>
      </c>
      <c r="B15" s="16" t="inlineStr">
        <is>
          <t>'20.04.</t>
        </is>
      </c>
      <c r="C15" s="164" t="n">
        <v>346</v>
      </c>
      <c r="D15" s="161" t="n">
        <v>85.5</v>
      </c>
      <c r="E15" s="163" t="n">
        <v>26</v>
      </c>
      <c r="F15" s="161" t="n">
        <v>59.9</v>
      </c>
      <c r="G15" s="27" t="n">
        <v>18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삼일파라뷰더스테이</t>
        </is>
      </c>
      <c r="B16" s="16" t="inlineStr">
        <is>
          <t>'20.04.</t>
        </is>
      </c>
      <c r="C16" s="164" t="n">
        <v>346</v>
      </c>
      <c r="D16" s="161" t="n">
        <v>85.59999999999999</v>
      </c>
      <c r="E16" s="163" t="n">
        <v>26</v>
      </c>
      <c r="F16" s="161" t="n">
        <v>59.9</v>
      </c>
      <c r="G16" s="27" t="n">
        <v>18</v>
      </c>
      <c r="H16" s="164" t="n">
        <v>57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삼일파라뷰더스테이</t>
        </is>
      </c>
      <c r="B17" s="16" t="inlineStr">
        <is>
          <t>'20.04.</t>
        </is>
      </c>
      <c r="C17" s="164" t="n">
        <v>346</v>
      </c>
      <c r="D17" s="161" t="n">
        <v>85.90000000000001</v>
      </c>
      <c r="E17" s="163" t="n">
        <v>26</v>
      </c>
      <c r="F17" s="161" t="n">
        <v>59.8</v>
      </c>
      <c r="G17" s="27" t="n">
        <v>18</v>
      </c>
      <c r="H17" s="164" t="n">
        <v>36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동아1차</t>
        </is>
      </c>
      <c r="B19" s="16" t="inlineStr">
        <is>
          <t>'97.08.</t>
        </is>
      </c>
      <c r="C19" s="164" t="n">
        <v>484</v>
      </c>
      <c r="D19" s="161" t="n">
        <v>76.3</v>
      </c>
      <c r="E19" s="163" t="n">
        <v>23</v>
      </c>
      <c r="F19" s="161" t="n">
        <v>59.8</v>
      </c>
      <c r="G19" s="27" t="n">
        <v>18</v>
      </c>
      <c r="H19" s="164" t="n">
        <v>200</v>
      </c>
      <c r="I19" s="165" t="n">
        <v>12000</v>
      </c>
      <c r="J19" s="165" t="inlineStr">
        <is>
          <t>10</t>
        </is>
      </c>
      <c r="K19" s="165" t="n">
        <v>9500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동아1차</t>
        </is>
      </c>
      <c r="B20" s="16" t="inlineStr">
        <is>
          <t>'97.08.</t>
        </is>
      </c>
      <c r="C20" s="164" t="n">
        <v>484</v>
      </c>
      <c r="D20" s="161" t="n">
        <v>100.7</v>
      </c>
      <c r="E20" s="163" t="n">
        <v>30</v>
      </c>
      <c r="F20" s="161" t="n">
        <v>85</v>
      </c>
      <c r="G20" s="27" t="n">
        <v>26</v>
      </c>
      <c r="H20" s="164" t="n">
        <v>284</v>
      </c>
      <c r="I20" s="165" t="n">
        <v>15600</v>
      </c>
      <c r="J20" s="165" t="inlineStr">
        <is>
          <t>19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남산현대</t>
        </is>
      </c>
      <c r="B22" s="16" t="inlineStr">
        <is>
          <t>'98.11.</t>
        </is>
      </c>
      <c r="C22" s="164" t="n">
        <v>332</v>
      </c>
      <c r="D22" s="161" t="n">
        <v>104.5</v>
      </c>
      <c r="E22" s="163" t="n">
        <v>32</v>
      </c>
      <c r="F22" s="161" t="n">
        <v>85</v>
      </c>
      <c r="G22" s="27" t="n">
        <v>26</v>
      </c>
      <c r="H22" s="164" t="n">
        <v>276</v>
      </c>
      <c r="I22" s="165" t="n">
        <v>18500</v>
      </c>
      <c r="J22" s="165" t="inlineStr">
        <is>
          <t>6</t>
        </is>
      </c>
      <c r="K22" s="165" t="n">
        <v>17500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104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남산현대</t>
        </is>
      </c>
      <c r="B23" s="16" t="inlineStr">
        <is>
          <t>'98.11.</t>
        </is>
      </c>
      <c r="C23" s="164" t="n">
        <v>332</v>
      </c>
      <c r="D23" s="161" t="n">
        <v>135.6</v>
      </c>
      <c r="E23" s="163" t="n">
        <v>41</v>
      </c>
      <c r="F23" s="161" t="n">
        <v>113.9</v>
      </c>
      <c r="G23" s="27" t="n">
        <v>34</v>
      </c>
      <c r="H23" s="164" t="n">
        <v>56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아산삼환나우빌</t>
        </is>
      </c>
      <c r="B25" s="16" t="inlineStr">
        <is>
          <t>'06.10.</t>
        </is>
      </c>
      <c r="C25" s="164" t="n">
        <v>256</v>
      </c>
      <c r="D25" s="161" t="n">
        <v>116.9</v>
      </c>
      <c r="E25" s="163" t="n">
        <v>35</v>
      </c>
      <c r="F25" s="161" t="n">
        <v>84.90000000000001</v>
      </c>
      <c r="G25" s="27" t="n">
        <v>26</v>
      </c>
      <c r="H25" s="164" t="n">
        <v>172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아산삼환나우빌</t>
        </is>
      </c>
      <c r="B26" s="16" t="inlineStr">
        <is>
          <t>'06.10.</t>
        </is>
      </c>
      <c r="C26" s="164" t="n">
        <v>256</v>
      </c>
      <c r="D26" s="161" t="n">
        <v>155</v>
      </c>
      <c r="E26" s="163" t="n">
        <v>47</v>
      </c>
      <c r="F26" s="161" t="n">
        <v>123.3</v>
      </c>
      <c r="G26" s="27" t="n">
        <v>37</v>
      </c>
      <c r="H26" s="164" t="n">
        <v>84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155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아산KD아람채</t>
        </is>
      </c>
      <c r="B28" s="16" t="inlineStr">
        <is>
          <t>'20.08.</t>
        </is>
      </c>
      <c r="C28" s="164" t="n">
        <v>271</v>
      </c>
      <c r="D28" s="161" t="n">
        <v>83.40000000000001</v>
      </c>
      <c r="E28" s="163" t="n">
        <v>25</v>
      </c>
      <c r="F28" s="161" t="n">
        <v>60</v>
      </c>
      <c r="G28" s="27" t="n">
        <v>18</v>
      </c>
      <c r="H28" s="164" t="n">
        <v>88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아산KD아람채</t>
        </is>
      </c>
      <c r="B29" s="16" t="inlineStr">
        <is>
          <t>'20.08.</t>
        </is>
      </c>
      <c r="C29" s="164" t="n">
        <v>271</v>
      </c>
      <c r="D29" s="161" t="n">
        <v>83.40000000000001</v>
      </c>
      <c r="E29" s="163" t="n">
        <v>25</v>
      </c>
      <c r="F29" s="161" t="n">
        <v>60</v>
      </c>
      <c r="G29" s="27" t="n">
        <v>18</v>
      </c>
      <c r="H29" s="164" t="n">
        <v>57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83C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아산KD아람채</t>
        </is>
      </c>
      <c r="B30" s="16" t="inlineStr">
        <is>
          <t>'20.08.</t>
        </is>
      </c>
      <c r="C30" s="164" t="n">
        <v>271</v>
      </c>
      <c r="D30" s="161" t="n">
        <v>83.3</v>
      </c>
      <c r="E30" s="163" t="n">
        <v>25</v>
      </c>
      <c r="F30" s="161" t="n">
        <v>60</v>
      </c>
      <c r="G30" s="27" t="n">
        <v>18</v>
      </c>
      <c r="H30" s="164" t="n">
        <v>44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83A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아산KD아람채</t>
        </is>
      </c>
      <c r="B31" s="16" t="inlineStr">
        <is>
          <t>'20.08.</t>
        </is>
      </c>
      <c r="C31" s="164" t="n">
        <v>271</v>
      </c>
      <c r="D31" s="161" t="n">
        <v>94.3</v>
      </c>
      <c r="E31" s="163" t="n">
        <v>29</v>
      </c>
      <c r="F31" s="161" t="n">
        <v>68</v>
      </c>
      <c r="G31" s="27" t="n">
        <v>21</v>
      </c>
      <c r="H31" s="164" t="n">
        <v>82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94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17">
      <formula>AV4="X"</formula>
    </cfRule>
    <cfRule type="expression" priority="412" dxfId="16">
      <formula>AV4="후보"</formula>
    </cfRule>
  </conditionalFormatting>
  <conditionalFormatting sqref="AC1:AC2 AC4:AC6 N4:N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N1:N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17">
      <formula>AV7="X"</formula>
    </cfRule>
    <cfRule type="expression" priority="391" dxfId="16">
      <formula>AV7="후보"</formula>
    </cfRule>
  </conditionalFormatting>
  <conditionalFormatting sqref="AC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17">
      <formula>AV8="X"</formula>
    </cfRule>
    <cfRule type="expression" priority="372" dxfId="16">
      <formula>AV8="후보"</formula>
    </cfRule>
  </conditionalFormatting>
  <conditionalFormatting sqref="AC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17">
      <formula>AV9="X"</formula>
    </cfRule>
    <cfRule type="expression" priority="353" dxfId="16">
      <formula>AV9="후보"</formula>
    </cfRule>
  </conditionalFormatting>
  <conditionalFormatting sqref="AC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17">
      <formula>AV10="X"</formula>
    </cfRule>
    <cfRule type="expression" priority="334" dxfId="16">
      <formula>AV10="후보"</formula>
    </cfRule>
  </conditionalFormatting>
  <conditionalFormatting sqref="AC10 N1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1">
    <cfRule type="expression" priority="328" dxfId="17">
      <formula>AV11="X"</formula>
    </cfRule>
    <cfRule type="expression" priority="329" dxfId="16">
      <formula>AV11="후보"</formula>
    </cfRule>
  </conditionalFormatting>
  <conditionalFormatting sqref="AC1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17">
      <formula>AV12="X"</formula>
    </cfRule>
    <cfRule type="expression" priority="310" dxfId="16">
      <formula>AV12="후보"</formula>
    </cfRule>
  </conditionalFormatting>
  <conditionalFormatting sqref="AC1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17">
      <formula>AV13="X"</formula>
    </cfRule>
    <cfRule type="expression" priority="291" dxfId="16">
      <formula>AV13="후보"</formula>
    </cfRule>
  </conditionalFormatting>
  <conditionalFormatting sqref="AC1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17">
      <formula>AV14="X"</formula>
    </cfRule>
    <cfRule type="expression" priority="272" dxfId="16">
      <formula>AV14="후보"</formula>
    </cfRule>
  </conditionalFormatting>
  <conditionalFormatting sqref="AC14 N14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15">
    <cfRule type="expression" priority="266" dxfId="17">
      <formula>AV15="X"</formula>
    </cfRule>
    <cfRule type="expression" priority="267" dxfId="16">
      <formula>AV15="후보"</formula>
    </cfRule>
  </conditionalFormatting>
  <conditionalFormatting sqref="AC1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17">
      <formula>AV16="X"</formula>
    </cfRule>
    <cfRule type="expression" priority="248" dxfId="16">
      <formula>AV16="후보"</formula>
    </cfRule>
  </conditionalFormatting>
  <conditionalFormatting sqref="AC1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17">
      <formula>AV17="X"</formula>
    </cfRule>
    <cfRule type="expression" priority="229" dxfId="16">
      <formula>AV17="후보"</formula>
    </cfRule>
  </conditionalFormatting>
  <conditionalFormatting sqref="AC1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7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17">
      <formula>AV18="X"</formula>
    </cfRule>
    <cfRule type="expression" priority="210" dxfId="16">
      <formula>AV18="후보"</formula>
    </cfRule>
  </conditionalFormatting>
  <conditionalFormatting sqref="AC18 N18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9">
    <cfRule type="expression" priority="204" dxfId="17">
      <formula>AV19="X"</formula>
    </cfRule>
    <cfRule type="expression" priority="205" dxfId="16">
      <formula>AV19="후보"</formula>
    </cfRule>
  </conditionalFormatting>
  <conditionalFormatting sqref="AC1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17">
      <formula>AV20="X"</formula>
    </cfRule>
    <cfRule type="expression" priority="186" dxfId="16">
      <formula>AV20="후보"</formula>
    </cfRule>
  </conditionalFormatting>
  <conditionalFormatting sqref="AC2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17">
      <formula>AV21="X"</formula>
    </cfRule>
    <cfRule type="expression" priority="167" dxfId="16">
      <formula>AV21="후보"</formula>
    </cfRule>
  </conditionalFormatting>
  <conditionalFormatting sqref="AC21 N2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2">
    <cfRule type="expression" priority="161" dxfId="17">
      <formula>AV22="X"</formula>
    </cfRule>
    <cfRule type="expression" priority="162" dxfId="16">
      <formula>AV22="후보"</formula>
    </cfRule>
  </conditionalFormatting>
  <conditionalFormatting sqref="AC2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17">
      <formula>AV23="X"</formula>
    </cfRule>
    <cfRule type="expression" priority="143" dxfId="16">
      <formula>AV23="후보"</formula>
    </cfRule>
  </conditionalFormatting>
  <conditionalFormatting sqref="AC2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17">
      <formula>AV24="X"</formula>
    </cfRule>
    <cfRule type="expression" priority="124" dxfId="16">
      <formula>AV24="후보"</formula>
    </cfRule>
  </conditionalFormatting>
  <conditionalFormatting sqref="AC24 N2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5">
    <cfRule type="expression" priority="118" dxfId="17">
      <formula>AV25="X"</formula>
    </cfRule>
    <cfRule type="expression" priority="119" dxfId="16">
      <formula>AV25="후보"</formula>
    </cfRule>
  </conditionalFormatting>
  <conditionalFormatting sqref="AC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17">
      <formula>AV26="X"</formula>
    </cfRule>
    <cfRule type="expression" priority="100" dxfId="16">
      <formula>AV26="후보"</formula>
    </cfRule>
  </conditionalFormatting>
  <conditionalFormatting sqref="AC2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17">
      <formula>AV27="X"</formula>
    </cfRule>
    <cfRule type="expression" priority="81" dxfId="16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7">
      <formula>AV28="X"</formula>
    </cfRule>
    <cfRule type="expression" priority="76" dxfId="16">
      <formula>AV28="후보"</formula>
    </cfRule>
  </conditionalFormatting>
  <conditionalFormatting sqref="AC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17">
      <formula>AV29="X"</formula>
    </cfRule>
    <cfRule type="expression" priority="57" dxfId="16">
      <formula>AV29="후보"</formula>
    </cfRule>
  </conditionalFormatting>
  <conditionalFormatting sqref="AC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17">
      <formula>AV30="X"</formula>
    </cfRule>
    <cfRule type="expression" priority="38" dxfId="16">
      <formula>AV30="후보"</formula>
    </cfRule>
  </conditionalFormatting>
  <conditionalFormatting sqref="AC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17">
      <formula>AV31="X"</formula>
    </cfRule>
    <cfRule type="expression" priority="19" dxfId="16">
      <formula>AV31="후보"</formula>
    </cfRule>
  </conditionalFormatting>
  <conditionalFormatting sqref="AC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서진</t>
        </is>
      </c>
      <c r="B6" s="16" t="inlineStr">
        <is>
          <t>'00.05.</t>
        </is>
      </c>
      <c r="C6" s="164" t="n">
        <v>1215</v>
      </c>
      <c r="D6" s="161" t="n">
        <v>41.9</v>
      </c>
      <c r="E6" s="163" t="n">
        <v>13</v>
      </c>
      <c r="F6" s="161" t="n">
        <v>29.6</v>
      </c>
      <c r="G6" s="27" t="n">
        <v>9</v>
      </c>
      <c r="H6" s="164" t="n">
        <v>150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서진</t>
        </is>
      </c>
      <c r="B7" s="16" t="inlineStr">
        <is>
          <t>'00.05.</t>
        </is>
      </c>
      <c r="C7" s="164" t="n">
        <v>1215</v>
      </c>
      <c r="D7" s="161" t="n">
        <v>42.1</v>
      </c>
      <c r="E7" s="163" t="n">
        <v>13</v>
      </c>
      <c r="F7" s="161" t="n">
        <v>29.7</v>
      </c>
      <c r="G7" s="27" t="n">
        <v>9</v>
      </c>
      <c r="H7" s="164" t="n">
        <v>165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복</t>
        </is>
      </c>
      <c r="T7" s="8" t="inlineStr">
        <is>
          <t>42B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서진</t>
        </is>
      </c>
      <c r="B8" s="16" t="inlineStr">
        <is>
          <t>'00.05.</t>
        </is>
      </c>
      <c r="C8" s="164" t="n">
        <v>1215</v>
      </c>
      <c r="D8" s="161" t="n">
        <v>56</v>
      </c>
      <c r="E8" s="163" t="n">
        <v>17</v>
      </c>
      <c r="F8" s="161" t="n">
        <v>39.6</v>
      </c>
      <c r="G8" s="27" t="n">
        <v>12</v>
      </c>
      <c r="H8" s="164" t="n">
        <v>660</v>
      </c>
      <c r="I8" s="165" t="n">
        <v>4500</v>
      </c>
      <c r="J8" s="165" t="inlineStr">
        <is>
          <t>15</t>
        </is>
      </c>
      <c r="K8" s="165" t="n">
        <v>4200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서진</t>
        </is>
      </c>
      <c r="B9" s="16" t="inlineStr">
        <is>
          <t>'00.05.</t>
        </is>
      </c>
      <c r="C9" s="164" t="n">
        <v>1215</v>
      </c>
      <c r="D9" s="161" t="n">
        <v>70.3</v>
      </c>
      <c r="E9" s="163" t="n">
        <v>21</v>
      </c>
      <c r="F9" s="161" t="n">
        <v>49.7</v>
      </c>
      <c r="G9" s="27" t="n">
        <v>15</v>
      </c>
      <c r="H9" s="164" t="n">
        <v>240</v>
      </c>
      <c r="I9" s="165" t="n">
        <v>6900</v>
      </c>
      <c r="J9" s="165" t="inlineStr">
        <is>
          <t>14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삼정백조</t>
        </is>
      </c>
      <c r="B11" s="16" t="inlineStr">
        <is>
          <t>'08.09.</t>
        </is>
      </c>
      <c r="C11" s="164" t="n">
        <v>498</v>
      </c>
      <c r="D11" s="161" t="n">
        <v>74.7</v>
      </c>
      <c r="E11" s="163" t="n">
        <v>23</v>
      </c>
      <c r="F11" s="161" t="n">
        <v>59.7</v>
      </c>
      <c r="G11" s="27" t="n">
        <v>18</v>
      </c>
      <c r="H11" s="164" t="n">
        <v>486</v>
      </c>
      <c r="I11" s="165" t="n">
        <v>8600</v>
      </c>
      <c r="J11" s="165" t="inlineStr">
        <is>
          <t>9</t>
        </is>
      </c>
      <c r="K11" s="165" t="n">
        <v>7000</v>
      </c>
      <c r="L11" s="165" t="inlineStr">
        <is>
          <t>12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inlineStr">
        <is>
          <t>74B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삼정백조</t>
        </is>
      </c>
      <c r="B12" s="16" t="inlineStr">
        <is>
          <t>'08.09.</t>
        </is>
      </c>
      <c r="C12" s="164" t="n">
        <v>498</v>
      </c>
      <c r="D12" s="161" t="n">
        <v>77.09999999999999</v>
      </c>
      <c r="E12" s="163" t="n">
        <v>23</v>
      </c>
      <c r="F12" s="161" t="n">
        <v>59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inlineStr">
        <is>
          <t>77A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17">
      <formula>AV10="X"</formula>
    </cfRule>
    <cfRule type="expression" priority="43" dxfId="16">
      <formula>AV10="후보"</formula>
    </cfRule>
  </conditionalFormatting>
  <conditionalFormatting sqref="AC10 N1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배방읍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한라비발디</t>
        </is>
      </c>
      <c r="B6" s="16" t="inlineStr">
        <is>
          <t>'06.08.</t>
        </is>
      </c>
      <c r="C6" s="164" t="n">
        <v>794</v>
      </c>
      <c r="D6" s="161" t="n">
        <v>109</v>
      </c>
      <c r="E6" s="163" t="n">
        <v>33</v>
      </c>
      <c r="F6" s="161" t="n">
        <v>84.8</v>
      </c>
      <c r="G6" s="27" t="n">
        <v>26</v>
      </c>
      <c r="H6" s="164" t="n">
        <v>291</v>
      </c>
      <c r="I6" s="165" t="n">
        <v>25000</v>
      </c>
      <c r="J6" s="165" t="inlineStr">
        <is>
          <t>고</t>
        </is>
      </c>
      <c r="K6" s="165" t="n">
        <v>22000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한라비발디</t>
        </is>
      </c>
      <c r="B7" s="16" t="inlineStr">
        <is>
          <t>'06.08.</t>
        </is>
      </c>
      <c r="C7" s="164" t="n">
        <v>794</v>
      </c>
      <c r="D7" s="161" t="n">
        <v>111.8</v>
      </c>
      <c r="E7" s="163" t="n">
        <v>34</v>
      </c>
      <c r="F7" s="161" t="n">
        <v>85</v>
      </c>
      <c r="G7" s="27" t="n">
        <v>26</v>
      </c>
      <c r="H7" s="164" t="n">
        <v>176</v>
      </c>
      <c r="I7" s="165" t="n">
        <v>30000</v>
      </c>
      <c r="J7" s="165" t="inlineStr">
        <is>
          <t>11</t>
        </is>
      </c>
      <c r="K7" s="165" t="n">
        <v>22000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한라비발디</t>
        </is>
      </c>
      <c r="B8" s="16" t="inlineStr">
        <is>
          <t>'06.08.</t>
        </is>
      </c>
      <c r="C8" s="164" t="n">
        <v>794</v>
      </c>
      <c r="D8" s="161" t="n">
        <v>130.4</v>
      </c>
      <c r="E8" s="163" t="n">
        <v>39</v>
      </c>
      <c r="F8" s="161" t="n">
        <v>104.1</v>
      </c>
      <c r="G8" s="27" t="n">
        <v>31</v>
      </c>
      <c r="H8" s="164" t="n">
        <v>297</v>
      </c>
      <c r="I8" s="165" t="n">
        <v>31000</v>
      </c>
      <c r="J8" s="165" t="inlineStr">
        <is>
          <t>고</t>
        </is>
      </c>
      <c r="K8" s="165" t="n">
        <v>28500</v>
      </c>
      <c r="L8" s="165" t="inlineStr">
        <is>
          <t>15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한라비발디</t>
        </is>
      </c>
      <c r="B9" s="16" t="inlineStr">
        <is>
          <t>'06.08.</t>
        </is>
      </c>
      <c r="C9" s="164" t="n">
        <v>794</v>
      </c>
      <c r="D9" s="161" t="n">
        <v>150.7</v>
      </c>
      <c r="E9" s="163" t="n">
        <v>46</v>
      </c>
      <c r="F9" s="161" t="n">
        <v>120</v>
      </c>
      <c r="G9" s="27" t="n">
        <v>36</v>
      </c>
      <c r="H9" s="164" t="n">
        <v>30</v>
      </c>
      <c r="I9" s="165" t="n">
        <v>36000</v>
      </c>
      <c r="J9" s="165" t="inlineStr">
        <is>
          <t>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150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더샵센트로</t>
        </is>
      </c>
      <c r="B11" s="16" t="inlineStr">
        <is>
          <t>'23.10.</t>
        </is>
      </c>
      <c r="C11" s="164" t="n">
        <v>939</v>
      </c>
      <c r="D11" s="161" t="n">
        <v>99.40000000000001</v>
      </c>
      <c r="E11" s="163" t="n">
        <v>30</v>
      </c>
      <c r="F11" s="161" t="n">
        <v>76.90000000000001</v>
      </c>
      <c r="G11" s="27" t="n">
        <v>23</v>
      </c>
      <c r="H11" s="164" t="n">
        <v>35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더샵센트로</t>
        </is>
      </c>
      <c r="B12" s="16" t="inlineStr">
        <is>
          <t>'23.10.</t>
        </is>
      </c>
      <c r="C12" s="164" t="n">
        <v>939</v>
      </c>
      <c r="D12" s="161" t="n">
        <v>100</v>
      </c>
      <c r="E12" s="163" t="n">
        <v>30</v>
      </c>
      <c r="F12" s="161" t="n">
        <v>76.8</v>
      </c>
      <c r="G12" s="27" t="n">
        <v>23</v>
      </c>
      <c r="H12" s="164" t="n">
        <v>80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더샵센트로</t>
        </is>
      </c>
      <c r="B13" s="16" t="inlineStr">
        <is>
          <t>'23.10.</t>
        </is>
      </c>
      <c r="C13" s="164" t="n">
        <v>939</v>
      </c>
      <c r="D13" s="161" t="n">
        <v>109.8</v>
      </c>
      <c r="E13" s="163" t="n">
        <v>33</v>
      </c>
      <c r="F13" s="161" t="n">
        <v>84.8</v>
      </c>
      <c r="G13" s="27" t="n">
        <v>26</v>
      </c>
      <c r="H13" s="164" t="n">
        <v>196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더샵센트로</t>
        </is>
      </c>
      <c r="B14" s="16" t="inlineStr">
        <is>
          <t>'23.10.</t>
        </is>
      </c>
      <c r="C14" s="164" t="n">
        <v>939</v>
      </c>
      <c r="D14" s="161" t="n">
        <v>110.2</v>
      </c>
      <c r="E14" s="163" t="n">
        <v>33</v>
      </c>
      <c r="F14" s="161" t="n">
        <v>84.8</v>
      </c>
      <c r="G14" s="27" t="n">
        <v>26</v>
      </c>
      <c r="H14" s="164" t="n">
        <v>186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110B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더샵센트로</t>
        </is>
      </c>
      <c r="B15" s="16" t="inlineStr">
        <is>
          <t>'23.10.</t>
        </is>
      </c>
      <c r="C15" s="164" t="n">
        <v>939</v>
      </c>
      <c r="D15" s="161" t="n">
        <v>111.1</v>
      </c>
      <c r="E15" s="163" t="n">
        <v>34</v>
      </c>
      <c r="F15" s="161" t="n">
        <v>85</v>
      </c>
      <c r="G15" s="27" t="n">
        <v>26</v>
      </c>
      <c r="H15" s="164" t="n">
        <v>369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더샵센트로</t>
        </is>
      </c>
      <c r="B16" s="16" t="inlineStr">
        <is>
          <t>'23.10.</t>
        </is>
      </c>
      <c r="C16" s="164" t="n">
        <v>939</v>
      </c>
      <c r="D16" s="161" t="n">
        <v>136.7</v>
      </c>
      <c r="E16" s="163" t="n">
        <v>41</v>
      </c>
      <c r="F16" s="161" t="n">
        <v>106.8</v>
      </c>
      <c r="G16" s="27" t="n">
        <v>32</v>
      </c>
      <c r="H16" s="164" t="n">
        <v>73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아산배방5차한성필하우스</t>
        </is>
      </c>
      <c r="B18" s="16" t="inlineStr">
        <is>
          <t>'18.11.</t>
        </is>
      </c>
      <c r="C18" s="164" t="n">
        <v>467</v>
      </c>
      <c r="D18" s="161" t="n">
        <v>101.7</v>
      </c>
      <c r="E18" s="163" t="n">
        <v>31</v>
      </c>
      <c r="F18" s="161" t="n">
        <v>77</v>
      </c>
      <c r="G18" s="27" t="n">
        <v>23</v>
      </c>
      <c r="H18" s="164" t="n">
        <v>147</v>
      </c>
      <c r="I18" s="165" t="n">
        <v>41000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아산배방5차한성필하우스</t>
        </is>
      </c>
      <c r="B19" s="16" t="inlineStr">
        <is>
          <t>'18.11.</t>
        </is>
      </c>
      <c r="C19" s="164" t="n">
        <v>467</v>
      </c>
      <c r="D19" s="161" t="n">
        <v>112.3</v>
      </c>
      <c r="E19" s="163" t="n">
        <v>34</v>
      </c>
      <c r="F19" s="161" t="n">
        <v>84.59999999999999</v>
      </c>
      <c r="G19" s="27" t="n">
        <v>26</v>
      </c>
      <c r="H19" s="164" t="n">
        <v>123</v>
      </c>
      <c r="I19" s="165" t="n">
        <v>50000</v>
      </c>
      <c r="J19" s="165" t="inlineStr">
        <is>
          <t>24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아산배방5차한성필하우스</t>
        </is>
      </c>
      <c r="B20" s="16" t="inlineStr">
        <is>
          <t>'18.11.</t>
        </is>
      </c>
      <c r="C20" s="164" t="n">
        <v>467</v>
      </c>
      <c r="D20" s="161" t="n">
        <v>112.5</v>
      </c>
      <c r="E20" s="163" t="n">
        <v>34</v>
      </c>
      <c r="F20" s="161" t="n">
        <v>84.90000000000001</v>
      </c>
      <c r="G20" s="27" t="n">
        <v>26</v>
      </c>
      <c r="H20" s="164" t="n">
        <v>122</v>
      </c>
      <c r="I20" s="165" t="n">
        <v>47000</v>
      </c>
      <c r="J20" s="165" t="inlineStr">
        <is>
          <t>7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112B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아산배방5차한성필하우스</t>
        </is>
      </c>
      <c r="B21" s="16" t="inlineStr">
        <is>
          <t>'18.11.</t>
        </is>
      </c>
      <c r="C21" s="164" t="n">
        <v>467</v>
      </c>
      <c r="D21" s="161" t="n">
        <v>112.8</v>
      </c>
      <c r="E21" s="163" t="n">
        <v>34</v>
      </c>
      <c r="F21" s="161" t="n">
        <v>84.90000000000001</v>
      </c>
      <c r="G21" s="27" t="n">
        <v>26</v>
      </c>
      <c r="H21" s="164" t="n">
        <v>50</v>
      </c>
      <c r="I21" s="165" t="n">
        <v>47000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아산배방5차한성필하우스</t>
        </is>
      </c>
      <c r="B22" s="16" t="inlineStr">
        <is>
          <t>'18.11.</t>
        </is>
      </c>
      <c r="C22" s="164" t="n">
        <v>467</v>
      </c>
      <c r="D22" s="161" t="n">
        <v>113.2</v>
      </c>
      <c r="E22" s="163" t="n">
        <v>34</v>
      </c>
      <c r="F22" s="161" t="n">
        <v>85</v>
      </c>
      <c r="G22" s="27" t="n">
        <v>26</v>
      </c>
      <c r="H22" s="164" t="n">
        <v>25</v>
      </c>
      <c r="I22" s="165" t="n">
        <v>50000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배방한성필하우스1단지</t>
        </is>
      </c>
      <c r="B24" s="16" t="inlineStr">
        <is>
          <t>'06.12.</t>
        </is>
      </c>
      <c r="C24" s="164" t="n">
        <v>396</v>
      </c>
      <c r="D24" s="161" t="n">
        <v>117.8</v>
      </c>
      <c r="E24" s="163" t="n">
        <v>36</v>
      </c>
      <c r="F24" s="161" t="n">
        <v>85</v>
      </c>
      <c r="G24" s="27" t="n">
        <v>26</v>
      </c>
      <c r="H24" s="164" t="n">
        <v>342</v>
      </c>
      <c r="I24" s="165" t="n">
        <v>30000</v>
      </c>
      <c r="J24" s="165" t="inlineStr">
        <is>
          <t>10</t>
        </is>
      </c>
      <c r="K24" s="165" t="n">
        <v>27000</v>
      </c>
      <c r="L24" s="165" t="inlineStr">
        <is>
          <t>5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배방한성필하우스1단지</t>
        </is>
      </c>
      <c r="B25" s="16" t="inlineStr">
        <is>
          <t>'06.12.</t>
        </is>
      </c>
      <c r="C25" s="164" t="n">
        <v>396</v>
      </c>
      <c r="D25" s="161" t="n">
        <v>151.4</v>
      </c>
      <c r="E25" s="163" t="n">
        <v>46</v>
      </c>
      <c r="F25" s="161" t="n">
        <v>121</v>
      </c>
      <c r="G25" s="27" t="n">
        <v>37</v>
      </c>
      <c r="H25" s="164" t="n">
        <v>54</v>
      </c>
      <c r="I25" s="165" t="n">
        <v>45000</v>
      </c>
      <c r="J25" s="165" t="inlineStr">
        <is>
          <t>7</t>
        </is>
      </c>
      <c r="K25" s="165" t="n">
        <v>32000</v>
      </c>
      <c r="L25" s="165" t="inlineStr">
        <is>
          <t>8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151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새솔마을중앙하이츠</t>
        </is>
      </c>
      <c r="B27" s="16" t="inlineStr">
        <is>
          <t>'08.01.</t>
        </is>
      </c>
      <c r="C27" s="164" t="n">
        <v>400</v>
      </c>
      <c r="D27" s="161" t="n">
        <v>111.5</v>
      </c>
      <c r="E27" s="163" t="n">
        <v>34</v>
      </c>
      <c r="F27" s="161" t="n">
        <v>85</v>
      </c>
      <c r="G27" s="27" t="n">
        <v>26</v>
      </c>
      <c r="H27" s="164" t="n">
        <v>370</v>
      </c>
      <c r="I27" s="165" t="n">
        <v>28000</v>
      </c>
      <c r="J27" s="165" t="inlineStr">
        <is>
          <t>7</t>
        </is>
      </c>
      <c r="K27" s="165" t="n">
        <v>24000</v>
      </c>
      <c r="L27" s="165" t="inlineStr">
        <is>
          <t>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새솔마을중앙하이츠</t>
        </is>
      </c>
      <c r="B28" s="16" t="inlineStr">
        <is>
          <t>'08.01.</t>
        </is>
      </c>
      <c r="C28" s="164" t="n">
        <v>400</v>
      </c>
      <c r="D28" s="161" t="n">
        <v>149.8</v>
      </c>
      <c r="E28" s="163" t="n">
        <v>45</v>
      </c>
      <c r="F28" s="161" t="n">
        <v>124.2</v>
      </c>
      <c r="G28" s="27" t="n">
        <v>38</v>
      </c>
      <c r="H28" s="164" t="n">
        <v>30</v>
      </c>
      <c r="I28" s="165" t="n">
        <v>41000</v>
      </c>
      <c r="J28" s="165" t="inlineStr">
        <is>
          <t>7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배방삼정그린코아</t>
        </is>
      </c>
      <c r="B30" s="16" t="inlineStr">
        <is>
          <t>'12.01.</t>
        </is>
      </c>
      <c r="C30" s="164" t="n">
        <v>2156</v>
      </c>
      <c r="D30" s="161" t="n">
        <v>51.3</v>
      </c>
      <c r="E30" s="163" t="n">
        <v>16</v>
      </c>
      <c r="F30" s="161" t="n">
        <v>38.5</v>
      </c>
      <c r="G30" s="27" t="n">
        <v>12</v>
      </c>
      <c r="H30" s="164" t="n">
        <v>1804</v>
      </c>
      <c r="I30" s="165" t="n">
        <v>9500</v>
      </c>
      <c r="J30" s="165" t="inlineStr">
        <is>
          <t>22</t>
        </is>
      </c>
      <c r="K30" s="165" t="n">
        <v>8500</v>
      </c>
      <c r="L30" s="165" t="inlineStr">
        <is>
          <t>17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51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배방삼정그린코아</t>
        </is>
      </c>
      <c r="B31" s="16" t="inlineStr">
        <is>
          <t>'12.01.</t>
        </is>
      </c>
      <c r="C31" s="164" t="n">
        <v>2156</v>
      </c>
      <c r="D31" s="161" t="n">
        <v>63.4</v>
      </c>
      <c r="E31" s="163" t="n">
        <v>19</v>
      </c>
      <c r="F31" s="161" t="n">
        <v>47.7</v>
      </c>
      <c r="G31" s="27" t="n">
        <v>14</v>
      </c>
      <c r="H31" s="164" t="n">
        <v>352</v>
      </c>
      <c r="I31" s="165" t="n">
        <v>16500</v>
      </c>
      <c r="J31" s="165" t="inlineStr">
        <is>
          <t>11</t>
        </is>
      </c>
      <c r="K31" s="165" t="n">
        <v>14000</v>
      </c>
      <c r="L31" s="165" t="inlineStr">
        <is>
          <t>6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2</v>
      </c>
      <c r="R31" s="113" t="n">
        <v>1</v>
      </c>
      <c r="S31" s="113" t="inlineStr">
        <is>
          <t>복</t>
        </is>
      </c>
      <c r="T31" s="8" t="n">
        <v>63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롯데캐슬</t>
        </is>
      </c>
      <c r="B33" s="16" t="inlineStr">
        <is>
          <t>'08.01.</t>
        </is>
      </c>
      <c r="C33" s="164" t="n">
        <v>704</v>
      </c>
      <c r="D33" s="161" t="n">
        <v>79.59999999999999</v>
      </c>
      <c r="E33" s="163" t="n">
        <v>24</v>
      </c>
      <c r="F33" s="161" t="n">
        <v>59.7</v>
      </c>
      <c r="G33" s="27" t="n">
        <v>18</v>
      </c>
      <c r="H33" s="164" t="n">
        <v>59</v>
      </c>
      <c r="I33" s="165" t="n">
        <v>24000</v>
      </c>
      <c r="J33" s="165" t="inlineStr">
        <is>
          <t>중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79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롯데캐슬</t>
        </is>
      </c>
      <c r="B34" s="16" t="inlineStr">
        <is>
          <t>'08.01.</t>
        </is>
      </c>
      <c r="C34" s="164" t="n">
        <v>704</v>
      </c>
      <c r="D34" s="161" t="n">
        <v>110.7</v>
      </c>
      <c r="E34" s="163" t="n">
        <v>33</v>
      </c>
      <c r="F34" s="161" t="n">
        <v>85</v>
      </c>
      <c r="G34" s="27" t="n">
        <v>26</v>
      </c>
      <c r="H34" s="164" t="n">
        <v>505</v>
      </c>
      <c r="I34" s="165" t="n">
        <v>28000</v>
      </c>
      <c r="J34" s="165" t="inlineStr">
        <is>
          <t>5</t>
        </is>
      </c>
      <c r="K34" s="165" t="n">
        <v>24000</v>
      </c>
      <c r="L34" s="165" t="inlineStr">
        <is>
          <t>11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110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롯데캐슬</t>
        </is>
      </c>
      <c r="B35" s="16" t="inlineStr">
        <is>
          <t>'08.01.</t>
        </is>
      </c>
      <c r="C35" s="164" t="n">
        <v>704</v>
      </c>
      <c r="D35" s="161" t="n">
        <v>133.9</v>
      </c>
      <c r="E35" s="163" t="n">
        <v>41</v>
      </c>
      <c r="F35" s="161" t="n">
        <v>107</v>
      </c>
      <c r="G35" s="27" t="n">
        <v>32</v>
      </c>
      <c r="H35" s="164" t="n">
        <v>54</v>
      </c>
      <c r="I35" s="165" t="n">
        <v>35500</v>
      </c>
      <c r="J35" s="165" t="inlineStr">
        <is>
          <t>12</t>
        </is>
      </c>
      <c r="K35" s="165" t="n">
        <v>30000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롯데캐슬</t>
        </is>
      </c>
      <c r="B36" s="16" t="inlineStr">
        <is>
          <t>'08.01.</t>
        </is>
      </c>
      <c r="C36" s="164" t="n">
        <v>704</v>
      </c>
      <c r="D36" s="161" t="n">
        <v>149.6</v>
      </c>
      <c r="E36" s="163" t="n">
        <v>45</v>
      </c>
      <c r="F36" s="161" t="n">
        <v>121.1</v>
      </c>
      <c r="G36" s="27" t="n">
        <v>37</v>
      </c>
      <c r="H36" s="164" t="n">
        <v>86</v>
      </c>
      <c r="I36" s="165" t="n">
        <v>42000</v>
      </c>
      <c r="J36" s="165" t="inlineStr">
        <is>
          <t>중</t>
        </is>
      </c>
      <c r="K36" s="165" t="n">
        <v>31000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배방자이</t>
        </is>
      </c>
      <c r="B38" s="16" t="inlineStr">
        <is>
          <t>'07.12.</t>
        </is>
      </c>
      <c r="C38" s="164" t="n">
        <v>1875</v>
      </c>
      <c r="D38" s="161" t="n">
        <v>110.2</v>
      </c>
      <c r="E38" s="163" t="n">
        <v>33</v>
      </c>
      <c r="F38" s="161" t="n">
        <v>84.90000000000001</v>
      </c>
      <c r="G38" s="27" t="n">
        <v>26</v>
      </c>
      <c r="H38" s="164" t="n">
        <v>999</v>
      </c>
      <c r="I38" s="165" t="n">
        <v>28000</v>
      </c>
      <c r="J38" s="165" t="inlineStr">
        <is>
          <t>12</t>
        </is>
      </c>
      <c r="K38" s="165" t="n">
        <v>23000</v>
      </c>
      <c r="L38" s="165" t="inlineStr">
        <is>
          <t>8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배방자이</t>
        </is>
      </c>
      <c r="B39" s="16" t="inlineStr">
        <is>
          <t>'07.12.</t>
        </is>
      </c>
      <c r="C39" s="164" t="n">
        <v>1875</v>
      </c>
      <c r="D39" s="161" t="n">
        <v>114.1</v>
      </c>
      <c r="E39" s="163" t="n">
        <v>35</v>
      </c>
      <c r="F39" s="161" t="n">
        <v>84.90000000000001</v>
      </c>
      <c r="G39" s="27" t="n">
        <v>26</v>
      </c>
      <c r="H39" s="164" t="n">
        <v>120</v>
      </c>
      <c r="I39" s="165" t="n">
        <v>29000</v>
      </c>
      <c r="J39" s="165" t="inlineStr">
        <is>
          <t>5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배방자이</t>
        </is>
      </c>
      <c r="B40" s="16" t="inlineStr">
        <is>
          <t>'07.12.</t>
        </is>
      </c>
      <c r="C40" s="164" t="n">
        <v>1875</v>
      </c>
      <c r="D40" s="161" t="n">
        <v>114.1</v>
      </c>
      <c r="E40" s="163" t="n">
        <v>35</v>
      </c>
      <c r="F40" s="161" t="n">
        <v>84.90000000000001</v>
      </c>
      <c r="G40" s="27" t="n">
        <v>26</v>
      </c>
      <c r="H40" s="164" t="n">
        <v>120</v>
      </c>
      <c r="I40" s="165" t="n">
        <v>29000</v>
      </c>
      <c r="J40" s="165" t="inlineStr">
        <is>
          <t>5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배방자이</t>
        </is>
      </c>
      <c r="B41" s="16" t="inlineStr">
        <is>
          <t>'07.12.</t>
        </is>
      </c>
      <c r="C41" s="164" t="n">
        <v>1875</v>
      </c>
      <c r="D41" s="161" t="n">
        <v>157.1</v>
      </c>
      <c r="E41" s="163" t="n">
        <v>48</v>
      </c>
      <c r="F41" s="161" t="n">
        <v>123.4</v>
      </c>
      <c r="G41" s="27" t="n">
        <v>37</v>
      </c>
      <c r="H41" s="164" t="n">
        <v>462</v>
      </c>
      <c r="I41" s="165" t="n">
        <v>38000</v>
      </c>
      <c r="J41" s="165" t="inlineStr">
        <is>
          <t>6</t>
        </is>
      </c>
      <c r="K41" s="165" t="n">
        <v>31000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157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배방자이</t>
        </is>
      </c>
      <c r="B42" s="16" t="inlineStr">
        <is>
          <t>'07.12.</t>
        </is>
      </c>
      <c r="C42" s="164" t="n">
        <v>1875</v>
      </c>
      <c r="D42" s="161" t="n">
        <v>190.6</v>
      </c>
      <c r="E42" s="163" t="n">
        <v>58</v>
      </c>
      <c r="F42" s="161" t="n">
        <v>156.1</v>
      </c>
      <c r="G42" s="27" t="n">
        <v>47</v>
      </c>
      <c r="H42" s="164" t="n">
        <v>174</v>
      </c>
      <c r="I42" s="165" t="n">
        <v>50000</v>
      </c>
      <c r="J42" s="165" t="inlineStr">
        <is>
          <t>11</t>
        </is>
      </c>
      <c r="K42" s="165" t="n">
        <v>35000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190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연화마을STX칸6단지</t>
        </is>
      </c>
      <c r="B44" s="16" t="inlineStr">
        <is>
          <t>'11.01.</t>
        </is>
      </c>
      <c r="C44" s="164" t="n">
        <v>567</v>
      </c>
      <c r="D44" s="161" t="n">
        <v>129.1</v>
      </c>
      <c r="E44" s="163" t="n">
        <v>39</v>
      </c>
      <c r="F44" s="161" t="n">
        <v>101.8</v>
      </c>
      <c r="G44" s="27" t="n">
        <v>31</v>
      </c>
      <c r="H44" s="164" t="n">
        <v>152</v>
      </c>
      <c r="I44" s="165" t="n">
        <v>60000</v>
      </c>
      <c r="J44" s="165" t="inlineStr">
        <is>
          <t>5</t>
        </is>
      </c>
      <c r="K44" s="165" t="n">
        <v>35000</v>
      </c>
      <c r="L44" s="165" t="inlineStr">
        <is>
          <t>17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129A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연화마을STX칸6단지</t>
        </is>
      </c>
      <c r="B45" s="16" t="inlineStr">
        <is>
          <t>'11.01.</t>
        </is>
      </c>
      <c r="C45" s="164" t="n">
        <v>567</v>
      </c>
      <c r="D45" s="161" t="n">
        <v>130.4</v>
      </c>
      <c r="E45" s="163" t="n">
        <v>39</v>
      </c>
      <c r="F45" s="161" t="n">
        <v>101.8</v>
      </c>
      <c r="G45" s="27" t="n">
        <v>31</v>
      </c>
      <c r="H45" s="164" t="n">
        <v>48</v>
      </c>
      <c r="I45" s="165" t="n">
        <v>59000</v>
      </c>
      <c r="J45" s="165" t="inlineStr">
        <is>
          <t>15</t>
        </is>
      </c>
      <c r="K45" s="165" t="n">
        <v>32000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130B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연화마을STX칸6단지</t>
        </is>
      </c>
      <c r="B46" s="16" t="inlineStr">
        <is>
          <t>'11.01.</t>
        </is>
      </c>
      <c r="C46" s="164" t="n">
        <v>567</v>
      </c>
      <c r="D46" s="161" t="n">
        <v>137.2</v>
      </c>
      <c r="E46" s="163" t="n">
        <v>41</v>
      </c>
      <c r="F46" s="161" t="n">
        <v>107.8</v>
      </c>
      <c r="G46" s="27" t="n">
        <v>33</v>
      </c>
      <c r="H46" s="164" t="n">
        <v>75</v>
      </c>
      <c r="I46" s="165" t="n">
        <v>63000</v>
      </c>
      <c r="J46" s="165" t="inlineStr">
        <is>
          <t>12</t>
        </is>
      </c>
      <c r="K46" s="165" t="n">
        <v>49000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137A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연화마을STX칸6단지</t>
        </is>
      </c>
      <c r="B47" s="16" t="inlineStr">
        <is>
          <t>'11.01.</t>
        </is>
      </c>
      <c r="C47" s="164" t="n">
        <v>567</v>
      </c>
      <c r="D47" s="161" t="n">
        <v>138</v>
      </c>
      <c r="E47" s="163" t="n">
        <v>42</v>
      </c>
      <c r="F47" s="161" t="n">
        <v>107.6</v>
      </c>
      <c r="G47" s="27" t="n">
        <v>33</v>
      </c>
      <c r="H47" s="164" t="n">
        <v>120</v>
      </c>
      <c r="I47" s="165" t="n">
        <v>63000</v>
      </c>
      <c r="J47" s="165" t="inlineStr">
        <is>
          <t>5</t>
        </is>
      </c>
      <c r="K47" s="165" t="n">
        <v>35000</v>
      </c>
      <c r="L47" s="165" t="inlineStr">
        <is>
          <t>16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연화마을STX칸6단지</t>
        </is>
      </c>
      <c r="B48" s="16" t="inlineStr">
        <is>
          <t>'11.01.</t>
        </is>
      </c>
      <c r="C48" s="164" t="n">
        <v>567</v>
      </c>
      <c r="D48" s="161" t="n">
        <v>146.6</v>
      </c>
      <c r="E48" s="163" t="n">
        <v>44</v>
      </c>
      <c r="F48" s="161" t="n">
        <v>114.4</v>
      </c>
      <c r="G48" s="27" t="n">
        <v>35</v>
      </c>
      <c r="H48" s="164" t="n">
        <v>72</v>
      </c>
      <c r="I48" s="165" t="n">
        <v>65000</v>
      </c>
      <c r="J48" s="165" t="inlineStr">
        <is>
          <t>10</t>
        </is>
      </c>
      <c r="K48" s="165" t="n">
        <v>35000</v>
      </c>
      <c r="L48" s="165" t="inlineStr">
        <is>
          <t>16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146B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연화마을STX칸6단지</t>
        </is>
      </c>
      <c r="B49" s="16" t="inlineStr">
        <is>
          <t>'11.01.</t>
        </is>
      </c>
      <c r="C49" s="164" t="n">
        <v>567</v>
      </c>
      <c r="D49" s="161" t="n">
        <v>146.6</v>
      </c>
      <c r="E49" s="163" t="n">
        <v>44</v>
      </c>
      <c r="F49" s="161" t="n">
        <v>114.4</v>
      </c>
      <c r="G49" s="27" t="n">
        <v>35</v>
      </c>
      <c r="H49" s="164" t="n">
        <v>40</v>
      </c>
      <c r="I49" s="165" t="n">
        <v>65000</v>
      </c>
      <c r="J49" s="165" t="inlineStr">
        <is>
          <t>10</t>
        </is>
      </c>
      <c r="K49" s="165" t="n">
        <v>35000</v>
      </c>
      <c r="L49" s="165" t="inlineStr">
        <is>
          <t>16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146A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연화마을STX칸6단지</t>
        </is>
      </c>
      <c r="B50" s="16" t="inlineStr">
        <is>
          <t>'11.01.</t>
        </is>
      </c>
      <c r="C50" s="164" t="n">
        <v>567</v>
      </c>
      <c r="D50" s="161" t="n">
        <v>146</v>
      </c>
      <c r="E50" s="163" t="n">
        <v>44</v>
      </c>
      <c r="F50" s="161" t="n">
        <v>114.7</v>
      </c>
      <c r="G50" s="27" t="n">
        <v>35</v>
      </c>
      <c r="H50" s="164" t="n">
        <v>20</v>
      </c>
      <c r="I50" s="165" t="n">
        <v>70000</v>
      </c>
      <c r="J50" s="165" t="inlineStr">
        <is>
          <t>15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146C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연화마을STX칸6단지</t>
        </is>
      </c>
      <c r="B51" s="16" t="inlineStr">
        <is>
          <t>'11.01.</t>
        </is>
      </c>
      <c r="C51" s="164" t="n">
        <v>567</v>
      </c>
      <c r="D51" s="161" t="n">
        <v>170.9</v>
      </c>
      <c r="E51" s="163" t="n">
        <v>52</v>
      </c>
      <c r="F51" s="161" t="n">
        <v>134.4</v>
      </c>
      <c r="G51" s="27" t="n">
        <v>41</v>
      </c>
      <c r="H51" s="164" t="n">
        <v>40</v>
      </c>
      <c r="I51" s="165" t="n">
        <v>85000</v>
      </c>
      <c r="J51" s="165" t="inlineStr">
        <is>
          <t>고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170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센텀시티한양수자인</t>
        </is>
      </c>
      <c r="B53" s="16" t="inlineStr">
        <is>
          <t>'19.07.</t>
        </is>
      </c>
      <c r="C53" s="164" t="n">
        <v>334</v>
      </c>
      <c r="D53" s="161" t="n">
        <v>82.59999999999999</v>
      </c>
      <c r="E53" s="163" t="n">
        <v>25</v>
      </c>
      <c r="F53" s="161" t="n">
        <v>59.8</v>
      </c>
      <c r="G53" s="27" t="n">
        <v>18</v>
      </c>
      <c r="H53" s="164" t="n">
        <v>68</v>
      </c>
      <c r="I53" s="165" t="n">
        <v>27500</v>
      </c>
      <c r="J53" s="165" t="inlineStr">
        <is>
          <t>6</t>
        </is>
      </c>
      <c r="K53" s="165" t="n">
        <v>23500</v>
      </c>
      <c r="L53" s="165" t="inlineStr">
        <is>
          <t>8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센텀시티한양수자인</t>
        </is>
      </c>
      <c r="B54" s="16" t="inlineStr">
        <is>
          <t>'19.07.</t>
        </is>
      </c>
      <c r="C54" s="164" t="n">
        <v>334</v>
      </c>
      <c r="D54" s="161" t="n">
        <v>84.2</v>
      </c>
      <c r="E54" s="163" t="n">
        <v>25</v>
      </c>
      <c r="F54" s="161" t="n">
        <v>60</v>
      </c>
      <c r="G54" s="27" t="n">
        <v>18</v>
      </c>
      <c r="H54" s="164" t="n">
        <v>113</v>
      </c>
      <c r="I54" s="165" t="n">
        <v>28000</v>
      </c>
      <c r="J54" s="165" t="inlineStr">
        <is>
          <t>고</t>
        </is>
      </c>
      <c r="K54" s="165" t="n">
        <v>23000</v>
      </c>
      <c r="L54" s="165" t="inlineStr">
        <is>
          <t>7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84B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센텀시티한양수자인</t>
        </is>
      </c>
      <c r="B55" s="16" t="inlineStr">
        <is>
          <t>'19.07.</t>
        </is>
      </c>
      <c r="C55" s="164" t="n">
        <v>334</v>
      </c>
      <c r="D55" s="161" t="n">
        <v>96.5</v>
      </c>
      <c r="E55" s="163" t="n">
        <v>29</v>
      </c>
      <c r="F55" s="161" t="n">
        <v>70</v>
      </c>
      <c r="G55" s="27" t="n">
        <v>21</v>
      </c>
      <c r="H55" s="164" t="n">
        <v>153</v>
      </c>
      <c r="I55" s="165" t="n">
        <v>31000</v>
      </c>
      <c r="J55" s="165" t="inlineStr">
        <is>
          <t>12</t>
        </is>
      </c>
      <c r="K55" s="165" t="n">
        <v>27000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96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배방북수마을자이2차</t>
        </is>
      </c>
      <c r="B57" s="16" t="inlineStr">
        <is>
          <t>'07.12.</t>
        </is>
      </c>
      <c r="C57" s="164" t="n">
        <v>712</v>
      </c>
      <c r="D57" s="161" t="n">
        <v>109.8</v>
      </c>
      <c r="E57" s="163" t="n">
        <v>33</v>
      </c>
      <c r="F57" s="161" t="n">
        <v>84.8</v>
      </c>
      <c r="G57" s="27" t="n">
        <v>26</v>
      </c>
      <c r="H57" s="164" t="n">
        <v>327</v>
      </c>
      <c r="I57" s="165" t="n">
        <v>29500</v>
      </c>
      <c r="J57" s="165" t="inlineStr">
        <is>
          <t>6</t>
        </is>
      </c>
      <c r="K57" s="165" t="n">
        <v>25000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109A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배방북수마을자이2차</t>
        </is>
      </c>
      <c r="B58" s="16" t="inlineStr">
        <is>
          <t>'07.12.</t>
        </is>
      </c>
      <c r="C58" s="164" t="n">
        <v>712</v>
      </c>
      <c r="D58" s="161" t="n">
        <v>109.3</v>
      </c>
      <c r="E58" s="163" t="n">
        <v>33</v>
      </c>
      <c r="F58" s="161" t="n">
        <v>84.90000000000001</v>
      </c>
      <c r="G58" s="27" t="n">
        <v>26</v>
      </c>
      <c r="H58" s="164" t="n">
        <v>178</v>
      </c>
      <c r="I58" s="165" t="n">
        <v>30000</v>
      </c>
      <c r="J58" s="165" t="inlineStr">
        <is>
          <t>5</t>
        </is>
      </c>
      <c r="K58" s="165" t="n">
        <v>24000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배방북수마을자이2차</t>
        </is>
      </c>
      <c r="B59" s="16" t="inlineStr">
        <is>
          <t>'07.12.</t>
        </is>
      </c>
      <c r="C59" s="164" t="n">
        <v>712</v>
      </c>
      <c r="D59" s="161" t="n">
        <v>110.8</v>
      </c>
      <c r="E59" s="163" t="n">
        <v>34</v>
      </c>
      <c r="F59" s="161" t="n">
        <v>84.90000000000001</v>
      </c>
      <c r="G59" s="27" t="n">
        <v>26</v>
      </c>
      <c r="H59" s="164" t="n">
        <v>87</v>
      </c>
      <c r="I59" s="165" t="n">
        <v>32500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배방북수마을자이2차</t>
        </is>
      </c>
      <c r="B60" s="16" t="inlineStr">
        <is>
          <t>'07.12.</t>
        </is>
      </c>
      <c r="C60" s="164" t="n">
        <v>712</v>
      </c>
      <c r="D60" s="161" t="n">
        <v>149.9</v>
      </c>
      <c r="E60" s="163" t="n">
        <v>45</v>
      </c>
      <c r="F60" s="161" t="n">
        <v>121.3</v>
      </c>
      <c r="G60" s="27" t="n">
        <v>37</v>
      </c>
      <c r="H60" s="164" t="n">
        <v>120</v>
      </c>
      <c r="I60" s="165" t="n">
        <v>40000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아산배방6차 한성필하우스</t>
        </is>
      </c>
      <c r="B62" s="16" t="inlineStr">
        <is>
          <t>'20.08.</t>
        </is>
      </c>
      <c r="C62" s="164" t="n">
        <v>511</v>
      </c>
      <c r="D62" s="161" t="n">
        <v>80.8</v>
      </c>
      <c r="E62" s="163" t="n">
        <v>24</v>
      </c>
      <c r="F62" s="161" t="n">
        <v>60</v>
      </c>
      <c r="G62" s="27" t="n">
        <v>18</v>
      </c>
      <c r="H62" s="164" t="n">
        <v>153</v>
      </c>
      <c r="I62" s="165" t="n">
        <v>27000</v>
      </c>
      <c r="J62" s="165" t="inlineStr">
        <is>
          <t>13</t>
        </is>
      </c>
      <c r="K62" s="165" t="n">
        <v>26000</v>
      </c>
      <c r="L62" s="165" t="inlineStr">
        <is>
          <t>6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80A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아산배방6차 한성필하우스</t>
        </is>
      </c>
      <c r="B63" s="16" t="inlineStr">
        <is>
          <t>'20.08.</t>
        </is>
      </c>
      <c r="C63" s="164" t="n">
        <v>511</v>
      </c>
      <c r="D63" s="161" t="n">
        <v>81</v>
      </c>
      <c r="E63" s="163" t="n">
        <v>25</v>
      </c>
      <c r="F63" s="161" t="n">
        <v>60</v>
      </c>
      <c r="G63" s="27" t="n">
        <v>18</v>
      </c>
      <c r="H63" s="164" t="n">
        <v>131</v>
      </c>
      <c r="I63" s="165" t="n">
        <v>27000</v>
      </c>
      <c r="J63" s="165" t="inlineStr">
        <is>
          <t>중</t>
        </is>
      </c>
      <c r="K63" s="165" t="n">
        <v>26000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81B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아산배방6차 한성필하우스</t>
        </is>
      </c>
      <c r="B64" s="16" t="inlineStr">
        <is>
          <t>'20.08.</t>
        </is>
      </c>
      <c r="C64" s="164" t="n">
        <v>511</v>
      </c>
      <c r="D64" s="161" t="n">
        <v>106.1</v>
      </c>
      <c r="E64" s="163" t="n">
        <v>32</v>
      </c>
      <c r="F64" s="161" t="n">
        <v>79.90000000000001</v>
      </c>
      <c r="G64" s="27" t="n">
        <v>24</v>
      </c>
      <c r="H64" s="164" t="n">
        <v>29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106A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아산배방6차 한성필하우스</t>
        </is>
      </c>
      <c r="B65" s="16" t="inlineStr">
        <is>
          <t>'20.08.</t>
        </is>
      </c>
      <c r="C65" s="164" t="n">
        <v>511</v>
      </c>
      <c r="D65" s="161" t="n">
        <v>106.7</v>
      </c>
      <c r="E65" s="163" t="n">
        <v>32</v>
      </c>
      <c r="F65" s="161" t="n">
        <v>79.90000000000001</v>
      </c>
      <c r="G65" s="27" t="n">
        <v>24</v>
      </c>
      <c r="H65" s="164" t="n">
        <v>19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106B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아산배방6차 한성필하우스</t>
        </is>
      </c>
      <c r="B66" s="16" t="inlineStr">
        <is>
          <t>'20.08.</t>
        </is>
      </c>
      <c r="C66" s="164" t="n">
        <v>511</v>
      </c>
      <c r="D66" s="161" t="n">
        <v>112.7</v>
      </c>
      <c r="E66" s="163" t="n">
        <v>34</v>
      </c>
      <c r="F66" s="161" t="n">
        <v>84.90000000000001</v>
      </c>
      <c r="G66" s="27" t="n">
        <v>26</v>
      </c>
      <c r="H66" s="164" t="n">
        <v>179</v>
      </c>
      <c r="I66" s="165" t="n">
        <v>41000</v>
      </c>
      <c r="J66" s="165" t="inlineStr">
        <is>
          <t>중</t>
        </is>
      </c>
      <c r="K66" s="165" t="n">
        <v>32000</v>
      </c>
      <c r="L66" s="165" t="inlineStr">
        <is>
          <t>고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112A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아산배방2차우방아이유쉘1단지</t>
        </is>
      </c>
      <c r="B68" s="16" t="inlineStr">
        <is>
          <t>'22.01.</t>
        </is>
      </c>
      <c r="C68" s="164" t="n">
        <v>519</v>
      </c>
      <c r="D68" s="161" t="n">
        <v>82.3</v>
      </c>
      <c r="E68" s="163" t="n">
        <v>25</v>
      </c>
      <c r="F68" s="161" t="n">
        <v>61.7</v>
      </c>
      <c r="G68" s="27" t="n">
        <v>19</v>
      </c>
      <c r="H68" s="164" t="n">
        <v>232</v>
      </c>
      <c r="I68" s="165" t="n">
        <v>18060</v>
      </c>
      <c r="J68" s="165" t="inlineStr">
        <is>
          <t>중</t>
        </is>
      </c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82A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아산배방2차우방아이유쉘1단지</t>
        </is>
      </c>
      <c r="B69" s="16" t="inlineStr">
        <is>
          <t>'22.01.</t>
        </is>
      </c>
      <c r="C69" s="164" t="n">
        <v>519</v>
      </c>
      <c r="D69" s="161" t="n">
        <v>82.59999999999999</v>
      </c>
      <c r="E69" s="163" t="n">
        <v>25</v>
      </c>
      <c r="F69" s="161" t="n">
        <v>62</v>
      </c>
      <c r="G69" s="27" t="n">
        <v>19</v>
      </c>
      <c r="H69" s="164" t="n">
        <v>95</v>
      </c>
      <c r="I69" s="165" t="n">
        <v>16160</v>
      </c>
      <c r="J69" s="165" t="inlineStr">
        <is>
          <t>중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82B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아산배방2차우방아이유쉘1단지</t>
        </is>
      </c>
      <c r="B70" s="16" t="inlineStr">
        <is>
          <t>'22.01.</t>
        </is>
      </c>
      <c r="C70" s="164" t="n">
        <v>519</v>
      </c>
      <c r="D70" s="161" t="n">
        <v>82.09999999999999</v>
      </c>
      <c r="E70" s="163" t="n">
        <v>25</v>
      </c>
      <c r="F70" s="161" t="n">
        <v>61.6</v>
      </c>
      <c r="G70" s="27" t="n">
        <v>19</v>
      </c>
      <c r="H70" s="164" t="n">
        <v>22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82C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아산배방2차우방아이유쉘1단지</t>
        </is>
      </c>
      <c r="B71" s="16" t="inlineStr">
        <is>
          <t>'22.01.</t>
        </is>
      </c>
      <c r="C71" s="164" t="n">
        <v>519</v>
      </c>
      <c r="D71" s="161" t="n">
        <v>103.1</v>
      </c>
      <c r="E71" s="163" t="n">
        <v>31</v>
      </c>
      <c r="F71" s="161" t="n">
        <v>78.2</v>
      </c>
      <c r="G71" s="27" t="n">
        <v>24</v>
      </c>
      <c r="H71" s="164" t="n">
        <v>99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103A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아산배방2차우방아이유쉘1단지</t>
        </is>
      </c>
      <c r="B72" s="16" t="inlineStr">
        <is>
          <t>'22.01.</t>
        </is>
      </c>
      <c r="C72" s="164" t="n">
        <v>519</v>
      </c>
      <c r="D72" s="161" t="n">
        <v>104.3</v>
      </c>
      <c r="E72" s="163" t="n">
        <v>32</v>
      </c>
      <c r="F72" s="161" t="n">
        <v>79</v>
      </c>
      <c r="G72" s="27" t="n">
        <v>24</v>
      </c>
      <c r="H72" s="164" t="n">
        <v>71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104B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신라</t>
        </is>
      </c>
      <c r="B74" s="16" t="inlineStr">
        <is>
          <t>'97.10.</t>
        </is>
      </c>
      <c r="C74" s="164" t="n">
        <v>960</v>
      </c>
      <c r="D74" s="161" t="n">
        <v>55.3</v>
      </c>
      <c r="E74" s="163" t="n">
        <v>17</v>
      </c>
      <c r="F74" s="161" t="n">
        <v>39.6</v>
      </c>
      <c r="G74" s="27" t="n">
        <v>12</v>
      </c>
      <c r="H74" s="164" t="n">
        <v>105</v>
      </c>
      <c r="I74" s="165" t="n">
        <v>10000</v>
      </c>
      <c r="J74" s="165" t="inlineStr">
        <is>
          <t>6</t>
        </is>
      </c>
      <c r="K74" s="165" t="n">
        <v>7800</v>
      </c>
      <c r="L74" s="165" t="inlineStr">
        <is>
          <t>고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55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신라</t>
        </is>
      </c>
      <c r="B75" s="16" t="inlineStr">
        <is>
          <t>'97.10.</t>
        </is>
      </c>
      <c r="C75" s="164" t="n">
        <v>960</v>
      </c>
      <c r="D75" s="161" t="n">
        <v>69.40000000000001</v>
      </c>
      <c r="E75" s="163" t="n">
        <v>21</v>
      </c>
      <c r="F75" s="161" t="n">
        <v>49.7</v>
      </c>
      <c r="G75" s="27" t="n">
        <v>15</v>
      </c>
      <c r="H75" s="164" t="n">
        <v>465</v>
      </c>
      <c r="I75" s="165" t="n">
        <v>13000</v>
      </c>
      <c r="J75" s="165" t="inlineStr">
        <is>
          <t>15</t>
        </is>
      </c>
      <c r="K75" s="165" t="n">
        <v>8800</v>
      </c>
      <c r="L75" s="165" t="inlineStr">
        <is>
          <t>15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복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신라</t>
        </is>
      </c>
      <c r="B76" s="16" t="inlineStr">
        <is>
          <t>'97.10.</t>
        </is>
      </c>
      <c r="C76" s="164" t="n">
        <v>960</v>
      </c>
      <c r="D76" s="161" t="n">
        <v>83</v>
      </c>
      <c r="E76" s="163" t="n">
        <v>25</v>
      </c>
      <c r="F76" s="161" t="n">
        <v>59.3</v>
      </c>
      <c r="G76" s="27" t="n">
        <v>18</v>
      </c>
      <c r="H76" s="164" t="n">
        <v>390</v>
      </c>
      <c r="I76" s="165" t="n">
        <v>18800</v>
      </c>
      <c r="J76" s="165" t="inlineStr">
        <is>
          <t>중</t>
        </is>
      </c>
      <c r="K76" s="165" t="n">
        <v>13000</v>
      </c>
      <c r="L76" s="165" t="inlineStr">
        <is>
          <t>13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복</t>
        </is>
      </c>
      <c r="T76" s="8" t="n">
        <v>82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아산한도</t>
        </is>
      </c>
      <c r="B78" s="16" t="inlineStr">
        <is>
          <t>'97.06.</t>
        </is>
      </c>
      <c r="C78" s="164" t="n">
        <v>922</v>
      </c>
      <c r="D78" s="161" t="n">
        <v>57.6</v>
      </c>
      <c r="E78" s="163" t="n">
        <v>17</v>
      </c>
      <c r="F78" s="161" t="n">
        <v>39.9</v>
      </c>
      <c r="G78" s="27" t="n">
        <v>12</v>
      </c>
      <c r="H78" s="164" t="n">
        <v>430</v>
      </c>
      <c r="I78" s="165" t="n">
        <v>7300</v>
      </c>
      <c r="J78" s="165" t="inlineStr">
        <is>
          <t>9</t>
        </is>
      </c>
      <c r="K78" s="165" t="n">
        <v>7000</v>
      </c>
      <c r="L78" s="165" t="inlineStr">
        <is>
          <t>7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57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아산한도</t>
        </is>
      </c>
      <c r="B79" s="16" t="inlineStr">
        <is>
          <t>'97.06.</t>
        </is>
      </c>
      <c r="C79" s="164" t="n">
        <v>922</v>
      </c>
      <c r="D79" s="161" t="n">
        <v>85.3</v>
      </c>
      <c r="E79" s="163" t="n">
        <v>26</v>
      </c>
      <c r="F79" s="161" t="n">
        <v>59.4</v>
      </c>
      <c r="G79" s="27" t="n">
        <v>18</v>
      </c>
      <c r="H79" s="164" t="n">
        <v>340</v>
      </c>
      <c r="I79" s="165" t="n">
        <v>13500</v>
      </c>
      <c r="J79" s="165" t="inlineStr">
        <is>
          <t>7</t>
        </is>
      </c>
      <c r="K79" s="165" t="n">
        <v>13000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85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아산한도</t>
        </is>
      </c>
      <c r="B80" s="16" t="inlineStr">
        <is>
          <t>'97.06.</t>
        </is>
      </c>
      <c r="C80" s="164" t="n">
        <v>922</v>
      </c>
      <c r="D80" s="161" t="n">
        <v>106.9</v>
      </c>
      <c r="E80" s="163" t="n">
        <v>32</v>
      </c>
      <c r="F80" s="161" t="n">
        <v>84.90000000000001</v>
      </c>
      <c r="G80" s="27" t="n">
        <v>26</v>
      </c>
      <c r="H80" s="164" t="n">
        <v>152</v>
      </c>
      <c r="I80" s="165" t="n">
        <v>20000</v>
      </c>
      <c r="J80" s="165" t="inlineStr">
        <is>
          <t>8</t>
        </is>
      </c>
      <c r="K80" s="165" t="n">
        <v>16000</v>
      </c>
      <c r="L80" s="165" t="inlineStr">
        <is>
          <t>14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배방푸르지오2차</t>
        </is>
      </c>
      <c r="B82" s="16" t="inlineStr">
        <is>
          <t>'15.04.</t>
        </is>
      </c>
      <c r="C82" s="164" t="n">
        <v>379</v>
      </c>
      <c r="D82" s="161" t="n">
        <v>112.7</v>
      </c>
      <c r="E82" s="163" t="n">
        <v>34</v>
      </c>
      <c r="F82" s="161" t="n">
        <v>84.90000000000001</v>
      </c>
      <c r="G82" s="27" t="n">
        <v>26</v>
      </c>
      <c r="H82" s="164" t="n">
        <v>379</v>
      </c>
      <c r="I82" s="165" t="n">
        <v>38500</v>
      </c>
      <c r="J82" s="165" t="inlineStr">
        <is>
          <t>16</t>
        </is>
      </c>
      <c r="K82" s="165" t="n">
        <v>34000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112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배방메이루즈</t>
        </is>
      </c>
      <c r="B84" s="16" t="inlineStr">
        <is>
          <t>'17.02.</t>
        </is>
      </c>
      <c r="C84" s="164" t="n">
        <v>426</v>
      </c>
      <c r="D84" s="161" t="n">
        <v>82.40000000000001</v>
      </c>
      <c r="E84" s="163" t="n">
        <v>25</v>
      </c>
      <c r="F84" s="161" t="n">
        <v>59.8</v>
      </c>
      <c r="G84" s="27" t="n">
        <v>18</v>
      </c>
      <c r="H84" s="164" t="n">
        <v>157</v>
      </c>
      <c r="I84" s="165" t="n">
        <v>25500</v>
      </c>
      <c r="J84" s="165" t="inlineStr">
        <is>
          <t>11</t>
        </is>
      </c>
      <c r="K84" s="165" t="n">
        <v>23000</v>
      </c>
      <c r="L84" s="165" t="inlineStr">
        <is>
          <t>17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82B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배방메이루즈</t>
        </is>
      </c>
      <c r="B85" s="16" t="inlineStr">
        <is>
          <t>'17.02.</t>
        </is>
      </c>
      <c r="C85" s="164" t="n">
        <v>426</v>
      </c>
      <c r="D85" s="161" t="n">
        <v>82.09999999999999</v>
      </c>
      <c r="E85" s="163" t="n">
        <v>25</v>
      </c>
      <c r="F85" s="161" t="n">
        <v>59.8</v>
      </c>
      <c r="G85" s="27" t="n">
        <v>18</v>
      </c>
      <c r="H85" s="164" t="n">
        <v>80</v>
      </c>
      <c r="I85" s="165" t="n">
        <v>26000</v>
      </c>
      <c r="J85" s="165" t="inlineStr">
        <is>
          <t>14</t>
        </is>
      </c>
      <c r="K85" s="165" t="n">
        <v>23500</v>
      </c>
      <c r="L85" s="165" t="inlineStr">
        <is>
          <t>13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82A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배방메이루즈</t>
        </is>
      </c>
      <c r="B86" s="16" t="inlineStr">
        <is>
          <t>'17.02.</t>
        </is>
      </c>
      <c r="C86" s="164" t="n">
        <v>426</v>
      </c>
      <c r="D86" s="161" t="n">
        <v>83.59999999999999</v>
      </c>
      <c r="E86" s="163" t="n">
        <v>25</v>
      </c>
      <c r="F86" s="161" t="n">
        <v>59.9</v>
      </c>
      <c r="G86" s="27" t="n">
        <v>18</v>
      </c>
      <c r="H86" s="164" t="n">
        <v>152</v>
      </c>
      <c r="I86" s="165" t="n">
        <v>27000</v>
      </c>
      <c r="J86" s="165" t="inlineStr">
        <is>
          <t>13</t>
        </is>
      </c>
      <c r="K86" s="165" t="n">
        <v>23500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83C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배방메이루즈</t>
        </is>
      </c>
      <c r="B87" s="16" t="inlineStr">
        <is>
          <t>'17.02.</t>
        </is>
      </c>
      <c r="C87" s="164" t="n">
        <v>426</v>
      </c>
      <c r="D87" s="161" t="n">
        <v>112.9</v>
      </c>
      <c r="E87" s="163" t="n">
        <v>34</v>
      </c>
      <c r="F87" s="161" t="n">
        <v>83.90000000000001</v>
      </c>
      <c r="G87" s="27" t="n">
        <v>25</v>
      </c>
      <c r="H87" s="164" t="n">
        <v>37</v>
      </c>
      <c r="I87" s="165" t="n">
        <v>35000</v>
      </c>
      <c r="J87" s="165" t="inlineStr">
        <is>
          <t>고</t>
        </is>
      </c>
      <c r="K87" s="165" t="n">
        <v>27000</v>
      </c>
      <c r="L87" s="165" t="inlineStr">
        <is>
          <t>12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n">
        <v>112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포레스트힐</t>
        </is>
      </c>
      <c r="B89" s="16" t="inlineStr">
        <is>
          <t>'10.10.</t>
        </is>
      </c>
      <c r="C89" s="164" t="n">
        <v>464</v>
      </c>
      <c r="D89" s="161" t="n">
        <v>129</v>
      </c>
      <c r="E89" s="163" t="n">
        <v>39</v>
      </c>
      <c r="F89" s="161" t="n">
        <v>102.4</v>
      </c>
      <c r="G89" s="27" t="n">
        <v>31</v>
      </c>
      <c r="H89" s="164" t="n">
        <v>93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128A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포레스트힐</t>
        </is>
      </c>
      <c r="B90" s="16" t="inlineStr">
        <is>
          <t>'10.10.</t>
        </is>
      </c>
      <c r="C90" s="164" t="n">
        <v>464</v>
      </c>
      <c r="D90" s="161" t="n">
        <v>128.7</v>
      </c>
      <c r="E90" s="163" t="n">
        <v>39</v>
      </c>
      <c r="F90" s="161" t="n">
        <v>102.1</v>
      </c>
      <c r="G90" s="27" t="n">
        <v>31</v>
      </c>
      <c r="H90" s="164" t="n">
        <v>15</v>
      </c>
      <c r="I90" s="165" t="n"/>
      <c r="J90" s="165" t="n"/>
      <c r="K90" s="165" t="n">
        <v>40000</v>
      </c>
      <c r="L90" s="165" t="inlineStr">
        <is>
          <t>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128B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포레스트힐</t>
        </is>
      </c>
      <c r="B91" s="16" t="inlineStr">
        <is>
          <t>'10.10.</t>
        </is>
      </c>
      <c r="C91" s="164" t="n">
        <v>464</v>
      </c>
      <c r="D91" s="161" t="n">
        <v>129.7</v>
      </c>
      <c r="E91" s="163" t="n">
        <v>39</v>
      </c>
      <c r="F91" s="161" t="n">
        <v>102.9</v>
      </c>
      <c r="G91" s="27" t="n">
        <v>31</v>
      </c>
      <c r="H91" s="164" t="n">
        <v>48</v>
      </c>
      <c r="I91" s="165" t="n">
        <v>53000</v>
      </c>
      <c r="J91" s="165" t="inlineStr">
        <is>
          <t>고</t>
        </is>
      </c>
      <c r="K91" s="165" t="n">
        <v>37000</v>
      </c>
      <c r="L91" s="165" t="inlineStr">
        <is>
          <t>11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129A1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포레스트힐</t>
        </is>
      </c>
      <c r="B92" s="16" t="inlineStr">
        <is>
          <t>'10.10.</t>
        </is>
      </c>
      <c r="C92" s="164" t="n">
        <v>464</v>
      </c>
      <c r="D92" s="161" t="n">
        <v>129.1</v>
      </c>
      <c r="E92" s="163" t="n">
        <v>39</v>
      </c>
      <c r="F92" s="161" t="n">
        <v>102.5</v>
      </c>
      <c r="G92" s="27" t="n">
        <v>31</v>
      </c>
      <c r="H92" s="164" t="n">
        <v>25</v>
      </c>
      <c r="I92" s="165" t="n">
        <v>50000</v>
      </c>
      <c r="J92" s="165" t="inlineStr">
        <is>
          <t>6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129B1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포레스트힐</t>
        </is>
      </c>
      <c r="B93" s="16" t="inlineStr">
        <is>
          <t>'10.10.</t>
        </is>
      </c>
      <c r="C93" s="164" t="n">
        <v>464</v>
      </c>
      <c r="D93" s="161" t="n">
        <v>144.1</v>
      </c>
      <c r="E93" s="163" t="n">
        <v>44</v>
      </c>
      <c r="F93" s="161" t="n">
        <v>114.4</v>
      </c>
      <c r="G93" s="27" t="n">
        <v>35</v>
      </c>
      <c r="H93" s="164" t="n">
        <v>118</v>
      </c>
      <c r="I93" s="165" t="n">
        <v>54000</v>
      </c>
      <c r="J93" s="165" t="inlineStr">
        <is>
          <t>18</t>
        </is>
      </c>
      <c r="K93" s="165" t="n">
        <v>37000</v>
      </c>
      <c r="L93" s="165" t="inlineStr">
        <is>
          <t>17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144A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포레스트힐</t>
        </is>
      </c>
      <c r="B94" s="16" t="inlineStr">
        <is>
          <t>'10.10.</t>
        </is>
      </c>
      <c r="C94" s="164" t="n">
        <v>464</v>
      </c>
      <c r="D94" s="161" t="n">
        <v>144.4</v>
      </c>
      <c r="E94" s="163" t="n">
        <v>44</v>
      </c>
      <c r="F94" s="161" t="n">
        <v>114.6</v>
      </c>
      <c r="G94" s="27" t="n">
        <v>35</v>
      </c>
      <c r="H94" s="164" t="n">
        <v>60</v>
      </c>
      <c r="I94" s="165" t="n">
        <v>55000</v>
      </c>
      <c r="J94" s="165" t="inlineStr">
        <is>
          <t>13</t>
        </is>
      </c>
      <c r="K94" s="165" t="n">
        <v>37000</v>
      </c>
      <c r="L94" s="165" t="inlineStr">
        <is>
          <t>19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inlineStr">
        <is>
          <t>144B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포레스트힐</t>
        </is>
      </c>
      <c r="B95" s="16" t="inlineStr">
        <is>
          <t>'10.10.</t>
        </is>
      </c>
      <c r="C95" s="164" t="n">
        <v>464</v>
      </c>
      <c r="D95" s="161" t="n">
        <v>144.6</v>
      </c>
      <c r="E95" s="163" t="n">
        <v>44</v>
      </c>
      <c r="F95" s="161" t="n">
        <v>114.8</v>
      </c>
      <c r="G95" s="27" t="n">
        <v>35</v>
      </c>
      <c r="H95" s="164" t="n">
        <v>15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144C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포레스트힐</t>
        </is>
      </c>
      <c r="B96" s="16" t="inlineStr">
        <is>
          <t>'10.10.</t>
        </is>
      </c>
      <c r="C96" s="164" t="n">
        <v>464</v>
      </c>
      <c r="D96" s="161" t="n">
        <v>162.9</v>
      </c>
      <c r="E96" s="163" t="n">
        <v>49</v>
      </c>
      <c r="F96" s="161" t="n">
        <v>129.3</v>
      </c>
      <c r="G96" s="27" t="n">
        <v>39</v>
      </c>
      <c r="H96" s="164" t="n">
        <v>90</v>
      </c>
      <c r="I96" s="165" t="n">
        <v>63000</v>
      </c>
      <c r="J96" s="165" t="inlineStr">
        <is>
          <t>10</t>
        </is>
      </c>
      <c r="K96" s="165" t="n">
        <v>35000</v>
      </c>
      <c r="L96" s="165" t="inlineStr">
        <is>
          <t>7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n">
        <v>162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삼정백조1차</t>
        </is>
      </c>
      <c r="B98" s="16" t="inlineStr">
        <is>
          <t>'98.03.</t>
        </is>
      </c>
      <c r="C98" s="164" t="n">
        <v>424</v>
      </c>
      <c r="D98" s="161" t="n">
        <v>43.6</v>
      </c>
      <c r="E98" s="163" t="n">
        <v>13</v>
      </c>
      <c r="F98" s="161" t="n">
        <v>30</v>
      </c>
      <c r="G98" s="27" t="n">
        <v>9</v>
      </c>
      <c r="H98" s="164" t="n">
        <v>270</v>
      </c>
      <c r="I98" s="165" t="n">
        <v>5580</v>
      </c>
      <c r="J98" s="165" t="inlineStr">
        <is>
          <t>13</t>
        </is>
      </c>
      <c r="K98" s="165" t="n">
        <v>3700</v>
      </c>
      <c r="L98" s="165" t="inlineStr">
        <is>
          <t>14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계</t>
        </is>
      </c>
      <c r="T98" s="8" t="n">
        <v>43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삼정백조1차</t>
        </is>
      </c>
      <c r="B99" s="16" t="inlineStr">
        <is>
          <t>'98.03.</t>
        </is>
      </c>
      <c r="C99" s="164" t="n">
        <v>424</v>
      </c>
      <c r="D99" s="161" t="n">
        <v>53.4</v>
      </c>
      <c r="E99" s="163" t="n">
        <v>16</v>
      </c>
      <c r="F99" s="161" t="n">
        <v>38.5</v>
      </c>
      <c r="G99" s="27" t="n">
        <v>12</v>
      </c>
      <c r="H99" s="164" t="n">
        <v>154</v>
      </c>
      <c r="I99" s="165" t="n">
        <v>7680</v>
      </c>
      <c r="J99" s="165" t="inlineStr">
        <is>
          <t>13</t>
        </is>
      </c>
      <c r="K99" s="165" t="n">
        <v>4000</v>
      </c>
      <c r="L99" s="165" t="inlineStr">
        <is>
          <t>14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53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아산배방금호어울림1단지</t>
        </is>
      </c>
      <c r="B101" s="16" t="inlineStr">
        <is>
          <t>'05.05.</t>
        </is>
      </c>
      <c r="C101" s="164" t="n">
        <v>272</v>
      </c>
      <c r="D101" s="161" t="n">
        <v>106.9</v>
      </c>
      <c r="E101" s="163" t="n">
        <v>32</v>
      </c>
      <c r="F101" s="161" t="n">
        <v>85</v>
      </c>
      <c r="G101" s="27" t="n">
        <v>26</v>
      </c>
      <c r="H101" s="164" t="n">
        <v>200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106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아산배방금호어울림1단지</t>
        </is>
      </c>
      <c r="B102" s="16" t="inlineStr">
        <is>
          <t>'05.05.</t>
        </is>
      </c>
      <c r="C102" s="164" t="n">
        <v>272</v>
      </c>
      <c r="D102" s="161" t="n">
        <v>129.2</v>
      </c>
      <c r="E102" s="163" t="n">
        <v>39</v>
      </c>
      <c r="F102" s="161" t="n">
        <v>107.6</v>
      </c>
      <c r="G102" s="27" t="n">
        <v>33</v>
      </c>
      <c r="H102" s="164" t="n">
        <v>72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129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1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2" t="n"/>
      <c r="P103" s="162" t="n"/>
      <c r="Q103" s="163" t="n"/>
      <c r="R103" s="163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0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요진와이시티</t>
        </is>
      </c>
      <c r="B104" s="16" t="inlineStr">
        <is>
          <t>'11.06.</t>
        </is>
      </c>
      <c r="C104" s="164" t="n">
        <v>1479</v>
      </c>
      <c r="D104" s="161" t="n">
        <v>78.90000000000001</v>
      </c>
      <c r="E104" s="163" t="n">
        <v>24</v>
      </c>
      <c r="F104" s="161" t="n">
        <v>59.9</v>
      </c>
      <c r="G104" s="27" t="n">
        <v>18</v>
      </c>
      <c r="H104" s="164" t="n">
        <v>252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복</t>
        </is>
      </c>
      <c r="T104" s="8" t="inlineStr">
        <is>
          <t>78A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요진와이시티</t>
        </is>
      </c>
      <c r="B105" s="16" t="inlineStr">
        <is>
          <t>'11.06.</t>
        </is>
      </c>
      <c r="C105" s="164" t="n">
        <v>1479</v>
      </c>
      <c r="D105" s="161" t="n">
        <v>79</v>
      </c>
      <c r="E105" s="163" t="n">
        <v>24</v>
      </c>
      <c r="F105" s="161" t="n">
        <v>60</v>
      </c>
      <c r="G105" s="27" t="n">
        <v>18</v>
      </c>
      <c r="H105" s="164" t="n">
        <v>252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inlineStr">
        <is>
          <t>78B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요진와이시티</t>
        </is>
      </c>
      <c r="B106" s="16" t="inlineStr">
        <is>
          <t>'11.06.</t>
        </is>
      </c>
      <c r="C106" s="164" t="n">
        <v>1479</v>
      </c>
      <c r="D106" s="161" t="n">
        <v>111.1</v>
      </c>
      <c r="E106" s="163" t="n">
        <v>34</v>
      </c>
      <c r="F106" s="161" t="n">
        <v>84.40000000000001</v>
      </c>
      <c r="G106" s="27" t="n">
        <v>26</v>
      </c>
      <c r="H106" s="164" t="n">
        <v>300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복</t>
        </is>
      </c>
      <c r="T106" s="8" t="inlineStr">
        <is>
          <t>111B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요진와이시티</t>
        </is>
      </c>
      <c r="B107" s="16" t="inlineStr">
        <is>
          <t>'11.06.</t>
        </is>
      </c>
      <c r="C107" s="164" t="n">
        <v>1479</v>
      </c>
      <c r="D107" s="161" t="n">
        <v>111.6</v>
      </c>
      <c r="E107" s="163" t="n">
        <v>34</v>
      </c>
      <c r="F107" s="161" t="n">
        <v>84.7</v>
      </c>
      <c r="G107" s="27" t="n">
        <v>26</v>
      </c>
      <c r="H107" s="164" t="n">
        <v>252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복</t>
        </is>
      </c>
      <c r="T107" s="8" t="inlineStr">
        <is>
          <t>111A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요진와이시티</t>
        </is>
      </c>
      <c r="B108" s="16" t="inlineStr">
        <is>
          <t>'11.06.</t>
        </is>
      </c>
      <c r="C108" s="164" t="n">
        <v>1479</v>
      </c>
      <c r="D108" s="161" t="n">
        <v>150.3</v>
      </c>
      <c r="E108" s="163" t="n">
        <v>45</v>
      </c>
      <c r="F108" s="161" t="n">
        <v>114.1</v>
      </c>
      <c r="G108" s="27" t="n">
        <v>35</v>
      </c>
      <c r="H108" s="164" t="n">
        <v>266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복</t>
        </is>
      </c>
      <c r="T108" s="8" t="inlineStr">
        <is>
          <t>150A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요진와이시티</t>
        </is>
      </c>
      <c r="B109" s="16" t="inlineStr">
        <is>
          <t>'11.06.</t>
        </is>
      </c>
      <c r="C109" s="164" t="n">
        <v>1479</v>
      </c>
      <c r="D109" s="161" t="n">
        <v>150.7</v>
      </c>
      <c r="E109" s="163" t="n">
        <v>46</v>
      </c>
      <c r="F109" s="161" t="n">
        <v>114.4</v>
      </c>
      <c r="G109" s="27" t="n">
        <v>35</v>
      </c>
      <c r="H109" s="164" t="n">
        <v>87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복</t>
        </is>
      </c>
      <c r="T109" s="8" t="inlineStr">
        <is>
          <t>150C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요진와이시티</t>
        </is>
      </c>
      <c r="B110" s="16" t="inlineStr">
        <is>
          <t>'11.06.</t>
        </is>
      </c>
      <c r="C110" s="164" t="n">
        <v>1479</v>
      </c>
      <c r="D110" s="161" t="n">
        <v>150.5</v>
      </c>
      <c r="E110" s="163" t="n">
        <v>46</v>
      </c>
      <c r="F110" s="161" t="n">
        <v>114.2</v>
      </c>
      <c r="G110" s="27" t="n">
        <v>35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복</t>
        </is>
      </c>
      <c r="T110" s="8" t="inlineStr">
        <is>
          <t>150B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요진와이시티</t>
        </is>
      </c>
      <c r="B111" s="16" t="inlineStr">
        <is>
          <t>'11.06.</t>
        </is>
      </c>
      <c r="C111" s="164" t="n">
        <v>1479</v>
      </c>
      <c r="D111" s="161" t="n">
        <v>218.2</v>
      </c>
      <c r="E111" s="163" t="n">
        <v>66</v>
      </c>
      <c r="F111" s="161" t="n">
        <v>165.7</v>
      </c>
      <c r="G111" s="27" t="n">
        <v>50</v>
      </c>
      <c r="H111" s="164" t="n">
        <v>10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3</v>
      </c>
      <c r="S111" s="113" t="inlineStr">
        <is>
          <t>복</t>
        </is>
      </c>
      <c r="T111" s="8" t="n">
        <v>218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아산배방3차한성필하우스</t>
        </is>
      </c>
      <c r="B113" s="16" t="inlineStr">
        <is>
          <t>'17.10.</t>
        </is>
      </c>
      <c r="C113" s="164" t="n">
        <v>711</v>
      </c>
      <c r="D113" s="161" t="n">
        <v>84.7</v>
      </c>
      <c r="E113" s="163" t="n">
        <v>26</v>
      </c>
      <c r="F113" s="161" t="n">
        <v>60</v>
      </c>
      <c r="G113" s="27" t="n">
        <v>18</v>
      </c>
      <c r="H113" s="164" t="n">
        <v>214</v>
      </c>
      <c r="I113" s="165" t="n">
        <v>30700</v>
      </c>
      <c r="J113" s="165" t="inlineStr">
        <is>
          <t>13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84A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아산배방3차한성필하우스</t>
        </is>
      </c>
      <c r="B114" s="16" t="inlineStr">
        <is>
          <t>'17.10.</t>
        </is>
      </c>
      <c r="C114" s="164" t="n">
        <v>711</v>
      </c>
      <c r="D114" s="161" t="n">
        <v>85.09999999999999</v>
      </c>
      <c r="E114" s="163" t="n">
        <v>26</v>
      </c>
      <c r="F114" s="161" t="n">
        <v>60</v>
      </c>
      <c r="G114" s="27" t="n">
        <v>18</v>
      </c>
      <c r="H114" s="164" t="n">
        <v>80</v>
      </c>
      <c r="I114" s="165" t="n">
        <v>33000</v>
      </c>
      <c r="J114" s="165" t="inlineStr">
        <is>
          <t>19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85D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아산배방3차한성필하우스</t>
        </is>
      </c>
      <c r="B115" s="16" t="inlineStr">
        <is>
          <t>'17.10.</t>
        </is>
      </c>
      <c r="C115" s="164" t="n">
        <v>711</v>
      </c>
      <c r="D115" s="161" t="n">
        <v>85.7</v>
      </c>
      <c r="E115" s="163" t="n">
        <v>26</v>
      </c>
      <c r="F115" s="161" t="n">
        <v>60</v>
      </c>
      <c r="G115" s="27" t="n">
        <v>18</v>
      </c>
      <c r="H115" s="164" t="n">
        <v>61</v>
      </c>
      <c r="I115" s="165" t="n">
        <v>32500</v>
      </c>
      <c r="J115" s="165" t="inlineStr">
        <is>
          <t>중</t>
        </is>
      </c>
      <c r="K115" s="165" t="n">
        <v>26500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85C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아산배방3차한성필하우스</t>
        </is>
      </c>
      <c r="B116" s="16" t="inlineStr">
        <is>
          <t>'17.10.</t>
        </is>
      </c>
      <c r="C116" s="164" t="n">
        <v>711</v>
      </c>
      <c r="D116" s="161" t="n">
        <v>86.3</v>
      </c>
      <c r="E116" s="163" t="n">
        <v>26</v>
      </c>
      <c r="F116" s="161" t="n">
        <v>60</v>
      </c>
      <c r="G116" s="27" t="n">
        <v>18</v>
      </c>
      <c r="H116" s="164" t="n">
        <v>98</v>
      </c>
      <c r="I116" s="165" t="n">
        <v>33000</v>
      </c>
      <c r="J116" s="165" t="inlineStr">
        <is>
          <t>중</t>
        </is>
      </c>
      <c r="K116" s="165" t="n">
        <v>27000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86B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아산배방3차한성필하우스</t>
        </is>
      </c>
      <c r="B117" s="16" t="inlineStr">
        <is>
          <t>'17.10.</t>
        </is>
      </c>
      <c r="C117" s="164" t="n">
        <v>711</v>
      </c>
      <c r="D117" s="161" t="n">
        <v>105.8</v>
      </c>
      <c r="E117" s="163" t="n">
        <v>32</v>
      </c>
      <c r="F117" s="161" t="n">
        <v>79.7</v>
      </c>
      <c r="G117" s="27" t="n">
        <v>24</v>
      </c>
      <c r="H117" s="164" t="n">
        <v>77</v>
      </c>
      <c r="I117" s="165" t="n">
        <v>38000</v>
      </c>
      <c r="J117" s="165" t="inlineStr">
        <is>
          <t>고</t>
        </is>
      </c>
      <c r="K117" s="165" t="n">
        <v>28000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105B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아산배방3차한성필하우스</t>
        </is>
      </c>
      <c r="B118" s="16" t="inlineStr">
        <is>
          <t>'17.10.</t>
        </is>
      </c>
      <c r="C118" s="164" t="n">
        <v>711</v>
      </c>
      <c r="D118" s="161" t="n">
        <v>106.4</v>
      </c>
      <c r="E118" s="163" t="n">
        <v>32</v>
      </c>
      <c r="F118" s="161" t="n">
        <v>79.90000000000001</v>
      </c>
      <c r="G118" s="27" t="n">
        <v>24</v>
      </c>
      <c r="H118" s="164" t="n">
        <v>125</v>
      </c>
      <c r="I118" s="165" t="n">
        <v>38000</v>
      </c>
      <c r="J118" s="165" t="inlineStr">
        <is>
          <t>14</t>
        </is>
      </c>
      <c r="K118" s="165" t="n">
        <v>34000</v>
      </c>
      <c r="L118" s="165" t="inlineStr">
        <is>
          <t>중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106A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아산배방3차한성필하우스</t>
        </is>
      </c>
      <c r="B119" s="16" t="inlineStr">
        <is>
          <t>'17.10.</t>
        </is>
      </c>
      <c r="C119" s="164" t="n">
        <v>711</v>
      </c>
      <c r="D119" s="161" t="n">
        <v>106.8</v>
      </c>
      <c r="E119" s="163" t="n">
        <v>32</v>
      </c>
      <c r="F119" s="161" t="n">
        <v>79.8</v>
      </c>
      <c r="G119" s="27" t="n">
        <v>24</v>
      </c>
      <c r="H119" s="164" t="n">
        <v>56</v>
      </c>
      <c r="I119" s="165" t="n">
        <v>45000</v>
      </c>
      <c r="J119" s="165" t="inlineStr">
        <is>
          <t>10</t>
        </is>
      </c>
      <c r="K119" s="165" t="n">
        <v>31000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106C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용연마을STX칸4단지</t>
        </is>
      </c>
      <c r="B121" s="16" t="inlineStr">
        <is>
          <t>'11.02.</t>
        </is>
      </c>
      <c r="C121" s="164" t="n">
        <v>230</v>
      </c>
      <c r="D121" s="161" t="n">
        <v>130.9</v>
      </c>
      <c r="E121" s="163" t="n">
        <v>40</v>
      </c>
      <c r="F121" s="161" t="n">
        <v>101.8</v>
      </c>
      <c r="G121" s="27" t="n">
        <v>31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130B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용연마을STX칸4단지</t>
        </is>
      </c>
      <c r="B122" s="16" t="inlineStr">
        <is>
          <t>'11.02.</t>
        </is>
      </c>
      <c r="C122" s="164" t="n">
        <v>230</v>
      </c>
      <c r="D122" s="161" t="n">
        <v>130.1</v>
      </c>
      <c r="E122" s="163" t="n">
        <v>39</v>
      </c>
      <c r="F122" s="161" t="n">
        <v>101.8</v>
      </c>
      <c r="G122" s="27" t="n">
        <v>31</v>
      </c>
      <c r="H122" s="164" t="n">
        <v>30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130A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용연마을STX칸4단지</t>
        </is>
      </c>
      <c r="B123" s="16" t="inlineStr">
        <is>
          <t>'11.02.</t>
        </is>
      </c>
      <c r="C123" s="164" t="n">
        <v>230</v>
      </c>
      <c r="D123" s="161" t="n">
        <v>131.5</v>
      </c>
      <c r="E123" s="163" t="n">
        <v>40</v>
      </c>
      <c r="F123" s="161" t="n">
        <v>101.8</v>
      </c>
      <c r="G123" s="27" t="n">
        <v>31</v>
      </c>
      <c r="H123" s="164" t="n">
        <v>35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131C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용연마을STX칸4단지</t>
        </is>
      </c>
      <c r="B124" s="16" t="inlineStr">
        <is>
          <t>'11.02.</t>
        </is>
      </c>
      <c r="C124" s="164" t="n">
        <v>230</v>
      </c>
      <c r="D124" s="161" t="n">
        <v>131.5</v>
      </c>
      <c r="E124" s="163" t="n">
        <v>40</v>
      </c>
      <c r="F124" s="161" t="n">
        <v>101.8</v>
      </c>
      <c r="G124" s="27" t="n">
        <v>31</v>
      </c>
      <c r="H124" s="164" t="n">
        <v>24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131C1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용연마을STX칸4단지</t>
        </is>
      </c>
      <c r="B125" s="16" t="inlineStr">
        <is>
          <t>'11.02.</t>
        </is>
      </c>
      <c r="C125" s="164" t="n">
        <v>230</v>
      </c>
      <c r="D125" s="161" t="n">
        <v>137.6</v>
      </c>
      <c r="E125" s="163" t="n">
        <v>42</v>
      </c>
      <c r="F125" s="161" t="n">
        <v>107.3</v>
      </c>
      <c r="G125" s="27" t="n">
        <v>32</v>
      </c>
      <c r="H125" s="164" t="n">
        <v>28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n">
        <v>137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용연마을STX칸4단지</t>
        </is>
      </c>
      <c r="B126" s="16" t="inlineStr">
        <is>
          <t>'11.02.</t>
        </is>
      </c>
      <c r="C126" s="164" t="n">
        <v>230</v>
      </c>
      <c r="D126" s="161" t="n">
        <v>147.8</v>
      </c>
      <c r="E126" s="163" t="n">
        <v>45</v>
      </c>
      <c r="F126" s="161" t="n">
        <v>114.4</v>
      </c>
      <c r="G126" s="27" t="n">
        <v>35</v>
      </c>
      <c r="H126" s="164" t="n">
        <v>43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147B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용연마을STX칸4단지</t>
        </is>
      </c>
      <c r="B127" s="16" t="inlineStr">
        <is>
          <t>'11.02.</t>
        </is>
      </c>
      <c r="C127" s="164" t="n">
        <v>230</v>
      </c>
      <c r="D127" s="161" t="n">
        <v>147.8</v>
      </c>
      <c r="E127" s="163" t="n">
        <v>45</v>
      </c>
      <c r="F127" s="161" t="n">
        <v>114.4</v>
      </c>
      <c r="G127" s="27" t="n">
        <v>35</v>
      </c>
      <c r="H127" s="164" t="n">
        <v>30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147A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한성</t>
        </is>
      </c>
      <c r="B129" s="16" t="inlineStr">
        <is>
          <t>'99.04.</t>
        </is>
      </c>
      <c r="C129" s="164" t="n">
        <v>290</v>
      </c>
      <c r="D129" s="161" t="n">
        <v>51.2</v>
      </c>
      <c r="E129" s="163" t="n">
        <v>15</v>
      </c>
      <c r="F129" s="161" t="n">
        <v>40</v>
      </c>
      <c r="G129" s="27" t="n">
        <v>12</v>
      </c>
      <c r="H129" s="164" t="n">
        <v>200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계</t>
        </is>
      </c>
      <c r="T129" s="8" t="n">
        <v>51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한성</t>
        </is>
      </c>
      <c r="B130" s="16" t="inlineStr">
        <is>
          <t>'99.04.</t>
        </is>
      </c>
      <c r="C130" s="164" t="n">
        <v>290</v>
      </c>
      <c r="D130" s="161" t="n">
        <v>70.7</v>
      </c>
      <c r="E130" s="163" t="n">
        <v>21</v>
      </c>
      <c r="F130" s="161" t="n">
        <v>55.5</v>
      </c>
      <c r="G130" s="27" t="n">
        <v>17</v>
      </c>
      <c r="H130" s="164" t="n">
        <v>30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70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한성</t>
        </is>
      </c>
      <c r="B131" s="16" t="inlineStr">
        <is>
          <t>'99.04.</t>
        </is>
      </c>
      <c r="C131" s="164" t="n">
        <v>290</v>
      </c>
      <c r="D131" s="161" t="n">
        <v>76.40000000000001</v>
      </c>
      <c r="E131" s="163" t="n">
        <v>23</v>
      </c>
      <c r="F131" s="161" t="n">
        <v>59.8</v>
      </c>
      <c r="G131" s="27" t="n">
        <v>18</v>
      </c>
      <c r="H131" s="164" t="n">
        <v>60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n"/>
      <c r="B132" s="113" t="n"/>
      <c r="C132" s="10" t="n"/>
      <c r="D132" s="13" t="n"/>
      <c r="E132" s="20" t="n"/>
      <c r="F132" s="161" t="n"/>
      <c r="G132" s="13" t="n"/>
      <c r="H132" s="13" t="n"/>
      <c r="I132" s="13" t="n"/>
      <c r="J132" s="13" t="n"/>
      <c r="K132" s="13" t="n"/>
      <c r="L132" s="13" t="n"/>
      <c r="M132" s="13" t="n"/>
      <c r="N132" s="13" t="n"/>
      <c r="O132" s="162" t="n"/>
      <c r="P132" s="162" t="n"/>
      <c r="Q132" s="163" t="n"/>
      <c r="R132" s="163" t="n"/>
      <c r="S132" s="13" t="n"/>
      <c r="T132" s="70" t="n"/>
      <c r="U132" s="13" t="n"/>
      <c r="W132" s="107">
        <f>$A$4&amp;" "&amp;A133&amp;"("&amp;B133&amp;","&amp;C133&amp;"^)"</f>
        <v/>
      </c>
      <c r="X132" s="108" t="n"/>
      <c r="Y132" s="108" t="n"/>
      <c r="Z132" s="108" t="n"/>
      <c r="AA132" s="108" t="n"/>
      <c r="AB132" s="108" t="n"/>
      <c r="AC132" s="108" t="n"/>
      <c r="AD132" s="108" t="n"/>
      <c r="AE132" s="108" t="n"/>
      <c r="AF132" s="109" t="n"/>
      <c r="AH132" s="36">
        <f>IF(A132="","",A132)</f>
        <v/>
      </c>
      <c r="AI132" s="160">
        <f>IF(E132="","",E132)</f>
        <v/>
      </c>
      <c r="AJ132" s="113" t="n"/>
      <c r="AK132" s="113" t="n"/>
      <c r="AL132" s="113" t="n"/>
      <c r="AM132" s="113" t="n"/>
      <c r="AN132" s="113" t="n"/>
      <c r="AO132" s="113" t="n"/>
      <c r="AP132" s="113" t="n"/>
      <c r="AQ132" s="113" t="n"/>
      <c r="AR132" s="113" t="n"/>
      <c r="AS132" s="113" t="n"/>
      <c r="AT132" s="113" t="n"/>
      <c r="AU132" s="113" t="n"/>
      <c r="AV132" s="113" t="n"/>
    </row>
    <row r="133">
      <c r="A133" s="13" t="inlineStr">
        <is>
          <t>오르젠중앙하이츠1차</t>
        </is>
      </c>
      <c r="B133" s="16" t="inlineStr">
        <is>
          <t>'06.06.</t>
        </is>
      </c>
      <c r="C133" s="164" t="n">
        <v>702</v>
      </c>
      <c r="D133" s="161" t="n">
        <v>96.40000000000001</v>
      </c>
      <c r="E133" s="163" t="n">
        <v>29</v>
      </c>
      <c r="F133" s="161" t="n">
        <v>69.8</v>
      </c>
      <c r="G133" s="27" t="n">
        <v>21</v>
      </c>
      <c r="H133" s="164" t="n">
        <v>52</v>
      </c>
      <c r="I133" s="165" t="n"/>
      <c r="J133" s="165" t="n"/>
      <c r="K133" s="165" t="n">
        <v>21000</v>
      </c>
      <c r="L133" s="165" t="inlineStr">
        <is>
          <t>8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2</v>
      </c>
      <c r="S133" s="113" t="inlineStr">
        <is>
          <t>계</t>
        </is>
      </c>
      <c r="T133" s="8" t="n">
        <v>96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오르젠중앙하이츠1차</t>
        </is>
      </c>
      <c r="B134" s="16" t="inlineStr">
        <is>
          <t>'06.06.</t>
        </is>
      </c>
      <c r="C134" s="164" t="n">
        <v>702</v>
      </c>
      <c r="D134" s="161" t="n">
        <v>111.7</v>
      </c>
      <c r="E134" s="163" t="n">
        <v>34</v>
      </c>
      <c r="F134" s="161" t="n">
        <v>85</v>
      </c>
      <c r="G134" s="27" t="n">
        <v>26</v>
      </c>
      <c r="H134" s="164" t="n">
        <v>71</v>
      </c>
      <c r="I134" s="165" t="n">
        <v>28000</v>
      </c>
      <c r="J134" s="165" t="inlineStr">
        <is>
          <t>7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111B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오르젠중앙하이츠1차</t>
        </is>
      </c>
      <c r="B135" s="16" t="inlineStr">
        <is>
          <t>'06.06.</t>
        </is>
      </c>
      <c r="C135" s="164" t="n">
        <v>702</v>
      </c>
      <c r="D135" s="161" t="n">
        <v>112.1</v>
      </c>
      <c r="E135" s="163" t="n">
        <v>34</v>
      </c>
      <c r="F135" s="161" t="n">
        <v>85</v>
      </c>
      <c r="G135" s="27" t="n">
        <v>26</v>
      </c>
      <c r="H135" s="164" t="n">
        <v>343</v>
      </c>
      <c r="I135" s="165" t="n">
        <v>27500</v>
      </c>
      <c r="J135" s="165" t="inlineStr">
        <is>
          <t>7</t>
        </is>
      </c>
      <c r="K135" s="165" t="n">
        <v>22000</v>
      </c>
      <c r="L135" s="165" t="inlineStr">
        <is>
          <t>7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112A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오르젠중앙하이츠1차</t>
        </is>
      </c>
      <c r="B136" s="16" t="inlineStr">
        <is>
          <t>'06.06.</t>
        </is>
      </c>
      <c r="C136" s="164" t="n">
        <v>702</v>
      </c>
      <c r="D136" s="161" t="n">
        <v>114.4</v>
      </c>
      <c r="E136" s="163" t="n">
        <v>35</v>
      </c>
      <c r="F136" s="161" t="n">
        <v>85</v>
      </c>
      <c r="G136" s="27" t="n">
        <v>26</v>
      </c>
      <c r="H136" s="164" t="n">
        <v>176</v>
      </c>
      <c r="I136" s="165" t="n">
        <v>27000</v>
      </c>
      <c r="J136" s="165" t="inlineStr">
        <is>
          <t>5</t>
        </is>
      </c>
      <c r="K136" s="165" t="n">
        <v>20000</v>
      </c>
      <c r="L136" s="165" t="inlineStr">
        <is>
          <t>7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오르젠중앙하이츠1차</t>
        </is>
      </c>
      <c r="B137" s="16" t="inlineStr">
        <is>
          <t>'06.06.</t>
        </is>
      </c>
      <c r="C137" s="164" t="n">
        <v>702</v>
      </c>
      <c r="D137" s="161" t="n">
        <v>149</v>
      </c>
      <c r="E137" s="163" t="n">
        <v>45</v>
      </c>
      <c r="F137" s="161" t="n">
        <v>120.9</v>
      </c>
      <c r="G137" s="27" t="n">
        <v>37</v>
      </c>
      <c r="H137" s="164" t="n">
        <v>60</v>
      </c>
      <c r="I137" s="165" t="n">
        <v>45000</v>
      </c>
      <c r="J137" s="165" t="inlineStr">
        <is>
          <t>중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n">
        <v>149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n"/>
      <c r="B138" s="113" t="n"/>
      <c r="C138" s="10" t="n"/>
      <c r="D138" s="13" t="n"/>
      <c r="E138" s="20" t="n"/>
      <c r="F138" s="161" t="n"/>
      <c r="G138" s="13" t="n"/>
      <c r="H138" s="13" t="n"/>
      <c r="I138" s="13" t="n"/>
      <c r="J138" s="13" t="n"/>
      <c r="K138" s="13" t="n"/>
      <c r="L138" s="13" t="n"/>
      <c r="M138" s="13" t="n"/>
      <c r="N138" s="13" t="n"/>
      <c r="O138" s="162" t="n"/>
      <c r="P138" s="162" t="n"/>
      <c r="Q138" s="163" t="n"/>
      <c r="R138" s="163" t="n"/>
      <c r="S138" s="13" t="n"/>
      <c r="T138" s="70" t="n"/>
      <c r="U138" s="13" t="n"/>
      <c r="W138" s="107">
        <f>$A$4&amp;" "&amp;A139&amp;"("&amp;B139&amp;","&amp;C139&amp;"^)"</f>
        <v/>
      </c>
      <c r="X138" s="108" t="n"/>
      <c r="Y138" s="108" t="n"/>
      <c r="Z138" s="108" t="n"/>
      <c r="AA138" s="108" t="n"/>
      <c r="AB138" s="108" t="n"/>
      <c r="AC138" s="108" t="n"/>
      <c r="AD138" s="108" t="n"/>
      <c r="AE138" s="108" t="n"/>
      <c r="AF138" s="109" t="n"/>
      <c r="AH138" s="36">
        <f>IF(A138="","",A138)</f>
        <v/>
      </c>
      <c r="AI138" s="160">
        <f>IF(E138="","",E138)</f>
        <v/>
      </c>
      <c r="AJ138" s="113" t="n"/>
      <c r="AK138" s="113" t="n"/>
      <c r="AL138" s="113" t="n"/>
      <c r="AM138" s="113" t="n"/>
      <c r="AN138" s="113" t="n"/>
      <c r="AO138" s="113" t="n"/>
      <c r="AP138" s="113" t="n"/>
      <c r="AQ138" s="113" t="n"/>
      <c r="AR138" s="113" t="n"/>
      <c r="AS138" s="113" t="n"/>
      <c r="AT138" s="113" t="n"/>
      <c r="AU138" s="113" t="n"/>
      <c r="AV138" s="113" t="n"/>
    </row>
    <row r="139">
      <c r="A139" s="13" t="inlineStr">
        <is>
          <t>배방한성필하우스2단지</t>
        </is>
      </c>
      <c r="B139" s="16" t="inlineStr">
        <is>
          <t>'07.08.</t>
        </is>
      </c>
      <c r="C139" s="164" t="n">
        <v>254</v>
      </c>
      <c r="D139" s="161" t="n">
        <v>113.9</v>
      </c>
      <c r="E139" s="163" t="n">
        <v>34</v>
      </c>
      <c r="F139" s="161" t="n">
        <v>84.8</v>
      </c>
      <c r="G139" s="27" t="n">
        <v>26</v>
      </c>
      <c r="H139" s="164" t="n">
        <v>78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113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배방한성필하우스2단지</t>
        </is>
      </c>
      <c r="B140" s="16" t="inlineStr">
        <is>
          <t>'07.08.</t>
        </is>
      </c>
      <c r="C140" s="164" t="n">
        <v>254</v>
      </c>
      <c r="D140" s="161" t="n">
        <v>118.8</v>
      </c>
      <c r="E140" s="163" t="n">
        <v>36</v>
      </c>
      <c r="F140" s="161" t="n">
        <v>85</v>
      </c>
      <c r="G140" s="27" t="n">
        <v>26</v>
      </c>
      <c r="H140" s="164" t="n">
        <v>107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118A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배방한성필하우스2단지</t>
        </is>
      </c>
      <c r="B141" s="16" t="inlineStr">
        <is>
          <t>'07.08.</t>
        </is>
      </c>
      <c r="C141" s="164" t="n">
        <v>254</v>
      </c>
      <c r="D141" s="161" t="n">
        <v>119</v>
      </c>
      <c r="E141" s="163" t="n">
        <v>36</v>
      </c>
      <c r="F141" s="161" t="n">
        <v>84.90000000000001</v>
      </c>
      <c r="G141" s="27" t="n">
        <v>26</v>
      </c>
      <c r="H141" s="164" t="n">
        <v>69</v>
      </c>
      <c r="I141" s="165" t="n"/>
      <c r="J141" s="165" t="n"/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118B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아산배방우방아이유쉘2단지</t>
        </is>
      </c>
      <c r="B143" s="16" t="inlineStr">
        <is>
          <t>'21.05.</t>
        </is>
      </c>
      <c r="C143" s="164" t="n">
        <v>1267</v>
      </c>
      <c r="D143" s="161" t="n">
        <v>82.90000000000001</v>
      </c>
      <c r="E143" s="163" t="n">
        <v>25</v>
      </c>
      <c r="F143" s="161" t="n">
        <v>61.7</v>
      </c>
      <c r="G143" s="27" t="n">
        <v>19</v>
      </c>
      <c r="H143" s="164" t="n">
        <v>643</v>
      </c>
      <c r="I143" s="165" t="n"/>
      <c r="J143" s="165" t="n"/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82A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아산배방우방아이유쉘2단지</t>
        </is>
      </c>
      <c r="B144" s="16" t="inlineStr">
        <is>
          <t>'21.05.</t>
        </is>
      </c>
      <c r="C144" s="164" t="n">
        <v>1267</v>
      </c>
      <c r="D144" s="161" t="n">
        <v>82.7</v>
      </c>
      <c r="E144" s="163" t="n">
        <v>25</v>
      </c>
      <c r="F144" s="161" t="n">
        <v>61.6</v>
      </c>
      <c r="G144" s="27" t="n">
        <v>19</v>
      </c>
      <c r="H144" s="164" t="n">
        <v>44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82C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아산배방우방아이유쉘2단지</t>
        </is>
      </c>
      <c r="B145" s="16" t="inlineStr">
        <is>
          <t>'21.05.</t>
        </is>
      </c>
      <c r="C145" s="164" t="n">
        <v>1267</v>
      </c>
      <c r="D145" s="161" t="n">
        <v>83.2</v>
      </c>
      <c r="E145" s="163" t="n">
        <v>25</v>
      </c>
      <c r="F145" s="161" t="n">
        <v>62</v>
      </c>
      <c r="G145" s="27" t="n">
        <v>19</v>
      </c>
      <c r="H145" s="164" t="n">
        <v>185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83B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아산배방우방아이유쉘2단지</t>
        </is>
      </c>
      <c r="B146" s="16" t="inlineStr">
        <is>
          <t>'21.05.</t>
        </is>
      </c>
      <c r="C146" s="164" t="n">
        <v>1267</v>
      </c>
      <c r="D146" s="161" t="n">
        <v>103.8</v>
      </c>
      <c r="E146" s="163" t="n">
        <v>31</v>
      </c>
      <c r="F146" s="161" t="n">
        <v>78.2</v>
      </c>
      <c r="G146" s="27" t="n">
        <v>24</v>
      </c>
      <c r="H146" s="164" t="n">
        <v>295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2</v>
      </c>
      <c r="S146" s="113" t="inlineStr">
        <is>
          <t>계</t>
        </is>
      </c>
      <c r="T146" s="8" t="inlineStr">
        <is>
          <t>103A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아산배방우방아이유쉘2단지</t>
        </is>
      </c>
      <c r="B147" s="16" t="inlineStr">
        <is>
          <t>'21.05.</t>
        </is>
      </c>
      <c r="C147" s="164" t="n">
        <v>1267</v>
      </c>
      <c r="D147" s="161" t="n">
        <v>105</v>
      </c>
      <c r="E147" s="163" t="n">
        <v>32</v>
      </c>
      <c r="F147" s="161" t="n">
        <v>79</v>
      </c>
      <c r="G147" s="27" t="n">
        <v>24</v>
      </c>
      <c r="H147" s="164" t="n">
        <v>100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105B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연화마을8단지</t>
        </is>
      </c>
      <c r="B149" s="16" t="inlineStr">
        <is>
          <t>'09.06.</t>
        </is>
      </c>
      <c r="C149" s="164" t="n">
        <v>724</v>
      </c>
      <c r="D149" s="161" t="n">
        <v>97</v>
      </c>
      <c r="E149" s="163" t="n">
        <v>29</v>
      </c>
      <c r="F149" s="161" t="n">
        <v>74.5</v>
      </c>
      <c r="G149" s="27" t="n">
        <v>23</v>
      </c>
      <c r="H149" s="164" t="n">
        <v>124</v>
      </c>
      <c r="I149" s="165" t="n">
        <v>36000</v>
      </c>
      <c r="J149" s="165" t="inlineStr">
        <is>
          <t>14</t>
        </is>
      </c>
      <c r="K149" s="165" t="n">
        <v>26000</v>
      </c>
      <c r="L149" s="165" t="inlineStr">
        <is>
          <t>16</t>
        </is>
      </c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97B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연화마을8단지</t>
        </is>
      </c>
      <c r="B150" s="16" t="inlineStr">
        <is>
          <t>'09.06.</t>
        </is>
      </c>
      <c r="C150" s="164" t="n">
        <v>724</v>
      </c>
      <c r="D150" s="161" t="n">
        <v>97.59999999999999</v>
      </c>
      <c r="E150" s="163" t="n">
        <v>30</v>
      </c>
      <c r="F150" s="161" t="n">
        <v>75</v>
      </c>
      <c r="G150" s="27" t="n">
        <v>23</v>
      </c>
      <c r="H150" s="164" t="n">
        <v>118</v>
      </c>
      <c r="I150" s="165" t="n">
        <v>36500</v>
      </c>
      <c r="J150" s="165" t="inlineStr">
        <is>
          <t>19</t>
        </is>
      </c>
      <c r="K150" s="165" t="n">
        <v>28000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97A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연화마을8단지</t>
        </is>
      </c>
      <c r="B151" s="16" t="inlineStr">
        <is>
          <t>'09.06.</t>
        </is>
      </c>
      <c r="C151" s="164" t="n">
        <v>724</v>
      </c>
      <c r="D151" s="161" t="n">
        <v>110.2</v>
      </c>
      <c r="E151" s="163" t="n">
        <v>33</v>
      </c>
      <c r="F151" s="161" t="n">
        <v>84.59999999999999</v>
      </c>
      <c r="G151" s="27" t="n">
        <v>26</v>
      </c>
      <c r="H151" s="164" t="n">
        <v>482</v>
      </c>
      <c r="I151" s="165" t="n">
        <v>40000</v>
      </c>
      <c r="J151" s="165" t="inlineStr">
        <is>
          <t>13</t>
        </is>
      </c>
      <c r="K151" s="165" t="n">
        <v>30000</v>
      </c>
      <c r="L151" s="165" t="inlineStr">
        <is>
          <t>9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110A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용연마을3단지</t>
        </is>
      </c>
      <c r="B153" s="16" t="inlineStr">
        <is>
          <t>'09.06.</t>
        </is>
      </c>
      <c r="C153" s="164" t="n">
        <v>378</v>
      </c>
      <c r="D153" s="161" t="n">
        <v>97.2</v>
      </c>
      <c r="E153" s="163" t="n">
        <v>29</v>
      </c>
      <c r="F153" s="161" t="n">
        <v>74.5</v>
      </c>
      <c r="G153" s="27" t="n">
        <v>23</v>
      </c>
      <c r="H153" s="164" t="n">
        <v>48</v>
      </c>
      <c r="I153" s="165" t="n">
        <v>35000</v>
      </c>
      <c r="J153" s="165" t="inlineStr">
        <is>
          <t>중</t>
        </is>
      </c>
      <c r="K153" s="165" t="n">
        <v>26000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97B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용연마을3단지</t>
        </is>
      </c>
      <c r="B154" s="16" t="inlineStr">
        <is>
          <t>'09.06.</t>
        </is>
      </c>
      <c r="C154" s="164" t="n">
        <v>378</v>
      </c>
      <c r="D154" s="161" t="n">
        <v>97.8</v>
      </c>
      <c r="E154" s="163" t="n">
        <v>30</v>
      </c>
      <c r="F154" s="161" t="n">
        <v>75</v>
      </c>
      <c r="G154" s="27" t="n">
        <v>23</v>
      </c>
      <c r="H154" s="164" t="n">
        <v>44</v>
      </c>
      <c r="I154" s="165" t="n">
        <v>36000</v>
      </c>
      <c r="J154" s="165" t="inlineStr">
        <is>
          <t>11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97A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용연마을3단지</t>
        </is>
      </c>
      <c r="B155" s="16" t="inlineStr">
        <is>
          <t>'09.06.</t>
        </is>
      </c>
      <c r="C155" s="164" t="n">
        <v>378</v>
      </c>
      <c r="D155" s="161" t="n">
        <v>110.4</v>
      </c>
      <c r="E155" s="163" t="n">
        <v>33</v>
      </c>
      <c r="F155" s="161" t="n">
        <v>84.59999999999999</v>
      </c>
      <c r="G155" s="27" t="n">
        <v>26</v>
      </c>
      <c r="H155" s="164" t="n">
        <v>144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110A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용연마을3단지</t>
        </is>
      </c>
      <c r="B156" s="16" t="inlineStr">
        <is>
          <t>'09.06.</t>
        </is>
      </c>
      <c r="C156" s="164" t="n">
        <v>378</v>
      </c>
      <c r="D156" s="161" t="n">
        <v>110.4</v>
      </c>
      <c r="E156" s="163" t="n">
        <v>33</v>
      </c>
      <c r="F156" s="161" t="n">
        <v>84.7</v>
      </c>
      <c r="G156" s="27" t="n">
        <v>26</v>
      </c>
      <c r="H156" s="164" t="n">
        <v>71</v>
      </c>
      <c r="I156" s="165" t="n">
        <v>40000</v>
      </c>
      <c r="J156" s="165" t="inlineStr">
        <is>
          <t>17</t>
        </is>
      </c>
      <c r="K156" s="165" t="n">
        <v>28000</v>
      </c>
      <c r="L156" s="165" t="inlineStr">
        <is>
          <t>5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110B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용연마을3단지</t>
        </is>
      </c>
      <c r="B157" s="16" t="inlineStr">
        <is>
          <t>'09.06.</t>
        </is>
      </c>
      <c r="C157" s="164" t="n">
        <v>378</v>
      </c>
      <c r="D157" s="161" t="n">
        <v>110.8</v>
      </c>
      <c r="E157" s="163" t="n">
        <v>34</v>
      </c>
      <c r="F157" s="161" t="n">
        <v>85</v>
      </c>
      <c r="G157" s="27" t="n">
        <v>26</v>
      </c>
      <c r="H157" s="164" t="n">
        <v>71</v>
      </c>
      <c r="I157" s="165" t="n">
        <v>42000</v>
      </c>
      <c r="J157" s="165" t="inlineStr">
        <is>
          <t>5</t>
        </is>
      </c>
      <c r="K157" s="165" t="n">
        <v>28000</v>
      </c>
      <c r="L157" s="165" t="inlineStr">
        <is>
          <t>16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복</t>
        </is>
      </c>
      <c r="T157" s="8" t="inlineStr">
        <is>
          <t>110C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n"/>
      <c r="B158" s="113" t="n"/>
      <c r="C158" s="10" t="n"/>
      <c r="D158" s="13" t="n"/>
      <c r="E158" s="20" t="n"/>
      <c r="F158" s="161" t="n"/>
      <c r="G158" s="13" t="n"/>
      <c r="H158" s="13" t="n"/>
      <c r="I158" s="13" t="n"/>
      <c r="J158" s="13" t="n"/>
      <c r="K158" s="13" t="n"/>
      <c r="L158" s="13" t="n"/>
      <c r="M158" s="13" t="n"/>
      <c r="N158" s="13" t="n"/>
      <c r="O158" s="162" t="n"/>
      <c r="P158" s="162" t="n"/>
      <c r="Q158" s="163" t="n"/>
      <c r="R158" s="163" t="n"/>
      <c r="S158" s="13" t="n"/>
      <c r="T158" s="70" t="n"/>
      <c r="U158" s="13" t="n"/>
      <c r="W158" s="107">
        <f>$A$4&amp;" "&amp;A159&amp;"("&amp;B159&amp;","&amp;C159&amp;"^)"</f>
        <v/>
      </c>
      <c r="X158" s="108" t="n"/>
      <c r="Y158" s="108" t="n"/>
      <c r="Z158" s="108" t="n"/>
      <c r="AA158" s="108" t="n"/>
      <c r="AB158" s="108" t="n"/>
      <c r="AC158" s="108" t="n"/>
      <c r="AD158" s="108" t="n"/>
      <c r="AE158" s="108" t="n"/>
      <c r="AF158" s="109" t="n"/>
      <c r="AH158" s="36">
        <f>IF(A158="","",A158)</f>
        <v/>
      </c>
      <c r="AI158" s="160">
        <f>IF(E158="","",E158)</f>
        <v/>
      </c>
      <c r="AJ158" s="113" t="n"/>
      <c r="AK158" s="113" t="n"/>
      <c r="AL158" s="113" t="n"/>
      <c r="AM158" s="113" t="n"/>
      <c r="AN158" s="113" t="n"/>
      <c r="AO158" s="113" t="n"/>
      <c r="AP158" s="113" t="n"/>
      <c r="AQ158" s="113" t="n"/>
      <c r="AR158" s="113" t="n"/>
      <c r="AS158" s="113" t="n"/>
      <c r="AT158" s="113" t="n"/>
      <c r="AU158" s="113" t="n"/>
      <c r="AV158" s="113" t="n"/>
    </row>
    <row r="159">
      <c r="A159" s="13" t="inlineStr">
        <is>
          <t>중앙하이츠오르젠2단지</t>
        </is>
      </c>
      <c r="B159" s="16" t="inlineStr">
        <is>
          <t>'06.06.</t>
        </is>
      </c>
      <c r="C159" s="164" t="n">
        <v>298</v>
      </c>
      <c r="D159" s="161" t="n">
        <v>110.9</v>
      </c>
      <c r="E159" s="163" t="n">
        <v>34</v>
      </c>
      <c r="F159" s="161" t="n">
        <v>85</v>
      </c>
      <c r="G159" s="27" t="n">
        <v>26</v>
      </c>
      <c r="H159" s="164" t="n">
        <v>70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110B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중앙하이츠오르젠2단지</t>
        </is>
      </c>
      <c r="B160" s="16" t="inlineStr">
        <is>
          <t>'06.06.</t>
        </is>
      </c>
      <c r="C160" s="164" t="n">
        <v>298</v>
      </c>
      <c r="D160" s="161" t="n">
        <v>112.3</v>
      </c>
      <c r="E160" s="163" t="n">
        <v>34</v>
      </c>
      <c r="F160" s="161" t="n">
        <v>85</v>
      </c>
      <c r="G160" s="27" t="n">
        <v>26</v>
      </c>
      <c r="H160" s="164" t="n">
        <v>86</v>
      </c>
      <c r="I160" s="165" t="n"/>
      <c r="J160" s="165" t="n"/>
      <c r="K160" s="165" t="n"/>
      <c r="L160" s="165" t="n"/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중앙하이츠오르젠2단지</t>
        </is>
      </c>
      <c r="B161" s="16" t="inlineStr">
        <is>
          <t>'06.06.</t>
        </is>
      </c>
      <c r="C161" s="164" t="n">
        <v>298</v>
      </c>
      <c r="D161" s="161" t="n">
        <v>113.5</v>
      </c>
      <c r="E161" s="163" t="n">
        <v>34</v>
      </c>
      <c r="F161" s="161" t="n">
        <v>85</v>
      </c>
      <c r="G161" s="27" t="n">
        <v>26</v>
      </c>
      <c r="H161" s="164" t="n">
        <v>114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113C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중앙하이츠오르젠2단지</t>
        </is>
      </c>
      <c r="B162" s="16" t="inlineStr">
        <is>
          <t>'06.06.</t>
        </is>
      </c>
      <c r="C162" s="164" t="n">
        <v>298</v>
      </c>
      <c r="D162" s="161" t="n">
        <v>150.4</v>
      </c>
      <c r="E162" s="163" t="n">
        <v>45</v>
      </c>
      <c r="F162" s="161" t="n">
        <v>120.9</v>
      </c>
      <c r="G162" s="27" t="n">
        <v>37</v>
      </c>
      <c r="H162" s="164" t="n">
        <v>28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150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n"/>
      <c r="B163" s="113" t="n"/>
      <c r="C163" s="10" t="n"/>
      <c r="D163" s="13" t="n"/>
      <c r="E163" s="20" t="n"/>
      <c r="F163" s="161" t="n"/>
      <c r="G163" s="13" t="n"/>
      <c r="H163" s="13" t="n"/>
      <c r="I163" s="13" t="n"/>
      <c r="J163" s="13" t="n"/>
      <c r="K163" s="13" t="n"/>
      <c r="L163" s="13" t="n"/>
      <c r="M163" s="13" t="n"/>
      <c r="N163" s="13" t="n"/>
      <c r="O163" s="162" t="n"/>
      <c r="P163" s="162" t="n"/>
      <c r="Q163" s="163" t="n"/>
      <c r="R163" s="163" t="n"/>
      <c r="S163" s="13" t="n"/>
      <c r="T163" s="70" t="n"/>
      <c r="U163" s="13" t="n"/>
      <c r="W163" s="107">
        <f>$A$4&amp;" "&amp;A164&amp;"("&amp;B164&amp;","&amp;C164&amp;"^)"</f>
        <v/>
      </c>
      <c r="X163" s="108" t="n"/>
      <c r="Y163" s="108" t="n"/>
      <c r="Z163" s="108" t="n"/>
      <c r="AA163" s="108" t="n"/>
      <c r="AB163" s="108" t="n"/>
      <c r="AC163" s="108" t="n"/>
      <c r="AD163" s="108" t="n"/>
      <c r="AE163" s="108" t="n"/>
      <c r="AF163" s="109" t="n"/>
      <c r="AH163" s="36">
        <f>IF(A163="","",A163)</f>
        <v/>
      </c>
      <c r="AI163" s="160">
        <f>IF(E163="","",E163)</f>
        <v/>
      </c>
      <c r="AJ163" s="113" t="n"/>
      <c r="AK163" s="113" t="n"/>
      <c r="AL163" s="113" t="n"/>
      <c r="AM163" s="113" t="n"/>
      <c r="AN163" s="113" t="n"/>
      <c r="AO163" s="113" t="n"/>
      <c r="AP163" s="113" t="n"/>
      <c r="AQ163" s="113" t="n"/>
      <c r="AR163" s="113" t="n"/>
      <c r="AS163" s="113" t="n"/>
      <c r="AT163" s="113" t="n"/>
      <c r="AU163" s="113" t="n"/>
      <c r="AV163" s="113" t="n"/>
    </row>
    <row r="164">
      <c r="A164" s="13" t="inlineStr">
        <is>
          <t>대우푸르지오1차</t>
        </is>
      </c>
      <c r="B164" s="16" t="inlineStr">
        <is>
          <t>'07.03.</t>
        </is>
      </c>
      <c r="C164" s="164" t="n">
        <v>893</v>
      </c>
      <c r="D164" s="161" t="n">
        <v>99.40000000000001</v>
      </c>
      <c r="E164" s="163" t="n">
        <v>30</v>
      </c>
      <c r="F164" s="161" t="n">
        <v>75.3</v>
      </c>
      <c r="G164" s="27" t="n">
        <v>23</v>
      </c>
      <c r="H164" s="164" t="n">
        <v>87</v>
      </c>
      <c r="I164" s="165" t="n">
        <v>30000</v>
      </c>
      <c r="J164" s="165" t="inlineStr">
        <is>
          <t>고</t>
        </is>
      </c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3</v>
      </c>
      <c r="R164" s="113" t="n">
        <v>2</v>
      </c>
      <c r="S164" s="113" t="inlineStr">
        <is>
          <t>계</t>
        </is>
      </c>
      <c r="T164" s="8" t="n">
        <v>99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대우푸르지오1차</t>
        </is>
      </c>
      <c r="B165" s="16" t="inlineStr">
        <is>
          <t>'07.03.</t>
        </is>
      </c>
      <c r="C165" s="164" t="n">
        <v>893</v>
      </c>
      <c r="D165" s="161" t="n">
        <v>112.5</v>
      </c>
      <c r="E165" s="163" t="n">
        <v>34</v>
      </c>
      <c r="F165" s="161" t="n">
        <v>84.8</v>
      </c>
      <c r="G165" s="27" t="n">
        <v>26</v>
      </c>
      <c r="H165" s="164" t="n">
        <v>476</v>
      </c>
      <c r="I165" s="165" t="n">
        <v>29500</v>
      </c>
      <c r="J165" s="165" t="inlineStr">
        <is>
          <t>7</t>
        </is>
      </c>
      <c r="K165" s="165" t="n">
        <v>20000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n">
        <v>112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대우푸르지오1차</t>
        </is>
      </c>
      <c r="B166" s="16" t="inlineStr">
        <is>
          <t>'07.03.</t>
        </is>
      </c>
      <c r="C166" s="164" t="n">
        <v>893</v>
      </c>
      <c r="D166" s="161" t="n">
        <v>135</v>
      </c>
      <c r="E166" s="163" t="n">
        <v>41</v>
      </c>
      <c r="F166" s="161" t="n">
        <v>105.6</v>
      </c>
      <c r="G166" s="27" t="n">
        <v>32</v>
      </c>
      <c r="H166" s="164" t="n">
        <v>210</v>
      </c>
      <c r="I166" s="165" t="n">
        <v>35000</v>
      </c>
      <c r="J166" s="165" t="inlineStr">
        <is>
          <t>5</t>
        </is>
      </c>
      <c r="K166" s="165" t="n">
        <v>29000</v>
      </c>
      <c r="L166" s="165" t="inlineStr">
        <is>
          <t>5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n">
        <v>135</v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inlineStr">
        <is>
          <t>대우푸르지오1차</t>
        </is>
      </c>
      <c r="B167" s="16" t="inlineStr">
        <is>
          <t>'07.03.</t>
        </is>
      </c>
      <c r="C167" s="164" t="n">
        <v>893</v>
      </c>
      <c r="D167" s="161" t="n">
        <v>158.7</v>
      </c>
      <c r="E167" s="163" t="n">
        <v>48</v>
      </c>
      <c r="F167" s="161" t="n">
        <v>125.6</v>
      </c>
      <c r="G167" s="27" t="n">
        <v>38</v>
      </c>
      <c r="H167" s="164" t="n">
        <v>120</v>
      </c>
      <c r="I167" s="165" t="n">
        <v>48000</v>
      </c>
      <c r="J167" s="165" t="inlineStr">
        <is>
          <t>고</t>
        </is>
      </c>
      <c r="K167" s="165" t="n">
        <v>39000</v>
      </c>
      <c r="L167" s="165" t="inlineStr">
        <is>
          <t>5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4</v>
      </c>
      <c r="R167" s="113" t="n">
        <v>2</v>
      </c>
      <c r="S167" s="113" t="inlineStr">
        <is>
          <t>계</t>
        </is>
      </c>
      <c r="T167" s="8" t="n">
        <v>158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n"/>
      <c r="B168" s="113" t="n"/>
      <c r="C168" s="10" t="n"/>
      <c r="D168" s="13" t="n"/>
      <c r="E168" s="20" t="n"/>
      <c r="F168" s="161" t="n"/>
      <c r="G168" s="13" t="n"/>
      <c r="H168" s="13" t="n"/>
      <c r="I168" s="13" t="n"/>
      <c r="J168" s="13" t="n"/>
      <c r="K168" s="13" t="n"/>
      <c r="L168" s="13" t="n"/>
      <c r="M168" s="13" t="n"/>
      <c r="N168" s="13" t="n"/>
      <c r="O168" s="162" t="n"/>
      <c r="P168" s="162" t="n"/>
      <c r="Q168" s="163" t="n"/>
      <c r="R168" s="163" t="n"/>
      <c r="S168" s="13" t="n"/>
      <c r="T168" s="70" t="n"/>
      <c r="U168" s="13" t="n"/>
      <c r="W168" s="107">
        <f>$A$4&amp;" "&amp;A169&amp;"("&amp;B169&amp;","&amp;C169&amp;"^)"</f>
        <v/>
      </c>
      <c r="X168" s="108" t="n"/>
      <c r="Y168" s="108" t="n"/>
      <c r="Z168" s="108" t="n"/>
      <c r="AA168" s="108" t="n"/>
      <c r="AB168" s="108" t="n"/>
      <c r="AC168" s="108" t="n"/>
      <c r="AD168" s="108" t="n"/>
      <c r="AE168" s="108" t="n"/>
      <c r="AF168" s="109" t="n"/>
      <c r="AH168" s="36">
        <f>IF(A168="","",A168)</f>
        <v/>
      </c>
      <c r="AI168" s="160">
        <f>IF(E168="","",E168)</f>
        <v/>
      </c>
      <c r="AJ168" s="113" t="n"/>
      <c r="AK168" s="113" t="n"/>
      <c r="AL168" s="113" t="n"/>
      <c r="AM168" s="113" t="n"/>
      <c r="AN168" s="113" t="n"/>
      <c r="AO168" s="113" t="n"/>
      <c r="AP168" s="113" t="n"/>
      <c r="AQ168" s="113" t="n"/>
      <c r="AR168" s="113" t="n"/>
      <c r="AS168" s="113" t="n"/>
      <c r="AT168" s="113" t="n"/>
      <c r="AU168" s="113" t="n"/>
      <c r="AV168" s="113" t="n"/>
    </row>
    <row r="169">
      <c r="A169" s="13" t="inlineStr">
        <is>
          <t>신한</t>
        </is>
      </c>
      <c r="B169" s="16" t="inlineStr">
        <is>
          <t>'96.01.</t>
        </is>
      </c>
      <c r="C169" s="164" t="n">
        <v>240</v>
      </c>
      <c r="D169" s="161" t="n">
        <v>45.7</v>
      </c>
      <c r="E169" s="163" t="n">
        <v>14</v>
      </c>
      <c r="F169" s="161" t="n">
        <v>34.7</v>
      </c>
      <c r="G169" s="27" t="n">
        <v>11</v>
      </c>
      <c r="H169" s="164" t="n">
        <v>177</v>
      </c>
      <c r="I169" s="165" t="n"/>
      <c r="J169" s="165" t="n"/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2</v>
      </c>
      <c r="R169" s="113" t="n">
        <v>1</v>
      </c>
      <c r="S169" s="113" t="inlineStr">
        <is>
          <t>계</t>
        </is>
      </c>
      <c r="T169" s="8" t="n">
        <v>45</v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신한</t>
        </is>
      </c>
      <c r="B170" s="16" t="inlineStr">
        <is>
          <t>'96.01.</t>
        </is>
      </c>
      <c r="C170" s="164" t="n">
        <v>240</v>
      </c>
      <c r="D170" s="161" t="n">
        <v>54.1</v>
      </c>
      <c r="E170" s="163" t="n">
        <v>16</v>
      </c>
      <c r="F170" s="161" t="n">
        <v>41</v>
      </c>
      <c r="G170" s="27" t="n">
        <v>12</v>
      </c>
      <c r="H170" s="164" t="n">
        <v>63</v>
      </c>
      <c r="I170" s="165" t="n"/>
      <c r="J170" s="165" t="n"/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2</v>
      </c>
      <c r="R170" s="113" t="n">
        <v>1</v>
      </c>
      <c r="S170" s="113" t="inlineStr">
        <is>
          <t>계</t>
        </is>
      </c>
      <c r="T170" s="8" t="n">
        <v>54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아산탕정2-A6블록신혼희망타운</t>
        </is>
      </c>
      <c r="B172" s="16" t="inlineStr">
        <is>
          <t>'23.12.</t>
        </is>
      </c>
      <c r="C172" s="164" t="n">
        <v>510</v>
      </c>
      <c r="D172" s="161" t="n">
        <v>77.5</v>
      </c>
      <c r="E172" s="163" t="n">
        <v>23</v>
      </c>
      <c r="F172" s="161" t="n">
        <v>56</v>
      </c>
      <c r="G172" s="27" t="n">
        <v>17</v>
      </c>
      <c r="H172" s="164" t="n">
        <v>76</v>
      </c>
      <c r="I172" s="165" t="n"/>
      <c r="J172" s="165" t="n"/>
      <c r="K172" s="165" t="n"/>
      <c r="L172" s="165" t="n"/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2</v>
      </c>
      <c r="S172" s="113" t="inlineStr">
        <is>
          <t>계</t>
        </is>
      </c>
      <c r="T172" s="8" t="inlineStr">
        <is>
          <t>77A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아산탕정2-A6블록신혼희망타운</t>
        </is>
      </c>
      <c r="B173" s="16" t="inlineStr">
        <is>
          <t>'23.12.</t>
        </is>
      </c>
      <c r="C173" s="164" t="n">
        <v>510</v>
      </c>
      <c r="D173" s="161" t="n">
        <v>77.2</v>
      </c>
      <c r="E173" s="163" t="n">
        <v>23</v>
      </c>
      <c r="F173" s="161" t="n">
        <v>55.7</v>
      </c>
      <c r="G173" s="27" t="n">
        <v>17</v>
      </c>
      <c r="H173" s="164" t="n">
        <v>26</v>
      </c>
      <c r="I173" s="165" t="n"/>
      <c r="J173" s="165" t="n"/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2</v>
      </c>
      <c r="R173" s="113" t="n">
        <v>2</v>
      </c>
      <c r="S173" s="113" t="inlineStr">
        <is>
          <t>계</t>
        </is>
      </c>
      <c r="T173" s="8" t="inlineStr">
        <is>
          <t>77C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아산탕정2-A6블록신혼희망타운</t>
        </is>
      </c>
      <c r="B174" s="16" t="inlineStr">
        <is>
          <t>'23.12.</t>
        </is>
      </c>
      <c r="C174" s="164" t="n">
        <v>510</v>
      </c>
      <c r="D174" s="161" t="n">
        <v>77.5</v>
      </c>
      <c r="E174" s="163" t="n">
        <v>23</v>
      </c>
      <c r="F174" s="161" t="n">
        <v>56</v>
      </c>
      <c r="G174" s="27" t="n">
        <v>17</v>
      </c>
      <c r="H174" s="164" t="n">
        <v>17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2</v>
      </c>
      <c r="S174" s="113" t="inlineStr">
        <is>
          <t>계</t>
        </is>
      </c>
      <c r="T174" s="8" t="inlineStr">
        <is>
          <t>77B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아산탕정2-A6블록신혼희망타운</t>
        </is>
      </c>
      <c r="B175" s="16" t="inlineStr">
        <is>
          <t>'23.12.</t>
        </is>
      </c>
      <c r="C175" s="164" t="n">
        <v>510</v>
      </c>
      <c r="D175" s="161" t="n">
        <v>77.3</v>
      </c>
      <c r="E175" s="163" t="n">
        <v>23</v>
      </c>
      <c r="F175" s="161" t="n">
        <v>55.8</v>
      </c>
      <c r="G175" s="27" t="n">
        <v>17</v>
      </c>
      <c r="H175" s="164" t="n">
        <v>11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2</v>
      </c>
      <c r="S175" s="113" t="inlineStr">
        <is>
          <t>계</t>
        </is>
      </c>
      <c r="T175" s="8" t="inlineStr">
        <is>
          <t>77D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아산탕정2-A6블록신혼희망타운</t>
        </is>
      </c>
      <c r="B176" s="16" t="inlineStr">
        <is>
          <t>'23.12.</t>
        </is>
      </c>
      <c r="C176" s="164" t="n">
        <v>510</v>
      </c>
      <c r="D176" s="161" t="n">
        <v>82.90000000000001</v>
      </c>
      <c r="E176" s="163" t="n">
        <v>25</v>
      </c>
      <c r="F176" s="161" t="n">
        <v>59.9</v>
      </c>
      <c r="G176" s="27" t="n">
        <v>18</v>
      </c>
      <c r="H176" s="164" t="n">
        <v>50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계</t>
        </is>
      </c>
      <c r="T176" s="8" t="inlineStr">
        <is>
          <t>82B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inlineStr">
        <is>
          <t>아산탕정2-A6블록신혼희망타운</t>
        </is>
      </c>
      <c r="B177" s="16" t="inlineStr">
        <is>
          <t>'23.12.</t>
        </is>
      </c>
      <c r="C177" s="164" t="n">
        <v>510</v>
      </c>
      <c r="D177" s="161" t="n">
        <v>82.5</v>
      </c>
      <c r="E177" s="163" t="n">
        <v>25</v>
      </c>
      <c r="F177" s="161" t="n">
        <v>59.5</v>
      </c>
      <c r="G177" s="27" t="n">
        <v>18</v>
      </c>
      <c r="H177" s="164" t="n">
        <v>9</v>
      </c>
      <c r="I177" s="165" t="n"/>
      <c r="J177" s="165" t="n"/>
      <c r="K177" s="165" t="n"/>
      <c r="L177" s="165" t="n"/>
      <c r="M177" s="166">
        <f>I177-K177</f>
        <v/>
      </c>
      <c r="N177" s="7">
        <f>IF(ISERROR(K177/I177),"",K177/I177)</f>
        <v/>
      </c>
      <c r="O177" s="162">
        <f>I177/E177</f>
        <v/>
      </c>
      <c r="P177" s="162">
        <f>K177/E177</f>
        <v/>
      </c>
      <c r="Q177" s="113" t="n">
        <v>2</v>
      </c>
      <c r="R177" s="113" t="n">
        <v>2</v>
      </c>
      <c r="S177" s="113" t="inlineStr">
        <is>
          <t>계</t>
        </is>
      </c>
      <c r="T177" s="8" t="inlineStr">
        <is>
          <t>82C</t>
        </is>
      </c>
      <c r="U177" s="13" t="n"/>
      <c r="W177" s="161">
        <f>D177</f>
        <v/>
      </c>
      <c r="X177" s="163">
        <f>E177</f>
        <v/>
      </c>
      <c r="Y177" s="159">
        <f>H177</f>
        <v/>
      </c>
      <c r="Z177" s="166">
        <f>I177</f>
        <v/>
      </c>
      <c r="AA177" s="166">
        <f>K177</f>
        <v/>
      </c>
      <c r="AB177" s="166">
        <f>M177</f>
        <v/>
      </c>
      <c r="AC177" s="7">
        <f>N177</f>
        <v/>
      </c>
      <c r="AD177" s="162">
        <f>O177</f>
        <v/>
      </c>
      <c r="AE177" s="113">
        <f>S177</f>
        <v/>
      </c>
      <c r="AF177" s="113">
        <f>Q177&amp;"/"&amp;R177</f>
        <v/>
      </c>
      <c r="AH177" s="36">
        <f>IF(A177="","",A177)</f>
        <v/>
      </c>
      <c r="AI177" s="163">
        <f>IF(E177="","",E177)</f>
        <v/>
      </c>
      <c r="AJ177" s="113">
        <f>IF(AI177="","",$AJ$2)</f>
        <v/>
      </c>
      <c r="AK177" s="113" t="inlineStr">
        <is>
          <t>A</t>
        </is>
      </c>
      <c r="AL177" s="113" t="inlineStr">
        <is>
          <t>A+</t>
        </is>
      </c>
      <c r="AM177" s="113" t="inlineStr">
        <is>
          <t>B+</t>
        </is>
      </c>
      <c r="AN177" s="113">
        <f>IF(AI177="","",$AN$2)</f>
        <v/>
      </c>
      <c r="AO177" s="113">
        <f>IF(N177="","",IF(N177&gt;=$AO$1/100,"O","X"))</f>
        <v/>
      </c>
      <c r="AP177" s="113">
        <f>IF(I177="","",IF(I177&lt;=$AP$1,"O","X"))</f>
        <v/>
      </c>
      <c r="AQ177" s="113">
        <f>IF(O177="","",IF(O177&lt;=$AQ$1,"O","X"))</f>
        <v/>
      </c>
      <c r="AR177" s="113">
        <f>IF(M177="","",IF(M177&lt;=$AR$1,"O","X"))</f>
        <v/>
      </c>
      <c r="AS177" s="113" t="inlineStr">
        <is>
          <t>X</t>
        </is>
      </c>
      <c r="AT177" s="113">
        <f>IF(OR(F177="",AI177=""),"",IF(AND((F177&lt;=85),(AI177&gt;=15)),"O","X"))</f>
        <v/>
      </c>
      <c r="AU177" s="113">
        <f>IF(C177="","",IF(C177&gt;=$AU$1,"O","X"))</f>
        <v/>
      </c>
      <c r="AV177" s="113">
        <f>IF(AO177="","",IF(AND(AO177="O",AP177="O",AR177="O",AT177="O",AU177="O"),"후보","X"))</f>
        <v/>
      </c>
    </row>
    <row r="178">
      <c r="A178" s="13" t="inlineStr">
        <is>
          <t>아산탕정2-A6블록신혼희망타운</t>
        </is>
      </c>
      <c r="B178" s="16" t="inlineStr">
        <is>
          <t>'23.12.</t>
        </is>
      </c>
      <c r="C178" s="164" t="n">
        <v>510</v>
      </c>
      <c r="D178" s="161" t="n">
        <v>83</v>
      </c>
      <c r="E178" s="163" t="n">
        <v>25</v>
      </c>
      <c r="F178" s="161" t="n">
        <v>59.9</v>
      </c>
      <c r="G178" s="27" t="n">
        <v>18</v>
      </c>
      <c r="H178" s="164" t="n">
        <v>151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3</v>
      </c>
      <c r="R178" s="113" t="n">
        <v>2</v>
      </c>
      <c r="S178" s="113" t="inlineStr">
        <is>
          <t>계</t>
        </is>
      </c>
      <c r="T178" s="8" t="inlineStr">
        <is>
          <t>83A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배방역효성해링턴플레이스</t>
        </is>
      </c>
      <c r="B180" s="16" t="inlineStr">
        <is>
          <t>'18.08.</t>
        </is>
      </c>
      <c r="C180" s="164" t="n">
        <v>557</v>
      </c>
      <c r="D180" s="161" t="n">
        <v>81.8</v>
      </c>
      <c r="E180" s="163" t="n">
        <v>25</v>
      </c>
      <c r="F180" s="161" t="n">
        <v>60</v>
      </c>
      <c r="G180" s="27" t="n">
        <v>18</v>
      </c>
      <c r="H180" s="164" t="n">
        <v>175</v>
      </c>
      <c r="I180" s="165" t="n">
        <v>30000</v>
      </c>
      <c r="J180" s="165" t="inlineStr">
        <is>
          <t>5</t>
        </is>
      </c>
      <c r="K180" s="165" t="n">
        <v>26000</v>
      </c>
      <c r="L180" s="165" t="inlineStr">
        <is>
          <t>중</t>
        </is>
      </c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inlineStr">
        <is>
          <t>81A</t>
        </is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배방역효성해링턴플레이스</t>
        </is>
      </c>
      <c r="B181" s="16" t="inlineStr">
        <is>
          <t>'18.08.</t>
        </is>
      </c>
      <c r="C181" s="164" t="n">
        <v>557</v>
      </c>
      <c r="D181" s="161" t="n">
        <v>82.40000000000001</v>
      </c>
      <c r="E181" s="163" t="n">
        <v>25</v>
      </c>
      <c r="F181" s="161" t="n">
        <v>60</v>
      </c>
      <c r="G181" s="27" t="n">
        <v>18</v>
      </c>
      <c r="H181" s="164" t="n">
        <v>60</v>
      </c>
      <c r="I181" s="165" t="n">
        <v>31000</v>
      </c>
      <c r="J181" s="165" t="inlineStr">
        <is>
          <t>고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2</v>
      </c>
      <c r="S181" s="113" t="inlineStr">
        <is>
          <t>계</t>
        </is>
      </c>
      <c r="T181" s="8" t="inlineStr">
        <is>
          <t>82B</t>
        </is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배방역효성해링턴플레이스</t>
        </is>
      </c>
      <c r="B182" s="16" t="inlineStr">
        <is>
          <t>'18.08.</t>
        </is>
      </c>
      <c r="C182" s="164" t="n">
        <v>557</v>
      </c>
      <c r="D182" s="161" t="n">
        <v>102.6</v>
      </c>
      <c r="E182" s="163" t="n">
        <v>31</v>
      </c>
      <c r="F182" s="161" t="n">
        <v>75</v>
      </c>
      <c r="G182" s="27" t="n">
        <v>23</v>
      </c>
      <c r="H182" s="164" t="n">
        <v>117</v>
      </c>
      <c r="I182" s="165" t="n">
        <v>39000</v>
      </c>
      <c r="J182" s="165" t="inlineStr">
        <is>
          <t>6</t>
        </is>
      </c>
      <c r="K182" s="165" t="n">
        <v>33000</v>
      </c>
      <c r="L182" s="165" t="inlineStr">
        <is>
          <t>16</t>
        </is>
      </c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102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배방역효성해링턴플레이스</t>
        </is>
      </c>
      <c r="B183" s="16" t="inlineStr">
        <is>
          <t>'18.08.</t>
        </is>
      </c>
      <c r="C183" s="164" t="n">
        <v>557</v>
      </c>
      <c r="D183" s="161" t="n">
        <v>112.7</v>
      </c>
      <c r="E183" s="163" t="n">
        <v>34</v>
      </c>
      <c r="F183" s="161" t="n">
        <v>84.90000000000001</v>
      </c>
      <c r="G183" s="27" t="n">
        <v>26</v>
      </c>
      <c r="H183" s="164" t="n">
        <v>143</v>
      </c>
      <c r="I183" s="165" t="n">
        <v>45000</v>
      </c>
      <c r="J183" s="165" t="inlineStr">
        <is>
          <t>17</t>
        </is>
      </c>
      <c r="K183" s="165" t="n">
        <v>37000</v>
      </c>
      <c r="L183" s="165" t="inlineStr">
        <is>
          <t>중</t>
        </is>
      </c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4</v>
      </c>
      <c r="R183" s="113" t="n">
        <v>2</v>
      </c>
      <c r="S183" s="113" t="inlineStr">
        <is>
          <t>계</t>
        </is>
      </c>
      <c r="T183" s="8" t="inlineStr">
        <is>
          <t>112A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배방역효성해링턴플레이스</t>
        </is>
      </c>
      <c r="B184" s="16" t="inlineStr">
        <is>
          <t>'18.08.</t>
        </is>
      </c>
      <c r="C184" s="164" t="n">
        <v>557</v>
      </c>
      <c r="D184" s="161" t="n">
        <v>113.4</v>
      </c>
      <c r="E184" s="163" t="n">
        <v>34</v>
      </c>
      <c r="F184" s="161" t="n">
        <v>84.90000000000001</v>
      </c>
      <c r="G184" s="27" t="n">
        <v>26</v>
      </c>
      <c r="H184" s="164" t="n">
        <v>57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inlineStr">
        <is>
          <t>113B</t>
        </is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배방역효성해링턴플레이스</t>
        </is>
      </c>
      <c r="B185" s="16" t="inlineStr">
        <is>
          <t>'18.08.</t>
        </is>
      </c>
      <c r="C185" s="164" t="n">
        <v>557</v>
      </c>
      <c r="D185" s="161" t="n">
        <v>186</v>
      </c>
      <c r="E185" s="163" t="n">
        <v>56</v>
      </c>
      <c r="F185" s="161" t="n">
        <v>137</v>
      </c>
      <c r="G185" s="27" t="n">
        <v>41</v>
      </c>
      <c r="H185" s="164" t="n">
        <v>5</v>
      </c>
      <c r="I185" s="165" t="n">
        <v>80000</v>
      </c>
      <c r="J185" s="165" t="inlineStr">
        <is>
          <t>19</t>
        </is>
      </c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6</v>
      </c>
      <c r="R185" s="113" t="n">
        <v>3</v>
      </c>
      <c r="S185" s="113" t="inlineStr">
        <is>
          <t>계</t>
        </is>
      </c>
      <c r="T185" s="8" t="n">
        <v>186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  <row r="186">
      <c r="A186" s="13" t="n"/>
      <c r="B186" s="113" t="n"/>
      <c r="C186" s="10" t="n"/>
      <c r="D186" s="13" t="n"/>
      <c r="E186" s="20" t="n"/>
      <c r="F186" s="161" t="n"/>
      <c r="G186" s="13" t="n"/>
      <c r="H186" s="13" t="n"/>
      <c r="I186" s="13" t="n"/>
      <c r="J186" s="13" t="n"/>
      <c r="K186" s="13" t="n"/>
      <c r="L186" s="13" t="n"/>
      <c r="M186" s="13" t="n"/>
      <c r="N186" s="13" t="n"/>
      <c r="O186" s="162" t="n"/>
      <c r="P186" s="162" t="n"/>
      <c r="Q186" s="163" t="n"/>
      <c r="R186" s="163" t="n"/>
      <c r="S186" s="13" t="n"/>
      <c r="T186" s="70" t="n"/>
      <c r="U186" s="13" t="n"/>
      <c r="W186" s="107">
        <f>$A$4&amp;" "&amp;A187&amp;"("&amp;B187&amp;","&amp;C187&amp;"^)"</f>
        <v/>
      </c>
      <c r="X186" s="108" t="n"/>
      <c r="Y186" s="108" t="n"/>
      <c r="Z186" s="108" t="n"/>
      <c r="AA186" s="108" t="n"/>
      <c r="AB186" s="108" t="n"/>
      <c r="AC186" s="108" t="n"/>
      <c r="AD186" s="108" t="n"/>
      <c r="AE186" s="108" t="n"/>
      <c r="AF186" s="109" t="n"/>
      <c r="AH186" s="36">
        <f>IF(A186="","",A186)</f>
        <v/>
      </c>
      <c r="AI186" s="160">
        <f>IF(E186="","",E186)</f>
        <v/>
      </c>
      <c r="AJ186" s="113" t="n"/>
      <c r="AK186" s="113" t="n"/>
      <c r="AL186" s="113" t="n"/>
      <c r="AM186" s="113" t="n"/>
      <c r="AN186" s="113" t="n"/>
      <c r="AO186" s="113" t="n"/>
      <c r="AP186" s="113" t="n"/>
      <c r="AQ186" s="113" t="n"/>
      <c r="AR186" s="113" t="n"/>
      <c r="AS186" s="113" t="n"/>
      <c r="AT186" s="113" t="n"/>
      <c r="AU186" s="113" t="n"/>
      <c r="AV186" s="113" t="n"/>
    </row>
    <row r="187">
      <c r="A187" s="13" t="inlineStr">
        <is>
          <t>천안아산역리슈빌</t>
        </is>
      </c>
      <c r="B187" s="16" t="inlineStr">
        <is>
          <t>'10.09.</t>
        </is>
      </c>
      <c r="C187" s="164" t="n">
        <v>824</v>
      </c>
      <c r="D187" s="161" t="n">
        <v>98.2</v>
      </c>
      <c r="E187" s="163" t="n">
        <v>30</v>
      </c>
      <c r="F187" s="161" t="n">
        <v>74.3</v>
      </c>
      <c r="G187" s="27" t="n">
        <v>22</v>
      </c>
      <c r="H187" s="164" t="n">
        <v>178</v>
      </c>
      <c r="I187" s="165" t="n">
        <v>36000</v>
      </c>
      <c r="J187" s="165" t="inlineStr">
        <is>
          <t>9</t>
        </is>
      </c>
      <c r="K187" s="165" t="n">
        <v>26000</v>
      </c>
      <c r="L187" s="165" t="inlineStr">
        <is>
          <t>고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복</t>
        </is>
      </c>
      <c r="T187" s="8" t="inlineStr">
        <is>
          <t>98A</t>
        </is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inlineStr">
        <is>
          <t>천안아산역리슈빌</t>
        </is>
      </c>
      <c r="B188" s="16" t="inlineStr">
        <is>
          <t>'10.09.</t>
        </is>
      </c>
      <c r="C188" s="164" t="n">
        <v>824</v>
      </c>
      <c r="D188" s="161" t="n">
        <v>98.5</v>
      </c>
      <c r="E188" s="163" t="n">
        <v>30</v>
      </c>
      <c r="F188" s="161" t="n">
        <v>74.59999999999999</v>
      </c>
      <c r="G188" s="27" t="n">
        <v>23</v>
      </c>
      <c r="H188" s="164" t="n">
        <v>33</v>
      </c>
      <c r="I188" s="165" t="n">
        <v>37500</v>
      </c>
      <c r="J188" s="165" t="inlineStr">
        <is>
          <t>8</t>
        </is>
      </c>
      <c r="K188" s="165" t="n">
        <v>27000</v>
      </c>
      <c r="L188" s="165" t="inlineStr">
        <is>
          <t>8</t>
        </is>
      </c>
      <c r="M188" s="166">
        <f>I188-K188</f>
        <v/>
      </c>
      <c r="N188" s="7">
        <f>IF(ISERROR(K188/I188),"",K188/I188)</f>
        <v/>
      </c>
      <c r="O188" s="162">
        <f>I188/E188</f>
        <v/>
      </c>
      <c r="P188" s="162">
        <f>K188/E188</f>
        <v/>
      </c>
      <c r="Q188" s="113" t="n">
        <v>3</v>
      </c>
      <c r="R188" s="113" t="n">
        <v>2</v>
      </c>
      <c r="S188" s="113" t="inlineStr">
        <is>
          <t>복</t>
        </is>
      </c>
      <c r="T188" s="8" t="inlineStr">
        <is>
          <t>98B</t>
        </is>
      </c>
      <c r="U188" s="13" t="n"/>
      <c r="W188" s="161">
        <f>D188</f>
        <v/>
      </c>
      <c r="X188" s="163">
        <f>E188</f>
        <v/>
      </c>
      <c r="Y188" s="159">
        <f>H188</f>
        <v/>
      </c>
      <c r="Z188" s="166">
        <f>I188</f>
        <v/>
      </c>
      <c r="AA188" s="166">
        <f>K188</f>
        <v/>
      </c>
      <c r="AB188" s="166">
        <f>M188</f>
        <v/>
      </c>
      <c r="AC188" s="7">
        <f>N188</f>
        <v/>
      </c>
      <c r="AD188" s="162">
        <f>O188</f>
        <v/>
      </c>
      <c r="AE188" s="113">
        <f>S188</f>
        <v/>
      </c>
      <c r="AF188" s="113">
        <f>Q188&amp;"/"&amp;R188</f>
        <v/>
      </c>
      <c r="AH188" s="36">
        <f>IF(A188="","",A188)</f>
        <v/>
      </c>
      <c r="AI188" s="163">
        <f>IF(E188="","",E188)</f>
        <v/>
      </c>
      <c r="AJ188" s="113">
        <f>IF(AI188="","",$AJ$2)</f>
        <v/>
      </c>
      <c r="AK188" s="113" t="inlineStr">
        <is>
          <t>A</t>
        </is>
      </c>
      <c r="AL188" s="113" t="inlineStr">
        <is>
          <t>A+</t>
        </is>
      </c>
      <c r="AM188" s="113" t="inlineStr">
        <is>
          <t>B+</t>
        </is>
      </c>
      <c r="AN188" s="113">
        <f>IF(AI188="","",$AN$2)</f>
        <v/>
      </c>
      <c r="AO188" s="113">
        <f>IF(N188="","",IF(N188&gt;=$AO$1/100,"O","X"))</f>
        <v/>
      </c>
      <c r="AP188" s="113">
        <f>IF(I188="","",IF(I188&lt;=$AP$1,"O","X"))</f>
        <v/>
      </c>
      <c r="AQ188" s="113">
        <f>IF(O188="","",IF(O188&lt;=$AQ$1,"O","X"))</f>
        <v/>
      </c>
      <c r="AR188" s="113">
        <f>IF(M188="","",IF(M188&lt;=$AR$1,"O","X"))</f>
        <v/>
      </c>
      <c r="AS188" s="113" t="inlineStr">
        <is>
          <t>X</t>
        </is>
      </c>
      <c r="AT188" s="113">
        <f>IF(OR(F188="",AI188=""),"",IF(AND((F188&lt;=85),(AI188&gt;=15)),"O","X"))</f>
        <v/>
      </c>
      <c r="AU188" s="113">
        <f>IF(C188="","",IF(C188&gt;=$AU$1,"O","X"))</f>
        <v/>
      </c>
      <c r="AV188" s="113">
        <f>IF(AO188="","",IF(AND(AO188="O",AP188="O",AR188="O",AT188="O",AU188="O"),"후보","X"))</f>
        <v/>
      </c>
    </row>
    <row r="189">
      <c r="A189" s="13" t="inlineStr">
        <is>
          <t>천안아산역리슈빌</t>
        </is>
      </c>
      <c r="B189" s="16" t="inlineStr">
        <is>
          <t>'10.09.</t>
        </is>
      </c>
      <c r="C189" s="164" t="n">
        <v>824</v>
      </c>
      <c r="D189" s="161" t="n">
        <v>98.8</v>
      </c>
      <c r="E189" s="163" t="n">
        <v>30</v>
      </c>
      <c r="F189" s="161" t="n">
        <v>74.8</v>
      </c>
      <c r="G189" s="27" t="n">
        <v>23</v>
      </c>
      <c r="H189" s="164" t="n">
        <v>20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3</v>
      </c>
      <c r="R189" s="113" t="n">
        <v>2</v>
      </c>
      <c r="S189" s="113" t="inlineStr">
        <is>
          <t>복</t>
        </is>
      </c>
      <c r="T189" s="8" t="inlineStr">
        <is>
          <t>98C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천안아산역리슈빌</t>
        </is>
      </c>
      <c r="B190" s="16" t="inlineStr">
        <is>
          <t>'10.09.</t>
        </is>
      </c>
      <c r="C190" s="164" t="n">
        <v>824</v>
      </c>
      <c r="D190" s="161" t="n">
        <v>111.1</v>
      </c>
      <c r="E190" s="163" t="n">
        <v>34</v>
      </c>
      <c r="F190" s="161" t="n">
        <v>84.09999999999999</v>
      </c>
      <c r="G190" s="27" t="n">
        <v>25</v>
      </c>
      <c r="H190" s="164" t="n">
        <v>261</v>
      </c>
      <c r="I190" s="165" t="n">
        <v>42000</v>
      </c>
      <c r="J190" s="165" t="inlineStr">
        <is>
          <t>16</t>
        </is>
      </c>
      <c r="K190" s="165" t="n">
        <v>28000</v>
      </c>
      <c r="L190" s="165" t="inlineStr">
        <is>
          <t>15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3</v>
      </c>
      <c r="R190" s="113" t="n">
        <v>2</v>
      </c>
      <c r="S190" s="113" t="inlineStr">
        <is>
          <t>복</t>
        </is>
      </c>
      <c r="T190" s="8" t="inlineStr">
        <is>
          <t>111A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천안아산역리슈빌</t>
        </is>
      </c>
      <c r="B191" s="16" t="inlineStr">
        <is>
          <t>'10.09.</t>
        </is>
      </c>
      <c r="C191" s="164" t="n">
        <v>824</v>
      </c>
      <c r="D191" s="161" t="n">
        <v>111.2</v>
      </c>
      <c r="E191" s="163" t="n">
        <v>34</v>
      </c>
      <c r="F191" s="161" t="n">
        <v>84.2</v>
      </c>
      <c r="G191" s="27" t="n">
        <v>25</v>
      </c>
      <c r="H191" s="164" t="n">
        <v>232</v>
      </c>
      <c r="I191" s="165" t="n">
        <v>42000</v>
      </c>
      <c r="J191" s="165" t="inlineStr">
        <is>
          <t>고</t>
        </is>
      </c>
      <c r="K191" s="165" t="n">
        <v>28000</v>
      </c>
      <c r="L191" s="165" t="inlineStr">
        <is>
          <t>13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3</v>
      </c>
      <c r="R191" s="113" t="n">
        <v>2</v>
      </c>
      <c r="S191" s="113" t="inlineStr">
        <is>
          <t>복</t>
        </is>
      </c>
      <c r="T191" s="8" t="inlineStr">
        <is>
          <t>111C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천안아산역리슈빌</t>
        </is>
      </c>
      <c r="B192" s="16" t="inlineStr">
        <is>
          <t>'10.09.</t>
        </is>
      </c>
      <c r="C192" s="164" t="n">
        <v>824</v>
      </c>
      <c r="D192" s="161" t="n">
        <v>111.4</v>
      </c>
      <c r="E192" s="163" t="n">
        <v>34</v>
      </c>
      <c r="F192" s="161" t="n">
        <v>84.3</v>
      </c>
      <c r="G192" s="27" t="n">
        <v>25</v>
      </c>
      <c r="H192" s="164" t="n">
        <v>82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3</v>
      </c>
      <c r="R192" s="113" t="n">
        <v>2</v>
      </c>
      <c r="S192" s="113" t="inlineStr">
        <is>
          <t>복</t>
        </is>
      </c>
      <c r="T192" s="8" t="inlineStr">
        <is>
          <t>111B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천안아산역리슈빌</t>
        </is>
      </c>
      <c r="B193" s="16" t="inlineStr">
        <is>
          <t>'10.09.</t>
        </is>
      </c>
      <c r="C193" s="164" t="n">
        <v>824</v>
      </c>
      <c r="D193" s="161" t="n">
        <v>111.3</v>
      </c>
      <c r="E193" s="163" t="n">
        <v>34</v>
      </c>
      <c r="F193" s="161" t="n">
        <v>84.2</v>
      </c>
      <c r="G193" s="27" t="n">
        <v>25</v>
      </c>
      <c r="H193" s="164" t="n">
        <v>18</v>
      </c>
      <c r="I193" s="165" t="n"/>
      <c r="J193" s="165" t="n"/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3</v>
      </c>
      <c r="R193" s="113" t="n">
        <v>2</v>
      </c>
      <c r="S193" s="113" t="inlineStr">
        <is>
          <t>복</t>
        </is>
      </c>
      <c r="T193" s="8" t="inlineStr">
        <is>
          <t>111D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17">
      <formula>AV4="X"</formula>
    </cfRule>
    <cfRule type="expression" priority="3098" dxfId="16">
      <formula>AV4="후보"</formula>
    </cfRule>
  </conditionalFormatting>
  <conditionalFormatting sqref="AC1:AC2 AC4:AC6 N4:N5">
    <cfRule type="cellIs" priority="3094" operator="greaterThan" dxfId="13">
      <formula>0.9</formula>
    </cfRule>
    <cfRule type="cellIs" priority="3095" operator="greaterThan" dxfId="12">
      <formula>0.85</formula>
    </cfRule>
  </conditionalFormatting>
  <conditionalFormatting sqref="N1:N2">
    <cfRule type="cellIs" priority="3092" operator="greaterThan" dxfId="13">
      <formula>0.9</formula>
    </cfRule>
    <cfRule type="cellIs" priority="3093" operator="greaterThan" dxfId="12">
      <formula>0.85</formula>
    </cfRule>
  </conditionalFormatting>
  <conditionalFormatting sqref="N6">
    <cfRule type="cellIs" priority="3090" operator="greaterThan" dxfId="13">
      <formula>0.9</formula>
    </cfRule>
    <cfRule type="cellIs" priority="3091" operator="greaterThan" dxfId="12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17">
      <formula>AV7="X"</formula>
    </cfRule>
    <cfRule type="expression" priority="3077" dxfId="16">
      <formula>AV7="후보"</formula>
    </cfRule>
  </conditionalFormatting>
  <conditionalFormatting sqref="AC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7">
    <cfRule type="cellIs" priority="3071" operator="greaterThan" dxfId="13">
      <formula>0.9</formula>
    </cfRule>
    <cfRule type="cellIs" priority="3072" operator="greaterThan" dxfId="12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17">
      <formula>AV8="X"</formula>
    </cfRule>
    <cfRule type="expression" priority="3058" dxfId="16">
      <formula>AV8="후보"</formula>
    </cfRule>
  </conditionalFormatting>
  <conditionalFormatting sqref="AC8">
    <cfRule type="cellIs" priority="3054" operator="greaterThan" dxfId="13">
      <formula>0.9</formula>
    </cfRule>
    <cfRule type="cellIs" priority="3055" operator="greaterThan" dxfId="12">
      <formula>0.85</formula>
    </cfRule>
  </conditionalFormatting>
  <conditionalFormatting sqref="N8">
    <cfRule type="cellIs" priority="3052" operator="greaterThan" dxfId="13">
      <formula>0.9</formula>
    </cfRule>
    <cfRule type="cellIs" priority="3053" operator="greaterThan" dxfId="12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17">
      <formula>AV9="X"</formula>
    </cfRule>
    <cfRule type="expression" priority="3039" dxfId="16">
      <formula>AV9="후보"</formula>
    </cfRule>
  </conditionalFormatting>
  <conditionalFormatting sqref="AC9">
    <cfRule type="cellIs" priority="3035" operator="greaterThan" dxfId="13">
      <formula>0.9</formula>
    </cfRule>
    <cfRule type="cellIs" priority="3036" operator="greaterThan" dxfId="12">
      <formula>0.85</formula>
    </cfRule>
  </conditionalFormatting>
  <conditionalFormatting sqref="N9">
    <cfRule type="cellIs" priority="3033" operator="greaterThan" dxfId="13">
      <formula>0.9</formula>
    </cfRule>
    <cfRule type="cellIs" priority="3034" operator="greaterThan" dxfId="12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17">
      <formula>AV10="X"</formula>
    </cfRule>
    <cfRule type="expression" priority="3020" dxfId="16">
      <formula>AV10="후보"</formula>
    </cfRule>
  </conditionalFormatting>
  <conditionalFormatting sqref="AC10 N10">
    <cfRule type="cellIs" priority="3016" operator="greaterThan" dxfId="13">
      <formula>0.9</formula>
    </cfRule>
    <cfRule type="cellIs" priority="3017" operator="greaterThan" dxfId="12">
      <formula>0.85</formula>
    </cfRule>
  </conditionalFormatting>
  <conditionalFormatting sqref="AV11">
    <cfRule type="expression" priority="3014" dxfId="17">
      <formula>AV11="X"</formula>
    </cfRule>
    <cfRule type="expression" priority="3015" dxfId="16">
      <formula>AV11="후보"</formula>
    </cfRule>
  </conditionalFormatting>
  <conditionalFormatting sqref="AC11">
    <cfRule type="cellIs" priority="3011" operator="greaterThan" dxfId="13">
      <formula>0.9</formula>
    </cfRule>
    <cfRule type="cellIs" priority="3012" operator="greaterThan" dxfId="12">
      <formula>0.85</formula>
    </cfRule>
  </conditionalFormatting>
  <conditionalFormatting sqref="N11">
    <cfRule type="cellIs" priority="3009" operator="greaterThan" dxfId="13">
      <formula>0.9</formula>
    </cfRule>
    <cfRule type="cellIs" priority="3010" operator="greaterThan" dxfId="12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17">
      <formula>AV12="X"</formula>
    </cfRule>
    <cfRule type="expression" priority="2996" dxfId="16">
      <formula>AV12="후보"</formula>
    </cfRule>
  </conditionalFormatting>
  <conditionalFormatting sqref="AC12">
    <cfRule type="cellIs" priority="2992" operator="greaterThan" dxfId="13">
      <formula>0.9</formula>
    </cfRule>
    <cfRule type="cellIs" priority="2993" operator="greaterThan" dxfId="12">
      <formula>0.85</formula>
    </cfRule>
  </conditionalFormatting>
  <conditionalFormatting sqref="N12">
    <cfRule type="cellIs" priority="2990" operator="greaterThan" dxfId="13">
      <formula>0.9</formula>
    </cfRule>
    <cfRule type="cellIs" priority="2991" operator="greaterThan" dxfId="12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17">
      <formula>AV13="X"</formula>
    </cfRule>
    <cfRule type="expression" priority="2977" dxfId="16">
      <formula>AV13="후보"</formula>
    </cfRule>
  </conditionalFormatting>
  <conditionalFormatting sqref="AC13">
    <cfRule type="cellIs" priority="2973" operator="greaterThan" dxfId="13">
      <formula>0.9</formula>
    </cfRule>
    <cfRule type="cellIs" priority="2974" operator="greaterThan" dxfId="12">
      <formula>0.85</formula>
    </cfRule>
  </conditionalFormatting>
  <conditionalFormatting sqref="N13">
    <cfRule type="cellIs" priority="2971" operator="greaterThan" dxfId="13">
      <formula>0.9</formula>
    </cfRule>
    <cfRule type="cellIs" priority="2972" operator="greaterThan" dxfId="12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17">
      <formula>AV14="X"</formula>
    </cfRule>
    <cfRule type="expression" priority="2958" dxfId="16">
      <formula>AV14="후보"</formula>
    </cfRule>
  </conditionalFormatting>
  <conditionalFormatting sqref="AC14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14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17">
      <formula>AV15="X"</formula>
    </cfRule>
    <cfRule type="expression" priority="2939" dxfId="16">
      <formula>AV15="후보"</formula>
    </cfRule>
  </conditionalFormatting>
  <conditionalFormatting sqref="AC15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15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17">
      <formula>AV16="X"</formula>
    </cfRule>
    <cfRule type="expression" priority="2920" dxfId="16">
      <formula>AV16="후보"</formula>
    </cfRule>
  </conditionalFormatting>
  <conditionalFormatting sqref="AC16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16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17">
      <formula>AV17="X"</formula>
    </cfRule>
    <cfRule type="expression" priority="2901" dxfId="16">
      <formula>AV17="후보"</formula>
    </cfRule>
  </conditionalFormatting>
  <conditionalFormatting sqref="AC17 N17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8">
    <cfRule type="expression" priority="2895" dxfId="17">
      <formula>AV18="X"</formula>
    </cfRule>
    <cfRule type="expression" priority="2896" dxfId="16">
      <formula>AV18="후보"</formula>
    </cfRule>
  </conditionalFormatting>
  <conditionalFormatting sqref="AC18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8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17">
      <formula>AV19="X"</formula>
    </cfRule>
    <cfRule type="expression" priority="2877" dxfId="16">
      <formula>AV19="후보"</formula>
    </cfRule>
  </conditionalFormatting>
  <conditionalFormatting sqref="AC19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9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17">
      <formula>AV20="X"</formula>
    </cfRule>
    <cfRule type="expression" priority="2858" dxfId="16">
      <formula>AV20="후보"</formula>
    </cfRule>
  </conditionalFormatting>
  <conditionalFormatting sqref="AC20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N20">
    <cfRule type="cellIs" priority="2852" operator="greaterThan" dxfId="13">
      <formula>0.9</formula>
    </cfRule>
    <cfRule type="cellIs" priority="2853" operator="greaterThan" dxfId="12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17">
      <formula>AV21="X"</formula>
    </cfRule>
    <cfRule type="expression" priority="2839" dxfId="16">
      <formula>AV21="후보"</formula>
    </cfRule>
  </conditionalFormatting>
  <conditionalFormatting sqref="AC21">
    <cfRule type="cellIs" priority="2835" operator="greaterThan" dxfId="13">
      <formula>0.9</formula>
    </cfRule>
    <cfRule type="cellIs" priority="2836" operator="greaterThan" dxfId="12">
      <formula>0.85</formula>
    </cfRule>
  </conditionalFormatting>
  <conditionalFormatting sqref="N21">
    <cfRule type="cellIs" priority="2833" operator="greaterThan" dxfId="13">
      <formula>0.9</formula>
    </cfRule>
    <cfRule type="cellIs" priority="2834" operator="greaterThan" dxfId="12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17">
      <formula>AV22="X"</formula>
    </cfRule>
    <cfRule type="expression" priority="2820" dxfId="16">
      <formula>AV22="후보"</formula>
    </cfRule>
  </conditionalFormatting>
  <conditionalFormatting sqref="AC22">
    <cfRule type="cellIs" priority="2816" operator="greaterThan" dxfId="13">
      <formula>0.9</formula>
    </cfRule>
    <cfRule type="cellIs" priority="2817" operator="greaterThan" dxfId="12">
      <formula>0.85</formula>
    </cfRule>
  </conditionalFormatting>
  <conditionalFormatting sqref="N22">
    <cfRule type="cellIs" priority="2814" operator="greaterThan" dxfId="13">
      <formula>0.9</formula>
    </cfRule>
    <cfRule type="cellIs" priority="2815" operator="greaterThan" dxfId="12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17">
      <formula>AV23="X"</formula>
    </cfRule>
    <cfRule type="expression" priority="2801" dxfId="16">
      <formula>AV23="후보"</formula>
    </cfRule>
  </conditionalFormatting>
  <conditionalFormatting sqref="AC23 N23">
    <cfRule type="cellIs" priority="2797" operator="greaterThan" dxfId="13">
      <formula>0.9</formula>
    </cfRule>
    <cfRule type="cellIs" priority="2798" operator="greaterThan" dxfId="12">
      <formula>0.85</formula>
    </cfRule>
  </conditionalFormatting>
  <conditionalFormatting sqref="AV24">
    <cfRule type="expression" priority="2795" dxfId="17">
      <formula>AV24="X"</formula>
    </cfRule>
    <cfRule type="expression" priority="2796" dxfId="16">
      <formula>AV24="후보"</formula>
    </cfRule>
  </conditionalFormatting>
  <conditionalFormatting sqref="AC24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24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17">
      <formula>AV25="X"</formula>
    </cfRule>
    <cfRule type="expression" priority="2777" dxfId="16">
      <formula>AV25="후보"</formula>
    </cfRule>
  </conditionalFormatting>
  <conditionalFormatting sqref="AC25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25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17">
      <formula>AV26="X"</formula>
    </cfRule>
    <cfRule type="expression" priority="2758" dxfId="16">
      <formula>AV26="후보"</formula>
    </cfRule>
  </conditionalFormatting>
  <conditionalFormatting sqref="AC26 N26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AV27">
    <cfRule type="expression" priority="2752" dxfId="17">
      <formula>AV27="X"</formula>
    </cfRule>
    <cfRule type="expression" priority="2753" dxfId="16">
      <formula>AV27="후보"</formula>
    </cfRule>
  </conditionalFormatting>
  <conditionalFormatting sqref="AC2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">
    <cfRule type="cellIs" priority="2747" operator="greaterThan" dxfId="13">
      <formula>0.9</formula>
    </cfRule>
    <cfRule type="cellIs" priority="2748" operator="greaterThan" dxfId="12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17">
      <formula>AV28="X"</formula>
    </cfRule>
    <cfRule type="expression" priority="2734" dxfId="16">
      <formula>AV28="후보"</formula>
    </cfRule>
  </conditionalFormatting>
  <conditionalFormatting sqref="AC28">
    <cfRule type="cellIs" priority="2730" operator="greaterThan" dxfId="13">
      <formula>0.9</formula>
    </cfRule>
    <cfRule type="cellIs" priority="2731" operator="greaterThan" dxfId="12">
      <formula>0.85</formula>
    </cfRule>
  </conditionalFormatting>
  <conditionalFormatting sqref="N28">
    <cfRule type="cellIs" priority="2728" operator="greaterThan" dxfId="13">
      <formula>0.9</formula>
    </cfRule>
    <cfRule type="cellIs" priority="2729" operator="greaterThan" dxfId="12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17">
      <formula>AV29="X"</formula>
    </cfRule>
    <cfRule type="expression" priority="2715" dxfId="16">
      <formula>AV29="후보"</formula>
    </cfRule>
  </conditionalFormatting>
  <conditionalFormatting sqref="AC29 N29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AV30">
    <cfRule type="expression" priority="2709" dxfId="17">
      <formula>AV30="X"</formula>
    </cfRule>
    <cfRule type="expression" priority="2710" dxfId="16">
      <formula>AV30="후보"</formula>
    </cfRule>
  </conditionalFormatting>
  <conditionalFormatting sqref="AC30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30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17">
      <formula>AV31="X"</formula>
    </cfRule>
    <cfRule type="expression" priority="2691" dxfId="16">
      <formula>AV31="후보"</formula>
    </cfRule>
  </conditionalFormatting>
  <conditionalFormatting sqref="AC31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31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17">
      <formula>AV32="X"</formula>
    </cfRule>
    <cfRule type="expression" priority="2672" dxfId="16">
      <formula>AV32="후보"</formula>
    </cfRule>
  </conditionalFormatting>
  <conditionalFormatting sqref="AC32 N32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AV33">
    <cfRule type="expression" priority="2666" dxfId="17">
      <formula>AV33="X"</formula>
    </cfRule>
    <cfRule type="expression" priority="2667" dxfId="16">
      <formula>AV33="후보"</formula>
    </cfRule>
  </conditionalFormatting>
  <conditionalFormatting sqref="AC33">
    <cfRule type="cellIs" priority="2663" operator="greaterThan" dxfId="13">
      <formula>0.9</formula>
    </cfRule>
    <cfRule type="cellIs" priority="2664" operator="greaterThan" dxfId="12">
      <formula>0.85</formula>
    </cfRule>
  </conditionalFormatting>
  <conditionalFormatting sqref="N3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17">
      <formula>AV34="X"</formula>
    </cfRule>
    <cfRule type="expression" priority="2648" dxfId="16">
      <formula>AV34="후보"</formula>
    </cfRule>
  </conditionalFormatting>
  <conditionalFormatting sqref="AC34">
    <cfRule type="cellIs" priority="2644" operator="greaterThan" dxfId="13">
      <formula>0.9</formula>
    </cfRule>
    <cfRule type="cellIs" priority="2645" operator="greaterThan" dxfId="12">
      <formula>0.85</formula>
    </cfRule>
  </conditionalFormatting>
  <conditionalFormatting sqref="N34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17">
      <formula>AV35="X"</formula>
    </cfRule>
    <cfRule type="expression" priority="2629" dxfId="16">
      <formula>AV35="후보"</formula>
    </cfRule>
  </conditionalFormatting>
  <conditionalFormatting sqref="AC3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17">
      <formula>AV36="X"</formula>
    </cfRule>
    <cfRule type="expression" priority="2610" dxfId="16">
      <formula>AV36="후보"</formula>
    </cfRule>
  </conditionalFormatting>
  <conditionalFormatting sqref="AC36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36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17">
      <formula>AV37="X"</formula>
    </cfRule>
    <cfRule type="expression" priority="2591" dxfId="16">
      <formula>AV37="후보"</formula>
    </cfRule>
  </conditionalFormatting>
  <conditionalFormatting sqref="AC37 N3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38">
    <cfRule type="expression" priority="2585" dxfId="17">
      <formula>AV38="X"</formula>
    </cfRule>
    <cfRule type="expression" priority="2586" dxfId="16">
      <formula>AV38="후보"</formula>
    </cfRule>
  </conditionalFormatting>
  <conditionalFormatting sqref="AC38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38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17">
      <formula>AV39="X"</formula>
    </cfRule>
    <cfRule type="expression" priority="2567" dxfId="16">
      <formula>AV39="후보"</formula>
    </cfRule>
  </conditionalFormatting>
  <conditionalFormatting sqref="AC39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39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17">
      <formula>AV40="X"</formula>
    </cfRule>
    <cfRule type="expression" priority="2548" dxfId="16">
      <formula>AV40="후보"</formula>
    </cfRule>
  </conditionalFormatting>
  <conditionalFormatting sqref="AC40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40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17">
      <formula>AV41="X"</formula>
    </cfRule>
    <cfRule type="expression" priority="2529" dxfId="16">
      <formula>AV41="후보"</formula>
    </cfRule>
  </conditionalFormatting>
  <conditionalFormatting sqref="AC41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41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17">
      <formula>AV42="X"</formula>
    </cfRule>
    <cfRule type="expression" priority="2510" dxfId="16">
      <formula>AV42="후보"</formula>
    </cfRule>
  </conditionalFormatting>
  <conditionalFormatting sqref="AC42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42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17">
      <formula>AV43="X"</formula>
    </cfRule>
    <cfRule type="expression" priority="2491" dxfId="16">
      <formula>AV43="후보"</formula>
    </cfRule>
  </conditionalFormatting>
  <conditionalFormatting sqref="AC43 N43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44">
    <cfRule type="expression" priority="2485" dxfId="17">
      <formula>AV44="X"</formula>
    </cfRule>
    <cfRule type="expression" priority="2486" dxfId="16">
      <formula>AV44="후보"</formula>
    </cfRule>
  </conditionalFormatting>
  <conditionalFormatting sqref="AC44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44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17">
      <formula>AV45="X"</formula>
    </cfRule>
    <cfRule type="expression" priority="2467" dxfId="16">
      <formula>AV45="후보"</formula>
    </cfRule>
  </conditionalFormatting>
  <conditionalFormatting sqref="AC4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17">
      <formula>AV46="X"</formula>
    </cfRule>
    <cfRule type="expression" priority="2448" dxfId="16">
      <formula>AV46="후보"</formula>
    </cfRule>
  </conditionalFormatting>
  <conditionalFormatting sqref="AC46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46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17">
      <formula>AV47="X"</formula>
    </cfRule>
    <cfRule type="expression" priority="2429" dxfId="16">
      <formula>AV47="후보"</formula>
    </cfRule>
  </conditionalFormatting>
  <conditionalFormatting sqref="AC4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7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17">
      <formula>AV48="X"</formula>
    </cfRule>
    <cfRule type="expression" priority="2410" dxfId="16">
      <formula>AV48="후보"</formula>
    </cfRule>
  </conditionalFormatting>
  <conditionalFormatting sqref="AC48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8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17">
      <formula>AV49="X"</formula>
    </cfRule>
    <cfRule type="expression" priority="2391" dxfId="16">
      <formula>AV49="후보"</formula>
    </cfRule>
  </conditionalFormatting>
  <conditionalFormatting sqref="AC49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9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17">
      <formula>AV50="X"</formula>
    </cfRule>
    <cfRule type="expression" priority="2372" dxfId="16">
      <formula>AV50="후보"</formula>
    </cfRule>
  </conditionalFormatting>
  <conditionalFormatting sqref="AC50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50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17">
      <formula>AV51="X"</formula>
    </cfRule>
    <cfRule type="expression" priority="2353" dxfId="16">
      <formula>AV51="후보"</formula>
    </cfRule>
  </conditionalFormatting>
  <conditionalFormatting sqref="AC51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51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17">
      <formula>AV52="X"</formula>
    </cfRule>
    <cfRule type="expression" priority="2334" dxfId="16">
      <formula>AV52="후보"</formula>
    </cfRule>
  </conditionalFormatting>
  <conditionalFormatting sqref="AC52 N52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53">
    <cfRule type="expression" priority="2328" dxfId="17">
      <formula>AV53="X"</formula>
    </cfRule>
    <cfRule type="expression" priority="2329" dxfId="16">
      <formula>AV53="후보"</formula>
    </cfRule>
  </conditionalFormatting>
  <conditionalFormatting sqref="AC53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53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17">
      <formula>AV54="X"</formula>
    </cfRule>
    <cfRule type="expression" priority="2310" dxfId="16">
      <formula>AV54="후보"</formula>
    </cfRule>
  </conditionalFormatting>
  <conditionalFormatting sqref="AC54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54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17">
      <formula>AV55="X"</formula>
    </cfRule>
    <cfRule type="expression" priority="2291" dxfId="16">
      <formula>AV55="후보"</formula>
    </cfRule>
  </conditionalFormatting>
  <conditionalFormatting sqref="AC55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55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17">
      <formula>AV56="X"</formula>
    </cfRule>
    <cfRule type="expression" priority="2272" dxfId="16">
      <formula>AV56="후보"</formula>
    </cfRule>
  </conditionalFormatting>
  <conditionalFormatting sqref="AC56 N56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57">
    <cfRule type="expression" priority="2266" dxfId="17">
      <formula>AV57="X"</formula>
    </cfRule>
    <cfRule type="expression" priority="2267" dxfId="16">
      <formula>AV57="후보"</formula>
    </cfRule>
  </conditionalFormatting>
  <conditionalFormatting sqref="AC5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57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17">
      <formula>AV58="X"</formula>
    </cfRule>
    <cfRule type="expression" priority="2248" dxfId="16">
      <formula>AV58="후보"</formula>
    </cfRule>
  </conditionalFormatting>
  <conditionalFormatting sqref="AC58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8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17">
      <formula>AV59="X"</formula>
    </cfRule>
    <cfRule type="expression" priority="2229" dxfId="16">
      <formula>AV59="후보"</formula>
    </cfRule>
  </conditionalFormatting>
  <conditionalFormatting sqref="AC59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9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17">
      <formula>AV60="X"</formula>
    </cfRule>
    <cfRule type="expression" priority="2210" dxfId="16">
      <formula>AV60="후보"</formula>
    </cfRule>
  </conditionalFormatting>
  <conditionalFormatting sqref="AC60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60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17">
      <formula>AV61="X"</formula>
    </cfRule>
    <cfRule type="expression" priority="2191" dxfId="16">
      <formula>AV61="후보"</formula>
    </cfRule>
  </conditionalFormatting>
  <conditionalFormatting sqref="AC61 N61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AV62">
    <cfRule type="expression" priority="2185" dxfId="17">
      <formula>AV62="X"</formula>
    </cfRule>
    <cfRule type="expression" priority="2186" dxfId="16">
      <formula>AV62="후보"</formula>
    </cfRule>
  </conditionalFormatting>
  <conditionalFormatting sqref="AC62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62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17">
      <formula>AV63="X"</formula>
    </cfRule>
    <cfRule type="expression" priority="2167" dxfId="16">
      <formula>AV63="후보"</formula>
    </cfRule>
  </conditionalFormatting>
  <conditionalFormatting sqref="AC63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63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17">
      <formula>AV64="X"</formula>
    </cfRule>
    <cfRule type="expression" priority="2148" dxfId="16">
      <formula>AV64="후보"</formula>
    </cfRule>
  </conditionalFormatting>
  <conditionalFormatting sqref="AC64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64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17">
      <formula>AV65="X"</formula>
    </cfRule>
    <cfRule type="expression" priority="2129" dxfId="16">
      <formula>AV65="후보"</formula>
    </cfRule>
  </conditionalFormatting>
  <conditionalFormatting sqref="AC65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65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17">
      <formula>AV66="X"</formula>
    </cfRule>
    <cfRule type="expression" priority="2110" dxfId="16">
      <formula>AV66="후보"</formula>
    </cfRule>
  </conditionalFormatting>
  <conditionalFormatting sqref="AC66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N66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17">
      <formula>AV67="X"</formula>
    </cfRule>
    <cfRule type="expression" priority="2091" dxfId="16">
      <formula>AV67="후보"</formula>
    </cfRule>
  </conditionalFormatting>
  <conditionalFormatting sqref="AC67 N67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AV68">
    <cfRule type="expression" priority="2085" dxfId="17">
      <formula>AV68="X"</formula>
    </cfRule>
    <cfRule type="expression" priority="2086" dxfId="16">
      <formula>AV68="후보"</formula>
    </cfRule>
  </conditionalFormatting>
  <conditionalFormatting sqref="AC68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8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17">
      <formula>AV69="X"</formula>
    </cfRule>
    <cfRule type="expression" priority="2067" dxfId="16">
      <formula>AV69="후보"</formula>
    </cfRule>
  </conditionalFormatting>
  <conditionalFormatting sqref="AC69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69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17">
      <formula>AV70="X"</formula>
    </cfRule>
    <cfRule type="expression" priority="2048" dxfId="16">
      <formula>AV70="후보"</formula>
    </cfRule>
  </conditionalFormatting>
  <conditionalFormatting sqref="AC70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70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17">
      <formula>AV71="X"</formula>
    </cfRule>
    <cfRule type="expression" priority="2029" dxfId="16">
      <formula>AV71="후보"</formula>
    </cfRule>
  </conditionalFormatting>
  <conditionalFormatting sqref="AC71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N71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17">
      <formula>AV72="X"</formula>
    </cfRule>
    <cfRule type="expression" priority="2010" dxfId="16">
      <formula>AV72="후보"</formula>
    </cfRule>
  </conditionalFormatting>
  <conditionalFormatting sqref="AC72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72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17">
      <formula>AV73="X"</formula>
    </cfRule>
    <cfRule type="expression" priority="1991" dxfId="16">
      <formula>AV73="후보"</formula>
    </cfRule>
  </conditionalFormatting>
  <conditionalFormatting sqref="AC73 N73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AV74">
    <cfRule type="expression" priority="1985" dxfId="17">
      <formula>AV74="X"</formula>
    </cfRule>
    <cfRule type="expression" priority="1986" dxfId="16">
      <formula>AV74="후보"</formula>
    </cfRule>
  </conditionalFormatting>
  <conditionalFormatting sqref="AC74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4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17">
      <formula>AV75="X"</formula>
    </cfRule>
    <cfRule type="expression" priority="1967" dxfId="16">
      <formula>AV75="후보"</formula>
    </cfRule>
  </conditionalFormatting>
  <conditionalFormatting sqref="AC75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5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17">
      <formula>AV76="X"</formula>
    </cfRule>
    <cfRule type="expression" priority="1948" dxfId="16">
      <formula>AV76="후보"</formula>
    </cfRule>
  </conditionalFormatting>
  <conditionalFormatting sqref="AC76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76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17">
      <formula>AV77="X"</formula>
    </cfRule>
    <cfRule type="expression" priority="1929" dxfId="16">
      <formula>AV77="후보"</formula>
    </cfRule>
  </conditionalFormatting>
  <conditionalFormatting sqref="AC77 N77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78">
    <cfRule type="expression" priority="1923" dxfId="17">
      <formula>AV78="X"</formula>
    </cfRule>
    <cfRule type="expression" priority="1924" dxfId="16">
      <formula>AV78="후보"</formula>
    </cfRule>
  </conditionalFormatting>
  <conditionalFormatting sqref="AC78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78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17">
      <formula>AV79="X"</formula>
    </cfRule>
    <cfRule type="expression" priority="1905" dxfId="16">
      <formula>AV79="후보"</formula>
    </cfRule>
  </conditionalFormatting>
  <conditionalFormatting sqref="AC79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79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17">
      <formula>AV80="X"</formula>
    </cfRule>
    <cfRule type="expression" priority="1886" dxfId="16">
      <formula>AV80="후보"</formula>
    </cfRule>
  </conditionalFormatting>
  <conditionalFormatting sqref="AC80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80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17">
      <formula>AV81="X"</formula>
    </cfRule>
    <cfRule type="expression" priority="1867" dxfId="16">
      <formula>AV81="후보"</formula>
    </cfRule>
  </conditionalFormatting>
  <conditionalFormatting sqref="AC81 N81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AV82">
    <cfRule type="expression" priority="1861" dxfId="17">
      <formula>AV82="X"</formula>
    </cfRule>
    <cfRule type="expression" priority="1862" dxfId="16">
      <formula>AV82="후보"</formula>
    </cfRule>
  </conditionalFormatting>
  <conditionalFormatting sqref="AC8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82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17">
      <formula>AV83="X"</formula>
    </cfRule>
    <cfRule type="expression" priority="1843" dxfId="16">
      <formula>AV83="후보"</formula>
    </cfRule>
  </conditionalFormatting>
  <conditionalFormatting sqref="AC83 N83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AV84">
    <cfRule type="expression" priority="1837" dxfId="17">
      <formula>AV84="X"</formula>
    </cfRule>
    <cfRule type="expression" priority="1838" dxfId="16">
      <formula>AV84="후보"</formula>
    </cfRule>
  </conditionalFormatting>
  <conditionalFormatting sqref="AC84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8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17">
      <formula>AV85="X"</formula>
    </cfRule>
    <cfRule type="expression" priority="1819" dxfId="16">
      <formula>AV85="후보"</formula>
    </cfRule>
  </conditionalFormatting>
  <conditionalFormatting sqref="AC85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8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17">
      <formula>AV86="X"</formula>
    </cfRule>
    <cfRule type="expression" priority="1800" dxfId="16">
      <formula>AV86="후보"</formula>
    </cfRule>
  </conditionalFormatting>
  <conditionalFormatting sqref="AC86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8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17">
      <formula>AV87="X"</formula>
    </cfRule>
    <cfRule type="expression" priority="1781" dxfId="16">
      <formula>AV87="후보"</formula>
    </cfRule>
  </conditionalFormatting>
  <conditionalFormatting sqref="AC8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87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17">
      <formula>AV88="X"</formula>
    </cfRule>
    <cfRule type="expression" priority="1762" dxfId="16">
      <formula>AV88="후보"</formula>
    </cfRule>
  </conditionalFormatting>
  <conditionalFormatting sqref="AC88 N88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AV89">
    <cfRule type="expression" priority="1756" dxfId="17">
      <formula>AV89="X"</formula>
    </cfRule>
    <cfRule type="expression" priority="1757" dxfId="16">
      <formula>AV89="후보"</formula>
    </cfRule>
  </conditionalFormatting>
  <conditionalFormatting sqref="AC8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89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17">
      <formula>AV90="X"</formula>
    </cfRule>
    <cfRule type="expression" priority="1738" dxfId="16">
      <formula>AV90="후보"</formula>
    </cfRule>
  </conditionalFormatting>
  <conditionalFormatting sqref="AC9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90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17">
      <formula>AV91="X"</formula>
    </cfRule>
    <cfRule type="expression" priority="1719" dxfId="16">
      <formula>AV91="후보"</formula>
    </cfRule>
  </conditionalFormatting>
  <conditionalFormatting sqref="AC9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91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17">
      <formula>AV92="X"</formula>
    </cfRule>
    <cfRule type="expression" priority="1700" dxfId="16">
      <formula>AV92="후보"</formula>
    </cfRule>
  </conditionalFormatting>
  <conditionalFormatting sqref="AC9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92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17">
      <formula>AV93="X"</formula>
    </cfRule>
    <cfRule type="expression" priority="1681" dxfId="16">
      <formula>AV93="후보"</formula>
    </cfRule>
  </conditionalFormatting>
  <conditionalFormatting sqref="AC9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93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17">
      <formula>AV94="X"</formula>
    </cfRule>
    <cfRule type="expression" priority="1662" dxfId="16">
      <formula>AV94="후보"</formula>
    </cfRule>
  </conditionalFormatting>
  <conditionalFormatting sqref="AC9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94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17">
      <formula>AV95="X"</formula>
    </cfRule>
    <cfRule type="expression" priority="1643" dxfId="16">
      <formula>AV95="후보"</formula>
    </cfRule>
  </conditionalFormatting>
  <conditionalFormatting sqref="AC9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95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17">
      <formula>AV96="X"</formula>
    </cfRule>
    <cfRule type="expression" priority="1624" dxfId="16">
      <formula>AV96="후보"</formula>
    </cfRule>
  </conditionalFormatting>
  <conditionalFormatting sqref="AC9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9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17">
      <formula>AV97="X"</formula>
    </cfRule>
    <cfRule type="expression" priority="1605" dxfId="16">
      <formula>AV97="후보"</formula>
    </cfRule>
  </conditionalFormatting>
  <conditionalFormatting sqref="AC97 N9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98">
    <cfRule type="expression" priority="1599" dxfId="17">
      <formula>AV98="X"</formula>
    </cfRule>
    <cfRule type="expression" priority="1600" dxfId="16">
      <formula>AV98="후보"</formula>
    </cfRule>
  </conditionalFormatting>
  <conditionalFormatting sqref="AC98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98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17">
      <formula>AV99="X"</formula>
    </cfRule>
    <cfRule type="expression" priority="1581" dxfId="16">
      <formula>AV99="후보"</formula>
    </cfRule>
  </conditionalFormatting>
  <conditionalFormatting sqref="AC99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99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17">
      <formula>AV100="X"</formula>
    </cfRule>
    <cfRule type="expression" priority="1562" dxfId="16">
      <formula>AV100="후보"</formula>
    </cfRule>
  </conditionalFormatting>
  <conditionalFormatting sqref="AC100 N100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101">
    <cfRule type="expression" priority="1556" dxfId="17">
      <formula>AV101="X"</formula>
    </cfRule>
    <cfRule type="expression" priority="1557" dxfId="16">
      <formula>AV101="후보"</formula>
    </cfRule>
  </conditionalFormatting>
  <conditionalFormatting sqref="AC101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101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17">
      <formula>AV102="X"</formula>
    </cfRule>
    <cfRule type="expression" priority="1538" dxfId="16">
      <formula>AV102="후보"</formula>
    </cfRule>
  </conditionalFormatting>
  <conditionalFormatting sqref="AC102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102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17">
      <formula>AV103="X"</formula>
    </cfRule>
    <cfRule type="expression" priority="1519" dxfId="16">
      <formula>AV103="후보"</formula>
    </cfRule>
  </conditionalFormatting>
  <conditionalFormatting sqref="AC103 N103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4">
    <cfRule type="expression" priority="1513" dxfId="17">
      <formula>AV104="X"</formula>
    </cfRule>
    <cfRule type="expression" priority="1514" dxfId="16">
      <formula>AV104="후보"</formula>
    </cfRule>
  </conditionalFormatting>
  <conditionalFormatting sqref="AC104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4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17">
      <formula>AV105="X"</formula>
    </cfRule>
    <cfRule type="expression" priority="1495" dxfId="16">
      <formula>AV105="후보"</formula>
    </cfRule>
  </conditionalFormatting>
  <conditionalFormatting sqref="AC10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0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17">
      <formula>AV106="X"</formula>
    </cfRule>
    <cfRule type="expression" priority="1476" dxfId="16">
      <formula>AV106="후보"</formula>
    </cfRule>
  </conditionalFormatting>
  <conditionalFormatting sqref="AC106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06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17">
      <formula>AV107="X"</formula>
    </cfRule>
    <cfRule type="expression" priority="1457" dxfId="16">
      <formula>AV107="후보"</formula>
    </cfRule>
  </conditionalFormatting>
  <conditionalFormatting sqref="AC10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0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17">
      <formula>AV108="X"</formula>
    </cfRule>
    <cfRule type="expression" priority="1438" dxfId="16">
      <formula>AV108="후보"</formula>
    </cfRule>
  </conditionalFormatting>
  <conditionalFormatting sqref="AC108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08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17">
      <formula>AV109="X"</formula>
    </cfRule>
    <cfRule type="expression" priority="1419" dxfId="16">
      <formula>AV109="후보"</formula>
    </cfRule>
  </conditionalFormatting>
  <conditionalFormatting sqref="AC109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109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17">
      <formula>AV110="X"</formula>
    </cfRule>
    <cfRule type="expression" priority="1400" dxfId="16">
      <formula>AV110="후보"</formula>
    </cfRule>
  </conditionalFormatting>
  <conditionalFormatting sqref="AC110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110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17">
      <formula>AV111="X"</formula>
    </cfRule>
    <cfRule type="expression" priority="1381" dxfId="16">
      <formula>AV111="후보"</formula>
    </cfRule>
  </conditionalFormatting>
  <conditionalFormatting sqref="AC111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111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17">
      <formula>AV112="X"</formula>
    </cfRule>
    <cfRule type="expression" priority="1362" dxfId="16">
      <formula>AV112="후보"</formula>
    </cfRule>
  </conditionalFormatting>
  <conditionalFormatting sqref="AC112 N112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113">
    <cfRule type="expression" priority="1356" dxfId="17">
      <formula>AV113="X"</formula>
    </cfRule>
    <cfRule type="expression" priority="1357" dxfId="16">
      <formula>AV113="후보"</formula>
    </cfRule>
  </conditionalFormatting>
  <conditionalFormatting sqref="AC113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1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17">
      <formula>AV114="X"</formula>
    </cfRule>
    <cfRule type="expression" priority="1338" dxfId="16">
      <formula>AV114="후보"</formula>
    </cfRule>
  </conditionalFormatting>
  <conditionalFormatting sqref="AC114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11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17">
      <formula>AV115="X"</formula>
    </cfRule>
    <cfRule type="expression" priority="1319" dxfId="16">
      <formula>AV115="후보"</formula>
    </cfRule>
  </conditionalFormatting>
  <conditionalFormatting sqref="AC115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11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17">
      <formula>AV116="X"</formula>
    </cfRule>
    <cfRule type="expression" priority="1300" dxfId="16">
      <formula>AV116="후보"</formula>
    </cfRule>
  </conditionalFormatting>
  <conditionalFormatting sqref="AC116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11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17">
      <formula>AV117="X"</formula>
    </cfRule>
    <cfRule type="expression" priority="1281" dxfId="16">
      <formula>AV117="후보"</formula>
    </cfRule>
  </conditionalFormatting>
  <conditionalFormatting sqref="AC117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N11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17">
      <formula>AV118="X"</formula>
    </cfRule>
    <cfRule type="expression" priority="1262" dxfId="16">
      <formula>AV118="후보"</formula>
    </cfRule>
  </conditionalFormatting>
  <conditionalFormatting sqref="AC118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1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17">
      <formula>AV119="X"</formula>
    </cfRule>
    <cfRule type="expression" priority="1243" dxfId="16">
      <formula>AV119="후보"</formula>
    </cfRule>
  </conditionalFormatting>
  <conditionalFormatting sqref="AC11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1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17">
      <formula>AV120="X"</formula>
    </cfRule>
    <cfRule type="expression" priority="1224" dxfId="16">
      <formula>AV120="후보"</formula>
    </cfRule>
  </conditionalFormatting>
  <conditionalFormatting sqref="AC120 N120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21">
    <cfRule type="expression" priority="1218" dxfId="17">
      <formula>AV121="X"</formula>
    </cfRule>
    <cfRule type="expression" priority="1219" dxfId="16">
      <formula>AV121="후보"</formula>
    </cfRule>
  </conditionalFormatting>
  <conditionalFormatting sqref="AC12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21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17">
      <formula>AV122="X"</formula>
    </cfRule>
    <cfRule type="expression" priority="1200" dxfId="16">
      <formula>AV122="후보"</formula>
    </cfRule>
  </conditionalFormatting>
  <conditionalFormatting sqref="AC12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2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17">
      <formula>AV123="X"</formula>
    </cfRule>
    <cfRule type="expression" priority="1181" dxfId="16">
      <formula>AV123="후보"</formula>
    </cfRule>
  </conditionalFormatting>
  <conditionalFormatting sqref="AC12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2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17">
      <formula>AV124="X"</formula>
    </cfRule>
    <cfRule type="expression" priority="1162" dxfId="16">
      <formula>AV124="후보"</formula>
    </cfRule>
  </conditionalFormatting>
  <conditionalFormatting sqref="AC12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2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17">
      <formula>AV125="X"</formula>
    </cfRule>
    <cfRule type="expression" priority="1143" dxfId="16">
      <formula>AV125="후보"</formula>
    </cfRule>
  </conditionalFormatting>
  <conditionalFormatting sqref="AC12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2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17">
      <formula>AV126="X"</formula>
    </cfRule>
    <cfRule type="expression" priority="1124" dxfId="16">
      <formula>AV126="후보"</formula>
    </cfRule>
  </conditionalFormatting>
  <conditionalFormatting sqref="AC12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2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17">
      <formula>AV127="X"</formula>
    </cfRule>
    <cfRule type="expression" priority="1105" dxfId="16">
      <formula>AV127="후보"</formula>
    </cfRule>
  </conditionalFormatting>
  <conditionalFormatting sqref="AC12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2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17">
      <formula>AV128="X"</formula>
    </cfRule>
    <cfRule type="expression" priority="1086" dxfId="16">
      <formula>AV128="후보"</formula>
    </cfRule>
  </conditionalFormatting>
  <conditionalFormatting sqref="AC128 N12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29">
    <cfRule type="expression" priority="1080" dxfId="17">
      <formula>AV129="X"</formula>
    </cfRule>
    <cfRule type="expression" priority="1081" dxfId="16">
      <formula>AV129="후보"</formula>
    </cfRule>
  </conditionalFormatting>
  <conditionalFormatting sqref="AC12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17">
      <formula>AV130="X"</formula>
    </cfRule>
    <cfRule type="expression" priority="1062" dxfId="16">
      <formula>AV130="후보"</formula>
    </cfRule>
  </conditionalFormatting>
  <conditionalFormatting sqref="AC130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0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17">
      <formula>AV131="X"</formula>
    </cfRule>
    <cfRule type="expression" priority="1043" dxfId="16">
      <formula>AV131="후보"</formula>
    </cfRule>
  </conditionalFormatting>
  <conditionalFormatting sqref="AC13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3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17">
      <formula>AV132="X"</formula>
    </cfRule>
    <cfRule type="expression" priority="1024" dxfId="16">
      <formula>AV132="후보"</formula>
    </cfRule>
  </conditionalFormatting>
  <conditionalFormatting sqref="AC132 N132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33">
    <cfRule type="expression" priority="1018" dxfId="17">
      <formula>AV133="X"</formula>
    </cfRule>
    <cfRule type="expression" priority="1019" dxfId="16">
      <formula>AV133="후보"</formula>
    </cfRule>
  </conditionalFormatting>
  <conditionalFormatting sqref="AC133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33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17">
      <formula>AV134="X"</formula>
    </cfRule>
    <cfRule type="expression" priority="1000" dxfId="16">
      <formula>AV134="후보"</formula>
    </cfRule>
  </conditionalFormatting>
  <conditionalFormatting sqref="AC134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34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17">
      <formula>AV135="X"</formula>
    </cfRule>
    <cfRule type="expression" priority="981" dxfId="16">
      <formula>AV135="후보"</formula>
    </cfRule>
  </conditionalFormatting>
  <conditionalFormatting sqref="AC135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5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17">
      <formula>AV136="X"</formula>
    </cfRule>
    <cfRule type="expression" priority="962" dxfId="16">
      <formula>AV136="후보"</formula>
    </cfRule>
  </conditionalFormatting>
  <conditionalFormatting sqref="AC136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3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17">
      <formula>AV137="X"</formula>
    </cfRule>
    <cfRule type="expression" priority="943" dxfId="16">
      <formula>AV137="후보"</formula>
    </cfRule>
  </conditionalFormatting>
  <conditionalFormatting sqref="AC137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3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17">
      <formula>AV138="X"</formula>
    </cfRule>
    <cfRule type="expression" priority="924" dxfId="16">
      <formula>AV138="후보"</formula>
    </cfRule>
  </conditionalFormatting>
  <conditionalFormatting sqref="AC138 N138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39">
    <cfRule type="expression" priority="918" dxfId="17">
      <formula>AV139="X"</formula>
    </cfRule>
    <cfRule type="expression" priority="919" dxfId="16">
      <formula>AV139="후보"</formula>
    </cfRule>
  </conditionalFormatting>
  <conditionalFormatting sqref="AC13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17">
      <formula>AV140="X"</formula>
    </cfRule>
    <cfRule type="expression" priority="900" dxfId="16">
      <formula>AV140="후보"</formula>
    </cfRule>
  </conditionalFormatting>
  <conditionalFormatting sqref="AC140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4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17">
      <formula>AV141="X"</formula>
    </cfRule>
    <cfRule type="expression" priority="881" dxfId="16">
      <formula>AV141="후보"</formula>
    </cfRule>
  </conditionalFormatting>
  <conditionalFormatting sqref="AC14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4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17">
      <formula>AV142="X"</formula>
    </cfRule>
    <cfRule type="expression" priority="862" dxfId="16">
      <formula>AV142="후보"</formula>
    </cfRule>
  </conditionalFormatting>
  <conditionalFormatting sqref="AC142 N14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143">
    <cfRule type="expression" priority="856" dxfId="17">
      <formula>AV143="X"</formula>
    </cfRule>
    <cfRule type="expression" priority="857" dxfId="16">
      <formula>AV143="후보"</formula>
    </cfRule>
  </conditionalFormatting>
  <conditionalFormatting sqref="AC14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4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17">
      <formula>AV144="X"</formula>
    </cfRule>
    <cfRule type="expression" priority="838" dxfId="16">
      <formula>AV144="후보"</formula>
    </cfRule>
  </conditionalFormatting>
  <conditionalFormatting sqref="AC14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4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17">
      <formula>AV145="X"</formula>
    </cfRule>
    <cfRule type="expression" priority="819" dxfId="16">
      <formula>AV145="후보"</formula>
    </cfRule>
  </conditionalFormatting>
  <conditionalFormatting sqref="AC14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4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17">
      <formula>AV146="X"</formula>
    </cfRule>
    <cfRule type="expression" priority="800" dxfId="16">
      <formula>AV146="후보"</formula>
    </cfRule>
  </conditionalFormatting>
  <conditionalFormatting sqref="AC14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4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17">
      <formula>AV147="X"</formula>
    </cfRule>
    <cfRule type="expression" priority="781" dxfId="16">
      <formula>AV147="후보"</formula>
    </cfRule>
  </conditionalFormatting>
  <conditionalFormatting sqref="AC14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4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17">
      <formula>AV148="X"</formula>
    </cfRule>
    <cfRule type="expression" priority="762" dxfId="16">
      <formula>AV148="후보"</formula>
    </cfRule>
  </conditionalFormatting>
  <conditionalFormatting sqref="AC148 N14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49">
    <cfRule type="expression" priority="756" dxfId="17">
      <formula>AV149="X"</formula>
    </cfRule>
    <cfRule type="expression" priority="757" dxfId="16">
      <formula>AV149="후보"</formula>
    </cfRule>
  </conditionalFormatting>
  <conditionalFormatting sqref="AC14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4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17">
      <formula>AV150="X"</formula>
    </cfRule>
    <cfRule type="expression" priority="738" dxfId="16">
      <formula>AV150="후보"</formula>
    </cfRule>
  </conditionalFormatting>
  <conditionalFormatting sqref="AC15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5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17">
      <formula>AV151="X"</formula>
    </cfRule>
    <cfRule type="expression" priority="719" dxfId="16">
      <formula>AV151="후보"</formula>
    </cfRule>
  </conditionalFormatting>
  <conditionalFormatting sqref="AC15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17">
      <formula>AV152="X"</formula>
    </cfRule>
    <cfRule type="expression" priority="700" dxfId="16">
      <formula>AV152="후보"</formula>
    </cfRule>
  </conditionalFormatting>
  <conditionalFormatting sqref="AC152 N15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53">
    <cfRule type="expression" priority="694" dxfId="17">
      <formula>AV153="X"</formula>
    </cfRule>
    <cfRule type="expression" priority="695" dxfId="16">
      <formula>AV153="후보"</formula>
    </cfRule>
  </conditionalFormatting>
  <conditionalFormatting sqref="AC153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53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17">
      <formula>AV154="X"</formula>
    </cfRule>
    <cfRule type="expression" priority="676" dxfId="16">
      <formula>AV154="후보"</formula>
    </cfRule>
  </conditionalFormatting>
  <conditionalFormatting sqref="AC15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5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17">
      <formula>AV155="X"</formula>
    </cfRule>
    <cfRule type="expression" priority="657" dxfId="16">
      <formula>AV155="후보"</formula>
    </cfRule>
  </conditionalFormatting>
  <conditionalFormatting sqref="AC15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5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17">
      <formula>AV156="X"</formula>
    </cfRule>
    <cfRule type="expression" priority="638" dxfId="16">
      <formula>AV156="후보"</formula>
    </cfRule>
  </conditionalFormatting>
  <conditionalFormatting sqref="AC15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5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17">
      <formula>AV157="X"</formula>
    </cfRule>
    <cfRule type="expression" priority="619" dxfId="16">
      <formula>AV157="후보"</formula>
    </cfRule>
  </conditionalFormatting>
  <conditionalFormatting sqref="AC15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17">
      <formula>AV158="X"</formula>
    </cfRule>
    <cfRule type="expression" priority="600" dxfId="16">
      <formula>AV158="후보"</formula>
    </cfRule>
  </conditionalFormatting>
  <conditionalFormatting sqref="AC158 N15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59">
    <cfRule type="expression" priority="594" dxfId="17">
      <formula>AV159="X"</formula>
    </cfRule>
    <cfRule type="expression" priority="595" dxfId="16">
      <formula>AV159="후보"</formula>
    </cfRule>
  </conditionalFormatting>
  <conditionalFormatting sqref="AC15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17">
      <formula>AV160="X"</formula>
    </cfRule>
    <cfRule type="expression" priority="576" dxfId="16">
      <formula>AV160="후보"</formula>
    </cfRule>
  </conditionalFormatting>
  <conditionalFormatting sqref="AC16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6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17">
      <formula>AV161="X"</formula>
    </cfRule>
    <cfRule type="expression" priority="557" dxfId="16">
      <formula>AV161="후보"</formula>
    </cfRule>
  </conditionalFormatting>
  <conditionalFormatting sqref="AC16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17">
      <formula>AV162="X"</formula>
    </cfRule>
    <cfRule type="expression" priority="538" dxfId="16">
      <formula>AV162="후보"</formula>
    </cfRule>
  </conditionalFormatting>
  <conditionalFormatting sqref="AC16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17">
      <formula>AV163="X"</formula>
    </cfRule>
    <cfRule type="expression" priority="519" dxfId="16">
      <formula>AV163="후보"</formula>
    </cfRule>
  </conditionalFormatting>
  <conditionalFormatting sqref="AC163 N16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164">
    <cfRule type="expression" priority="513" dxfId="17">
      <formula>AV164="X"</formula>
    </cfRule>
    <cfRule type="expression" priority="514" dxfId="16">
      <formula>AV164="후보"</formula>
    </cfRule>
  </conditionalFormatting>
  <conditionalFormatting sqref="AC16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6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17">
      <formula>AV165="X"</formula>
    </cfRule>
    <cfRule type="expression" priority="495" dxfId="16">
      <formula>AV165="후보"</formula>
    </cfRule>
  </conditionalFormatting>
  <conditionalFormatting sqref="AC16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6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17">
      <formula>AV166="X"</formula>
    </cfRule>
    <cfRule type="expression" priority="476" dxfId="16">
      <formula>AV166="후보"</formula>
    </cfRule>
  </conditionalFormatting>
  <conditionalFormatting sqref="AC16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6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17">
      <formula>AV167="X"</formula>
    </cfRule>
    <cfRule type="expression" priority="457" dxfId="16">
      <formula>AV167="후보"</formula>
    </cfRule>
  </conditionalFormatting>
  <conditionalFormatting sqref="AC16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17">
      <formula>AV168="X"</formula>
    </cfRule>
    <cfRule type="expression" priority="438" dxfId="16">
      <formula>AV168="후보"</formula>
    </cfRule>
  </conditionalFormatting>
  <conditionalFormatting sqref="AC168 N16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169">
    <cfRule type="expression" priority="432" dxfId="17">
      <formula>AV169="X"</formula>
    </cfRule>
    <cfRule type="expression" priority="433" dxfId="16">
      <formula>AV169="후보"</formula>
    </cfRule>
  </conditionalFormatting>
  <conditionalFormatting sqref="AC1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17">
      <formula>AV170="X"</formula>
    </cfRule>
    <cfRule type="expression" priority="414" dxfId="16">
      <formula>AV170="후보"</formula>
    </cfRule>
  </conditionalFormatting>
  <conditionalFormatting sqref="AC1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17">
      <formula>AV171="X"</formula>
    </cfRule>
    <cfRule type="expression" priority="395" dxfId="16">
      <formula>AV171="후보"</formula>
    </cfRule>
  </conditionalFormatting>
  <conditionalFormatting sqref="AC171 N1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72">
    <cfRule type="expression" priority="389" dxfId="17">
      <formula>AV172="X"</formula>
    </cfRule>
    <cfRule type="expression" priority="390" dxfId="16">
      <formula>AV172="후보"</formula>
    </cfRule>
  </conditionalFormatting>
  <conditionalFormatting sqref="AC17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7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17">
      <formula>AV173="X"</formula>
    </cfRule>
    <cfRule type="expression" priority="371" dxfId="16">
      <formula>AV173="후보"</formula>
    </cfRule>
  </conditionalFormatting>
  <conditionalFormatting sqref="AC17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17">
      <formula>AV174="X"</formula>
    </cfRule>
    <cfRule type="expression" priority="352" dxfId="16">
      <formula>AV174="후보"</formula>
    </cfRule>
  </conditionalFormatting>
  <conditionalFormatting sqref="AC1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17">
      <formula>AV175="X"</formula>
    </cfRule>
    <cfRule type="expression" priority="333" dxfId="16">
      <formula>AV175="후보"</formula>
    </cfRule>
  </conditionalFormatting>
  <conditionalFormatting sqref="AC1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17">
      <formula>AV176="X"</formula>
    </cfRule>
    <cfRule type="expression" priority="314" dxfId="16">
      <formula>AV176="후보"</formula>
    </cfRule>
  </conditionalFormatting>
  <conditionalFormatting sqref="AC1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17">
      <formula>AV177="X"</formula>
    </cfRule>
    <cfRule type="expression" priority="295" dxfId="16">
      <formula>AV177="후보"</formula>
    </cfRule>
  </conditionalFormatting>
  <conditionalFormatting sqref="AC1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17">
      <formula>AV178="X"</formula>
    </cfRule>
    <cfRule type="expression" priority="276" dxfId="16">
      <formula>AV178="후보"</formula>
    </cfRule>
  </conditionalFormatting>
  <conditionalFormatting sqref="AC1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17">
      <formula>AV179="X"</formula>
    </cfRule>
    <cfRule type="expression" priority="257" dxfId="16">
      <formula>AV179="후보"</formula>
    </cfRule>
  </conditionalFormatting>
  <conditionalFormatting sqref="AC179 N1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80">
    <cfRule type="expression" priority="251" dxfId="17">
      <formula>AV180="X"</formula>
    </cfRule>
    <cfRule type="expression" priority="252" dxfId="16">
      <formula>AV180="후보"</formula>
    </cfRule>
  </conditionalFormatting>
  <conditionalFormatting sqref="AC18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8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17">
      <formula>AV181="X"</formula>
    </cfRule>
    <cfRule type="expression" priority="233" dxfId="16">
      <formula>AV181="후보"</formula>
    </cfRule>
  </conditionalFormatting>
  <conditionalFormatting sqref="AC1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17">
      <formula>AV182="X"</formula>
    </cfRule>
    <cfRule type="expression" priority="214" dxfId="16">
      <formula>AV182="후보"</formula>
    </cfRule>
  </conditionalFormatting>
  <conditionalFormatting sqref="AC1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17">
      <formula>AV183="X"</formula>
    </cfRule>
    <cfRule type="expression" priority="195" dxfId="16">
      <formula>AV183="후보"</formula>
    </cfRule>
  </conditionalFormatting>
  <conditionalFormatting sqref="AC1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17">
      <formula>AV184="X"</formula>
    </cfRule>
    <cfRule type="expression" priority="176" dxfId="16">
      <formula>AV184="후보"</formula>
    </cfRule>
  </conditionalFormatting>
  <conditionalFormatting sqref="AC1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17">
      <formula>AV185="X"</formula>
    </cfRule>
    <cfRule type="expression" priority="157" dxfId="16">
      <formula>AV185="후보"</formula>
    </cfRule>
  </conditionalFormatting>
  <conditionalFormatting sqref="AC1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17">
      <formula>AV186="X"</formula>
    </cfRule>
    <cfRule type="expression" priority="138" dxfId="16">
      <formula>AV186="후보"</formula>
    </cfRule>
  </conditionalFormatting>
  <conditionalFormatting sqref="AC186 N1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87">
    <cfRule type="expression" priority="132" dxfId="17">
      <formula>AV187="X"</formula>
    </cfRule>
    <cfRule type="expression" priority="133" dxfId="16">
      <formula>AV187="후보"</formula>
    </cfRule>
  </conditionalFormatting>
  <conditionalFormatting sqref="AC18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8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17">
      <formula>AV188="X"</formula>
    </cfRule>
    <cfRule type="expression" priority="114" dxfId="16">
      <formula>AV188="후보"</formula>
    </cfRule>
  </conditionalFormatting>
  <conditionalFormatting sqref="AC18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17">
      <formula>AV189="X"</formula>
    </cfRule>
    <cfRule type="expression" priority="95" dxfId="16">
      <formula>AV189="후보"</formula>
    </cfRule>
  </conditionalFormatting>
  <conditionalFormatting sqref="AC18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17">
      <formula>AV190="X"</formula>
    </cfRule>
    <cfRule type="expression" priority="76" dxfId="16">
      <formula>AV190="후보"</formula>
    </cfRule>
  </conditionalFormatting>
  <conditionalFormatting sqref="AC19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17">
      <formula>AV191="X"</formula>
    </cfRule>
    <cfRule type="expression" priority="57" dxfId="16">
      <formula>AV191="후보"</formula>
    </cfRule>
  </conditionalFormatting>
  <conditionalFormatting sqref="AC1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17">
      <formula>AV192="X"</formula>
    </cfRule>
    <cfRule type="expression" priority="38" dxfId="16">
      <formula>AV192="후보"</formula>
    </cfRule>
  </conditionalFormatting>
  <conditionalFormatting sqref="AC1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17">
      <formula>AV193="X"</formula>
    </cfRule>
    <cfRule type="expression" priority="19" dxfId="16">
      <formula>AV193="후보"</formula>
    </cfRule>
  </conditionalFormatting>
  <conditionalFormatting sqref="AC1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법곡동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신원더파크2차</t>
        </is>
      </c>
      <c r="B6" s="16" t="inlineStr">
        <is>
          <t>'19.05.</t>
        </is>
      </c>
      <c r="C6" s="164" t="n">
        <v>369</v>
      </c>
      <c r="D6" s="161" t="n">
        <v>83.2</v>
      </c>
      <c r="E6" s="163" t="n">
        <v>25</v>
      </c>
      <c r="F6" s="161" t="n">
        <v>60</v>
      </c>
      <c r="G6" s="27" t="n">
        <v>18</v>
      </c>
      <c r="H6" s="164" t="n">
        <v>129</v>
      </c>
      <c r="I6" s="165" t="n">
        <v>20000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신원더파크2차</t>
        </is>
      </c>
      <c r="B7" s="16" t="inlineStr">
        <is>
          <t>'19.05.</t>
        </is>
      </c>
      <c r="C7" s="164" t="n">
        <v>369</v>
      </c>
      <c r="D7" s="161" t="n">
        <v>83.09999999999999</v>
      </c>
      <c r="E7" s="163" t="n">
        <v>25</v>
      </c>
      <c r="F7" s="161" t="n">
        <v>59.9</v>
      </c>
      <c r="G7" s="27" t="n">
        <v>18</v>
      </c>
      <c r="H7" s="164" t="n">
        <v>119</v>
      </c>
      <c r="I7" s="165" t="n">
        <v>19800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신원더파크2차</t>
        </is>
      </c>
      <c r="B8" s="16" t="inlineStr">
        <is>
          <t>'19.05.</t>
        </is>
      </c>
      <c r="C8" s="164" t="n">
        <v>369</v>
      </c>
      <c r="D8" s="161" t="n">
        <v>102.6</v>
      </c>
      <c r="E8" s="163" t="n">
        <v>31</v>
      </c>
      <c r="F8" s="161" t="n">
        <v>74.8</v>
      </c>
      <c r="G8" s="27" t="n">
        <v>23</v>
      </c>
      <c r="H8" s="164" t="n">
        <v>121</v>
      </c>
      <c r="I8" s="165" t="n">
        <v>26000</v>
      </c>
      <c r="J8" s="165" t="inlineStr">
        <is>
          <t>10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코아루더파크</t>
        </is>
      </c>
      <c r="B10" s="16" t="inlineStr">
        <is>
          <t>'16.02.</t>
        </is>
      </c>
      <c r="C10" s="164" t="n">
        <v>513</v>
      </c>
      <c r="D10" s="161" t="n">
        <v>82.8</v>
      </c>
      <c r="E10" s="163" t="n">
        <v>25</v>
      </c>
      <c r="F10" s="161" t="n">
        <v>59.9</v>
      </c>
      <c r="G10" s="27" t="n">
        <v>18</v>
      </c>
      <c r="H10" s="164" t="n">
        <v>168</v>
      </c>
      <c r="I10" s="165" t="n">
        <v>19000</v>
      </c>
      <c r="J10" s="165" t="inlineStr">
        <is>
          <t>8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코아루더파크</t>
        </is>
      </c>
      <c r="B11" s="16" t="inlineStr">
        <is>
          <t>'16.02.</t>
        </is>
      </c>
      <c r="C11" s="164" t="n">
        <v>513</v>
      </c>
      <c r="D11" s="161" t="n">
        <v>82.90000000000001</v>
      </c>
      <c r="E11" s="163" t="n">
        <v>25</v>
      </c>
      <c r="F11" s="161" t="n">
        <v>60</v>
      </c>
      <c r="G11" s="27" t="n">
        <v>18</v>
      </c>
      <c r="H11" s="164" t="n">
        <v>117</v>
      </c>
      <c r="I11" s="165" t="n">
        <v>18500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82C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코아루더파크</t>
        </is>
      </c>
      <c r="B12" s="16" t="inlineStr">
        <is>
          <t>'16.02.</t>
        </is>
      </c>
      <c r="C12" s="164" t="n">
        <v>513</v>
      </c>
      <c r="D12" s="161" t="n">
        <v>82.59999999999999</v>
      </c>
      <c r="E12" s="163" t="n">
        <v>25</v>
      </c>
      <c r="F12" s="161" t="n">
        <v>59.9</v>
      </c>
      <c r="G12" s="27" t="n">
        <v>18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코아루더파크</t>
        </is>
      </c>
      <c r="B13" s="16" t="inlineStr">
        <is>
          <t>'16.02.</t>
        </is>
      </c>
      <c r="C13" s="164" t="n">
        <v>513</v>
      </c>
      <c r="D13" s="161" t="n">
        <v>102.4</v>
      </c>
      <c r="E13" s="163" t="n">
        <v>31</v>
      </c>
      <c r="F13" s="161" t="n">
        <v>74.8</v>
      </c>
      <c r="G13" s="27" t="n">
        <v>23</v>
      </c>
      <c r="H13" s="164" t="n">
        <v>159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코아루더파크</t>
        </is>
      </c>
      <c r="B14" s="16" t="inlineStr">
        <is>
          <t>'16.02.</t>
        </is>
      </c>
      <c r="C14" s="164" t="n">
        <v>513</v>
      </c>
      <c r="D14" s="161" t="n">
        <v>103.3</v>
      </c>
      <c r="E14" s="163" t="n">
        <v>31</v>
      </c>
      <c r="F14" s="161" t="n">
        <v>75</v>
      </c>
      <c r="G14" s="27" t="n">
        <v>23</v>
      </c>
      <c r="H14" s="164" t="n">
        <v>13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103B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아산엘크루</t>
        </is>
      </c>
      <c r="B6" s="16" t="inlineStr">
        <is>
          <t>'10.09.</t>
        </is>
      </c>
      <c r="C6" s="164" t="n">
        <v>480</v>
      </c>
      <c r="D6" s="161" t="n">
        <v>109.6</v>
      </c>
      <c r="E6" s="163" t="n">
        <v>33</v>
      </c>
      <c r="F6" s="161" t="n">
        <v>84.7</v>
      </c>
      <c r="G6" s="27" t="n">
        <v>26</v>
      </c>
      <c r="H6" s="164" t="n">
        <v>106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신창면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아산SR친오애</t>
        </is>
      </c>
      <c r="B6" s="16" t="inlineStr">
        <is>
          <t>'07.05.</t>
        </is>
      </c>
      <c r="C6" s="164" t="n">
        <v>456</v>
      </c>
      <c r="D6" s="161" t="n">
        <v>85.09999999999999</v>
      </c>
      <c r="E6" s="163" t="n">
        <v>26</v>
      </c>
      <c r="F6" s="161" t="n">
        <v>60</v>
      </c>
      <c r="G6" s="27" t="n">
        <v>18</v>
      </c>
      <c r="H6" s="164" t="n">
        <v>165</v>
      </c>
      <c r="I6" s="165" t="n">
        <v>14700</v>
      </c>
      <c r="J6" s="165" t="inlineStr">
        <is>
          <t>15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아산SR친오애</t>
        </is>
      </c>
      <c r="B7" s="16" t="inlineStr">
        <is>
          <t>'07.05.</t>
        </is>
      </c>
      <c r="C7" s="164" t="n">
        <v>456</v>
      </c>
      <c r="D7" s="161" t="n">
        <v>111.3</v>
      </c>
      <c r="E7" s="163" t="n">
        <v>34</v>
      </c>
      <c r="F7" s="161" t="n">
        <v>85</v>
      </c>
      <c r="G7" s="27" t="n">
        <v>26</v>
      </c>
      <c r="H7" s="164" t="n">
        <v>291</v>
      </c>
      <c r="I7" s="165" t="n">
        <v>17500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아산삼부르네상스더힐</t>
        </is>
      </c>
      <c r="B9" s="16" t="inlineStr">
        <is>
          <t>'23.10.</t>
        </is>
      </c>
      <c r="C9" s="164" t="n">
        <v>1016</v>
      </c>
      <c r="D9" s="161" t="n">
        <v>80.3</v>
      </c>
      <c r="E9" s="163" t="n">
        <v>24</v>
      </c>
      <c r="F9" s="161" t="n">
        <v>59.9</v>
      </c>
      <c r="G9" s="27" t="n">
        <v>18</v>
      </c>
      <c r="H9" s="164" t="n">
        <v>233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아산삼부르네상스더힐</t>
        </is>
      </c>
      <c r="B10" s="16" t="inlineStr">
        <is>
          <t>'23.10.</t>
        </is>
      </c>
      <c r="C10" s="164" t="n">
        <v>1016</v>
      </c>
      <c r="D10" s="161" t="n">
        <v>80.3</v>
      </c>
      <c r="E10" s="163" t="n">
        <v>24</v>
      </c>
      <c r="F10" s="161" t="n">
        <v>59.9</v>
      </c>
      <c r="G10" s="27" t="n">
        <v>18</v>
      </c>
      <c r="H10" s="164" t="n">
        <v>36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아산삼부르네상스더힐</t>
        </is>
      </c>
      <c r="B11" s="16" t="inlineStr">
        <is>
          <t>'23.10.</t>
        </is>
      </c>
      <c r="C11" s="164" t="n">
        <v>1016</v>
      </c>
      <c r="D11" s="161" t="n">
        <v>81.2</v>
      </c>
      <c r="E11" s="163" t="n">
        <v>25</v>
      </c>
      <c r="F11" s="161" t="n">
        <v>59.9</v>
      </c>
      <c r="G11" s="27" t="n">
        <v>18</v>
      </c>
      <c r="H11" s="164" t="n">
        <v>125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아산삼부르네상스더힐</t>
        </is>
      </c>
      <c r="B12" s="16" t="inlineStr">
        <is>
          <t>'23.10.</t>
        </is>
      </c>
      <c r="C12" s="164" t="n">
        <v>1016</v>
      </c>
      <c r="D12" s="161" t="n">
        <v>99.8</v>
      </c>
      <c r="E12" s="163" t="n">
        <v>30</v>
      </c>
      <c r="F12" s="161" t="n">
        <v>74.90000000000001</v>
      </c>
      <c r="G12" s="27" t="n">
        <v>23</v>
      </c>
      <c r="H12" s="164" t="n">
        <v>82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아산삼부르네상스더힐</t>
        </is>
      </c>
      <c r="B13" s="16" t="inlineStr">
        <is>
          <t>'23.10.</t>
        </is>
      </c>
      <c r="C13" s="164" t="n">
        <v>1016</v>
      </c>
      <c r="D13" s="161" t="n">
        <v>99.3</v>
      </c>
      <c r="E13" s="163" t="n">
        <v>30</v>
      </c>
      <c r="F13" s="161" t="n">
        <v>75</v>
      </c>
      <c r="G13" s="27" t="n">
        <v>23</v>
      </c>
      <c r="H13" s="164" t="n">
        <v>67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99C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아산삼부르네상스더힐</t>
        </is>
      </c>
      <c r="B14" s="16" t="inlineStr">
        <is>
          <t>'23.10.</t>
        </is>
      </c>
      <c r="C14" s="164" t="n">
        <v>1016</v>
      </c>
      <c r="D14" s="161" t="n">
        <v>99.3</v>
      </c>
      <c r="E14" s="163" t="n">
        <v>30</v>
      </c>
      <c r="F14" s="161" t="n">
        <v>74.90000000000001</v>
      </c>
      <c r="G14" s="27" t="n">
        <v>23</v>
      </c>
      <c r="H14" s="164" t="n">
        <v>56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99A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아산삼부르네상스더힐</t>
        </is>
      </c>
      <c r="B15" s="16" t="inlineStr">
        <is>
          <t>'23.10.</t>
        </is>
      </c>
      <c r="C15" s="164" t="n">
        <v>1016</v>
      </c>
      <c r="D15" s="161" t="n">
        <v>100.5</v>
      </c>
      <c r="E15" s="163" t="n">
        <v>30</v>
      </c>
      <c r="F15" s="161" t="n">
        <v>74.90000000000001</v>
      </c>
      <c r="G15" s="27" t="n">
        <v>23</v>
      </c>
      <c r="H15" s="164" t="n">
        <v>92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아산삼부르네상스더힐</t>
        </is>
      </c>
      <c r="B16" s="16" t="inlineStr">
        <is>
          <t>'23.10.</t>
        </is>
      </c>
      <c r="C16" s="164" t="n">
        <v>1016</v>
      </c>
      <c r="D16" s="161" t="n">
        <v>110.8</v>
      </c>
      <c r="E16" s="163" t="n">
        <v>34</v>
      </c>
      <c r="F16" s="161" t="n">
        <v>83.90000000000001</v>
      </c>
      <c r="G16" s="27" t="n">
        <v>25</v>
      </c>
      <c r="H16" s="164" t="n">
        <v>120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110-1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아산삼부르네상스더힐</t>
        </is>
      </c>
      <c r="B17" s="16" t="inlineStr">
        <is>
          <t>'23.10.</t>
        </is>
      </c>
      <c r="C17" s="164" t="n">
        <v>1016</v>
      </c>
      <c r="D17" s="161" t="n">
        <v>112.8</v>
      </c>
      <c r="E17" s="163" t="n">
        <v>34</v>
      </c>
      <c r="F17" s="161" t="n">
        <v>85</v>
      </c>
      <c r="G17" s="27" t="n">
        <v>26</v>
      </c>
      <c r="H17" s="164" t="n">
        <v>205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112-2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아산코아루에듀파크</t>
        </is>
      </c>
      <c r="B19" s="16" t="inlineStr">
        <is>
          <t>'09.01.</t>
        </is>
      </c>
      <c r="C19" s="164" t="n">
        <v>700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37</v>
      </c>
      <c r="I19" s="165" t="n">
        <v>21000</v>
      </c>
      <c r="J19" s="165" t="inlineStr">
        <is>
          <t>10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아산코아루에듀파크</t>
        </is>
      </c>
      <c r="B20" s="16" t="inlineStr">
        <is>
          <t>'09.01.</t>
        </is>
      </c>
      <c r="C20" s="164" t="n">
        <v>700</v>
      </c>
      <c r="D20" s="161" t="n">
        <v>113.7</v>
      </c>
      <c r="E20" s="163" t="n">
        <v>34</v>
      </c>
      <c r="F20" s="161" t="n">
        <v>85</v>
      </c>
      <c r="G20" s="27" t="n">
        <v>26</v>
      </c>
      <c r="H20" s="164" t="n">
        <v>60</v>
      </c>
      <c r="I20" s="165" t="n">
        <v>25500</v>
      </c>
      <c r="J20" s="165" t="inlineStr">
        <is>
          <t>15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113B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아산코아루에듀파크</t>
        </is>
      </c>
      <c r="B21" s="16" t="inlineStr">
        <is>
          <t>'09.01.</t>
        </is>
      </c>
      <c r="C21" s="164" t="n">
        <v>700</v>
      </c>
      <c r="D21" s="161" t="n">
        <v>117.4</v>
      </c>
      <c r="E21" s="163" t="n">
        <v>36</v>
      </c>
      <c r="F21" s="161" t="n">
        <v>85</v>
      </c>
      <c r="G21" s="27" t="n">
        <v>26</v>
      </c>
      <c r="H21" s="164" t="n">
        <v>87</v>
      </c>
      <c r="I21" s="165" t="n">
        <v>24000</v>
      </c>
      <c r="J21" s="165" t="inlineStr">
        <is>
          <t>11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아산코아루에듀파크</t>
        </is>
      </c>
      <c r="B22" s="16" t="inlineStr">
        <is>
          <t>'09.01.</t>
        </is>
      </c>
      <c r="C22" s="164" t="n">
        <v>700</v>
      </c>
      <c r="D22" s="161" t="n">
        <v>118</v>
      </c>
      <c r="E22" s="163" t="n">
        <v>36</v>
      </c>
      <c r="F22" s="161" t="n">
        <v>85</v>
      </c>
      <c r="G22" s="27" t="n">
        <v>26</v>
      </c>
      <c r="H22" s="164" t="n">
        <v>283</v>
      </c>
      <c r="I22" s="165" t="n">
        <v>22000</v>
      </c>
      <c r="J22" s="165" t="inlineStr">
        <is>
          <t>8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118B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아산코아루에듀파크</t>
        </is>
      </c>
      <c r="B23" s="16" t="inlineStr">
        <is>
          <t>'09.01.</t>
        </is>
      </c>
      <c r="C23" s="164" t="n">
        <v>700</v>
      </c>
      <c r="D23" s="161" t="n">
        <v>143.1</v>
      </c>
      <c r="E23" s="163" t="n">
        <v>43</v>
      </c>
      <c r="F23" s="161" t="n">
        <v>113.4</v>
      </c>
      <c r="G23" s="27" t="n">
        <v>34</v>
      </c>
      <c r="H23" s="164" t="n">
        <v>57</v>
      </c>
      <c r="I23" s="165" t="n">
        <v>27000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143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아산코아루에듀파크</t>
        </is>
      </c>
      <c r="B24" s="16" t="inlineStr">
        <is>
          <t>'09.01.</t>
        </is>
      </c>
      <c r="C24" s="164" t="n">
        <v>700</v>
      </c>
      <c r="D24" s="161" t="n">
        <v>151</v>
      </c>
      <c r="E24" s="163" t="n">
        <v>46</v>
      </c>
      <c r="F24" s="161" t="n">
        <v>117.6</v>
      </c>
      <c r="G24" s="27" t="n">
        <v>36</v>
      </c>
      <c r="H24" s="164" t="n">
        <v>116</v>
      </c>
      <c r="I24" s="165" t="n">
        <v>28000</v>
      </c>
      <c r="J24" s="165" t="inlineStr">
        <is>
          <t>10</t>
        </is>
      </c>
      <c r="K24" s="165" t="n">
        <v>25000</v>
      </c>
      <c r="L24" s="165" t="inlineStr">
        <is>
          <t>5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아산코아루에듀파크</t>
        </is>
      </c>
      <c r="B25" s="16" t="inlineStr">
        <is>
          <t>'09.01.</t>
        </is>
      </c>
      <c r="C25" s="164" t="n">
        <v>700</v>
      </c>
      <c r="D25" s="161" t="n">
        <v>156.7</v>
      </c>
      <c r="E25" s="163" t="n">
        <v>47</v>
      </c>
      <c r="F25" s="161" t="n">
        <v>126.4</v>
      </c>
      <c r="G25" s="27" t="n">
        <v>38</v>
      </c>
      <c r="H25" s="164" t="n">
        <v>60</v>
      </c>
      <c r="I25" s="165" t="n">
        <v>29000</v>
      </c>
      <c r="J25" s="165" t="inlineStr">
        <is>
          <t>고</t>
        </is>
      </c>
      <c r="K25" s="165" t="n">
        <v>27000</v>
      </c>
      <c r="L25" s="165" t="inlineStr">
        <is>
          <t>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신아산모아엘가비스타1차</t>
        </is>
      </c>
      <c r="B27" s="16" t="inlineStr">
        <is>
          <t>'23.08.</t>
        </is>
      </c>
      <c r="C27" s="164" t="n">
        <v>922</v>
      </c>
      <c r="D27" s="161" t="n">
        <v>80.5</v>
      </c>
      <c r="E27" s="163" t="n">
        <v>24</v>
      </c>
      <c r="F27" s="161" t="n">
        <v>60</v>
      </c>
      <c r="G27" s="27" t="n">
        <v>18</v>
      </c>
      <c r="H27" s="164" t="n">
        <v>66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신아산모아엘가비스타1차</t>
        </is>
      </c>
      <c r="B28" s="16" t="inlineStr">
        <is>
          <t>'23.08.</t>
        </is>
      </c>
      <c r="C28" s="164" t="n">
        <v>922</v>
      </c>
      <c r="D28" s="161" t="n">
        <v>81</v>
      </c>
      <c r="E28" s="163" t="n">
        <v>25</v>
      </c>
      <c r="F28" s="161" t="n">
        <v>60</v>
      </c>
      <c r="G28" s="27" t="n">
        <v>18</v>
      </c>
      <c r="H28" s="164" t="n">
        <v>212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신아산모아엘가비스타1차</t>
        </is>
      </c>
      <c r="B29" s="16" t="inlineStr">
        <is>
          <t>'23.08.</t>
        </is>
      </c>
      <c r="C29" s="164" t="n">
        <v>922</v>
      </c>
      <c r="D29" s="161" t="n">
        <v>99.40000000000001</v>
      </c>
      <c r="E29" s="163" t="n">
        <v>30</v>
      </c>
      <c r="F29" s="161" t="n">
        <v>75.09999999999999</v>
      </c>
      <c r="G29" s="27" t="n">
        <v>23</v>
      </c>
      <c r="H29" s="164" t="n">
        <v>189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99A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신아산모아엘가비스타1차</t>
        </is>
      </c>
      <c r="B30" s="16" t="inlineStr">
        <is>
          <t>'23.08.</t>
        </is>
      </c>
      <c r="C30" s="164" t="n">
        <v>922</v>
      </c>
      <c r="D30" s="161" t="n">
        <v>100.4</v>
      </c>
      <c r="E30" s="163" t="n">
        <v>30</v>
      </c>
      <c r="F30" s="161" t="n">
        <v>75.90000000000001</v>
      </c>
      <c r="G30" s="27" t="n">
        <v>23</v>
      </c>
      <c r="H30" s="164" t="n">
        <v>121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100B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신아산모아엘가비스타1차</t>
        </is>
      </c>
      <c r="B31" s="16" t="inlineStr">
        <is>
          <t>'23.08.</t>
        </is>
      </c>
      <c r="C31" s="164" t="n">
        <v>922</v>
      </c>
      <c r="D31" s="161" t="n">
        <v>111.3</v>
      </c>
      <c r="E31" s="163" t="n">
        <v>34</v>
      </c>
      <c r="F31" s="161" t="n">
        <v>84.90000000000001</v>
      </c>
      <c r="G31" s="27" t="n">
        <v>26</v>
      </c>
      <c r="H31" s="164" t="n">
        <v>334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111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창덕에버빌</t>
        </is>
      </c>
      <c r="B33" s="16" t="inlineStr">
        <is>
          <t>'00.10.</t>
        </is>
      </c>
      <c r="C33" s="164" t="n">
        <v>240</v>
      </c>
      <c r="D33" s="161" t="n">
        <v>48.2</v>
      </c>
      <c r="E33" s="163" t="n">
        <v>15</v>
      </c>
      <c r="F33" s="161" t="n">
        <v>40</v>
      </c>
      <c r="G33" s="27" t="n">
        <v>12</v>
      </c>
      <c r="H33" s="164" t="n">
        <v>240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48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아산신창양우내안애</t>
        </is>
      </c>
      <c r="B35" s="16" t="inlineStr">
        <is>
          <t>'14.08.</t>
        </is>
      </c>
      <c r="C35" s="164" t="n">
        <v>1440</v>
      </c>
      <c r="D35" s="161" t="n">
        <v>45</v>
      </c>
      <c r="E35" s="163" t="n">
        <v>14</v>
      </c>
      <c r="F35" s="161" t="n">
        <v>35.1</v>
      </c>
      <c r="G35" s="27" t="n">
        <v>11</v>
      </c>
      <c r="H35" s="164" t="n">
        <v>960</v>
      </c>
      <c r="I35" s="165" t="n">
        <v>7000</v>
      </c>
      <c r="J35" s="165" t="inlineStr">
        <is>
          <t>15</t>
        </is>
      </c>
      <c r="K35" s="165" t="n">
        <v>6500</v>
      </c>
      <c r="L35" s="165" t="inlineStr">
        <is>
          <t>13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아산신창양우내안애</t>
        </is>
      </c>
      <c r="B36" s="16" t="inlineStr">
        <is>
          <t>'14.08.</t>
        </is>
      </c>
      <c r="C36" s="164" t="n">
        <v>1440</v>
      </c>
      <c r="D36" s="161" t="n">
        <v>63</v>
      </c>
      <c r="E36" s="163" t="n">
        <v>19</v>
      </c>
      <c r="F36" s="161" t="n">
        <v>49.5</v>
      </c>
      <c r="G36" s="27" t="n">
        <v>15</v>
      </c>
      <c r="H36" s="164" t="n">
        <v>360</v>
      </c>
      <c r="I36" s="165" t="n">
        <v>10000</v>
      </c>
      <c r="J36" s="165" t="inlineStr">
        <is>
          <t>15</t>
        </is>
      </c>
      <c r="K36" s="165" t="n">
        <v>9000</v>
      </c>
      <c r="L36" s="165" t="inlineStr">
        <is>
          <t>13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복</t>
        </is>
      </c>
      <c r="T36" s="8" t="n">
        <v>63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아산신창양우내안애</t>
        </is>
      </c>
      <c r="B37" s="16" t="inlineStr">
        <is>
          <t>'14.08.</t>
        </is>
      </c>
      <c r="C37" s="164" t="n">
        <v>1440</v>
      </c>
      <c r="D37" s="161" t="n">
        <v>72.40000000000001</v>
      </c>
      <c r="E37" s="163" t="n">
        <v>22</v>
      </c>
      <c r="F37" s="161" t="n">
        <v>59.5</v>
      </c>
      <c r="G37" s="27" t="n">
        <v>18</v>
      </c>
      <c r="H37" s="164" t="n">
        <v>120</v>
      </c>
      <c r="I37" s="165" t="n">
        <v>13500</v>
      </c>
      <c r="J37" s="165" t="inlineStr">
        <is>
          <t>15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72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태헌장미1차</t>
        </is>
      </c>
      <c r="B39" s="16" t="inlineStr">
        <is>
          <t>'94.12.</t>
        </is>
      </c>
      <c r="C39" s="164" t="n">
        <v>528</v>
      </c>
      <c r="D39" s="161" t="n">
        <v>53</v>
      </c>
      <c r="E39" s="163" t="n">
        <v>16</v>
      </c>
      <c r="F39" s="161" t="n">
        <v>39.7</v>
      </c>
      <c r="G39" s="27" t="n">
        <v>12</v>
      </c>
      <c r="H39" s="164" t="n">
        <v>336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52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태헌장미1차</t>
        </is>
      </c>
      <c r="B40" s="16" t="inlineStr">
        <is>
          <t>'94.12.</t>
        </is>
      </c>
      <c r="C40" s="164" t="n">
        <v>528</v>
      </c>
      <c r="D40" s="161" t="n">
        <v>64.90000000000001</v>
      </c>
      <c r="E40" s="163" t="n">
        <v>20</v>
      </c>
      <c r="F40" s="161" t="n">
        <v>49.9</v>
      </c>
      <c r="G40" s="27" t="n">
        <v>15</v>
      </c>
      <c r="H40" s="164" t="n">
        <v>132</v>
      </c>
      <c r="I40" s="165" t="n">
        <v>3800</v>
      </c>
      <c r="J40" s="165" t="inlineStr">
        <is>
          <t>6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64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태헌장미1차</t>
        </is>
      </c>
      <c r="B41" s="16" t="inlineStr">
        <is>
          <t>'94.12.</t>
        </is>
      </c>
      <c r="C41" s="164" t="n">
        <v>528</v>
      </c>
      <c r="D41" s="161" t="n">
        <v>77</v>
      </c>
      <c r="E41" s="163" t="n">
        <v>23</v>
      </c>
      <c r="F41" s="161" t="n">
        <v>59.9</v>
      </c>
      <c r="G41" s="27" t="n">
        <v>18</v>
      </c>
      <c r="H41" s="164" t="n">
        <v>60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77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아산대주</t>
        </is>
      </c>
      <c r="B43" s="16" t="inlineStr">
        <is>
          <t>'94.11.</t>
        </is>
      </c>
      <c r="C43" s="164" t="n">
        <v>480</v>
      </c>
      <c r="D43" s="161" t="n">
        <v>70.7</v>
      </c>
      <c r="E43" s="163" t="n">
        <v>21</v>
      </c>
      <c r="F43" s="161" t="n">
        <v>59.9</v>
      </c>
      <c r="G43" s="27" t="n">
        <v>18</v>
      </c>
      <c r="H43" s="164" t="n">
        <v>180</v>
      </c>
      <c r="I43" s="165" t="n">
        <v>8500</v>
      </c>
      <c r="J43" s="165" t="inlineStr">
        <is>
          <t>5</t>
        </is>
      </c>
      <c r="K43" s="165" t="n">
        <v>7800</v>
      </c>
      <c r="L43" s="165" t="inlineStr">
        <is>
          <t>11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아산대주</t>
        </is>
      </c>
      <c r="B44" s="16" t="inlineStr">
        <is>
          <t>'94.11.</t>
        </is>
      </c>
      <c r="C44" s="164" t="n">
        <v>480</v>
      </c>
      <c r="D44" s="161" t="n">
        <v>97.2</v>
      </c>
      <c r="E44" s="163" t="n">
        <v>29</v>
      </c>
      <c r="F44" s="161" t="n">
        <v>85</v>
      </c>
      <c r="G44" s="27" t="n">
        <v>26</v>
      </c>
      <c r="H44" s="164" t="n">
        <v>240</v>
      </c>
      <c r="I44" s="165" t="n">
        <v>11500</v>
      </c>
      <c r="J44" s="165" t="inlineStr">
        <is>
          <t>13</t>
        </is>
      </c>
      <c r="K44" s="165" t="n">
        <v>11000</v>
      </c>
      <c r="L44" s="165" t="inlineStr">
        <is>
          <t>9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97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아산대주</t>
        </is>
      </c>
      <c r="B45" s="16" t="inlineStr">
        <is>
          <t>'94.11.</t>
        </is>
      </c>
      <c r="C45" s="164" t="n">
        <v>480</v>
      </c>
      <c r="D45" s="161" t="n">
        <v>128.1</v>
      </c>
      <c r="E45" s="163" t="n">
        <v>39</v>
      </c>
      <c r="F45" s="161" t="n">
        <v>115.5</v>
      </c>
      <c r="G45" s="27" t="n">
        <v>35</v>
      </c>
      <c r="H45" s="164" t="n">
        <v>60</v>
      </c>
      <c r="I45" s="165" t="n">
        <v>13500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128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아산코아루</t>
        </is>
      </c>
      <c r="B47" s="16" t="inlineStr">
        <is>
          <t>'06.01.</t>
        </is>
      </c>
      <c r="C47" s="164" t="n">
        <v>526</v>
      </c>
      <c r="D47" s="161" t="n">
        <v>79.40000000000001</v>
      </c>
      <c r="E47" s="163" t="n">
        <v>24</v>
      </c>
      <c r="F47" s="161" t="n">
        <v>60</v>
      </c>
      <c r="G47" s="27" t="n">
        <v>18</v>
      </c>
      <c r="H47" s="164" t="n">
        <v>261</v>
      </c>
      <c r="I47" s="165" t="n">
        <v>15000</v>
      </c>
      <c r="J47" s="165" t="inlineStr">
        <is>
          <t>8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79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아산코아루</t>
        </is>
      </c>
      <c r="B48" s="16" t="inlineStr">
        <is>
          <t>'06.01.</t>
        </is>
      </c>
      <c r="C48" s="164" t="n">
        <v>526</v>
      </c>
      <c r="D48" s="161" t="n">
        <v>113</v>
      </c>
      <c r="E48" s="163" t="n">
        <v>34</v>
      </c>
      <c r="F48" s="161" t="n">
        <v>84.90000000000001</v>
      </c>
      <c r="G48" s="27" t="n">
        <v>26</v>
      </c>
      <c r="H48" s="164" t="n">
        <v>265</v>
      </c>
      <c r="I48" s="165" t="n">
        <v>21500</v>
      </c>
      <c r="J48" s="165" t="inlineStr">
        <is>
          <t>12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112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경희학성</t>
        </is>
      </c>
      <c r="B50" s="16" t="inlineStr">
        <is>
          <t>'96.12.</t>
        </is>
      </c>
      <c r="C50" s="164" t="n">
        <v>937</v>
      </c>
      <c r="D50" s="161" t="n">
        <v>39.9</v>
      </c>
      <c r="E50" s="163" t="n">
        <v>12</v>
      </c>
      <c r="F50" s="161" t="n">
        <v>29.5</v>
      </c>
      <c r="G50" s="27" t="n">
        <v>9</v>
      </c>
      <c r="H50" s="164" t="n">
        <v>637</v>
      </c>
      <c r="I50" s="165" t="n">
        <v>3900</v>
      </c>
      <c r="J50" s="165" t="inlineStr">
        <is>
          <t>5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39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경희학성</t>
        </is>
      </c>
      <c r="B51" s="16" t="inlineStr">
        <is>
          <t>'96.12.</t>
        </is>
      </c>
      <c r="C51" s="164" t="n">
        <v>937</v>
      </c>
      <c r="D51" s="161" t="n">
        <v>52.3</v>
      </c>
      <c r="E51" s="163" t="n">
        <v>16</v>
      </c>
      <c r="F51" s="161" t="n">
        <v>39.9</v>
      </c>
      <c r="G51" s="27" t="n">
        <v>12</v>
      </c>
      <c r="H51" s="164" t="n">
        <v>180</v>
      </c>
      <c r="I51" s="165" t="n">
        <v>5300</v>
      </c>
      <c r="J51" s="165" t="inlineStr">
        <is>
          <t>10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1</v>
      </c>
      <c r="R51" s="113" t="n">
        <v>1</v>
      </c>
      <c r="S51" s="113" t="inlineStr">
        <is>
          <t>계</t>
        </is>
      </c>
      <c r="T51" s="8" t="n">
        <v>52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경희학성</t>
        </is>
      </c>
      <c r="B52" s="16" t="inlineStr">
        <is>
          <t>'96.12.</t>
        </is>
      </c>
      <c r="C52" s="164" t="n">
        <v>937</v>
      </c>
      <c r="D52" s="161" t="n">
        <v>70.8</v>
      </c>
      <c r="E52" s="163" t="n">
        <v>21</v>
      </c>
      <c r="F52" s="161" t="n">
        <v>59.5</v>
      </c>
      <c r="G52" s="27" t="n">
        <v>18</v>
      </c>
      <c r="H52" s="164" t="n">
        <v>60</v>
      </c>
      <c r="I52" s="165" t="n">
        <v>7200</v>
      </c>
      <c r="J52" s="165" t="inlineStr">
        <is>
          <t>9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inlineStr">
        <is>
          <t>70A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경희학성</t>
        </is>
      </c>
      <c r="B53" s="16" t="inlineStr">
        <is>
          <t>'96.12.</t>
        </is>
      </c>
      <c r="C53" s="164" t="n">
        <v>937</v>
      </c>
      <c r="D53" s="161" t="n">
        <v>70.8</v>
      </c>
      <c r="E53" s="163" t="n">
        <v>21</v>
      </c>
      <c r="F53" s="161" t="n">
        <v>59.5</v>
      </c>
      <c r="G53" s="27" t="n">
        <v>18</v>
      </c>
      <c r="H53" s="164" t="n">
        <v>60</v>
      </c>
      <c r="I53" s="165" t="n">
        <v>7200</v>
      </c>
      <c r="J53" s="165" t="inlineStr">
        <is>
          <t>9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inlineStr">
        <is>
          <t>70B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샘마을</t>
        </is>
      </c>
      <c r="B55" s="16" t="inlineStr">
        <is>
          <t>'01.03.</t>
        </is>
      </c>
      <c r="C55" s="164" t="n">
        <v>926</v>
      </c>
      <c r="D55" s="161" t="n">
        <v>42.5</v>
      </c>
      <c r="E55" s="163" t="n">
        <v>13</v>
      </c>
      <c r="F55" s="161" t="n">
        <v>30.4</v>
      </c>
      <c r="G55" s="27" t="n">
        <v>9</v>
      </c>
      <c r="H55" s="164" t="n">
        <v>210</v>
      </c>
      <c r="I55" s="165" t="n">
        <v>3500</v>
      </c>
      <c r="J55" s="165" t="inlineStr">
        <is>
          <t>10</t>
        </is>
      </c>
      <c r="K55" s="165" t="n">
        <v>3500</v>
      </c>
      <c r="L55" s="165" t="inlineStr">
        <is>
          <t>12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1</v>
      </c>
      <c r="R55" s="113" t="n">
        <v>1</v>
      </c>
      <c r="S55" s="113" t="inlineStr">
        <is>
          <t>복</t>
        </is>
      </c>
      <c r="T55" s="8" t="n">
        <v>42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샘마을</t>
        </is>
      </c>
      <c r="B56" s="16" t="inlineStr">
        <is>
          <t>'01.03.</t>
        </is>
      </c>
      <c r="C56" s="164" t="n">
        <v>926</v>
      </c>
      <c r="D56" s="161" t="n">
        <v>55.8</v>
      </c>
      <c r="E56" s="163" t="n">
        <v>17</v>
      </c>
      <c r="F56" s="161" t="n">
        <v>39.3</v>
      </c>
      <c r="G56" s="27" t="n">
        <v>12</v>
      </c>
      <c r="H56" s="164" t="n">
        <v>644</v>
      </c>
      <c r="I56" s="165" t="n">
        <v>4500</v>
      </c>
      <c r="J56" s="165" t="inlineStr">
        <is>
          <t>13</t>
        </is>
      </c>
      <c r="K56" s="165" t="n">
        <v>4000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n">
        <v>55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샘마을</t>
        </is>
      </c>
      <c r="B57" s="16" t="inlineStr">
        <is>
          <t>'01.03.</t>
        </is>
      </c>
      <c r="C57" s="164" t="n">
        <v>926</v>
      </c>
      <c r="D57" s="161" t="n">
        <v>77.5</v>
      </c>
      <c r="E57" s="163" t="n">
        <v>23</v>
      </c>
      <c r="F57" s="161" t="n">
        <v>59.9</v>
      </c>
      <c r="G57" s="27" t="n">
        <v>18</v>
      </c>
      <c r="H57" s="164" t="n">
        <v>72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복</t>
        </is>
      </c>
      <c r="T57" s="8" t="n">
        <v>77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신일</t>
        </is>
      </c>
      <c r="B59" s="16" t="inlineStr">
        <is>
          <t>'97.12.</t>
        </is>
      </c>
      <c r="C59" s="164" t="n">
        <v>404</v>
      </c>
      <c r="D59" s="161" t="n">
        <v>71.3</v>
      </c>
      <c r="E59" s="163" t="n">
        <v>22</v>
      </c>
      <c r="F59" s="161" t="n">
        <v>59.8</v>
      </c>
      <c r="G59" s="27" t="n">
        <v>18</v>
      </c>
      <c r="H59" s="164" t="n">
        <v>404</v>
      </c>
      <c r="I59" s="165" t="n">
        <v>8700</v>
      </c>
      <c r="J59" s="165" t="inlineStr">
        <is>
          <t>12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복</t>
        </is>
      </c>
      <c r="T59" s="8" t="n">
        <v>71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신아산모아엘가비스타2차</t>
        </is>
      </c>
      <c r="B61" s="16" t="inlineStr">
        <is>
          <t>'24.01.</t>
        </is>
      </c>
      <c r="C61" s="164" t="n">
        <v>998</v>
      </c>
      <c r="D61" s="161" t="n">
        <v>80.59999999999999</v>
      </c>
      <c r="E61" s="163" t="n">
        <v>24</v>
      </c>
      <c r="F61" s="161" t="n">
        <v>60</v>
      </c>
      <c r="G61" s="27" t="n">
        <v>18</v>
      </c>
      <c r="H61" s="164" t="n">
        <v>93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2</v>
      </c>
      <c r="R61" s="113" t="n">
        <v>2</v>
      </c>
      <c r="S61" s="113" t="inlineStr">
        <is>
          <t>계</t>
        </is>
      </c>
      <c r="T61" s="8" t="inlineStr">
        <is>
          <t>80B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신아산모아엘가비스타2차</t>
        </is>
      </c>
      <c r="B62" s="16" t="inlineStr">
        <is>
          <t>'24.01.</t>
        </is>
      </c>
      <c r="C62" s="164" t="n">
        <v>998</v>
      </c>
      <c r="D62" s="161" t="n">
        <v>81.09999999999999</v>
      </c>
      <c r="E62" s="163" t="n">
        <v>25</v>
      </c>
      <c r="F62" s="161" t="n">
        <v>60</v>
      </c>
      <c r="G62" s="27" t="n">
        <v>18</v>
      </c>
      <c r="H62" s="164" t="n">
        <v>197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81A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신아산모아엘가비스타2차</t>
        </is>
      </c>
      <c r="B63" s="16" t="inlineStr">
        <is>
          <t>'24.01.</t>
        </is>
      </c>
      <c r="C63" s="164" t="n">
        <v>998</v>
      </c>
      <c r="D63" s="161" t="n">
        <v>99.5</v>
      </c>
      <c r="E63" s="163" t="n">
        <v>30</v>
      </c>
      <c r="F63" s="161" t="n">
        <v>75.09999999999999</v>
      </c>
      <c r="G63" s="27" t="n">
        <v>23</v>
      </c>
      <c r="H63" s="164" t="n">
        <v>251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신아산모아엘가비스타2차</t>
        </is>
      </c>
      <c r="B64" s="16" t="inlineStr">
        <is>
          <t>'24.01.</t>
        </is>
      </c>
      <c r="C64" s="164" t="n">
        <v>998</v>
      </c>
      <c r="D64" s="161" t="n">
        <v>100.4</v>
      </c>
      <c r="E64" s="163" t="n">
        <v>30</v>
      </c>
      <c r="F64" s="161" t="n">
        <v>75.90000000000001</v>
      </c>
      <c r="G64" s="27" t="n">
        <v>23</v>
      </c>
      <c r="H64" s="164" t="n">
        <v>89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신아산모아엘가비스타2차</t>
        </is>
      </c>
      <c r="B65" s="16" t="inlineStr">
        <is>
          <t>'24.01.</t>
        </is>
      </c>
      <c r="C65" s="164" t="n">
        <v>998</v>
      </c>
      <c r="D65" s="161" t="n">
        <v>111.4</v>
      </c>
      <c r="E65" s="163" t="n">
        <v>34</v>
      </c>
      <c r="F65" s="161" t="n">
        <v>84.90000000000001</v>
      </c>
      <c r="G65" s="27" t="n">
        <v>26</v>
      </c>
      <c r="H65" s="164" t="n">
        <v>368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아산한미금강</t>
        </is>
      </c>
      <c r="B67" s="16" t="inlineStr">
        <is>
          <t>'95.10.</t>
        </is>
      </c>
      <c r="C67" s="164" t="n">
        <v>300</v>
      </c>
      <c r="D67" s="161" t="n">
        <v>69.40000000000001</v>
      </c>
      <c r="E67" s="163" t="n">
        <v>21</v>
      </c>
      <c r="F67" s="161" t="n">
        <v>49.8</v>
      </c>
      <c r="G67" s="27" t="n">
        <v>15</v>
      </c>
      <c r="H67" s="164" t="n">
        <v>120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69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아산한미금강</t>
        </is>
      </c>
      <c r="B68" s="16" t="inlineStr">
        <is>
          <t>'95.10.</t>
        </is>
      </c>
      <c r="C68" s="164" t="n">
        <v>300</v>
      </c>
      <c r="D68" s="161" t="n">
        <v>82.7</v>
      </c>
      <c r="E68" s="163" t="n">
        <v>25</v>
      </c>
      <c r="F68" s="161" t="n">
        <v>59.3</v>
      </c>
      <c r="G68" s="27" t="n">
        <v>18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82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17">
      <formula>AV4="X"</formula>
    </cfRule>
    <cfRule type="expression" priority="1017" dxfId="16">
      <formula>AV4="후보"</formula>
    </cfRule>
  </conditionalFormatting>
  <conditionalFormatting sqref="AC1:AC2 AC4:AC6 N4:N5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1:N2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6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17">
      <formula>AV7="X"</formula>
    </cfRule>
    <cfRule type="expression" priority="996" dxfId="16">
      <formula>AV7="후보"</formula>
    </cfRule>
  </conditionalFormatting>
  <conditionalFormatting sqref="AC7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7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17">
      <formula>AV8="X"</formula>
    </cfRule>
    <cfRule type="expression" priority="977" dxfId="16">
      <formula>AV8="후보"</formula>
    </cfRule>
  </conditionalFormatting>
  <conditionalFormatting sqref="AC8 N8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9">
    <cfRule type="expression" priority="971" dxfId="17">
      <formula>AV9="X"</formula>
    </cfRule>
    <cfRule type="expression" priority="972" dxfId="16">
      <formula>AV9="후보"</formula>
    </cfRule>
  </conditionalFormatting>
  <conditionalFormatting sqref="AC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9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17">
      <formula>AV10="X"</formula>
    </cfRule>
    <cfRule type="expression" priority="953" dxfId="16">
      <formula>AV10="후보"</formula>
    </cfRule>
  </conditionalFormatting>
  <conditionalFormatting sqref="AC1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0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17">
      <formula>AV11="X"</formula>
    </cfRule>
    <cfRule type="expression" priority="934" dxfId="16">
      <formula>AV11="후보"</formula>
    </cfRule>
  </conditionalFormatting>
  <conditionalFormatting sqref="AC1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11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17">
      <formula>AV12="X"</formula>
    </cfRule>
    <cfRule type="expression" priority="915" dxfId="16">
      <formula>AV12="후보"</formula>
    </cfRule>
  </conditionalFormatting>
  <conditionalFormatting sqref="AC12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2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17">
      <formula>AV13="X"</formula>
    </cfRule>
    <cfRule type="expression" priority="896" dxfId="16">
      <formula>AV13="후보"</formula>
    </cfRule>
  </conditionalFormatting>
  <conditionalFormatting sqref="AC13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13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17">
      <formula>AV14="X"</formula>
    </cfRule>
    <cfRule type="expression" priority="877" dxfId="16">
      <formula>AV14="후보"</formula>
    </cfRule>
  </conditionalFormatting>
  <conditionalFormatting sqref="AC14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14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17">
      <formula>AV15="X"</formula>
    </cfRule>
    <cfRule type="expression" priority="858" dxfId="16">
      <formula>AV15="후보"</formula>
    </cfRule>
  </conditionalFormatting>
  <conditionalFormatting sqref="AC15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15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17">
      <formula>AV16="X"</formula>
    </cfRule>
    <cfRule type="expression" priority="839" dxfId="16">
      <formula>AV16="후보"</formula>
    </cfRule>
  </conditionalFormatting>
  <conditionalFormatting sqref="AC16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16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17">
      <formula>AV17="X"</formula>
    </cfRule>
    <cfRule type="expression" priority="820" dxfId="16">
      <formula>AV17="후보"</formula>
    </cfRule>
  </conditionalFormatting>
  <conditionalFormatting sqref="AC17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17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17">
      <formula>AV18="X"</formula>
    </cfRule>
    <cfRule type="expression" priority="801" dxfId="16">
      <formula>AV18="후보"</formula>
    </cfRule>
  </conditionalFormatting>
  <conditionalFormatting sqref="AC18 N18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9">
    <cfRule type="expression" priority="795" dxfId="17">
      <formula>AV19="X"</formula>
    </cfRule>
    <cfRule type="expression" priority="796" dxfId="16">
      <formula>AV19="후보"</formula>
    </cfRule>
  </conditionalFormatting>
  <conditionalFormatting sqref="AC19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9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17">
      <formula>AV20="X"</formula>
    </cfRule>
    <cfRule type="expression" priority="777" dxfId="16">
      <formula>AV20="후보"</formula>
    </cfRule>
  </conditionalFormatting>
  <conditionalFormatting sqref="AC20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2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17">
      <formula>AV21="X"</formula>
    </cfRule>
    <cfRule type="expression" priority="758" dxfId="16">
      <formula>AV21="후보"</formula>
    </cfRule>
  </conditionalFormatting>
  <conditionalFormatting sqref="AC21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21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17">
      <formula>AV22="X"</formula>
    </cfRule>
    <cfRule type="expression" priority="739" dxfId="16">
      <formula>AV22="후보"</formula>
    </cfRule>
  </conditionalFormatting>
  <conditionalFormatting sqref="AC2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2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17">
      <formula>AV23="X"</formula>
    </cfRule>
    <cfRule type="expression" priority="720" dxfId="16">
      <formula>AV23="후보"</formula>
    </cfRule>
  </conditionalFormatting>
  <conditionalFormatting sqref="AC23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23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17">
      <formula>AV24="X"</formula>
    </cfRule>
    <cfRule type="expression" priority="701" dxfId="16">
      <formula>AV24="후보"</formula>
    </cfRule>
  </conditionalFormatting>
  <conditionalFormatting sqref="AC2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4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17">
      <formula>AV25="X"</formula>
    </cfRule>
    <cfRule type="expression" priority="682" dxfId="16">
      <formula>AV25="후보"</formula>
    </cfRule>
  </conditionalFormatting>
  <conditionalFormatting sqref="AC25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25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17">
      <formula>AV26="X"</formula>
    </cfRule>
    <cfRule type="expression" priority="663" dxfId="16">
      <formula>AV26="후보"</formula>
    </cfRule>
  </conditionalFormatting>
  <conditionalFormatting sqref="AC26 N26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27">
    <cfRule type="expression" priority="657" dxfId="17">
      <formula>AV27="X"</formula>
    </cfRule>
    <cfRule type="expression" priority="658" dxfId="16">
      <formula>AV27="후보"</formula>
    </cfRule>
  </conditionalFormatting>
  <conditionalFormatting sqref="AC27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27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17">
      <formula>AV28="X"</formula>
    </cfRule>
    <cfRule type="expression" priority="639" dxfId="16">
      <formula>AV28="후보"</formula>
    </cfRule>
  </conditionalFormatting>
  <conditionalFormatting sqref="AC28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28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17">
      <formula>AV29="X"</formula>
    </cfRule>
    <cfRule type="expression" priority="620" dxfId="16">
      <formula>AV29="후보"</formula>
    </cfRule>
  </conditionalFormatting>
  <conditionalFormatting sqref="AC29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9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17">
      <formula>AV30="X"</formula>
    </cfRule>
    <cfRule type="expression" priority="601" dxfId="16">
      <formula>AV30="후보"</formula>
    </cfRule>
  </conditionalFormatting>
  <conditionalFormatting sqref="AC30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30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17">
      <formula>AV31="X"</formula>
    </cfRule>
    <cfRule type="expression" priority="582" dxfId="16">
      <formula>AV31="후보"</formula>
    </cfRule>
  </conditionalFormatting>
  <conditionalFormatting sqref="AC31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1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17">
      <formula>AV32="X"</formula>
    </cfRule>
    <cfRule type="expression" priority="563" dxfId="16">
      <formula>AV32="후보"</formula>
    </cfRule>
  </conditionalFormatting>
  <conditionalFormatting sqref="AC32 N3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33">
    <cfRule type="expression" priority="557" dxfId="17">
      <formula>AV33="X"</formula>
    </cfRule>
    <cfRule type="expression" priority="558" dxfId="16">
      <formula>AV33="후보"</formula>
    </cfRule>
  </conditionalFormatting>
  <conditionalFormatting sqref="AC33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3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17">
      <formula>AV34="X"</formula>
    </cfRule>
    <cfRule type="expression" priority="539" dxfId="16">
      <formula>AV34="후보"</formula>
    </cfRule>
  </conditionalFormatting>
  <conditionalFormatting sqref="AC34 N3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35">
    <cfRule type="expression" priority="533" dxfId="17">
      <formula>AV35="X"</formula>
    </cfRule>
    <cfRule type="expression" priority="534" dxfId="16">
      <formula>AV35="후보"</formula>
    </cfRule>
  </conditionalFormatting>
  <conditionalFormatting sqref="AC35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35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17">
      <formula>AV36="X"</formula>
    </cfRule>
    <cfRule type="expression" priority="515" dxfId="16">
      <formula>AV36="후보"</formula>
    </cfRule>
  </conditionalFormatting>
  <conditionalFormatting sqref="AC3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17">
      <formula>AV37="X"</formula>
    </cfRule>
    <cfRule type="expression" priority="496" dxfId="16">
      <formula>AV37="후보"</formula>
    </cfRule>
  </conditionalFormatting>
  <conditionalFormatting sqref="AC37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37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17">
      <formula>AV38="X"</formula>
    </cfRule>
    <cfRule type="expression" priority="477" dxfId="16">
      <formula>AV38="후보"</formula>
    </cfRule>
  </conditionalFormatting>
  <conditionalFormatting sqref="AC38 N38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39">
    <cfRule type="expression" priority="471" dxfId="17">
      <formula>AV39="X"</formula>
    </cfRule>
    <cfRule type="expression" priority="472" dxfId="16">
      <formula>AV39="후보"</formula>
    </cfRule>
  </conditionalFormatting>
  <conditionalFormatting sqref="AC39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9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17">
      <formula>AV40="X"</formula>
    </cfRule>
    <cfRule type="expression" priority="453" dxfId="16">
      <formula>AV40="후보"</formula>
    </cfRule>
  </conditionalFormatting>
  <conditionalFormatting sqref="AC40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40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17">
      <formula>AV41="X"</formula>
    </cfRule>
    <cfRule type="expression" priority="434" dxfId="16">
      <formula>AV41="후보"</formula>
    </cfRule>
  </conditionalFormatting>
  <conditionalFormatting sqref="AC41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41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17">
      <formula>AV42="X"</formula>
    </cfRule>
    <cfRule type="expression" priority="415" dxfId="16">
      <formula>AV42="후보"</formula>
    </cfRule>
  </conditionalFormatting>
  <conditionalFormatting sqref="AC42 N4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43">
    <cfRule type="expression" priority="409" dxfId="17">
      <formula>AV43="X"</formula>
    </cfRule>
    <cfRule type="expression" priority="410" dxfId="16">
      <formula>AV43="후보"</formula>
    </cfRule>
  </conditionalFormatting>
  <conditionalFormatting sqref="AC43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43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17">
      <formula>AV44="X"</formula>
    </cfRule>
    <cfRule type="expression" priority="391" dxfId="16">
      <formula>AV44="후보"</formula>
    </cfRule>
  </conditionalFormatting>
  <conditionalFormatting sqref="AC44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44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17">
      <formula>AV45="X"</formula>
    </cfRule>
    <cfRule type="expression" priority="372" dxfId="16">
      <formula>AV45="후보"</formula>
    </cfRule>
  </conditionalFormatting>
  <conditionalFormatting sqref="AC45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45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17">
      <formula>AV46="X"</formula>
    </cfRule>
    <cfRule type="expression" priority="353" dxfId="16">
      <formula>AV46="후보"</formula>
    </cfRule>
  </conditionalFormatting>
  <conditionalFormatting sqref="AC46 N46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47">
    <cfRule type="expression" priority="347" dxfId="17">
      <formula>AV47="X"</formula>
    </cfRule>
    <cfRule type="expression" priority="348" dxfId="16">
      <formula>AV47="후보"</formula>
    </cfRule>
  </conditionalFormatting>
  <conditionalFormatting sqref="AC4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7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17">
      <formula>AV48="X"</formula>
    </cfRule>
    <cfRule type="expression" priority="329" dxfId="16">
      <formula>AV48="후보"</formula>
    </cfRule>
  </conditionalFormatting>
  <conditionalFormatting sqref="AC48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8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17">
      <formula>AV49="X"</formula>
    </cfRule>
    <cfRule type="expression" priority="310" dxfId="16">
      <formula>AV49="후보"</formula>
    </cfRule>
  </conditionalFormatting>
  <conditionalFormatting sqref="AC49 N49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50">
    <cfRule type="expression" priority="304" dxfId="17">
      <formula>AV50="X"</formula>
    </cfRule>
    <cfRule type="expression" priority="305" dxfId="16">
      <formula>AV50="후보"</formula>
    </cfRule>
  </conditionalFormatting>
  <conditionalFormatting sqref="AC5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17">
      <formula>AV51="X"</formula>
    </cfRule>
    <cfRule type="expression" priority="286" dxfId="16">
      <formula>AV51="후보"</formula>
    </cfRule>
  </conditionalFormatting>
  <conditionalFormatting sqref="AC5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5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17">
      <formula>AV52="X"</formula>
    </cfRule>
    <cfRule type="expression" priority="267" dxfId="16">
      <formula>AV52="후보"</formula>
    </cfRule>
  </conditionalFormatting>
  <conditionalFormatting sqref="AC5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52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17">
      <formula>AV53="X"</formula>
    </cfRule>
    <cfRule type="expression" priority="248" dxfId="16">
      <formula>AV53="후보"</formula>
    </cfRule>
  </conditionalFormatting>
  <conditionalFormatting sqref="AC5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17">
      <formula>AV54="X"</formula>
    </cfRule>
    <cfRule type="expression" priority="229" dxfId="16">
      <formula>AV54="후보"</formula>
    </cfRule>
  </conditionalFormatting>
  <conditionalFormatting sqref="AC54 N5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55">
    <cfRule type="expression" priority="223" dxfId="17">
      <formula>AV55="X"</formula>
    </cfRule>
    <cfRule type="expression" priority="224" dxfId="16">
      <formula>AV55="후보"</formula>
    </cfRule>
  </conditionalFormatting>
  <conditionalFormatting sqref="AC5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17">
      <formula>AV56="X"</formula>
    </cfRule>
    <cfRule type="expression" priority="205" dxfId="16">
      <formula>AV56="후보"</formula>
    </cfRule>
  </conditionalFormatting>
  <conditionalFormatting sqref="AC5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17">
      <formula>AV57="X"</formula>
    </cfRule>
    <cfRule type="expression" priority="186" dxfId="16">
      <formula>AV57="후보"</formula>
    </cfRule>
  </conditionalFormatting>
  <conditionalFormatting sqref="AC5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17">
      <formula>AV58="X"</formula>
    </cfRule>
    <cfRule type="expression" priority="167" dxfId="16">
      <formula>AV58="후보"</formula>
    </cfRule>
  </conditionalFormatting>
  <conditionalFormatting sqref="AC58 N5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9">
    <cfRule type="expression" priority="161" dxfId="17">
      <formula>AV59="X"</formula>
    </cfRule>
    <cfRule type="expression" priority="162" dxfId="16">
      <formula>AV59="후보"</formula>
    </cfRule>
  </conditionalFormatting>
  <conditionalFormatting sqref="AC5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17">
      <formula>AV60="X"</formula>
    </cfRule>
    <cfRule type="expression" priority="143" dxfId="16">
      <formula>AV60="후보"</formula>
    </cfRule>
  </conditionalFormatting>
  <conditionalFormatting sqref="AC60 N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1">
    <cfRule type="expression" priority="137" dxfId="17">
      <formula>AV61="X"</formula>
    </cfRule>
    <cfRule type="expression" priority="138" dxfId="16">
      <formula>AV61="후보"</formula>
    </cfRule>
  </conditionalFormatting>
  <conditionalFormatting sqref="AC6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17">
      <formula>AV62="X"</formula>
    </cfRule>
    <cfRule type="expression" priority="119" dxfId="16">
      <formula>AV62="후보"</formula>
    </cfRule>
  </conditionalFormatting>
  <conditionalFormatting sqref="AC6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17">
      <formula>AV63="X"</formula>
    </cfRule>
    <cfRule type="expression" priority="100" dxfId="16">
      <formula>AV63="후보"</formula>
    </cfRule>
  </conditionalFormatting>
  <conditionalFormatting sqref="AC6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17">
      <formula>AV64="X"</formula>
    </cfRule>
    <cfRule type="expression" priority="81" dxfId="16">
      <formula>AV64="후보"</formula>
    </cfRule>
  </conditionalFormatting>
  <conditionalFormatting sqref="AC6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17">
      <formula>AV65="X"</formula>
    </cfRule>
    <cfRule type="expression" priority="62" dxfId="16">
      <formula>AV65="후보"</formula>
    </cfRule>
  </conditionalFormatting>
  <conditionalFormatting sqref="AC6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17">
      <formula>AV66="X"</formula>
    </cfRule>
    <cfRule type="expression" priority="43" dxfId="16">
      <formula>AV66="후보"</formula>
    </cfRule>
  </conditionalFormatting>
  <conditionalFormatting sqref="AC66 N6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7">
    <cfRule type="expression" priority="37" dxfId="17">
      <formula>AV67="X"</formula>
    </cfRule>
    <cfRule type="expression" priority="38" dxfId="16">
      <formula>AV67="후보"</formula>
    </cfRule>
  </conditionalFormatting>
  <conditionalFormatting sqref="AC6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17">
      <formula>AV68="X"</formula>
    </cfRule>
    <cfRule type="expression" priority="19" dxfId="16">
      <formula>AV68="후보"</formula>
    </cfRule>
  </conditionalFormatting>
  <conditionalFormatting sqref="AC6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실옥동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</t>
        </is>
      </c>
      <c r="B6" s="16" t="inlineStr">
        <is>
          <t>'96.12.</t>
        </is>
      </c>
      <c r="C6" s="164" t="n">
        <v>350</v>
      </c>
      <c r="D6" s="161" t="n">
        <v>79.09999999999999</v>
      </c>
      <c r="E6" s="163" t="n">
        <v>24</v>
      </c>
      <c r="F6" s="161" t="n">
        <v>59.8</v>
      </c>
      <c r="G6" s="27" t="n">
        <v>18</v>
      </c>
      <c r="H6" s="164" t="n">
        <v>132</v>
      </c>
      <c r="I6" s="165" t="n">
        <v>11500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</t>
        </is>
      </c>
      <c r="B7" s="16" t="inlineStr">
        <is>
          <t>'96.12.</t>
        </is>
      </c>
      <c r="C7" s="164" t="n">
        <v>350</v>
      </c>
      <c r="D7" s="161" t="n">
        <v>106.6</v>
      </c>
      <c r="E7" s="163" t="n">
        <v>32</v>
      </c>
      <c r="F7" s="161" t="n">
        <v>84.8</v>
      </c>
      <c r="G7" s="27" t="n">
        <v>26</v>
      </c>
      <c r="H7" s="164" t="n">
        <v>218</v>
      </c>
      <c r="I7" s="165" t="n">
        <v>17000</v>
      </c>
      <c r="J7" s="165" t="inlineStr">
        <is>
          <t>17</t>
        </is>
      </c>
      <c r="K7" s="165" t="n">
        <v>15000</v>
      </c>
      <c r="L7" s="165" t="inlineStr">
        <is>
          <t>6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팬더</t>
        </is>
      </c>
      <c r="B9" s="16" t="inlineStr">
        <is>
          <t>'99.07.</t>
        </is>
      </c>
      <c r="C9" s="164" t="n">
        <v>376</v>
      </c>
      <c r="D9" s="161" t="n">
        <v>85.2</v>
      </c>
      <c r="E9" s="163" t="n">
        <v>26</v>
      </c>
      <c r="F9" s="161" t="n">
        <v>59.1</v>
      </c>
      <c r="G9" s="27" t="n">
        <v>18</v>
      </c>
      <c r="H9" s="164" t="n">
        <v>160</v>
      </c>
      <c r="I9" s="165" t="n">
        <v>10500</v>
      </c>
      <c r="J9" s="165" t="inlineStr">
        <is>
          <t>9</t>
        </is>
      </c>
      <c r="K9" s="165" t="n">
        <v>8000</v>
      </c>
      <c r="L9" s="165" t="inlineStr">
        <is>
          <t>13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팬더</t>
        </is>
      </c>
      <c r="B10" s="16" t="inlineStr">
        <is>
          <t>'99.07.</t>
        </is>
      </c>
      <c r="C10" s="164" t="n">
        <v>376</v>
      </c>
      <c r="D10" s="161" t="n">
        <v>94.3</v>
      </c>
      <c r="E10" s="163" t="n">
        <v>29</v>
      </c>
      <c r="F10" s="161" t="n">
        <v>77.7</v>
      </c>
      <c r="G10" s="27" t="n">
        <v>23</v>
      </c>
      <c r="H10" s="164" t="n">
        <v>40</v>
      </c>
      <c r="I10" s="165" t="n">
        <v>15500</v>
      </c>
      <c r="J10" s="165" t="inlineStr">
        <is>
          <t>20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94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팬더</t>
        </is>
      </c>
      <c r="B11" s="16" t="inlineStr">
        <is>
          <t>'99.07.</t>
        </is>
      </c>
      <c r="C11" s="164" t="n">
        <v>376</v>
      </c>
      <c r="D11" s="161" t="n">
        <v>102.9</v>
      </c>
      <c r="E11" s="163" t="n">
        <v>31</v>
      </c>
      <c r="F11" s="161" t="n">
        <v>84.8</v>
      </c>
      <c r="G11" s="27" t="n">
        <v>26</v>
      </c>
      <c r="H11" s="164" t="n">
        <v>132</v>
      </c>
      <c r="I11" s="165" t="n">
        <v>15700</v>
      </c>
      <c r="J11" s="165" t="inlineStr">
        <is>
          <t>18</t>
        </is>
      </c>
      <c r="K11" s="165" t="n">
        <v>12000</v>
      </c>
      <c r="L11" s="165" t="inlineStr">
        <is>
          <t>8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팬더</t>
        </is>
      </c>
      <c r="B12" s="16" t="inlineStr">
        <is>
          <t>'99.07.</t>
        </is>
      </c>
      <c r="C12" s="164" t="n">
        <v>376</v>
      </c>
      <c r="D12" s="161" t="n">
        <v>157.8</v>
      </c>
      <c r="E12" s="163" t="n">
        <v>48</v>
      </c>
      <c r="F12" s="161" t="n">
        <v>130</v>
      </c>
      <c r="G12" s="27" t="n">
        <v>39</v>
      </c>
      <c r="H12" s="164" t="n">
        <v>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아산푸르지오</t>
        </is>
      </c>
      <c r="B14" s="16" t="inlineStr">
        <is>
          <t>'06.05.</t>
        </is>
      </c>
      <c r="C14" s="164" t="n">
        <v>580</v>
      </c>
      <c r="D14" s="161" t="n">
        <v>86.59999999999999</v>
      </c>
      <c r="E14" s="163" t="n">
        <v>26</v>
      </c>
      <c r="F14" s="161" t="n">
        <v>65.2</v>
      </c>
      <c r="G14" s="27" t="n">
        <v>20</v>
      </c>
      <c r="H14" s="164" t="n">
        <v>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아산푸르지오</t>
        </is>
      </c>
      <c r="B15" s="16" t="inlineStr">
        <is>
          <t>'06.05.</t>
        </is>
      </c>
      <c r="C15" s="164" t="n">
        <v>580</v>
      </c>
      <c r="D15" s="161" t="n">
        <v>89.8</v>
      </c>
      <c r="E15" s="163" t="n">
        <v>27</v>
      </c>
      <c r="F15" s="161" t="n">
        <v>69.09999999999999</v>
      </c>
      <c r="G15" s="27" t="n">
        <v>21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아산푸르지오</t>
        </is>
      </c>
      <c r="B16" s="16" t="inlineStr">
        <is>
          <t>'06.05.</t>
        </is>
      </c>
      <c r="C16" s="164" t="n">
        <v>580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484</v>
      </c>
      <c r="I16" s="165" t="n">
        <v>24000</v>
      </c>
      <c r="J16" s="165" t="inlineStr">
        <is>
          <t>11</t>
        </is>
      </c>
      <c r="K16" s="165" t="n">
        <v>18000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17">
      <formula>AV8="X"</formula>
    </cfRule>
    <cfRule type="expression" priority="143" dxfId="16">
      <formula>AV8="후보"</formula>
    </cfRule>
  </conditionalFormatting>
  <conditionalFormatting sqref="AC8 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염치읍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송곡신일</t>
        </is>
      </c>
      <c r="B6" s="16" t="inlineStr">
        <is>
          <t>'01.08.</t>
        </is>
      </c>
      <c r="C6" s="164" t="n">
        <v>420</v>
      </c>
      <c r="D6" s="161" t="n">
        <v>61.8</v>
      </c>
      <c r="E6" s="163" t="n">
        <v>19</v>
      </c>
      <c r="F6" s="161" t="n">
        <v>49.8</v>
      </c>
      <c r="G6" s="27" t="n">
        <v>15</v>
      </c>
      <c r="H6" s="164" t="n">
        <v>150</v>
      </c>
      <c r="I6" s="165" t="n">
        <v>7500</v>
      </c>
      <c r="J6" s="165" t="inlineStr">
        <is>
          <t>15</t>
        </is>
      </c>
      <c r="K6" s="165" t="n">
        <v>6000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송곡신일</t>
        </is>
      </c>
      <c r="B7" s="16" t="inlineStr">
        <is>
          <t>'01.08.</t>
        </is>
      </c>
      <c r="C7" s="164" t="n">
        <v>420</v>
      </c>
      <c r="D7" s="161" t="n">
        <v>73.59999999999999</v>
      </c>
      <c r="E7" s="163" t="n">
        <v>22</v>
      </c>
      <c r="F7" s="161" t="n">
        <v>59.3</v>
      </c>
      <c r="G7" s="27" t="n">
        <v>18</v>
      </c>
      <c r="H7" s="164" t="n">
        <v>270</v>
      </c>
      <c r="I7" s="165" t="n">
        <v>9300</v>
      </c>
      <c r="J7" s="165" t="inlineStr">
        <is>
          <t>8</t>
        </is>
      </c>
      <c r="K7" s="165" t="n">
        <v>7500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한남프레시앙</t>
        </is>
      </c>
      <c r="B9" s="16" t="inlineStr">
        <is>
          <t>'02.10.</t>
        </is>
      </c>
      <c r="C9" s="164" t="n">
        <v>480</v>
      </c>
      <c r="D9" s="161" t="n">
        <v>81.90000000000001</v>
      </c>
      <c r="E9" s="163" t="n">
        <v>25</v>
      </c>
      <c r="F9" s="161" t="n">
        <v>60</v>
      </c>
      <c r="G9" s="27" t="n">
        <v>18</v>
      </c>
      <c r="H9" s="164" t="n">
        <v>480</v>
      </c>
      <c r="I9" s="165" t="n">
        <v>8000</v>
      </c>
      <c r="J9" s="165" t="inlineStr">
        <is>
          <t>7</t>
        </is>
      </c>
      <c r="K9" s="165" t="n">
        <v>7000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17">
      <formula>AV8="X"</formula>
    </cfRule>
    <cfRule type="expression" priority="24" dxfId="16">
      <formula>AV8="후보"</formula>
    </cfRule>
  </conditionalFormatting>
  <conditionalFormatting sqref="AC8 N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온천동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아산온천미소지움</t>
        </is>
      </c>
      <c r="B6" s="16" t="inlineStr">
        <is>
          <t>'17.02.</t>
        </is>
      </c>
      <c r="C6" s="164" t="n">
        <v>586</v>
      </c>
      <c r="D6" s="161" t="n">
        <v>82</v>
      </c>
      <c r="E6" s="163" t="n">
        <v>25</v>
      </c>
      <c r="F6" s="161" t="n">
        <v>60</v>
      </c>
      <c r="G6" s="27" t="n">
        <v>18</v>
      </c>
      <c r="H6" s="164" t="n">
        <v>112</v>
      </c>
      <c r="I6" s="165" t="n">
        <v>25500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아산온천미소지움</t>
        </is>
      </c>
      <c r="B7" s="16" t="inlineStr">
        <is>
          <t>'17.02.</t>
        </is>
      </c>
      <c r="C7" s="164" t="n">
        <v>586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69</v>
      </c>
      <c r="I7" s="165" t="n">
        <v>25000</v>
      </c>
      <c r="J7" s="165" t="inlineStr">
        <is>
          <t>중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아산온천미소지움</t>
        </is>
      </c>
      <c r="B8" s="16" t="inlineStr">
        <is>
          <t>'17.02.</t>
        </is>
      </c>
      <c r="C8" s="164" t="n">
        <v>586</v>
      </c>
      <c r="D8" s="161" t="n">
        <v>82.2</v>
      </c>
      <c r="E8" s="163" t="n">
        <v>25</v>
      </c>
      <c r="F8" s="161" t="n">
        <v>60</v>
      </c>
      <c r="G8" s="27" t="n">
        <v>18</v>
      </c>
      <c r="H8" s="164" t="n">
        <v>155</v>
      </c>
      <c r="I8" s="165" t="n">
        <v>25500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82C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아산온천미소지움</t>
        </is>
      </c>
      <c r="B9" s="16" t="inlineStr">
        <is>
          <t>'17.02.</t>
        </is>
      </c>
      <c r="C9" s="164" t="n">
        <v>586</v>
      </c>
      <c r="D9" s="161" t="n">
        <v>91.09999999999999</v>
      </c>
      <c r="E9" s="163" t="n">
        <v>28</v>
      </c>
      <c r="F9" s="161" t="n">
        <v>69</v>
      </c>
      <c r="G9" s="27" t="n">
        <v>21</v>
      </c>
      <c r="H9" s="164" t="n">
        <v>96</v>
      </c>
      <c r="I9" s="165" t="n">
        <v>29000</v>
      </c>
      <c r="J9" s="165" t="inlineStr">
        <is>
          <t>고</t>
        </is>
      </c>
      <c r="K9" s="165" t="n">
        <v>26000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아산온천미소지움</t>
        </is>
      </c>
      <c r="B10" s="16" t="inlineStr">
        <is>
          <t>'17.02.</t>
        </is>
      </c>
      <c r="C10" s="164" t="n">
        <v>586</v>
      </c>
      <c r="D10" s="161" t="n">
        <v>98.8</v>
      </c>
      <c r="E10" s="163" t="n">
        <v>30</v>
      </c>
      <c r="F10" s="161" t="n">
        <v>75</v>
      </c>
      <c r="G10" s="27" t="n">
        <v>23</v>
      </c>
      <c r="H10" s="164" t="n">
        <v>115</v>
      </c>
      <c r="I10" s="165" t="n">
        <v>30000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아산온천미소지움</t>
        </is>
      </c>
      <c r="B11" s="16" t="inlineStr">
        <is>
          <t>'17.02.</t>
        </is>
      </c>
      <c r="C11" s="164" t="n">
        <v>586</v>
      </c>
      <c r="D11" s="161" t="n">
        <v>110.7</v>
      </c>
      <c r="E11" s="163" t="n">
        <v>33</v>
      </c>
      <c r="F11" s="161" t="n">
        <v>85</v>
      </c>
      <c r="G11" s="27" t="n">
        <v>26</v>
      </c>
      <c r="H11" s="164" t="n">
        <v>39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온양힐스테이트</t>
        </is>
      </c>
      <c r="B13" s="16" t="inlineStr">
        <is>
          <t>'06.03.</t>
        </is>
      </c>
      <c r="C13" s="164" t="n">
        <v>533</v>
      </c>
      <c r="D13" s="161" t="n">
        <v>115.8</v>
      </c>
      <c r="E13" s="163" t="n">
        <v>35</v>
      </c>
      <c r="F13" s="161" t="n">
        <v>85</v>
      </c>
      <c r="G13" s="27" t="n">
        <v>26</v>
      </c>
      <c r="H13" s="164" t="n">
        <v>60</v>
      </c>
      <c r="I13" s="165" t="n">
        <v>30000</v>
      </c>
      <c r="J13" s="165" t="inlineStr">
        <is>
          <t>12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온양힐스테이트</t>
        </is>
      </c>
      <c r="B14" s="16" t="inlineStr">
        <is>
          <t>'06.03.</t>
        </is>
      </c>
      <c r="C14" s="164" t="n">
        <v>533</v>
      </c>
      <c r="D14" s="161" t="n">
        <v>115.8</v>
      </c>
      <c r="E14" s="163" t="n">
        <v>35</v>
      </c>
      <c r="F14" s="161" t="n">
        <v>85</v>
      </c>
      <c r="G14" s="27" t="n">
        <v>26</v>
      </c>
      <c r="H14" s="164" t="n">
        <v>59</v>
      </c>
      <c r="I14" s="165" t="n">
        <v>30000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온양힐스테이트</t>
        </is>
      </c>
      <c r="B15" s="16" t="inlineStr">
        <is>
          <t>'06.03.</t>
        </is>
      </c>
      <c r="C15" s="164" t="n">
        <v>533</v>
      </c>
      <c r="D15" s="161" t="n">
        <v>116</v>
      </c>
      <c r="E15" s="163" t="n">
        <v>35</v>
      </c>
      <c r="F15" s="161" t="n">
        <v>85</v>
      </c>
      <c r="G15" s="27" t="n">
        <v>26</v>
      </c>
      <c r="H15" s="164" t="n">
        <v>309</v>
      </c>
      <c r="I15" s="165" t="n">
        <v>30000</v>
      </c>
      <c r="J15" s="165" t="inlineStr">
        <is>
          <t>14</t>
        </is>
      </c>
      <c r="K15" s="165" t="n">
        <v>25000</v>
      </c>
      <c r="L15" s="165" t="inlineStr">
        <is>
          <t>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온양힐스테이트</t>
        </is>
      </c>
      <c r="B16" s="16" t="inlineStr">
        <is>
          <t>'06.03.</t>
        </is>
      </c>
      <c r="C16" s="164" t="n">
        <v>533</v>
      </c>
      <c r="D16" s="161" t="n">
        <v>156.1</v>
      </c>
      <c r="E16" s="163" t="n">
        <v>47</v>
      </c>
      <c r="F16" s="161" t="n">
        <v>120.5</v>
      </c>
      <c r="G16" s="27" t="n">
        <v>36</v>
      </c>
      <c r="H16" s="164" t="n">
        <v>15</v>
      </c>
      <c r="I16" s="165" t="n">
        <v>39000</v>
      </c>
      <c r="J16" s="165" t="inlineStr">
        <is>
          <t>15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온양힐스테이트</t>
        </is>
      </c>
      <c r="B17" s="16" t="inlineStr">
        <is>
          <t>'06.03.</t>
        </is>
      </c>
      <c r="C17" s="164" t="n">
        <v>533</v>
      </c>
      <c r="D17" s="161" t="n">
        <v>157.4</v>
      </c>
      <c r="E17" s="163" t="n">
        <v>48</v>
      </c>
      <c r="F17" s="161" t="n">
        <v>128.6</v>
      </c>
      <c r="G17" s="27" t="n">
        <v>39</v>
      </c>
      <c r="H17" s="164" t="n">
        <v>90</v>
      </c>
      <c r="I17" s="165" t="n">
        <v>39500</v>
      </c>
      <c r="J17" s="165" t="inlineStr">
        <is>
          <t>10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157A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아산반도유보라</t>
        </is>
      </c>
      <c r="B19" s="16" t="inlineStr">
        <is>
          <t>'16.03.</t>
        </is>
      </c>
      <c r="C19" s="164" t="n">
        <v>650</v>
      </c>
      <c r="D19" s="161" t="n">
        <v>82.3</v>
      </c>
      <c r="E19" s="163" t="n">
        <v>25</v>
      </c>
      <c r="F19" s="161" t="n">
        <v>60</v>
      </c>
      <c r="G19" s="27" t="n">
        <v>18</v>
      </c>
      <c r="H19" s="164" t="n">
        <v>320</v>
      </c>
      <c r="I19" s="165" t="n">
        <v>25000</v>
      </c>
      <c r="J19" s="165" t="inlineStr">
        <is>
          <t>중</t>
        </is>
      </c>
      <c r="K19" s="165" t="n">
        <v>23000</v>
      </c>
      <c r="L19" s="165" t="inlineStr">
        <is>
          <t>고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아산반도유보라</t>
        </is>
      </c>
      <c r="B20" s="16" t="inlineStr">
        <is>
          <t>'16.03.</t>
        </is>
      </c>
      <c r="C20" s="164" t="n">
        <v>650</v>
      </c>
      <c r="D20" s="161" t="n">
        <v>82.59999999999999</v>
      </c>
      <c r="E20" s="163" t="n">
        <v>25</v>
      </c>
      <c r="F20" s="161" t="n">
        <v>60</v>
      </c>
      <c r="G20" s="27" t="n">
        <v>18</v>
      </c>
      <c r="H20" s="164" t="n">
        <v>198</v>
      </c>
      <c r="I20" s="165" t="n">
        <v>25000</v>
      </c>
      <c r="J20" s="165" t="inlineStr">
        <is>
          <t>9</t>
        </is>
      </c>
      <c r="K20" s="165" t="n">
        <v>22000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아산반도유보라</t>
        </is>
      </c>
      <c r="B21" s="16" t="inlineStr">
        <is>
          <t>'16.03.</t>
        </is>
      </c>
      <c r="C21" s="164" t="n">
        <v>650</v>
      </c>
      <c r="D21" s="161" t="n">
        <v>82.3</v>
      </c>
      <c r="E21" s="163" t="n">
        <v>25</v>
      </c>
      <c r="F21" s="161" t="n">
        <v>60</v>
      </c>
      <c r="G21" s="27" t="n">
        <v>18</v>
      </c>
      <c r="H21" s="164" t="n">
        <v>132</v>
      </c>
      <c r="I21" s="165" t="n">
        <v>25000</v>
      </c>
      <c r="J21" s="165" t="inlineStr">
        <is>
          <t>중</t>
        </is>
      </c>
      <c r="K21" s="165" t="n">
        <v>23000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온천삼일파라뷰시그니처</t>
        </is>
      </c>
      <c r="B23" s="16" t="inlineStr">
        <is>
          <t>'24.01.</t>
        </is>
      </c>
      <c r="C23" s="164" t="n">
        <v>444</v>
      </c>
      <c r="D23" s="161" t="n">
        <v>83.8</v>
      </c>
      <c r="E23" s="163" t="n">
        <v>25</v>
      </c>
      <c r="F23" s="161" t="n">
        <v>60</v>
      </c>
      <c r="G23" s="27" t="n">
        <v>18</v>
      </c>
      <c r="H23" s="164" t="n">
        <v>125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온천삼일파라뷰시그니처</t>
        </is>
      </c>
      <c r="B24" s="16" t="inlineStr">
        <is>
          <t>'24.01.</t>
        </is>
      </c>
      <c r="C24" s="164" t="n">
        <v>444</v>
      </c>
      <c r="D24" s="161" t="n">
        <v>83.59999999999999</v>
      </c>
      <c r="E24" s="163" t="n">
        <v>25</v>
      </c>
      <c r="F24" s="161" t="n">
        <v>59.8</v>
      </c>
      <c r="G24" s="27" t="n">
        <v>18</v>
      </c>
      <c r="H24" s="164" t="n">
        <v>73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온천삼일파라뷰시그니처</t>
        </is>
      </c>
      <c r="B25" s="16" t="inlineStr">
        <is>
          <t>'24.01.</t>
        </is>
      </c>
      <c r="C25" s="164" t="n">
        <v>444</v>
      </c>
      <c r="D25" s="161" t="n">
        <v>97.90000000000001</v>
      </c>
      <c r="E25" s="163" t="n">
        <v>30</v>
      </c>
      <c r="F25" s="161" t="n">
        <v>70</v>
      </c>
      <c r="G25" s="27" t="n">
        <v>21</v>
      </c>
      <c r="H25" s="164" t="n">
        <v>28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97B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온천삼일파라뷰시그니처</t>
        </is>
      </c>
      <c r="B26" s="16" t="inlineStr">
        <is>
          <t>'24.01.</t>
        </is>
      </c>
      <c r="C26" s="164" t="n">
        <v>444</v>
      </c>
      <c r="D26" s="161" t="n">
        <v>97.09999999999999</v>
      </c>
      <c r="E26" s="163" t="n">
        <v>29</v>
      </c>
      <c r="F26" s="161" t="n">
        <v>69.5</v>
      </c>
      <c r="G26" s="27" t="n">
        <v>21</v>
      </c>
      <c r="H26" s="164" t="n">
        <v>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온천삼일파라뷰시그니처</t>
        </is>
      </c>
      <c r="B27" s="16" t="inlineStr">
        <is>
          <t>'24.01.</t>
        </is>
      </c>
      <c r="C27" s="164" t="n">
        <v>444</v>
      </c>
      <c r="D27" s="161" t="n">
        <v>97.8</v>
      </c>
      <c r="E27" s="163" t="n">
        <v>30</v>
      </c>
      <c r="F27" s="161" t="n">
        <v>69.90000000000001</v>
      </c>
      <c r="G27" s="27" t="n">
        <v>21</v>
      </c>
      <c r="H27" s="164" t="n">
        <v>25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97C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온천삼일파라뷰시그니처</t>
        </is>
      </c>
      <c r="B28" s="16" t="inlineStr">
        <is>
          <t>'24.01.</t>
        </is>
      </c>
      <c r="C28" s="164" t="n">
        <v>444</v>
      </c>
      <c r="D28" s="161" t="n">
        <v>118.7</v>
      </c>
      <c r="E28" s="163" t="n">
        <v>36</v>
      </c>
      <c r="F28" s="161" t="n">
        <v>84.90000000000001</v>
      </c>
      <c r="G28" s="27" t="n">
        <v>26</v>
      </c>
      <c r="H28" s="164" t="n">
        <v>112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118A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온천삼일파라뷰시그니처</t>
        </is>
      </c>
      <c r="B29" s="16" t="inlineStr">
        <is>
          <t>'24.01.</t>
        </is>
      </c>
      <c r="C29" s="164" t="n">
        <v>444</v>
      </c>
      <c r="D29" s="161" t="n">
        <v>118.2</v>
      </c>
      <c r="E29" s="163" t="n">
        <v>36</v>
      </c>
      <c r="F29" s="161" t="n">
        <v>84.5</v>
      </c>
      <c r="G29" s="27" t="n">
        <v>26</v>
      </c>
      <c r="H29" s="164" t="n">
        <v>28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온천삼일파라뷰시그니처</t>
        </is>
      </c>
      <c r="B30" s="16" t="inlineStr">
        <is>
          <t>'24.01.</t>
        </is>
      </c>
      <c r="C30" s="164" t="n">
        <v>444</v>
      </c>
      <c r="D30" s="161" t="n">
        <v>118.3</v>
      </c>
      <c r="E30" s="163" t="n">
        <v>36</v>
      </c>
      <c r="F30" s="161" t="n">
        <v>84.59999999999999</v>
      </c>
      <c r="G30" s="27" t="n">
        <v>26</v>
      </c>
      <c r="H30" s="164" t="n">
        <v>28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경남아너스빌</t>
        </is>
      </c>
      <c r="B32" s="16" t="inlineStr">
        <is>
          <t>'96.04.</t>
        </is>
      </c>
      <c r="C32" s="164" t="n">
        <v>370</v>
      </c>
      <c r="D32" s="161" t="n">
        <v>77.40000000000001</v>
      </c>
      <c r="E32" s="163" t="n">
        <v>23</v>
      </c>
      <c r="F32" s="161" t="n">
        <v>59.9</v>
      </c>
      <c r="G32" s="27" t="n">
        <v>18</v>
      </c>
      <c r="H32" s="164" t="n">
        <v>152</v>
      </c>
      <c r="I32" s="165" t="n">
        <v>12000</v>
      </c>
      <c r="J32" s="165" t="inlineStr">
        <is>
          <t>14</t>
        </is>
      </c>
      <c r="K32" s="165" t="n">
        <v>11000</v>
      </c>
      <c r="L32" s="165" t="inlineStr">
        <is>
          <t>12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경남아너스빌</t>
        </is>
      </c>
      <c r="B33" s="16" t="inlineStr">
        <is>
          <t>'96.04.</t>
        </is>
      </c>
      <c r="C33" s="164" t="n">
        <v>370</v>
      </c>
      <c r="D33" s="161" t="n">
        <v>106.4</v>
      </c>
      <c r="E33" s="163" t="n">
        <v>32</v>
      </c>
      <c r="F33" s="161" t="n">
        <v>85</v>
      </c>
      <c r="G33" s="27" t="n">
        <v>26</v>
      </c>
      <c r="H33" s="164" t="n">
        <v>186</v>
      </c>
      <c r="I33" s="165" t="n">
        <v>15000</v>
      </c>
      <c r="J33" s="165" t="inlineStr">
        <is>
          <t>16</t>
        </is>
      </c>
      <c r="K33" s="165" t="n">
        <v>13000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106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경남아너스빌</t>
        </is>
      </c>
      <c r="B34" s="16" t="inlineStr">
        <is>
          <t>'96.04.</t>
        </is>
      </c>
      <c r="C34" s="164" t="n">
        <v>370</v>
      </c>
      <c r="D34" s="161" t="n">
        <v>144.3</v>
      </c>
      <c r="E34" s="163" t="n">
        <v>44</v>
      </c>
      <c r="F34" s="161" t="n">
        <v>121.4</v>
      </c>
      <c r="G34" s="27" t="n">
        <v>37</v>
      </c>
      <c r="H34" s="164" t="n">
        <v>32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144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일성</t>
        </is>
      </c>
      <c r="B36" s="16" t="inlineStr">
        <is>
          <t>'95.11.</t>
        </is>
      </c>
      <c r="C36" s="164" t="n">
        <v>400</v>
      </c>
      <c r="D36" s="161" t="n">
        <v>76.09999999999999</v>
      </c>
      <c r="E36" s="163" t="n">
        <v>23</v>
      </c>
      <c r="F36" s="161" t="n">
        <v>59.7</v>
      </c>
      <c r="G36" s="27" t="n">
        <v>18</v>
      </c>
      <c r="H36" s="164" t="n">
        <v>251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일성</t>
        </is>
      </c>
      <c r="B37" s="16" t="inlineStr">
        <is>
          <t>'95.11.</t>
        </is>
      </c>
      <c r="C37" s="164" t="n">
        <v>400</v>
      </c>
      <c r="D37" s="161" t="n">
        <v>91.2</v>
      </c>
      <c r="E37" s="163" t="n">
        <v>28</v>
      </c>
      <c r="F37" s="161" t="n">
        <v>71.59999999999999</v>
      </c>
      <c r="G37" s="27" t="n">
        <v>22</v>
      </c>
      <c r="H37" s="164" t="n">
        <v>16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91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일성</t>
        </is>
      </c>
      <c r="B38" s="16" t="inlineStr">
        <is>
          <t>'95.11.</t>
        </is>
      </c>
      <c r="C38" s="164" t="n">
        <v>400</v>
      </c>
      <c r="D38" s="161" t="n">
        <v>107.9</v>
      </c>
      <c r="E38" s="163" t="n">
        <v>33</v>
      </c>
      <c r="F38" s="161" t="n">
        <v>84.7</v>
      </c>
      <c r="G38" s="27" t="n">
        <v>26</v>
      </c>
      <c r="H38" s="164" t="n">
        <v>118</v>
      </c>
      <c r="I38" s="165" t="n">
        <v>17500</v>
      </c>
      <c r="J38" s="165" t="inlineStr">
        <is>
          <t>8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107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일성</t>
        </is>
      </c>
      <c r="B39" s="16" t="inlineStr">
        <is>
          <t>'95.11.</t>
        </is>
      </c>
      <c r="C39" s="164" t="n">
        <v>400</v>
      </c>
      <c r="D39" s="161" t="n">
        <v>148.4</v>
      </c>
      <c r="E39" s="163" t="n">
        <v>45</v>
      </c>
      <c r="F39" s="161" t="n">
        <v>116.5</v>
      </c>
      <c r="G39" s="27" t="n">
        <v>35</v>
      </c>
      <c r="H39" s="164" t="n">
        <v>15</v>
      </c>
      <c r="I39" s="165" t="n">
        <v>19700</v>
      </c>
      <c r="J39" s="165" t="inlineStr">
        <is>
          <t>13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148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삼정하이츠</t>
        </is>
      </c>
      <c r="B41" s="16" t="inlineStr">
        <is>
          <t>'91.04.</t>
        </is>
      </c>
      <c r="C41" s="164" t="n">
        <v>300</v>
      </c>
      <c r="D41" s="161" t="n">
        <v>67.3</v>
      </c>
      <c r="E41" s="163" t="n">
        <v>20</v>
      </c>
      <c r="F41" s="161" t="n">
        <v>56.3</v>
      </c>
      <c r="G41" s="27" t="n">
        <v>17</v>
      </c>
      <c r="H41" s="164" t="n">
        <v>110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67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삼정하이츠</t>
        </is>
      </c>
      <c r="B42" s="16" t="inlineStr">
        <is>
          <t>'91.04.</t>
        </is>
      </c>
      <c r="C42" s="164" t="n">
        <v>300</v>
      </c>
      <c r="D42" s="161" t="n">
        <v>86</v>
      </c>
      <c r="E42" s="163" t="n">
        <v>26</v>
      </c>
      <c r="F42" s="161" t="n">
        <v>73.5</v>
      </c>
      <c r="G42" s="27" t="n">
        <v>22</v>
      </c>
      <c r="H42" s="164" t="n">
        <v>90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86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삼정하이츠</t>
        </is>
      </c>
      <c r="B43" s="16" t="inlineStr">
        <is>
          <t>'91.04.</t>
        </is>
      </c>
      <c r="C43" s="164" t="n">
        <v>300</v>
      </c>
      <c r="D43" s="161" t="n">
        <v>98.2</v>
      </c>
      <c r="E43" s="163" t="n">
        <v>30</v>
      </c>
      <c r="F43" s="161" t="n">
        <v>84.7</v>
      </c>
      <c r="G43" s="27" t="n">
        <v>26</v>
      </c>
      <c r="H43" s="164" t="n">
        <v>100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98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용화주공</t>
        </is>
      </c>
      <c r="B45" s="16" t="inlineStr">
        <is>
          <t>'83.11.</t>
        </is>
      </c>
      <c r="C45" s="164" t="n">
        <v>240</v>
      </c>
      <c r="D45" s="161" t="n">
        <v>53.6</v>
      </c>
      <c r="E45" s="163" t="n">
        <v>16</v>
      </c>
      <c r="F45" s="161" t="n">
        <v>48.6</v>
      </c>
      <c r="G45" s="27" t="n">
        <v>15</v>
      </c>
      <c r="H45" s="164" t="n">
        <v>130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53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용화주공</t>
        </is>
      </c>
      <c r="B46" s="16" t="inlineStr">
        <is>
          <t>'83.11.</t>
        </is>
      </c>
      <c r="C46" s="164" t="n">
        <v>240</v>
      </c>
      <c r="D46" s="161" t="n">
        <v>61.5</v>
      </c>
      <c r="E46" s="163" t="n">
        <v>19</v>
      </c>
      <c r="F46" s="161" t="n">
        <v>55.8</v>
      </c>
      <c r="G46" s="27" t="n">
        <v>17</v>
      </c>
      <c r="H46" s="164" t="n">
        <v>110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61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아산칸타빌센트럴시티(주)</t>
        </is>
      </c>
      <c r="B48" s="16" t="inlineStr">
        <is>
          <t>'24.03.</t>
        </is>
      </c>
      <c r="C48" s="164" t="n">
        <v>299</v>
      </c>
      <c r="D48" s="161" t="n">
        <v>85.5</v>
      </c>
      <c r="E48" s="163" t="n">
        <v>26</v>
      </c>
      <c r="F48" s="161" t="n">
        <v>60</v>
      </c>
      <c r="G48" s="27" t="n">
        <v>18</v>
      </c>
      <c r="H48" s="164" t="n">
        <v>175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아산칸타빌센트럴시티(주)</t>
        </is>
      </c>
      <c r="B49" s="16" t="inlineStr">
        <is>
          <t>'24.03.</t>
        </is>
      </c>
      <c r="C49" s="164" t="n">
        <v>299</v>
      </c>
      <c r="D49" s="161" t="n">
        <v>85.3</v>
      </c>
      <c r="E49" s="163" t="n">
        <v>26</v>
      </c>
      <c r="F49" s="161" t="n">
        <v>60</v>
      </c>
      <c r="G49" s="27" t="n">
        <v>18</v>
      </c>
      <c r="H49" s="164" t="n">
        <v>97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85B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아산칸타빌센트럴시티(주)</t>
        </is>
      </c>
      <c r="B50" s="16" t="inlineStr">
        <is>
          <t>'24.03.</t>
        </is>
      </c>
      <c r="C50" s="164" t="n">
        <v>299</v>
      </c>
      <c r="D50" s="161" t="n">
        <v>110.6</v>
      </c>
      <c r="E50" s="163" t="n">
        <v>33</v>
      </c>
      <c r="F50" s="161" t="n">
        <v>78.7</v>
      </c>
      <c r="G50" s="27" t="n">
        <v>24</v>
      </c>
      <c r="H50" s="164" t="n">
        <v>27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110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17">
      <formula>AV4="X"</formula>
    </cfRule>
    <cfRule type="expression" priority="745" dxfId="16">
      <formula>AV4="후보"</formula>
    </cfRule>
  </conditionalFormatting>
  <conditionalFormatting sqref="AC1:AC2 AC4:AC6 N4:N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N1:N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17">
      <formula>AV7="X"</formula>
    </cfRule>
    <cfRule type="expression" priority="724" dxfId="16">
      <formula>AV7="후보"</formula>
    </cfRule>
  </conditionalFormatting>
  <conditionalFormatting sqref="AC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17">
      <formula>AV8="X"</formula>
    </cfRule>
    <cfRule type="expression" priority="705" dxfId="16">
      <formula>AV8="후보"</formula>
    </cfRule>
  </conditionalFormatting>
  <conditionalFormatting sqref="AC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17">
      <formula>AV9="X"</formula>
    </cfRule>
    <cfRule type="expression" priority="686" dxfId="16">
      <formula>AV9="후보"</formula>
    </cfRule>
  </conditionalFormatting>
  <conditionalFormatting sqref="AC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17">
      <formula>AV10="X"</formula>
    </cfRule>
    <cfRule type="expression" priority="667" dxfId="16">
      <formula>AV10="후보"</formula>
    </cfRule>
  </conditionalFormatting>
  <conditionalFormatting sqref="AC1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17">
      <formula>AV11="X"</formula>
    </cfRule>
    <cfRule type="expression" priority="648" dxfId="16">
      <formula>AV11="후보"</formula>
    </cfRule>
  </conditionalFormatting>
  <conditionalFormatting sqref="AC11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1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17">
      <formula>AV12="X"</formula>
    </cfRule>
    <cfRule type="expression" priority="629" dxfId="16">
      <formula>AV12="후보"</formula>
    </cfRule>
  </conditionalFormatting>
  <conditionalFormatting sqref="AC12 N1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13">
    <cfRule type="expression" priority="623" dxfId="17">
      <formula>AV13="X"</formula>
    </cfRule>
    <cfRule type="expression" priority="624" dxfId="16">
      <formula>AV13="후보"</formula>
    </cfRule>
  </conditionalFormatting>
  <conditionalFormatting sqref="AC1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17">
      <formula>AV14="X"</formula>
    </cfRule>
    <cfRule type="expression" priority="605" dxfId="16">
      <formula>AV14="후보"</formula>
    </cfRule>
  </conditionalFormatting>
  <conditionalFormatting sqref="AC1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4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17">
      <formula>AV15="X"</formula>
    </cfRule>
    <cfRule type="expression" priority="586" dxfId="16">
      <formula>AV15="후보"</formula>
    </cfRule>
  </conditionalFormatting>
  <conditionalFormatting sqref="AC15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17">
      <formula>AV16="X"</formula>
    </cfRule>
    <cfRule type="expression" priority="567" dxfId="16">
      <formula>AV16="후보"</formula>
    </cfRule>
  </conditionalFormatting>
  <conditionalFormatting sqref="AC16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6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17">
      <formula>AV17="X"</formula>
    </cfRule>
    <cfRule type="expression" priority="548" dxfId="16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7">
      <formula>AV18="X"</formula>
    </cfRule>
    <cfRule type="expression" priority="529" dxfId="16">
      <formula>AV18="후보"</formula>
    </cfRule>
  </conditionalFormatting>
  <conditionalFormatting sqref="AC18 N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17">
      <formula>AV21="X"</formula>
    </cfRule>
    <cfRule type="expression" priority="486" dxfId="16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7">
      <formula>AV22="X"</formula>
    </cfRule>
    <cfRule type="expression" priority="467" dxfId="16">
      <formula>AV22="후보"</formula>
    </cfRule>
  </conditionalFormatting>
  <conditionalFormatting sqref="AC22 N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17">
      <formula>AV25="X"</formula>
    </cfRule>
    <cfRule type="expression" priority="424" dxfId="16">
      <formula>AV25="후보"</formula>
    </cfRule>
  </conditionalFormatting>
  <conditionalFormatting sqref="AC2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17">
      <formula>AV26="X"</formula>
    </cfRule>
    <cfRule type="expression" priority="405" dxfId="16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7">
      <formula>AV27="X"</formula>
    </cfRule>
    <cfRule type="expression" priority="386" dxfId="16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7">
      <formula>AV28="X"</formula>
    </cfRule>
    <cfRule type="expression" priority="367" dxfId="16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7">
      <formula>AV29="X"</formula>
    </cfRule>
    <cfRule type="expression" priority="348" dxfId="16">
      <formula>AV29="후보"</formula>
    </cfRule>
  </conditionalFormatting>
  <conditionalFormatting sqref="AC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17">
      <formula>AV30="X"</formula>
    </cfRule>
    <cfRule type="expression" priority="329" dxfId="16">
      <formula>AV30="후보"</formula>
    </cfRule>
  </conditionalFormatting>
  <conditionalFormatting sqref="AC3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17">
      <formula>AV31="X"</formula>
    </cfRule>
    <cfRule type="expression" priority="310" dxfId="16">
      <formula>AV31="후보"</formula>
    </cfRule>
  </conditionalFormatting>
  <conditionalFormatting sqref="AC31 N3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2">
    <cfRule type="expression" priority="304" dxfId="17">
      <formula>AV32="X"</formula>
    </cfRule>
    <cfRule type="expression" priority="305" dxfId="16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7">
      <formula>AV33="X"</formula>
    </cfRule>
    <cfRule type="expression" priority="286" dxfId="16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7">
      <formula>AV34="X"</formula>
    </cfRule>
    <cfRule type="expression" priority="267" dxfId="16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7">
      <formula>AV35="X"</formula>
    </cfRule>
    <cfRule type="expression" priority="248" dxfId="16">
      <formula>AV35="후보"</formula>
    </cfRule>
  </conditionalFormatting>
  <conditionalFormatting sqref="AC35 N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36">
    <cfRule type="expression" priority="242" dxfId="17">
      <formula>AV36="X"</formula>
    </cfRule>
    <cfRule type="expression" priority="243" dxfId="16">
      <formula>AV36="후보"</formula>
    </cfRule>
  </conditionalFormatting>
  <conditionalFormatting sqref="AC3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17">
      <formula>AV37="X"</formula>
    </cfRule>
    <cfRule type="expression" priority="224" dxfId="16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7">
      <formula>AV38="X"</formula>
    </cfRule>
    <cfRule type="expression" priority="205" dxfId="16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7">
      <formula>AV39="X"</formula>
    </cfRule>
    <cfRule type="expression" priority="186" dxfId="16">
      <formula>AV39="후보"</formula>
    </cfRule>
  </conditionalFormatting>
  <conditionalFormatting sqref="AC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17">
      <formula>AV40="X"</formula>
    </cfRule>
    <cfRule type="expression" priority="167" dxfId="16">
      <formula>AV40="후보"</formula>
    </cfRule>
  </conditionalFormatting>
  <conditionalFormatting sqref="AC40 N4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41">
    <cfRule type="expression" priority="161" dxfId="17">
      <formula>AV41="X"</formula>
    </cfRule>
    <cfRule type="expression" priority="162" dxfId="16">
      <formula>AV41="후보"</formula>
    </cfRule>
  </conditionalFormatting>
  <conditionalFormatting sqref="AC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17">
      <formula>AV42="X"</formula>
    </cfRule>
    <cfRule type="expression" priority="143" dxfId="16">
      <formula>AV42="후보"</formula>
    </cfRule>
  </conditionalFormatting>
  <conditionalFormatting sqref="AC4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17">
      <formula>AV43="X"</formula>
    </cfRule>
    <cfRule type="expression" priority="124" dxfId="16">
      <formula>AV43="후보"</formula>
    </cfRule>
  </conditionalFormatting>
  <conditionalFormatting sqref="AC4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17">
      <formula>AV44="X"</formula>
    </cfRule>
    <cfRule type="expression" priority="105" dxfId="16">
      <formula>AV44="후보"</formula>
    </cfRule>
  </conditionalFormatting>
  <conditionalFormatting sqref="AC44 N4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5">
    <cfRule type="expression" priority="99" dxfId="17">
      <formula>AV45="X"</formula>
    </cfRule>
    <cfRule type="expression" priority="100" dxfId="16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7">
      <formula>AV46="X"</formula>
    </cfRule>
    <cfRule type="expression" priority="81" dxfId="16">
      <formula>AV46="후보"</formula>
    </cfRule>
  </conditionalFormatting>
  <conditionalFormatting sqref="AC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17">
      <formula>AV47="X"</formula>
    </cfRule>
    <cfRule type="expression" priority="62" dxfId="16">
      <formula>AV47="후보"</formula>
    </cfRule>
  </conditionalFormatting>
  <conditionalFormatting sqref="AC47 N4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아산용화엘크루</t>
        </is>
      </c>
      <c r="B6" s="16" t="inlineStr">
        <is>
          <t>'14.09.</t>
        </is>
      </c>
      <c r="C6" s="164" t="n">
        <v>511</v>
      </c>
      <c r="D6" s="161" t="n">
        <v>85.59999999999999</v>
      </c>
      <c r="E6" s="163" t="n">
        <v>26</v>
      </c>
      <c r="F6" s="161" t="n">
        <v>59.9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아산용화엘크루</t>
        </is>
      </c>
      <c r="B7" s="16" t="inlineStr">
        <is>
          <t>'14.09.</t>
        </is>
      </c>
      <c r="C7" s="164" t="n">
        <v>511</v>
      </c>
      <c r="D7" s="161" t="n">
        <v>86.09999999999999</v>
      </c>
      <c r="E7" s="163" t="n">
        <v>26</v>
      </c>
      <c r="F7" s="161" t="n">
        <v>60</v>
      </c>
      <c r="G7" s="27" t="n">
        <v>18</v>
      </c>
      <c r="H7" s="164" t="n">
        <v>116</v>
      </c>
      <c r="I7" s="165" t="n">
        <v>26000</v>
      </c>
      <c r="J7" s="165" t="inlineStr">
        <is>
          <t>8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아산용화엘크루</t>
        </is>
      </c>
      <c r="B8" s="16" t="inlineStr">
        <is>
          <t>'14.09.</t>
        </is>
      </c>
      <c r="C8" s="164" t="n">
        <v>511</v>
      </c>
      <c r="D8" s="161" t="n">
        <v>98.7</v>
      </c>
      <c r="E8" s="163" t="n">
        <v>30</v>
      </c>
      <c r="F8" s="161" t="n">
        <v>73.8</v>
      </c>
      <c r="G8" s="27" t="n">
        <v>22</v>
      </c>
      <c r="H8" s="164" t="n">
        <v>50</v>
      </c>
      <c r="I8" s="165" t="n">
        <v>32000</v>
      </c>
      <c r="J8" s="165" t="inlineStr">
        <is>
          <t>8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아산용화엘크루</t>
        </is>
      </c>
      <c r="B9" s="16" t="inlineStr">
        <is>
          <t>'14.09.</t>
        </is>
      </c>
      <c r="C9" s="164" t="n">
        <v>511</v>
      </c>
      <c r="D9" s="161" t="n">
        <v>99.2</v>
      </c>
      <c r="E9" s="163" t="n">
        <v>30</v>
      </c>
      <c r="F9" s="161" t="n">
        <v>74</v>
      </c>
      <c r="G9" s="27" t="n">
        <v>22</v>
      </c>
      <c r="H9" s="164" t="n">
        <v>52</v>
      </c>
      <c r="I9" s="165" t="n">
        <v>32500</v>
      </c>
      <c r="J9" s="165" t="inlineStr">
        <is>
          <t>중</t>
        </is>
      </c>
      <c r="K9" s="165" t="n">
        <v>26000</v>
      </c>
      <c r="L9" s="165" t="inlineStr">
        <is>
          <t>24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아산용화엘크루</t>
        </is>
      </c>
      <c r="B10" s="16" t="inlineStr">
        <is>
          <t>'14.09.</t>
        </is>
      </c>
      <c r="C10" s="164" t="n">
        <v>511</v>
      </c>
      <c r="D10" s="161" t="n">
        <v>112.9</v>
      </c>
      <c r="E10" s="163" t="n">
        <v>34</v>
      </c>
      <c r="F10" s="161" t="n">
        <v>84.90000000000001</v>
      </c>
      <c r="G10" s="27" t="n">
        <v>26</v>
      </c>
      <c r="H10" s="164" t="n">
        <v>87</v>
      </c>
      <c r="I10" s="165" t="n">
        <v>31500</v>
      </c>
      <c r="J10" s="165" t="inlineStr">
        <is>
          <t>24</t>
        </is>
      </c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아산용화엘크루</t>
        </is>
      </c>
      <c r="B11" s="16" t="inlineStr">
        <is>
          <t>'14.09.</t>
        </is>
      </c>
      <c r="C11" s="164" t="n">
        <v>511</v>
      </c>
      <c r="D11" s="161" t="n">
        <v>113.1</v>
      </c>
      <c r="E11" s="163" t="n">
        <v>34</v>
      </c>
      <c r="F11" s="161" t="n">
        <v>84.90000000000001</v>
      </c>
      <c r="G11" s="27" t="n">
        <v>26</v>
      </c>
      <c r="H11" s="164" t="n">
        <v>90</v>
      </c>
      <c r="I11" s="165" t="n">
        <v>36000</v>
      </c>
      <c r="J11" s="165" t="inlineStr">
        <is>
          <t>고</t>
        </is>
      </c>
      <c r="K11" s="165" t="n">
        <v>28500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아산줌파크</t>
        </is>
      </c>
      <c r="B13" s="16" t="inlineStr">
        <is>
          <t>'23.07.</t>
        </is>
      </c>
      <c r="C13" s="164" t="n">
        <v>763</v>
      </c>
      <c r="D13" s="161" t="n">
        <v>98.2</v>
      </c>
      <c r="E13" s="163" t="n">
        <v>30</v>
      </c>
      <c r="F13" s="161" t="n">
        <v>75.3</v>
      </c>
      <c r="G13" s="27" t="n">
        <v>23</v>
      </c>
      <c r="H13" s="164" t="n">
        <v>384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아산줌파크</t>
        </is>
      </c>
      <c r="B14" s="16" t="inlineStr">
        <is>
          <t>'23.07.</t>
        </is>
      </c>
      <c r="C14" s="164" t="n">
        <v>763</v>
      </c>
      <c r="D14" s="161" t="n">
        <v>104.1</v>
      </c>
      <c r="E14" s="163" t="n">
        <v>31</v>
      </c>
      <c r="F14" s="161" t="n">
        <v>79.5</v>
      </c>
      <c r="G14" s="27" t="n">
        <v>24</v>
      </c>
      <c r="H14" s="164" t="n">
        <v>69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아산줌파크</t>
        </is>
      </c>
      <c r="B15" s="16" t="inlineStr">
        <is>
          <t>'23.07.</t>
        </is>
      </c>
      <c r="C15" s="164" t="n">
        <v>763</v>
      </c>
      <c r="D15" s="161" t="n">
        <v>109.9</v>
      </c>
      <c r="E15" s="163" t="n">
        <v>33</v>
      </c>
      <c r="F15" s="161" t="n">
        <v>84.8</v>
      </c>
      <c r="G15" s="27" t="n">
        <v>26</v>
      </c>
      <c r="H15" s="164" t="n">
        <v>310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용화마을신도브래뉴</t>
        </is>
      </c>
      <c r="B17" s="16" t="inlineStr">
        <is>
          <t>'09.10.</t>
        </is>
      </c>
      <c r="C17" s="164" t="n">
        <v>940</v>
      </c>
      <c r="D17" s="161" t="n">
        <v>92</v>
      </c>
      <c r="E17" s="163" t="n">
        <v>28</v>
      </c>
      <c r="F17" s="161" t="n">
        <v>60</v>
      </c>
      <c r="G17" s="27" t="n">
        <v>18</v>
      </c>
      <c r="H17" s="164" t="n">
        <v>403</v>
      </c>
      <c r="I17" s="165" t="n">
        <v>25000</v>
      </c>
      <c r="J17" s="165" t="inlineStr">
        <is>
          <t>고</t>
        </is>
      </c>
      <c r="K17" s="165" t="n">
        <v>23000</v>
      </c>
      <c r="L17" s="165" t="inlineStr">
        <is>
          <t>13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용화마을신도브래뉴</t>
        </is>
      </c>
      <c r="B18" s="16" t="inlineStr">
        <is>
          <t>'09.10.</t>
        </is>
      </c>
      <c r="C18" s="164" t="n">
        <v>940</v>
      </c>
      <c r="D18" s="161" t="n">
        <v>118.8</v>
      </c>
      <c r="E18" s="163" t="n">
        <v>36</v>
      </c>
      <c r="F18" s="161" t="n">
        <v>85</v>
      </c>
      <c r="G18" s="27" t="n">
        <v>26</v>
      </c>
      <c r="H18" s="164" t="n">
        <v>200</v>
      </c>
      <c r="I18" s="165" t="n">
        <v>33000</v>
      </c>
      <c r="J18" s="165" t="inlineStr">
        <is>
          <t>고</t>
        </is>
      </c>
      <c r="K18" s="165" t="n">
        <v>27000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용화마을신도브래뉴</t>
        </is>
      </c>
      <c r="B19" s="16" t="inlineStr">
        <is>
          <t>'09.10.</t>
        </is>
      </c>
      <c r="C19" s="164" t="n">
        <v>940</v>
      </c>
      <c r="D19" s="161" t="n">
        <v>118.7</v>
      </c>
      <c r="E19" s="163" t="n">
        <v>36</v>
      </c>
      <c r="F19" s="161" t="n">
        <v>85</v>
      </c>
      <c r="G19" s="27" t="n">
        <v>26</v>
      </c>
      <c r="H19" s="164" t="n">
        <v>199</v>
      </c>
      <c r="I19" s="165" t="n">
        <v>32000</v>
      </c>
      <c r="J19" s="165" t="inlineStr">
        <is>
          <t>중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용화마을신도브래뉴</t>
        </is>
      </c>
      <c r="B20" s="16" t="inlineStr">
        <is>
          <t>'09.10.</t>
        </is>
      </c>
      <c r="C20" s="164" t="n">
        <v>940</v>
      </c>
      <c r="D20" s="161" t="n">
        <v>118.9</v>
      </c>
      <c r="E20" s="163" t="n">
        <v>36</v>
      </c>
      <c r="F20" s="161" t="n">
        <v>85</v>
      </c>
      <c r="G20" s="27" t="n">
        <v>26</v>
      </c>
      <c r="H20" s="164" t="n">
        <v>32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118C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용화마을신도브래뉴</t>
        </is>
      </c>
      <c r="B21" s="16" t="inlineStr">
        <is>
          <t>'09.10.</t>
        </is>
      </c>
      <c r="C21" s="164" t="n">
        <v>940</v>
      </c>
      <c r="D21" s="161" t="n">
        <v>163.3</v>
      </c>
      <c r="E21" s="163" t="n">
        <v>49</v>
      </c>
      <c r="F21" s="161" t="n">
        <v>126.6</v>
      </c>
      <c r="G21" s="27" t="n">
        <v>38</v>
      </c>
      <c r="H21" s="164" t="n">
        <v>106</v>
      </c>
      <c r="I21" s="165" t="n">
        <v>43000</v>
      </c>
      <c r="J21" s="165" t="inlineStr">
        <is>
          <t>15</t>
        </is>
      </c>
      <c r="K21" s="165" t="n">
        <v>40000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163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모아미래도</t>
        </is>
      </c>
      <c r="B23" s="16" t="inlineStr">
        <is>
          <t>'05.02.</t>
        </is>
      </c>
      <c r="C23" s="164" t="n">
        <v>510</v>
      </c>
      <c r="D23" s="161" t="n">
        <v>118.4</v>
      </c>
      <c r="E23" s="163" t="n">
        <v>36</v>
      </c>
      <c r="F23" s="161" t="n">
        <v>85</v>
      </c>
      <c r="G23" s="27" t="n">
        <v>26</v>
      </c>
      <c r="H23" s="164" t="n">
        <v>450</v>
      </c>
      <c r="I23" s="165" t="n">
        <v>25000</v>
      </c>
      <c r="J23" s="165" t="inlineStr">
        <is>
          <t>7</t>
        </is>
      </c>
      <c r="K23" s="165" t="n">
        <v>23000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모아미래도</t>
        </is>
      </c>
      <c r="B24" s="16" t="inlineStr">
        <is>
          <t>'05.02.</t>
        </is>
      </c>
      <c r="C24" s="164" t="n">
        <v>510</v>
      </c>
      <c r="D24" s="161" t="n">
        <v>153.2</v>
      </c>
      <c r="E24" s="163" t="n">
        <v>46</v>
      </c>
      <c r="F24" s="161" t="n">
        <v>123.6</v>
      </c>
      <c r="G24" s="27" t="n">
        <v>37</v>
      </c>
      <c r="H24" s="164" t="n">
        <v>60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주공2단지</t>
        </is>
      </c>
      <c r="B26" s="16" t="inlineStr">
        <is>
          <t>'89.03.</t>
        </is>
      </c>
      <c r="C26" s="164" t="n">
        <v>370</v>
      </c>
      <c r="D26" s="161" t="n">
        <v>45.1</v>
      </c>
      <c r="E26" s="163" t="n">
        <v>14</v>
      </c>
      <c r="F26" s="161" t="n">
        <v>39.3</v>
      </c>
      <c r="G26" s="27" t="n">
        <v>12</v>
      </c>
      <c r="H26" s="164" t="n">
        <v>150</v>
      </c>
      <c r="I26" s="165" t="n">
        <v>8500</v>
      </c>
      <c r="J26" s="165" t="inlineStr">
        <is>
          <t>5</t>
        </is>
      </c>
      <c r="K26" s="165" t="n">
        <v>5500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주공2단지</t>
        </is>
      </c>
      <c r="B27" s="16" t="inlineStr">
        <is>
          <t>'89.03.</t>
        </is>
      </c>
      <c r="C27" s="164" t="n">
        <v>370</v>
      </c>
      <c r="D27" s="161" t="n">
        <v>45.5</v>
      </c>
      <c r="E27" s="163" t="n">
        <v>14</v>
      </c>
      <c r="F27" s="161" t="n">
        <v>39.7</v>
      </c>
      <c r="G27" s="27" t="n">
        <v>12</v>
      </c>
      <c r="H27" s="164" t="n">
        <v>100</v>
      </c>
      <c r="I27" s="165" t="n">
        <v>10000</v>
      </c>
      <c r="J27" s="165" t="inlineStr">
        <is>
          <t>5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inlineStr">
        <is>
          <t>45S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주공2단지</t>
        </is>
      </c>
      <c r="B28" s="16" t="inlineStr">
        <is>
          <t>'89.03.</t>
        </is>
      </c>
      <c r="C28" s="164" t="n">
        <v>370</v>
      </c>
      <c r="D28" s="161" t="n">
        <v>52.9</v>
      </c>
      <c r="E28" s="163" t="n">
        <v>16</v>
      </c>
      <c r="F28" s="161" t="n">
        <v>47</v>
      </c>
      <c r="G28" s="27" t="n">
        <v>14</v>
      </c>
      <c r="H28" s="164" t="n">
        <v>90</v>
      </c>
      <c r="I28" s="165" t="n"/>
      <c r="J28" s="165" t="n"/>
      <c r="K28" s="165" t="n">
        <v>5500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주공2단지</t>
        </is>
      </c>
      <c r="B29" s="16" t="inlineStr">
        <is>
          <t>'89.03.</t>
        </is>
      </c>
      <c r="C29" s="164" t="n">
        <v>370</v>
      </c>
      <c r="D29" s="161" t="n">
        <v>52.5</v>
      </c>
      <c r="E29" s="163" t="n">
        <v>16</v>
      </c>
      <c r="F29" s="161" t="n">
        <v>46.7</v>
      </c>
      <c r="G29" s="27" t="n">
        <v>14</v>
      </c>
      <c r="H29" s="164" t="n">
        <v>30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52S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온천마을</t>
        </is>
      </c>
      <c r="B31" s="16" t="inlineStr">
        <is>
          <t>'98.06.</t>
        </is>
      </c>
      <c r="C31" s="164" t="n">
        <v>830</v>
      </c>
      <c r="D31" s="161" t="n">
        <v>72.59999999999999</v>
      </c>
      <c r="E31" s="163" t="n">
        <v>22</v>
      </c>
      <c r="F31" s="161" t="n">
        <v>59.8</v>
      </c>
      <c r="G31" s="27" t="n">
        <v>18</v>
      </c>
      <c r="H31" s="164" t="n">
        <v>500</v>
      </c>
      <c r="I31" s="165" t="n">
        <v>16500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72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온천마을</t>
        </is>
      </c>
      <c r="B32" s="16" t="inlineStr">
        <is>
          <t>'98.06.</t>
        </is>
      </c>
      <c r="C32" s="164" t="n">
        <v>830</v>
      </c>
      <c r="D32" s="161" t="n">
        <v>104.5</v>
      </c>
      <c r="E32" s="163" t="n">
        <v>32</v>
      </c>
      <c r="F32" s="161" t="n">
        <v>84.90000000000001</v>
      </c>
      <c r="G32" s="27" t="n">
        <v>26</v>
      </c>
      <c r="H32" s="164" t="n">
        <v>330</v>
      </c>
      <c r="I32" s="165" t="n">
        <v>18000</v>
      </c>
      <c r="J32" s="165" t="inlineStr">
        <is>
          <t>15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아산용화아이파크</t>
        </is>
      </c>
      <c r="B34" s="16" t="inlineStr">
        <is>
          <t>'14.07.</t>
        </is>
      </c>
      <c r="C34" s="164" t="n">
        <v>894</v>
      </c>
      <c r="D34" s="161" t="n">
        <v>112</v>
      </c>
      <c r="E34" s="163" t="n">
        <v>34</v>
      </c>
      <c r="F34" s="161" t="n">
        <v>85</v>
      </c>
      <c r="G34" s="27" t="n">
        <v>26</v>
      </c>
      <c r="H34" s="164" t="n">
        <v>122</v>
      </c>
      <c r="I34" s="165" t="n">
        <v>36000</v>
      </c>
      <c r="J34" s="165" t="inlineStr">
        <is>
          <t>20</t>
        </is>
      </c>
      <c r="K34" s="165" t="n">
        <v>30000</v>
      </c>
      <c r="L34" s="165" t="inlineStr">
        <is>
          <t>14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111F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아산용화아이파크</t>
        </is>
      </c>
      <c r="B35" s="16" t="inlineStr">
        <is>
          <t>'14.07.</t>
        </is>
      </c>
      <c r="C35" s="164" t="n">
        <v>894</v>
      </c>
      <c r="D35" s="161" t="n">
        <v>112</v>
      </c>
      <c r="E35" s="163" t="n">
        <v>34</v>
      </c>
      <c r="F35" s="161" t="n">
        <v>85</v>
      </c>
      <c r="G35" s="27" t="n">
        <v>26</v>
      </c>
      <c r="H35" s="164" t="n">
        <v>58</v>
      </c>
      <c r="I35" s="165" t="n">
        <v>36000</v>
      </c>
      <c r="J35" s="165" t="inlineStr">
        <is>
          <t>20</t>
        </is>
      </c>
      <c r="K35" s="165" t="n">
        <v>30000</v>
      </c>
      <c r="L35" s="165" t="inlineStr">
        <is>
          <t>14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111D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아산용화아이파크</t>
        </is>
      </c>
      <c r="B36" s="16" t="inlineStr">
        <is>
          <t>'14.07.</t>
        </is>
      </c>
      <c r="C36" s="164" t="n">
        <v>894</v>
      </c>
      <c r="D36" s="161" t="n">
        <v>111.7</v>
      </c>
      <c r="E36" s="163" t="n">
        <v>34</v>
      </c>
      <c r="F36" s="161" t="n">
        <v>84.90000000000001</v>
      </c>
      <c r="G36" s="27" t="n">
        <v>26</v>
      </c>
      <c r="H36" s="164" t="n">
        <v>58</v>
      </c>
      <c r="I36" s="165" t="n">
        <v>36000</v>
      </c>
      <c r="J36" s="165" t="inlineStr">
        <is>
          <t>12</t>
        </is>
      </c>
      <c r="K36" s="165" t="n">
        <v>28000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111E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아산용화아이파크</t>
        </is>
      </c>
      <c r="B37" s="16" t="inlineStr">
        <is>
          <t>'14.07.</t>
        </is>
      </c>
      <c r="C37" s="164" t="n">
        <v>894</v>
      </c>
      <c r="D37" s="161" t="n">
        <v>113</v>
      </c>
      <c r="E37" s="163" t="n">
        <v>34</v>
      </c>
      <c r="F37" s="161" t="n">
        <v>85</v>
      </c>
      <c r="G37" s="27" t="n">
        <v>26</v>
      </c>
      <c r="H37" s="164" t="n">
        <v>147</v>
      </c>
      <c r="I37" s="165" t="n">
        <v>35000</v>
      </c>
      <c r="J37" s="165" t="inlineStr">
        <is>
          <t>5</t>
        </is>
      </c>
      <c r="K37" s="165" t="n">
        <v>28000</v>
      </c>
      <c r="L37" s="165" t="inlineStr">
        <is>
          <t>18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아산용화아이파크</t>
        </is>
      </c>
      <c r="B38" s="16" t="inlineStr">
        <is>
          <t>'14.07.</t>
        </is>
      </c>
      <c r="C38" s="164" t="n">
        <v>894</v>
      </c>
      <c r="D38" s="161" t="n">
        <v>112.3</v>
      </c>
      <c r="E38" s="163" t="n">
        <v>34</v>
      </c>
      <c r="F38" s="161" t="n">
        <v>85</v>
      </c>
      <c r="G38" s="27" t="n">
        <v>26</v>
      </c>
      <c r="H38" s="164" t="n">
        <v>71</v>
      </c>
      <c r="I38" s="165" t="n">
        <v>43000</v>
      </c>
      <c r="J38" s="165" t="inlineStr">
        <is>
          <t>20</t>
        </is>
      </c>
      <c r="K38" s="165" t="n">
        <v>29000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아산용화아이파크</t>
        </is>
      </c>
      <c r="B39" s="16" t="inlineStr">
        <is>
          <t>'14.07.</t>
        </is>
      </c>
      <c r="C39" s="164" t="n">
        <v>894</v>
      </c>
      <c r="D39" s="161" t="n">
        <v>113.4</v>
      </c>
      <c r="E39" s="163" t="n">
        <v>34</v>
      </c>
      <c r="F39" s="161" t="n">
        <v>85</v>
      </c>
      <c r="G39" s="27" t="n">
        <v>26</v>
      </c>
      <c r="H39" s="164" t="n">
        <v>396</v>
      </c>
      <c r="I39" s="165" t="n">
        <v>37000</v>
      </c>
      <c r="J39" s="165" t="inlineStr">
        <is>
          <t>11</t>
        </is>
      </c>
      <c r="K39" s="165" t="n">
        <v>30000</v>
      </c>
      <c r="L39" s="165" t="inlineStr">
        <is>
          <t>20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113A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아산용화아이파크</t>
        </is>
      </c>
      <c r="B40" s="16" t="inlineStr">
        <is>
          <t>'14.07.</t>
        </is>
      </c>
      <c r="C40" s="164" t="n">
        <v>894</v>
      </c>
      <c r="D40" s="161" t="n">
        <v>141.1</v>
      </c>
      <c r="E40" s="163" t="n">
        <v>43</v>
      </c>
      <c r="F40" s="161" t="n">
        <v>110.9</v>
      </c>
      <c r="G40" s="27" t="n">
        <v>34</v>
      </c>
      <c r="H40" s="164" t="n">
        <v>42</v>
      </c>
      <c r="I40" s="165" t="n">
        <v>50000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141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주공3단지</t>
        </is>
      </c>
      <c r="B42" s="16" t="inlineStr">
        <is>
          <t>'97.03.</t>
        </is>
      </c>
      <c r="C42" s="164" t="n">
        <v>898</v>
      </c>
      <c r="D42" s="161" t="n">
        <v>68.3</v>
      </c>
      <c r="E42" s="163" t="n">
        <v>21</v>
      </c>
      <c r="F42" s="161" t="n">
        <v>49.7</v>
      </c>
      <c r="G42" s="27" t="n">
        <v>15</v>
      </c>
      <c r="H42" s="164" t="n">
        <v>178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68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주공3단지</t>
        </is>
      </c>
      <c r="B43" s="16" t="inlineStr">
        <is>
          <t>'97.03.</t>
        </is>
      </c>
      <c r="C43" s="164" t="n">
        <v>898</v>
      </c>
      <c r="D43" s="161" t="n">
        <v>77.2</v>
      </c>
      <c r="E43" s="163" t="n">
        <v>23</v>
      </c>
      <c r="F43" s="161" t="n">
        <v>60</v>
      </c>
      <c r="G43" s="27" t="n">
        <v>18</v>
      </c>
      <c r="H43" s="164" t="n">
        <v>720</v>
      </c>
      <c r="I43" s="165" t="n">
        <v>12000</v>
      </c>
      <c r="J43" s="165" t="inlineStr">
        <is>
          <t>6</t>
        </is>
      </c>
      <c r="K43" s="165" t="n">
        <v>12000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17">
      <formula>AV4="X"</formula>
    </cfRule>
    <cfRule type="expression" priority="626" dxfId="16">
      <formula>AV4="후보"</formula>
    </cfRule>
  </conditionalFormatting>
  <conditionalFormatting sqref="AC1:AC2 AC4:AC6 N4:N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1:N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17">
      <formula>AV7="X"</formula>
    </cfRule>
    <cfRule type="expression" priority="605" dxfId="16">
      <formula>AV7="후보"</formula>
    </cfRule>
  </conditionalFormatting>
  <conditionalFormatting sqref="AC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17">
      <formula>AV8="X"</formula>
    </cfRule>
    <cfRule type="expression" priority="586" dxfId="16">
      <formula>AV8="후보"</formula>
    </cfRule>
  </conditionalFormatting>
  <conditionalFormatting sqref="AC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17">
      <formula>AV9="X"</formula>
    </cfRule>
    <cfRule type="expression" priority="567" dxfId="16">
      <formula>AV9="후보"</formula>
    </cfRule>
  </conditionalFormatting>
  <conditionalFormatting sqref="AC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17">
      <formula>AV10="X"</formula>
    </cfRule>
    <cfRule type="expression" priority="548" dxfId="16">
      <formula>AV10="후보"</formula>
    </cfRule>
  </conditionalFormatting>
  <conditionalFormatting sqref="AC1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0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17">
      <formula>AV11="X"</formula>
    </cfRule>
    <cfRule type="expression" priority="529" dxfId="16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7">
      <formula>AV12="X"</formula>
    </cfRule>
    <cfRule type="expression" priority="510" dxfId="16">
      <formula>AV12="후보"</formula>
    </cfRule>
  </conditionalFormatting>
  <conditionalFormatting sqref="AC12 N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3">
    <cfRule type="expression" priority="504" dxfId="17">
      <formula>AV13="X"</formula>
    </cfRule>
    <cfRule type="expression" priority="505" dxfId="16">
      <formula>AV13="후보"</formula>
    </cfRule>
  </conditionalFormatting>
  <conditionalFormatting sqref="AC1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17">
      <formula>AV14="X"</formula>
    </cfRule>
    <cfRule type="expression" priority="486" dxfId="16">
      <formula>AV14="후보"</formula>
    </cfRule>
  </conditionalFormatting>
  <conditionalFormatting sqref="AC1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17">
      <formula>AV15="X"</formula>
    </cfRule>
    <cfRule type="expression" priority="467" dxfId="16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7">
      <formula>AV16="X"</formula>
    </cfRule>
    <cfRule type="expression" priority="448" dxfId="16">
      <formula>AV16="후보"</formula>
    </cfRule>
  </conditionalFormatting>
  <conditionalFormatting sqref="AC16 N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7">
    <cfRule type="expression" priority="442" dxfId="17">
      <formula>AV17="X"</formula>
    </cfRule>
    <cfRule type="expression" priority="443" dxfId="16">
      <formula>AV17="후보"</formula>
    </cfRule>
  </conditionalFormatting>
  <conditionalFormatting sqref="AC1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17">
      <formula>AV18="X"</formula>
    </cfRule>
    <cfRule type="expression" priority="424" dxfId="16">
      <formula>AV18="후보"</formula>
    </cfRule>
  </conditionalFormatting>
  <conditionalFormatting sqref="AC1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17">
      <formula>AV19="X"</formula>
    </cfRule>
    <cfRule type="expression" priority="405" dxfId="16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7">
      <formula>AV20="X"</formula>
    </cfRule>
    <cfRule type="expression" priority="386" dxfId="16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7">
      <formula>AV21="X"</formula>
    </cfRule>
    <cfRule type="expression" priority="367" dxfId="16">
      <formula>AV21="후보"</formula>
    </cfRule>
  </conditionalFormatting>
  <conditionalFormatting sqref="AC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17">
      <formula>AV22="X"</formula>
    </cfRule>
    <cfRule type="expression" priority="348" dxfId="16">
      <formula>AV22="후보"</formula>
    </cfRule>
  </conditionalFormatting>
  <conditionalFormatting sqref="AC22 N2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3">
    <cfRule type="expression" priority="342" dxfId="17">
      <formula>AV23="X"</formula>
    </cfRule>
    <cfRule type="expression" priority="343" dxfId="16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7">
      <formula>AV24="X"</formula>
    </cfRule>
    <cfRule type="expression" priority="324" dxfId="16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7">
      <formula>AV25="X"</formula>
    </cfRule>
    <cfRule type="expression" priority="305" dxfId="16">
      <formula>AV25="후보"</formula>
    </cfRule>
  </conditionalFormatting>
  <conditionalFormatting sqref="AC25 N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6">
    <cfRule type="expression" priority="299" dxfId="17">
      <formula>AV26="X"</formula>
    </cfRule>
    <cfRule type="expression" priority="300" dxfId="16">
      <formula>AV26="후보"</formula>
    </cfRule>
  </conditionalFormatting>
  <conditionalFormatting sqref="AC2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17">
      <formula>AV27="X"</formula>
    </cfRule>
    <cfRule type="expression" priority="281" dxfId="16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7">
      <formula>AV28="X"</formula>
    </cfRule>
    <cfRule type="expression" priority="262" dxfId="16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7">
      <formula>AV29="X"</formula>
    </cfRule>
    <cfRule type="expression" priority="243" dxfId="16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 N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1">
    <cfRule type="expression" priority="218" dxfId="17">
      <formula>AV31="X"</formula>
    </cfRule>
    <cfRule type="expression" priority="219" dxfId="16">
      <formula>AV31="후보"</formula>
    </cfRule>
  </conditionalFormatting>
  <conditionalFormatting sqref="AC3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17">
      <formula>AV32="X"</formula>
    </cfRule>
    <cfRule type="expression" priority="200" dxfId="16">
      <formula>AV32="후보"</formula>
    </cfRule>
  </conditionalFormatting>
  <conditionalFormatting sqref="AC3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17">
      <formula>AV33="X"</formula>
    </cfRule>
    <cfRule type="expression" priority="181" dxfId="16">
      <formula>AV33="후보"</formula>
    </cfRule>
  </conditionalFormatting>
  <conditionalFormatting sqref="AC33 N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17">
      <formula>AV36="X"</formula>
    </cfRule>
    <cfRule type="expression" priority="138" dxfId="16">
      <formula>AV36="후보"</formula>
    </cfRule>
  </conditionalFormatting>
  <conditionalFormatting sqref="AC3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음봉면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아산더샵레이크시티3차</t>
        </is>
      </c>
      <c r="B6" s="16" t="inlineStr">
        <is>
          <t>'16.01.</t>
        </is>
      </c>
      <c r="C6" s="164" t="n">
        <v>1118</v>
      </c>
      <c r="D6" s="161" t="n">
        <v>98.59999999999999</v>
      </c>
      <c r="E6" s="163" t="n">
        <v>30</v>
      </c>
      <c r="F6" s="161" t="n">
        <v>72.8</v>
      </c>
      <c r="G6" s="27" t="n">
        <v>22</v>
      </c>
      <c r="H6" s="164" t="n">
        <v>122</v>
      </c>
      <c r="I6" s="165" t="n">
        <v>29000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아산더샵레이크시티3차</t>
        </is>
      </c>
      <c r="B7" s="16" t="inlineStr">
        <is>
          <t>'16.01.</t>
        </is>
      </c>
      <c r="C7" s="164" t="n">
        <v>1118</v>
      </c>
      <c r="D7" s="161" t="n">
        <v>110.9</v>
      </c>
      <c r="E7" s="163" t="n">
        <v>34</v>
      </c>
      <c r="F7" s="161" t="n">
        <v>85</v>
      </c>
      <c r="G7" s="27" t="n">
        <v>26</v>
      </c>
      <c r="H7" s="164" t="n">
        <v>469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아산더샵레이크시티3차</t>
        </is>
      </c>
      <c r="B8" s="16" t="inlineStr">
        <is>
          <t>'16.01.</t>
        </is>
      </c>
      <c r="C8" s="164" t="n">
        <v>1118</v>
      </c>
      <c r="D8" s="161" t="n">
        <v>112</v>
      </c>
      <c r="E8" s="163" t="n">
        <v>34</v>
      </c>
      <c r="F8" s="161" t="n">
        <v>85</v>
      </c>
      <c r="G8" s="27" t="n">
        <v>26</v>
      </c>
      <c r="H8" s="164" t="n">
        <v>285</v>
      </c>
      <c r="I8" s="165" t="n">
        <v>32000</v>
      </c>
      <c r="J8" s="165" t="inlineStr">
        <is>
          <t>11</t>
        </is>
      </c>
      <c r="K8" s="165" t="n">
        <v>25000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아산더샵레이크시티3차</t>
        </is>
      </c>
      <c r="B9" s="16" t="inlineStr">
        <is>
          <t>'16.01.</t>
        </is>
      </c>
      <c r="C9" s="164" t="n">
        <v>1118</v>
      </c>
      <c r="D9" s="161" t="n">
        <v>129</v>
      </c>
      <c r="E9" s="163" t="n">
        <v>39</v>
      </c>
      <c r="F9" s="161" t="n">
        <v>99.8</v>
      </c>
      <c r="G9" s="27" t="n">
        <v>30</v>
      </c>
      <c r="H9" s="164" t="n">
        <v>121</v>
      </c>
      <c r="I9" s="165" t="n">
        <v>40000</v>
      </c>
      <c r="J9" s="165" t="inlineStr">
        <is>
          <t>20</t>
        </is>
      </c>
      <c r="K9" s="165" t="n">
        <v>30000</v>
      </c>
      <c r="L9" s="165" t="inlineStr">
        <is>
          <t>13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128A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아산더샵레이크시티3차</t>
        </is>
      </c>
      <c r="B10" s="16" t="inlineStr">
        <is>
          <t>'16.01.</t>
        </is>
      </c>
      <c r="C10" s="164" t="n">
        <v>1118</v>
      </c>
      <c r="D10" s="161" t="n">
        <v>129.3</v>
      </c>
      <c r="E10" s="163" t="n">
        <v>39</v>
      </c>
      <c r="F10" s="161" t="n">
        <v>100</v>
      </c>
      <c r="G10" s="27" t="n">
        <v>30</v>
      </c>
      <c r="H10" s="164" t="n">
        <v>121</v>
      </c>
      <c r="I10" s="165" t="n">
        <v>40500</v>
      </c>
      <c r="J10" s="165" t="inlineStr">
        <is>
          <t>6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129B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아산한라비발디스마트밸리</t>
        </is>
      </c>
      <c r="B12" s="16" t="inlineStr">
        <is>
          <t>'24.01.</t>
        </is>
      </c>
      <c r="C12" s="164" t="n">
        <v>998</v>
      </c>
      <c r="D12" s="161" t="n">
        <v>74</v>
      </c>
      <c r="E12" s="163" t="n">
        <v>22</v>
      </c>
      <c r="F12" s="161" t="n">
        <v>54.9</v>
      </c>
      <c r="G12" s="27" t="n">
        <v>17</v>
      </c>
      <c r="H12" s="164" t="n">
        <v>244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74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아산한라비발디스마트밸리</t>
        </is>
      </c>
      <c r="B13" s="16" t="inlineStr">
        <is>
          <t>'24.01.</t>
        </is>
      </c>
      <c r="C13" s="164" t="n">
        <v>998</v>
      </c>
      <c r="D13" s="161" t="n">
        <v>86.8</v>
      </c>
      <c r="E13" s="163" t="n">
        <v>26</v>
      </c>
      <c r="F13" s="161" t="n">
        <v>65.7</v>
      </c>
      <c r="G13" s="27" t="n">
        <v>20</v>
      </c>
      <c r="H13" s="164" t="n">
        <v>158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86A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아산한라비발디스마트밸리</t>
        </is>
      </c>
      <c r="B14" s="16" t="inlineStr">
        <is>
          <t>'24.01.</t>
        </is>
      </c>
      <c r="C14" s="164" t="n">
        <v>998</v>
      </c>
      <c r="D14" s="161" t="n">
        <v>86.7</v>
      </c>
      <c r="E14" s="163" t="n">
        <v>26</v>
      </c>
      <c r="F14" s="161" t="n">
        <v>65.3</v>
      </c>
      <c r="G14" s="27" t="n">
        <v>20</v>
      </c>
      <c r="H14" s="164" t="n">
        <v>43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아산한라비발디스마트밸리</t>
        </is>
      </c>
      <c r="B15" s="16" t="inlineStr">
        <is>
          <t>'24.01.</t>
        </is>
      </c>
      <c r="C15" s="164" t="n">
        <v>998</v>
      </c>
      <c r="D15" s="161" t="n">
        <v>86.7</v>
      </c>
      <c r="E15" s="163" t="n">
        <v>26</v>
      </c>
      <c r="F15" s="161" t="n">
        <v>65.3</v>
      </c>
      <c r="G15" s="27" t="n">
        <v>20</v>
      </c>
      <c r="H15" s="164" t="n">
        <v>24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아산한라비발디스마트밸리</t>
        </is>
      </c>
      <c r="B16" s="16" t="inlineStr">
        <is>
          <t>'24.01.</t>
        </is>
      </c>
      <c r="C16" s="164" t="n">
        <v>998</v>
      </c>
      <c r="D16" s="161" t="n">
        <v>88.40000000000001</v>
      </c>
      <c r="E16" s="163" t="n">
        <v>27</v>
      </c>
      <c r="F16" s="161" t="n">
        <v>65.5</v>
      </c>
      <c r="G16" s="27" t="n">
        <v>20</v>
      </c>
      <c r="H16" s="164" t="n">
        <v>126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88B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아산한라비발디스마트밸리</t>
        </is>
      </c>
      <c r="B17" s="16" t="inlineStr">
        <is>
          <t>'24.01.</t>
        </is>
      </c>
      <c r="C17" s="164" t="n">
        <v>998</v>
      </c>
      <c r="D17" s="161" t="n">
        <v>100</v>
      </c>
      <c r="E17" s="163" t="n">
        <v>30</v>
      </c>
      <c r="F17" s="161" t="n">
        <v>75.7</v>
      </c>
      <c r="G17" s="27" t="n">
        <v>23</v>
      </c>
      <c r="H17" s="164" t="n">
        <v>151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아산한라비발디스마트밸리</t>
        </is>
      </c>
      <c r="B18" s="16" t="inlineStr">
        <is>
          <t>'24.01.</t>
        </is>
      </c>
      <c r="C18" s="164" t="n">
        <v>998</v>
      </c>
      <c r="D18" s="161" t="n">
        <v>109.2</v>
      </c>
      <c r="E18" s="163" t="n">
        <v>33</v>
      </c>
      <c r="F18" s="161" t="n">
        <v>84.90000000000001</v>
      </c>
      <c r="G18" s="27" t="n">
        <v>26</v>
      </c>
      <c r="H18" s="164" t="n">
        <v>178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아산한라비발디스마트밸리</t>
        </is>
      </c>
      <c r="B19" s="16" t="inlineStr">
        <is>
          <t>'24.01.</t>
        </is>
      </c>
      <c r="C19" s="164" t="n">
        <v>998</v>
      </c>
      <c r="D19" s="161" t="n">
        <v>109.6</v>
      </c>
      <c r="E19" s="163" t="n">
        <v>33</v>
      </c>
      <c r="F19" s="161" t="n">
        <v>84.7</v>
      </c>
      <c r="G19" s="27" t="n">
        <v>26</v>
      </c>
      <c r="H19" s="164" t="n">
        <v>74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아산삼일원앙</t>
        </is>
      </c>
      <c r="B21" s="16" t="inlineStr">
        <is>
          <t>'97.08.</t>
        </is>
      </c>
      <c r="C21" s="164" t="n">
        <v>1440</v>
      </c>
      <c r="D21" s="161" t="n">
        <v>52.4</v>
      </c>
      <c r="E21" s="163" t="n">
        <v>16</v>
      </c>
      <c r="F21" s="161" t="n">
        <v>39.7</v>
      </c>
      <c r="G21" s="27" t="n">
        <v>12</v>
      </c>
      <c r="H21" s="164" t="n">
        <v>630</v>
      </c>
      <c r="I21" s="165" t="n">
        <v>7500</v>
      </c>
      <c r="J21" s="165" t="inlineStr">
        <is>
          <t>10</t>
        </is>
      </c>
      <c r="K21" s="165" t="n">
        <v>5500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52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아산삼일원앙</t>
        </is>
      </c>
      <c r="B22" s="16" t="inlineStr">
        <is>
          <t>'97.08.</t>
        </is>
      </c>
      <c r="C22" s="164" t="n">
        <v>1440</v>
      </c>
      <c r="D22" s="161" t="n">
        <v>72.40000000000001</v>
      </c>
      <c r="E22" s="163" t="n">
        <v>22</v>
      </c>
      <c r="F22" s="161" t="n">
        <v>59.5</v>
      </c>
      <c r="G22" s="27" t="n">
        <v>18</v>
      </c>
      <c r="H22" s="164" t="n">
        <v>690</v>
      </c>
      <c r="I22" s="165" t="n">
        <v>13000</v>
      </c>
      <c r="J22" s="165" t="inlineStr">
        <is>
          <t>8</t>
        </is>
      </c>
      <c r="K22" s="165" t="n">
        <v>12000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아산삼일원앙</t>
        </is>
      </c>
      <c r="B23" s="16" t="inlineStr">
        <is>
          <t>'97.08.</t>
        </is>
      </c>
      <c r="C23" s="164" t="n">
        <v>1440</v>
      </c>
      <c r="D23" s="161" t="n">
        <v>72.7</v>
      </c>
      <c r="E23" s="163" t="n">
        <v>22</v>
      </c>
      <c r="F23" s="161" t="n">
        <v>59.9</v>
      </c>
      <c r="G23" s="27" t="n">
        <v>18</v>
      </c>
      <c r="H23" s="164" t="n">
        <v>120</v>
      </c>
      <c r="I23" s="165" t="n">
        <v>12300</v>
      </c>
      <c r="J23" s="165" t="inlineStr">
        <is>
          <t>고</t>
        </is>
      </c>
      <c r="K23" s="165" t="n">
        <v>12000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더샵레이크사이드</t>
        </is>
      </c>
      <c r="B25" s="16" t="inlineStr">
        <is>
          <t>'06.12.</t>
        </is>
      </c>
      <c r="C25" s="164" t="n">
        <v>1288</v>
      </c>
      <c r="D25" s="161" t="n">
        <v>111</v>
      </c>
      <c r="E25" s="163" t="n">
        <v>34</v>
      </c>
      <c r="F25" s="161" t="n">
        <v>85</v>
      </c>
      <c r="G25" s="27" t="n">
        <v>26</v>
      </c>
      <c r="H25" s="164" t="n">
        <v>630</v>
      </c>
      <c r="I25" s="165" t="n">
        <v>23000</v>
      </c>
      <c r="J25" s="165" t="inlineStr">
        <is>
          <t>중</t>
        </is>
      </c>
      <c r="K25" s="165" t="n">
        <v>18000</v>
      </c>
      <c r="L25" s="165" t="inlineStr">
        <is>
          <t>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더샵레이크사이드</t>
        </is>
      </c>
      <c r="B26" s="16" t="inlineStr">
        <is>
          <t>'06.12.</t>
        </is>
      </c>
      <c r="C26" s="164" t="n">
        <v>1288</v>
      </c>
      <c r="D26" s="161" t="n">
        <v>131.5</v>
      </c>
      <c r="E26" s="163" t="n">
        <v>40</v>
      </c>
      <c r="F26" s="161" t="n">
        <v>101.9</v>
      </c>
      <c r="G26" s="27" t="n">
        <v>31</v>
      </c>
      <c r="H26" s="164" t="n">
        <v>270</v>
      </c>
      <c r="I26" s="165" t="n">
        <v>27000</v>
      </c>
      <c r="J26" s="165" t="inlineStr">
        <is>
          <t>5</t>
        </is>
      </c>
      <c r="K26" s="165" t="n">
        <v>25000</v>
      </c>
      <c r="L26" s="165" t="inlineStr">
        <is>
          <t>14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더샵레이크사이드</t>
        </is>
      </c>
      <c r="B27" s="16" t="inlineStr">
        <is>
          <t>'06.12.</t>
        </is>
      </c>
      <c r="C27" s="164" t="n">
        <v>1288</v>
      </c>
      <c r="D27" s="161" t="n">
        <v>164.7</v>
      </c>
      <c r="E27" s="163" t="n">
        <v>50</v>
      </c>
      <c r="F27" s="161" t="n">
        <v>133.2</v>
      </c>
      <c r="G27" s="27" t="n">
        <v>40</v>
      </c>
      <c r="H27" s="164" t="n">
        <v>298</v>
      </c>
      <c r="I27" s="165" t="n">
        <v>32000</v>
      </c>
      <c r="J27" s="165" t="inlineStr">
        <is>
          <t>12</t>
        </is>
      </c>
      <c r="K27" s="165" t="n">
        <v>24000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164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더샵레이크사이드</t>
        </is>
      </c>
      <c r="B28" s="16" t="inlineStr">
        <is>
          <t>'06.12.</t>
        </is>
      </c>
      <c r="C28" s="164" t="n">
        <v>1288</v>
      </c>
      <c r="D28" s="161" t="n">
        <v>197.6</v>
      </c>
      <c r="E28" s="163" t="n">
        <v>60</v>
      </c>
      <c r="F28" s="161" t="n">
        <v>164.4</v>
      </c>
      <c r="G28" s="27" t="n">
        <v>50</v>
      </c>
      <c r="H28" s="164" t="n">
        <v>90</v>
      </c>
      <c r="I28" s="165" t="n">
        <v>46500</v>
      </c>
      <c r="J28" s="165" t="inlineStr">
        <is>
          <t>중</t>
        </is>
      </c>
      <c r="K28" s="165" t="n">
        <v>35000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197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태헌장미2차</t>
        </is>
      </c>
      <c r="B30" s="16" t="inlineStr">
        <is>
          <t>'96.05.</t>
        </is>
      </c>
      <c r="C30" s="164" t="n">
        <v>348</v>
      </c>
      <c r="D30" s="161" t="n">
        <v>66.7</v>
      </c>
      <c r="E30" s="163" t="n">
        <v>20</v>
      </c>
      <c r="F30" s="161" t="n">
        <v>49.8</v>
      </c>
      <c r="G30" s="27" t="n">
        <v>15</v>
      </c>
      <c r="H30" s="164" t="n">
        <v>132</v>
      </c>
      <c r="I30" s="165" t="n">
        <v>7400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66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태헌장미2차</t>
        </is>
      </c>
      <c r="B31" s="16" t="inlineStr">
        <is>
          <t>'96.05.</t>
        </is>
      </c>
      <c r="C31" s="164" t="n">
        <v>348</v>
      </c>
      <c r="D31" s="161" t="n">
        <v>79.40000000000001</v>
      </c>
      <c r="E31" s="163" t="n">
        <v>24</v>
      </c>
      <c r="F31" s="161" t="n">
        <v>59.3</v>
      </c>
      <c r="G31" s="27" t="n">
        <v>18</v>
      </c>
      <c r="H31" s="164" t="n">
        <v>168</v>
      </c>
      <c r="I31" s="165" t="n">
        <v>9500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태헌장미2차</t>
        </is>
      </c>
      <c r="B32" s="16" t="inlineStr">
        <is>
          <t>'96.05.</t>
        </is>
      </c>
      <c r="C32" s="164" t="n">
        <v>348</v>
      </c>
      <c r="D32" s="161" t="n">
        <v>97.09999999999999</v>
      </c>
      <c r="E32" s="163" t="n">
        <v>29</v>
      </c>
      <c r="F32" s="161" t="n">
        <v>72.5</v>
      </c>
      <c r="G32" s="27" t="n">
        <v>22</v>
      </c>
      <c r="H32" s="164" t="n">
        <v>48</v>
      </c>
      <c r="I32" s="165" t="n">
        <v>12000</v>
      </c>
      <c r="J32" s="165" t="inlineStr">
        <is>
          <t>10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복</t>
        </is>
      </c>
      <c r="T32" s="8" t="n">
        <v>97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해링턴플레이스스마트밸리</t>
        </is>
      </c>
      <c r="B34" s="16" t="inlineStr">
        <is>
          <t>'23.10.</t>
        </is>
      </c>
      <c r="C34" s="164" t="n">
        <v>704</v>
      </c>
      <c r="D34" s="161" t="n">
        <v>80.90000000000001</v>
      </c>
      <c r="E34" s="163" t="n">
        <v>24</v>
      </c>
      <c r="F34" s="161" t="n">
        <v>59.6</v>
      </c>
      <c r="G34" s="27" t="n">
        <v>18</v>
      </c>
      <c r="H34" s="164" t="n">
        <v>64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해링턴플레이스스마트밸리</t>
        </is>
      </c>
      <c r="B35" s="16" t="inlineStr">
        <is>
          <t>'23.10.</t>
        </is>
      </c>
      <c r="C35" s="164" t="n">
        <v>704</v>
      </c>
      <c r="D35" s="161" t="n">
        <v>81.90000000000001</v>
      </c>
      <c r="E35" s="163" t="n">
        <v>25</v>
      </c>
      <c r="F35" s="161" t="n">
        <v>59.9</v>
      </c>
      <c r="G35" s="27" t="n">
        <v>18</v>
      </c>
      <c r="H35" s="164" t="n">
        <v>36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81A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해링턴플레이스스마트밸리</t>
        </is>
      </c>
      <c r="B36" s="16" t="inlineStr">
        <is>
          <t>'23.10.</t>
        </is>
      </c>
      <c r="C36" s="164" t="n">
        <v>704</v>
      </c>
      <c r="D36" s="161" t="n">
        <v>96.40000000000001</v>
      </c>
      <c r="E36" s="163" t="n">
        <v>29</v>
      </c>
      <c r="F36" s="161" t="n">
        <v>71.3</v>
      </c>
      <c r="G36" s="27" t="n">
        <v>22</v>
      </c>
      <c r="H36" s="164" t="n">
        <v>166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96A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해링턴플레이스스마트밸리</t>
        </is>
      </c>
      <c r="B37" s="16" t="inlineStr">
        <is>
          <t>'23.10.</t>
        </is>
      </c>
      <c r="C37" s="164" t="n">
        <v>704</v>
      </c>
      <c r="D37" s="161" t="n">
        <v>97.2</v>
      </c>
      <c r="E37" s="163" t="n">
        <v>29</v>
      </c>
      <c r="F37" s="161" t="n">
        <v>71.59999999999999</v>
      </c>
      <c r="G37" s="27" t="n">
        <v>22</v>
      </c>
      <c r="H37" s="164" t="n">
        <v>98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97B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해링턴플레이스스마트밸리</t>
        </is>
      </c>
      <c r="B38" s="16" t="inlineStr">
        <is>
          <t>'23.10.</t>
        </is>
      </c>
      <c r="C38" s="164" t="n">
        <v>704</v>
      </c>
      <c r="D38" s="161" t="n">
        <v>113.7</v>
      </c>
      <c r="E38" s="163" t="n">
        <v>34</v>
      </c>
      <c r="F38" s="161" t="n">
        <v>84.8</v>
      </c>
      <c r="G38" s="27" t="n">
        <v>26</v>
      </c>
      <c r="H38" s="164" t="n">
        <v>245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해링턴플레이스스마트밸리</t>
        </is>
      </c>
      <c r="B39" s="16" t="inlineStr">
        <is>
          <t>'23.10.</t>
        </is>
      </c>
      <c r="C39" s="164" t="n">
        <v>704</v>
      </c>
      <c r="D39" s="161" t="n">
        <v>114.2</v>
      </c>
      <c r="E39" s="163" t="n">
        <v>35</v>
      </c>
      <c r="F39" s="161" t="n">
        <v>84.5</v>
      </c>
      <c r="G39" s="27" t="n">
        <v>26</v>
      </c>
      <c r="H39" s="164" t="n">
        <v>95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초원그린타운</t>
        </is>
      </c>
      <c r="B41" s="16" t="inlineStr">
        <is>
          <t>'97.04.</t>
        </is>
      </c>
      <c r="C41" s="164" t="n">
        <v>1875</v>
      </c>
      <c r="D41" s="161" t="n">
        <v>49.1</v>
      </c>
      <c r="E41" s="163" t="n">
        <v>15</v>
      </c>
      <c r="F41" s="161" t="n">
        <v>39.3</v>
      </c>
      <c r="G41" s="27" t="n">
        <v>12</v>
      </c>
      <c r="H41" s="164" t="n">
        <v>1875</v>
      </c>
      <c r="I41" s="165" t="n">
        <v>5000</v>
      </c>
      <c r="J41" s="165" t="inlineStr">
        <is>
          <t>5</t>
        </is>
      </c>
      <c r="K41" s="165" t="n">
        <v>4500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49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아산더샵레이크시티2차</t>
        </is>
      </c>
      <c r="B43" s="16" t="inlineStr">
        <is>
          <t>'15.12.</t>
        </is>
      </c>
      <c r="C43" s="164" t="n">
        <v>796</v>
      </c>
      <c r="D43" s="161" t="n">
        <v>97.7</v>
      </c>
      <c r="E43" s="163" t="n">
        <v>30</v>
      </c>
      <c r="F43" s="161" t="n">
        <v>72.8</v>
      </c>
      <c r="G43" s="27" t="n">
        <v>22</v>
      </c>
      <c r="H43" s="164" t="n">
        <v>178</v>
      </c>
      <c r="I43" s="165" t="n">
        <v>28000</v>
      </c>
      <c r="J43" s="165" t="inlineStr">
        <is>
          <t>10</t>
        </is>
      </c>
      <c r="K43" s="165" t="n">
        <v>22000</v>
      </c>
      <c r="L43" s="165" t="inlineStr">
        <is>
          <t>11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아산더샵레이크시티2차</t>
        </is>
      </c>
      <c r="B44" s="16" t="inlineStr">
        <is>
          <t>'15.12.</t>
        </is>
      </c>
      <c r="C44" s="164" t="n">
        <v>796</v>
      </c>
      <c r="D44" s="161" t="n">
        <v>110.9</v>
      </c>
      <c r="E44" s="163" t="n">
        <v>34</v>
      </c>
      <c r="F44" s="161" t="n">
        <v>85</v>
      </c>
      <c r="G44" s="27" t="n">
        <v>26</v>
      </c>
      <c r="H44" s="164" t="n">
        <v>244</v>
      </c>
      <c r="I44" s="165" t="n">
        <v>34000</v>
      </c>
      <c r="J44" s="165" t="inlineStr">
        <is>
          <t>13</t>
        </is>
      </c>
      <c r="K44" s="165" t="n">
        <v>25000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아산더샵레이크시티2차</t>
        </is>
      </c>
      <c r="B45" s="16" t="inlineStr">
        <is>
          <t>'15.12.</t>
        </is>
      </c>
      <c r="C45" s="164" t="n">
        <v>796</v>
      </c>
      <c r="D45" s="161" t="n">
        <v>111.9</v>
      </c>
      <c r="E45" s="163" t="n">
        <v>34</v>
      </c>
      <c r="F45" s="161" t="n">
        <v>85</v>
      </c>
      <c r="G45" s="27" t="n">
        <v>26</v>
      </c>
      <c r="H45" s="164" t="n">
        <v>164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아산더샵레이크시티2차</t>
        </is>
      </c>
      <c r="B46" s="16" t="inlineStr">
        <is>
          <t>'15.12.</t>
        </is>
      </c>
      <c r="C46" s="164" t="n">
        <v>796</v>
      </c>
      <c r="D46" s="161" t="n">
        <v>111.7</v>
      </c>
      <c r="E46" s="163" t="n">
        <v>34</v>
      </c>
      <c r="F46" s="161" t="n">
        <v>84.90000000000001</v>
      </c>
      <c r="G46" s="27" t="n">
        <v>26</v>
      </c>
      <c r="H46" s="164" t="n">
        <v>82</v>
      </c>
      <c r="I46" s="165" t="n">
        <v>32000</v>
      </c>
      <c r="J46" s="165" t="inlineStr">
        <is>
          <t>18</t>
        </is>
      </c>
      <c r="K46" s="165" t="n">
        <v>25000</v>
      </c>
      <c r="L46" s="165" t="inlineStr">
        <is>
          <t>15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111C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아산더샵레이크시티2차</t>
        </is>
      </c>
      <c r="B47" s="16" t="inlineStr">
        <is>
          <t>'15.12.</t>
        </is>
      </c>
      <c r="C47" s="164" t="n">
        <v>796</v>
      </c>
      <c r="D47" s="161" t="n">
        <v>128.9</v>
      </c>
      <c r="E47" s="163" t="n">
        <v>39</v>
      </c>
      <c r="F47" s="161" t="n">
        <v>99.8</v>
      </c>
      <c r="G47" s="27" t="n">
        <v>30</v>
      </c>
      <c r="H47" s="164" t="n">
        <v>32</v>
      </c>
      <c r="I47" s="165" t="n">
        <v>44000</v>
      </c>
      <c r="J47" s="165" t="inlineStr">
        <is>
          <t>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128A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아산더샵레이크시티2차</t>
        </is>
      </c>
      <c r="B48" s="16" t="inlineStr">
        <is>
          <t>'15.12.</t>
        </is>
      </c>
      <c r="C48" s="164" t="n">
        <v>796</v>
      </c>
      <c r="D48" s="161" t="n">
        <v>129.4</v>
      </c>
      <c r="E48" s="163" t="n">
        <v>39</v>
      </c>
      <c r="F48" s="161" t="n">
        <v>100</v>
      </c>
      <c r="G48" s="27" t="n">
        <v>30</v>
      </c>
      <c r="H48" s="164" t="n">
        <v>32</v>
      </c>
      <c r="I48" s="165" t="n">
        <v>45000</v>
      </c>
      <c r="J48" s="165" t="inlineStr">
        <is>
          <t>중</t>
        </is>
      </c>
      <c r="K48" s="165" t="n">
        <v>29000</v>
      </c>
      <c r="L48" s="165" t="inlineStr">
        <is>
          <t>7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129B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아산더샵레이크시티2차</t>
        </is>
      </c>
      <c r="B49" s="16" t="inlineStr">
        <is>
          <t>'15.12.</t>
        </is>
      </c>
      <c r="C49" s="164" t="n">
        <v>796</v>
      </c>
      <c r="D49" s="161" t="n">
        <v>129.4</v>
      </c>
      <c r="E49" s="163" t="n">
        <v>39</v>
      </c>
      <c r="F49" s="161" t="n">
        <v>100</v>
      </c>
      <c r="G49" s="27" t="n">
        <v>30</v>
      </c>
      <c r="H49" s="164" t="n">
        <v>32</v>
      </c>
      <c r="I49" s="165" t="n">
        <v>45000</v>
      </c>
      <c r="J49" s="165" t="inlineStr">
        <is>
          <t>중</t>
        </is>
      </c>
      <c r="K49" s="165" t="n">
        <v>29000</v>
      </c>
      <c r="L49" s="165" t="inlineStr">
        <is>
          <t>7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129C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아산더샵레이크시티2차</t>
        </is>
      </c>
      <c r="B50" s="16" t="inlineStr">
        <is>
          <t>'15.12.</t>
        </is>
      </c>
      <c r="C50" s="164" t="n">
        <v>796</v>
      </c>
      <c r="D50" s="161" t="n">
        <v>129.8</v>
      </c>
      <c r="E50" s="163" t="n">
        <v>39</v>
      </c>
      <c r="F50" s="161" t="n">
        <v>100</v>
      </c>
      <c r="G50" s="27" t="n">
        <v>30</v>
      </c>
      <c r="H50" s="164" t="n">
        <v>32</v>
      </c>
      <c r="I50" s="165" t="n">
        <v>50000</v>
      </c>
      <c r="J50" s="165" t="inlineStr">
        <is>
          <t>9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129D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17">
      <formula>AV4="X"</formula>
    </cfRule>
    <cfRule type="expression" priority="759" dxfId="16">
      <formula>AV4="후보"</formula>
    </cfRule>
  </conditionalFormatting>
  <conditionalFormatting sqref="AC1:AC2 AC4:AC6 N4:N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N1:N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17">
      <formula>AV7="X"</formula>
    </cfRule>
    <cfRule type="expression" priority="738" dxfId="16">
      <formula>AV7="후보"</formula>
    </cfRule>
  </conditionalFormatting>
  <conditionalFormatting sqref="AC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17">
      <formula>AV8="X"</formula>
    </cfRule>
    <cfRule type="expression" priority="719" dxfId="16">
      <formula>AV8="후보"</formula>
    </cfRule>
  </conditionalFormatting>
  <conditionalFormatting sqref="AC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17">
      <formula>AV9="X"</formula>
    </cfRule>
    <cfRule type="expression" priority="700" dxfId="16">
      <formula>AV9="후보"</formula>
    </cfRule>
  </conditionalFormatting>
  <conditionalFormatting sqref="AC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17">
      <formula>AV10="X"</formula>
    </cfRule>
    <cfRule type="expression" priority="681" dxfId="16">
      <formula>AV10="후보"</formula>
    </cfRule>
  </conditionalFormatting>
  <conditionalFormatting sqref="AC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17">
      <formula>AV11="X"</formula>
    </cfRule>
    <cfRule type="expression" priority="662" dxfId="16">
      <formula>AV11="후보"</formula>
    </cfRule>
  </conditionalFormatting>
  <conditionalFormatting sqref="AC11 N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2">
    <cfRule type="expression" priority="656" dxfId="17">
      <formula>AV12="X"</formula>
    </cfRule>
    <cfRule type="expression" priority="657" dxfId="16">
      <formula>AV12="후보"</formula>
    </cfRule>
  </conditionalFormatting>
  <conditionalFormatting sqref="AC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17">
      <formula>AV13="X"</formula>
    </cfRule>
    <cfRule type="expression" priority="638" dxfId="16">
      <formula>AV13="후보"</formula>
    </cfRule>
  </conditionalFormatting>
  <conditionalFormatting sqref="AC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17">
      <formula>AV14="X"</formula>
    </cfRule>
    <cfRule type="expression" priority="619" dxfId="16">
      <formula>AV14="후보"</formula>
    </cfRule>
  </conditionalFormatting>
  <conditionalFormatting sqref="AC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17">
      <formula>AV15="X"</formula>
    </cfRule>
    <cfRule type="expression" priority="600" dxfId="16">
      <formula>AV15="후보"</formula>
    </cfRule>
  </conditionalFormatting>
  <conditionalFormatting sqref="AC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17">
      <formula>AV16="X"</formula>
    </cfRule>
    <cfRule type="expression" priority="581" dxfId="16">
      <formula>AV16="후보"</formula>
    </cfRule>
  </conditionalFormatting>
  <conditionalFormatting sqref="AC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17">
      <formula>AV17="X"</formula>
    </cfRule>
    <cfRule type="expression" priority="562" dxfId="16">
      <formula>AV17="후보"</formula>
    </cfRule>
  </conditionalFormatting>
  <conditionalFormatting sqref="AC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17">
      <formula>AV18="X"</formula>
    </cfRule>
    <cfRule type="expression" priority="543" dxfId="16">
      <formula>AV18="후보"</formula>
    </cfRule>
  </conditionalFormatting>
  <conditionalFormatting sqref="AC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 N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21">
    <cfRule type="expression" priority="499" dxfId="17">
      <formula>AV21="X"</formula>
    </cfRule>
    <cfRule type="expression" priority="500" dxfId="16">
      <formula>AV21="후보"</formula>
    </cfRule>
  </conditionalFormatting>
  <conditionalFormatting sqref="AC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17">
      <formula>AV22="X"</formula>
    </cfRule>
    <cfRule type="expression" priority="481" dxfId="16">
      <formula>AV22="후보"</formula>
    </cfRule>
  </conditionalFormatting>
  <conditionalFormatting sqref="AC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 N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5">
    <cfRule type="expression" priority="437" dxfId="17">
      <formula>AV25="X"</formula>
    </cfRule>
    <cfRule type="expression" priority="438" dxfId="16">
      <formula>AV25="후보"</formula>
    </cfRule>
  </conditionalFormatting>
  <conditionalFormatting sqref="AC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17">
      <formula>AV26="X"</formula>
    </cfRule>
    <cfRule type="expression" priority="419" dxfId="16">
      <formula>AV26="후보"</formula>
    </cfRule>
  </conditionalFormatting>
  <conditionalFormatting sqref="AC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17">
      <formula>AV27="X"</formula>
    </cfRule>
    <cfRule type="expression" priority="400" dxfId="16">
      <formula>AV27="후보"</formula>
    </cfRule>
  </conditionalFormatting>
  <conditionalFormatting sqref="AC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17">
      <formula>AV28="X"</formula>
    </cfRule>
    <cfRule type="expression" priority="381" dxfId="16">
      <formula>AV28="후보"</formula>
    </cfRule>
  </conditionalFormatting>
  <conditionalFormatting sqref="AC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17">
      <formula>AV29="X"</formula>
    </cfRule>
    <cfRule type="expression" priority="362" dxfId="16">
      <formula>AV29="후보"</formula>
    </cfRule>
  </conditionalFormatting>
  <conditionalFormatting sqref="AC29 N29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30">
    <cfRule type="expression" priority="356" dxfId="17">
      <formula>AV30="X"</formula>
    </cfRule>
    <cfRule type="expression" priority="357" dxfId="16">
      <formula>AV30="후보"</formula>
    </cfRule>
  </conditionalFormatting>
  <conditionalFormatting sqref="AC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17">
      <formula>AV31="X"</formula>
    </cfRule>
    <cfRule type="expression" priority="338" dxfId="16">
      <formula>AV31="후보"</formula>
    </cfRule>
  </conditionalFormatting>
  <conditionalFormatting sqref="AC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17">
      <formula>AV32="X"</formula>
    </cfRule>
    <cfRule type="expression" priority="319" dxfId="16">
      <formula>AV32="후보"</formula>
    </cfRule>
  </conditionalFormatting>
  <conditionalFormatting sqref="AC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17">
      <formula>AV33="X"</formula>
    </cfRule>
    <cfRule type="expression" priority="300" dxfId="16">
      <formula>AV33="후보"</formula>
    </cfRule>
  </conditionalFormatting>
  <conditionalFormatting sqref="AC33 N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4">
    <cfRule type="expression" priority="294" dxfId="17">
      <formula>AV34="X"</formula>
    </cfRule>
    <cfRule type="expression" priority="295" dxfId="16">
      <formula>AV34="후보"</formula>
    </cfRule>
  </conditionalFormatting>
  <conditionalFormatting sqref="AC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17">
      <formula>AV35="X"</formula>
    </cfRule>
    <cfRule type="expression" priority="276" dxfId="16">
      <formula>AV35="후보"</formula>
    </cfRule>
  </conditionalFormatting>
  <conditionalFormatting sqref="AC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17">
      <formula>AV36="X"</formula>
    </cfRule>
    <cfRule type="expression" priority="257" dxfId="16">
      <formula>AV36="후보"</formula>
    </cfRule>
  </conditionalFormatting>
  <conditionalFormatting sqref="AC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17">
      <formula>AV37="X"</formula>
    </cfRule>
    <cfRule type="expression" priority="238" dxfId="16">
      <formula>AV37="후보"</formula>
    </cfRule>
  </conditionalFormatting>
  <conditionalFormatting sqref="AC3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17">
      <formula>AV38="X"</formula>
    </cfRule>
    <cfRule type="expression" priority="219" dxfId="16">
      <formula>AV38="후보"</formula>
    </cfRule>
  </conditionalFormatting>
  <conditionalFormatting sqref="AC3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17">
      <formula>AV39="X"</formula>
    </cfRule>
    <cfRule type="expression" priority="200" dxfId="16">
      <formula>AV39="후보"</formula>
    </cfRule>
  </conditionalFormatting>
  <conditionalFormatting sqref="AC3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17">
      <formula>AV40="X"</formula>
    </cfRule>
    <cfRule type="expression" priority="181" dxfId="16">
      <formula>AV40="후보"</formula>
    </cfRule>
  </conditionalFormatting>
  <conditionalFormatting sqref="AC40 N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1">
    <cfRule type="expression" priority="175" dxfId="17">
      <formula>AV41="X"</formula>
    </cfRule>
    <cfRule type="expression" priority="176" dxfId="16">
      <formula>AV41="후보"</formula>
    </cfRule>
  </conditionalFormatting>
  <conditionalFormatting sqref="AC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 N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3">
    <cfRule type="expression" priority="151" dxfId="17">
      <formula>AV43="X"</formula>
    </cfRule>
    <cfRule type="expression" priority="152" dxfId="16">
      <formula>AV43="후보"</formula>
    </cfRule>
  </conditionalFormatting>
  <conditionalFormatting sqref="AC4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17">
      <formula>AV44="X"</formula>
    </cfRule>
    <cfRule type="expression" priority="133" dxfId="16">
      <formula>AV44="후보"</formula>
    </cfRule>
  </conditionalFormatting>
  <conditionalFormatting sqref="AC4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17">
      <formula>AV45="X"</formula>
    </cfRule>
    <cfRule type="expression" priority="114" dxfId="16">
      <formula>AV45="후보"</formula>
    </cfRule>
  </conditionalFormatting>
  <conditionalFormatting sqref="AC4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17">
      <formula>AV46="X"</formula>
    </cfRule>
    <cfRule type="expression" priority="95" dxfId="16">
      <formula>AV46="후보"</formula>
    </cfRule>
  </conditionalFormatting>
  <conditionalFormatting sqref="AC4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인주면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기산현대</t>
        </is>
      </c>
      <c r="B6" s="16" t="inlineStr">
        <is>
          <t>'05.05.</t>
        </is>
      </c>
      <c r="C6" s="164" t="n">
        <v>315</v>
      </c>
      <c r="D6" s="161" t="n">
        <v>78.2</v>
      </c>
      <c r="E6" s="163" t="n">
        <v>24</v>
      </c>
      <c r="F6" s="161" t="n">
        <v>59.4</v>
      </c>
      <c r="G6" s="27" t="n">
        <v>18</v>
      </c>
      <c r="H6" s="164" t="n">
        <v>315</v>
      </c>
      <c r="I6" s="165" t="n">
        <v>10000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미진무지개</t>
        </is>
      </c>
      <c r="B8" s="16" t="inlineStr">
        <is>
          <t>'00.04.</t>
        </is>
      </c>
      <c r="C8" s="164" t="n">
        <v>480</v>
      </c>
      <c r="D8" s="161" t="n">
        <v>42.9</v>
      </c>
      <c r="E8" s="163" t="n">
        <v>13</v>
      </c>
      <c r="F8" s="161" t="n">
        <v>32.6</v>
      </c>
      <c r="G8" s="27" t="n">
        <v>10</v>
      </c>
      <c r="H8" s="164" t="n">
        <v>64</v>
      </c>
      <c r="I8" s="165" t="n">
        <v>6650</v>
      </c>
      <c r="J8" s="165" t="inlineStr">
        <is>
          <t>6</t>
        </is>
      </c>
      <c r="K8" s="165" t="n">
        <v>4000</v>
      </c>
      <c r="L8" s="165" t="inlineStr">
        <is>
          <t>11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42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미진무지개</t>
        </is>
      </c>
      <c r="B9" s="16" t="inlineStr">
        <is>
          <t>'00.04.</t>
        </is>
      </c>
      <c r="C9" s="164" t="n">
        <v>480</v>
      </c>
      <c r="D9" s="161" t="n">
        <v>65.40000000000001</v>
      </c>
      <c r="E9" s="163" t="n">
        <v>20</v>
      </c>
      <c r="F9" s="161" t="n">
        <v>49.7</v>
      </c>
      <c r="G9" s="27" t="n">
        <v>15</v>
      </c>
      <c r="H9" s="164" t="n">
        <v>130</v>
      </c>
      <c r="I9" s="165" t="n"/>
      <c r="J9" s="165" t="n"/>
      <c r="K9" s="165" t="n">
        <v>6500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 N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장존동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</t>
        </is>
      </c>
      <c r="B6" s="16" t="inlineStr">
        <is>
          <t>'04.08.</t>
        </is>
      </c>
      <c r="C6" s="164" t="n">
        <v>1998</v>
      </c>
      <c r="D6" s="161" t="n">
        <v>54.6</v>
      </c>
      <c r="E6" s="163" t="n">
        <v>17</v>
      </c>
      <c r="F6" s="161" t="n">
        <v>40</v>
      </c>
      <c r="G6" s="27" t="n">
        <v>12</v>
      </c>
      <c r="H6" s="164" t="n">
        <v>961</v>
      </c>
      <c r="I6" s="165" t="n">
        <v>4900</v>
      </c>
      <c r="J6" s="165" t="inlineStr">
        <is>
          <t>7</t>
        </is>
      </c>
      <c r="K6" s="165" t="n">
        <v>4500</v>
      </c>
      <c r="L6" s="165" t="inlineStr">
        <is>
          <t>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</t>
        </is>
      </c>
      <c r="B7" s="16" t="inlineStr">
        <is>
          <t>'04.08.</t>
        </is>
      </c>
      <c r="C7" s="164" t="n">
        <v>1998</v>
      </c>
      <c r="D7" s="161" t="n">
        <v>64.5</v>
      </c>
      <c r="E7" s="163" t="n">
        <v>19</v>
      </c>
      <c r="F7" s="161" t="n">
        <v>47.2</v>
      </c>
      <c r="G7" s="27" t="n">
        <v>14</v>
      </c>
      <c r="H7" s="164" t="n">
        <v>240</v>
      </c>
      <c r="I7" s="165" t="n">
        <v>7800</v>
      </c>
      <c r="J7" s="165" t="inlineStr">
        <is>
          <t>11</t>
        </is>
      </c>
      <c r="K7" s="165" t="n">
        <v>6000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64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</t>
        </is>
      </c>
      <c r="B8" s="16" t="inlineStr">
        <is>
          <t>'04.08.</t>
        </is>
      </c>
      <c r="C8" s="164" t="n">
        <v>1998</v>
      </c>
      <c r="D8" s="161" t="n">
        <v>77.40000000000001</v>
      </c>
      <c r="E8" s="163" t="n">
        <v>23</v>
      </c>
      <c r="F8" s="161" t="n">
        <v>60</v>
      </c>
      <c r="G8" s="27" t="n">
        <v>18</v>
      </c>
      <c r="H8" s="164" t="n">
        <v>497</v>
      </c>
      <c r="I8" s="165" t="n">
        <v>11000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inlineStr">
        <is>
          <t>77A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</t>
        </is>
      </c>
      <c r="B9" s="16" t="inlineStr">
        <is>
          <t>'04.08.</t>
        </is>
      </c>
      <c r="C9" s="164" t="n">
        <v>1998</v>
      </c>
      <c r="D9" s="161" t="n">
        <v>77.40000000000001</v>
      </c>
      <c r="E9" s="163" t="n">
        <v>23</v>
      </c>
      <c r="F9" s="161" t="n">
        <v>60</v>
      </c>
      <c r="G9" s="27" t="n">
        <v>18</v>
      </c>
      <c r="H9" s="164" t="n">
        <v>300</v>
      </c>
      <c r="I9" s="165" t="n">
        <v>11000</v>
      </c>
      <c r="J9" s="165" t="inlineStr">
        <is>
          <t>11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77B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좌부동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초원설화타운3단지</t>
        </is>
      </c>
      <c r="B6" s="16" t="inlineStr">
        <is>
          <t>'95.11.</t>
        </is>
      </c>
      <c r="C6" s="164" t="n">
        <v>358</v>
      </c>
      <c r="D6" s="161" t="n">
        <v>80</v>
      </c>
      <c r="E6" s="163" t="n">
        <v>24</v>
      </c>
      <c r="F6" s="161" t="n">
        <v>59.9</v>
      </c>
      <c r="G6" s="27" t="n">
        <v>18</v>
      </c>
      <c r="H6" s="164" t="n">
        <v>358</v>
      </c>
      <c r="I6" s="165" t="n">
        <v>8200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초원설화타운2단지</t>
        </is>
      </c>
      <c r="B8" s="16" t="inlineStr">
        <is>
          <t>'95.11.</t>
        </is>
      </c>
      <c r="C8" s="164" t="n">
        <v>830</v>
      </c>
      <c r="D8" s="161" t="n">
        <v>79.5</v>
      </c>
      <c r="E8" s="163" t="n">
        <v>24</v>
      </c>
      <c r="F8" s="161" t="n">
        <v>59.9</v>
      </c>
      <c r="G8" s="27" t="n">
        <v>18</v>
      </c>
      <c r="H8" s="164" t="n">
        <v>830</v>
      </c>
      <c r="I8" s="165" t="n">
        <v>7300</v>
      </c>
      <c r="J8" s="165" t="inlineStr">
        <is>
          <t>11</t>
        </is>
      </c>
      <c r="K8" s="165" t="n">
        <v>7000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초원설화타운1단지</t>
        </is>
      </c>
      <c r="B10" s="16" t="inlineStr">
        <is>
          <t>'94.12.</t>
        </is>
      </c>
      <c r="C10" s="164" t="n">
        <v>810</v>
      </c>
      <c r="D10" s="161" t="n">
        <v>54.4</v>
      </c>
      <c r="E10" s="163" t="n">
        <v>16</v>
      </c>
      <c r="F10" s="161" t="n">
        <v>39.8</v>
      </c>
      <c r="G10" s="27" t="n">
        <v>12</v>
      </c>
      <c r="H10" s="164" t="n">
        <v>510</v>
      </c>
      <c r="I10" s="165" t="n">
        <v>3600</v>
      </c>
      <c r="J10" s="165" t="inlineStr">
        <is>
          <t>15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54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초원설화타운1단지</t>
        </is>
      </c>
      <c r="B11" s="16" t="inlineStr">
        <is>
          <t>'94.12.</t>
        </is>
      </c>
      <c r="C11" s="164" t="n">
        <v>810</v>
      </c>
      <c r="D11" s="161" t="n">
        <v>74.09999999999999</v>
      </c>
      <c r="E11" s="163" t="n">
        <v>22</v>
      </c>
      <c r="F11" s="161" t="n">
        <v>56.3</v>
      </c>
      <c r="G11" s="27" t="n">
        <v>17</v>
      </c>
      <c r="H11" s="164" t="n">
        <v>300</v>
      </c>
      <c r="I11" s="165" t="n">
        <v>5000</v>
      </c>
      <c r="J11" s="165" t="inlineStr">
        <is>
          <t>12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17">
      <formula>AV4="X"</formula>
    </cfRule>
    <cfRule type="expression" priority="88" dxfId="16">
      <formula>AV4="후보"</formula>
    </cfRule>
  </conditionalFormatting>
  <conditionalFormatting sqref="AC1:AC2 AC4:AC6 N4:N5">
    <cfRule type="cellIs" priority="84" operator="greaterThan" dxfId="13">
      <formula>0.9</formula>
    </cfRule>
    <cfRule type="cellIs" priority="85" operator="greaterThan" dxfId="12">
      <formula>0.85</formula>
    </cfRule>
  </conditionalFormatting>
  <conditionalFormatting sqref="N1:N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17">
      <formula>AV7="X"</formula>
    </cfRule>
    <cfRule type="expression" priority="67" dxfId="16">
      <formula>AV7="후보"</formula>
    </cfRule>
  </conditionalFormatting>
  <conditionalFormatting sqref="AC7 N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8">
    <cfRule type="expression" priority="61" dxfId="17">
      <formula>AV8="X"</formula>
    </cfRule>
    <cfRule type="expression" priority="62" dxfId="16">
      <formula>AV8="후보"</formula>
    </cfRule>
  </conditionalFormatting>
  <conditionalFormatting sqref="AC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17">
      <formula>AV9="X"</formula>
    </cfRule>
    <cfRule type="expression" priority="43" dxfId="16">
      <formula>AV9="후보"</formula>
    </cfRule>
  </conditionalFormatting>
  <conditionalFormatting sqref="AC9 N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탕정면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한들물빛도시지웰시티푸르지오2차</t>
        </is>
      </c>
      <c r="B6" s="16" t="inlineStr">
        <is>
          <t>'22.05.</t>
        </is>
      </c>
      <c r="C6" s="164" t="n">
        <v>685</v>
      </c>
      <c r="D6" s="161" t="n">
        <v>91.5</v>
      </c>
      <c r="E6" s="163" t="n">
        <v>28</v>
      </c>
      <c r="F6" s="161" t="n">
        <v>68.8</v>
      </c>
      <c r="G6" s="27" t="n">
        <v>21</v>
      </c>
      <c r="H6" s="164" t="n">
        <v>80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91A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한들물빛도시지웰시티푸르지오2차</t>
        </is>
      </c>
      <c r="B7" s="16" t="inlineStr">
        <is>
          <t>'22.05.</t>
        </is>
      </c>
      <c r="C7" s="164" t="n">
        <v>685</v>
      </c>
      <c r="D7" s="161" t="n">
        <v>92.2</v>
      </c>
      <c r="E7" s="163" t="n">
        <v>28</v>
      </c>
      <c r="F7" s="161" t="n">
        <v>68.90000000000001</v>
      </c>
      <c r="G7" s="27" t="n">
        <v>21</v>
      </c>
      <c r="H7" s="164" t="n">
        <v>107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한들물빛도시지웰시티푸르지오2차</t>
        </is>
      </c>
      <c r="B8" s="16" t="inlineStr">
        <is>
          <t>'22.05.</t>
        </is>
      </c>
      <c r="C8" s="164" t="n">
        <v>685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66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한들물빛도시지웰시티푸르지오2차</t>
        </is>
      </c>
      <c r="B9" s="16" t="inlineStr">
        <is>
          <t>'22.05.</t>
        </is>
      </c>
      <c r="C9" s="164" t="n">
        <v>685</v>
      </c>
      <c r="D9" s="161" t="n">
        <v>112.5</v>
      </c>
      <c r="E9" s="163" t="n">
        <v>34</v>
      </c>
      <c r="F9" s="161" t="n">
        <v>84.8</v>
      </c>
      <c r="G9" s="27" t="n">
        <v>26</v>
      </c>
      <c r="H9" s="164" t="n">
        <v>243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한들물빛도시지웰시티푸르지오2차</t>
        </is>
      </c>
      <c r="B10" s="16" t="inlineStr">
        <is>
          <t>'22.05.</t>
        </is>
      </c>
      <c r="C10" s="164" t="n">
        <v>685</v>
      </c>
      <c r="D10" s="161" t="n">
        <v>112.3</v>
      </c>
      <c r="E10" s="163" t="n">
        <v>34</v>
      </c>
      <c r="F10" s="161" t="n">
        <v>84.8</v>
      </c>
      <c r="G10" s="27" t="n">
        <v>26</v>
      </c>
      <c r="H10" s="164" t="n">
        <v>49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한들물빛도시지웰시티푸르지오2차</t>
        </is>
      </c>
      <c r="B11" s="16" t="inlineStr">
        <is>
          <t>'22.05.</t>
        </is>
      </c>
      <c r="C11" s="164" t="n">
        <v>685</v>
      </c>
      <c r="D11" s="161" t="n">
        <v>128.6</v>
      </c>
      <c r="E11" s="163" t="n">
        <v>39</v>
      </c>
      <c r="F11" s="161" t="n">
        <v>97.7</v>
      </c>
      <c r="G11" s="27" t="n">
        <v>30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128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한들물빛도시지웰시티푸르지오2차</t>
        </is>
      </c>
      <c r="B12" s="16" t="inlineStr">
        <is>
          <t>'22.05.</t>
        </is>
      </c>
      <c r="C12" s="164" t="n">
        <v>685</v>
      </c>
      <c r="D12" s="161" t="n">
        <v>134.2</v>
      </c>
      <c r="E12" s="163" t="n">
        <v>41</v>
      </c>
      <c r="F12" s="161" t="n">
        <v>102</v>
      </c>
      <c r="G12" s="27" t="n">
        <v>31</v>
      </c>
      <c r="H12" s="164" t="n">
        <v>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한들물빛도시지웰시티푸르지오(2-C1BL)</t>
        </is>
      </c>
      <c r="B14" s="16" t="inlineStr">
        <is>
          <t>'22.01.</t>
        </is>
      </c>
      <c r="C14" s="164" t="n">
        <v>669</v>
      </c>
      <c r="D14" s="161" t="n">
        <v>114.5</v>
      </c>
      <c r="E14" s="163" t="n">
        <v>35</v>
      </c>
      <c r="F14" s="161" t="n">
        <v>84.90000000000001</v>
      </c>
      <c r="G14" s="27" t="n">
        <v>26</v>
      </c>
      <c r="H14" s="164" t="n">
        <v>68</v>
      </c>
      <c r="I14" s="165" t="n"/>
      <c r="J14" s="165" t="n"/>
      <c r="K14" s="165" t="n">
        <v>35000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한들물빛도시지웰시티푸르지오(2-C1BL)</t>
        </is>
      </c>
      <c r="B15" s="16" t="inlineStr">
        <is>
          <t>'22.01.</t>
        </is>
      </c>
      <c r="C15" s="164" t="n">
        <v>669</v>
      </c>
      <c r="D15" s="161" t="n">
        <v>115.4</v>
      </c>
      <c r="E15" s="163" t="n">
        <v>35</v>
      </c>
      <c r="F15" s="161" t="n">
        <v>84.7</v>
      </c>
      <c r="G15" s="27" t="n">
        <v>26</v>
      </c>
      <c r="H15" s="164" t="n">
        <v>286</v>
      </c>
      <c r="I15" s="165" t="n"/>
      <c r="J15" s="165" t="n"/>
      <c r="K15" s="165" t="n">
        <v>34000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한들물빛도시지웰시티푸르지오(2-C1BL)</t>
        </is>
      </c>
      <c r="B16" s="16" t="inlineStr">
        <is>
          <t>'22.01.</t>
        </is>
      </c>
      <c r="C16" s="164" t="n">
        <v>669</v>
      </c>
      <c r="D16" s="161" t="n">
        <v>115.6</v>
      </c>
      <c r="E16" s="163" t="n">
        <v>35</v>
      </c>
      <c r="F16" s="161" t="n">
        <v>85</v>
      </c>
      <c r="G16" s="27" t="n">
        <v>26</v>
      </c>
      <c r="H16" s="164" t="n">
        <v>134</v>
      </c>
      <c r="I16" s="165" t="n"/>
      <c r="J16" s="165" t="n"/>
      <c r="K16" s="165" t="n">
        <v>34000</v>
      </c>
      <c r="L16" s="165" t="inlineStr">
        <is>
          <t>39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한들물빛도시지웰시티푸르지오(2-C1BL)</t>
        </is>
      </c>
      <c r="B17" s="16" t="inlineStr">
        <is>
          <t>'22.01.</t>
        </is>
      </c>
      <c r="C17" s="164" t="n">
        <v>669</v>
      </c>
      <c r="D17" s="161" t="n">
        <v>115.4</v>
      </c>
      <c r="E17" s="163" t="n">
        <v>35</v>
      </c>
      <c r="F17" s="161" t="n">
        <v>84.7</v>
      </c>
      <c r="G17" s="27" t="n">
        <v>26</v>
      </c>
      <c r="H17" s="164" t="n">
        <v>30</v>
      </c>
      <c r="I17" s="165" t="n"/>
      <c r="J17" s="165" t="n"/>
      <c r="K17" s="165" t="n">
        <v>34000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한들물빛도시지웰시티푸르지오(2-C1BL)</t>
        </is>
      </c>
      <c r="B18" s="16" t="inlineStr">
        <is>
          <t>'22.01.</t>
        </is>
      </c>
      <c r="C18" s="164" t="n">
        <v>669</v>
      </c>
      <c r="D18" s="161" t="n">
        <v>131.9</v>
      </c>
      <c r="E18" s="163" t="n">
        <v>40</v>
      </c>
      <c r="F18" s="161" t="n">
        <v>97.7</v>
      </c>
      <c r="G18" s="27" t="n">
        <v>30</v>
      </c>
      <c r="H18" s="164" t="n">
        <v>60</v>
      </c>
      <c r="I18" s="165" t="n"/>
      <c r="J18" s="165" t="n"/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131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한들물빛도시지웰시티푸르지오(2-C1BL)</t>
        </is>
      </c>
      <c r="B19" s="16" t="inlineStr">
        <is>
          <t>'22.01.</t>
        </is>
      </c>
      <c r="C19" s="164" t="n">
        <v>669</v>
      </c>
      <c r="D19" s="161" t="n">
        <v>137.3</v>
      </c>
      <c r="E19" s="163" t="n">
        <v>42</v>
      </c>
      <c r="F19" s="161" t="n">
        <v>101.9</v>
      </c>
      <c r="G19" s="27" t="n">
        <v>31</v>
      </c>
      <c r="H19" s="164" t="n">
        <v>91</v>
      </c>
      <c r="I19" s="165" t="n"/>
      <c r="J19" s="165" t="n"/>
      <c r="K19" s="165" t="n">
        <v>45000</v>
      </c>
      <c r="L19" s="165" t="inlineStr">
        <is>
          <t>12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137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호반써밋그랜드마크Ⅲ(D2-1BL)</t>
        </is>
      </c>
      <c r="B21" s="16" t="inlineStr">
        <is>
          <t>'23.07.</t>
        </is>
      </c>
      <c r="C21" s="164" t="n">
        <v>662</v>
      </c>
      <c r="D21" s="161" t="n">
        <v>100.5</v>
      </c>
      <c r="E21" s="163" t="n">
        <v>30</v>
      </c>
      <c r="F21" s="161" t="n">
        <v>74.90000000000001</v>
      </c>
      <c r="G21" s="27" t="n">
        <v>23</v>
      </c>
      <c r="H21" s="164" t="n">
        <v>134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100A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호반써밋그랜드마크Ⅲ(D2-1BL)</t>
        </is>
      </c>
      <c r="B22" s="16" t="inlineStr">
        <is>
          <t>'23.07.</t>
        </is>
      </c>
      <c r="C22" s="164" t="n">
        <v>662</v>
      </c>
      <c r="D22" s="161" t="n">
        <v>101.5</v>
      </c>
      <c r="E22" s="163" t="n">
        <v>31</v>
      </c>
      <c r="F22" s="161" t="n">
        <v>75</v>
      </c>
      <c r="G22" s="27" t="n">
        <v>23</v>
      </c>
      <c r="H22" s="164" t="n">
        <v>50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호반써밋그랜드마크Ⅲ(D2-1BL)</t>
        </is>
      </c>
      <c r="B23" s="16" t="inlineStr">
        <is>
          <t>'23.07.</t>
        </is>
      </c>
      <c r="C23" s="164" t="n">
        <v>662</v>
      </c>
      <c r="D23" s="161" t="n">
        <v>113.3</v>
      </c>
      <c r="E23" s="163" t="n">
        <v>34</v>
      </c>
      <c r="F23" s="161" t="n">
        <v>84.59999999999999</v>
      </c>
      <c r="G23" s="27" t="n">
        <v>26</v>
      </c>
      <c r="H23" s="164" t="n">
        <v>342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호반써밋그랜드마크Ⅲ(D2-1BL)</t>
        </is>
      </c>
      <c r="B24" s="16" t="inlineStr">
        <is>
          <t>'23.07.</t>
        </is>
      </c>
      <c r="C24" s="164" t="n">
        <v>662</v>
      </c>
      <c r="D24" s="161" t="n">
        <v>113.8</v>
      </c>
      <c r="E24" s="163" t="n">
        <v>34</v>
      </c>
      <c r="F24" s="161" t="n">
        <v>84.90000000000001</v>
      </c>
      <c r="G24" s="27" t="n">
        <v>26</v>
      </c>
      <c r="H24" s="164" t="n">
        <v>136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호반써밋그랜드마크Ⅴ(D3-1BL)</t>
        </is>
      </c>
      <c r="B26" s="16" t="inlineStr">
        <is>
          <t>'23.07.</t>
        </is>
      </c>
      <c r="C26" s="164" t="n">
        <v>489</v>
      </c>
      <c r="D26" s="161" t="n">
        <v>82.40000000000001</v>
      </c>
      <c r="E26" s="163" t="n">
        <v>25</v>
      </c>
      <c r="F26" s="161" t="n">
        <v>59.8</v>
      </c>
      <c r="G26" s="27" t="n">
        <v>18</v>
      </c>
      <c r="H26" s="164" t="n">
        <v>138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호반써밋그랜드마크Ⅴ(D3-1BL)</t>
        </is>
      </c>
      <c r="B27" s="16" t="inlineStr">
        <is>
          <t>'23.07.</t>
        </is>
      </c>
      <c r="C27" s="164" t="n">
        <v>489</v>
      </c>
      <c r="D27" s="161" t="n">
        <v>82.59999999999999</v>
      </c>
      <c r="E27" s="163" t="n">
        <v>25</v>
      </c>
      <c r="F27" s="161" t="n">
        <v>59.9</v>
      </c>
      <c r="G27" s="27" t="n">
        <v>18</v>
      </c>
      <c r="H27" s="164" t="n">
        <v>48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호반써밋그랜드마크Ⅴ(D3-1BL)</t>
        </is>
      </c>
      <c r="B28" s="16" t="inlineStr">
        <is>
          <t>'23.07.</t>
        </is>
      </c>
      <c r="C28" s="164" t="n">
        <v>489</v>
      </c>
      <c r="D28" s="161" t="n">
        <v>115.1</v>
      </c>
      <c r="E28" s="163" t="n">
        <v>35</v>
      </c>
      <c r="F28" s="161" t="n">
        <v>84.59999999999999</v>
      </c>
      <c r="G28" s="27" t="n">
        <v>26</v>
      </c>
      <c r="H28" s="164" t="n">
        <v>255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호반써밋그랜드마크Ⅴ(D3-1BL)</t>
        </is>
      </c>
      <c r="B29" s="16" t="inlineStr">
        <is>
          <t>'23.07.</t>
        </is>
      </c>
      <c r="C29" s="164" t="n">
        <v>489</v>
      </c>
      <c r="D29" s="161" t="n">
        <v>115.7</v>
      </c>
      <c r="E29" s="163" t="n">
        <v>35</v>
      </c>
      <c r="F29" s="161" t="n">
        <v>84.90000000000001</v>
      </c>
      <c r="G29" s="27" t="n">
        <v>26</v>
      </c>
      <c r="H29" s="164" t="n">
        <v>48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115B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호반써밋그랜드마크Ⅵ(D3-2BL)</t>
        </is>
      </c>
      <c r="B31" s="16" t="inlineStr">
        <is>
          <t>'23.07.</t>
        </is>
      </c>
      <c r="C31" s="164" t="n">
        <v>303</v>
      </c>
      <c r="D31" s="161" t="n">
        <v>113.4</v>
      </c>
      <c r="E31" s="163" t="n">
        <v>34</v>
      </c>
      <c r="F31" s="161" t="n">
        <v>84.59999999999999</v>
      </c>
      <c r="G31" s="27" t="n">
        <v>26</v>
      </c>
      <c r="H31" s="164" t="n">
        <v>232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호반써밋그랜드마크Ⅵ(D3-2BL)</t>
        </is>
      </c>
      <c r="B32" s="16" t="inlineStr">
        <is>
          <t>'23.07.</t>
        </is>
      </c>
      <c r="C32" s="164" t="n">
        <v>303</v>
      </c>
      <c r="D32" s="161" t="n">
        <v>113.9</v>
      </c>
      <c r="E32" s="163" t="n">
        <v>34</v>
      </c>
      <c r="F32" s="161" t="n">
        <v>84.90000000000001</v>
      </c>
      <c r="G32" s="27" t="n">
        <v>26</v>
      </c>
      <c r="H32" s="164" t="n">
        <v>71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호반써밋그랜드마크Ⅱ(D1-2BL)</t>
        </is>
      </c>
      <c r="B34" s="16" t="inlineStr">
        <is>
          <t>'23.07.</t>
        </is>
      </c>
      <c r="C34" s="164" t="n">
        <v>817</v>
      </c>
      <c r="D34" s="161" t="n">
        <v>82.40000000000001</v>
      </c>
      <c r="E34" s="163" t="n">
        <v>25</v>
      </c>
      <c r="F34" s="161" t="n">
        <v>59.9</v>
      </c>
      <c r="G34" s="27" t="n">
        <v>18</v>
      </c>
      <c r="H34" s="164" t="n">
        <v>108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82B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호반써밋그랜드마크Ⅱ(D1-2BL)</t>
        </is>
      </c>
      <c r="B35" s="16" t="inlineStr">
        <is>
          <t>'23.07.</t>
        </is>
      </c>
      <c r="C35" s="164" t="n">
        <v>817</v>
      </c>
      <c r="D35" s="161" t="n">
        <v>82.3</v>
      </c>
      <c r="E35" s="163" t="n">
        <v>25</v>
      </c>
      <c r="F35" s="161" t="n">
        <v>59.8</v>
      </c>
      <c r="G35" s="27" t="n">
        <v>18</v>
      </c>
      <c r="H35" s="164" t="n">
        <v>104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82A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호반써밋그랜드마크Ⅱ(D1-2BL)</t>
        </is>
      </c>
      <c r="B36" s="16" t="inlineStr">
        <is>
          <t>'23.07.</t>
        </is>
      </c>
      <c r="C36" s="164" t="n">
        <v>817</v>
      </c>
      <c r="D36" s="161" t="n">
        <v>114.9</v>
      </c>
      <c r="E36" s="163" t="n">
        <v>35</v>
      </c>
      <c r="F36" s="161" t="n">
        <v>84.59999999999999</v>
      </c>
      <c r="G36" s="27" t="n">
        <v>26</v>
      </c>
      <c r="H36" s="164" t="n">
        <v>500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호반써밋그랜드마크Ⅱ(D1-2BL)</t>
        </is>
      </c>
      <c r="B37" s="16" t="inlineStr">
        <is>
          <t>'23.07.</t>
        </is>
      </c>
      <c r="C37" s="164" t="n">
        <v>817</v>
      </c>
      <c r="D37" s="161" t="n">
        <v>115.4</v>
      </c>
      <c r="E37" s="163" t="n">
        <v>35</v>
      </c>
      <c r="F37" s="161" t="n">
        <v>84.90000000000001</v>
      </c>
      <c r="G37" s="27" t="n">
        <v>26</v>
      </c>
      <c r="H37" s="164" t="n">
        <v>105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115B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홍익</t>
        </is>
      </c>
      <c r="B39" s="16" t="inlineStr">
        <is>
          <t>'99.12.</t>
        </is>
      </c>
      <c r="C39" s="164" t="n">
        <v>999</v>
      </c>
      <c r="D39" s="161" t="n">
        <v>46.4</v>
      </c>
      <c r="E39" s="163" t="n">
        <v>14</v>
      </c>
      <c r="F39" s="161" t="n">
        <v>33.2</v>
      </c>
      <c r="G39" s="27" t="n">
        <v>10</v>
      </c>
      <c r="H39" s="164" t="n">
        <v>494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46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홍익</t>
        </is>
      </c>
      <c r="B40" s="16" t="inlineStr">
        <is>
          <t>'99.12.</t>
        </is>
      </c>
      <c r="C40" s="164" t="n">
        <v>999</v>
      </c>
      <c r="D40" s="161" t="n">
        <v>55.5</v>
      </c>
      <c r="E40" s="163" t="n">
        <v>17</v>
      </c>
      <c r="F40" s="161" t="n">
        <v>39.2</v>
      </c>
      <c r="G40" s="27" t="n">
        <v>12</v>
      </c>
      <c r="H40" s="164" t="n">
        <v>505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55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탕정삼성트라팰리스</t>
        </is>
      </c>
      <c r="B42" s="16" t="inlineStr">
        <is>
          <t>'09.02.</t>
        </is>
      </c>
      <c r="C42" s="164" t="n">
        <v>3953</v>
      </c>
      <c r="D42" s="161" t="n">
        <v>96.3</v>
      </c>
      <c r="E42" s="163" t="n">
        <v>29</v>
      </c>
      <c r="F42" s="161" t="n">
        <v>71.09999999999999</v>
      </c>
      <c r="G42" s="27" t="n">
        <v>21</v>
      </c>
      <c r="H42" s="164" t="n">
        <v>32</v>
      </c>
      <c r="I42" s="165" t="n">
        <v>36500</v>
      </c>
      <c r="J42" s="165" t="inlineStr">
        <is>
          <t>고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96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탕정삼성트라팰리스</t>
        </is>
      </c>
      <c r="B43" s="16" t="inlineStr">
        <is>
          <t>'09.02.</t>
        </is>
      </c>
      <c r="C43" s="164" t="n">
        <v>3953</v>
      </c>
      <c r="D43" s="161" t="n">
        <v>100.4</v>
      </c>
      <c r="E43" s="163" t="n">
        <v>30</v>
      </c>
      <c r="F43" s="161" t="n">
        <v>73.90000000000001</v>
      </c>
      <c r="G43" s="27" t="n">
        <v>22</v>
      </c>
      <c r="H43" s="164" t="n">
        <v>290</v>
      </c>
      <c r="I43" s="165" t="n">
        <v>43000</v>
      </c>
      <c r="J43" s="165" t="inlineStr">
        <is>
          <t>30</t>
        </is>
      </c>
      <c r="K43" s="165" t="n">
        <v>30000</v>
      </c>
      <c r="L43" s="165" t="inlineStr">
        <is>
          <t>중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탕정삼성트라팰리스</t>
        </is>
      </c>
      <c r="B44" s="16" t="inlineStr">
        <is>
          <t>'09.02.</t>
        </is>
      </c>
      <c r="C44" s="164" t="n">
        <v>3953</v>
      </c>
      <c r="D44" s="161" t="n">
        <v>108.1</v>
      </c>
      <c r="E44" s="163" t="n">
        <v>33</v>
      </c>
      <c r="F44" s="161" t="n">
        <v>84.7</v>
      </c>
      <c r="G44" s="27" t="n">
        <v>26</v>
      </c>
      <c r="H44" s="164" t="n">
        <v>290</v>
      </c>
      <c r="I44" s="165" t="n">
        <v>45000</v>
      </c>
      <c r="J44" s="165" t="inlineStr">
        <is>
          <t>고</t>
        </is>
      </c>
      <c r="K44" s="165" t="n">
        <v>28000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탕정삼성트라팰리스</t>
        </is>
      </c>
      <c r="B45" s="16" t="inlineStr">
        <is>
          <t>'09.02.</t>
        </is>
      </c>
      <c r="C45" s="164" t="n">
        <v>3953</v>
      </c>
      <c r="D45" s="161" t="n">
        <v>108.1</v>
      </c>
      <c r="E45" s="163" t="n">
        <v>33</v>
      </c>
      <c r="F45" s="161" t="n">
        <v>84.7</v>
      </c>
      <c r="G45" s="27" t="n">
        <v>26</v>
      </c>
      <c r="H45" s="164" t="n">
        <v>274</v>
      </c>
      <c r="I45" s="165" t="n">
        <v>45000</v>
      </c>
      <c r="J45" s="165" t="inlineStr">
        <is>
          <t>고</t>
        </is>
      </c>
      <c r="K45" s="165" t="n">
        <v>28000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108B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탕정삼성트라팰리스</t>
        </is>
      </c>
      <c r="B46" s="16" t="inlineStr">
        <is>
          <t>'09.02.</t>
        </is>
      </c>
      <c r="C46" s="164" t="n">
        <v>3953</v>
      </c>
      <c r="D46" s="161" t="n">
        <v>112.9</v>
      </c>
      <c r="E46" s="163" t="n">
        <v>34</v>
      </c>
      <c r="F46" s="161" t="n">
        <v>83.5</v>
      </c>
      <c r="G46" s="27" t="n">
        <v>25</v>
      </c>
      <c r="H46" s="164" t="n">
        <v>290</v>
      </c>
      <c r="I46" s="165" t="n">
        <v>48000</v>
      </c>
      <c r="J46" s="165" t="inlineStr">
        <is>
          <t>고</t>
        </is>
      </c>
      <c r="K46" s="165" t="n">
        <v>28000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112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탕정삼성트라팰리스</t>
        </is>
      </c>
      <c r="B47" s="16" t="inlineStr">
        <is>
          <t>'09.02.</t>
        </is>
      </c>
      <c r="C47" s="164" t="n">
        <v>3953</v>
      </c>
      <c r="D47" s="161" t="n">
        <v>115</v>
      </c>
      <c r="E47" s="163" t="n">
        <v>35</v>
      </c>
      <c r="F47" s="161" t="n">
        <v>85</v>
      </c>
      <c r="G47" s="27" t="n">
        <v>26</v>
      </c>
      <c r="H47" s="164" t="n">
        <v>263</v>
      </c>
      <c r="I47" s="165" t="n">
        <v>46000</v>
      </c>
      <c r="J47" s="165" t="inlineStr">
        <is>
          <t>18</t>
        </is>
      </c>
      <c r="K47" s="165" t="n">
        <v>37000</v>
      </c>
      <c r="L47" s="165" t="inlineStr">
        <is>
          <t>11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114B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탕정삼성트라팰리스</t>
        </is>
      </c>
      <c r="B48" s="16" t="inlineStr">
        <is>
          <t>'09.02.</t>
        </is>
      </c>
      <c r="C48" s="164" t="n">
        <v>3953</v>
      </c>
      <c r="D48" s="161" t="n">
        <v>114.4</v>
      </c>
      <c r="E48" s="163" t="n">
        <v>35</v>
      </c>
      <c r="F48" s="161" t="n">
        <v>84.7</v>
      </c>
      <c r="G48" s="27" t="n">
        <v>26</v>
      </c>
      <c r="H48" s="164" t="n">
        <v>256</v>
      </c>
      <c r="I48" s="165" t="n">
        <v>43000</v>
      </c>
      <c r="J48" s="165" t="inlineStr">
        <is>
          <t>22</t>
        </is>
      </c>
      <c r="K48" s="165" t="n">
        <v>32000</v>
      </c>
      <c r="L48" s="165" t="inlineStr">
        <is>
          <t>중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114A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탕정삼성트라팰리스</t>
        </is>
      </c>
      <c r="B49" s="16" t="inlineStr">
        <is>
          <t>'09.02.</t>
        </is>
      </c>
      <c r="C49" s="164" t="n">
        <v>3953</v>
      </c>
      <c r="D49" s="161" t="n">
        <v>134.6</v>
      </c>
      <c r="E49" s="163" t="n">
        <v>41</v>
      </c>
      <c r="F49" s="161" t="n">
        <v>99.5</v>
      </c>
      <c r="G49" s="27" t="n">
        <v>30</v>
      </c>
      <c r="H49" s="164" t="n">
        <v>288</v>
      </c>
      <c r="I49" s="165" t="n">
        <v>57000</v>
      </c>
      <c r="J49" s="165" t="inlineStr">
        <is>
          <t>중</t>
        </is>
      </c>
      <c r="K49" s="165" t="n">
        <v>45000</v>
      </c>
      <c r="L49" s="165" t="inlineStr">
        <is>
          <t>중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134A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탕정삼성트라팰리스</t>
        </is>
      </c>
      <c r="B50" s="16" t="inlineStr">
        <is>
          <t>'09.02.</t>
        </is>
      </c>
      <c r="C50" s="164" t="n">
        <v>3953</v>
      </c>
      <c r="D50" s="161" t="n">
        <v>136</v>
      </c>
      <c r="E50" s="163" t="n">
        <v>41</v>
      </c>
      <c r="F50" s="161" t="n">
        <v>107</v>
      </c>
      <c r="G50" s="27" t="n">
        <v>32</v>
      </c>
      <c r="H50" s="164" t="n">
        <v>278</v>
      </c>
      <c r="I50" s="165" t="n">
        <v>58000</v>
      </c>
      <c r="J50" s="165" t="inlineStr">
        <is>
          <t>5</t>
        </is>
      </c>
      <c r="K50" s="165" t="n">
        <v>39500</v>
      </c>
      <c r="L50" s="165" t="inlineStr">
        <is>
          <t>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탕정삼성트라팰리스</t>
        </is>
      </c>
      <c r="B51" s="16" t="inlineStr">
        <is>
          <t>'09.02.</t>
        </is>
      </c>
      <c r="C51" s="164" t="n">
        <v>3953</v>
      </c>
      <c r="D51" s="161" t="n">
        <v>136</v>
      </c>
      <c r="E51" s="163" t="n">
        <v>41</v>
      </c>
      <c r="F51" s="161" t="n">
        <v>107</v>
      </c>
      <c r="G51" s="27" t="n">
        <v>32</v>
      </c>
      <c r="H51" s="164" t="n">
        <v>262</v>
      </c>
      <c r="I51" s="165" t="n">
        <v>58000</v>
      </c>
      <c r="J51" s="165" t="inlineStr">
        <is>
          <t>5</t>
        </is>
      </c>
      <c r="K51" s="165" t="n">
        <v>39500</v>
      </c>
      <c r="L51" s="165" t="inlineStr">
        <is>
          <t>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136B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탕정삼성트라팰리스</t>
        </is>
      </c>
      <c r="B52" s="16" t="inlineStr">
        <is>
          <t>'09.02.</t>
        </is>
      </c>
      <c r="C52" s="164" t="n">
        <v>3953</v>
      </c>
      <c r="D52" s="161" t="n">
        <v>145.9</v>
      </c>
      <c r="E52" s="163" t="n">
        <v>44</v>
      </c>
      <c r="F52" s="161" t="n">
        <v>108.9</v>
      </c>
      <c r="G52" s="27" t="n">
        <v>33</v>
      </c>
      <c r="H52" s="164" t="n">
        <v>262</v>
      </c>
      <c r="I52" s="165" t="n">
        <v>60000</v>
      </c>
      <c r="J52" s="165" t="inlineStr">
        <is>
          <t>10</t>
        </is>
      </c>
      <c r="K52" s="165" t="n">
        <v>44000</v>
      </c>
      <c r="L52" s="165" t="inlineStr">
        <is>
          <t>23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145A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탕정삼성트라팰리스</t>
        </is>
      </c>
      <c r="B53" s="16" t="inlineStr">
        <is>
          <t>'09.02.</t>
        </is>
      </c>
      <c r="C53" s="164" t="n">
        <v>3953</v>
      </c>
      <c r="D53" s="161" t="n">
        <v>146.9</v>
      </c>
      <c r="E53" s="163" t="n">
        <v>44</v>
      </c>
      <c r="F53" s="161" t="n">
        <v>109.7</v>
      </c>
      <c r="G53" s="27" t="n">
        <v>33</v>
      </c>
      <c r="H53" s="164" t="n">
        <v>261</v>
      </c>
      <c r="I53" s="165" t="n">
        <v>64000</v>
      </c>
      <c r="J53" s="165" t="inlineStr">
        <is>
          <t>고</t>
        </is>
      </c>
      <c r="K53" s="165" t="n">
        <v>45000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146B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탕정삼성트라팰리스</t>
        </is>
      </c>
      <c r="B54" s="16" t="inlineStr">
        <is>
          <t>'09.02.</t>
        </is>
      </c>
      <c r="C54" s="164" t="n">
        <v>3953</v>
      </c>
      <c r="D54" s="161" t="n">
        <v>158.6</v>
      </c>
      <c r="E54" s="163" t="n">
        <v>48</v>
      </c>
      <c r="F54" s="161" t="n">
        <v>125.3</v>
      </c>
      <c r="G54" s="27" t="n">
        <v>38</v>
      </c>
      <c r="H54" s="164" t="n">
        <v>288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158B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탕정삼성트라팰리스</t>
        </is>
      </c>
      <c r="B55" s="16" t="inlineStr">
        <is>
          <t>'09.02.</t>
        </is>
      </c>
      <c r="C55" s="164" t="n">
        <v>3953</v>
      </c>
      <c r="D55" s="161" t="n">
        <v>158.6</v>
      </c>
      <c r="E55" s="163" t="n">
        <v>48</v>
      </c>
      <c r="F55" s="161" t="n">
        <v>125.3</v>
      </c>
      <c r="G55" s="27" t="n">
        <v>38</v>
      </c>
      <c r="H55" s="164" t="n">
        <v>272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158A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탕정삼성트라팰리스</t>
        </is>
      </c>
      <c r="B56" s="16" t="inlineStr">
        <is>
          <t>'09.02.</t>
        </is>
      </c>
      <c r="C56" s="164" t="n">
        <v>3953</v>
      </c>
      <c r="D56" s="161" t="n">
        <v>168</v>
      </c>
      <c r="E56" s="163" t="n">
        <v>51</v>
      </c>
      <c r="F56" s="161" t="n">
        <v>125.7</v>
      </c>
      <c r="G56" s="27" t="n">
        <v>38</v>
      </c>
      <c r="H56" s="164" t="n">
        <v>25</v>
      </c>
      <c r="I56" s="165" t="n">
        <v>80000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168A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탕정삼성트라팰리스</t>
        </is>
      </c>
      <c r="B57" s="16" t="inlineStr">
        <is>
          <t>'09.02.</t>
        </is>
      </c>
      <c r="C57" s="164" t="n">
        <v>3953</v>
      </c>
      <c r="D57" s="161" t="n">
        <v>169.8</v>
      </c>
      <c r="E57" s="163" t="n">
        <v>51</v>
      </c>
      <c r="F57" s="161" t="n">
        <v>127.5</v>
      </c>
      <c r="G57" s="27" t="n">
        <v>39</v>
      </c>
      <c r="H57" s="164" t="n">
        <v>25</v>
      </c>
      <c r="I57" s="165" t="n">
        <v>81000</v>
      </c>
      <c r="J57" s="165" t="inlineStr">
        <is>
          <t>고</t>
        </is>
      </c>
      <c r="K57" s="165" t="n">
        <v>57000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169B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탕정삼성트라팰리스</t>
        </is>
      </c>
      <c r="B58" s="16" t="inlineStr">
        <is>
          <t>'09.02.</t>
        </is>
      </c>
      <c r="C58" s="164" t="n">
        <v>3953</v>
      </c>
      <c r="D58" s="161" t="n">
        <v>192.6</v>
      </c>
      <c r="E58" s="163" t="n">
        <v>58</v>
      </c>
      <c r="F58" s="161" t="n">
        <v>144.4</v>
      </c>
      <c r="G58" s="27" t="n">
        <v>44</v>
      </c>
      <c r="H58" s="164" t="n">
        <v>264</v>
      </c>
      <c r="I58" s="165" t="n">
        <v>82000</v>
      </c>
      <c r="J58" s="165" t="inlineStr">
        <is>
          <t>고</t>
        </is>
      </c>
      <c r="K58" s="165" t="n">
        <v>51000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192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탕정삼성트라팰리스</t>
        </is>
      </c>
      <c r="B59" s="16" t="inlineStr">
        <is>
          <t>'09.02.</t>
        </is>
      </c>
      <c r="C59" s="164" t="n">
        <v>3953</v>
      </c>
      <c r="D59" s="161" t="n">
        <v>205.8</v>
      </c>
      <c r="E59" s="163" t="n">
        <v>62</v>
      </c>
      <c r="F59" s="161" t="n">
        <v>163.5</v>
      </c>
      <c r="G59" s="27" t="n">
        <v>49</v>
      </c>
      <c r="H59" s="164" t="n">
        <v>4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205A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탕정삼성트라팰리스</t>
        </is>
      </c>
      <c r="B60" s="16" t="inlineStr">
        <is>
          <t>'09.02.</t>
        </is>
      </c>
      <c r="C60" s="164" t="n">
        <v>3953</v>
      </c>
      <c r="D60" s="161" t="n">
        <v>205.8</v>
      </c>
      <c r="E60" s="163" t="n">
        <v>62</v>
      </c>
      <c r="F60" s="161" t="n">
        <v>163.5</v>
      </c>
      <c r="G60" s="27" t="n">
        <v>49</v>
      </c>
      <c r="H60" s="164" t="n">
        <v>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205B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탕정삼성트라팰리스</t>
        </is>
      </c>
      <c r="B61" s="16" t="inlineStr">
        <is>
          <t>'09.02.</t>
        </is>
      </c>
      <c r="C61" s="164" t="n">
        <v>3953</v>
      </c>
      <c r="D61" s="161" t="n">
        <v>219.2</v>
      </c>
      <c r="E61" s="163" t="n">
        <v>66</v>
      </c>
      <c r="F61" s="161" t="n">
        <v>163.1</v>
      </c>
      <c r="G61" s="27" t="n">
        <v>49</v>
      </c>
      <c r="H61" s="164" t="n">
        <v>25</v>
      </c>
      <c r="I61" s="165" t="n">
        <v>107000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219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호반써밋그랜드마크Ⅰ(D1-1BL)</t>
        </is>
      </c>
      <c r="B63" s="16" t="inlineStr">
        <is>
          <t>'23.07.</t>
        </is>
      </c>
      <c r="C63" s="164" t="n">
        <v>756</v>
      </c>
      <c r="D63" s="161" t="n">
        <v>112.5</v>
      </c>
      <c r="E63" s="163" t="n">
        <v>34</v>
      </c>
      <c r="F63" s="161" t="n">
        <v>84.59999999999999</v>
      </c>
      <c r="G63" s="27" t="n">
        <v>26</v>
      </c>
      <c r="H63" s="164" t="n">
        <v>571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호반써밋그랜드마크Ⅰ(D1-1BL)</t>
        </is>
      </c>
      <c r="B64" s="16" t="inlineStr">
        <is>
          <t>'23.07.</t>
        </is>
      </c>
      <c r="C64" s="164" t="n">
        <v>756</v>
      </c>
      <c r="D64" s="161" t="n">
        <v>113</v>
      </c>
      <c r="E64" s="163" t="n">
        <v>34</v>
      </c>
      <c r="F64" s="161" t="n">
        <v>84.90000000000001</v>
      </c>
      <c r="G64" s="27" t="n">
        <v>26</v>
      </c>
      <c r="H64" s="164" t="n">
        <v>185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113B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한들물빛도시신혼희망타운(2-A2)</t>
        </is>
      </c>
      <c r="B66" s="16" t="inlineStr">
        <is>
          <t>'22.12.</t>
        </is>
      </c>
      <c r="C66" s="164" t="n">
        <v>1062</v>
      </c>
      <c r="D66" s="161" t="n">
        <v>79</v>
      </c>
      <c r="E66" s="163" t="n">
        <v>24</v>
      </c>
      <c r="F66" s="161" t="n">
        <v>55.8</v>
      </c>
      <c r="G66" s="27" t="n">
        <v>17</v>
      </c>
      <c r="H66" s="164" t="n">
        <v>368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2</v>
      </c>
      <c r="R66" s="113" t="n">
        <v>2</v>
      </c>
      <c r="S66" s="113" t="inlineStr">
        <is>
          <t>계</t>
        </is>
      </c>
      <c r="T66" s="8" t="inlineStr">
        <is>
          <t>78A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한들물빛도시신혼희망타운(2-A2)</t>
        </is>
      </c>
      <c r="B67" s="16" t="inlineStr">
        <is>
          <t>'22.12.</t>
        </is>
      </c>
      <c r="C67" s="164" t="n">
        <v>1062</v>
      </c>
      <c r="D67" s="161" t="n">
        <v>79</v>
      </c>
      <c r="E67" s="163" t="n">
        <v>24</v>
      </c>
      <c r="F67" s="161" t="n">
        <v>55.9</v>
      </c>
      <c r="G67" s="27" t="n">
        <v>17</v>
      </c>
      <c r="H67" s="164" t="n">
        <v>150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한들물빛도시신혼희망타운(2-A2)</t>
        </is>
      </c>
      <c r="B68" s="16" t="inlineStr">
        <is>
          <t>'22.12.</t>
        </is>
      </c>
      <c r="C68" s="164" t="n">
        <v>1062</v>
      </c>
      <c r="D68" s="161" t="n">
        <v>78.90000000000001</v>
      </c>
      <c r="E68" s="163" t="n">
        <v>24</v>
      </c>
      <c r="F68" s="161" t="n">
        <v>55.8</v>
      </c>
      <c r="G68" s="27" t="n">
        <v>17</v>
      </c>
      <c r="H68" s="164" t="n">
        <v>111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2</v>
      </c>
      <c r="R68" s="113" t="n">
        <v>2</v>
      </c>
      <c r="S68" s="113" t="inlineStr">
        <is>
          <t>계</t>
        </is>
      </c>
      <c r="T68" s="8" t="inlineStr">
        <is>
          <t>78D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한들물빛도시신혼희망타운(2-A2)</t>
        </is>
      </c>
      <c r="B69" s="16" t="inlineStr">
        <is>
          <t>'22.12.</t>
        </is>
      </c>
      <c r="C69" s="164" t="n">
        <v>1062</v>
      </c>
      <c r="D69" s="161" t="n">
        <v>79</v>
      </c>
      <c r="E69" s="163" t="n">
        <v>24</v>
      </c>
      <c r="F69" s="161" t="n">
        <v>55.8</v>
      </c>
      <c r="G69" s="27" t="n">
        <v>17</v>
      </c>
      <c r="H69" s="164" t="n">
        <v>18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2</v>
      </c>
      <c r="R69" s="113" t="n">
        <v>2</v>
      </c>
      <c r="S69" s="113" t="inlineStr">
        <is>
          <t>계</t>
        </is>
      </c>
      <c r="T69" s="8" t="inlineStr">
        <is>
          <t>78C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한들물빛도시신혼희망타운(2-A2)</t>
        </is>
      </c>
      <c r="B70" s="16" t="inlineStr">
        <is>
          <t>'22.12.</t>
        </is>
      </c>
      <c r="C70" s="164" t="n">
        <v>1062</v>
      </c>
      <c r="D70" s="161" t="n">
        <v>84.59999999999999</v>
      </c>
      <c r="E70" s="163" t="n">
        <v>26</v>
      </c>
      <c r="F70" s="161" t="n">
        <v>59.8</v>
      </c>
      <c r="G70" s="27" t="n">
        <v>18</v>
      </c>
      <c r="H70" s="164" t="n">
        <v>154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84A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한들물빛도시신혼희망타운(2-A2)</t>
        </is>
      </c>
      <c r="B71" s="16" t="inlineStr">
        <is>
          <t>'22.12.</t>
        </is>
      </c>
      <c r="C71" s="164" t="n">
        <v>1062</v>
      </c>
      <c r="D71" s="161" t="n">
        <v>84.7</v>
      </c>
      <c r="E71" s="163" t="n">
        <v>26</v>
      </c>
      <c r="F71" s="161" t="n">
        <v>59.9</v>
      </c>
      <c r="G71" s="27" t="n">
        <v>18</v>
      </c>
      <c r="H71" s="164" t="n">
        <v>112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84C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한들물빛도시신혼희망타운(2-A2)</t>
        </is>
      </c>
      <c r="B72" s="16" t="inlineStr">
        <is>
          <t>'22.12.</t>
        </is>
      </c>
      <c r="C72" s="164" t="n">
        <v>1062</v>
      </c>
      <c r="D72" s="161" t="n">
        <v>84.59999999999999</v>
      </c>
      <c r="E72" s="163" t="n">
        <v>26</v>
      </c>
      <c r="F72" s="161" t="n">
        <v>59.8</v>
      </c>
      <c r="G72" s="27" t="n">
        <v>18</v>
      </c>
      <c r="H72" s="164" t="n">
        <v>111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84D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한들물빛도시신혼희망타운(2-A2)</t>
        </is>
      </c>
      <c r="B73" s="16" t="inlineStr">
        <is>
          <t>'22.12.</t>
        </is>
      </c>
      <c r="C73" s="164" t="n">
        <v>1062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38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한라</t>
        </is>
      </c>
      <c r="B75" s="16" t="inlineStr">
        <is>
          <t>'97.11.</t>
        </is>
      </c>
      <c r="C75" s="164" t="n">
        <v>355</v>
      </c>
      <c r="D75" s="161" t="n">
        <v>69</v>
      </c>
      <c r="E75" s="163" t="n">
        <v>21</v>
      </c>
      <c r="F75" s="161" t="n">
        <v>50</v>
      </c>
      <c r="G75" s="27" t="n">
        <v>15</v>
      </c>
      <c r="H75" s="164" t="n">
        <v>355</v>
      </c>
      <c r="I75" s="165" t="n">
        <v>14500</v>
      </c>
      <c r="J75" s="165" t="inlineStr">
        <is>
          <t>8</t>
        </is>
      </c>
      <c r="K75" s="165" t="n">
        <v>10000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계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한들물빛도시지웰시티푸르지오(2-C2BL)</t>
        </is>
      </c>
      <c r="B77" s="16" t="inlineStr">
        <is>
          <t>'22.01.</t>
        </is>
      </c>
      <c r="C77" s="164" t="n">
        <v>852</v>
      </c>
      <c r="D77" s="161" t="n">
        <v>115.4</v>
      </c>
      <c r="E77" s="163" t="n">
        <v>35</v>
      </c>
      <c r="F77" s="161" t="n">
        <v>84.7</v>
      </c>
      <c r="G77" s="27" t="n">
        <v>26</v>
      </c>
      <c r="H77" s="164" t="n">
        <v>329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한들물빛도시지웰시티푸르지오(2-C2BL)</t>
        </is>
      </c>
      <c r="B78" s="16" t="inlineStr">
        <is>
          <t>'22.01.</t>
        </is>
      </c>
      <c r="C78" s="164" t="n">
        <v>852</v>
      </c>
      <c r="D78" s="161" t="n">
        <v>115.6</v>
      </c>
      <c r="E78" s="163" t="n">
        <v>35</v>
      </c>
      <c r="F78" s="161" t="n">
        <v>85</v>
      </c>
      <c r="G78" s="27" t="n">
        <v>26</v>
      </c>
      <c r="H78" s="164" t="n">
        <v>221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한들물빛도시지웰시티푸르지오(2-C2BL)</t>
        </is>
      </c>
      <c r="B79" s="16" t="inlineStr">
        <is>
          <t>'22.01.</t>
        </is>
      </c>
      <c r="C79" s="164" t="n">
        <v>852</v>
      </c>
      <c r="D79" s="161" t="n">
        <v>115.4</v>
      </c>
      <c r="E79" s="163" t="n">
        <v>35</v>
      </c>
      <c r="F79" s="161" t="n">
        <v>84.7</v>
      </c>
      <c r="G79" s="27" t="n">
        <v>26</v>
      </c>
      <c r="H79" s="164" t="n">
        <v>110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한들물빛도시지웰시티푸르지오(2-C2BL)</t>
        </is>
      </c>
      <c r="B80" s="16" t="inlineStr">
        <is>
          <t>'22.01.</t>
        </is>
      </c>
      <c r="C80" s="164" t="n">
        <v>852</v>
      </c>
      <c r="D80" s="161" t="n">
        <v>131.9</v>
      </c>
      <c r="E80" s="163" t="n">
        <v>40</v>
      </c>
      <c r="F80" s="161" t="n">
        <v>97.7</v>
      </c>
      <c r="G80" s="27" t="n">
        <v>30</v>
      </c>
      <c r="H80" s="164" t="n">
        <v>96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131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한들물빛도시지웰시티푸르지오(2-C2BL)</t>
        </is>
      </c>
      <c r="B81" s="16" t="inlineStr">
        <is>
          <t>'22.01.</t>
        </is>
      </c>
      <c r="C81" s="164" t="n">
        <v>852</v>
      </c>
      <c r="D81" s="161" t="n">
        <v>137.3</v>
      </c>
      <c r="E81" s="163" t="n">
        <v>42</v>
      </c>
      <c r="F81" s="161" t="n">
        <v>101.9</v>
      </c>
      <c r="G81" s="27" t="n">
        <v>31</v>
      </c>
      <c r="H81" s="164" t="n">
        <v>96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137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한들물빛도시시티프라디움</t>
        </is>
      </c>
      <c r="B83" s="16" t="inlineStr">
        <is>
          <t>'21.07.</t>
        </is>
      </c>
      <c r="C83" s="164" t="n">
        <v>746</v>
      </c>
      <c r="D83" s="161" t="n">
        <v>109.6</v>
      </c>
      <c r="E83" s="163" t="n">
        <v>33</v>
      </c>
      <c r="F83" s="161" t="n">
        <v>85</v>
      </c>
      <c r="G83" s="27" t="n">
        <v>26</v>
      </c>
      <c r="H83" s="164" t="n">
        <v>468</v>
      </c>
      <c r="I83" s="165" t="n">
        <v>70000</v>
      </c>
      <c r="J83" s="165" t="inlineStr">
        <is>
          <t>21</t>
        </is>
      </c>
      <c r="K83" s="165" t="n">
        <v>33000</v>
      </c>
      <c r="L83" s="165" t="inlineStr">
        <is>
          <t>5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한들물빛도시시티프라디움</t>
        </is>
      </c>
      <c r="B84" s="16" t="inlineStr">
        <is>
          <t>'21.07.</t>
        </is>
      </c>
      <c r="C84" s="164" t="n">
        <v>746</v>
      </c>
      <c r="D84" s="161" t="n">
        <v>109.9</v>
      </c>
      <c r="E84" s="163" t="n">
        <v>33</v>
      </c>
      <c r="F84" s="161" t="n">
        <v>85</v>
      </c>
      <c r="G84" s="27" t="n">
        <v>26</v>
      </c>
      <c r="H84" s="164" t="n">
        <v>96</v>
      </c>
      <c r="I84" s="165" t="n"/>
      <c r="J84" s="165" t="n"/>
      <c r="K84" s="165" t="n">
        <v>35000</v>
      </c>
      <c r="L84" s="165" t="inlineStr">
        <is>
          <t>중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109B2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한들물빛도시시티프라디움</t>
        </is>
      </c>
      <c r="B85" s="16" t="inlineStr">
        <is>
          <t>'21.07.</t>
        </is>
      </c>
      <c r="C85" s="164" t="n">
        <v>746</v>
      </c>
      <c r="D85" s="161" t="n">
        <v>110.4</v>
      </c>
      <c r="E85" s="163" t="n">
        <v>33</v>
      </c>
      <c r="F85" s="161" t="n">
        <v>85</v>
      </c>
      <c r="G85" s="27" t="n">
        <v>26</v>
      </c>
      <c r="H85" s="164" t="n">
        <v>182</v>
      </c>
      <c r="I85" s="165" t="n">
        <v>70000</v>
      </c>
      <c r="J85" s="165" t="inlineStr">
        <is>
          <t>9</t>
        </is>
      </c>
      <c r="K85" s="165" t="n">
        <v>35000</v>
      </c>
      <c r="L85" s="165" t="inlineStr">
        <is>
          <t>9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110B1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17">
      <formula>AV4="X"</formula>
    </cfRule>
    <cfRule type="expression" priority="1354" dxfId="16">
      <formula>AV4="후보"</formula>
    </cfRule>
  </conditionalFormatting>
  <conditionalFormatting sqref="AC1:AC2 AC4:AC6 N4:N5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:N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6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17">
      <formula>AV7="X"</formula>
    </cfRule>
    <cfRule type="expression" priority="1333" dxfId="16">
      <formula>AV7="후보"</formula>
    </cfRule>
  </conditionalFormatting>
  <conditionalFormatting sqref="AC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17">
      <formula>AV8="X"</formula>
    </cfRule>
    <cfRule type="expression" priority="1314" dxfId="16">
      <formula>AV8="후보"</formula>
    </cfRule>
  </conditionalFormatting>
  <conditionalFormatting sqref="AC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8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17">
      <formula>AV9="X"</formula>
    </cfRule>
    <cfRule type="expression" priority="1295" dxfId="16">
      <formula>AV9="후보"</formula>
    </cfRule>
  </conditionalFormatting>
  <conditionalFormatting sqref="AC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17">
      <formula>AV10="X"</formula>
    </cfRule>
    <cfRule type="expression" priority="1276" dxfId="16">
      <formula>AV10="후보"</formula>
    </cfRule>
  </conditionalFormatting>
  <conditionalFormatting sqref="AC1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1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17">
      <formula>AV11="X"</formula>
    </cfRule>
    <cfRule type="expression" priority="1257" dxfId="16">
      <formula>AV11="후보"</formula>
    </cfRule>
  </conditionalFormatting>
  <conditionalFormatting sqref="AC1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1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17">
      <formula>AV12="X"</formula>
    </cfRule>
    <cfRule type="expression" priority="1238" dxfId="16">
      <formula>AV12="후보"</formula>
    </cfRule>
  </conditionalFormatting>
  <conditionalFormatting sqref="AC1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17">
      <formula>AV13="X"</formula>
    </cfRule>
    <cfRule type="expression" priority="1219" dxfId="16">
      <formula>AV13="후보"</formula>
    </cfRule>
  </conditionalFormatting>
  <conditionalFormatting sqref="AC13 N1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14">
    <cfRule type="expression" priority="1213" dxfId="17">
      <formula>AV14="X"</formula>
    </cfRule>
    <cfRule type="expression" priority="1214" dxfId="16">
      <formula>AV14="후보"</formula>
    </cfRule>
  </conditionalFormatting>
  <conditionalFormatting sqref="AC1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17">
      <formula>AV15="X"</formula>
    </cfRule>
    <cfRule type="expression" priority="1195" dxfId="16">
      <formula>AV15="후보"</formula>
    </cfRule>
  </conditionalFormatting>
  <conditionalFormatting sqref="AC1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17">
      <formula>AV16="X"</formula>
    </cfRule>
    <cfRule type="expression" priority="1176" dxfId="16">
      <formula>AV16="후보"</formula>
    </cfRule>
  </conditionalFormatting>
  <conditionalFormatting sqref="AC1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17">
      <formula>AV17="X"</formula>
    </cfRule>
    <cfRule type="expression" priority="1157" dxfId="16">
      <formula>AV17="후보"</formula>
    </cfRule>
  </conditionalFormatting>
  <conditionalFormatting sqref="AC1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17">
      <formula>AV18="X"</formula>
    </cfRule>
    <cfRule type="expression" priority="1138" dxfId="16">
      <formula>AV18="후보"</formula>
    </cfRule>
  </conditionalFormatting>
  <conditionalFormatting sqref="AC1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8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17">
      <formula>AV19="X"</formula>
    </cfRule>
    <cfRule type="expression" priority="1119" dxfId="16">
      <formula>AV19="후보"</formula>
    </cfRule>
  </conditionalFormatting>
  <conditionalFormatting sqref="AC19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17">
      <formula>AV20="X"</formula>
    </cfRule>
    <cfRule type="expression" priority="1100" dxfId="16">
      <formula>AV20="후보"</formula>
    </cfRule>
  </conditionalFormatting>
  <conditionalFormatting sqref="AC20 N20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21">
    <cfRule type="expression" priority="1094" dxfId="17">
      <formula>AV21="X"</formula>
    </cfRule>
    <cfRule type="expression" priority="1095" dxfId="16">
      <formula>AV21="후보"</formula>
    </cfRule>
  </conditionalFormatting>
  <conditionalFormatting sqref="AC2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2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17">
      <formula>AV22="X"</formula>
    </cfRule>
    <cfRule type="expression" priority="1076" dxfId="16">
      <formula>AV22="후보"</formula>
    </cfRule>
  </conditionalFormatting>
  <conditionalFormatting sqref="AC22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22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17">
      <formula>AV23="X"</formula>
    </cfRule>
    <cfRule type="expression" priority="1057" dxfId="16">
      <formula>AV23="후보"</formula>
    </cfRule>
  </conditionalFormatting>
  <conditionalFormatting sqref="AC23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3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17">
      <formula>AV24="X"</formula>
    </cfRule>
    <cfRule type="expression" priority="1038" dxfId="16">
      <formula>AV24="후보"</formula>
    </cfRule>
  </conditionalFormatting>
  <conditionalFormatting sqref="AC24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4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17">
      <formula>AV25="X"</formula>
    </cfRule>
    <cfRule type="expression" priority="1019" dxfId="16">
      <formula>AV25="후보"</formula>
    </cfRule>
  </conditionalFormatting>
  <conditionalFormatting sqref="AC25 N25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AV26">
    <cfRule type="expression" priority="1013" dxfId="17">
      <formula>AV26="X"</formula>
    </cfRule>
    <cfRule type="expression" priority="1014" dxfId="16">
      <formula>AV26="후보"</formula>
    </cfRule>
  </conditionalFormatting>
  <conditionalFormatting sqref="AC2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17">
      <formula>AV27="X"</formula>
    </cfRule>
    <cfRule type="expression" priority="995" dxfId="16">
      <formula>AV27="후보"</formula>
    </cfRule>
  </conditionalFormatting>
  <conditionalFormatting sqref="AC2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17">
      <formula>AV28="X"</formula>
    </cfRule>
    <cfRule type="expression" priority="976" dxfId="16">
      <formula>AV28="후보"</formula>
    </cfRule>
  </conditionalFormatting>
  <conditionalFormatting sqref="AC2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2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17">
      <formula>AV29="X"</formula>
    </cfRule>
    <cfRule type="expression" priority="957" dxfId="16">
      <formula>AV29="후보"</formula>
    </cfRule>
  </conditionalFormatting>
  <conditionalFormatting sqref="AC2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17">
      <formula>AV30="X"</formula>
    </cfRule>
    <cfRule type="expression" priority="938" dxfId="16">
      <formula>AV30="후보"</formula>
    </cfRule>
  </conditionalFormatting>
  <conditionalFormatting sqref="AC30 N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31">
    <cfRule type="expression" priority="932" dxfId="17">
      <formula>AV31="X"</formula>
    </cfRule>
    <cfRule type="expression" priority="933" dxfId="16">
      <formula>AV31="후보"</formula>
    </cfRule>
  </conditionalFormatting>
  <conditionalFormatting sqref="AC3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17">
      <formula>AV32="X"</formula>
    </cfRule>
    <cfRule type="expression" priority="914" dxfId="16">
      <formula>AV32="후보"</formula>
    </cfRule>
  </conditionalFormatting>
  <conditionalFormatting sqref="AC3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17">
      <formula>AV33="X"</formula>
    </cfRule>
    <cfRule type="expression" priority="895" dxfId="16">
      <formula>AV33="후보"</formula>
    </cfRule>
  </conditionalFormatting>
  <conditionalFormatting sqref="AC33 N3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34">
    <cfRule type="expression" priority="889" dxfId="17">
      <formula>AV34="X"</formula>
    </cfRule>
    <cfRule type="expression" priority="890" dxfId="16">
      <formula>AV34="후보"</formula>
    </cfRule>
  </conditionalFormatting>
  <conditionalFormatting sqref="AC34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4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17">
      <formula>AV35="X"</formula>
    </cfRule>
    <cfRule type="expression" priority="871" dxfId="16">
      <formula>AV35="후보"</formula>
    </cfRule>
  </conditionalFormatting>
  <conditionalFormatting sqref="AC3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17">
      <formula>AV36="X"</formula>
    </cfRule>
    <cfRule type="expression" priority="852" dxfId="16">
      <formula>AV36="후보"</formula>
    </cfRule>
  </conditionalFormatting>
  <conditionalFormatting sqref="AC3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17">
      <formula>AV37="X"</formula>
    </cfRule>
    <cfRule type="expression" priority="833" dxfId="16">
      <formula>AV37="후보"</formula>
    </cfRule>
  </conditionalFormatting>
  <conditionalFormatting sqref="AC3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17">
      <formula>AV38="X"</formula>
    </cfRule>
    <cfRule type="expression" priority="814" dxfId="16">
      <formula>AV38="후보"</formula>
    </cfRule>
  </conditionalFormatting>
  <conditionalFormatting sqref="AC38 N3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39">
    <cfRule type="expression" priority="808" dxfId="17">
      <formula>AV39="X"</formula>
    </cfRule>
    <cfRule type="expression" priority="809" dxfId="16">
      <formula>AV39="후보"</formula>
    </cfRule>
  </conditionalFormatting>
  <conditionalFormatting sqref="AC3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9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17">
      <formula>AV40="X"</formula>
    </cfRule>
    <cfRule type="expression" priority="790" dxfId="16">
      <formula>AV40="후보"</formula>
    </cfRule>
  </conditionalFormatting>
  <conditionalFormatting sqref="AC40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0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17">
      <formula>AV41="X"</formula>
    </cfRule>
    <cfRule type="expression" priority="771" dxfId="16">
      <formula>AV41="후보"</formula>
    </cfRule>
  </conditionalFormatting>
  <conditionalFormatting sqref="AC41 N41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42">
    <cfRule type="expression" priority="765" dxfId="17">
      <formula>AV42="X"</formula>
    </cfRule>
    <cfRule type="expression" priority="766" dxfId="16">
      <formula>AV42="후보"</formula>
    </cfRule>
  </conditionalFormatting>
  <conditionalFormatting sqref="AC42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2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17">
      <formula>AV43="X"</formula>
    </cfRule>
    <cfRule type="expression" priority="747" dxfId="16">
      <formula>AV43="후보"</formula>
    </cfRule>
  </conditionalFormatting>
  <conditionalFormatting sqref="AC43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3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17">
      <formula>AV44="X"</formula>
    </cfRule>
    <cfRule type="expression" priority="728" dxfId="16">
      <formula>AV44="후보"</formula>
    </cfRule>
  </conditionalFormatting>
  <conditionalFormatting sqref="AC44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4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17">
      <formula>AV45="X"</formula>
    </cfRule>
    <cfRule type="expression" priority="709" dxfId="16">
      <formula>AV45="후보"</formula>
    </cfRule>
  </conditionalFormatting>
  <conditionalFormatting sqref="AC45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5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17">
      <formula>AV46="X"</formula>
    </cfRule>
    <cfRule type="expression" priority="690" dxfId="16">
      <formula>AV46="후보"</formula>
    </cfRule>
  </conditionalFormatting>
  <conditionalFormatting sqref="AC46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46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17">
      <formula>AV47="X"</formula>
    </cfRule>
    <cfRule type="expression" priority="671" dxfId="16">
      <formula>AV47="후보"</formula>
    </cfRule>
  </conditionalFormatting>
  <conditionalFormatting sqref="AC4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17">
      <formula>AV48="X"</formula>
    </cfRule>
    <cfRule type="expression" priority="652" dxfId="16">
      <formula>AV48="후보"</formula>
    </cfRule>
  </conditionalFormatting>
  <conditionalFormatting sqref="AC4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17">
      <formula>AV49="X"</formula>
    </cfRule>
    <cfRule type="expression" priority="633" dxfId="16">
      <formula>AV49="후보"</formula>
    </cfRule>
  </conditionalFormatting>
  <conditionalFormatting sqref="AC4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4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17">
      <formula>AV50="X"</formula>
    </cfRule>
    <cfRule type="expression" priority="614" dxfId="16">
      <formula>AV50="후보"</formula>
    </cfRule>
  </conditionalFormatting>
  <conditionalFormatting sqref="AC5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5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17">
      <formula>AV51="X"</formula>
    </cfRule>
    <cfRule type="expression" priority="595" dxfId="16">
      <formula>AV51="후보"</formula>
    </cfRule>
  </conditionalFormatting>
  <conditionalFormatting sqref="AC5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17">
      <formula>AV52="X"</formula>
    </cfRule>
    <cfRule type="expression" priority="576" dxfId="16">
      <formula>AV52="후보"</formula>
    </cfRule>
  </conditionalFormatting>
  <conditionalFormatting sqref="AC52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52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17">
      <formula>AV53="X"</formula>
    </cfRule>
    <cfRule type="expression" priority="557" dxfId="16">
      <formula>AV53="후보"</formula>
    </cfRule>
  </conditionalFormatting>
  <conditionalFormatting sqref="AC5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3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17">
      <formula>AV54="X"</formula>
    </cfRule>
    <cfRule type="expression" priority="538" dxfId="16">
      <formula>AV54="후보"</formula>
    </cfRule>
  </conditionalFormatting>
  <conditionalFormatting sqref="AC5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17">
      <formula>AV55="X"</formula>
    </cfRule>
    <cfRule type="expression" priority="519" dxfId="16">
      <formula>AV55="후보"</formula>
    </cfRule>
  </conditionalFormatting>
  <conditionalFormatting sqref="AC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17">
      <formula>AV56="X"</formula>
    </cfRule>
    <cfRule type="expression" priority="500" dxfId="16">
      <formula>AV56="후보"</formula>
    </cfRule>
  </conditionalFormatting>
  <conditionalFormatting sqref="AC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17">
      <formula>AV57="X"</formula>
    </cfRule>
    <cfRule type="expression" priority="481" dxfId="16">
      <formula>AV57="후보"</formula>
    </cfRule>
  </conditionalFormatting>
  <conditionalFormatting sqref="AC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17">
      <formula>AV58="X"</formula>
    </cfRule>
    <cfRule type="expression" priority="462" dxfId="16">
      <formula>AV58="후보"</formula>
    </cfRule>
  </conditionalFormatting>
  <conditionalFormatting sqref="AC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17">
      <formula>AV59="X"</formula>
    </cfRule>
    <cfRule type="expression" priority="443" dxfId="16">
      <formula>AV59="후보"</formula>
    </cfRule>
  </conditionalFormatting>
  <conditionalFormatting sqref="AC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17">
      <formula>AV60="X"</formula>
    </cfRule>
    <cfRule type="expression" priority="424" dxfId="16">
      <formula>AV60="후보"</formula>
    </cfRule>
  </conditionalFormatting>
  <conditionalFormatting sqref="AC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17">
      <formula>AV61="X"</formula>
    </cfRule>
    <cfRule type="expression" priority="405" dxfId="16">
      <formula>AV61="후보"</formula>
    </cfRule>
  </conditionalFormatting>
  <conditionalFormatting sqref="AC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17">
      <formula>AV62="X"</formula>
    </cfRule>
    <cfRule type="expression" priority="386" dxfId="16">
      <formula>AV62="후보"</formula>
    </cfRule>
  </conditionalFormatting>
  <conditionalFormatting sqref="AC62 N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63">
    <cfRule type="expression" priority="380" dxfId="17">
      <formula>AV63="X"</formula>
    </cfRule>
    <cfRule type="expression" priority="381" dxfId="16">
      <formula>AV63="후보"</formula>
    </cfRule>
  </conditionalFormatting>
  <conditionalFormatting sqref="AC6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17">
      <formula>AV64="X"</formula>
    </cfRule>
    <cfRule type="expression" priority="362" dxfId="16">
      <formula>AV64="후보"</formula>
    </cfRule>
  </conditionalFormatting>
  <conditionalFormatting sqref="AC6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17">
      <formula>AV65="X"</formula>
    </cfRule>
    <cfRule type="expression" priority="343" dxfId="16">
      <formula>AV65="후보"</formula>
    </cfRule>
  </conditionalFormatting>
  <conditionalFormatting sqref="AC65 N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66">
    <cfRule type="expression" priority="337" dxfId="17">
      <formula>AV66="X"</formula>
    </cfRule>
    <cfRule type="expression" priority="338" dxfId="16">
      <formula>AV66="후보"</formula>
    </cfRule>
  </conditionalFormatting>
  <conditionalFormatting sqref="AC6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17">
      <formula>AV67="X"</formula>
    </cfRule>
    <cfRule type="expression" priority="319" dxfId="16">
      <formula>AV67="후보"</formula>
    </cfRule>
  </conditionalFormatting>
  <conditionalFormatting sqref="AC6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17">
      <formula>AV68="X"</formula>
    </cfRule>
    <cfRule type="expression" priority="300" dxfId="16">
      <formula>AV68="후보"</formula>
    </cfRule>
  </conditionalFormatting>
  <conditionalFormatting sqref="AC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17">
      <formula>AV69="X"</formula>
    </cfRule>
    <cfRule type="expression" priority="281" dxfId="16">
      <formula>AV69="후보"</formula>
    </cfRule>
  </conditionalFormatting>
  <conditionalFormatting sqref="AC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17">
      <formula>AV70="X"</formula>
    </cfRule>
    <cfRule type="expression" priority="262" dxfId="16">
      <formula>AV70="후보"</formula>
    </cfRule>
  </conditionalFormatting>
  <conditionalFormatting sqref="AC7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17">
      <formula>AV71="X"</formula>
    </cfRule>
    <cfRule type="expression" priority="243" dxfId="16">
      <formula>AV71="후보"</formula>
    </cfRule>
  </conditionalFormatting>
  <conditionalFormatting sqref="AC7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17">
      <formula>AV72="X"</formula>
    </cfRule>
    <cfRule type="expression" priority="224" dxfId="16">
      <formula>AV72="후보"</formula>
    </cfRule>
  </conditionalFormatting>
  <conditionalFormatting sqref="AC7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 N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75">
    <cfRule type="expression" priority="180" dxfId="17">
      <formula>AV75="X"</formula>
    </cfRule>
    <cfRule type="expression" priority="181" dxfId="16">
      <formula>AV75="후보"</formula>
    </cfRule>
  </conditionalFormatting>
  <conditionalFormatting sqref="AC7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17">
      <formula>AV76="X"</formula>
    </cfRule>
    <cfRule type="expression" priority="162" dxfId="16">
      <formula>AV76="후보"</formula>
    </cfRule>
  </conditionalFormatting>
  <conditionalFormatting sqref="AC76 N7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7">
    <cfRule type="expression" priority="156" dxfId="17">
      <formula>AV77="X"</formula>
    </cfRule>
    <cfRule type="expression" priority="157" dxfId="16">
      <formula>AV77="후보"</formula>
    </cfRule>
  </conditionalFormatting>
  <conditionalFormatting sqref="AC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17">
      <formula>AV78="X"</formula>
    </cfRule>
    <cfRule type="expression" priority="138" dxfId="16">
      <formula>AV78="후보"</formula>
    </cfRule>
  </conditionalFormatting>
  <conditionalFormatting sqref="AC7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17">
      <formula>AV79="X"</formula>
    </cfRule>
    <cfRule type="expression" priority="119" dxfId="16">
      <formula>AV79="후보"</formula>
    </cfRule>
  </conditionalFormatting>
  <conditionalFormatting sqref="AC7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17">
      <formula>AV80="X"</formula>
    </cfRule>
    <cfRule type="expression" priority="100" dxfId="16">
      <formula>AV80="후보"</formula>
    </cfRule>
  </conditionalFormatting>
  <conditionalFormatting sqref="AC8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17">
      <formula>AV81="X"</formula>
    </cfRule>
    <cfRule type="expression" priority="81" dxfId="16">
      <formula>AV81="후보"</formula>
    </cfRule>
  </conditionalFormatting>
  <conditionalFormatting sqref="AC8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17">
      <formula>AV82="X"</formula>
    </cfRule>
    <cfRule type="expression" priority="62" dxfId="16">
      <formula>AV82="후보"</formula>
    </cfRule>
  </conditionalFormatting>
  <conditionalFormatting sqref="AC82 N8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83">
    <cfRule type="expression" priority="56" dxfId="17">
      <formula>AV83="X"</formula>
    </cfRule>
    <cfRule type="expression" priority="57" dxfId="16">
      <formula>AV83="후보"</formula>
    </cfRule>
  </conditionalFormatting>
  <conditionalFormatting sqref="AC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17">
      <formula>AV84="X"</formula>
    </cfRule>
    <cfRule type="expression" priority="38" dxfId="16">
      <formula>AV84="후보"</formula>
    </cfRule>
  </conditionalFormatting>
  <conditionalFormatting sqref="AC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주은</t>
        </is>
      </c>
      <c r="B6" s="16" t="inlineStr">
        <is>
          <t>'00.08.</t>
        </is>
      </c>
      <c r="C6" s="164" t="n">
        <v>1412</v>
      </c>
      <c r="D6" s="161" t="n">
        <v>45</v>
      </c>
      <c r="E6" s="163" t="n">
        <v>14</v>
      </c>
      <c r="F6" s="161" t="n">
        <v>31.2</v>
      </c>
      <c r="G6" s="27" t="n">
        <v>9</v>
      </c>
      <c r="H6" s="164" t="n">
        <v>300</v>
      </c>
      <c r="I6" s="165" t="n">
        <v>6200</v>
      </c>
      <c r="J6" s="165" t="inlineStr">
        <is>
          <t>14</t>
        </is>
      </c>
      <c r="K6" s="165" t="n">
        <v>6000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44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주은</t>
        </is>
      </c>
      <c r="B7" s="16" t="inlineStr">
        <is>
          <t>'00.08.</t>
        </is>
      </c>
      <c r="C7" s="164" t="n">
        <v>1412</v>
      </c>
      <c r="D7" s="161" t="n">
        <v>57.4</v>
      </c>
      <c r="E7" s="163" t="n">
        <v>17</v>
      </c>
      <c r="F7" s="161" t="n">
        <v>39.8</v>
      </c>
      <c r="G7" s="27" t="n">
        <v>12</v>
      </c>
      <c r="H7" s="164" t="n">
        <v>368</v>
      </c>
      <c r="I7" s="165" t="n">
        <v>9500</v>
      </c>
      <c r="J7" s="165" t="inlineStr">
        <is>
          <t>18</t>
        </is>
      </c>
      <c r="K7" s="165" t="n">
        <v>8500</v>
      </c>
      <c r="L7" s="165" t="inlineStr">
        <is>
          <t>12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57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주은</t>
        </is>
      </c>
      <c r="B8" s="16" t="inlineStr">
        <is>
          <t>'00.08.</t>
        </is>
      </c>
      <c r="C8" s="164" t="n">
        <v>1412</v>
      </c>
      <c r="D8" s="161" t="n">
        <v>80.2</v>
      </c>
      <c r="E8" s="163" t="n">
        <v>24</v>
      </c>
      <c r="F8" s="161" t="n">
        <v>59.5</v>
      </c>
      <c r="G8" s="27" t="n">
        <v>18</v>
      </c>
      <c r="H8" s="164" t="n">
        <v>744</v>
      </c>
      <c r="I8" s="165" t="n">
        <v>16500</v>
      </c>
      <c r="J8" s="165" t="inlineStr">
        <is>
          <t>16</t>
        </is>
      </c>
      <c r="K8" s="165" t="n">
        <v>16000</v>
      </c>
      <c r="L8" s="165" t="inlineStr">
        <is>
          <t>11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아산풍기EG the1</t>
        </is>
      </c>
      <c r="B10" s="16" t="inlineStr">
        <is>
          <t>'17.08.</t>
        </is>
      </c>
      <c r="C10" s="164" t="n">
        <v>1120</v>
      </c>
      <c r="D10" s="161" t="n">
        <v>96.5</v>
      </c>
      <c r="E10" s="163" t="n">
        <v>29</v>
      </c>
      <c r="F10" s="161" t="n">
        <v>72.2</v>
      </c>
      <c r="G10" s="27" t="n">
        <v>22</v>
      </c>
      <c r="H10" s="164" t="n">
        <v>757</v>
      </c>
      <c r="I10" s="165" t="n">
        <v>33500</v>
      </c>
      <c r="J10" s="165" t="inlineStr">
        <is>
          <t>22</t>
        </is>
      </c>
      <c r="K10" s="165" t="n">
        <v>28000</v>
      </c>
      <c r="L10" s="165" t="inlineStr">
        <is>
          <t>22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아산풍기EG the1</t>
        </is>
      </c>
      <c r="B11" s="16" t="inlineStr">
        <is>
          <t>'17.08.</t>
        </is>
      </c>
      <c r="C11" s="164" t="n">
        <v>1120</v>
      </c>
      <c r="D11" s="161" t="n">
        <v>97.40000000000001</v>
      </c>
      <c r="E11" s="163" t="n">
        <v>29</v>
      </c>
      <c r="F11" s="161" t="n">
        <v>72.59999999999999</v>
      </c>
      <c r="G11" s="27" t="n">
        <v>22</v>
      </c>
      <c r="H11" s="164" t="n">
        <v>262</v>
      </c>
      <c r="I11" s="165" t="n">
        <v>34500</v>
      </c>
      <c r="J11" s="165" t="inlineStr">
        <is>
          <t>11</t>
        </is>
      </c>
      <c r="K11" s="165" t="n">
        <v>28000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아산풍기EG the1</t>
        </is>
      </c>
      <c r="B12" s="16" t="inlineStr">
        <is>
          <t>'17.08.</t>
        </is>
      </c>
      <c r="C12" s="164" t="n">
        <v>1120</v>
      </c>
      <c r="D12" s="161" t="n">
        <v>113.4</v>
      </c>
      <c r="E12" s="163" t="n">
        <v>34</v>
      </c>
      <c r="F12" s="161" t="n">
        <v>84.90000000000001</v>
      </c>
      <c r="G12" s="27" t="n">
        <v>26</v>
      </c>
      <c r="H12" s="164" t="n">
        <v>101</v>
      </c>
      <c r="I12" s="165" t="n">
        <v>45000</v>
      </c>
      <c r="J12" s="165" t="inlineStr">
        <is>
          <t>고</t>
        </is>
      </c>
      <c r="K12" s="165" t="n">
        <v>37000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동일하이빌</t>
        </is>
      </c>
      <c r="B14" s="16" t="inlineStr">
        <is>
          <t>'08.01.</t>
        </is>
      </c>
      <c r="C14" s="164" t="n">
        <v>1456</v>
      </c>
      <c r="D14" s="161" t="n">
        <v>109.8</v>
      </c>
      <c r="E14" s="163" t="n">
        <v>33</v>
      </c>
      <c r="F14" s="161" t="n">
        <v>85</v>
      </c>
      <c r="G14" s="27" t="n">
        <v>26</v>
      </c>
      <c r="H14" s="164" t="n">
        <v>77</v>
      </c>
      <c r="I14" s="165" t="n">
        <v>31000</v>
      </c>
      <c r="J14" s="165" t="inlineStr">
        <is>
          <t>중</t>
        </is>
      </c>
      <c r="K14" s="165" t="n">
        <v>25000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동일하이빌</t>
        </is>
      </c>
      <c r="B15" s="16" t="inlineStr">
        <is>
          <t>'08.01.</t>
        </is>
      </c>
      <c r="C15" s="164" t="n">
        <v>1456</v>
      </c>
      <c r="D15" s="161" t="n">
        <v>117.9</v>
      </c>
      <c r="E15" s="163" t="n">
        <v>36</v>
      </c>
      <c r="F15" s="161" t="n">
        <v>85</v>
      </c>
      <c r="G15" s="27" t="n">
        <v>26</v>
      </c>
      <c r="H15" s="164" t="n">
        <v>1016</v>
      </c>
      <c r="I15" s="165" t="n">
        <v>31500</v>
      </c>
      <c r="J15" s="165" t="inlineStr">
        <is>
          <t>7</t>
        </is>
      </c>
      <c r="K15" s="165" t="n">
        <v>25000</v>
      </c>
      <c r="L15" s="165" t="inlineStr">
        <is>
          <t>8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동일하이빌</t>
        </is>
      </c>
      <c r="B16" s="16" t="inlineStr">
        <is>
          <t>'08.01.</t>
        </is>
      </c>
      <c r="C16" s="164" t="n">
        <v>1456</v>
      </c>
      <c r="D16" s="161" t="n">
        <v>146.3</v>
      </c>
      <c r="E16" s="163" t="n">
        <v>44</v>
      </c>
      <c r="F16" s="161" t="n">
        <v>119.5</v>
      </c>
      <c r="G16" s="27" t="n">
        <v>36</v>
      </c>
      <c r="H16" s="164" t="n">
        <v>309</v>
      </c>
      <c r="I16" s="165" t="n">
        <v>40000</v>
      </c>
      <c r="J16" s="165" t="inlineStr">
        <is>
          <t>고</t>
        </is>
      </c>
      <c r="K16" s="165" t="n">
        <v>30000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동일하이빌</t>
        </is>
      </c>
      <c r="B17" s="16" t="inlineStr">
        <is>
          <t>'08.01.</t>
        </is>
      </c>
      <c r="C17" s="164" t="n">
        <v>1456</v>
      </c>
      <c r="D17" s="161" t="n">
        <v>147.3</v>
      </c>
      <c r="E17" s="163" t="n">
        <v>45</v>
      </c>
      <c r="F17" s="161" t="n">
        <v>121.5</v>
      </c>
      <c r="G17" s="27" t="n">
        <v>37</v>
      </c>
      <c r="H17" s="164" t="n">
        <v>54</v>
      </c>
      <c r="I17" s="165" t="n">
        <v>43500</v>
      </c>
      <c r="J17" s="165" t="inlineStr">
        <is>
          <t>중</t>
        </is>
      </c>
      <c r="K17" s="165" t="n">
        <v>30000</v>
      </c>
      <c r="L17" s="165" t="inlineStr">
        <is>
          <t>중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147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인정프린스</t>
        </is>
      </c>
      <c r="B19" s="16" t="inlineStr">
        <is>
          <t>'93.06.</t>
        </is>
      </c>
      <c r="C19" s="164" t="n">
        <v>254</v>
      </c>
      <c r="D19" s="161" t="n">
        <v>83.8</v>
      </c>
      <c r="E19" s="163" t="n">
        <v>25</v>
      </c>
      <c r="F19" s="161" t="n">
        <v>59.9</v>
      </c>
      <c r="G19" s="27" t="n">
        <v>18</v>
      </c>
      <c r="H19" s="164" t="n">
        <v>92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n">
        <v>83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인정프린스</t>
        </is>
      </c>
      <c r="B20" s="16" t="inlineStr">
        <is>
          <t>'93.06.</t>
        </is>
      </c>
      <c r="C20" s="164" t="n">
        <v>254</v>
      </c>
      <c r="D20" s="161" t="n">
        <v>100.6</v>
      </c>
      <c r="E20" s="163" t="n">
        <v>30</v>
      </c>
      <c r="F20" s="161" t="n">
        <v>83.59999999999999</v>
      </c>
      <c r="G20" s="27" t="n">
        <v>25</v>
      </c>
      <c r="H20" s="164" t="n">
        <v>23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인정프린스</t>
        </is>
      </c>
      <c r="B21" s="16" t="inlineStr">
        <is>
          <t>'93.06.</t>
        </is>
      </c>
      <c r="C21" s="164" t="n">
        <v>254</v>
      </c>
      <c r="D21" s="161" t="n">
        <v>102.3</v>
      </c>
      <c r="E21" s="163" t="n">
        <v>31</v>
      </c>
      <c r="F21" s="161" t="n">
        <v>84.90000000000001</v>
      </c>
      <c r="G21" s="27" t="n">
        <v>26</v>
      </c>
      <c r="H21" s="164" t="n">
        <v>104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인정프린스</t>
        </is>
      </c>
      <c r="B22" s="16" t="inlineStr">
        <is>
          <t>'93.06.</t>
        </is>
      </c>
      <c r="C22" s="164" t="n">
        <v>254</v>
      </c>
      <c r="D22" s="161" t="n">
        <v>102.6</v>
      </c>
      <c r="E22" s="163" t="n">
        <v>31</v>
      </c>
      <c r="F22" s="161" t="n">
        <v>84.90000000000001</v>
      </c>
      <c r="G22" s="27" t="n">
        <v>26</v>
      </c>
      <c r="H22" s="164" t="n">
        <v>15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인정프린스</t>
        </is>
      </c>
      <c r="B23" s="16" t="inlineStr">
        <is>
          <t>'93.06.</t>
        </is>
      </c>
      <c r="C23" s="164" t="n">
        <v>254</v>
      </c>
      <c r="D23" s="161" t="n">
        <v>126.1</v>
      </c>
      <c r="E23" s="163" t="n">
        <v>38</v>
      </c>
      <c r="F23" s="161" t="n">
        <v>104.7</v>
      </c>
      <c r="G23" s="27" t="n">
        <v>32</v>
      </c>
      <c r="H23" s="164" t="n">
        <v>20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아산아이파크</t>
        </is>
      </c>
      <c r="B25" s="16" t="inlineStr">
        <is>
          <t>'08.01.</t>
        </is>
      </c>
      <c r="C25" s="164" t="n">
        <v>869</v>
      </c>
      <c r="D25" s="161" t="n">
        <v>114.8</v>
      </c>
      <c r="E25" s="163" t="n">
        <v>35</v>
      </c>
      <c r="F25" s="161" t="n">
        <v>84.8</v>
      </c>
      <c r="G25" s="27" t="n">
        <v>26</v>
      </c>
      <c r="H25" s="164" t="n">
        <v>498</v>
      </c>
      <c r="I25" s="165" t="n">
        <v>31500</v>
      </c>
      <c r="J25" s="165" t="inlineStr">
        <is>
          <t>9</t>
        </is>
      </c>
      <c r="K25" s="165" t="n">
        <v>28000</v>
      </c>
      <c r="L25" s="165" t="inlineStr">
        <is>
          <t>13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아산아이파크</t>
        </is>
      </c>
      <c r="B26" s="16" t="inlineStr">
        <is>
          <t>'08.01.</t>
        </is>
      </c>
      <c r="C26" s="164" t="n">
        <v>869</v>
      </c>
      <c r="D26" s="161" t="n">
        <v>141.7</v>
      </c>
      <c r="E26" s="163" t="n">
        <v>43</v>
      </c>
      <c r="F26" s="161" t="n">
        <v>117.7</v>
      </c>
      <c r="G26" s="27" t="n">
        <v>36</v>
      </c>
      <c r="H26" s="164" t="n">
        <v>219</v>
      </c>
      <c r="I26" s="165" t="n">
        <v>38000</v>
      </c>
      <c r="J26" s="165" t="inlineStr">
        <is>
          <t>12</t>
        </is>
      </c>
      <c r="K26" s="165" t="n">
        <v>28000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아산아이파크</t>
        </is>
      </c>
      <c r="B27" s="16" t="inlineStr">
        <is>
          <t>'08.01.</t>
        </is>
      </c>
      <c r="C27" s="164" t="n">
        <v>869</v>
      </c>
      <c r="D27" s="161" t="n">
        <v>150</v>
      </c>
      <c r="E27" s="163" t="n">
        <v>45</v>
      </c>
      <c r="F27" s="161" t="n">
        <v>122.5</v>
      </c>
      <c r="G27" s="27" t="n">
        <v>37</v>
      </c>
      <c r="H27" s="164" t="n">
        <v>114</v>
      </c>
      <c r="I27" s="165" t="n">
        <v>45000</v>
      </c>
      <c r="J27" s="165" t="inlineStr">
        <is>
          <t>6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아산아이파크</t>
        </is>
      </c>
      <c r="B28" s="16" t="inlineStr">
        <is>
          <t>'08.01.</t>
        </is>
      </c>
      <c r="C28" s="164" t="n">
        <v>869</v>
      </c>
      <c r="D28" s="161" t="n">
        <v>180</v>
      </c>
      <c r="E28" s="163" t="n">
        <v>54</v>
      </c>
      <c r="F28" s="161" t="n">
        <v>143.3</v>
      </c>
      <c r="G28" s="27" t="n">
        <v>43</v>
      </c>
      <c r="H28" s="164" t="n">
        <v>38</v>
      </c>
      <c r="I28" s="165" t="n">
        <v>57000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17">
      <formula>AV4="X"</formula>
    </cfRule>
    <cfRule type="expression" priority="383" dxfId="16">
      <formula>AV4="후보"</formula>
    </cfRule>
  </conditionalFormatting>
  <conditionalFormatting sqref="AC1:AC2 AC4:AC6 N4:N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N1:N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17">
      <formula>AV7="X"</formula>
    </cfRule>
    <cfRule type="expression" priority="362" dxfId="16">
      <formula>AV7="후보"</formula>
    </cfRule>
  </conditionalFormatting>
  <conditionalFormatting sqref="AC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17">
      <formula>AV8="X"</formula>
    </cfRule>
    <cfRule type="expression" priority="343" dxfId="16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 N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17">
      <formula>AV11="X"</formula>
    </cfRule>
    <cfRule type="expression" priority="300" dxfId="16">
      <formula>AV11="후보"</formula>
    </cfRule>
  </conditionalFormatting>
  <conditionalFormatting sqref="AC1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17">
      <formula>AV12="X"</formula>
    </cfRule>
    <cfRule type="expression" priority="281" dxfId="16">
      <formula>AV12="후보"</formula>
    </cfRule>
  </conditionalFormatting>
  <conditionalFormatting sqref="AC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17">
      <formula>AV13="X"</formula>
    </cfRule>
    <cfRule type="expression" priority="262" dxfId="16">
      <formula>AV13="후보"</formula>
    </cfRule>
  </conditionalFormatting>
  <conditionalFormatting sqref="AC13 N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7">
      <formula>AV23="X"</formula>
    </cfRule>
    <cfRule type="expression" priority="100" dxfId="16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7">
      <formula>AV24="X"</formula>
    </cfRule>
    <cfRule type="expression" priority="81" dxfId="16">
      <formula>AV24="후보"</formula>
    </cfRule>
  </conditionalFormatting>
  <conditionalFormatting sqref="AC24 N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2022-03-16T12:29:39Z</dcterms:modified>
  <cp:lastModifiedBy>MinsuKwon</cp:lastModifiedBy>
  <cp:lastPrinted>2018-04-28T10:52:41Z</cp:lastPrinted>
</cp:coreProperties>
</file>