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drawings/drawing13.xml" ContentType="application/vnd.openxmlformats-officedocument.drawing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firstSheet="1" activeTab="11"/>
  </bookViews>
  <sheets>
    <sheet name="단지추출" sheetId="145" r:id="rId1"/>
    <sheet name="단지추출_가격표용" sheetId="262" r:id="rId2"/>
    <sheet name="동별가격표" sheetId="144" r:id="rId3"/>
    <sheet name="정보입력(KB)" sheetId="264" r:id="rId4"/>
    <sheet name="정보입력" sheetId="19" r:id="rId5"/>
    <sheet name="고등동" sheetId="265" r:id="rId6"/>
    <sheet name="교동" sheetId="266" r:id="rId7"/>
    <sheet name="매교동" sheetId="267" r:id="rId8"/>
    <sheet name="매산로2가" sheetId="268" r:id="rId9"/>
    <sheet name="우만동" sheetId="269" r:id="rId10"/>
    <sheet name="인계동" sheetId="270" r:id="rId11"/>
    <sheet name="화서동" sheetId="271" r:id="rId12"/>
    <sheet name="양식" sheetId="34" r:id="rId13"/>
  </sheets>
  <definedNames>
    <definedName name="_xlnm._FilterDatabase" localSheetId="0" hidden="1">단지추출!$A$3:$AV$233</definedName>
    <definedName name="_xlnm._FilterDatabase" localSheetId="1" hidden="1">단지추출_가격표용!$A$3:$U$3</definedName>
    <definedName name="_xlnm._FilterDatabase" localSheetId="4" hidden="1">정보입력!$A$1:$BF$514</definedName>
    <definedName name="_xlnm.Print_Area" localSheetId="5">고등동!$A$1:$U$6</definedName>
    <definedName name="_xlnm.Print_Area" localSheetId="6">교동!$A$1:$U$6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7">매교동!$A$1:$U$6</definedName>
    <definedName name="_xlnm.Print_Area" localSheetId="8">매산로2가!$A$1:$U$6</definedName>
    <definedName name="_xlnm.Print_Area" localSheetId="12">양식!$A$1:$U$6</definedName>
    <definedName name="_xlnm.Print_Area" localSheetId="9">우만동!$A$1:$U$6</definedName>
    <definedName name="_xlnm.Print_Area" localSheetId="10">인계동!$A$1:$U$6</definedName>
    <definedName name="_xlnm.Print_Area" localSheetId="11">화서동!$A$1:$U$6</definedName>
    <definedName name="_xlnm.Print_Titles" localSheetId="5">고등동!$1:$3</definedName>
    <definedName name="_xlnm.Print_Titles" localSheetId="6">교동!$1:$3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7">매교동!$1:$3</definedName>
    <definedName name="_xlnm.Print_Titles" localSheetId="8">매산로2가!$1:$3</definedName>
    <definedName name="_xlnm.Print_Titles" localSheetId="12">양식!$1:$3</definedName>
    <definedName name="_xlnm.Print_Titles" localSheetId="9">우만동!$1:$3</definedName>
    <definedName name="_xlnm.Print_Titles" localSheetId="10">인계동!$1:$3</definedName>
    <definedName name="_xlnm.Print_Titles" localSheetId="11">화서동!$1:$3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P68" i="271" l="1"/>
  <c r="AI68" i="271"/>
  <c r="AH68" i="271"/>
  <c r="AF68" i="271"/>
  <c r="AE68" i="271"/>
  <c r="AB68" i="271"/>
  <c r="AA68" i="271"/>
  <c r="Z68" i="271"/>
  <c r="Y68" i="271"/>
  <c r="X68" i="271"/>
  <c r="W68" i="271"/>
  <c r="P68" i="271"/>
  <c r="O68" i="271"/>
  <c r="AD68" i="271" s="1"/>
  <c r="N68" i="271"/>
  <c r="AO68" i="271" s="1"/>
  <c r="AV68" i="271" s="1"/>
  <c r="M68" i="271"/>
  <c r="AT67" i="271"/>
  <c r="AP67" i="271"/>
  <c r="AI67" i="271"/>
  <c r="AH67" i="271"/>
  <c r="AF67" i="271"/>
  <c r="AE67" i="271"/>
  <c r="AC67" i="271"/>
  <c r="AB67" i="271"/>
  <c r="AA67" i="271"/>
  <c r="Z67" i="271"/>
  <c r="Y67" i="271"/>
  <c r="X67" i="271"/>
  <c r="W67" i="271"/>
  <c r="P67" i="271"/>
  <c r="O67" i="271"/>
  <c r="AD67" i="271" s="1"/>
  <c r="N67" i="271"/>
  <c r="AO67" i="271" s="1"/>
  <c r="AV67" i="271" s="1"/>
  <c r="M67" i="271"/>
  <c r="AR67" i="271" s="1"/>
  <c r="AP66" i="271"/>
  <c r="AI66" i="271"/>
  <c r="AT66" i="271" s="1"/>
  <c r="AH66" i="271"/>
  <c r="AF66" i="271"/>
  <c r="AE66" i="271"/>
  <c r="AD66" i="271"/>
  <c r="AB66" i="271"/>
  <c r="AA66" i="271"/>
  <c r="Z66" i="271"/>
  <c r="Y66" i="271"/>
  <c r="X66" i="271"/>
  <c r="W66" i="271"/>
  <c r="P66" i="271"/>
  <c r="O66" i="271"/>
  <c r="N66" i="271"/>
  <c r="AO66" i="271" s="1"/>
  <c r="AV66" i="271" s="1"/>
  <c r="M66" i="271"/>
  <c r="AT65" i="271"/>
  <c r="AP65" i="271"/>
  <c r="AO65" i="271"/>
  <c r="AV65" i="271" s="1"/>
  <c r="AI65" i="271"/>
  <c r="AH65" i="271"/>
  <c r="AF65" i="271"/>
  <c r="AE65" i="271"/>
  <c r="AC65" i="271"/>
  <c r="AA65" i="271"/>
  <c r="Z65" i="271"/>
  <c r="Y65" i="271"/>
  <c r="X65" i="271"/>
  <c r="W65" i="271"/>
  <c r="P65" i="271"/>
  <c r="O65" i="271"/>
  <c r="N65" i="271"/>
  <c r="M65" i="271"/>
  <c r="AI64" i="271"/>
  <c r="AH64" i="271"/>
  <c r="W64" i="271"/>
  <c r="AT63" i="271"/>
  <c r="AP63" i="271"/>
  <c r="AI63" i="271"/>
  <c r="AH63" i="271"/>
  <c r="AF63" i="271"/>
  <c r="AE63" i="271"/>
  <c r="AC63" i="271"/>
  <c r="AA63" i="271"/>
  <c r="Z63" i="271"/>
  <c r="Y63" i="271"/>
  <c r="X63" i="271"/>
  <c r="W63" i="271"/>
  <c r="P63" i="271"/>
  <c r="O63" i="271"/>
  <c r="AD63" i="271" s="1"/>
  <c r="N63" i="271"/>
  <c r="AO63" i="271" s="1"/>
  <c r="AV63" i="271" s="1"/>
  <c r="M63" i="271"/>
  <c r="AP62" i="271"/>
  <c r="AI62" i="271"/>
  <c r="AT62" i="271" s="1"/>
  <c r="AH62" i="271"/>
  <c r="AF62" i="271"/>
  <c r="AE62" i="271"/>
  <c r="AD62" i="271"/>
  <c r="AB62" i="271"/>
  <c r="AA62" i="271"/>
  <c r="Z62" i="271"/>
  <c r="Y62" i="271"/>
  <c r="X62" i="271"/>
  <c r="W62" i="271"/>
  <c r="P62" i="271"/>
  <c r="O62" i="271"/>
  <c r="N62" i="271"/>
  <c r="AO62" i="271" s="1"/>
  <c r="AV62" i="271" s="1"/>
  <c r="M62" i="271"/>
  <c r="AI61" i="271"/>
  <c r="AH61" i="271"/>
  <c r="W61" i="271"/>
  <c r="AR60" i="271"/>
  <c r="AP60" i="271"/>
  <c r="AI60" i="271"/>
  <c r="AH60" i="271"/>
  <c r="AF60" i="271"/>
  <c r="AE60" i="271"/>
  <c r="AD60" i="271"/>
  <c r="AB60" i="271"/>
  <c r="AA60" i="271"/>
  <c r="Z60" i="271"/>
  <c r="Y60" i="271"/>
  <c r="X60" i="271"/>
  <c r="W60" i="271"/>
  <c r="P60" i="271"/>
  <c r="O60" i="271"/>
  <c r="N60" i="271"/>
  <c r="AO60" i="271" s="1"/>
  <c r="AV60" i="271" s="1"/>
  <c r="M60" i="271"/>
  <c r="AI59" i="271"/>
  <c r="AH59" i="271"/>
  <c r="W59" i="271"/>
  <c r="AT58" i="271"/>
  <c r="AP58" i="271"/>
  <c r="AI58" i="271"/>
  <c r="AH58" i="271"/>
  <c r="AF58" i="271"/>
  <c r="AE58" i="271"/>
  <c r="AD58" i="271"/>
  <c r="AB58" i="271"/>
  <c r="AA58" i="271"/>
  <c r="Z58" i="271"/>
  <c r="Y58" i="271"/>
  <c r="X58" i="271"/>
  <c r="W58" i="271"/>
  <c r="P58" i="271"/>
  <c r="O58" i="271"/>
  <c r="N58" i="271"/>
  <c r="M58" i="271"/>
  <c r="AT57" i="271"/>
  <c r="AP57" i="271"/>
  <c r="AO57" i="271"/>
  <c r="AV57" i="271" s="1"/>
  <c r="AI57" i="271"/>
  <c r="AH57" i="271"/>
  <c r="AF57" i="271"/>
  <c r="AE57" i="271"/>
  <c r="AC57" i="271"/>
  <c r="AA57" i="271"/>
  <c r="Z57" i="271"/>
  <c r="Y57" i="271"/>
  <c r="X57" i="271"/>
  <c r="W57" i="271"/>
  <c r="P57" i="271"/>
  <c r="O57" i="271"/>
  <c r="AD57" i="271" s="1"/>
  <c r="N57" i="271"/>
  <c r="M57" i="271"/>
  <c r="AR57" i="271" s="1"/>
  <c r="AP56" i="271"/>
  <c r="AI56" i="271"/>
  <c r="AH56" i="271"/>
  <c r="AF56" i="271"/>
  <c r="AE56" i="271"/>
  <c r="AD56" i="271"/>
  <c r="AB56" i="271"/>
  <c r="AA56" i="271"/>
  <c r="Z56" i="271"/>
  <c r="Y56" i="271"/>
  <c r="X56" i="271"/>
  <c r="W56" i="271"/>
  <c r="P56" i="271"/>
  <c r="O56" i="271"/>
  <c r="N56" i="271"/>
  <c r="AO56" i="271" s="1"/>
  <c r="AV56" i="271" s="1"/>
  <c r="M56" i="271"/>
  <c r="AI55" i="271"/>
  <c r="AH55" i="271"/>
  <c r="W55" i="271"/>
  <c r="AT54" i="271"/>
  <c r="AP54" i="271"/>
  <c r="AI54" i="271"/>
  <c r="AH54" i="271"/>
  <c r="AF54" i="271"/>
  <c r="AE54" i="271"/>
  <c r="AD54" i="271"/>
  <c r="AB54" i="271"/>
  <c r="AA54" i="271"/>
  <c r="Z54" i="271"/>
  <c r="Y54" i="271"/>
  <c r="X54" i="271"/>
  <c r="W54" i="271"/>
  <c r="P54" i="271"/>
  <c r="O54" i="271"/>
  <c r="N54" i="271"/>
  <c r="M54" i="271"/>
  <c r="AT53" i="271"/>
  <c r="AP53" i="271"/>
  <c r="AO53" i="271"/>
  <c r="AV53" i="271" s="1"/>
  <c r="AI53" i="271"/>
  <c r="AH53" i="271"/>
  <c r="AF53" i="271"/>
  <c r="AE53" i="271"/>
  <c r="AC53" i="271"/>
  <c r="AA53" i="271"/>
  <c r="Z53" i="271"/>
  <c r="Y53" i="271"/>
  <c r="X53" i="271"/>
  <c r="W53" i="271"/>
  <c r="P53" i="271"/>
  <c r="O53" i="271"/>
  <c r="AD53" i="271" s="1"/>
  <c r="N53" i="271"/>
  <c r="M53" i="271"/>
  <c r="AI52" i="271"/>
  <c r="AH52" i="271"/>
  <c r="W52" i="271"/>
  <c r="AT51" i="271"/>
  <c r="AP51" i="271"/>
  <c r="AO51" i="271"/>
  <c r="AV51" i="271" s="1"/>
  <c r="AI51" i="271"/>
  <c r="AH51" i="271"/>
  <c r="AF51" i="271"/>
  <c r="AE51" i="271"/>
  <c r="AC51" i="271"/>
  <c r="AA51" i="271"/>
  <c r="Z51" i="271"/>
  <c r="Y51" i="271"/>
  <c r="X51" i="271"/>
  <c r="W51" i="271"/>
  <c r="P51" i="271"/>
  <c r="O51" i="271"/>
  <c r="N51" i="271"/>
  <c r="M51" i="271"/>
  <c r="AI50" i="271"/>
  <c r="AH50" i="271"/>
  <c r="W50" i="271"/>
  <c r="AT49" i="271"/>
  <c r="AP49" i="271"/>
  <c r="AI49" i="271"/>
  <c r="AH49" i="271"/>
  <c r="AF49" i="271"/>
  <c r="AE49" i="271"/>
  <c r="AC49" i="271"/>
  <c r="AA49" i="271"/>
  <c r="Z49" i="271"/>
  <c r="Y49" i="271"/>
  <c r="X49" i="271"/>
  <c r="W49" i="271"/>
  <c r="P49" i="271"/>
  <c r="O49" i="271"/>
  <c r="AD49" i="271" s="1"/>
  <c r="N49" i="271"/>
  <c r="AO49" i="271" s="1"/>
  <c r="AV49" i="271" s="1"/>
  <c r="M49" i="271"/>
  <c r="AR49" i="271" s="1"/>
  <c r="AP48" i="271"/>
  <c r="AI48" i="271"/>
  <c r="AT48" i="271" s="1"/>
  <c r="AH48" i="271"/>
  <c r="AF48" i="271"/>
  <c r="AE48" i="271"/>
  <c r="AD48" i="271"/>
  <c r="AB48" i="271"/>
  <c r="AA48" i="271"/>
  <c r="Z48" i="271"/>
  <c r="Y48" i="271"/>
  <c r="X48" i="271"/>
  <c r="W48" i="271"/>
  <c r="P48" i="271"/>
  <c r="O48" i="271"/>
  <c r="N48" i="271"/>
  <c r="AO48" i="271" s="1"/>
  <c r="AV48" i="271" s="1"/>
  <c r="M48" i="271"/>
  <c r="AT47" i="271"/>
  <c r="AP47" i="271"/>
  <c r="AO47" i="271"/>
  <c r="AV47" i="271" s="1"/>
  <c r="AI47" i="271"/>
  <c r="AH47" i="271"/>
  <c r="AF47" i="271"/>
  <c r="AE47" i="271"/>
  <c r="AC47" i="271"/>
  <c r="AA47" i="271"/>
  <c r="Z47" i="271"/>
  <c r="Y47" i="271"/>
  <c r="X47" i="271"/>
  <c r="W47" i="271"/>
  <c r="P47" i="271"/>
  <c r="O47" i="271"/>
  <c r="N47" i="271"/>
  <c r="M47" i="271"/>
  <c r="AI46" i="271"/>
  <c r="AH46" i="271"/>
  <c r="W46" i="271"/>
  <c r="AT45" i="271"/>
  <c r="AP45" i="271"/>
  <c r="AI45" i="271"/>
  <c r="AH45" i="271"/>
  <c r="AF45" i="271"/>
  <c r="AE45" i="271"/>
  <c r="AC45" i="271"/>
  <c r="AA45" i="271"/>
  <c r="Z45" i="271"/>
  <c r="Y45" i="271"/>
  <c r="X45" i="271"/>
  <c r="W45" i="271"/>
  <c r="P45" i="271"/>
  <c r="O45" i="271"/>
  <c r="AD45" i="271" s="1"/>
  <c r="N45" i="271"/>
  <c r="AO45" i="271" s="1"/>
  <c r="AV45" i="271" s="1"/>
  <c r="M45" i="271"/>
  <c r="AP44" i="271"/>
  <c r="AI44" i="271"/>
  <c r="AT44" i="271" s="1"/>
  <c r="AH44" i="271"/>
  <c r="AF44" i="271"/>
  <c r="AE44" i="271"/>
  <c r="AD44" i="271"/>
  <c r="AB44" i="271"/>
  <c r="AA44" i="271"/>
  <c r="Z44" i="271"/>
  <c r="Y44" i="271"/>
  <c r="X44" i="271"/>
  <c r="W44" i="271"/>
  <c r="P44" i="271"/>
  <c r="O44" i="271"/>
  <c r="N44" i="271"/>
  <c r="AO44" i="271" s="1"/>
  <c r="AV44" i="271" s="1"/>
  <c r="M44" i="271"/>
  <c r="AT43" i="271"/>
  <c r="AP43" i="271"/>
  <c r="AO43" i="271"/>
  <c r="AV43" i="271" s="1"/>
  <c r="AI43" i="271"/>
  <c r="AH43" i="271"/>
  <c r="AF43" i="271"/>
  <c r="AE43" i="271"/>
  <c r="AC43" i="271"/>
  <c r="AA43" i="271"/>
  <c r="Z43" i="271"/>
  <c r="Y43" i="271"/>
  <c r="X43" i="271"/>
  <c r="W43" i="271"/>
  <c r="P43" i="271"/>
  <c r="O43" i="271"/>
  <c r="N43" i="271"/>
  <c r="M43" i="271"/>
  <c r="AI42" i="271"/>
  <c r="AH42" i="271"/>
  <c r="W42" i="271"/>
  <c r="AT41" i="271"/>
  <c r="AP41" i="271"/>
  <c r="AI41" i="271"/>
  <c r="AH41" i="271"/>
  <c r="AF41" i="271"/>
  <c r="AE41" i="271"/>
  <c r="AC41" i="271"/>
  <c r="AA41" i="271"/>
  <c r="Z41" i="271"/>
  <c r="Y41" i="271"/>
  <c r="X41" i="271"/>
  <c r="W41" i="271"/>
  <c r="P41" i="271"/>
  <c r="O41" i="271"/>
  <c r="AD41" i="271" s="1"/>
  <c r="N41" i="271"/>
  <c r="AO41" i="271" s="1"/>
  <c r="AV41" i="271" s="1"/>
  <c r="M41" i="271"/>
  <c r="AP40" i="271"/>
  <c r="AI40" i="271"/>
  <c r="AT40" i="271" s="1"/>
  <c r="AH40" i="271"/>
  <c r="AF40" i="271"/>
  <c r="AE40" i="271"/>
  <c r="AD40" i="271"/>
  <c r="AB40" i="271"/>
  <c r="AA40" i="271"/>
  <c r="Z40" i="271"/>
  <c r="Y40" i="271"/>
  <c r="X40" i="271"/>
  <c r="W40" i="271"/>
  <c r="P40" i="271"/>
  <c r="O40" i="271"/>
  <c r="N40" i="271"/>
  <c r="AO40" i="271" s="1"/>
  <c r="AV40" i="271" s="1"/>
  <c r="M40" i="271"/>
  <c r="AT39" i="271"/>
  <c r="AP39" i="271"/>
  <c r="AO39" i="271"/>
  <c r="AV39" i="271" s="1"/>
  <c r="AI39" i="271"/>
  <c r="AH39" i="271"/>
  <c r="AF39" i="271"/>
  <c r="AE39" i="271"/>
  <c r="AC39" i="271"/>
  <c r="AA39" i="271"/>
  <c r="Z39" i="271"/>
  <c r="Y39" i="271"/>
  <c r="X39" i="271"/>
  <c r="W39" i="271"/>
  <c r="P39" i="271"/>
  <c r="O39" i="271"/>
  <c r="N39" i="271"/>
  <c r="M39" i="271"/>
  <c r="AT38" i="271"/>
  <c r="AP38" i="271"/>
  <c r="AI38" i="271"/>
  <c r="AH38" i="271"/>
  <c r="AF38" i="271"/>
  <c r="AE38" i="271"/>
  <c r="AD38" i="271"/>
  <c r="AB38" i="271"/>
  <c r="AA38" i="271"/>
  <c r="Z38" i="271"/>
  <c r="Y38" i="271"/>
  <c r="X38" i="271"/>
  <c r="W38" i="271"/>
  <c r="P38" i="271"/>
  <c r="O38" i="271"/>
  <c r="N38" i="271"/>
  <c r="M38" i="271"/>
  <c r="AT37" i="271"/>
  <c r="AP37" i="271"/>
  <c r="AO37" i="271"/>
  <c r="AV37" i="271" s="1"/>
  <c r="AI37" i="271"/>
  <c r="AH37" i="271"/>
  <c r="AF37" i="271"/>
  <c r="AE37" i="271"/>
  <c r="AC37" i="271"/>
  <c r="AA37" i="271"/>
  <c r="Z37" i="271"/>
  <c r="Y37" i="271"/>
  <c r="X37" i="271"/>
  <c r="W37" i="271"/>
  <c r="P37" i="271"/>
  <c r="O37" i="271"/>
  <c r="AD37" i="271" s="1"/>
  <c r="N37" i="271"/>
  <c r="M37" i="271"/>
  <c r="AI36" i="271"/>
  <c r="AH36" i="271"/>
  <c r="W36" i="271"/>
  <c r="AT35" i="271"/>
  <c r="AP35" i="271"/>
  <c r="AO35" i="271"/>
  <c r="AV35" i="271" s="1"/>
  <c r="AI35" i="271"/>
  <c r="AH35" i="271"/>
  <c r="AF35" i="271"/>
  <c r="AE35" i="271"/>
  <c r="AC35" i="271"/>
  <c r="AA35" i="271"/>
  <c r="Z35" i="271"/>
  <c r="Y35" i="271"/>
  <c r="X35" i="271"/>
  <c r="W35" i="271"/>
  <c r="P35" i="271"/>
  <c r="O35" i="271"/>
  <c r="N35" i="271"/>
  <c r="M35" i="271"/>
  <c r="AT34" i="271"/>
  <c r="AP34" i="271"/>
  <c r="AI34" i="271"/>
  <c r="AH34" i="271"/>
  <c r="AF34" i="271"/>
  <c r="AE34" i="271"/>
  <c r="AD34" i="271"/>
  <c r="AB34" i="271"/>
  <c r="AA34" i="271"/>
  <c r="Z34" i="271"/>
  <c r="Y34" i="271"/>
  <c r="X34" i="271"/>
  <c r="W34" i="271"/>
  <c r="P34" i="271"/>
  <c r="O34" i="271"/>
  <c r="N34" i="271"/>
  <c r="M34" i="271"/>
  <c r="AT33" i="271"/>
  <c r="AP33" i="271"/>
  <c r="AO33" i="271"/>
  <c r="AV33" i="271" s="1"/>
  <c r="AI33" i="271"/>
  <c r="AH33" i="271"/>
  <c r="AF33" i="271"/>
  <c r="AE33" i="271"/>
  <c r="AC33" i="271"/>
  <c r="AA33" i="271"/>
  <c r="Z33" i="271"/>
  <c r="Y33" i="271"/>
  <c r="X33" i="271"/>
  <c r="W33" i="271"/>
  <c r="P33" i="271"/>
  <c r="O33" i="271"/>
  <c r="AD33" i="271" s="1"/>
  <c r="N33" i="271"/>
  <c r="M33" i="271"/>
  <c r="AI32" i="271"/>
  <c r="AH32" i="271"/>
  <c r="W32" i="271"/>
  <c r="AT31" i="271"/>
  <c r="AP31" i="271"/>
  <c r="AO31" i="271"/>
  <c r="AV31" i="271" s="1"/>
  <c r="AI31" i="271"/>
  <c r="AH31" i="271"/>
  <c r="AF31" i="271"/>
  <c r="AE31" i="271"/>
  <c r="AC31" i="271"/>
  <c r="AA31" i="271"/>
  <c r="Z31" i="271"/>
  <c r="Y31" i="271"/>
  <c r="X31" i="271"/>
  <c r="W31" i="271"/>
  <c r="P31" i="271"/>
  <c r="O31" i="271"/>
  <c r="N31" i="271"/>
  <c r="M31" i="271"/>
  <c r="AI30" i="271"/>
  <c r="AH30" i="271"/>
  <c r="W30" i="271"/>
  <c r="AT29" i="271"/>
  <c r="AP29" i="271"/>
  <c r="AI29" i="271"/>
  <c r="AH29" i="271"/>
  <c r="AF29" i="271"/>
  <c r="AE29" i="271"/>
  <c r="AC29" i="271"/>
  <c r="AA29" i="271"/>
  <c r="Z29" i="271"/>
  <c r="Y29" i="271"/>
  <c r="X29" i="271"/>
  <c r="W29" i="271"/>
  <c r="P29" i="271"/>
  <c r="O29" i="271"/>
  <c r="AD29" i="271" s="1"/>
  <c r="N29" i="271"/>
  <c r="AO29" i="271" s="1"/>
  <c r="AV29" i="271" s="1"/>
  <c r="M29" i="271"/>
  <c r="AI28" i="271"/>
  <c r="AH28" i="271"/>
  <c r="W28" i="271"/>
  <c r="AT27" i="271"/>
  <c r="AP27" i="271"/>
  <c r="AO27" i="271"/>
  <c r="AV27" i="271" s="1"/>
  <c r="AI27" i="271"/>
  <c r="AH27" i="271"/>
  <c r="AF27" i="271"/>
  <c r="AE27" i="271"/>
  <c r="AC27" i="271"/>
  <c r="AA27" i="271"/>
  <c r="Z27" i="271"/>
  <c r="Y27" i="271"/>
  <c r="X27" i="271"/>
  <c r="W27" i="271"/>
  <c r="P27" i="271"/>
  <c r="O27" i="271"/>
  <c r="AD27" i="271" s="1"/>
  <c r="N27" i="271"/>
  <c r="M27" i="271"/>
  <c r="AP26" i="271"/>
  <c r="AI26" i="271"/>
  <c r="AH26" i="271"/>
  <c r="AF26" i="271"/>
  <c r="AE26" i="271"/>
  <c r="AD26" i="271"/>
  <c r="AB26" i="271"/>
  <c r="AA26" i="271"/>
  <c r="Z26" i="271"/>
  <c r="Y26" i="271"/>
  <c r="X26" i="271"/>
  <c r="W26" i="271"/>
  <c r="P26" i="271"/>
  <c r="O26" i="271"/>
  <c r="N26" i="271"/>
  <c r="M26" i="271"/>
  <c r="AT25" i="271"/>
  <c r="AP25" i="271"/>
  <c r="AI25" i="271"/>
  <c r="AH25" i="271"/>
  <c r="AF25" i="271"/>
  <c r="AE25" i="271"/>
  <c r="AC25" i="271"/>
  <c r="AA25" i="271"/>
  <c r="Z25" i="271"/>
  <c r="Y25" i="271"/>
  <c r="X25" i="271"/>
  <c r="W25" i="271"/>
  <c r="P25" i="271"/>
  <c r="O25" i="271"/>
  <c r="AD25" i="271" s="1"/>
  <c r="N25" i="271"/>
  <c r="AO25" i="271" s="1"/>
  <c r="AV25" i="271" s="1"/>
  <c r="M25" i="271"/>
  <c r="AR25" i="271" s="1"/>
  <c r="AP24" i="271"/>
  <c r="AI24" i="271"/>
  <c r="AH24" i="271"/>
  <c r="AF24" i="271"/>
  <c r="AE24" i="271"/>
  <c r="AD24" i="271"/>
  <c r="AB24" i="271"/>
  <c r="AA24" i="271"/>
  <c r="Z24" i="271"/>
  <c r="Y24" i="271"/>
  <c r="X24" i="271"/>
  <c r="W24" i="271"/>
  <c r="P24" i="271"/>
  <c r="O24" i="271"/>
  <c r="N24" i="271"/>
  <c r="AO24" i="271" s="1"/>
  <c r="AV24" i="271" s="1"/>
  <c r="M24" i="271"/>
  <c r="AT23" i="271"/>
  <c r="AP23" i="271"/>
  <c r="AO23" i="271"/>
  <c r="AV23" i="271" s="1"/>
  <c r="AI23" i="271"/>
  <c r="AH23" i="271"/>
  <c r="AF23" i="271"/>
  <c r="AE23" i="271"/>
  <c r="AC23" i="271"/>
  <c r="AA23" i="271"/>
  <c r="Z23" i="271"/>
  <c r="Y23" i="271"/>
  <c r="X23" i="271"/>
  <c r="W23" i="271"/>
  <c r="P23" i="271"/>
  <c r="O23" i="271"/>
  <c r="N23" i="271"/>
  <c r="M23" i="271"/>
  <c r="AR23" i="271" s="1"/>
  <c r="AI22" i="271"/>
  <c r="AH22" i="271"/>
  <c r="W22" i="271"/>
  <c r="AT21" i="271"/>
  <c r="AP21" i="271"/>
  <c r="AI21" i="271"/>
  <c r="AH21" i="271"/>
  <c r="AF21" i="271"/>
  <c r="AE21" i="271"/>
  <c r="AA21" i="271"/>
  <c r="Z21" i="271"/>
  <c r="Y21" i="271"/>
  <c r="X21" i="271"/>
  <c r="W21" i="271"/>
  <c r="P21" i="271"/>
  <c r="O21" i="271"/>
  <c r="AD21" i="271" s="1"/>
  <c r="N21" i="271"/>
  <c r="M21" i="271"/>
  <c r="AI20" i="271"/>
  <c r="AH20" i="271"/>
  <c r="W20" i="271"/>
  <c r="AU19" i="271"/>
  <c r="AT19" i="271"/>
  <c r="AP19" i="271"/>
  <c r="AO19" i="271"/>
  <c r="AV19" i="271" s="1"/>
  <c r="AI19" i="271"/>
  <c r="AH19" i="271"/>
  <c r="AF19" i="271"/>
  <c r="AE19" i="271"/>
  <c r="AC19" i="271"/>
  <c r="AA19" i="271"/>
  <c r="Z19" i="271"/>
  <c r="Y19" i="271"/>
  <c r="X19" i="271"/>
  <c r="W19" i="271"/>
  <c r="P19" i="271"/>
  <c r="O19" i="271"/>
  <c r="N19" i="271"/>
  <c r="M19" i="271"/>
  <c r="AI18" i="271"/>
  <c r="AH18" i="271"/>
  <c r="W18" i="271"/>
  <c r="AV17" i="271"/>
  <c r="AP17" i="271"/>
  <c r="AO17" i="271"/>
  <c r="AI17" i="271"/>
  <c r="AH17" i="271"/>
  <c r="AF17" i="271"/>
  <c r="AE17" i="271"/>
  <c r="AC17" i="271"/>
  <c r="AA17" i="271"/>
  <c r="Z17" i="271"/>
  <c r="Y17" i="271"/>
  <c r="X17" i="271"/>
  <c r="W17" i="271"/>
  <c r="P17" i="271"/>
  <c r="O17" i="271"/>
  <c r="N17" i="271"/>
  <c r="M17" i="271"/>
  <c r="AB17" i="271" s="1"/>
  <c r="AT16" i="271"/>
  <c r="AP16" i="271"/>
  <c r="AN16" i="271"/>
  <c r="AI16" i="271"/>
  <c r="AH16" i="271"/>
  <c r="AF16" i="271"/>
  <c r="AE16" i="271"/>
  <c r="AD16" i="271"/>
  <c r="AB16" i="271"/>
  <c r="AA16" i="271"/>
  <c r="Z16" i="271"/>
  <c r="Y16" i="271"/>
  <c r="X16" i="271"/>
  <c r="W16" i="271"/>
  <c r="P16" i="271"/>
  <c r="O16" i="271"/>
  <c r="N16" i="271"/>
  <c r="AO16" i="271" s="1"/>
  <c r="AV16" i="271" s="1"/>
  <c r="M16" i="271"/>
  <c r="AI15" i="271"/>
  <c r="AH15" i="271"/>
  <c r="W15" i="271"/>
  <c r="AP14" i="271"/>
  <c r="AO14" i="271"/>
  <c r="AV14" i="271" s="1"/>
  <c r="AI14" i="271"/>
  <c r="AH14" i="271"/>
  <c r="AF14" i="271"/>
  <c r="AE14" i="271"/>
  <c r="AA14" i="271"/>
  <c r="Z14" i="271"/>
  <c r="Y14" i="271"/>
  <c r="X14" i="271"/>
  <c r="W14" i="271"/>
  <c r="P14" i="271"/>
  <c r="O14" i="271"/>
  <c r="AD14" i="271" s="1"/>
  <c r="N14" i="271"/>
  <c r="AC14" i="271" s="1"/>
  <c r="M14" i="271"/>
  <c r="AP13" i="271"/>
  <c r="AO13" i="271"/>
  <c r="AV13" i="271" s="1"/>
  <c r="AI13" i="271"/>
  <c r="AH13" i="271"/>
  <c r="AF13" i="271"/>
  <c r="AE13" i="271"/>
  <c r="AC13" i="271"/>
  <c r="AA13" i="271"/>
  <c r="Z13" i="271"/>
  <c r="Y13" i="271"/>
  <c r="X13" i="271"/>
  <c r="W13" i="271"/>
  <c r="P13" i="271"/>
  <c r="O13" i="271"/>
  <c r="AD13" i="271" s="1"/>
  <c r="N13" i="271"/>
  <c r="M13" i="271"/>
  <c r="AR13" i="271" s="1"/>
  <c r="AP12" i="271"/>
  <c r="AI12" i="271"/>
  <c r="AT12" i="271" s="1"/>
  <c r="AH12" i="271"/>
  <c r="AF12" i="271"/>
  <c r="AE12" i="271"/>
  <c r="AD12" i="271"/>
  <c r="AB12" i="271"/>
  <c r="AA12" i="271"/>
  <c r="Z12" i="271"/>
  <c r="Y12" i="271"/>
  <c r="X12" i="271"/>
  <c r="W12" i="271"/>
  <c r="P12" i="271"/>
  <c r="O12" i="271"/>
  <c r="N12" i="271"/>
  <c r="AO12" i="271" s="1"/>
  <c r="AV12" i="271" s="1"/>
  <c r="M12" i="271"/>
  <c r="AT11" i="271"/>
  <c r="AP11" i="271"/>
  <c r="AO11" i="271"/>
  <c r="AV11" i="271" s="1"/>
  <c r="AI11" i="271"/>
  <c r="AN11" i="271" s="1"/>
  <c r="AH11" i="271"/>
  <c r="AF11" i="271"/>
  <c r="AE11" i="271"/>
  <c r="AC11" i="271"/>
  <c r="AA11" i="271"/>
  <c r="Z11" i="271"/>
  <c r="Y11" i="271"/>
  <c r="X11" i="271"/>
  <c r="W11" i="271"/>
  <c r="P11" i="271"/>
  <c r="O11" i="271"/>
  <c r="AD11" i="271" s="1"/>
  <c r="N11" i="271"/>
  <c r="M11" i="271"/>
  <c r="AR11" i="271" s="1"/>
  <c r="AU10" i="271"/>
  <c r="AP10" i="271"/>
  <c r="AO10" i="271"/>
  <c r="AV10" i="271" s="1"/>
  <c r="AI10" i="271"/>
  <c r="AN10" i="271" s="1"/>
  <c r="AH10" i="271"/>
  <c r="AF10" i="271"/>
  <c r="AE10" i="271"/>
  <c r="AD10" i="271"/>
  <c r="AC10" i="271"/>
  <c r="AA10" i="271"/>
  <c r="Z10" i="271"/>
  <c r="Y10" i="271"/>
  <c r="X10" i="271"/>
  <c r="W10" i="271"/>
  <c r="P10" i="271"/>
  <c r="O10" i="271"/>
  <c r="N10" i="271"/>
  <c r="M10" i="271"/>
  <c r="AB10" i="271" s="1"/>
  <c r="AU9" i="271"/>
  <c r="AT9" i="271"/>
  <c r="AP9" i="271"/>
  <c r="AO9" i="271"/>
  <c r="AV9" i="271" s="1"/>
  <c r="AI9" i="271"/>
  <c r="AH9" i="271"/>
  <c r="AF9" i="271"/>
  <c r="AE9" i="271"/>
  <c r="AC9" i="271"/>
  <c r="AA9" i="271"/>
  <c r="Z9" i="271"/>
  <c r="Y9" i="271"/>
  <c r="X9" i="271"/>
  <c r="W9" i="271"/>
  <c r="P9" i="271"/>
  <c r="O9" i="271"/>
  <c r="AD9" i="271" s="1"/>
  <c r="N9" i="271"/>
  <c r="M9" i="271"/>
  <c r="AI8" i="271"/>
  <c r="AH8" i="271"/>
  <c r="W8" i="271"/>
  <c r="AR7" i="271"/>
  <c r="AP7" i="271"/>
  <c r="AI7" i="271"/>
  <c r="AT7" i="271" s="1"/>
  <c r="AH7" i="271"/>
  <c r="AF7" i="271"/>
  <c r="AE7" i="271"/>
  <c r="AD7" i="271"/>
  <c r="AB7" i="271"/>
  <c r="AA7" i="271"/>
  <c r="Z7" i="271"/>
  <c r="Y7" i="271"/>
  <c r="X7" i="271"/>
  <c r="W7" i="271"/>
  <c r="P7" i="271"/>
  <c r="O7" i="271"/>
  <c r="AQ7" i="271" s="1"/>
  <c r="N7" i="271"/>
  <c r="M7" i="271"/>
  <c r="AT6" i="271"/>
  <c r="AP6" i="271"/>
  <c r="AO6" i="271"/>
  <c r="AV6" i="271" s="1"/>
  <c r="AI6" i="271"/>
  <c r="AH6" i="271"/>
  <c r="AF6" i="271"/>
  <c r="AE6" i="271"/>
  <c r="AC6" i="271"/>
  <c r="AA6" i="271"/>
  <c r="Z6" i="271"/>
  <c r="Y6" i="271"/>
  <c r="X6" i="271"/>
  <c r="W6" i="271"/>
  <c r="P6" i="271"/>
  <c r="O6" i="271"/>
  <c r="AD6" i="271" s="1"/>
  <c r="N6" i="271"/>
  <c r="M6" i="271"/>
  <c r="AR6" i="271" s="1"/>
  <c r="AI5" i="271"/>
  <c r="AH5" i="271"/>
  <c r="W5" i="271"/>
  <c r="AI4" i="271"/>
  <c r="AP3" i="271"/>
  <c r="AI3" i="271"/>
  <c r="AH3" i="271"/>
  <c r="AN2" i="271"/>
  <c r="AM2" i="271"/>
  <c r="AL2" i="271"/>
  <c r="AK2" i="271"/>
  <c r="AJ2" i="271"/>
  <c r="AJ9" i="271" s="1"/>
  <c r="AA2" i="271"/>
  <c r="A2" i="271"/>
  <c r="AU1" i="271"/>
  <c r="AU40" i="271" s="1"/>
  <c r="AR1" i="271"/>
  <c r="AR56" i="271" s="1"/>
  <c r="AQ1" i="271"/>
  <c r="AP1" i="271"/>
  <c r="AO1" i="271"/>
  <c r="AO3" i="271" s="1"/>
  <c r="AA1" i="271"/>
  <c r="A1" i="271"/>
  <c r="AP81" i="270"/>
  <c r="AI81" i="270"/>
  <c r="AT81" i="270" s="1"/>
  <c r="AH81" i="270"/>
  <c r="AF81" i="270"/>
  <c r="AE81" i="270"/>
  <c r="AB81" i="270"/>
  <c r="AA81" i="270"/>
  <c r="Z81" i="270"/>
  <c r="Y81" i="270"/>
  <c r="X81" i="270"/>
  <c r="W81" i="270"/>
  <c r="P81" i="270"/>
  <c r="O81" i="270"/>
  <c r="N81" i="270"/>
  <c r="M81" i="270"/>
  <c r="AT80" i="270"/>
  <c r="AP80" i="270"/>
  <c r="AI80" i="270"/>
  <c r="AH80" i="270"/>
  <c r="AF80" i="270"/>
  <c r="AE80" i="270"/>
  <c r="AC80" i="270"/>
  <c r="AA80" i="270"/>
  <c r="Z80" i="270"/>
  <c r="Y80" i="270"/>
  <c r="X80" i="270"/>
  <c r="W80" i="270"/>
  <c r="P80" i="270"/>
  <c r="O80" i="270"/>
  <c r="AD80" i="270" s="1"/>
  <c r="N80" i="270"/>
  <c r="AO80" i="270" s="1"/>
  <c r="AV80" i="270" s="1"/>
  <c r="M80" i="270"/>
  <c r="AP79" i="270"/>
  <c r="AI79" i="270"/>
  <c r="AH79" i="270"/>
  <c r="AF79" i="270"/>
  <c r="AE79" i="270"/>
  <c r="AD79" i="270"/>
  <c r="AB79" i="270"/>
  <c r="AA79" i="270"/>
  <c r="Z79" i="270"/>
  <c r="Y79" i="270"/>
  <c r="X79" i="270"/>
  <c r="W79" i="270"/>
  <c r="P79" i="270"/>
  <c r="O79" i="270"/>
  <c r="N79" i="270"/>
  <c r="AO79" i="270" s="1"/>
  <c r="AV79" i="270" s="1"/>
  <c r="M79" i="270"/>
  <c r="AT78" i="270"/>
  <c r="AP78" i="270"/>
  <c r="AO78" i="270"/>
  <c r="AV78" i="270" s="1"/>
  <c r="AI78" i="270"/>
  <c r="AH78" i="270"/>
  <c r="AF78" i="270"/>
  <c r="AE78" i="270"/>
  <c r="AC78" i="270"/>
  <c r="AA78" i="270"/>
  <c r="Z78" i="270"/>
  <c r="Y78" i="270"/>
  <c r="X78" i="270"/>
  <c r="W78" i="270"/>
  <c r="P78" i="270"/>
  <c r="O78" i="270"/>
  <c r="AD78" i="270" s="1"/>
  <c r="N78" i="270"/>
  <c r="M78" i="270"/>
  <c r="AT77" i="270"/>
  <c r="AP77" i="270"/>
  <c r="AI77" i="270"/>
  <c r="AH77" i="270"/>
  <c r="AF77" i="270"/>
  <c r="AE77" i="270"/>
  <c r="AD77" i="270"/>
  <c r="AB77" i="270"/>
  <c r="AA77" i="270"/>
  <c r="Z77" i="270"/>
  <c r="Y77" i="270"/>
  <c r="X77" i="270"/>
  <c r="W77" i="270"/>
  <c r="P77" i="270"/>
  <c r="O77" i="270"/>
  <c r="N77" i="270"/>
  <c r="AO77" i="270" s="1"/>
  <c r="AV77" i="270" s="1"/>
  <c r="M77" i="270"/>
  <c r="AV76" i="270"/>
  <c r="AP76" i="270"/>
  <c r="AO76" i="270"/>
  <c r="AI76" i="270"/>
  <c r="AT76" i="270" s="1"/>
  <c r="AH76" i="270"/>
  <c r="AF76" i="270"/>
  <c r="AE76" i="270"/>
  <c r="AA76" i="270"/>
  <c r="Z76" i="270"/>
  <c r="Y76" i="270"/>
  <c r="X76" i="270"/>
  <c r="W76" i="270"/>
  <c r="P76" i="270"/>
  <c r="O76" i="270"/>
  <c r="N76" i="270"/>
  <c r="AC76" i="270" s="1"/>
  <c r="M76" i="270"/>
  <c r="AI75" i="270"/>
  <c r="AH75" i="270"/>
  <c r="W75" i="270"/>
  <c r="AT74" i="270"/>
  <c r="AP74" i="270"/>
  <c r="AO74" i="270"/>
  <c r="AV74" i="270" s="1"/>
  <c r="AI74" i="270"/>
  <c r="AH74" i="270"/>
  <c r="AF74" i="270"/>
  <c r="AE74" i="270"/>
  <c r="AC74" i="270"/>
  <c r="AA74" i="270"/>
  <c r="Z74" i="270"/>
  <c r="Y74" i="270"/>
  <c r="X74" i="270"/>
  <c r="W74" i="270"/>
  <c r="P74" i="270"/>
  <c r="O74" i="270"/>
  <c r="AD74" i="270" s="1"/>
  <c r="N74" i="270"/>
  <c r="M74" i="270"/>
  <c r="AT73" i="270"/>
  <c r="AP73" i="270"/>
  <c r="AI73" i="270"/>
  <c r="AH73" i="270"/>
  <c r="AF73" i="270"/>
  <c r="AE73" i="270"/>
  <c r="AD73" i="270"/>
  <c r="AB73" i="270"/>
  <c r="AA73" i="270"/>
  <c r="Z73" i="270"/>
  <c r="Y73" i="270"/>
  <c r="X73" i="270"/>
  <c r="W73" i="270"/>
  <c r="P73" i="270"/>
  <c r="O73" i="270"/>
  <c r="N73" i="270"/>
  <c r="AO73" i="270" s="1"/>
  <c r="AV73" i="270" s="1"/>
  <c r="M73" i="270"/>
  <c r="AP72" i="270"/>
  <c r="AO72" i="270"/>
  <c r="AV72" i="270" s="1"/>
  <c r="AI72" i="270"/>
  <c r="AT72" i="270" s="1"/>
  <c r="AH72" i="270"/>
  <c r="AF72" i="270"/>
  <c r="AE72" i="270"/>
  <c r="AA72" i="270"/>
  <c r="Z72" i="270"/>
  <c r="Y72" i="270"/>
  <c r="X72" i="270"/>
  <c r="W72" i="270"/>
  <c r="P72" i="270"/>
  <c r="O72" i="270"/>
  <c r="AD72" i="270" s="1"/>
  <c r="N72" i="270"/>
  <c r="AC72" i="270" s="1"/>
  <c r="M72" i="270"/>
  <c r="AP71" i="270"/>
  <c r="AI71" i="270"/>
  <c r="AH71" i="270"/>
  <c r="AF71" i="270"/>
  <c r="AE71" i="270"/>
  <c r="AB71" i="270"/>
  <c r="AA71" i="270"/>
  <c r="Z71" i="270"/>
  <c r="Y71" i="270"/>
  <c r="X71" i="270"/>
  <c r="W71" i="270"/>
  <c r="P71" i="270"/>
  <c r="O71" i="270"/>
  <c r="N71" i="270"/>
  <c r="M71" i="270"/>
  <c r="AT70" i="270"/>
  <c r="AP70" i="270"/>
  <c r="AI70" i="270"/>
  <c r="AH70" i="270"/>
  <c r="AF70" i="270"/>
  <c r="AE70" i="270"/>
  <c r="AC70" i="270"/>
  <c r="AB70" i="270"/>
  <c r="AA70" i="270"/>
  <c r="Z70" i="270"/>
  <c r="Y70" i="270"/>
  <c r="X70" i="270"/>
  <c r="W70" i="270"/>
  <c r="P70" i="270"/>
  <c r="O70" i="270"/>
  <c r="AD70" i="270" s="1"/>
  <c r="N70" i="270"/>
  <c r="AO70" i="270" s="1"/>
  <c r="AV70" i="270" s="1"/>
  <c r="M70" i="270"/>
  <c r="AP69" i="270"/>
  <c r="AO69" i="270"/>
  <c r="AV69" i="270" s="1"/>
  <c r="AI69" i="270"/>
  <c r="AH69" i="270"/>
  <c r="AF69" i="270"/>
  <c r="AE69" i="270"/>
  <c r="AD69" i="270"/>
  <c r="AB69" i="270"/>
  <c r="AA69" i="270"/>
  <c r="Z69" i="270"/>
  <c r="Y69" i="270"/>
  <c r="X69" i="270"/>
  <c r="W69" i="270"/>
  <c r="P69" i="270"/>
  <c r="O69" i="270"/>
  <c r="N69" i="270"/>
  <c r="AC69" i="270" s="1"/>
  <c r="M69" i="270"/>
  <c r="AI68" i="270"/>
  <c r="AH68" i="270"/>
  <c r="W68" i="270"/>
  <c r="AP67" i="270"/>
  <c r="AI67" i="270"/>
  <c r="AH67" i="270"/>
  <c r="AF67" i="270"/>
  <c r="AE67" i="270"/>
  <c r="AB67" i="270"/>
  <c r="AA67" i="270"/>
  <c r="Z67" i="270"/>
  <c r="Y67" i="270"/>
  <c r="X67" i="270"/>
  <c r="W67" i="270"/>
  <c r="P67" i="270"/>
  <c r="O67" i="270"/>
  <c r="N67" i="270"/>
  <c r="M67" i="270"/>
  <c r="AT66" i="270"/>
  <c r="AP66" i="270"/>
  <c r="AI66" i="270"/>
  <c r="AH66" i="270"/>
  <c r="AF66" i="270"/>
  <c r="AE66" i="270"/>
  <c r="AC66" i="270"/>
  <c r="AA66" i="270"/>
  <c r="Z66" i="270"/>
  <c r="Y66" i="270"/>
  <c r="X66" i="270"/>
  <c r="W66" i="270"/>
  <c r="P66" i="270"/>
  <c r="O66" i="270"/>
  <c r="AD66" i="270" s="1"/>
  <c r="N66" i="270"/>
  <c r="AO66" i="270" s="1"/>
  <c r="AV66" i="270" s="1"/>
  <c r="M66" i="270"/>
  <c r="AP65" i="270"/>
  <c r="AO65" i="270"/>
  <c r="AV65" i="270" s="1"/>
  <c r="AI65" i="270"/>
  <c r="AH65" i="270"/>
  <c r="AF65" i="270"/>
  <c r="AE65" i="270"/>
  <c r="AD65" i="270"/>
  <c r="AB65" i="270"/>
  <c r="AA65" i="270"/>
  <c r="Z65" i="270"/>
  <c r="Y65" i="270"/>
  <c r="X65" i="270"/>
  <c r="W65" i="270"/>
  <c r="P65" i="270"/>
  <c r="O65" i="270"/>
  <c r="N65" i="270"/>
  <c r="AC65" i="270" s="1"/>
  <c r="M65" i="270"/>
  <c r="AV64" i="270"/>
  <c r="AT64" i="270"/>
  <c r="AP64" i="270"/>
  <c r="AO64" i="270"/>
  <c r="AI64" i="270"/>
  <c r="AH64" i="270"/>
  <c r="AF64" i="270"/>
  <c r="AE64" i="270"/>
  <c r="AC64" i="270"/>
  <c r="AA64" i="270"/>
  <c r="Z64" i="270"/>
  <c r="Y64" i="270"/>
  <c r="X64" i="270"/>
  <c r="W64" i="270"/>
  <c r="P64" i="270"/>
  <c r="O64" i="270"/>
  <c r="AD64" i="270" s="1"/>
  <c r="N64" i="270"/>
  <c r="M64" i="270"/>
  <c r="AI63" i="270"/>
  <c r="AH63" i="270"/>
  <c r="W63" i="270"/>
  <c r="AT62" i="270"/>
  <c r="AP62" i="270"/>
  <c r="AI62" i="270"/>
  <c r="AH62" i="270"/>
  <c r="AF62" i="270"/>
  <c r="AE62" i="270"/>
  <c r="AC62" i="270"/>
  <c r="AA62" i="270"/>
  <c r="Z62" i="270"/>
  <c r="Y62" i="270"/>
  <c r="X62" i="270"/>
  <c r="W62" i="270"/>
  <c r="P62" i="270"/>
  <c r="O62" i="270"/>
  <c r="AD62" i="270" s="1"/>
  <c r="N62" i="270"/>
  <c r="AO62" i="270" s="1"/>
  <c r="AV62" i="270" s="1"/>
  <c r="M62" i="270"/>
  <c r="AP61" i="270"/>
  <c r="AO61" i="270"/>
  <c r="AV61" i="270" s="1"/>
  <c r="AI61" i="270"/>
  <c r="AH61" i="270"/>
  <c r="AF61" i="270"/>
  <c r="AE61" i="270"/>
  <c r="AD61" i="270"/>
  <c r="AB61" i="270"/>
  <c r="AA61" i="270"/>
  <c r="Z61" i="270"/>
  <c r="Y61" i="270"/>
  <c r="X61" i="270"/>
  <c r="W61" i="270"/>
  <c r="P61" i="270"/>
  <c r="O61" i="270"/>
  <c r="N61" i="270"/>
  <c r="AC61" i="270" s="1"/>
  <c r="M61" i="270"/>
  <c r="AV60" i="270"/>
  <c r="AT60" i="270"/>
  <c r="AP60" i="270"/>
  <c r="AO60" i="270"/>
  <c r="AI60" i="270"/>
  <c r="AH60" i="270"/>
  <c r="AF60" i="270"/>
  <c r="AE60" i="270"/>
  <c r="AC60" i="270"/>
  <c r="AA60" i="270"/>
  <c r="Z60" i="270"/>
  <c r="Y60" i="270"/>
  <c r="X60" i="270"/>
  <c r="W60" i="270"/>
  <c r="P60" i="270"/>
  <c r="O60" i="270"/>
  <c r="AD60" i="270" s="1"/>
  <c r="N60" i="270"/>
  <c r="M60" i="270"/>
  <c r="AB60" i="270" s="1"/>
  <c r="AI59" i="270"/>
  <c r="AH59" i="270"/>
  <c r="W59" i="270"/>
  <c r="AT58" i="270"/>
  <c r="AP58" i="270"/>
  <c r="AI58" i="270"/>
  <c r="AH58" i="270"/>
  <c r="AF58" i="270"/>
  <c r="AE58" i="270"/>
  <c r="AC58" i="270"/>
  <c r="AA58" i="270"/>
  <c r="Z58" i="270"/>
  <c r="Y58" i="270"/>
  <c r="X58" i="270"/>
  <c r="W58" i="270"/>
  <c r="P58" i="270"/>
  <c r="O58" i="270"/>
  <c r="AD58" i="270" s="1"/>
  <c r="N58" i="270"/>
  <c r="AO58" i="270" s="1"/>
  <c r="AV58" i="270" s="1"/>
  <c r="M58" i="270"/>
  <c r="AP57" i="270"/>
  <c r="AO57" i="270"/>
  <c r="AV57" i="270" s="1"/>
  <c r="AI57" i="270"/>
  <c r="AH57" i="270"/>
  <c r="AF57" i="270"/>
  <c r="AE57" i="270"/>
  <c r="AB57" i="270"/>
  <c r="AA57" i="270"/>
  <c r="Z57" i="270"/>
  <c r="Y57" i="270"/>
  <c r="X57" i="270"/>
  <c r="W57" i="270"/>
  <c r="P57" i="270"/>
  <c r="O57" i="270"/>
  <c r="AD57" i="270" s="1"/>
  <c r="N57" i="270"/>
  <c r="AC57" i="270" s="1"/>
  <c r="M57" i="270"/>
  <c r="AI56" i="270"/>
  <c r="AH56" i="270"/>
  <c r="W56" i="270"/>
  <c r="AP55" i="270"/>
  <c r="AI55" i="270"/>
  <c r="AH55" i="270"/>
  <c r="AF55" i="270"/>
  <c r="AE55" i="270"/>
  <c r="AD55" i="270"/>
  <c r="AA55" i="270"/>
  <c r="Z55" i="270"/>
  <c r="Y55" i="270"/>
  <c r="X55" i="270"/>
  <c r="W55" i="270"/>
  <c r="P55" i="270"/>
  <c r="O55" i="270"/>
  <c r="N55" i="270"/>
  <c r="AO55" i="270" s="1"/>
  <c r="AV55" i="270" s="1"/>
  <c r="M55" i="270"/>
  <c r="AB55" i="270" s="1"/>
  <c r="AT54" i="270"/>
  <c r="AP54" i="270"/>
  <c r="AI54" i="270"/>
  <c r="AH54" i="270"/>
  <c r="AF54" i="270"/>
  <c r="AE54" i="270"/>
  <c r="AC54" i="270"/>
  <c r="AA54" i="270"/>
  <c r="Z54" i="270"/>
  <c r="Y54" i="270"/>
  <c r="X54" i="270"/>
  <c r="W54" i="270"/>
  <c r="P54" i="270"/>
  <c r="O54" i="270"/>
  <c r="N54" i="270"/>
  <c r="AO54" i="270" s="1"/>
  <c r="AV54" i="270" s="1"/>
  <c r="M54" i="270"/>
  <c r="AP53" i="270"/>
  <c r="AI53" i="270"/>
  <c r="AH53" i="270"/>
  <c r="AF53" i="270"/>
  <c r="AE53" i="270"/>
  <c r="AA53" i="270"/>
  <c r="Z53" i="270"/>
  <c r="Y53" i="270"/>
  <c r="X53" i="270"/>
  <c r="W53" i="270"/>
  <c r="P53" i="270"/>
  <c r="O53" i="270"/>
  <c r="AD53" i="270" s="1"/>
  <c r="N53" i="270"/>
  <c r="AC53" i="270" s="1"/>
  <c r="M53" i="270"/>
  <c r="AB53" i="270" s="1"/>
  <c r="AP52" i="270"/>
  <c r="AO52" i="270"/>
  <c r="AV52" i="270" s="1"/>
  <c r="AI52" i="270"/>
  <c r="AH52" i="270"/>
  <c r="AF52" i="270"/>
  <c r="AE52" i="270"/>
  <c r="AA52" i="270"/>
  <c r="Z52" i="270"/>
  <c r="Y52" i="270"/>
  <c r="X52" i="270"/>
  <c r="W52" i="270"/>
  <c r="P52" i="270"/>
  <c r="O52" i="270"/>
  <c r="AD52" i="270" s="1"/>
  <c r="N52" i="270"/>
  <c r="AC52" i="270" s="1"/>
  <c r="M52" i="270"/>
  <c r="AT51" i="270"/>
  <c r="AP51" i="270"/>
  <c r="AI51" i="270"/>
  <c r="AH51" i="270"/>
  <c r="AF51" i="270"/>
  <c r="AE51" i="270"/>
  <c r="AB51" i="270"/>
  <c r="AA51" i="270"/>
  <c r="Z51" i="270"/>
  <c r="Y51" i="270"/>
  <c r="X51" i="270"/>
  <c r="W51" i="270"/>
  <c r="P51" i="270"/>
  <c r="O51" i="270"/>
  <c r="AD51" i="270" s="1"/>
  <c r="N51" i="270"/>
  <c r="AO51" i="270" s="1"/>
  <c r="AV51" i="270" s="1"/>
  <c r="M51" i="270"/>
  <c r="AI50" i="270"/>
  <c r="AH50" i="270"/>
  <c r="W50" i="270"/>
  <c r="AT49" i="270"/>
  <c r="AP49" i="270"/>
  <c r="AI49" i="270"/>
  <c r="AH49" i="270"/>
  <c r="AF49" i="270"/>
  <c r="AE49" i="270"/>
  <c r="AD49" i="270"/>
  <c r="AA49" i="270"/>
  <c r="Z49" i="270"/>
  <c r="Y49" i="270"/>
  <c r="X49" i="270"/>
  <c r="W49" i="270"/>
  <c r="P49" i="270"/>
  <c r="O49" i="270"/>
  <c r="N49" i="270"/>
  <c r="AC49" i="270" s="1"/>
  <c r="M49" i="270"/>
  <c r="AP48" i="270"/>
  <c r="AO48" i="270"/>
  <c r="AV48" i="270" s="1"/>
  <c r="AI48" i="270"/>
  <c r="AH48" i="270"/>
  <c r="AF48" i="270"/>
  <c r="AE48" i="270"/>
  <c r="AA48" i="270"/>
  <c r="Z48" i="270"/>
  <c r="Y48" i="270"/>
  <c r="X48" i="270"/>
  <c r="W48" i="270"/>
  <c r="P48" i="270"/>
  <c r="O48" i="270"/>
  <c r="AD48" i="270" s="1"/>
  <c r="N48" i="270"/>
  <c r="AC48" i="270" s="1"/>
  <c r="M48" i="270"/>
  <c r="AP47" i="270"/>
  <c r="AI47" i="270"/>
  <c r="AH47" i="270"/>
  <c r="AF47" i="270"/>
  <c r="AE47" i="270"/>
  <c r="AB47" i="270"/>
  <c r="AA47" i="270"/>
  <c r="Z47" i="270"/>
  <c r="Y47" i="270"/>
  <c r="X47" i="270"/>
  <c r="W47" i="270"/>
  <c r="P47" i="270"/>
  <c r="O47" i="270"/>
  <c r="AD47" i="270" s="1"/>
  <c r="N47" i="270"/>
  <c r="AO47" i="270" s="1"/>
  <c r="AV47" i="270" s="1"/>
  <c r="M47" i="270"/>
  <c r="AI46" i="270"/>
  <c r="AH46" i="270"/>
  <c r="W46" i="270"/>
  <c r="AT45" i="270"/>
  <c r="AP45" i="270"/>
  <c r="AI45" i="270"/>
  <c r="AH45" i="270"/>
  <c r="AF45" i="270"/>
  <c r="AE45" i="270"/>
  <c r="AD45" i="270"/>
  <c r="AA45" i="270"/>
  <c r="Z45" i="270"/>
  <c r="Y45" i="270"/>
  <c r="X45" i="270"/>
  <c r="W45" i="270"/>
  <c r="P45" i="270"/>
  <c r="O45" i="270"/>
  <c r="N45" i="270"/>
  <c r="AC45" i="270" s="1"/>
  <c r="M45" i="270"/>
  <c r="AP44" i="270"/>
  <c r="AO44" i="270"/>
  <c r="AV44" i="270" s="1"/>
  <c r="AI44" i="270"/>
  <c r="AH44" i="270"/>
  <c r="AF44" i="270"/>
  <c r="AE44" i="270"/>
  <c r="AA44" i="270"/>
  <c r="Z44" i="270"/>
  <c r="Y44" i="270"/>
  <c r="X44" i="270"/>
  <c r="W44" i="270"/>
  <c r="P44" i="270"/>
  <c r="O44" i="270"/>
  <c r="AD44" i="270" s="1"/>
  <c r="N44" i="270"/>
  <c r="AC44" i="270" s="1"/>
  <c r="M44" i="270"/>
  <c r="AP43" i="270"/>
  <c r="AI43" i="270"/>
  <c r="AH43" i="270"/>
  <c r="AF43" i="270"/>
  <c r="AE43" i="270"/>
  <c r="AB43" i="270"/>
  <c r="AA43" i="270"/>
  <c r="Z43" i="270"/>
  <c r="Y43" i="270"/>
  <c r="X43" i="270"/>
  <c r="W43" i="270"/>
  <c r="P43" i="270"/>
  <c r="O43" i="270"/>
  <c r="AD43" i="270" s="1"/>
  <c r="N43" i="270"/>
  <c r="M43" i="270"/>
  <c r="AT42" i="270"/>
  <c r="AP42" i="270"/>
  <c r="AI42" i="270"/>
  <c r="AH42" i="270"/>
  <c r="AF42" i="270"/>
  <c r="AE42" i="270"/>
  <c r="AC42" i="270"/>
  <c r="AB42" i="270"/>
  <c r="AA42" i="270"/>
  <c r="Z42" i="270"/>
  <c r="Y42" i="270"/>
  <c r="X42" i="270"/>
  <c r="W42" i="270"/>
  <c r="P42" i="270"/>
  <c r="O42" i="270"/>
  <c r="AD42" i="270" s="1"/>
  <c r="N42" i="270"/>
  <c r="AO42" i="270" s="1"/>
  <c r="AV42" i="270" s="1"/>
  <c r="M42" i="270"/>
  <c r="AP41" i="270"/>
  <c r="AO41" i="270"/>
  <c r="AV41" i="270" s="1"/>
  <c r="AI41" i="270"/>
  <c r="AH41" i="270"/>
  <c r="AF41" i="270"/>
  <c r="AE41" i="270"/>
  <c r="AD41" i="270"/>
  <c r="AC41" i="270"/>
  <c r="AB41" i="270"/>
  <c r="AA41" i="270"/>
  <c r="Z41" i="270"/>
  <c r="Y41" i="270"/>
  <c r="X41" i="270"/>
  <c r="W41" i="270"/>
  <c r="P41" i="270"/>
  <c r="O41" i="270"/>
  <c r="N41" i="270"/>
  <c r="M41" i="270"/>
  <c r="AT40" i="270"/>
  <c r="AP40" i="270"/>
  <c r="AO40" i="270"/>
  <c r="AV40" i="270" s="1"/>
  <c r="AI40" i="270"/>
  <c r="AH40" i="270"/>
  <c r="AF40" i="270"/>
  <c r="AE40" i="270"/>
  <c r="AD40" i="270"/>
  <c r="AC40" i="270"/>
  <c r="AA40" i="270"/>
  <c r="Z40" i="270"/>
  <c r="Y40" i="270"/>
  <c r="X40" i="270"/>
  <c r="W40" i="270"/>
  <c r="P40" i="270"/>
  <c r="O40" i="270"/>
  <c r="N40" i="270"/>
  <c r="M40" i="270"/>
  <c r="AT39" i="270"/>
  <c r="AP39" i="270"/>
  <c r="AI39" i="270"/>
  <c r="AH39" i="270"/>
  <c r="AF39" i="270"/>
  <c r="AE39" i="270"/>
  <c r="AD39" i="270"/>
  <c r="AA39" i="270"/>
  <c r="Z39" i="270"/>
  <c r="Y39" i="270"/>
  <c r="X39" i="270"/>
  <c r="W39" i="270"/>
  <c r="P39" i="270"/>
  <c r="O39" i="270"/>
  <c r="AQ39" i="270" s="1"/>
  <c r="N39" i="270"/>
  <c r="AC39" i="270" s="1"/>
  <c r="M39" i="270"/>
  <c r="AP38" i="270"/>
  <c r="AO38" i="270"/>
  <c r="AV38" i="270" s="1"/>
  <c r="AI38" i="270"/>
  <c r="AN38" i="270" s="1"/>
  <c r="AH38" i="270"/>
  <c r="AF38" i="270"/>
  <c r="AE38" i="270"/>
  <c r="AA38" i="270"/>
  <c r="Z38" i="270"/>
  <c r="Y38" i="270"/>
  <c r="X38" i="270"/>
  <c r="W38" i="270"/>
  <c r="P38" i="270"/>
  <c r="O38" i="270"/>
  <c r="AD38" i="270" s="1"/>
  <c r="N38" i="270"/>
  <c r="AC38" i="270" s="1"/>
  <c r="M38" i="270"/>
  <c r="AP37" i="270"/>
  <c r="AI37" i="270"/>
  <c r="AH37" i="270"/>
  <c r="AF37" i="270"/>
  <c r="AE37" i="270"/>
  <c r="AB37" i="270"/>
  <c r="AA37" i="270"/>
  <c r="Z37" i="270"/>
  <c r="Y37" i="270"/>
  <c r="X37" i="270"/>
  <c r="W37" i="270"/>
  <c r="P37" i="270"/>
  <c r="O37" i="270"/>
  <c r="AD37" i="270" s="1"/>
  <c r="N37" i="270"/>
  <c r="M37" i="270"/>
  <c r="AT36" i="270"/>
  <c r="AP36" i="270"/>
  <c r="AI36" i="270"/>
  <c r="AH36" i="270"/>
  <c r="AF36" i="270"/>
  <c r="AE36" i="270"/>
  <c r="AC36" i="270"/>
  <c r="AB36" i="270"/>
  <c r="AA36" i="270"/>
  <c r="Z36" i="270"/>
  <c r="Y36" i="270"/>
  <c r="X36" i="270"/>
  <c r="W36" i="270"/>
  <c r="P36" i="270"/>
  <c r="O36" i="270"/>
  <c r="AD36" i="270" s="1"/>
  <c r="N36" i="270"/>
  <c r="AO36" i="270" s="1"/>
  <c r="AV36" i="270" s="1"/>
  <c r="M36" i="270"/>
  <c r="AP35" i="270"/>
  <c r="AO35" i="270"/>
  <c r="AV35" i="270" s="1"/>
  <c r="AI35" i="270"/>
  <c r="AH35" i="270"/>
  <c r="AF35" i="270"/>
  <c r="AE35" i="270"/>
  <c r="AD35" i="270"/>
  <c r="AC35" i="270"/>
  <c r="AB35" i="270"/>
  <c r="AA35" i="270"/>
  <c r="Z35" i="270"/>
  <c r="Y35" i="270"/>
  <c r="X35" i="270"/>
  <c r="W35" i="270"/>
  <c r="P35" i="270"/>
  <c r="O35" i="270"/>
  <c r="N35" i="270"/>
  <c r="M35" i="270"/>
  <c r="AT34" i="270"/>
  <c r="AP34" i="270"/>
  <c r="AO34" i="270"/>
  <c r="AV34" i="270" s="1"/>
  <c r="AI34" i="270"/>
  <c r="AH34" i="270"/>
  <c r="AF34" i="270"/>
  <c r="AE34" i="270"/>
  <c r="AD34" i="270"/>
  <c r="AC34" i="270"/>
  <c r="AA34" i="270"/>
  <c r="Z34" i="270"/>
  <c r="Y34" i="270"/>
  <c r="X34" i="270"/>
  <c r="W34" i="270"/>
  <c r="P34" i="270"/>
  <c r="O34" i="270"/>
  <c r="N34" i="270"/>
  <c r="M34" i="270"/>
  <c r="AU33" i="270"/>
  <c r="AP33" i="270"/>
  <c r="AI33" i="270"/>
  <c r="AT33" i="270" s="1"/>
  <c r="AH33" i="270"/>
  <c r="AF33" i="270"/>
  <c r="AE33" i="270"/>
  <c r="AD33" i="270"/>
  <c r="AA33" i="270"/>
  <c r="Z33" i="270"/>
  <c r="Y33" i="270"/>
  <c r="X33" i="270"/>
  <c r="W33" i="270"/>
  <c r="P33" i="270"/>
  <c r="O33" i="270"/>
  <c r="N33" i="270"/>
  <c r="AC33" i="270" s="1"/>
  <c r="M33" i="270"/>
  <c r="AV32" i="270"/>
  <c r="AP32" i="270"/>
  <c r="AO32" i="270"/>
  <c r="AI32" i="270"/>
  <c r="AH32" i="270"/>
  <c r="AF32" i="270"/>
  <c r="AE32" i="270"/>
  <c r="AA32" i="270"/>
  <c r="Z32" i="270"/>
  <c r="Y32" i="270"/>
  <c r="X32" i="270"/>
  <c r="W32" i="270"/>
  <c r="P32" i="270"/>
  <c r="O32" i="270"/>
  <c r="AD32" i="270" s="1"/>
  <c r="N32" i="270"/>
  <c r="AC32" i="270" s="1"/>
  <c r="M32" i="270"/>
  <c r="AP31" i="270"/>
  <c r="AI31" i="270"/>
  <c r="AH31" i="270"/>
  <c r="AF31" i="270"/>
  <c r="AE31" i="270"/>
  <c r="AB31" i="270"/>
  <c r="AA31" i="270"/>
  <c r="Z31" i="270"/>
  <c r="Y31" i="270"/>
  <c r="X31" i="270"/>
  <c r="W31" i="270"/>
  <c r="P31" i="270"/>
  <c r="O31" i="270"/>
  <c r="AD31" i="270" s="1"/>
  <c r="N31" i="270"/>
  <c r="M31" i="270"/>
  <c r="AT30" i="270"/>
  <c r="AP30" i="270"/>
  <c r="AO30" i="270"/>
  <c r="AV30" i="270" s="1"/>
  <c r="AI30" i="270"/>
  <c r="AH30" i="270"/>
  <c r="AF30" i="270"/>
  <c r="AE30" i="270"/>
  <c r="AC30" i="270"/>
  <c r="AB30" i="270"/>
  <c r="AA30" i="270"/>
  <c r="Z30" i="270"/>
  <c r="Y30" i="270"/>
  <c r="X30" i="270"/>
  <c r="W30" i="270"/>
  <c r="P30" i="270"/>
  <c r="O30" i="270"/>
  <c r="AD30" i="270" s="1"/>
  <c r="N30" i="270"/>
  <c r="M30" i="270"/>
  <c r="AI29" i="270"/>
  <c r="AH29" i="270"/>
  <c r="W29" i="270"/>
  <c r="AP28" i="270"/>
  <c r="AO28" i="270"/>
  <c r="AV28" i="270" s="1"/>
  <c r="AI28" i="270"/>
  <c r="AH28" i="270"/>
  <c r="AF28" i="270"/>
  <c r="AE28" i="270"/>
  <c r="AA28" i="270"/>
  <c r="Z28" i="270"/>
  <c r="Y28" i="270"/>
  <c r="X28" i="270"/>
  <c r="W28" i="270"/>
  <c r="P28" i="270"/>
  <c r="O28" i="270"/>
  <c r="AD28" i="270" s="1"/>
  <c r="N28" i="270"/>
  <c r="AC28" i="270" s="1"/>
  <c r="M28" i="270"/>
  <c r="AP27" i="270"/>
  <c r="AI27" i="270"/>
  <c r="AH27" i="270"/>
  <c r="AF27" i="270"/>
  <c r="AE27" i="270"/>
  <c r="AB27" i="270"/>
  <c r="AA27" i="270"/>
  <c r="Z27" i="270"/>
  <c r="Y27" i="270"/>
  <c r="X27" i="270"/>
  <c r="W27" i="270"/>
  <c r="P27" i="270"/>
  <c r="O27" i="270"/>
  <c r="AD27" i="270" s="1"/>
  <c r="N27" i="270"/>
  <c r="M27" i="270"/>
  <c r="AT26" i="270"/>
  <c r="AQ26" i="270"/>
  <c r="AP26" i="270"/>
  <c r="AO26" i="270"/>
  <c r="AV26" i="270" s="1"/>
  <c r="AI26" i="270"/>
  <c r="AH26" i="270"/>
  <c r="AF26" i="270"/>
  <c r="AE26" i="270"/>
  <c r="AC26" i="270"/>
  <c r="AB26" i="270"/>
  <c r="AA26" i="270"/>
  <c r="Z26" i="270"/>
  <c r="Y26" i="270"/>
  <c r="X26" i="270"/>
  <c r="W26" i="270"/>
  <c r="P26" i="270"/>
  <c r="O26" i="270"/>
  <c r="AD26" i="270" s="1"/>
  <c r="N26" i="270"/>
  <c r="M26" i="270"/>
  <c r="AR25" i="270"/>
  <c r="AP25" i="270"/>
  <c r="AI25" i="270"/>
  <c r="AH25" i="270"/>
  <c r="AF25" i="270"/>
  <c r="AE25" i="270"/>
  <c r="AD25" i="270"/>
  <c r="AC25" i="270"/>
  <c r="AB25" i="270"/>
  <c r="AA25" i="270"/>
  <c r="Z25" i="270"/>
  <c r="Y25" i="270"/>
  <c r="X25" i="270"/>
  <c r="W25" i="270"/>
  <c r="P25" i="270"/>
  <c r="O25" i="270"/>
  <c r="N25" i="270"/>
  <c r="AO25" i="270" s="1"/>
  <c r="AV25" i="270" s="1"/>
  <c r="M25" i="270"/>
  <c r="AI24" i="270"/>
  <c r="AH24" i="270"/>
  <c r="W24" i="270"/>
  <c r="AP23" i="270"/>
  <c r="AI23" i="270"/>
  <c r="AH23" i="270"/>
  <c r="AF23" i="270"/>
  <c r="AE23" i="270"/>
  <c r="AB23" i="270"/>
  <c r="AA23" i="270"/>
  <c r="Z23" i="270"/>
  <c r="Y23" i="270"/>
  <c r="X23" i="270"/>
  <c r="W23" i="270"/>
  <c r="P23" i="270"/>
  <c r="O23" i="270"/>
  <c r="AD23" i="270" s="1"/>
  <c r="N23" i="270"/>
  <c r="M23" i="270"/>
  <c r="AT22" i="270"/>
  <c r="AP22" i="270"/>
  <c r="AO22" i="270"/>
  <c r="AV22" i="270" s="1"/>
  <c r="AI22" i="270"/>
  <c r="AH22" i="270"/>
  <c r="AF22" i="270"/>
  <c r="AE22" i="270"/>
  <c r="AC22" i="270"/>
  <c r="AB22" i="270"/>
  <c r="AA22" i="270"/>
  <c r="Z22" i="270"/>
  <c r="Y22" i="270"/>
  <c r="X22" i="270"/>
  <c r="W22" i="270"/>
  <c r="P22" i="270"/>
  <c r="O22" i="270"/>
  <c r="AD22" i="270" s="1"/>
  <c r="N22" i="270"/>
  <c r="M22" i="270"/>
  <c r="AI21" i="270"/>
  <c r="AH21" i="270"/>
  <c r="W21" i="270"/>
  <c r="AV20" i="270"/>
  <c r="AT20" i="270"/>
  <c r="AQ20" i="270"/>
  <c r="AP20" i="270"/>
  <c r="AO20" i="270"/>
  <c r="AI20" i="270"/>
  <c r="AH20" i="270"/>
  <c r="AF20" i="270"/>
  <c r="AE20" i="270"/>
  <c r="AA20" i="270"/>
  <c r="Z20" i="270"/>
  <c r="Y20" i="270"/>
  <c r="X20" i="270"/>
  <c r="W20" i="270"/>
  <c r="P20" i="270"/>
  <c r="O20" i="270"/>
  <c r="AD20" i="270" s="1"/>
  <c r="N20" i="270"/>
  <c r="AC20" i="270" s="1"/>
  <c r="M20" i="270"/>
  <c r="AP19" i="270"/>
  <c r="AI19" i="270"/>
  <c r="AH19" i="270"/>
  <c r="AF19" i="270"/>
  <c r="AE19" i="270"/>
  <c r="AB19" i="270"/>
  <c r="AA19" i="270"/>
  <c r="Z19" i="270"/>
  <c r="Y19" i="270"/>
  <c r="X19" i="270"/>
  <c r="W19" i="270"/>
  <c r="P19" i="270"/>
  <c r="O19" i="270"/>
  <c r="N19" i="270"/>
  <c r="M19" i="270"/>
  <c r="AP18" i="270"/>
  <c r="AO18" i="270"/>
  <c r="AV18" i="270" s="1"/>
  <c r="AI18" i="270"/>
  <c r="AH18" i="270"/>
  <c r="AF18" i="270"/>
  <c r="AE18" i="270"/>
  <c r="AC18" i="270"/>
  <c r="AB18" i="270"/>
  <c r="AA18" i="270"/>
  <c r="Z18" i="270"/>
  <c r="Y18" i="270"/>
  <c r="X18" i="270"/>
  <c r="W18" i="270"/>
  <c r="P18" i="270"/>
  <c r="O18" i="270"/>
  <c r="AD18" i="270" s="1"/>
  <c r="N18" i="270"/>
  <c r="M18" i="270"/>
  <c r="AT17" i="270"/>
  <c r="AP17" i="270"/>
  <c r="AI17" i="270"/>
  <c r="AN17" i="270" s="1"/>
  <c r="AH17" i="270"/>
  <c r="AF17" i="270"/>
  <c r="AE17" i="270"/>
  <c r="AD17" i="270"/>
  <c r="AC17" i="270"/>
  <c r="AB17" i="270"/>
  <c r="AA17" i="270"/>
  <c r="Z17" i="270"/>
  <c r="Y17" i="270"/>
  <c r="X17" i="270"/>
  <c r="W17" i="270"/>
  <c r="P17" i="270"/>
  <c r="O17" i="270"/>
  <c r="AQ17" i="270" s="1"/>
  <c r="N17" i="270"/>
  <c r="AO17" i="270" s="1"/>
  <c r="AV17" i="270" s="1"/>
  <c r="M17" i="270"/>
  <c r="AT16" i="270"/>
  <c r="AQ16" i="270"/>
  <c r="AP16" i="270"/>
  <c r="AO16" i="270"/>
  <c r="AV16" i="270" s="1"/>
  <c r="AI16" i="270"/>
  <c r="AH16" i="270"/>
  <c r="AF16" i="270"/>
  <c r="AE16" i="270"/>
  <c r="AC16" i="270"/>
  <c r="AA16" i="270"/>
  <c r="Z16" i="270"/>
  <c r="Y16" i="270"/>
  <c r="X16" i="270"/>
  <c r="W16" i="270"/>
  <c r="P16" i="270"/>
  <c r="O16" i="270"/>
  <c r="AD16" i="270" s="1"/>
  <c r="N16" i="270"/>
  <c r="M16" i="270"/>
  <c r="AP15" i="270"/>
  <c r="AO15" i="270"/>
  <c r="AV15" i="270" s="1"/>
  <c r="AI15" i="270"/>
  <c r="AH15" i="270"/>
  <c r="AF15" i="270"/>
  <c r="AE15" i="270"/>
  <c r="AD15" i="270"/>
  <c r="AA15" i="270"/>
  <c r="Z15" i="270"/>
  <c r="Y15" i="270"/>
  <c r="X15" i="270"/>
  <c r="W15" i="270"/>
  <c r="P15" i="270"/>
  <c r="O15" i="270"/>
  <c r="N15" i="270"/>
  <c r="AC15" i="270" s="1"/>
  <c r="M15" i="270"/>
  <c r="AB15" i="270" s="1"/>
  <c r="AI14" i="270"/>
  <c r="AH14" i="270"/>
  <c r="W14" i="270"/>
  <c r="AP13" i="270"/>
  <c r="AN13" i="270"/>
  <c r="AI13" i="270"/>
  <c r="AJ13" i="270" s="1"/>
  <c r="AH13" i="270"/>
  <c r="AF13" i="270"/>
  <c r="AE13" i="270"/>
  <c r="AD13" i="270"/>
  <c r="AA13" i="270"/>
  <c r="Z13" i="270"/>
  <c r="Y13" i="270"/>
  <c r="X13" i="270"/>
  <c r="W13" i="270"/>
  <c r="P13" i="270"/>
  <c r="O13" i="270"/>
  <c r="N13" i="270"/>
  <c r="AO13" i="270" s="1"/>
  <c r="AV13" i="270" s="1"/>
  <c r="M13" i="270"/>
  <c r="AB13" i="270" s="1"/>
  <c r="AV12" i="270"/>
  <c r="AT12" i="270"/>
  <c r="AP12" i="270"/>
  <c r="AO12" i="270"/>
  <c r="AN12" i="270"/>
  <c r="AI12" i="270"/>
  <c r="AH12" i="270"/>
  <c r="AF12" i="270"/>
  <c r="AE12" i="270"/>
  <c r="AD12" i="270"/>
  <c r="AA12" i="270"/>
  <c r="Z12" i="270"/>
  <c r="Y12" i="270"/>
  <c r="X12" i="270"/>
  <c r="W12" i="270"/>
  <c r="P12" i="270"/>
  <c r="O12" i="270"/>
  <c r="AQ12" i="270" s="1"/>
  <c r="N12" i="270"/>
  <c r="AC12" i="270" s="1"/>
  <c r="M12" i="270"/>
  <c r="AU11" i="270"/>
  <c r="AP11" i="270"/>
  <c r="AO11" i="270"/>
  <c r="AV11" i="270" s="1"/>
  <c r="AI11" i="270"/>
  <c r="AN11" i="270" s="1"/>
  <c r="AH11" i="270"/>
  <c r="AF11" i="270"/>
  <c r="AE11" i="270"/>
  <c r="AA11" i="270"/>
  <c r="Z11" i="270"/>
  <c r="Y11" i="270"/>
  <c r="X11" i="270"/>
  <c r="W11" i="270"/>
  <c r="P11" i="270"/>
  <c r="O11" i="270"/>
  <c r="AQ11" i="270" s="1"/>
  <c r="N11" i="270"/>
  <c r="AC11" i="270" s="1"/>
  <c r="M11" i="270"/>
  <c r="AR11" i="270" s="1"/>
  <c r="AQ10" i="270"/>
  <c r="AP10" i="270"/>
  <c r="AI10" i="270"/>
  <c r="AH10" i="270"/>
  <c r="AF10" i="270"/>
  <c r="AE10" i="270"/>
  <c r="AD10" i="270"/>
  <c r="AB10" i="270"/>
  <c r="AA10" i="270"/>
  <c r="Z10" i="270"/>
  <c r="Y10" i="270"/>
  <c r="X10" i="270"/>
  <c r="W10" i="270"/>
  <c r="P10" i="270"/>
  <c r="O10" i="270"/>
  <c r="N10" i="270"/>
  <c r="AO10" i="270" s="1"/>
  <c r="AV10" i="270" s="1"/>
  <c r="M10" i="270"/>
  <c r="AT9" i="270"/>
  <c r="AP9" i="270"/>
  <c r="AO9" i="270"/>
  <c r="AV9" i="270" s="1"/>
  <c r="AJ9" i="270"/>
  <c r="AI9" i="270"/>
  <c r="AN9" i="270" s="1"/>
  <c r="AH9" i="270"/>
  <c r="AF9" i="270"/>
  <c r="AE9" i="270"/>
  <c r="AC9" i="270"/>
  <c r="AA9" i="270"/>
  <c r="Z9" i="270"/>
  <c r="Y9" i="270"/>
  <c r="X9" i="270"/>
  <c r="W9" i="270"/>
  <c r="P9" i="270"/>
  <c r="O9" i="270"/>
  <c r="AQ9" i="270" s="1"/>
  <c r="N9" i="270"/>
  <c r="M9" i="270"/>
  <c r="AR9" i="270" s="1"/>
  <c r="AU8" i="270"/>
  <c r="AR8" i="270"/>
  <c r="AP8" i="270"/>
  <c r="AI8" i="270"/>
  <c r="AN8" i="270" s="1"/>
  <c r="AH8" i="270"/>
  <c r="AF8" i="270"/>
  <c r="AE8" i="270"/>
  <c r="AD8" i="270"/>
  <c r="AB8" i="270"/>
  <c r="AA8" i="270"/>
  <c r="Z8" i="270"/>
  <c r="Y8" i="270"/>
  <c r="X8" i="270"/>
  <c r="W8" i="270"/>
  <c r="P8" i="270"/>
  <c r="O8" i="270"/>
  <c r="AQ8" i="270" s="1"/>
  <c r="N8" i="270"/>
  <c r="AO8" i="270" s="1"/>
  <c r="AV8" i="270" s="1"/>
  <c r="M8" i="270"/>
  <c r="AU7" i="270"/>
  <c r="AT7" i="270"/>
  <c r="AP7" i="270"/>
  <c r="AO7" i="270"/>
  <c r="AV7" i="270" s="1"/>
  <c r="AJ7" i="270"/>
  <c r="AI7" i="270"/>
  <c r="AH7" i="270"/>
  <c r="AF7" i="270"/>
  <c r="AE7" i="270"/>
  <c r="AC7" i="270"/>
  <c r="AA7" i="270"/>
  <c r="Z7" i="270"/>
  <c r="Y7" i="270"/>
  <c r="X7" i="270"/>
  <c r="W7" i="270"/>
  <c r="P7" i="270"/>
  <c r="O7" i="270"/>
  <c r="AQ7" i="270" s="1"/>
  <c r="N7" i="270"/>
  <c r="M7" i="270"/>
  <c r="AR7" i="270" s="1"/>
  <c r="AU6" i="270"/>
  <c r="AP6" i="270"/>
  <c r="AN6" i="270"/>
  <c r="AI6" i="270"/>
  <c r="AT6" i="270" s="1"/>
  <c r="AH6" i="270"/>
  <c r="AF6" i="270"/>
  <c r="AE6" i="270"/>
  <c r="AD6" i="270"/>
  <c r="AB6" i="270"/>
  <c r="AA6" i="270"/>
  <c r="Z6" i="270"/>
  <c r="Y6" i="270"/>
  <c r="X6" i="270"/>
  <c r="W6" i="270"/>
  <c r="P6" i="270"/>
  <c r="O6" i="270"/>
  <c r="AQ6" i="270" s="1"/>
  <c r="N6" i="270"/>
  <c r="AC6" i="270" s="1"/>
  <c r="M6" i="270"/>
  <c r="AI5" i="270"/>
  <c r="AH5" i="270"/>
  <c r="W5" i="270"/>
  <c r="AI4" i="270"/>
  <c r="AU3" i="270"/>
  <c r="AQ3" i="270"/>
  <c r="AO3" i="270"/>
  <c r="AI3" i="270"/>
  <c r="AH3" i="270"/>
  <c r="AN2" i="270"/>
  <c r="AM2" i="270"/>
  <c r="AL2" i="270"/>
  <c r="AK2" i="270"/>
  <c r="AJ2" i="270"/>
  <c r="AJ17" i="270" s="1"/>
  <c r="AA2" i="270"/>
  <c r="A2" i="270"/>
  <c r="AU1" i="270"/>
  <c r="AU13" i="270" s="1"/>
  <c r="AR1" i="270"/>
  <c r="AR18" i="270" s="1"/>
  <c r="AQ1" i="270"/>
  <c r="AQ36" i="270" s="1"/>
  <c r="AP1" i="270"/>
  <c r="AP3" i="270" s="1"/>
  <c r="AO1" i="270"/>
  <c r="AJ1" i="270"/>
  <c r="AA1" i="270"/>
  <c r="A1" i="270"/>
  <c r="AH1" i="270" s="1"/>
  <c r="AH2" i="270" s="1"/>
  <c r="AT57" i="269"/>
  <c r="AP57" i="269"/>
  <c r="AO57" i="269"/>
  <c r="AV57" i="269" s="1"/>
  <c r="AI57" i="269"/>
  <c r="AH57" i="269"/>
  <c r="AF57" i="269"/>
  <c r="AE57" i="269"/>
  <c r="AC57" i="269"/>
  <c r="AA57" i="269"/>
  <c r="Z57" i="269"/>
  <c r="Y57" i="269"/>
  <c r="X57" i="269"/>
  <c r="W57" i="269"/>
  <c r="P57" i="269"/>
  <c r="O57" i="269"/>
  <c r="N57" i="269"/>
  <c r="M57" i="269"/>
  <c r="AU56" i="269"/>
  <c r="AP56" i="269"/>
  <c r="AI56" i="269"/>
  <c r="AT56" i="269" s="1"/>
  <c r="AH56" i="269"/>
  <c r="AF56" i="269"/>
  <c r="AE56" i="269"/>
  <c r="AD56" i="269"/>
  <c r="AB56" i="269"/>
  <c r="AA56" i="269"/>
  <c r="Z56" i="269"/>
  <c r="Y56" i="269"/>
  <c r="X56" i="269"/>
  <c r="W56" i="269"/>
  <c r="P56" i="269"/>
  <c r="O56" i="269"/>
  <c r="N56" i="269"/>
  <c r="AC56" i="269" s="1"/>
  <c r="M56" i="269"/>
  <c r="AV55" i="269"/>
  <c r="AT55" i="269"/>
  <c r="AP55" i="269"/>
  <c r="AO55" i="269"/>
  <c r="AI55" i="269"/>
  <c r="AH55" i="269"/>
  <c r="AF55" i="269"/>
  <c r="AE55" i="269"/>
  <c r="AC55" i="269"/>
  <c r="AA55" i="269"/>
  <c r="Z55" i="269"/>
  <c r="Y55" i="269"/>
  <c r="X55" i="269"/>
  <c r="W55" i="269"/>
  <c r="P55" i="269"/>
  <c r="O55" i="269"/>
  <c r="AD55" i="269" s="1"/>
  <c r="N55" i="269"/>
  <c r="M55" i="269"/>
  <c r="AP54" i="269"/>
  <c r="AI54" i="269"/>
  <c r="AH54" i="269"/>
  <c r="AF54" i="269"/>
  <c r="AE54" i="269"/>
  <c r="AD54" i="269"/>
  <c r="AB54" i="269"/>
  <c r="AA54" i="269"/>
  <c r="Z54" i="269"/>
  <c r="Y54" i="269"/>
  <c r="X54" i="269"/>
  <c r="W54" i="269"/>
  <c r="P54" i="269"/>
  <c r="O54" i="269"/>
  <c r="N54" i="269"/>
  <c r="M54" i="269"/>
  <c r="AT53" i="269"/>
  <c r="AP53" i="269"/>
  <c r="AO53" i="269"/>
  <c r="AV53" i="269" s="1"/>
  <c r="AI53" i="269"/>
  <c r="AH53" i="269"/>
  <c r="AF53" i="269"/>
  <c r="AE53" i="269"/>
  <c r="AC53" i="269"/>
  <c r="AA53" i="269"/>
  <c r="Z53" i="269"/>
  <c r="Y53" i="269"/>
  <c r="X53" i="269"/>
  <c r="W53" i="269"/>
  <c r="P53" i="269"/>
  <c r="O53" i="269"/>
  <c r="AD53" i="269" s="1"/>
  <c r="N53" i="269"/>
  <c r="M53" i="269"/>
  <c r="AR53" i="269" s="1"/>
  <c r="AP52" i="269"/>
  <c r="AI52" i="269"/>
  <c r="AH52" i="269"/>
  <c r="AF52" i="269"/>
  <c r="AE52" i="269"/>
  <c r="AD52" i="269"/>
  <c r="AB52" i="269"/>
  <c r="AA52" i="269"/>
  <c r="Z52" i="269"/>
  <c r="Y52" i="269"/>
  <c r="X52" i="269"/>
  <c r="W52" i="269"/>
  <c r="P52" i="269"/>
  <c r="O52" i="269"/>
  <c r="AQ52" i="269" s="1"/>
  <c r="N52" i="269"/>
  <c r="AO52" i="269" s="1"/>
  <c r="AV52" i="269" s="1"/>
  <c r="M52" i="269"/>
  <c r="AT51" i="269"/>
  <c r="AP51" i="269"/>
  <c r="AO51" i="269"/>
  <c r="AV51" i="269" s="1"/>
  <c r="AJ51" i="269"/>
  <c r="AI51" i="269"/>
  <c r="AH51" i="269"/>
  <c r="AF51" i="269"/>
  <c r="AE51" i="269"/>
  <c r="AC51" i="269"/>
  <c r="AA51" i="269"/>
  <c r="Z51" i="269"/>
  <c r="Y51" i="269"/>
  <c r="X51" i="269"/>
  <c r="W51" i="269"/>
  <c r="P51" i="269"/>
  <c r="O51" i="269"/>
  <c r="AQ51" i="269" s="1"/>
  <c r="N51" i="269"/>
  <c r="M51" i="269"/>
  <c r="AP50" i="269"/>
  <c r="AI50" i="269"/>
  <c r="AT50" i="269" s="1"/>
  <c r="AH50" i="269"/>
  <c r="AF50" i="269"/>
  <c r="AE50" i="269"/>
  <c r="AD50" i="269"/>
  <c r="AB50" i="269"/>
  <c r="AA50" i="269"/>
  <c r="Z50" i="269"/>
  <c r="Y50" i="269"/>
  <c r="X50" i="269"/>
  <c r="W50" i="269"/>
  <c r="P50" i="269"/>
  <c r="O50" i="269"/>
  <c r="AQ50" i="269" s="1"/>
  <c r="N50" i="269"/>
  <c r="AC50" i="269" s="1"/>
  <c r="M50" i="269"/>
  <c r="AT49" i="269"/>
  <c r="AP49" i="269"/>
  <c r="AO49" i="269"/>
  <c r="AV49" i="269" s="1"/>
  <c r="AI49" i="269"/>
  <c r="AH49" i="269"/>
  <c r="AF49" i="269"/>
  <c r="AE49" i="269"/>
  <c r="AC49" i="269"/>
  <c r="AA49" i="269"/>
  <c r="Z49" i="269"/>
  <c r="Y49" i="269"/>
  <c r="X49" i="269"/>
  <c r="W49" i="269"/>
  <c r="P49" i="269"/>
  <c r="O49" i="269"/>
  <c r="AD49" i="269" s="1"/>
  <c r="N49" i="269"/>
  <c r="M49" i="269"/>
  <c r="AP48" i="269"/>
  <c r="AI48" i="269"/>
  <c r="AT48" i="269" s="1"/>
  <c r="AH48" i="269"/>
  <c r="AF48" i="269"/>
  <c r="AE48" i="269"/>
  <c r="AD48" i="269"/>
  <c r="AB48" i="269"/>
  <c r="AA48" i="269"/>
  <c r="Z48" i="269"/>
  <c r="Y48" i="269"/>
  <c r="X48" i="269"/>
  <c r="W48" i="269"/>
  <c r="P48" i="269"/>
  <c r="O48" i="269"/>
  <c r="N48" i="269"/>
  <c r="M48" i="269"/>
  <c r="AI47" i="269"/>
  <c r="AH47" i="269"/>
  <c r="W47" i="269"/>
  <c r="AP46" i="269"/>
  <c r="AN46" i="269"/>
  <c r="AI46" i="269"/>
  <c r="AT46" i="269" s="1"/>
  <c r="AH46" i="269"/>
  <c r="AF46" i="269"/>
  <c r="AE46" i="269"/>
  <c r="AD46" i="269"/>
  <c r="AB46" i="269"/>
  <c r="AA46" i="269"/>
  <c r="Z46" i="269"/>
  <c r="Y46" i="269"/>
  <c r="X46" i="269"/>
  <c r="W46" i="269"/>
  <c r="P46" i="269"/>
  <c r="O46" i="269"/>
  <c r="N46" i="269"/>
  <c r="AC46" i="269" s="1"/>
  <c r="M46" i="269"/>
  <c r="AT45" i="269"/>
  <c r="AP45" i="269"/>
  <c r="AO45" i="269"/>
  <c r="AV45" i="269" s="1"/>
  <c r="AI45" i="269"/>
  <c r="AH45" i="269"/>
  <c r="AF45" i="269"/>
  <c r="AE45" i="269"/>
  <c r="AC45" i="269"/>
  <c r="AA45" i="269"/>
  <c r="Z45" i="269"/>
  <c r="Y45" i="269"/>
  <c r="X45" i="269"/>
  <c r="W45" i="269"/>
  <c r="P45" i="269"/>
  <c r="O45" i="269"/>
  <c r="AD45" i="269" s="1"/>
  <c r="N45" i="269"/>
  <c r="M45" i="269"/>
  <c r="AP44" i="269"/>
  <c r="AN44" i="269"/>
  <c r="AI44" i="269"/>
  <c r="AT44" i="269" s="1"/>
  <c r="AH44" i="269"/>
  <c r="AF44" i="269"/>
  <c r="AE44" i="269"/>
  <c r="AD44" i="269"/>
  <c r="AB44" i="269"/>
  <c r="AA44" i="269"/>
  <c r="Z44" i="269"/>
  <c r="Y44" i="269"/>
  <c r="X44" i="269"/>
  <c r="W44" i="269"/>
  <c r="P44" i="269"/>
  <c r="O44" i="269"/>
  <c r="N44" i="269"/>
  <c r="M44" i="269"/>
  <c r="AI43" i="269"/>
  <c r="AH43" i="269"/>
  <c r="W43" i="269"/>
  <c r="AP42" i="269"/>
  <c r="AI42" i="269"/>
  <c r="AH42" i="269"/>
  <c r="AF42" i="269"/>
  <c r="AE42" i="269"/>
  <c r="AD42" i="269"/>
  <c r="AB42" i="269"/>
  <c r="AA42" i="269"/>
  <c r="Z42" i="269"/>
  <c r="Y42" i="269"/>
  <c r="X42" i="269"/>
  <c r="W42" i="269"/>
  <c r="P42" i="269"/>
  <c r="O42" i="269"/>
  <c r="N42" i="269"/>
  <c r="M42" i="269"/>
  <c r="AT41" i="269"/>
  <c r="AP41" i="269"/>
  <c r="AO41" i="269"/>
  <c r="AV41" i="269" s="1"/>
  <c r="AI41" i="269"/>
  <c r="AH41" i="269"/>
  <c r="AF41" i="269"/>
  <c r="AE41" i="269"/>
  <c r="AC41" i="269"/>
  <c r="AA41" i="269"/>
  <c r="Z41" i="269"/>
  <c r="Y41" i="269"/>
  <c r="X41" i="269"/>
  <c r="W41" i="269"/>
  <c r="P41" i="269"/>
  <c r="O41" i="269"/>
  <c r="AD41" i="269" s="1"/>
  <c r="N41" i="269"/>
  <c r="M41" i="269"/>
  <c r="AP40" i="269"/>
  <c r="AI40" i="269"/>
  <c r="AH40" i="269"/>
  <c r="AF40" i="269"/>
  <c r="AE40" i="269"/>
  <c r="AD40" i="269"/>
  <c r="AB40" i="269"/>
  <c r="AA40" i="269"/>
  <c r="Z40" i="269"/>
  <c r="Y40" i="269"/>
  <c r="X40" i="269"/>
  <c r="W40" i="269"/>
  <c r="P40" i="269"/>
  <c r="O40" i="269"/>
  <c r="N40" i="269"/>
  <c r="M40" i="269"/>
  <c r="AT39" i="269"/>
  <c r="AP39" i="269"/>
  <c r="AO39" i="269"/>
  <c r="AV39" i="269" s="1"/>
  <c r="AI39" i="269"/>
  <c r="AH39" i="269"/>
  <c r="AF39" i="269"/>
  <c r="AE39" i="269"/>
  <c r="AC39" i="269"/>
  <c r="AA39" i="269"/>
  <c r="Z39" i="269"/>
  <c r="Y39" i="269"/>
  <c r="X39" i="269"/>
  <c r="W39" i="269"/>
  <c r="P39" i="269"/>
  <c r="O39" i="269"/>
  <c r="AD39" i="269" s="1"/>
  <c r="N39" i="269"/>
  <c r="M39" i="269"/>
  <c r="AP38" i="269"/>
  <c r="AI38" i="269"/>
  <c r="AH38" i="269"/>
  <c r="AF38" i="269"/>
  <c r="AE38" i="269"/>
  <c r="AD38" i="269"/>
  <c r="AB38" i="269"/>
  <c r="AA38" i="269"/>
  <c r="Z38" i="269"/>
  <c r="Y38" i="269"/>
  <c r="X38" i="269"/>
  <c r="W38" i="269"/>
  <c r="P38" i="269"/>
  <c r="O38" i="269"/>
  <c r="N38" i="269"/>
  <c r="M38" i="269"/>
  <c r="AT37" i="269"/>
  <c r="AP37" i="269"/>
  <c r="AO37" i="269"/>
  <c r="AV37" i="269" s="1"/>
  <c r="AI37" i="269"/>
  <c r="AH37" i="269"/>
  <c r="AF37" i="269"/>
  <c r="AE37" i="269"/>
  <c r="AC37" i="269"/>
  <c r="AA37" i="269"/>
  <c r="Z37" i="269"/>
  <c r="Y37" i="269"/>
  <c r="X37" i="269"/>
  <c r="W37" i="269"/>
  <c r="P37" i="269"/>
  <c r="O37" i="269"/>
  <c r="AD37" i="269" s="1"/>
  <c r="N37" i="269"/>
  <c r="M37" i="269"/>
  <c r="AP36" i="269"/>
  <c r="AI36" i="269"/>
  <c r="AH36" i="269"/>
  <c r="AF36" i="269"/>
  <c r="AE36" i="269"/>
  <c r="AD36" i="269"/>
  <c r="AB36" i="269"/>
  <c r="AA36" i="269"/>
  <c r="Z36" i="269"/>
  <c r="Y36" i="269"/>
  <c r="X36" i="269"/>
  <c r="W36" i="269"/>
  <c r="P36" i="269"/>
  <c r="O36" i="269"/>
  <c r="N36" i="269"/>
  <c r="M36" i="269"/>
  <c r="AI35" i="269"/>
  <c r="AH35" i="269"/>
  <c r="W35" i="269"/>
  <c r="AR34" i="269"/>
  <c r="AP34" i="269"/>
  <c r="AI34" i="269"/>
  <c r="AH34" i="269"/>
  <c r="AF34" i="269"/>
  <c r="AE34" i="269"/>
  <c r="AD34" i="269"/>
  <c r="AB34" i="269"/>
  <c r="AA34" i="269"/>
  <c r="Z34" i="269"/>
  <c r="Y34" i="269"/>
  <c r="X34" i="269"/>
  <c r="W34" i="269"/>
  <c r="P34" i="269"/>
  <c r="O34" i="269"/>
  <c r="AQ34" i="269" s="1"/>
  <c r="N34" i="269"/>
  <c r="M34" i="269"/>
  <c r="AV33" i="269"/>
  <c r="AT33" i="269"/>
  <c r="AP33" i="269"/>
  <c r="AO33" i="269"/>
  <c r="AI33" i="269"/>
  <c r="AH33" i="269"/>
  <c r="AF33" i="269"/>
  <c r="AE33" i="269"/>
  <c r="AC33" i="269"/>
  <c r="AA33" i="269"/>
  <c r="Z33" i="269"/>
  <c r="Y33" i="269"/>
  <c r="X33" i="269"/>
  <c r="W33" i="269"/>
  <c r="P33" i="269"/>
  <c r="O33" i="269"/>
  <c r="AD33" i="269" s="1"/>
  <c r="N33" i="269"/>
  <c r="M33" i="269"/>
  <c r="AR32" i="269"/>
  <c r="AP32" i="269"/>
  <c r="AI32" i="269"/>
  <c r="AN32" i="269" s="1"/>
  <c r="AH32" i="269"/>
  <c r="AF32" i="269"/>
  <c r="AE32" i="269"/>
  <c r="AD32" i="269"/>
  <c r="AB32" i="269"/>
  <c r="AA32" i="269"/>
  <c r="Z32" i="269"/>
  <c r="Y32" i="269"/>
  <c r="X32" i="269"/>
  <c r="W32" i="269"/>
  <c r="P32" i="269"/>
  <c r="O32" i="269"/>
  <c r="N32" i="269"/>
  <c r="M32" i="269"/>
  <c r="AI31" i="269"/>
  <c r="AH31" i="269"/>
  <c r="W31" i="269"/>
  <c r="AU30" i="269"/>
  <c r="AP30" i="269"/>
  <c r="AN30" i="269"/>
  <c r="AI30" i="269"/>
  <c r="AH30" i="269"/>
  <c r="AF30" i="269"/>
  <c r="AE30" i="269"/>
  <c r="AD30" i="269"/>
  <c r="AB30" i="269"/>
  <c r="AA30" i="269"/>
  <c r="Z30" i="269"/>
  <c r="Y30" i="269"/>
  <c r="X30" i="269"/>
  <c r="W30" i="269"/>
  <c r="P30" i="269"/>
  <c r="O30" i="269"/>
  <c r="N30" i="269"/>
  <c r="M30" i="269"/>
  <c r="AR30" i="269" s="1"/>
  <c r="AT29" i="269"/>
  <c r="AQ29" i="269"/>
  <c r="AP29" i="269"/>
  <c r="AO29" i="269"/>
  <c r="AV29" i="269" s="1"/>
  <c r="AI29" i="269"/>
  <c r="AH29" i="269"/>
  <c r="AF29" i="269"/>
  <c r="AE29" i="269"/>
  <c r="AC29" i="269"/>
  <c r="AA29" i="269"/>
  <c r="Z29" i="269"/>
  <c r="Y29" i="269"/>
  <c r="X29" i="269"/>
  <c r="W29" i="269"/>
  <c r="P29" i="269"/>
  <c r="O29" i="269"/>
  <c r="AD29" i="269" s="1"/>
  <c r="N29" i="269"/>
  <c r="M29" i="269"/>
  <c r="AV28" i="269"/>
  <c r="AP28" i="269"/>
  <c r="AO28" i="269"/>
  <c r="AN28" i="269"/>
  <c r="AI28" i="269"/>
  <c r="AH28" i="269"/>
  <c r="AF28" i="269"/>
  <c r="AE28" i="269"/>
  <c r="AB28" i="269"/>
  <c r="AA28" i="269"/>
  <c r="Z28" i="269"/>
  <c r="Y28" i="269"/>
  <c r="X28" i="269"/>
  <c r="W28" i="269"/>
  <c r="P28" i="269"/>
  <c r="O28" i="269"/>
  <c r="AD28" i="269" s="1"/>
  <c r="N28" i="269"/>
  <c r="AC28" i="269" s="1"/>
  <c r="M28" i="269"/>
  <c r="AR28" i="269" s="1"/>
  <c r="AR27" i="269"/>
  <c r="AP27" i="269"/>
  <c r="AI27" i="269"/>
  <c r="AH27" i="269"/>
  <c r="AF27" i="269"/>
  <c r="AE27" i="269"/>
  <c r="AA27" i="269"/>
  <c r="Z27" i="269"/>
  <c r="Y27" i="269"/>
  <c r="X27" i="269"/>
  <c r="W27" i="269"/>
  <c r="P27" i="269"/>
  <c r="O27" i="269"/>
  <c r="AD27" i="269" s="1"/>
  <c r="N27" i="269"/>
  <c r="M27" i="269"/>
  <c r="AB27" i="269" s="1"/>
  <c r="AP26" i="269"/>
  <c r="AI26" i="269"/>
  <c r="AT26" i="269" s="1"/>
  <c r="AH26" i="269"/>
  <c r="AF26" i="269"/>
  <c r="AE26" i="269"/>
  <c r="AD26" i="269"/>
  <c r="AB26" i="269"/>
  <c r="AA26" i="269"/>
  <c r="Z26" i="269"/>
  <c r="Y26" i="269"/>
  <c r="X26" i="269"/>
  <c r="W26" i="269"/>
  <c r="P26" i="269"/>
  <c r="O26" i="269"/>
  <c r="N26" i="269"/>
  <c r="AO26" i="269" s="1"/>
  <c r="AV26" i="269" s="1"/>
  <c r="M26" i="269"/>
  <c r="AT25" i="269"/>
  <c r="AP25" i="269"/>
  <c r="AO25" i="269"/>
  <c r="AV25" i="269" s="1"/>
  <c r="AI25" i="269"/>
  <c r="AH25" i="269"/>
  <c r="AF25" i="269"/>
  <c r="AE25" i="269"/>
  <c r="AC25" i="269"/>
  <c r="AA25" i="269"/>
  <c r="Z25" i="269"/>
  <c r="Y25" i="269"/>
  <c r="X25" i="269"/>
  <c r="W25" i="269"/>
  <c r="P25" i="269"/>
  <c r="O25" i="269"/>
  <c r="AQ25" i="269" s="1"/>
  <c r="N25" i="269"/>
  <c r="M25" i="269"/>
  <c r="AR25" i="269" s="1"/>
  <c r="AU24" i="269"/>
  <c r="AP24" i="269"/>
  <c r="AI24" i="269"/>
  <c r="AT24" i="269" s="1"/>
  <c r="AH24" i="269"/>
  <c r="AF24" i="269"/>
  <c r="AE24" i="269"/>
  <c r="AA24" i="269"/>
  <c r="Z24" i="269"/>
  <c r="Y24" i="269"/>
  <c r="X24" i="269"/>
  <c r="W24" i="269"/>
  <c r="P24" i="269"/>
  <c r="O24" i="269"/>
  <c r="AD24" i="269" s="1"/>
  <c r="N24" i="269"/>
  <c r="M24" i="269"/>
  <c r="AB24" i="269" s="1"/>
  <c r="AU23" i="269"/>
  <c r="AQ23" i="269"/>
  <c r="AP23" i="269"/>
  <c r="AN23" i="269"/>
  <c r="AI23" i="269"/>
  <c r="AT23" i="269" s="1"/>
  <c r="AH23" i="269"/>
  <c r="AF23" i="269"/>
  <c r="AE23" i="269"/>
  <c r="AB23" i="269"/>
  <c r="AA23" i="269"/>
  <c r="Z23" i="269"/>
  <c r="Y23" i="269"/>
  <c r="X23" i="269"/>
  <c r="W23" i="269"/>
  <c r="P23" i="269"/>
  <c r="O23" i="269"/>
  <c r="AD23" i="269" s="1"/>
  <c r="N23" i="269"/>
  <c r="AC23" i="269" s="1"/>
  <c r="M23" i="269"/>
  <c r="AI22" i="269"/>
  <c r="AH22" i="269"/>
  <c r="W22" i="269"/>
  <c r="AV21" i="269"/>
  <c r="AP21" i="269"/>
  <c r="AO21" i="269"/>
  <c r="AI21" i="269"/>
  <c r="AN21" i="269" s="1"/>
  <c r="AH21" i="269"/>
  <c r="AF21" i="269"/>
  <c r="AE21" i="269"/>
  <c r="AD21" i="269"/>
  <c r="AA21" i="269"/>
  <c r="Z21" i="269"/>
  <c r="Y21" i="269"/>
  <c r="X21" i="269"/>
  <c r="W21" i="269"/>
  <c r="P21" i="269"/>
  <c r="O21" i="269"/>
  <c r="AQ21" i="269" s="1"/>
  <c r="N21" i="269"/>
  <c r="AC21" i="269" s="1"/>
  <c r="M21" i="269"/>
  <c r="AT20" i="269"/>
  <c r="AP20" i="269"/>
  <c r="AI20" i="269"/>
  <c r="AH20" i="269"/>
  <c r="AF20" i="269"/>
  <c r="AE20" i="269"/>
  <c r="AA20" i="269"/>
  <c r="Z20" i="269"/>
  <c r="Y20" i="269"/>
  <c r="X20" i="269"/>
  <c r="W20" i="269"/>
  <c r="P20" i="269"/>
  <c r="O20" i="269"/>
  <c r="AQ20" i="269" s="1"/>
  <c r="N20" i="269"/>
  <c r="M20" i="269"/>
  <c r="AR20" i="269" s="1"/>
  <c r="AI19" i="269"/>
  <c r="AH19" i="269"/>
  <c r="W19" i="269"/>
  <c r="AU18" i="269"/>
  <c r="AT18" i="269"/>
  <c r="AP18" i="269"/>
  <c r="AO18" i="269"/>
  <c r="AV18" i="269" s="1"/>
  <c r="AN18" i="269"/>
  <c r="AI18" i="269"/>
  <c r="AH18" i="269"/>
  <c r="AF18" i="269"/>
  <c r="AE18" i="269"/>
  <c r="AD18" i="269"/>
  <c r="AC18" i="269"/>
  <c r="AA18" i="269"/>
  <c r="Z18" i="269"/>
  <c r="Y18" i="269"/>
  <c r="X18" i="269"/>
  <c r="W18" i="269"/>
  <c r="P18" i="269"/>
  <c r="O18" i="269"/>
  <c r="AQ18" i="269" s="1"/>
  <c r="N18" i="269"/>
  <c r="M18" i="269"/>
  <c r="AR18" i="269" s="1"/>
  <c r="AP17" i="269"/>
  <c r="AO17" i="269"/>
  <c r="AV17" i="269" s="1"/>
  <c r="AI17" i="269"/>
  <c r="AN17" i="269" s="1"/>
  <c r="AH17" i="269"/>
  <c r="AF17" i="269"/>
  <c r="AE17" i="269"/>
  <c r="AD17" i="269"/>
  <c r="AA17" i="269"/>
  <c r="Z17" i="269"/>
  <c r="Y17" i="269"/>
  <c r="X17" i="269"/>
  <c r="W17" i="269"/>
  <c r="P17" i="269"/>
  <c r="O17" i="269"/>
  <c r="AQ17" i="269" s="1"/>
  <c r="N17" i="269"/>
  <c r="AC17" i="269" s="1"/>
  <c r="M17" i="269"/>
  <c r="AI16" i="269"/>
  <c r="AH16" i="269"/>
  <c r="W16" i="269"/>
  <c r="AT15" i="269"/>
  <c r="AP15" i="269"/>
  <c r="AJ15" i="269"/>
  <c r="AI15" i="269"/>
  <c r="AN15" i="269" s="1"/>
  <c r="AH15" i="269"/>
  <c r="AF15" i="269"/>
  <c r="AE15" i="269"/>
  <c r="AD15" i="269"/>
  <c r="AC15" i="269"/>
  <c r="AB15" i="269"/>
  <c r="AA15" i="269"/>
  <c r="Z15" i="269"/>
  <c r="Y15" i="269"/>
  <c r="X15" i="269"/>
  <c r="W15" i="269"/>
  <c r="P15" i="269"/>
  <c r="O15" i="269"/>
  <c r="AQ15" i="269" s="1"/>
  <c r="N15" i="269"/>
  <c r="AO15" i="269" s="1"/>
  <c r="AV15" i="269" s="1"/>
  <c r="M15" i="269"/>
  <c r="AU14" i="269"/>
  <c r="AT14" i="269"/>
  <c r="AP14" i="269"/>
  <c r="AO14" i="269"/>
  <c r="AV14" i="269" s="1"/>
  <c r="AN14" i="269"/>
  <c r="AI14" i="269"/>
  <c r="AH14" i="269"/>
  <c r="AF14" i="269"/>
  <c r="AE14" i="269"/>
  <c r="AD14" i="269"/>
  <c r="AC14" i="269"/>
  <c r="AA14" i="269"/>
  <c r="Z14" i="269"/>
  <c r="Y14" i="269"/>
  <c r="X14" i="269"/>
  <c r="W14" i="269"/>
  <c r="P14" i="269"/>
  <c r="O14" i="269"/>
  <c r="AQ14" i="269" s="1"/>
  <c r="N14" i="269"/>
  <c r="M14" i="269"/>
  <c r="AR14" i="269" s="1"/>
  <c r="AI13" i="269"/>
  <c r="AH13" i="269"/>
  <c r="W13" i="269"/>
  <c r="AR12" i="269"/>
  <c r="AP12" i="269"/>
  <c r="AO12" i="269"/>
  <c r="AV12" i="269" s="1"/>
  <c r="AI12" i="269"/>
  <c r="AH12" i="269"/>
  <c r="AF12" i="269"/>
  <c r="AE12" i="269"/>
  <c r="AC12" i="269"/>
  <c r="AB12" i="269"/>
  <c r="AA12" i="269"/>
  <c r="Z12" i="269"/>
  <c r="Y12" i="269"/>
  <c r="X12" i="269"/>
  <c r="W12" i="269"/>
  <c r="P12" i="269"/>
  <c r="O12" i="269"/>
  <c r="AD12" i="269" s="1"/>
  <c r="N12" i="269"/>
  <c r="M12" i="269"/>
  <c r="AT11" i="269"/>
  <c r="AP11" i="269"/>
  <c r="AJ11" i="269"/>
  <c r="AI11" i="269"/>
  <c r="AN11" i="269" s="1"/>
  <c r="AH11" i="269"/>
  <c r="AF11" i="269"/>
  <c r="AE11" i="269"/>
  <c r="AD11" i="269"/>
  <c r="AC11" i="269"/>
  <c r="AB11" i="269"/>
  <c r="AA11" i="269"/>
  <c r="Z11" i="269"/>
  <c r="Y11" i="269"/>
  <c r="X11" i="269"/>
  <c r="W11" i="269"/>
  <c r="P11" i="269"/>
  <c r="O11" i="269"/>
  <c r="AQ11" i="269" s="1"/>
  <c r="N11" i="269"/>
  <c r="AO11" i="269" s="1"/>
  <c r="AV11" i="269" s="1"/>
  <c r="M11" i="269"/>
  <c r="AU10" i="269"/>
  <c r="AT10" i="269"/>
  <c r="AP10" i="269"/>
  <c r="AO10" i="269"/>
  <c r="AV10" i="269" s="1"/>
  <c r="AN10" i="269"/>
  <c r="AI10" i="269"/>
  <c r="AH10" i="269"/>
  <c r="AF10" i="269"/>
  <c r="AE10" i="269"/>
  <c r="AD10" i="269"/>
  <c r="AC10" i="269"/>
  <c r="AA10" i="269"/>
  <c r="Z10" i="269"/>
  <c r="Y10" i="269"/>
  <c r="X10" i="269"/>
  <c r="W10" i="269"/>
  <c r="P10" i="269"/>
  <c r="O10" i="269"/>
  <c r="AQ10" i="269" s="1"/>
  <c r="N10" i="269"/>
  <c r="M10" i="269"/>
  <c r="AR10" i="269" s="1"/>
  <c r="AV9" i="269"/>
  <c r="AP9" i="269"/>
  <c r="AO9" i="269"/>
  <c r="AI9" i="269"/>
  <c r="AN9" i="269" s="1"/>
  <c r="AH9" i="269"/>
  <c r="AF9" i="269"/>
  <c r="AE9" i="269"/>
  <c r="AD9" i="269"/>
  <c r="AA9" i="269"/>
  <c r="Z9" i="269"/>
  <c r="Y9" i="269"/>
  <c r="X9" i="269"/>
  <c r="W9" i="269"/>
  <c r="P9" i="269"/>
  <c r="O9" i="269"/>
  <c r="AQ9" i="269" s="1"/>
  <c r="N9" i="269"/>
  <c r="AC9" i="269" s="1"/>
  <c r="M9" i="269"/>
  <c r="AI8" i="269"/>
  <c r="AH8" i="269"/>
  <c r="W8" i="269"/>
  <c r="AT7" i="269"/>
  <c r="AR7" i="269"/>
  <c r="AP7" i="269"/>
  <c r="AJ7" i="269"/>
  <c r="AI7" i="269"/>
  <c r="AN7" i="269" s="1"/>
  <c r="AH7" i="269"/>
  <c r="AF7" i="269"/>
  <c r="AE7" i="269"/>
  <c r="AD7" i="269"/>
  <c r="AC7" i="269"/>
  <c r="AB7" i="269"/>
  <c r="AA7" i="269"/>
  <c r="Z7" i="269"/>
  <c r="Y7" i="269"/>
  <c r="X7" i="269"/>
  <c r="W7" i="269"/>
  <c r="P7" i="269"/>
  <c r="O7" i="269"/>
  <c r="AQ7" i="269" s="1"/>
  <c r="N7" i="269"/>
  <c r="AO7" i="269" s="1"/>
  <c r="AV7" i="269" s="1"/>
  <c r="M7" i="269"/>
  <c r="AU6" i="269"/>
  <c r="AT6" i="269"/>
  <c r="AP6" i="269"/>
  <c r="AO6" i="269"/>
  <c r="AV6" i="269" s="1"/>
  <c r="AN6" i="269"/>
  <c r="AI6" i="269"/>
  <c r="AH6" i="269"/>
  <c r="AF6" i="269"/>
  <c r="AE6" i="269"/>
  <c r="AD6" i="269"/>
  <c r="AC6" i="269"/>
  <c r="AA6" i="269"/>
  <c r="Z6" i="269"/>
  <c r="Y6" i="269"/>
  <c r="X6" i="269"/>
  <c r="W6" i="269"/>
  <c r="P6" i="269"/>
  <c r="O6" i="269"/>
  <c r="AQ6" i="269" s="1"/>
  <c r="N6" i="269"/>
  <c r="M6" i="269"/>
  <c r="AR6" i="269" s="1"/>
  <c r="AI5" i="269"/>
  <c r="AH5" i="269"/>
  <c r="W5" i="269"/>
  <c r="AI4" i="269"/>
  <c r="AR3" i="269"/>
  <c r="AQ3" i="269"/>
  <c r="AP3" i="269"/>
  <c r="AI3" i="269"/>
  <c r="AH3" i="269"/>
  <c r="AN2" i="269"/>
  <c r="AN40" i="269" s="1"/>
  <c r="AM2" i="269"/>
  <c r="AL2" i="269"/>
  <c r="AK2" i="269"/>
  <c r="AJ2" i="269"/>
  <c r="AJ39" i="269" s="1"/>
  <c r="AA2" i="269"/>
  <c r="A2" i="269"/>
  <c r="AU1" i="269"/>
  <c r="AU34" i="269" s="1"/>
  <c r="AR1" i="269"/>
  <c r="AQ1" i="269"/>
  <c r="AQ28" i="269" s="1"/>
  <c r="AP1" i="269"/>
  <c r="AO1" i="269"/>
  <c r="AO3" i="269" s="1"/>
  <c r="AJ1" i="269"/>
  <c r="AA1" i="269"/>
  <c r="A1" i="269"/>
  <c r="AH1" i="269" s="1"/>
  <c r="AH2" i="269" s="1"/>
  <c r="AT12" i="268"/>
  <c r="AP12" i="268"/>
  <c r="AJ12" i="268"/>
  <c r="AI12" i="268"/>
  <c r="AN12" i="268" s="1"/>
  <c r="AH12" i="268"/>
  <c r="AF12" i="268"/>
  <c r="AE12" i="268"/>
  <c r="AD12" i="268"/>
  <c r="AC12" i="268"/>
  <c r="AB12" i="268"/>
  <c r="AA12" i="268"/>
  <c r="Z12" i="268"/>
  <c r="Y12" i="268"/>
  <c r="X12" i="268"/>
  <c r="W12" i="268"/>
  <c r="P12" i="268"/>
  <c r="O12" i="268"/>
  <c r="AQ12" i="268" s="1"/>
  <c r="N12" i="268"/>
  <c r="AO12" i="268" s="1"/>
  <c r="AV12" i="268" s="1"/>
  <c r="M12" i="268"/>
  <c r="AT11" i="268"/>
  <c r="AP11" i="268"/>
  <c r="AO11" i="268"/>
  <c r="AV11" i="268" s="1"/>
  <c r="AN11" i="268"/>
  <c r="AI11" i="268"/>
  <c r="AH11" i="268"/>
  <c r="AF11" i="268"/>
  <c r="AE11" i="268"/>
  <c r="AD11" i="268"/>
  <c r="AC11" i="268"/>
  <c r="AA11" i="268"/>
  <c r="Z11" i="268"/>
  <c r="Y11" i="268"/>
  <c r="X11" i="268"/>
  <c r="W11" i="268"/>
  <c r="P11" i="268"/>
  <c r="O11" i="268"/>
  <c r="AQ11" i="268" s="1"/>
  <c r="N11" i="268"/>
  <c r="M11" i="268"/>
  <c r="AR11" i="268" s="1"/>
  <c r="AV10" i="268"/>
  <c r="AP10" i="268"/>
  <c r="AO10" i="268"/>
  <c r="AI10" i="268"/>
  <c r="AN10" i="268" s="1"/>
  <c r="AH10" i="268"/>
  <c r="AF10" i="268"/>
  <c r="AE10" i="268"/>
  <c r="AD10" i="268"/>
  <c r="AA10" i="268"/>
  <c r="Z10" i="268"/>
  <c r="Y10" i="268"/>
  <c r="X10" i="268"/>
  <c r="W10" i="268"/>
  <c r="P10" i="268"/>
  <c r="O10" i="268"/>
  <c r="AQ10" i="268" s="1"/>
  <c r="N10" i="268"/>
  <c r="AC10" i="268" s="1"/>
  <c r="M10" i="268"/>
  <c r="AR10" i="268" s="1"/>
  <c r="AT9" i="268"/>
  <c r="AP9" i="268"/>
  <c r="AJ9" i="268"/>
  <c r="AI9" i="268"/>
  <c r="AH9" i="268"/>
  <c r="AF9" i="268"/>
  <c r="AE9" i="268"/>
  <c r="AC9" i="268"/>
  <c r="AA9" i="268"/>
  <c r="Z9" i="268"/>
  <c r="Y9" i="268"/>
  <c r="X9" i="268"/>
  <c r="W9" i="268"/>
  <c r="P9" i="268"/>
  <c r="O9" i="268"/>
  <c r="AQ9" i="268" s="1"/>
  <c r="N9" i="268"/>
  <c r="AO9" i="268" s="1"/>
  <c r="AV9" i="268" s="1"/>
  <c r="M9" i="268"/>
  <c r="AR9" i="268" s="1"/>
  <c r="AU8" i="268"/>
  <c r="AQ8" i="268"/>
  <c r="AP8" i="268"/>
  <c r="AN8" i="268"/>
  <c r="AI8" i="268"/>
  <c r="AT8" i="268" s="1"/>
  <c r="AH8" i="268"/>
  <c r="AF8" i="268"/>
  <c r="AE8" i="268"/>
  <c r="AD8" i="268"/>
  <c r="AA8" i="268"/>
  <c r="Z8" i="268"/>
  <c r="Y8" i="268"/>
  <c r="X8" i="268"/>
  <c r="W8" i="268"/>
  <c r="P8" i="268"/>
  <c r="O8" i="268"/>
  <c r="N8" i="268"/>
  <c r="AC8" i="268" s="1"/>
  <c r="M8" i="268"/>
  <c r="AR8" i="268" s="1"/>
  <c r="AV7" i="268"/>
  <c r="AR7" i="268"/>
  <c r="AP7" i="268"/>
  <c r="AO7" i="268"/>
  <c r="AI7" i="268"/>
  <c r="AH7" i="268"/>
  <c r="AF7" i="268"/>
  <c r="AE7" i="268"/>
  <c r="AB7" i="268"/>
  <c r="AA7" i="268"/>
  <c r="Z7" i="268"/>
  <c r="Y7" i="268"/>
  <c r="X7" i="268"/>
  <c r="W7" i="268"/>
  <c r="P7" i="268"/>
  <c r="O7" i="268"/>
  <c r="AD7" i="268" s="1"/>
  <c r="N7" i="268"/>
  <c r="AC7" i="268" s="1"/>
  <c r="M7" i="268"/>
  <c r="AT6" i="268"/>
  <c r="AP6" i="268"/>
  <c r="AJ6" i="268"/>
  <c r="AI6" i="268"/>
  <c r="AN6" i="268" s="1"/>
  <c r="AH6" i="268"/>
  <c r="AF6" i="268"/>
  <c r="AE6" i="268"/>
  <c r="AB6" i="268"/>
  <c r="AA6" i="268"/>
  <c r="Z6" i="268"/>
  <c r="Y6" i="268"/>
  <c r="X6" i="268"/>
  <c r="W6" i="268"/>
  <c r="P6" i="268"/>
  <c r="O6" i="268"/>
  <c r="AD6" i="268" s="1"/>
  <c r="N6" i="268"/>
  <c r="AO6" i="268" s="1"/>
  <c r="AV6" i="268" s="1"/>
  <c r="M6" i="268"/>
  <c r="AI5" i="268"/>
  <c r="AH5" i="268"/>
  <c r="W5" i="268"/>
  <c r="AI4" i="268"/>
  <c r="AU3" i="268"/>
  <c r="AO3" i="268"/>
  <c r="AI3" i="268"/>
  <c r="AH3" i="268"/>
  <c r="AN2" i="268"/>
  <c r="AN9" i="268" s="1"/>
  <c r="AM2" i="268"/>
  <c r="AL2" i="268"/>
  <c r="AK2" i="268"/>
  <c r="AJ2" i="268"/>
  <c r="AJ11" i="268" s="1"/>
  <c r="AH2" i="268"/>
  <c r="AA2" i="268"/>
  <c r="A2" i="268"/>
  <c r="AU1" i="268"/>
  <c r="AR1" i="268"/>
  <c r="AR3" i="268" s="1"/>
  <c r="AQ1" i="268"/>
  <c r="AQ3" i="268" s="1"/>
  <c r="AP1" i="268"/>
  <c r="AP3" i="268" s="1"/>
  <c r="AO1" i="268"/>
  <c r="AH1" i="268"/>
  <c r="AA1" i="268"/>
  <c r="A1" i="268"/>
  <c r="AJ1" i="268" s="1"/>
  <c r="AR13" i="267"/>
  <c r="AP13" i="267"/>
  <c r="AO13" i="267"/>
  <c r="AV13" i="267" s="1"/>
  <c r="AI13" i="267"/>
  <c r="AH13" i="267"/>
  <c r="AF13" i="267"/>
  <c r="AE13" i="267"/>
  <c r="AA13" i="267"/>
  <c r="Z13" i="267"/>
  <c r="Y13" i="267"/>
  <c r="X13" i="267"/>
  <c r="W13" i="267"/>
  <c r="P13" i="267"/>
  <c r="O13" i="267"/>
  <c r="AD13" i="267" s="1"/>
  <c r="N13" i="267"/>
  <c r="AC13" i="267" s="1"/>
  <c r="M13" i="267"/>
  <c r="AB13" i="267" s="1"/>
  <c r="AT12" i="267"/>
  <c r="AP12" i="267"/>
  <c r="AJ12" i="267"/>
  <c r="AI12" i="267"/>
  <c r="AN12" i="267" s="1"/>
  <c r="AH12" i="267"/>
  <c r="AF12" i="267"/>
  <c r="AE12" i="267"/>
  <c r="AC12" i="267"/>
  <c r="AB12" i="267"/>
  <c r="AA12" i="267"/>
  <c r="Z12" i="267"/>
  <c r="Y12" i="267"/>
  <c r="X12" i="267"/>
  <c r="W12" i="267"/>
  <c r="P12" i="267"/>
  <c r="O12" i="267"/>
  <c r="AD12" i="267" s="1"/>
  <c r="N12" i="267"/>
  <c r="AO12" i="267" s="1"/>
  <c r="AV12" i="267" s="1"/>
  <c r="M12" i="267"/>
  <c r="AU11" i="267"/>
  <c r="AQ11" i="267"/>
  <c r="AP11" i="267"/>
  <c r="AO11" i="267"/>
  <c r="AV11" i="267" s="1"/>
  <c r="AN11" i="267"/>
  <c r="AI11" i="267"/>
  <c r="AT11" i="267" s="1"/>
  <c r="AH11" i="267"/>
  <c r="AF11" i="267"/>
  <c r="AE11" i="267"/>
  <c r="AD11" i="267"/>
  <c r="AC11" i="267"/>
  <c r="AB11" i="267"/>
  <c r="AA11" i="267"/>
  <c r="Z11" i="267"/>
  <c r="Y11" i="267"/>
  <c r="X11" i="267"/>
  <c r="W11" i="267"/>
  <c r="P11" i="267"/>
  <c r="O11" i="267"/>
  <c r="N11" i="267"/>
  <c r="M11" i="267"/>
  <c r="AV10" i="267"/>
  <c r="AP10" i="267"/>
  <c r="AO10" i="267"/>
  <c r="AI10" i="267"/>
  <c r="AH10" i="267"/>
  <c r="AF10" i="267"/>
  <c r="AE10" i="267"/>
  <c r="AD10" i="267"/>
  <c r="AC10" i="267"/>
  <c r="AB10" i="267"/>
  <c r="AA10" i="267"/>
  <c r="Z10" i="267"/>
  <c r="Y10" i="267"/>
  <c r="X10" i="267"/>
  <c r="W10" i="267"/>
  <c r="P10" i="267"/>
  <c r="O10" i="267"/>
  <c r="AQ10" i="267" s="1"/>
  <c r="N10" i="267"/>
  <c r="M10" i="267"/>
  <c r="AR10" i="267" s="1"/>
  <c r="AT9" i="267"/>
  <c r="AP9" i="267"/>
  <c r="AN9" i="267"/>
  <c r="AJ9" i="267"/>
  <c r="AI9" i="267"/>
  <c r="AH9" i="267"/>
  <c r="AF9" i="267"/>
  <c r="AE9" i="267"/>
  <c r="AD9" i="267"/>
  <c r="AA9" i="267"/>
  <c r="Z9" i="267"/>
  <c r="Y9" i="267"/>
  <c r="X9" i="267"/>
  <c r="W9" i="267"/>
  <c r="P9" i="267"/>
  <c r="O9" i="267"/>
  <c r="AQ9" i="267" s="1"/>
  <c r="N9" i="267"/>
  <c r="AO9" i="267" s="1"/>
  <c r="AV9" i="267" s="1"/>
  <c r="M9" i="267"/>
  <c r="AR9" i="267" s="1"/>
  <c r="AU8" i="267"/>
  <c r="AQ8" i="267"/>
  <c r="AP8" i="267"/>
  <c r="AN8" i="267"/>
  <c r="AI8" i="267"/>
  <c r="AT8" i="267" s="1"/>
  <c r="AH8" i="267"/>
  <c r="AF8" i="267"/>
  <c r="AE8" i="267"/>
  <c r="AA8" i="267"/>
  <c r="Z8" i="267"/>
  <c r="Y8" i="267"/>
  <c r="X8" i="267"/>
  <c r="W8" i="267"/>
  <c r="P8" i="267"/>
  <c r="O8" i="267"/>
  <c r="AD8" i="267" s="1"/>
  <c r="N8" i="267"/>
  <c r="AC8" i="267" s="1"/>
  <c r="M8" i="267"/>
  <c r="AR8" i="267" s="1"/>
  <c r="AR7" i="267"/>
  <c r="AP7" i="267"/>
  <c r="AO7" i="267"/>
  <c r="AV7" i="267" s="1"/>
  <c r="AI7" i="267"/>
  <c r="AH7" i="267"/>
  <c r="AF7" i="267"/>
  <c r="AE7" i="267"/>
  <c r="AA7" i="267"/>
  <c r="Z7" i="267"/>
  <c r="Y7" i="267"/>
  <c r="X7" i="267"/>
  <c r="W7" i="267"/>
  <c r="P7" i="267"/>
  <c r="O7" i="267"/>
  <c r="AD7" i="267" s="1"/>
  <c r="N7" i="267"/>
  <c r="AC7" i="267" s="1"/>
  <c r="M7" i="267"/>
  <c r="AB7" i="267" s="1"/>
  <c r="AT6" i="267"/>
  <c r="AP6" i="267"/>
  <c r="AJ6" i="267"/>
  <c r="AI6" i="267"/>
  <c r="AN6" i="267" s="1"/>
  <c r="AH6" i="267"/>
  <c r="AF6" i="267"/>
  <c r="AE6" i="267"/>
  <c r="AC6" i="267"/>
  <c r="AB6" i="267"/>
  <c r="AA6" i="267"/>
  <c r="Z6" i="267"/>
  <c r="Y6" i="267"/>
  <c r="X6" i="267"/>
  <c r="W6" i="267"/>
  <c r="P6" i="267"/>
  <c r="O6" i="267"/>
  <c r="AD6" i="267" s="1"/>
  <c r="N6" i="267"/>
  <c r="AO6" i="267" s="1"/>
  <c r="AV6" i="267" s="1"/>
  <c r="M6" i="267"/>
  <c r="AI5" i="267"/>
  <c r="AH5" i="267"/>
  <c r="W5" i="267"/>
  <c r="AI4" i="267"/>
  <c r="AP3" i="267"/>
  <c r="AO3" i="267"/>
  <c r="AI3" i="267"/>
  <c r="AH3" i="267"/>
  <c r="AN2" i="267"/>
  <c r="AM2" i="267"/>
  <c r="AL2" i="267"/>
  <c r="AK2" i="267"/>
  <c r="AJ2" i="267"/>
  <c r="AA2" i="267"/>
  <c r="A2" i="267"/>
  <c r="AU1" i="267"/>
  <c r="AR1" i="267"/>
  <c r="AR3" i="267" s="1"/>
  <c r="AQ1" i="267"/>
  <c r="AQ3" i="267" s="1"/>
  <c r="AP1" i="267"/>
  <c r="AO1" i="267"/>
  <c r="AH1" i="267"/>
  <c r="AH2" i="267" s="1"/>
  <c r="AA1" i="267"/>
  <c r="A1" i="267"/>
  <c r="AJ1" i="267" s="1"/>
  <c r="AV13" i="266"/>
  <c r="AP13" i="266"/>
  <c r="AO13" i="266"/>
  <c r="AI13" i="266"/>
  <c r="AH13" i="266"/>
  <c r="AF13" i="266"/>
  <c r="AE13" i="266"/>
  <c r="AA13" i="266"/>
  <c r="Z13" i="266"/>
  <c r="Y13" i="266"/>
  <c r="X13" i="266"/>
  <c r="W13" i="266"/>
  <c r="P13" i="266"/>
  <c r="O13" i="266"/>
  <c r="AD13" i="266" s="1"/>
  <c r="N13" i="266"/>
  <c r="AC13" i="266" s="1"/>
  <c r="M13" i="266"/>
  <c r="AR13" i="266" s="1"/>
  <c r="AT12" i="266"/>
  <c r="AP12" i="266"/>
  <c r="AJ12" i="266"/>
  <c r="AI12" i="266"/>
  <c r="AN12" i="266" s="1"/>
  <c r="AH12" i="266"/>
  <c r="AF12" i="266"/>
  <c r="AE12" i="266"/>
  <c r="AB12" i="266"/>
  <c r="AA12" i="266"/>
  <c r="Z12" i="266"/>
  <c r="Y12" i="266"/>
  <c r="X12" i="266"/>
  <c r="W12" i="266"/>
  <c r="P12" i="266"/>
  <c r="O12" i="266"/>
  <c r="AD12" i="266" s="1"/>
  <c r="N12" i="266"/>
  <c r="AO12" i="266" s="1"/>
  <c r="AV12" i="266" s="1"/>
  <c r="M12" i="266"/>
  <c r="AU11" i="266"/>
  <c r="AP11" i="266"/>
  <c r="AO11" i="266"/>
  <c r="AV11" i="266" s="1"/>
  <c r="AN11" i="266"/>
  <c r="AI11" i="266"/>
  <c r="AT11" i="266" s="1"/>
  <c r="AH11" i="266"/>
  <c r="AF11" i="266"/>
  <c r="AE11" i="266"/>
  <c r="AC11" i="266"/>
  <c r="AB11" i="266"/>
  <c r="AA11" i="266"/>
  <c r="Z11" i="266"/>
  <c r="Y11" i="266"/>
  <c r="X11" i="266"/>
  <c r="W11" i="266"/>
  <c r="P11" i="266"/>
  <c r="O11" i="266"/>
  <c r="AD11" i="266" s="1"/>
  <c r="N11" i="266"/>
  <c r="M11" i="266"/>
  <c r="AP10" i="266"/>
  <c r="AO10" i="266"/>
  <c r="AV10" i="266" s="1"/>
  <c r="AI10" i="266"/>
  <c r="AH10" i="266"/>
  <c r="AF10" i="266"/>
  <c r="AE10" i="266"/>
  <c r="AD10" i="266"/>
  <c r="AC10" i="266"/>
  <c r="AA10" i="266"/>
  <c r="Z10" i="266"/>
  <c r="Y10" i="266"/>
  <c r="X10" i="266"/>
  <c r="W10" i="266"/>
  <c r="P10" i="266"/>
  <c r="O10" i="266"/>
  <c r="AQ10" i="266" s="1"/>
  <c r="N10" i="266"/>
  <c r="M10" i="266"/>
  <c r="AR10" i="266" s="1"/>
  <c r="AT9" i="266"/>
  <c r="AP9" i="266"/>
  <c r="AN9" i="266"/>
  <c r="AJ9" i="266"/>
  <c r="AI9" i="266"/>
  <c r="AH9" i="266"/>
  <c r="AF9" i="266"/>
  <c r="AE9" i="266"/>
  <c r="AD9" i="266"/>
  <c r="AC9" i="266"/>
  <c r="AA9" i="266"/>
  <c r="Z9" i="266"/>
  <c r="Y9" i="266"/>
  <c r="X9" i="266"/>
  <c r="W9" i="266"/>
  <c r="P9" i="266"/>
  <c r="O9" i="266"/>
  <c r="AQ9" i="266" s="1"/>
  <c r="N9" i="266"/>
  <c r="AO9" i="266" s="1"/>
  <c r="AV9" i="266" s="1"/>
  <c r="M9" i="266"/>
  <c r="AR9" i="266" s="1"/>
  <c r="AU8" i="266"/>
  <c r="AP8" i="266"/>
  <c r="AN8" i="266"/>
  <c r="AI8" i="266"/>
  <c r="AT8" i="266" s="1"/>
  <c r="AH8" i="266"/>
  <c r="AF8" i="266"/>
  <c r="AE8" i="266"/>
  <c r="AD8" i="266"/>
  <c r="AA8" i="266"/>
  <c r="Z8" i="266"/>
  <c r="Y8" i="266"/>
  <c r="X8" i="266"/>
  <c r="W8" i="266"/>
  <c r="P8" i="266"/>
  <c r="O8" i="266"/>
  <c r="AQ8" i="266" s="1"/>
  <c r="N8" i="266"/>
  <c r="AC8" i="266" s="1"/>
  <c r="M8" i="266"/>
  <c r="AR8" i="266" s="1"/>
  <c r="AV7" i="266"/>
  <c r="AP7" i="266"/>
  <c r="AO7" i="266"/>
  <c r="AI7" i="266"/>
  <c r="AH7" i="266"/>
  <c r="AF7" i="266"/>
  <c r="AE7" i="266"/>
  <c r="AA7" i="266"/>
  <c r="Z7" i="266"/>
  <c r="Y7" i="266"/>
  <c r="X7" i="266"/>
  <c r="W7" i="266"/>
  <c r="P7" i="266"/>
  <c r="O7" i="266"/>
  <c r="AD7" i="266" s="1"/>
  <c r="N7" i="266"/>
  <c r="AC7" i="266" s="1"/>
  <c r="M7" i="266"/>
  <c r="AR7" i="266" s="1"/>
  <c r="AT6" i="266"/>
  <c r="AP6" i="266"/>
  <c r="AJ6" i="266"/>
  <c r="AI6" i="266"/>
  <c r="AN6" i="266" s="1"/>
  <c r="AH6" i="266"/>
  <c r="AF6" i="266"/>
  <c r="AE6" i="266"/>
  <c r="AB6" i="266"/>
  <c r="AA6" i="266"/>
  <c r="Z6" i="266"/>
  <c r="Y6" i="266"/>
  <c r="X6" i="266"/>
  <c r="W6" i="266"/>
  <c r="P6" i="266"/>
  <c r="O6" i="266"/>
  <c r="AD6" i="266" s="1"/>
  <c r="N6" i="266"/>
  <c r="AO6" i="266" s="1"/>
  <c r="AV6" i="266" s="1"/>
  <c r="M6" i="266"/>
  <c r="AI5" i="266"/>
  <c r="AH5" i="266"/>
  <c r="W5" i="266"/>
  <c r="AI4" i="266"/>
  <c r="AP3" i="266"/>
  <c r="AO3" i="266"/>
  <c r="AI3" i="266"/>
  <c r="AH3" i="266"/>
  <c r="AN2" i="266"/>
  <c r="AM2" i="266"/>
  <c r="AL2" i="266"/>
  <c r="AK2" i="266"/>
  <c r="AJ2" i="266"/>
  <c r="AH2" i="266"/>
  <c r="AA2" i="266"/>
  <c r="A2" i="266"/>
  <c r="AU1" i="266"/>
  <c r="AR1" i="266"/>
  <c r="AR3" i="266" s="1"/>
  <c r="AQ1" i="266"/>
  <c r="AQ3" i="266" s="1"/>
  <c r="AP1" i="266"/>
  <c r="AO1" i="266"/>
  <c r="AH1" i="266"/>
  <c r="AA1" i="266"/>
  <c r="A1" i="266"/>
  <c r="AJ1" i="266" s="1"/>
  <c r="AP15" i="265"/>
  <c r="AO15" i="265"/>
  <c r="AV15" i="265" s="1"/>
  <c r="AI15" i="265"/>
  <c r="AH15" i="265"/>
  <c r="AF15" i="265"/>
  <c r="AE15" i="265"/>
  <c r="AA15" i="265"/>
  <c r="Z15" i="265"/>
  <c r="Y15" i="265"/>
  <c r="X15" i="265"/>
  <c r="W15" i="265"/>
  <c r="P15" i="265"/>
  <c r="O15" i="265"/>
  <c r="AD15" i="265" s="1"/>
  <c r="N15" i="265"/>
  <c r="AC15" i="265" s="1"/>
  <c r="M15" i="265"/>
  <c r="AB15" i="265" s="1"/>
  <c r="AT14" i="265"/>
  <c r="AP14" i="265"/>
  <c r="AI14" i="265"/>
  <c r="AH14" i="265"/>
  <c r="AF14" i="265"/>
  <c r="AE14" i="265"/>
  <c r="AB14" i="265"/>
  <c r="AA14" i="265"/>
  <c r="Z14" i="265"/>
  <c r="Y14" i="265"/>
  <c r="X14" i="265"/>
  <c r="W14" i="265"/>
  <c r="P14" i="265"/>
  <c r="O14" i="265"/>
  <c r="AD14" i="265" s="1"/>
  <c r="N14" i="265"/>
  <c r="AO14" i="265" s="1"/>
  <c r="AV14" i="265" s="1"/>
  <c r="M14" i="265"/>
  <c r="AQ13" i="265"/>
  <c r="AP13" i="265"/>
  <c r="AO13" i="265"/>
  <c r="AV13" i="265" s="1"/>
  <c r="AI13" i="265"/>
  <c r="AT13" i="265" s="1"/>
  <c r="AH13" i="265"/>
  <c r="AF13" i="265"/>
  <c r="AE13" i="265"/>
  <c r="AD13" i="265"/>
  <c r="AC13" i="265"/>
  <c r="AB13" i="265"/>
  <c r="AA13" i="265"/>
  <c r="Z13" i="265"/>
  <c r="Y13" i="265"/>
  <c r="X13" i="265"/>
  <c r="W13" i="265"/>
  <c r="P13" i="265"/>
  <c r="O13" i="265"/>
  <c r="N13" i="265"/>
  <c r="M13" i="265"/>
  <c r="AV12" i="265"/>
  <c r="AP12" i="265"/>
  <c r="AO12" i="265"/>
  <c r="AI12" i="265"/>
  <c r="AH12" i="265"/>
  <c r="AF12" i="265"/>
  <c r="AE12" i="265"/>
  <c r="AD12" i="265"/>
  <c r="AC12" i="265"/>
  <c r="AA12" i="265"/>
  <c r="Z12" i="265"/>
  <c r="Y12" i="265"/>
  <c r="X12" i="265"/>
  <c r="W12" i="265"/>
  <c r="P12" i="265"/>
  <c r="O12" i="265"/>
  <c r="N12" i="265"/>
  <c r="M12" i="265"/>
  <c r="AR12" i="265" s="1"/>
  <c r="AT11" i="265"/>
  <c r="AP11" i="265"/>
  <c r="AJ11" i="265"/>
  <c r="AI11" i="265"/>
  <c r="AH11" i="265"/>
  <c r="AF11" i="265"/>
  <c r="AE11" i="265"/>
  <c r="AD11" i="265"/>
  <c r="AA11" i="265"/>
  <c r="Z11" i="265"/>
  <c r="Y11" i="265"/>
  <c r="X11" i="265"/>
  <c r="W11" i="265"/>
  <c r="P11" i="265"/>
  <c r="O11" i="265"/>
  <c r="AQ11" i="265" s="1"/>
  <c r="N11" i="265"/>
  <c r="AC11" i="265" s="1"/>
  <c r="M11" i="265"/>
  <c r="AQ10" i="265"/>
  <c r="AP10" i="265"/>
  <c r="AO10" i="265"/>
  <c r="AV10" i="265" s="1"/>
  <c r="AI10" i="265"/>
  <c r="AT10" i="265" s="1"/>
  <c r="AH10" i="265"/>
  <c r="AF10" i="265"/>
  <c r="AE10" i="265"/>
  <c r="AD10" i="265"/>
  <c r="AA10" i="265"/>
  <c r="Z10" i="265"/>
  <c r="Y10" i="265"/>
  <c r="X10" i="265"/>
  <c r="W10" i="265"/>
  <c r="P10" i="265"/>
  <c r="O10" i="265"/>
  <c r="N10" i="265"/>
  <c r="AC10" i="265" s="1"/>
  <c r="M10" i="265"/>
  <c r="AR9" i="265"/>
  <c r="AQ9" i="265"/>
  <c r="AP9" i="265"/>
  <c r="AO9" i="265"/>
  <c r="AV9" i="265" s="1"/>
  <c r="AI9" i="265"/>
  <c r="AH9" i="265"/>
  <c r="AF9" i="265"/>
  <c r="AE9" i="265"/>
  <c r="AA9" i="265"/>
  <c r="Z9" i="265"/>
  <c r="Y9" i="265"/>
  <c r="X9" i="265"/>
  <c r="W9" i="265"/>
  <c r="P9" i="265"/>
  <c r="O9" i="265"/>
  <c r="AD9" i="265" s="1"/>
  <c r="N9" i="265"/>
  <c r="AC9" i="265" s="1"/>
  <c r="M9" i="265"/>
  <c r="AB9" i="265" s="1"/>
  <c r="AT8" i="265"/>
  <c r="AR8" i="265"/>
  <c r="AP8" i="265"/>
  <c r="AI8" i="265"/>
  <c r="AH8" i="265"/>
  <c r="AF8" i="265"/>
  <c r="AE8" i="265"/>
  <c r="AB8" i="265"/>
  <c r="AA8" i="265"/>
  <c r="Z8" i="265"/>
  <c r="Y8" i="265"/>
  <c r="X8" i="265"/>
  <c r="W8" i="265"/>
  <c r="P8" i="265"/>
  <c r="O8" i="265"/>
  <c r="AD8" i="265" s="1"/>
  <c r="N8" i="265"/>
  <c r="AO8" i="265" s="1"/>
  <c r="AV8" i="265" s="1"/>
  <c r="M8" i="265"/>
  <c r="AT7" i="265"/>
  <c r="AQ7" i="265"/>
  <c r="AP7" i="265"/>
  <c r="AN7" i="265"/>
  <c r="AI7" i="265"/>
  <c r="AJ7" i="265" s="1"/>
  <c r="AH7" i="265"/>
  <c r="AF7" i="265"/>
  <c r="AE7" i="265"/>
  <c r="AD7" i="265"/>
  <c r="AC7" i="265"/>
  <c r="AB7" i="265"/>
  <c r="AA7" i="265"/>
  <c r="Z7" i="265"/>
  <c r="Y7" i="265"/>
  <c r="X7" i="265"/>
  <c r="W7" i="265"/>
  <c r="P7" i="265"/>
  <c r="O7" i="265"/>
  <c r="N7" i="265"/>
  <c r="AO7" i="265" s="1"/>
  <c r="AV7" i="265" s="1"/>
  <c r="M7" i="265"/>
  <c r="AV6" i="265"/>
  <c r="AP6" i="265"/>
  <c r="AO6" i="265"/>
  <c r="AN6" i="265"/>
  <c r="AI6" i="265"/>
  <c r="AJ6" i="265" s="1"/>
  <c r="AH6" i="265"/>
  <c r="AF6" i="265"/>
  <c r="AE6" i="265"/>
  <c r="AD6" i="265"/>
  <c r="AC6" i="265"/>
  <c r="AA6" i="265"/>
  <c r="Z6" i="265"/>
  <c r="Y6" i="265"/>
  <c r="X6" i="265"/>
  <c r="W6" i="265"/>
  <c r="P6" i="265"/>
  <c r="O6" i="265"/>
  <c r="N6" i="265"/>
  <c r="M6" i="265"/>
  <c r="AR6" i="265" s="1"/>
  <c r="AI5" i="265"/>
  <c r="AH5" i="265"/>
  <c r="W5" i="265"/>
  <c r="AI4" i="265"/>
  <c r="AU3" i="265"/>
  <c r="AR3" i="265"/>
  <c r="AQ3" i="265"/>
  <c r="AI3" i="265"/>
  <c r="AH3" i="265"/>
  <c r="AN2" i="265"/>
  <c r="AN11" i="265" s="1"/>
  <c r="AM2" i="265"/>
  <c r="AL2" i="265"/>
  <c r="AK2" i="265"/>
  <c r="AJ2" i="265"/>
  <c r="AJ14" i="265" s="1"/>
  <c r="AA2" i="265"/>
  <c r="A2" i="265"/>
  <c r="AU1" i="265"/>
  <c r="AR1" i="265"/>
  <c r="AQ1" i="265"/>
  <c r="AP1" i="265"/>
  <c r="AP3" i="265" s="1"/>
  <c r="AO1" i="265"/>
  <c r="AO3" i="265" s="1"/>
  <c r="AJ1" i="265"/>
  <c r="AA1" i="265"/>
  <c r="A1" i="265"/>
  <c r="AH1" i="265" s="1"/>
  <c r="AH2" i="265" s="1"/>
  <c r="AN10" i="267" l="1"/>
  <c r="AT10" i="267"/>
  <c r="AJ10" i="267"/>
  <c r="AR9" i="269"/>
  <c r="AB9" i="269"/>
  <c r="AO11" i="265"/>
  <c r="AV11" i="265" s="1"/>
  <c r="AB12" i="265"/>
  <c r="AN12" i="265"/>
  <c r="AT12" i="265"/>
  <c r="AJ12" i="265"/>
  <c r="AB7" i="266"/>
  <c r="AB13" i="266"/>
  <c r="AN7" i="268"/>
  <c r="AT7" i="268"/>
  <c r="AJ7" i="268"/>
  <c r="AN12" i="269"/>
  <c r="AT12" i="269"/>
  <c r="AJ12" i="269"/>
  <c r="AC20" i="269"/>
  <c r="AO20" i="269"/>
  <c r="AV20" i="269" s="1"/>
  <c r="AR39" i="269"/>
  <c r="AB39" i="269"/>
  <c r="AN52" i="269"/>
  <c r="AT52" i="269"/>
  <c r="AJ52" i="269"/>
  <c r="AR14" i="265"/>
  <c r="AR13" i="265"/>
  <c r="AB6" i="265"/>
  <c r="AT6" i="265"/>
  <c r="AC8" i="265"/>
  <c r="AC14" i="265"/>
  <c r="AR15" i="265"/>
  <c r="AU15" i="265"/>
  <c r="AU9" i="265"/>
  <c r="AU14" i="265"/>
  <c r="AU8" i="265"/>
  <c r="AU12" i="265"/>
  <c r="AU11" i="265"/>
  <c r="AU6" i="265"/>
  <c r="AU7" i="265"/>
  <c r="AQ8" i="265"/>
  <c r="AN10" i="265"/>
  <c r="AR11" i="265"/>
  <c r="AB11" i="265"/>
  <c r="AU13" i="265"/>
  <c r="AC6" i="266"/>
  <c r="AB10" i="266"/>
  <c r="AN10" i="266"/>
  <c r="AT10" i="266"/>
  <c r="AJ10" i="266"/>
  <c r="AQ11" i="266"/>
  <c r="AC12" i="266"/>
  <c r="AC9" i="267"/>
  <c r="AB10" i="268"/>
  <c r="AR17" i="269"/>
  <c r="AB17" i="269"/>
  <c r="AN15" i="265"/>
  <c r="AT15" i="265"/>
  <c r="AJ15" i="265"/>
  <c r="AU13" i="266"/>
  <c r="AU7" i="266"/>
  <c r="AU12" i="266"/>
  <c r="AU6" i="266"/>
  <c r="AU10" i="266"/>
  <c r="AU9" i="266"/>
  <c r="AC6" i="268"/>
  <c r="AO38" i="269"/>
  <c r="AV38" i="269" s="1"/>
  <c r="AC38" i="269"/>
  <c r="AC42" i="269"/>
  <c r="AO42" i="269"/>
  <c r="AV42" i="269" s="1"/>
  <c r="AN13" i="265"/>
  <c r="AN14" i="265"/>
  <c r="AU3" i="266"/>
  <c r="AN7" i="266"/>
  <c r="AT7" i="266"/>
  <c r="AJ7" i="266"/>
  <c r="AN13" i="266"/>
  <c r="AT13" i="266"/>
  <c r="AJ13" i="266"/>
  <c r="AU13" i="267"/>
  <c r="AU7" i="267"/>
  <c r="AU12" i="267"/>
  <c r="AU6" i="267"/>
  <c r="AU10" i="267"/>
  <c r="AU9" i="267"/>
  <c r="AR21" i="269"/>
  <c r="AB21" i="269"/>
  <c r="AN8" i="265"/>
  <c r="AQ6" i="265"/>
  <c r="AR7" i="265"/>
  <c r="AJ8" i="265"/>
  <c r="AN9" i="265"/>
  <c r="AT9" i="265"/>
  <c r="AJ9" i="265"/>
  <c r="AR10" i="265"/>
  <c r="AB10" i="265"/>
  <c r="AU10" i="265"/>
  <c r="AQ12" i="265"/>
  <c r="AU3" i="267"/>
  <c r="AN7" i="267"/>
  <c r="AT7" i="267"/>
  <c r="AJ7" i="267"/>
  <c r="AN13" i="267"/>
  <c r="AT13" i="267"/>
  <c r="AJ13" i="267"/>
  <c r="AU7" i="268"/>
  <c r="AU12" i="268"/>
  <c r="AU6" i="268"/>
  <c r="AU10" i="268"/>
  <c r="AU9" i="268"/>
  <c r="AU11" i="268"/>
  <c r="AC24" i="269"/>
  <c r="AO24" i="269"/>
  <c r="AV24" i="269" s="1"/>
  <c r="AO27" i="269"/>
  <c r="AV27" i="269" s="1"/>
  <c r="AC27" i="269"/>
  <c r="AT34" i="269"/>
  <c r="AJ34" i="269"/>
  <c r="AN34" i="269"/>
  <c r="AQ14" i="265"/>
  <c r="AQ6" i="266"/>
  <c r="AO8" i="266"/>
  <c r="AV8" i="266" s="1"/>
  <c r="AR11" i="266"/>
  <c r="AQ12" i="266"/>
  <c r="AQ6" i="267"/>
  <c r="AO8" i="267"/>
  <c r="AV8" i="267" s="1"/>
  <c r="AR11" i="267"/>
  <c r="AQ12" i="267"/>
  <c r="AQ6" i="268"/>
  <c r="AO8" i="268"/>
  <c r="AV8" i="268" s="1"/>
  <c r="AD9" i="268"/>
  <c r="AJ10" i="268"/>
  <c r="AT10" i="268"/>
  <c r="AB11" i="268"/>
  <c r="AR56" i="269"/>
  <c r="AR50" i="269"/>
  <c r="AR46" i="269"/>
  <c r="AR54" i="269"/>
  <c r="AR48" i="269"/>
  <c r="AR44" i="269"/>
  <c r="AB6" i="269"/>
  <c r="AJ9" i="269"/>
  <c r="AT9" i="269"/>
  <c r="AB10" i="269"/>
  <c r="AB14" i="269"/>
  <c r="AJ17" i="269"/>
  <c r="AT17" i="269"/>
  <c r="AB18" i="269"/>
  <c r="AD20" i="269"/>
  <c r="AN20" i="269"/>
  <c r="AU20" i="269"/>
  <c r="AJ21" i="269"/>
  <c r="AT21" i="269"/>
  <c r="AO23" i="269"/>
  <c r="AV23" i="269" s="1"/>
  <c r="AN24" i="269"/>
  <c r="AD25" i="269"/>
  <c r="AN25" i="269"/>
  <c r="AU25" i="269"/>
  <c r="AC26" i="269"/>
  <c r="AJ26" i="269"/>
  <c r="AU26" i="269"/>
  <c r="AO30" i="269"/>
  <c r="AV30" i="269" s="1"/>
  <c r="AC30" i="269"/>
  <c r="AJ33" i="269"/>
  <c r="AQ36" i="269"/>
  <c r="AT36" i="269"/>
  <c r="AJ36" i="269"/>
  <c r="AR38" i="269"/>
  <c r="AQ40" i="269"/>
  <c r="AT40" i="269"/>
  <c r="AJ40" i="269"/>
  <c r="AN41" i="269"/>
  <c r="AR42" i="269"/>
  <c r="AO44" i="269"/>
  <c r="AV44" i="269" s="1"/>
  <c r="AC44" i="269"/>
  <c r="AN45" i="269"/>
  <c r="AR49" i="269"/>
  <c r="AB49" i="269"/>
  <c r="AR51" i="269"/>
  <c r="AN53" i="269"/>
  <c r="AO54" i="269"/>
  <c r="AV54" i="269" s="1"/>
  <c r="AC54" i="269"/>
  <c r="AN56" i="269"/>
  <c r="AJ13" i="265"/>
  <c r="AQ15" i="265"/>
  <c r="AR6" i="266"/>
  <c r="AQ7" i="266"/>
  <c r="AJ11" i="266"/>
  <c r="AR12" i="266"/>
  <c r="AQ13" i="266"/>
  <c r="AR6" i="267"/>
  <c r="AQ7" i="267"/>
  <c r="AJ11" i="267"/>
  <c r="AR12" i="267"/>
  <c r="AQ13" i="267"/>
  <c r="AR6" i="268"/>
  <c r="AQ7" i="268"/>
  <c r="AR12" i="268"/>
  <c r="AU55" i="269"/>
  <c r="AU49" i="269"/>
  <c r="AU45" i="269"/>
  <c r="AU41" i="269"/>
  <c r="AU27" i="269"/>
  <c r="AU54" i="269"/>
  <c r="AU48" i="269"/>
  <c r="AU53" i="269"/>
  <c r="AU39" i="269"/>
  <c r="AU52" i="269"/>
  <c r="AU57" i="269"/>
  <c r="AU51" i="269"/>
  <c r="AU37" i="269"/>
  <c r="AU33" i="269"/>
  <c r="AU29" i="269"/>
  <c r="AJ6" i="269"/>
  <c r="AU9" i="269"/>
  <c r="AJ10" i="269"/>
  <c r="AR11" i="269"/>
  <c r="AQ12" i="269"/>
  <c r="AJ14" i="269"/>
  <c r="AR15" i="269"/>
  <c r="AU17" i="269"/>
  <c r="AJ18" i="269"/>
  <c r="AU21" i="269"/>
  <c r="AN26" i="269"/>
  <c r="AQ27" i="269"/>
  <c r="AT28" i="269"/>
  <c r="AJ28" i="269"/>
  <c r="AU28" i="269"/>
  <c r="AQ30" i="269"/>
  <c r="AT30" i="269"/>
  <c r="AJ30" i="269"/>
  <c r="AO34" i="269"/>
  <c r="AV34" i="269" s="1"/>
  <c r="AC34" i="269"/>
  <c r="AN36" i="269"/>
  <c r="AJ37" i="269"/>
  <c r="AU38" i="269"/>
  <c r="AQ39" i="269"/>
  <c r="AJ41" i="269"/>
  <c r="AU42" i="269"/>
  <c r="AQ44" i="269"/>
  <c r="AQ46" i="269"/>
  <c r="AN49" i="269"/>
  <c r="AQ54" i="269"/>
  <c r="AN54" i="269"/>
  <c r="AB8" i="266"/>
  <c r="AB8" i="267"/>
  <c r="AB8" i="268"/>
  <c r="AN48" i="269"/>
  <c r="AN57" i="269"/>
  <c r="AN51" i="269"/>
  <c r="AN37" i="269"/>
  <c r="AN33" i="269"/>
  <c r="AN29" i="269"/>
  <c r="AU7" i="269"/>
  <c r="AU11" i="269"/>
  <c r="AU15" i="269"/>
  <c r="AR23" i="269"/>
  <c r="AQ24" i="269"/>
  <c r="AR24" i="269"/>
  <c r="AQ26" i="269"/>
  <c r="AN27" i="269"/>
  <c r="AT27" i="269"/>
  <c r="AR29" i="269"/>
  <c r="AB29" i="269"/>
  <c r="AU32" i="269"/>
  <c r="AQ33" i="269"/>
  <c r="AR36" i="269"/>
  <c r="AQ38" i="269"/>
  <c r="AT38" i="269"/>
  <c r="AJ38" i="269"/>
  <c r="AN39" i="269"/>
  <c r="AR40" i="269"/>
  <c r="AQ42" i="269"/>
  <c r="AT42" i="269"/>
  <c r="AJ42" i="269"/>
  <c r="AO48" i="269"/>
  <c r="AV48" i="269" s="1"/>
  <c r="AC48" i="269"/>
  <c r="AN50" i="269"/>
  <c r="AQ53" i="269"/>
  <c r="AR55" i="269"/>
  <c r="AB55" i="269"/>
  <c r="AR57" i="269"/>
  <c r="AJ10" i="265"/>
  <c r="AJ8" i="266"/>
  <c r="AB9" i="266"/>
  <c r="AJ8" i="267"/>
  <c r="AB9" i="267"/>
  <c r="AJ8" i="268"/>
  <c r="AB9" i="268"/>
  <c r="AU3" i="269"/>
  <c r="AU12" i="269"/>
  <c r="AB20" i="269"/>
  <c r="AJ23" i="269"/>
  <c r="AB25" i="269"/>
  <c r="AR26" i="269"/>
  <c r="AJ27" i="269"/>
  <c r="AC32" i="269"/>
  <c r="AO32" i="269"/>
  <c r="AV32" i="269" s="1"/>
  <c r="AR33" i="269"/>
  <c r="AB33" i="269"/>
  <c r="AU36" i="269"/>
  <c r="AQ37" i="269"/>
  <c r="AN38" i="269"/>
  <c r="AU40" i="269"/>
  <c r="AQ41" i="269"/>
  <c r="AN42" i="269"/>
  <c r="AU44" i="269"/>
  <c r="AU46" i="269"/>
  <c r="AQ48" i="269"/>
  <c r="AR52" i="269"/>
  <c r="AN55" i="269"/>
  <c r="AJ55" i="269"/>
  <c r="AJ49" i="269"/>
  <c r="AJ45" i="269"/>
  <c r="AJ53" i="269"/>
  <c r="AJ20" i="269"/>
  <c r="AJ24" i="269"/>
  <c r="AJ25" i="269"/>
  <c r="AJ29" i="269"/>
  <c r="AQ32" i="269"/>
  <c r="AT32" i="269"/>
  <c r="AJ32" i="269"/>
  <c r="AC36" i="269"/>
  <c r="AO36" i="269"/>
  <c r="AV36" i="269" s="1"/>
  <c r="AR37" i="269"/>
  <c r="AB37" i="269"/>
  <c r="AO40" i="269"/>
  <c r="AV40" i="269" s="1"/>
  <c r="AC40" i="269"/>
  <c r="AR41" i="269"/>
  <c r="AB41" i="269"/>
  <c r="AR45" i="269"/>
  <c r="AB45" i="269"/>
  <c r="AU50" i="269"/>
  <c r="AQ56" i="269"/>
  <c r="AQ57" i="269"/>
  <c r="AJ57" i="269"/>
  <c r="AO46" i="269"/>
  <c r="AV46" i="269" s="1"/>
  <c r="AO50" i="269"/>
  <c r="AV50" i="269" s="1"/>
  <c r="AD51" i="269"/>
  <c r="AC52" i="269"/>
  <c r="AB53" i="269"/>
  <c r="AO56" i="269"/>
  <c r="AV56" i="269" s="1"/>
  <c r="AD57" i="269"/>
  <c r="AN70" i="270"/>
  <c r="AN66" i="270"/>
  <c r="AN62" i="270"/>
  <c r="AN58" i="270"/>
  <c r="AN76" i="270"/>
  <c r="AN72" i="270"/>
  <c r="AN49" i="270"/>
  <c r="AN45" i="270"/>
  <c r="AN65" i="270"/>
  <c r="AN61" i="270"/>
  <c r="AN77" i="270"/>
  <c r="AN57" i="270"/>
  <c r="AN53" i="270"/>
  <c r="AN73" i="270"/>
  <c r="AN69" i="270"/>
  <c r="AN54" i="270"/>
  <c r="AN40" i="270"/>
  <c r="AN34" i="270"/>
  <c r="AR3" i="270"/>
  <c r="AO6" i="270"/>
  <c r="AV6" i="270" s="1"/>
  <c r="AD7" i="270"/>
  <c r="AN7" i="270"/>
  <c r="AC8" i="270"/>
  <c r="AJ8" i="270"/>
  <c r="AT8" i="270"/>
  <c r="AB9" i="270"/>
  <c r="AR10" i="270"/>
  <c r="AB11" i="270"/>
  <c r="AU17" i="270"/>
  <c r="AD19" i="270"/>
  <c r="AQ19" i="270"/>
  <c r="AR34" i="270"/>
  <c r="AJ40" i="270"/>
  <c r="AQ41" i="270"/>
  <c r="AO43" i="270"/>
  <c r="AV43" i="270" s="1"/>
  <c r="AC43" i="270"/>
  <c r="AN43" i="270"/>
  <c r="AR49" i="270"/>
  <c r="AQ54" i="270"/>
  <c r="AQ45" i="269"/>
  <c r="AQ49" i="269"/>
  <c r="AQ55" i="269"/>
  <c r="AN10" i="270"/>
  <c r="AT10" i="270"/>
  <c r="AD11" i="270"/>
  <c r="AR12" i="270"/>
  <c r="AB12" i="270"/>
  <c r="AR13" i="270"/>
  <c r="AR15" i="270"/>
  <c r="AJ16" i="270"/>
  <c r="AU16" i="270"/>
  <c r="AQ18" i="270"/>
  <c r="AR19" i="270"/>
  <c r="AN22" i="270"/>
  <c r="AO23" i="270"/>
  <c r="AV23" i="270" s="1"/>
  <c r="AC23" i="270"/>
  <c r="AN23" i="270"/>
  <c r="AN30" i="270"/>
  <c r="AO31" i="270"/>
  <c r="AV31" i="270" s="1"/>
  <c r="AC31" i="270"/>
  <c r="AN31" i="270"/>
  <c r="AR33" i="270"/>
  <c r="AR35" i="270"/>
  <c r="AN41" i="270"/>
  <c r="AT41" i="270"/>
  <c r="AJ41" i="270"/>
  <c r="AN42" i="270"/>
  <c r="AQ45" i="270"/>
  <c r="AN47" i="270"/>
  <c r="AJ44" i="269"/>
  <c r="AJ48" i="269"/>
  <c r="AJ54" i="269"/>
  <c r="AT54" i="269"/>
  <c r="AQ70" i="270"/>
  <c r="AQ57" i="270"/>
  <c r="AQ53" i="270"/>
  <c r="AQ58" i="270"/>
  <c r="AJ80" i="270"/>
  <c r="AJ77" i="270"/>
  <c r="AJ73" i="270"/>
  <c r="AJ66" i="270"/>
  <c r="AJ62" i="270"/>
  <c r="AJ58" i="270"/>
  <c r="AJ49" i="270"/>
  <c r="AJ45" i="270"/>
  <c r="AJ39" i="270"/>
  <c r="AJ78" i="270"/>
  <c r="AJ70" i="270"/>
  <c r="AJ20" i="270"/>
  <c r="AJ64" i="270"/>
  <c r="AJ60" i="270"/>
  <c r="AJ51" i="270"/>
  <c r="AJ74" i="270"/>
  <c r="AJ42" i="270"/>
  <c r="AJ36" i="270"/>
  <c r="AJ30" i="270"/>
  <c r="AJ26" i="270"/>
  <c r="AJ22" i="270"/>
  <c r="AJ54" i="270"/>
  <c r="AD9" i="270"/>
  <c r="AU9" i="270"/>
  <c r="AC10" i="270"/>
  <c r="AJ10" i="270"/>
  <c r="AQ13" i="270"/>
  <c r="AT13" i="270"/>
  <c r="AU15" i="270"/>
  <c r="AN16" i="270"/>
  <c r="AR20" i="270"/>
  <c r="AB20" i="270"/>
  <c r="AN20" i="270"/>
  <c r="AQ25" i="270"/>
  <c r="AN26" i="270"/>
  <c r="AO27" i="270"/>
  <c r="AV27" i="270" s="1"/>
  <c r="AC27" i="270"/>
  <c r="AN27" i="270"/>
  <c r="AQ34" i="270"/>
  <c r="AU39" i="270"/>
  <c r="AR44" i="270"/>
  <c r="AN44" i="270"/>
  <c r="AQ49" i="270"/>
  <c r="AN51" i="270"/>
  <c r="AR81" i="270"/>
  <c r="AR77" i="270"/>
  <c r="AR79" i="270"/>
  <c r="AR71" i="270"/>
  <c r="AR69" i="270"/>
  <c r="AR65" i="270"/>
  <c r="AR61" i="270"/>
  <c r="AR51" i="270"/>
  <c r="AR47" i="270"/>
  <c r="AR43" i="270"/>
  <c r="AR37" i="270"/>
  <c r="AR31" i="270"/>
  <c r="AR27" i="270"/>
  <c r="AR23" i="270"/>
  <c r="AR67" i="270"/>
  <c r="AR57" i="270"/>
  <c r="AR42" i="270"/>
  <c r="AR36" i="270"/>
  <c r="AR30" i="270"/>
  <c r="AR26" i="270"/>
  <c r="AR22" i="270"/>
  <c r="AR6" i="270"/>
  <c r="AQ15" i="270"/>
  <c r="AT15" i="270"/>
  <c r="AJ15" i="270"/>
  <c r="AN18" i="270"/>
  <c r="AT18" i="270"/>
  <c r="AN25" i="270"/>
  <c r="AT25" i="270"/>
  <c r="AJ25" i="270"/>
  <c r="AR32" i="270"/>
  <c r="AB32" i="270"/>
  <c r="AN32" i="270"/>
  <c r="AQ33" i="270"/>
  <c r="AN33" i="270"/>
  <c r="AJ34" i="270"/>
  <c r="AQ35" i="270"/>
  <c r="AO37" i="270"/>
  <c r="AV37" i="270" s="1"/>
  <c r="AC37" i="270"/>
  <c r="AN37" i="270"/>
  <c r="AR39" i="270"/>
  <c r="AR40" i="270"/>
  <c r="AQ42" i="270"/>
  <c r="AR48" i="270"/>
  <c r="AN48" i="270"/>
  <c r="AJ46" i="269"/>
  <c r="AJ50" i="269"/>
  <c r="AB51" i="269"/>
  <c r="AJ56" i="269"/>
  <c r="AB57" i="269"/>
  <c r="AU80" i="270"/>
  <c r="AU70" i="270"/>
  <c r="AU66" i="270"/>
  <c r="AU62" i="270"/>
  <c r="AU58" i="270"/>
  <c r="AU79" i="270"/>
  <c r="AU78" i="270"/>
  <c r="AU74" i="270"/>
  <c r="AU64" i="270"/>
  <c r="AU60" i="270"/>
  <c r="AU52" i="270"/>
  <c r="AU76" i="270"/>
  <c r="AU72" i="270"/>
  <c r="AU81" i="270"/>
  <c r="AU71" i="270"/>
  <c r="AU67" i="270"/>
  <c r="AU55" i="270"/>
  <c r="AU69" i="270"/>
  <c r="AU54" i="270"/>
  <c r="AU49" i="270"/>
  <c r="AU45" i="270"/>
  <c r="AU73" i="270"/>
  <c r="AU48" i="270"/>
  <c r="AU44" i="270"/>
  <c r="AU38" i="270"/>
  <c r="AU32" i="270"/>
  <c r="AU28" i="270"/>
  <c r="AU20" i="270"/>
  <c r="AU10" i="270"/>
  <c r="AU51" i="270"/>
  <c r="AU47" i="270"/>
  <c r="AU43" i="270"/>
  <c r="AU37" i="270"/>
  <c r="AU31" i="270"/>
  <c r="AU27" i="270"/>
  <c r="AU23" i="270"/>
  <c r="AU19" i="270"/>
  <c r="AU65" i="270"/>
  <c r="AU61" i="270"/>
  <c r="AU42" i="270"/>
  <c r="AU36" i="270"/>
  <c r="AU30" i="270"/>
  <c r="AU26" i="270"/>
  <c r="AU22" i="270"/>
  <c r="AU18" i="270"/>
  <c r="AU57" i="270"/>
  <c r="AU53" i="270"/>
  <c r="AU41" i="270"/>
  <c r="AU35" i="270"/>
  <c r="AU25" i="270"/>
  <c r="AU77" i="270"/>
  <c r="AU40" i="270"/>
  <c r="AU34" i="270"/>
  <c r="AJ6" i="270"/>
  <c r="AB7" i="270"/>
  <c r="AJ12" i="270"/>
  <c r="AU12" i="270"/>
  <c r="AC13" i="270"/>
  <c r="AN15" i="270"/>
  <c r="AR16" i="270"/>
  <c r="AB16" i="270"/>
  <c r="AR17" i="270"/>
  <c r="AJ18" i="270"/>
  <c r="AQ22" i="270"/>
  <c r="AR28" i="270"/>
  <c r="AB28" i="270"/>
  <c r="AN28" i="270"/>
  <c r="AQ30" i="270"/>
  <c r="AN35" i="270"/>
  <c r="AT35" i="270"/>
  <c r="AJ35" i="270"/>
  <c r="AN36" i="270"/>
  <c r="AR41" i="270"/>
  <c r="AT11" i="270"/>
  <c r="AJ11" i="270"/>
  <c r="AO19" i="270"/>
  <c r="AV19" i="270" s="1"/>
  <c r="AC19" i="270"/>
  <c r="AN19" i="270"/>
  <c r="AT19" i="270"/>
  <c r="AJ19" i="270"/>
  <c r="AR38" i="270"/>
  <c r="AB38" i="270"/>
  <c r="AN39" i="270"/>
  <c r="AQ40" i="270"/>
  <c r="AR45" i="270"/>
  <c r="AR52" i="270"/>
  <c r="AN52" i="270"/>
  <c r="AQ23" i="270"/>
  <c r="AQ27" i="270"/>
  <c r="AQ31" i="270"/>
  <c r="AO33" i="270"/>
  <c r="AV33" i="270" s="1"/>
  <c r="AQ37" i="270"/>
  <c r="AO39" i="270"/>
  <c r="AV39" i="270" s="1"/>
  <c r="AQ43" i="270"/>
  <c r="AO45" i="270"/>
  <c r="AV45" i="270" s="1"/>
  <c r="AQ47" i="270"/>
  <c r="AO49" i="270"/>
  <c r="AV49" i="270" s="1"/>
  <c r="AQ51" i="270"/>
  <c r="AR53" i="270"/>
  <c r="AR55" i="270"/>
  <c r="AR64" i="270"/>
  <c r="AB64" i="270"/>
  <c r="AQ69" i="270"/>
  <c r="AT69" i="270"/>
  <c r="AJ69" i="270"/>
  <c r="AR70" i="270"/>
  <c r="AQ73" i="270"/>
  <c r="AN74" i="270"/>
  <c r="AR80" i="270"/>
  <c r="AC81" i="270"/>
  <c r="AO81" i="270"/>
  <c r="AV81" i="270" s="1"/>
  <c r="AQ27" i="271"/>
  <c r="AQ21" i="271"/>
  <c r="AQ3" i="271"/>
  <c r="AQ13" i="271"/>
  <c r="AQ33" i="271"/>
  <c r="AQ12" i="271"/>
  <c r="AQ9" i="271"/>
  <c r="AC7" i="271"/>
  <c r="AO7" i="271"/>
  <c r="AV7" i="271" s="1"/>
  <c r="AB14" i="271"/>
  <c r="AR14" i="271"/>
  <c r="AQ28" i="270"/>
  <c r="AQ32" i="270"/>
  <c r="AQ38" i="270"/>
  <c r="AQ44" i="270"/>
  <c r="AQ48" i="270"/>
  <c r="AQ52" i="270"/>
  <c r="AT53" i="270"/>
  <c r="AJ53" i="270"/>
  <c r="AD54" i="270"/>
  <c r="AT57" i="270"/>
  <c r="AJ57" i="270"/>
  <c r="AN60" i="270"/>
  <c r="AQ62" i="270"/>
  <c r="AN64" i="270"/>
  <c r="AQ66" i="270"/>
  <c r="AR78" i="270"/>
  <c r="AN80" i="270"/>
  <c r="AQ81" i="270"/>
  <c r="AO21" i="271"/>
  <c r="AV21" i="271" s="1"/>
  <c r="AC21" i="271"/>
  <c r="AQ44" i="271"/>
  <c r="AJ63" i="271"/>
  <c r="AR65" i="271"/>
  <c r="AB65" i="271"/>
  <c r="AJ23" i="270"/>
  <c r="AT23" i="270"/>
  <c r="AJ27" i="270"/>
  <c r="AT27" i="270"/>
  <c r="AJ31" i="270"/>
  <c r="AT31" i="270"/>
  <c r="AJ37" i="270"/>
  <c r="AT37" i="270"/>
  <c r="AJ43" i="270"/>
  <c r="AT43" i="270"/>
  <c r="AB44" i="270"/>
  <c r="AC47" i="270"/>
  <c r="AJ47" i="270"/>
  <c r="AT47" i="270"/>
  <c r="AB48" i="270"/>
  <c r="AC51" i="270"/>
  <c r="AB52" i="270"/>
  <c r="AQ55" i="270"/>
  <c r="AR58" i="270"/>
  <c r="AC71" i="270"/>
  <c r="AO71" i="270"/>
  <c r="AV71" i="270" s="1"/>
  <c r="AT71" i="270"/>
  <c r="AJ71" i="270"/>
  <c r="AN71" i="270"/>
  <c r="AQ72" i="270"/>
  <c r="AR76" i="270"/>
  <c r="AB76" i="270"/>
  <c r="AQ77" i="270"/>
  <c r="AN78" i="270"/>
  <c r="AJ1" i="271"/>
  <c r="AH1" i="271"/>
  <c r="AH2" i="271" s="1"/>
  <c r="AN17" i="271"/>
  <c r="AJ17" i="271"/>
  <c r="AT17" i="271"/>
  <c r="AR35" i="271"/>
  <c r="AB35" i="271"/>
  <c r="AQ43" i="271"/>
  <c r="AJ28" i="270"/>
  <c r="AT28" i="270"/>
  <c r="AJ32" i="270"/>
  <c r="AT32" i="270"/>
  <c r="AB33" i="270"/>
  <c r="AJ38" i="270"/>
  <c r="AT38" i="270"/>
  <c r="AB39" i="270"/>
  <c r="AJ44" i="270"/>
  <c r="AT44" i="270"/>
  <c r="AB45" i="270"/>
  <c r="AJ48" i="270"/>
  <c r="AT48" i="270"/>
  <c r="AB49" i="270"/>
  <c r="AJ52" i="270"/>
  <c r="AT52" i="270"/>
  <c r="AO53" i="270"/>
  <c r="AV53" i="270" s="1"/>
  <c r="AR54" i="270"/>
  <c r="AB54" i="270"/>
  <c r="AT55" i="270"/>
  <c r="AJ55" i="270"/>
  <c r="AN55" i="270"/>
  <c r="AQ61" i="270"/>
  <c r="AT61" i="270"/>
  <c r="AJ61" i="270"/>
  <c r="AR62" i="270"/>
  <c r="AQ65" i="270"/>
  <c r="AT65" i="270"/>
  <c r="AJ65" i="270"/>
  <c r="AR66" i="270"/>
  <c r="AQ71" i="270"/>
  <c r="AQ79" i="270"/>
  <c r="AN79" i="270"/>
  <c r="AT79" i="270"/>
  <c r="AJ79" i="270"/>
  <c r="AQ80" i="270"/>
  <c r="AQ6" i="271"/>
  <c r="AQ14" i="271"/>
  <c r="AJ16" i="271"/>
  <c r="AQ17" i="271"/>
  <c r="AQ62" i="271"/>
  <c r="AJ33" i="270"/>
  <c r="AB34" i="270"/>
  <c r="AB40" i="270"/>
  <c r="AC55" i="270"/>
  <c r="AC67" i="270"/>
  <c r="AO67" i="270"/>
  <c r="AV67" i="270" s="1"/>
  <c r="AT67" i="270"/>
  <c r="AJ67" i="270"/>
  <c r="AN67" i="270"/>
  <c r="AR73" i="270"/>
  <c r="AQ76" i="270"/>
  <c r="AQ31" i="271"/>
  <c r="AR60" i="270"/>
  <c r="AQ67" i="270"/>
  <c r="AR72" i="270"/>
  <c r="AB72" i="270"/>
  <c r="AR74" i="270"/>
  <c r="AJ58" i="271"/>
  <c r="AJ54" i="271"/>
  <c r="AJ38" i="271"/>
  <c r="AJ34" i="271"/>
  <c r="AJ57" i="271"/>
  <c r="AJ53" i="271"/>
  <c r="AJ37" i="271"/>
  <c r="AJ33" i="271"/>
  <c r="AJ27" i="271"/>
  <c r="AJ19" i="271"/>
  <c r="AJ65" i="271"/>
  <c r="AJ51" i="271"/>
  <c r="AJ47" i="271"/>
  <c r="AJ43" i="271"/>
  <c r="AJ39" i="271"/>
  <c r="AJ35" i="271"/>
  <c r="AJ31" i="271"/>
  <c r="AJ67" i="271"/>
  <c r="AJ49" i="271"/>
  <c r="AJ25" i="271"/>
  <c r="AJ6" i="271"/>
  <c r="AJ21" i="271"/>
  <c r="AJ41" i="271"/>
  <c r="AJ29" i="271"/>
  <c r="AJ10" i="271"/>
  <c r="AJ11" i="271"/>
  <c r="AN12" i="271"/>
  <c r="AJ12" i="271"/>
  <c r="AD19" i="271"/>
  <c r="AQ19" i="271"/>
  <c r="AJ45" i="271"/>
  <c r="AR47" i="271"/>
  <c r="AB47" i="271"/>
  <c r="AC54" i="271"/>
  <c r="AO54" i="271"/>
  <c r="AV54" i="271" s="1"/>
  <c r="AQ60" i="270"/>
  <c r="AQ64" i="270"/>
  <c r="AD67" i="270"/>
  <c r="AD71" i="270"/>
  <c r="AJ72" i="270"/>
  <c r="AQ74" i="270"/>
  <c r="AJ76" i="270"/>
  <c r="AQ78" i="270"/>
  <c r="AD81" i="270"/>
  <c r="AN81" i="270"/>
  <c r="AN57" i="271"/>
  <c r="AN53" i="271"/>
  <c r="AN37" i="271"/>
  <c r="AN33" i="271"/>
  <c r="AN27" i="271"/>
  <c r="AN67" i="271"/>
  <c r="AN63" i="271"/>
  <c r="AN49" i="271"/>
  <c r="AN45" i="271"/>
  <c r="AN41" i="271"/>
  <c r="AN29" i="271"/>
  <c r="AN25" i="271"/>
  <c r="AN21" i="271"/>
  <c r="AN58" i="271"/>
  <c r="AN54" i="271"/>
  <c r="AN38" i="271"/>
  <c r="AN34" i="271"/>
  <c r="AR3" i="271"/>
  <c r="AN7" i="271"/>
  <c r="AU7" i="271"/>
  <c r="AQ10" i="271"/>
  <c r="AR10" i="271"/>
  <c r="AQ11" i="271"/>
  <c r="AN13" i="271"/>
  <c r="AT13" i="271"/>
  <c r="AR17" i="271"/>
  <c r="AR19" i="271"/>
  <c r="AB19" i="271"/>
  <c r="AQ23" i="271"/>
  <c r="AN23" i="271"/>
  <c r="AR24" i="271"/>
  <c r="AQ25" i="271"/>
  <c r="AR26" i="271"/>
  <c r="AR31" i="271"/>
  <c r="AB31" i="271"/>
  <c r="AC38" i="271"/>
  <c r="AO38" i="271"/>
  <c r="AV38" i="271" s="1"/>
  <c r="AQ39" i="271"/>
  <c r="AQ40" i="271"/>
  <c r="AR43" i="271"/>
  <c r="AB43" i="271"/>
  <c r="AR45" i="271"/>
  <c r="AQ51" i="271"/>
  <c r="AQ57" i="271"/>
  <c r="AQ60" i="271"/>
  <c r="AN60" i="271"/>
  <c r="AT60" i="271"/>
  <c r="AJ60" i="271"/>
  <c r="AR63" i="271"/>
  <c r="AC73" i="270"/>
  <c r="AB74" i="270"/>
  <c r="AD76" i="270"/>
  <c r="AC77" i="270"/>
  <c r="AB78" i="270"/>
  <c r="AU3" i="271"/>
  <c r="AT10" i="271"/>
  <c r="AB11" i="271"/>
  <c r="AR12" i="271"/>
  <c r="AB13" i="271"/>
  <c r="AJ13" i="271"/>
  <c r="AC16" i="271"/>
  <c r="AR21" i="271"/>
  <c r="AB23" i="271"/>
  <c r="AJ23" i="271"/>
  <c r="AU24" i="271"/>
  <c r="AR27" i="271"/>
  <c r="AN31" i="271"/>
  <c r="AQ38" i="271"/>
  <c r="AN40" i="271"/>
  <c r="AN43" i="271"/>
  <c r="AU48" i="271"/>
  <c r="AR53" i="271"/>
  <c r="AU66" i="271"/>
  <c r="AB58" i="270"/>
  <c r="AB62" i="270"/>
  <c r="AB66" i="270"/>
  <c r="AC79" i="270"/>
  <c r="AB80" i="270"/>
  <c r="AR58" i="271"/>
  <c r="AR54" i="271"/>
  <c r="AR38" i="271"/>
  <c r="AR34" i="271"/>
  <c r="AR16" i="271"/>
  <c r="AR66" i="271"/>
  <c r="AR62" i="271"/>
  <c r="AR48" i="271"/>
  <c r="AR44" i="271"/>
  <c r="AR40" i="271"/>
  <c r="AB6" i="271"/>
  <c r="AN9" i="271"/>
  <c r="AU11" i="271"/>
  <c r="AC12" i="271"/>
  <c r="AU12" i="271"/>
  <c r="AN19" i="271"/>
  <c r="AQ24" i="271"/>
  <c r="AT24" i="271"/>
  <c r="AJ24" i="271"/>
  <c r="AO26" i="271"/>
  <c r="AV26" i="271" s="1"/>
  <c r="AC26" i="271"/>
  <c r="AR33" i="271"/>
  <c r="AN35" i="271"/>
  <c r="AQ37" i="271"/>
  <c r="AN44" i="271"/>
  <c r="AN47" i="271"/>
  <c r="AQ54" i="271"/>
  <c r="AC58" i="271"/>
  <c r="AO58" i="271"/>
  <c r="AV58" i="271" s="1"/>
  <c r="AN62" i="271"/>
  <c r="AN65" i="271"/>
  <c r="AN68" i="271"/>
  <c r="AT68" i="271"/>
  <c r="AJ68" i="271"/>
  <c r="AU57" i="271"/>
  <c r="AU53" i="271"/>
  <c r="AU37" i="271"/>
  <c r="AU33" i="271"/>
  <c r="AU27" i="271"/>
  <c r="AU68" i="271"/>
  <c r="AU60" i="271"/>
  <c r="AU56" i="271"/>
  <c r="AU26" i="271"/>
  <c r="AU67" i="271"/>
  <c r="AU63" i="271"/>
  <c r="AU49" i="271"/>
  <c r="AU45" i="271"/>
  <c r="AU41" i="271"/>
  <c r="AU29" i="271"/>
  <c r="AU25" i="271"/>
  <c r="AU21" i="271"/>
  <c r="AU65" i="271"/>
  <c r="AU51" i="271"/>
  <c r="AU47" i="271"/>
  <c r="AU43" i="271"/>
  <c r="AU39" i="271"/>
  <c r="AU35" i="271"/>
  <c r="AU31" i="271"/>
  <c r="AU23" i="271"/>
  <c r="AU17" i="271"/>
  <c r="AU13" i="271"/>
  <c r="AU58" i="271"/>
  <c r="AU54" i="271"/>
  <c r="AU38" i="271"/>
  <c r="AU34" i="271"/>
  <c r="AT14" i="271"/>
  <c r="AJ14" i="271"/>
  <c r="AU14" i="271"/>
  <c r="AN24" i="271"/>
  <c r="AQ26" i="271"/>
  <c r="AN26" i="271"/>
  <c r="AT26" i="271"/>
  <c r="AJ26" i="271"/>
  <c r="AR29" i="271"/>
  <c r="AC34" i="271"/>
  <c r="AO34" i="271"/>
  <c r="AV34" i="271" s="1"/>
  <c r="AQ35" i="271"/>
  <c r="AR39" i="271"/>
  <c r="AB39" i="271"/>
  <c r="AR41" i="271"/>
  <c r="AQ47" i="271"/>
  <c r="AQ48" i="271"/>
  <c r="AR51" i="271"/>
  <c r="AB51" i="271"/>
  <c r="AQ58" i="271"/>
  <c r="AQ65" i="271"/>
  <c r="AQ66" i="271"/>
  <c r="AJ81" i="270"/>
  <c r="AN6" i="271"/>
  <c r="AU6" i="271"/>
  <c r="AJ7" i="271"/>
  <c r="AR9" i="271"/>
  <c r="AB9" i="271"/>
  <c r="AN14" i="271"/>
  <c r="AQ16" i="271"/>
  <c r="AU16" i="271"/>
  <c r="AQ34" i="271"/>
  <c r="AR37" i="271"/>
  <c r="AN39" i="271"/>
  <c r="AU44" i="271"/>
  <c r="AN48" i="271"/>
  <c r="AN51" i="271"/>
  <c r="AQ53" i="271"/>
  <c r="AQ56" i="271"/>
  <c r="AN56" i="271"/>
  <c r="AT56" i="271"/>
  <c r="AJ56" i="271"/>
  <c r="AU62" i="271"/>
  <c r="AN66" i="271"/>
  <c r="AR68" i="271"/>
  <c r="AQ29" i="271"/>
  <c r="AQ41" i="271"/>
  <c r="AQ45" i="271"/>
  <c r="AQ49" i="271"/>
  <c r="AQ63" i="271"/>
  <c r="AQ67" i="271"/>
  <c r="AD17" i="271"/>
  <c r="AB21" i="271"/>
  <c r="AD23" i="271"/>
  <c r="AC24" i="271"/>
  <c r="AB25" i="271"/>
  <c r="AB29" i="271"/>
  <c r="AD31" i="271"/>
  <c r="AD35" i="271"/>
  <c r="AD39" i="271"/>
  <c r="AC40" i="271"/>
  <c r="AJ40" i="271"/>
  <c r="AB41" i="271"/>
  <c r="AD43" i="271"/>
  <c r="AC44" i="271"/>
  <c r="AJ44" i="271"/>
  <c r="AB45" i="271"/>
  <c r="AD47" i="271"/>
  <c r="AC48" i="271"/>
  <c r="AJ48" i="271"/>
  <c r="AB49" i="271"/>
  <c r="AD51" i="271"/>
  <c r="AC62" i="271"/>
  <c r="AJ62" i="271"/>
  <c r="AB63" i="271"/>
  <c r="AD65" i="271"/>
  <c r="AC66" i="271"/>
  <c r="AJ66" i="271"/>
  <c r="AQ68" i="271"/>
  <c r="AB27" i="271"/>
  <c r="AB33" i="271"/>
  <c r="AB37" i="271"/>
  <c r="AB53" i="271"/>
  <c r="AC56" i="271"/>
  <c r="AB57" i="271"/>
  <c r="AC60" i="271"/>
  <c r="AC68" i="271"/>
  <c r="A2" i="262"/>
  <c r="A1" i="262"/>
  <c r="A1" i="34" l="1"/>
  <c r="AH1" i="34" s="1"/>
  <c r="AH2" i="34" s="1"/>
  <c r="AA1" i="34"/>
  <c r="AO1" i="34"/>
  <c r="AO3" i="34" s="1"/>
  <c r="AP1" i="34"/>
  <c r="AP3" i="34" s="1"/>
  <c r="AQ1" i="34"/>
  <c r="AQ3" i="34" s="1"/>
  <c r="AR1" i="34"/>
  <c r="AR3" i="34" s="1"/>
  <c r="AU1" i="34"/>
  <c r="AU3" i="34" s="1"/>
  <c r="A2" i="34"/>
  <c r="AA2" i="34"/>
  <c r="AJ2" i="34"/>
  <c r="AK2" i="34"/>
  <c r="AL2" i="34"/>
  <c r="AM2" i="34"/>
  <c r="AN2" i="34"/>
  <c r="AH3" i="34"/>
  <c r="AI3" i="34"/>
  <c r="AI4" i="34"/>
  <c r="W5" i="34"/>
  <c r="AH5" i="34"/>
  <c r="AI5" i="34"/>
  <c r="M6" i="34"/>
  <c r="N6" i="34"/>
  <c r="AC6" i="34" s="1"/>
  <c r="O6" i="34"/>
  <c r="AQ6" i="34" s="1"/>
  <c r="P6" i="34"/>
  <c r="W6" i="34"/>
  <c r="X6" i="34"/>
  <c r="Y6" i="34"/>
  <c r="Z6" i="34"/>
  <c r="AA6" i="34"/>
  <c r="AB6" i="34"/>
  <c r="AE6" i="34"/>
  <c r="AF6" i="34"/>
  <c r="AH6" i="34"/>
  <c r="AI6" i="34"/>
  <c r="AT6" i="34" s="1"/>
  <c r="AP6" i="34"/>
  <c r="AR6" i="34"/>
  <c r="AU6" i="34" l="1"/>
  <c r="AJ6" i="34"/>
  <c r="AN6" i="34"/>
  <c r="AO6" i="34"/>
  <c r="AV6" i="34" s="1"/>
  <c r="AD6" i="34"/>
  <c r="AJ1" i="34"/>
  <c r="A43" i="144" l="1"/>
  <c r="A56" i="144" s="1"/>
  <c r="A69" i="144" s="1"/>
  <c r="C41" i="144"/>
  <c r="C54" i="144" s="1"/>
  <c r="C67" i="144" s="1"/>
  <c r="B41" i="144"/>
  <c r="B54" i="144" s="1"/>
  <c r="B67" i="144" s="1"/>
  <c r="B40" i="144"/>
  <c r="B53" i="144" s="1"/>
  <c r="B66" i="144" s="1"/>
  <c r="C37" i="144"/>
  <c r="C50" i="144" s="1"/>
  <c r="C63" i="144" s="1"/>
  <c r="B36" i="144"/>
  <c r="B49" i="144" s="1"/>
  <c r="B62" i="144" s="1"/>
  <c r="A36" i="144"/>
  <c r="A49" i="144" s="1"/>
  <c r="A62" i="144" s="1"/>
  <c r="A35" i="144"/>
  <c r="A48" i="144" s="1"/>
  <c r="A61" i="144" s="1"/>
  <c r="C30" i="144"/>
  <c r="C43" i="144" s="1"/>
  <c r="C56" i="144" s="1"/>
  <c r="C69" i="144" s="1"/>
  <c r="B30" i="144"/>
  <c r="B43" i="144" s="1"/>
  <c r="B56" i="144" s="1"/>
  <c r="B69" i="144" s="1"/>
  <c r="A30" i="144"/>
  <c r="C29" i="144"/>
  <c r="C42" i="144" s="1"/>
  <c r="C55" i="144" s="1"/>
  <c r="C68" i="144" s="1"/>
  <c r="B29" i="144"/>
  <c r="B42" i="144" s="1"/>
  <c r="B55" i="144" s="1"/>
  <c r="B68" i="144" s="1"/>
  <c r="A29" i="144"/>
  <c r="A42" i="144" s="1"/>
  <c r="A55" i="144" s="1"/>
  <c r="A68" i="144" s="1"/>
  <c r="C28" i="144"/>
  <c r="B28" i="144"/>
  <c r="A28" i="144"/>
  <c r="A41" i="144" s="1"/>
  <c r="A54" i="144" s="1"/>
  <c r="A67" i="144" s="1"/>
  <c r="C27" i="144"/>
  <c r="C40" i="144" s="1"/>
  <c r="C53" i="144" s="1"/>
  <c r="C66" i="144" s="1"/>
  <c r="B27" i="144"/>
  <c r="A27" i="144"/>
  <c r="A40" i="144" s="1"/>
  <c r="A53" i="144" s="1"/>
  <c r="A66" i="144" s="1"/>
  <c r="C26" i="144"/>
  <c r="C39" i="144" s="1"/>
  <c r="C52" i="144" s="1"/>
  <c r="C65" i="144" s="1"/>
  <c r="B26" i="144"/>
  <c r="B39" i="144" s="1"/>
  <c r="B52" i="144" s="1"/>
  <c r="B65" i="144" s="1"/>
  <c r="A26" i="144"/>
  <c r="A39" i="144" s="1"/>
  <c r="A52" i="144" s="1"/>
  <c r="A65" i="144" s="1"/>
  <c r="C25" i="144"/>
  <c r="C38" i="144" s="1"/>
  <c r="C51" i="144" s="1"/>
  <c r="C64" i="144" s="1"/>
  <c r="B25" i="144"/>
  <c r="B38" i="144" s="1"/>
  <c r="B51" i="144" s="1"/>
  <c r="B64" i="144" s="1"/>
  <c r="A25" i="144"/>
  <c r="A38" i="144" s="1"/>
  <c r="A51" i="144" s="1"/>
  <c r="A64" i="144" s="1"/>
  <c r="C24" i="144"/>
  <c r="B24" i="144"/>
  <c r="B37" i="144" s="1"/>
  <c r="B50" i="144" s="1"/>
  <c r="B63" i="144" s="1"/>
  <c r="A24" i="144"/>
  <c r="A37" i="144" s="1"/>
  <c r="A50" i="144" s="1"/>
  <c r="A63" i="144" s="1"/>
  <c r="C23" i="144"/>
  <c r="C36" i="144" s="1"/>
  <c r="C49" i="144" s="1"/>
  <c r="C62" i="144" s="1"/>
  <c r="B23" i="144"/>
  <c r="A23" i="144"/>
  <c r="C22" i="144"/>
  <c r="C35" i="144" s="1"/>
  <c r="C48" i="144" s="1"/>
  <c r="C61" i="144" s="1"/>
  <c r="B22" i="144"/>
  <c r="B35" i="144" s="1"/>
  <c r="B48" i="144" s="1"/>
  <c r="B61" i="144" s="1"/>
  <c r="A22" i="144"/>
  <c r="C21" i="144"/>
  <c r="C34" i="144" s="1"/>
  <c r="C47" i="144" s="1"/>
  <c r="C60" i="144" s="1"/>
  <c r="B21" i="144"/>
  <c r="B34" i="144" s="1"/>
  <c r="B47" i="144" s="1"/>
  <c r="B60" i="144" s="1"/>
  <c r="A21" i="144"/>
  <c r="A34" i="144" s="1"/>
  <c r="A47" i="144" s="1"/>
  <c r="A60" i="144" s="1"/>
  <c r="P20" i="144"/>
  <c r="P33" i="144" s="1"/>
  <c r="P46" i="144" s="1"/>
  <c r="P59" i="144" s="1"/>
  <c r="W7" i="144"/>
  <c r="W20" i="144" s="1"/>
  <c r="W33" i="144" s="1"/>
  <c r="W46" i="144" s="1"/>
  <c r="W59" i="144" s="1"/>
  <c r="V7" i="144"/>
  <c r="V20" i="144" s="1"/>
  <c r="V33" i="144" s="1"/>
  <c r="V46" i="144" s="1"/>
  <c r="V59" i="144" s="1"/>
  <c r="U7" i="144"/>
  <c r="U20" i="144" s="1"/>
  <c r="U33" i="144" s="1"/>
  <c r="U46" i="144" s="1"/>
  <c r="U59" i="144" s="1"/>
  <c r="T7" i="144"/>
  <c r="T20" i="144" s="1"/>
  <c r="T33" i="144" s="1"/>
  <c r="T46" i="144" s="1"/>
  <c r="T59" i="144" s="1"/>
  <c r="S7" i="144"/>
  <c r="S20" i="144" s="1"/>
  <c r="S33" i="144" s="1"/>
  <c r="S46" i="144" s="1"/>
  <c r="S59" i="144" s="1"/>
  <c r="R7" i="144"/>
  <c r="R20" i="144" s="1"/>
  <c r="R33" i="144" s="1"/>
  <c r="R46" i="144" s="1"/>
  <c r="R59" i="144" s="1"/>
  <c r="Q7" i="144"/>
  <c r="Q20" i="144" s="1"/>
  <c r="Q33" i="144" s="1"/>
  <c r="Q46" i="144" s="1"/>
  <c r="Q59" i="144" s="1"/>
  <c r="P7" i="144"/>
  <c r="O7" i="144"/>
  <c r="O20" i="144" s="1"/>
  <c r="O33" i="144" s="1"/>
  <c r="O46" i="144" s="1"/>
  <c r="O59" i="144" s="1"/>
  <c r="N7" i="144"/>
  <c r="N20" i="144" s="1"/>
  <c r="N33" i="144" s="1"/>
  <c r="N46" i="144" s="1"/>
  <c r="N59" i="144" s="1"/>
  <c r="M7" i="144"/>
  <c r="M20" i="144" s="1"/>
  <c r="M33" i="144" s="1"/>
  <c r="M46" i="144" s="1"/>
  <c r="M59" i="144" s="1"/>
  <c r="L7" i="144"/>
  <c r="L20" i="144" s="1"/>
  <c r="L33" i="144" s="1"/>
  <c r="L46" i="144" s="1"/>
  <c r="L59" i="144" s="1"/>
  <c r="K7" i="144"/>
  <c r="K20" i="144" s="1"/>
  <c r="K33" i="144" s="1"/>
  <c r="K46" i="144" s="1"/>
  <c r="K59" i="144" s="1"/>
  <c r="J7" i="144"/>
  <c r="J20" i="144" s="1"/>
  <c r="J33" i="144" s="1"/>
  <c r="J46" i="144" s="1"/>
  <c r="J59" i="144" s="1"/>
  <c r="I7" i="144"/>
  <c r="I20" i="144" s="1"/>
  <c r="I33" i="144" s="1"/>
  <c r="I46" i="144" s="1"/>
  <c r="I59" i="144" s="1"/>
  <c r="H7" i="144"/>
  <c r="H20" i="144" s="1"/>
  <c r="H33" i="144" s="1"/>
  <c r="H46" i="144" s="1"/>
  <c r="H59" i="144" s="1"/>
  <c r="G7" i="144"/>
  <c r="G20" i="144" s="1"/>
  <c r="G33" i="144" s="1"/>
  <c r="G46" i="144" s="1"/>
  <c r="G59" i="144" s="1"/>
  <c r="F7" i="144"/>
  <c r="F20" i="144" s="1"/>
  <c r="F33" i="144" s="1"/>
  <c r="F46" i="144" s="1"/>
  <c r="F59" i="144" s="1"/>
  <c r="E7" i="144"/>
  <c r="E20" i="144" s="1"/>
  <c r="E33" i="144" s="1"/>
  <c r="E46" i="144" s="1"/>
  <c r="E59" i="144" s="1"/>
  <c r="D7" i="144"/>
  <c r="D20" i="144" s="1"/>
  <c r="D33" i="144" s="1"/>
  <c r="D46" i="144" s="1"/>
  <c r="D59" i="144" s="1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9"/>
            <color indexed="81"/>
            <rFont val="돋움"/>
            <family val="3"/>
            <charset val="129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9"/>
            <color indexed="81"/>
            <rFont val="돋움"/>
            <family val="3"/>
            <charset val="129"/>
          </rPr>
          <t>단지 내 Type 별로 일정 세대수 이상만 추출</t>
        </r>
      </text>
    </comment>
    <comment ref="AA1" authorId="1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1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  <comment ref="I3" authorId="1" shapeId="0">
      <text>
        <r>
          <rPr>
            <sz val="9"/>
            <color indexed="81"/>
            <rFont val="Tahoma"/>
            <family val="2"/>
          </rPr>
          <t>1~3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탑층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9"/>
            <color indexed="81"/>
            <rFont val="돋움"/>
            <family val="3"/>
            <charset val="129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9"/>
            <color indexed="81"/>
            <rFont val="돋움"/>
            <family val="3"/>
            <charset val="129"/>
          </rPr>
          <t>단지 내 Type 별로 일정 세대수 이상만 추출</t>
        </r>
      </text>
    </comment>
    <comment ref="I3" authorId="1" shapeId="0">
      <text>
        <r>
          <rPr>
            <sz val="9"/>
            <color indexed="81"/>
            <rFont val="Tahoma"/>
            <family val="2"/>
          </rPr>
          <t>1~3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탑층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9"/>
            <color indexed="81"/>
            <rFont val="돋움"/>
            <family val="3"/>
            <charset val="129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sharedStrings.xml><?xml version="1.0" encoding="utf-8"?>
<sst xmlns="http://schemas.openxmlformats.org/spreadsheetml/2006/main" count="11140" uniqueCount="1327">
  <si>
    <t>매매가</t>
    <phoneticPr fontId="2" type="noConversion"/>
  </si>
  <si>
    <t>전세가</t>
    <phoneticPr fontId="2" type="noConversion"/>
  </si>
  <si>
    <t>갭</t>
    <phoneticPr fontId="2" type="noConversion"/>
  </si>
  <si>
    <t>평단가</t>
    <phoneticPr fontId="2" type="noConversion"/>
  </si>
  <si>
    <t>공급
면적</t>
    <phoneticPr fontId="2" type="noConversion"/>
  </si>
  <si>
    <t>전세
가율</t>
    <phoneticPr fontId="2" type="noConversion"/>
  </si>
  <si>
    <t>세대</t>
    <phoneticPr fontId="2" type="noConversion"/>
  </si>
  <si>
    <t>구
조</t>
    <phoneticPr fontId="2" type="noConversion"/>
  </si>
  <si>
    <t>방/
욕실</t>
    <phoneticPr fontId="2" type="noConversion"/>
  </si>
  <si>
    <t>비고</t>
    <phoneticPr fontId="2" type="noConversion"/>
  </si>
  <si>
    <t>단지명</t>
    <phoneticPr fontId="2" type="noConversion"/>
  </si>
  <si>
    <t>입주
연도</t>
    <phoneticPr fontId="2" type="noConversion"/>
  </si>
  <si>
    <t>총세
대수</t>
    <phoneticPr fontId="2" type="noConversion"/>
  </si>
  <si>
    <t>전용
면적</t>
    <phoneticPr fontId="2" type="noConversion"/>
  </si>
  <si>
    <t>매매
최저가</t>
    <phoneticPr fontId="2" type="noConversion"/>
  </si>
  <si>
    <t>전세
최고가</t>
    <phoneticPr fontId="2" type="noConversion"/>
  </si>
  <si>
    <t>전세
평단</t>
    <phoneticPr fontId="2" type="noConversion"/>
  </si>
  <si>
    <t>매매
평단</t>
    <phoneticPr fontId="2" type="noConversion"/>
  </si>
  <si>
    <t>방</t>
    <phoneticPr fontId="2" type="noConversion"/>
  </si>
  <si>
    <t>욕
실</t>
    <phoneticPr fontId="2" type="noConversion"/>
  </si>
  <si>
    <r>
      <t>공급
(m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r>
      <rPr>
        <sz val="9"/>
        <color theme="1"/>
        <rFont val="맑은 고딕"/>
        <family val="2"/>
        <charset val="129"/>
        <scheme val="minor"/>
      </rPr>
      <t>)</t>
    </r>
    <phoneticPr fontId="2" type="noConversion"/>
  </si>
  <si>
    <r>
      <t>전용
(m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r>
      <rPr>
        <sz val="9"/>
        <color theme="1"/>
        <rFont val="맑은 고딕"/>
        <family val="2"/>
        <charset val="129"/>
        <scheme val="minor"/>
      </rPr>
      <t>)</t>
    </r>
    <phoneticPr fontId="2" type="noConversion"/>
  </si>
  <si>
    <t>층</t>
    <phoneticPr fontId="2" type="noConversion"/>
  </si>
  <si>
    <t>원금보전</t>
    <phoneticPr fontId="2" type="noConversion"/>
  </si>
  <si>
    <t>수익성</t>
    <phoneticPr fontId="2" type="noConversion"/>
  </si>
  <si>
    <t>환금성</t>
    <phoneticPr fontId="2" type="noConversion"/>
  </si>
  <si>
    <t>직장</t>
    <phoneticPr fontId="2" type="noConversion"/>
  </si>
  <si>
    <t>교통</t>
    <phoneticPr fontId="2" type="noConversion"/>
  </si>
  <si>
    <t>학군</t>
    <phoneticPr fontId="2" type="noConversion"/>
  </si>
  <si>
    <t>환경</t>
    <phoneticPr fontId="2" type="noConversion"/>
  </si>
  <si>
    <t>공급</t>
    <phoneticPr fontId="2" type="noConversion"/>
  </si>
  <si>
    <t>전고점
이하</t>
    <phoneticPr fontId="2" type="noConversion"/>
  </si>
  <si>
    <t>X</t>
    <phoneticPr fontId="2" type="noConversion"/>
  </si>
  <si>
    <r>
      <t>평형</t>
    </r>
    <r>
      <rPr>
        <sz val="9"/>
        <rFont val="맑은 고딕"/>
        <family val="3"/>
        <charset val="129"/>
        <scheme val="minor"/>
      </rPr>
      <t>★
(15~34평)</t>
    </r>
    <phoneticPr fontId="2" type="noConversion"/>
  </si>
  <si>
    <t>매/전/월
Type</t>
    <phoneticPr fontId="2" type="noConversion"/>
  </si>
  <si>
    <t>입지평가 및 투자후보</t>
    <phoneticPr fontId="2" type="noConversion"/>
  </si>
  <si>
    <t>투자후보</t>
    <phoneticPr fontId="2" type="noConversion"/>
  </si>
  <si>
    <t>공급
평형</t>
    <phoneticPr fontId="2" type="noConversion"/>
  </si>
  <si>
    <t>매매가 최대(색상 최대)</t>
    <phoneticPr fontId="2" type="noConversion"/>
  </si>
  <si>
    <t>매매가 최소(색상 최소)</t>
    <phoneticPr fontId="2" type="noConversion"/>
  </si>
  <si>
    <t>투자후보</t>
    <phoneticPr fontId="2" type="noConversion"/>
  </si>
  <si>
    <t>추출대상</t>
    <phoneticPr fontId="2" type="noConversion"/>
  </si>
  <si>
    <t>A</t>
    <phoneticPr fontId="2" type="noConversion"/>
  </si>
  <si>
    <t>매전갭</t>
    <phoneticPr fontId="2" type="noConversion"/>
  </si>
  <si>
    <t>A-</t>
    <phoneticPr fontId="2" type="noConversion"/>
  </si>
  <si>
    <t>A+</t>
  </si>
  <si>
    <t>B+</t>
  </si>
  <si>
    <t>10평대</t>
    <phoneticPr fontId="2" type="noConversion"/>
  </si>
  <si>
    <t>20평대</t>
    <phoneticPr fontId="2" type="noConversion"/>
  </si>
  <si>
    <t>30평대</t>
    <phoneticPr fontId="2" type="noConversion"/>
  </si>
  <si>
    <t>40평대↑</t>
    <phoneticPr fontId="2" type="noConversion"/>
  </si>
  <si>
    <t>30년 이상</t>
    <phoneticPr fontId="2" type="noConversion"/>
  </si>
  <si>
    <t>합계</t>
    <phoneticPr fontId="2" type="noConversion"/>
  </si>
  <si>
    <t>10~20년</t>
    <phoneticPr fontId="2" type="noConversion"/>
  </si>
  <si>
    <t>20~30년</t>
    <phoneticPr fontId="2" type="noConversion"/>
  </si>
  <si>
    <t>10년 이하</t>
    <phoneticPr fontId="2" type="noConversion"/>
  </si>
  <si>
    <t>유사평형제거</t>
    <phoneticPr fontId="2" type="noConversion"/>
  </si>
  <si>
    <t>추출기준세대수</t>
    <phoneticPr fontId="2" type="noConversion"/>
  </si>
  <si>
    <t>세대이상</t>
    <phoneticPr fontId="2" type="noConversion"/>
  </si>
  <si>
    <t>입주연도</t>
    <phoneticPr fontId="2" type="noConversion"/>
  </si>
  <si>
    <t>입주월</t>
    <phoneticPr fontId="2" type="noConversion"/>
  </si>
  <si>
    <t>기준연도</t>
    <phoneticPr fontId="2" type="noConversion"/>
  </si>
  <si>
    <t>기준월</t>
    <phoneticPr fontId="2" type="noConversion"/>
  </si>
  <si>
    <t>'19.04</t>
    <phoneticPr fontId="2" type="noConversion"/>
  </si>
  <si>
    <t>계</t>
    <phoneticPr fontId="2" type="noConversion"/>
  </si>
  <si>
    <t>동명</t>
    <phoneticPr fontId="2" type="noConversion"/>
  </si>
  <si>
    <t>C</t>
    <phoneticPr fontId="2" type="noConversion"/>
  </si>
  <si>
    <t>동1</t>
    <phoneticPr fontId="2" type="noConversion"/>
  </si>
  <si>
    <t>동2</t>
    <phoneticPr fontId="2" type="noConversion"/>
  </si>
  <si>
    <t>동3</t>
    <phoneticPr fontId="2" type="noConversion"/>
  </si>
  <si>
    <t>전체</t>
    <phoneticPr fontId="2" type="noConversion"/>
  </si>
  <si>
    <t>~</t>
    <phoneticPr fontId="2" type="noConversion"/>
  </si>
  <si>
    <t>20평대(방3)</t>
    <phoneticPr fontId="2" type="noConversion"/>
  </si>
  <si>
    <t>20평대(방2)</t>
    <phoneticPr fontId="2" type="noConversion"/>
  </si>
  <si>
    <t>200세대 이상 108단지</t>
    <phoneticPr fontId="2" type="noConversion"/>
  </si>
  <si>
    <t>300세대 이상 69단지</t>
    <phoneticPr fontId="2" type="noConversion"/>
  </si>
  <si>
    <t>인천광역시 연수구</t>
  </si>
  <si>
    <t>인천광역시 연수구</t>
    <phoneticPr fontId="2" type="noConversion"/>
  </si>
  <si>
    <t>인천광역시 연수구 전체 등급</t>
  </si>
  <si>
    <t>단지명</t>
  </si>
  <si>
    <t>공급
면적</t>
  </si>
  <si>
    <t>전세가율★
(80%↑)</t>
  </si>
  <si>
    <t>절대가★
(4.5억↓)</t>
  </si>
  <si>
    <t>투자규모★
(갭6천↓)</t>
  </si>
  <si>
    <t>단지규모★
(300^↑)</t>
  </si>
  <si>
    <t/>
  </si>
  <si>
    <t>O</t>
    <phoneticPr fontId="2" type="noConversion"/>
  </si>
  <si>
    <t>평단가
(1000↓)</t>
  </si>
  <si>
    <t>동 이름 :</t>
    <phoneticPr fontId="2" type="noConversion"/>
  </si>
  <si>
    <t>KB 평면도입력</t>
  </si>
  <si>
    <t>[고등동]</t>
  </si>
  <si>
    <t>동은</t>
  </si>
  <si>
    <t>2006.08.</t>
  </si>
  <si>
    <t>계단식</t>
  </si>
  <si>
    <t>https://new.land.naver.com/complexes/101541?tab=detail&amp;rf=Y</t>
  </si>
  <si>
    <t>경기도 수원시 팔달구 고등동 67-19</t>
  </si>
  <si>
    <t>경기도</t>
  </si>
  <si>
    <t>수원시</t>
  </si>
  <si>
    <t>팔달구</t>
  </si>
  <si>
    <t>고등동</t>
  </si>
  <si>
    <t>경기도 수원시 팔달구 고매로 40</t>
  </si>
  <si>
    <t>수원역푸르지오자이</t>
  </si>
  <si>
    <t>2021.02.</t>
  </si>
  <si>
    <t>81A</t>
  </si>
  <si>
    <t>https://new.land.naver.com/complexes/124237?tab=detail&amp;rf=Y</t>
  </si>
  <si>
    <t>경기도 수원시 팔달구 고등동 수원고등주거환경개선사업지구에이-1블록</t>
  </si>
  <si>
    <t>경기도 수원시 팔달구 고등로 15</t>
  </si>
  <si>
    <t>82B</t>
  </si>
  <si>
    <t>82C</t>
  </si>
  <si>
    <t>100A</t>
  </si>
  <si>
    <t>101C</t>
  </si>
  <si>
    <t>101B</t>
  </si>
  <si>
    <t>114A</t>
  </si>
  <si>
    <t>114C</t>
  </si>
  <si>
    <t>114B</t>
  </si>
  <si>
    <t>114D</t>
  </si>
  <si>
    <t>엘리시아(도시형)</t>
  </si>
  <si>
    <t>2020.07.</t>
  </si>
  <si>
    <t>복도식</t>
  </si>
  <si>
    <t>42D</t>
  </si>
  <si>
    <t>https://new.land.naver.com/complexes/129013?tab=detail&amp;rf=Y</t>
  </si>
  <si>
    <t>경기도 수원시 팔달구 고등동 116</t>
  </si>
  <si>
    <t>경기도 수원시 팔달구 고매로 1</t>
  </si>
  <si>
    <t>46G</t>
  </si>
  <si>
    <t>51C1</t>
  </si>
  <si>
    <t>53C2</t>
  </si>
  <si>
    <t>59E</t>
  </si>
  <si>
    <t>68B</t>
  </si>
  <si>
    <t>78A</t>
  </si>
  <si>
    <t>81F</t>
  </si>
  <si>
    <t>아이제이빌</t>
  </si>
  <si>
    <t>2008.02.</t>
  </si>
  <si>
    <t>108A</t>
  </si>
  <si>
    <t>https://new.land.naver.com/complexes/104968?tab=detail&amp;rf=Y</t>
  </si>
  <si>
    <t>경기도 수원시 팔달구 고등동 305-7</t>
  </si>
  <si>
    <t>경기도 수원시 팔달구 갓매산로76번길 6</t>
  </si>
  <si>
    <t>108D</t>
  </si>
  <si>
    <t>108C</t>
  </si>
  <si>
    <t>108B</t>
  </si>
  <si>
    <t>해창</t>
  </si>
  <si>
    <t>1979.05.</t>
  </si>
  <si>
    <t>61A</t>
  </si>
  <si>
    <t>https://new.land.naver.com/complexes/1750?tab=detail&amp;rf=Y</t>
  </si>
  <si>
    <t>경기도 수원시 팔달구 고등동 94-1</t>
  </si>
  <si>
    <t>경기도 수원시 팔달구 갓매산로86번길 40</t>
  </si>
  <si>
    <t>61B</t>
  </si>
  <si>
    <t>61C</t>
  </si>
  <si>
    <t>74B</t>
  </si>
  <si>
    <t>74A</t>
  </si>
  <si>
    <t>87B</t>
  </si>
  <si>
    <t>87A</t>
  </si>
  <si>
    <t>88C</t>
  </si>
  <si>
    <t>루체스타(도시형)</t>
  </si>
  <si>
    <t>2020.09.</t>
  </si>
  <si>
    <t>24C</t>
  </si>
  <si>
    <t>https://new.land.naver.com/complexes/134723?tab=detail&amp;rf=Y</t>
  </si>
  <si>
    <t>경기도 수원시 팔달구 고등동 305-10</t>
  </si>
  <si>
    <t>경기도 수원시 팔달구 갓매산로76번길 10</t>
  </si>
  <si>
    <t>36D</t>
  </si>
  <si>
    <t>[교동]</t>
  </si>
  <si>
    <t>로얄팰리스</t>
  </si>
  <si>
    <t>2012.11.</t>
  </si>
  <si>
    <t>https://new.land.naver.com/complexes/113561?tab=detail&amp;rf=Y</t>
  </si>
  <si>
    <t>경기도 수원시 팔달구 교동 178</t>
  </si>
  <si>
    <t>교동</t>
  </si>
  <si>
    <t>경기도 수원시 팔달구 매산로96번길 8</t>
  </si>
  <si>
    <t>모던힐트윈타워</t>
  </si>
  <si>
    <t>2019.08.</t>
  </si>
  <si>
    <t>https://new.land.naver.com/complexes/134437?tab=detail&amp;rf=Y</t>
  </si>
  <si>
    <t>경기도 수원시 팔달구 교동 11-44</t>
  </si>
  <si>
    <t>경기도 수원시 팔달구 향교로 141</t>
  </si>
  <si>
    <t>109B</t>
  </si>
  <si>
    <t>115A</t>
  </si>
  <si>
    <t>115B</t>
  </si>
  <si>
    <t>피카소힐</t>
  </si>
  <si>
    <t>2015.12.</t>
  </si>
  <si>
    <t>https://new.land.naver.com/complexes/113562?tab=detail&amp;rf=Y</t>
  </si>
  <si>
    <t>경기도 수원시 팔달구 교동 142-14</t>
  </si>
  <si>
    <t>경기도 수원시 팔달구 매산로116번길 22</t>
  </si>
  <si>
    <t>78B</t>
  </si>
  <si>
    <t>85A</t>
  </si>
  <si>
    <t>세림타워</t>
  </si>
  <si>
    <t>2018.02.</t>
  </si>
  <si>
    <t>https://new.land.naver.com/complexes/126564?tab=detail&amp;rf=Y</t>
  </si>
  <si>
    <t>경기도 수원시 팔달구 교동 177</t>
  </si>
  <si>
    <t>경기도 수원시 팔달구 매산로96번길 6-3</t>
  </si>
  <si>
    <t>힐스테이트푸르지오수원</t>
  </si>
  <si>
    <t>2022.08.</t>
  </si>
  <si>
    <t>https://new.land.naver.com/complexes/128305?tab=detail&amp;rf=Y</t>
  </si>
  <si>
    <t>경기도 수원시 팔달구 교동 155-41 일대</t>
  </si>
  <si>
    <t>경기도 수원시 팔달구</t>
  </si>
  <si>
    <t>88B</t>
  </si>
  <si>
    <t>이지빌</t>
  </si>
  <si>
    <t>2006.03.</t>
  </si>
  <si>
    <t>https://new.land.naver.com/complexes/101504?tab=detail&amp;rf=Y</t>
  </si>
  <si>
    <t>경기도 수원시 팔달구 교동 79-3</t>
  </si>
  <si>
    <t>경기도 수원시 팔달구 향교로 123</t>
  </si>
  <si>
    <t>104C</t>
  </si>
  <si>
    <t>104A</t>
  </si>
  <si>
    <t>104B</t>
  </si>
  <si>
    <t>풍림아이원</t>
  </si>
  <si>
    <t>2005.04.</t>
  </si>
  <si>
    <t>https://new.land.naver.com/complexes/23258?tab=detail&amp;rf=Y</t>
  </si>
  <si>
    <t>경기도 수원시 팔달구 교동 185-7</t>
  </si>
  <si>
    <t>경기도 수원시 팔달구 매산로104번길 10</t>
  </si>
  <si>
    <t>73B</t>
  </si>
  <si>
    <t>73A</t>
  </si>
  <si>
    <t>76F</t>
  </si>
  <si>
    <t>98A</t>
  </si>
  <si>
    <t>99B</t>
  </si>
  <si>
    <t>화성파크빌(도시형)</t>
  </si>
  <si>
    <t>2017.10.</t>
  </si>
  <si>
    <t>https://new.land.naver.com/complexes/144781?tab=detail&amp;rf=Y</t>
  </si>
  <si>
    <t>경기도 수원시 팔달구 교동 19-2</t>
  </si>
  <si>
    <t>경기도 수원시 팔달구 향교로 119</t>
  </si>
  <si>
    <t>55A</t>
  </si>
  <si>
    <t>56B</t>
  </si>
  <si>
    <t>삼성캐슬</t>
  </si>
  <si>
    <t>2017.01.</t>
  </si>
  <si>
    <t>https://new.land.naver.com/complexes/122735?tab=detail&amp;rf=Y</t>
  </si>
  <si>
    <t>경기도 수원시 팔달구 교동 142-11</t>
  </si>
  <si>
    <t>경기도 수원시 팔달구 매산로116번길 19</t>
  </si>
  <si>
    <t>[구천동]</t>
  </si>
  <si>
    <t>스카이빌Ⅰ(도시형)</t>
  </si>
  <si>
    <t>2014.02.</t>
  </si>
  <si>
    <t>22A</t>
  </si>
  <si>
    <t>https://new.land.naver.com/complexes/122438?tab=detail&amp;rf=Y</t>
  </si>
  <si>
    <t>경기도 수원시 팔달구 구천동 69</t>
  </si>
  <si>
    <t>구천동</t>
  </si>
  <si>
    <t>경기도 수원시 팔달구 정조로712번길 20</t>
  </si>
  <si>
    <t>23C</t>
  </si>
  <si>
    <t>23B</t>
  </si>
  <si>
    <t>24D</t>
  </si>
  <si>
    <t>우남빌(도시형)</t>
  </si>
  <si>
    <t>2016.11.</t>
  </si>
  <si>
    <t>https://new.land.naver.com/complexes/142446?tab=detail&amp;rf=Y</t>
  </si>
  <si>
    <t>경기도 수원시 팔달구 구천동 42-1</t>
  </si>
  <si>
    <t>경기도 수원시 팔달구 정조로742번길 24-1</t>
  </si>
  <si>
    <t>꼬모빌</t>
  </si>
  <si>
    <t>2017.04.</t>
  </si>
  <si>
    <t>https://new.land.naver.com/complexes/135354?tab=detail&amp;rf=Y</t>
  </si>
  <si>
    <t>경기도 수원시 팔달구 구천동 41-1</t>
  </si>
  <si>
    <t>경기도 수원시 팔달구 정조로742번길 24-10</t>
  </si>
  <si>
    <t>80B</t>
  </si>
  <si>
    <t>[남수동]</t>
  </si>
  <si>
    <t>소라</t>
  </si>
  <si>
    <t>1978.05.</t>
  </si>
  <si>
    <t>https://new.land.naver.com/complexes/103444?tab=detail&amp;rf=Y</t>
  </si>
  <si>
    <t>경기도 수원시 팔달구 남수동 105-8</t>
  </si>
  <si>
    <t>남수동</t>
  </si>
  <si>
    <t>경기도 수원시 팔달구 정조로796번길 21</t>
  </si>
  <si>
    <t>91A</t>
  </si>
  <si>
    <t>92B</t>
  </si>
  <si>
    <t>93C</t>
  </si>
  <si>
    <t>97A</t>
  </si>
  <si>
    <t>97B</t>
  </si>
  <si>
    <t>98C</t>
  </si>
  <si>
    <t>네오빌(도시형)</t>
  </si>
  <si>
    <t>2016.02.</t>
  </si>
  <si>
    <t>https://new.land.naver.com/complexes/140450?tab=detail&amp;rf=Y</t>
  </si>
  <si>
    <t>경기도 수원시 팔달구 남수동 27-1</t>
  </si>
  <si>
    <t>경기도 수원시 팔달구 창룡대로 32</t>
  </si>
  <si>
    <t>62A</t>
  </si>
  <si>
    <t>64B</t>
  </si>
  <si>
    <t>70A</t>
  </si>
  <si>
    <t>70B</t>
  </si>
  <si>
    <t>71B</t>
  </si>
  <si>
    <t>72A</t>
  </si>
  <si>
    <t>72C</t>
  </si>
  <si>
    <t>[매교동]</t>
  </si>
  <si>
    <t>건영캐스빌</t>
  </si>
  <si>
    <t>2001.04.</t>
  </si>
  <si>
    <t>https://new.land.naver.com/complexes/9601?tab=detail&amp;rf=Y</t>
  </si>
  <si>
    <t>경기도 수원시 팔달구 매교동 25-4</t>
  </si>
  <si>
    <t>매교동</t>
  </si>
  <si>
    <t>경기도 수원시 팔달구 매산로130번길 15</t>
  </si>
  <si>
    <t>계림</t>
  </si>
  <si>
    <t>2007.06.</t>
  </si>
  <si>
    <t>https://new.land.naver.com/complexes/111066?tab=detail&amp;rf=Y</t>
  </si>
  <si>
    <t>경기도 수원시 팔달구 매교동 77-67</t>
  </si>
  <si>
    <t>경기도 수원시 팔달구 매산로126번길 12-11</t>
  </si>
  <si>
    <t>88A</t>
  </si>
  <si>
    <t>89B</t>
  </si>
  <si>
    <t>매교퍼스트빌</t>
  </si>
  <si>
    <t>2016.09.</t>
  </si>
  <si>
    <t>https://new.land.naver.com/complexes/133025?tab=detail&amp;rf=Y</t>
  </si>
  <si>
    <t>경기도 수원시 팔달구 매교동 147-1</t>
  </si>
  <si>
    <t>경기도 수원시 팔달구 수원천로 178</t>
  </si>
  <si>
    <t>연향예스빌</t>
  </si>
  <si>
    <t>2004.04.</t>
  </si>
  <si>
    <t>83B</t>
  </si>
  <si>
    <t>https://new.land.naver.com/complexes/11238?tab=detail&amp;rf=Y</t>
  </si>
  <si>
    <t>경기도 수원시 팔달구 매교동 142-1</t>
  </si>
  <si>
    <t>경기도 수원시 팔달구 정조로 687</t>
  </si>
  <si>
    <t>83A</t>
  </si>
  <si>
    <t>문화맨션</t>
  </si>
  <si>
    <t>https://new.land.naver.com/complexes/2685?tab=detail&amp;rf=Y</t>
  </si>
  <si>
    <t>경기도 수원시 팔달구 매교동 158-6</t>
  </si>
  <si>
    <t>경기도 수원시 팔달구 정조로 659</t>
  </si>
  <si>
    <t>89A</t>
  </si>
  <si>
    <t>화랑에코빌(도시형)</t>
  </si>
  <si>
    <t>54A</t>
  </si>
  <si>
    <t>https://new.land.naver.com/complexes/133727?tab=detail&amp;rf=Y</t>
  </si>
  <si>
    <t>경기도 수원시 팔달구 매교동 77-27</t>
  </si>
  <si>
    <t>경기도 수원시 팔달구 매산로116번길 35</t>
  </si>
  <si>
    <t>55B</t>
  </si>
  <si>
    <t>해피팰리스</t>
  </si>
  <si>
    <t>2015.01.</t>
  </si>
  <si>
    <t>https://new.land.naver.com/complexes/110775?tab=detail&amp;rf=Y</t>
  </si>
  <si>
    <t>경기도 수원시 팔달구 매교동 74-46</t>
  </si>
  <si>
    <t>경기도 수원시 팔달구 매산로116번길 25-9</t>
  </si>
  <si>
    <t>블루오션</t>
  </si>
  <si>
    <t>2017.03.</t>
  </si>
  <si>
    <t>65A</t>
  </si>
  <si>
    <t>https://new.land.naver.com/complexes/124047?tab=detail&amp;rf=Y</t>
  </si>
  <si>
    <t>경기도 수원시 팔달구 매교동 77-75</t>
  </si>
  <si>
    <t>경기도 수원시 팔달구 매산로116번길 46</t>
  </si>
  <si>
    <t>66B</t>
  </si>
  <si>
    <t>67C</t>
  </si>
  <si>
    <t>2007.10.</t>
  </si>
  <si>
    <t>https://new.land.naver.com/complexes/107434?tab=detail&amp;rf=Y</t>
  </si>
  <si>
    <t>경기도 수원시 팔달구 매교동 65-13</t>
  </si>
  <si>
    <t>경기도 수원시 팔달구 정조로709번길 56-2</t>
  </si>
  <si>
    <t>만강</t>
  </si>
  <si>
    <t>2021.04.</t>
  </si>
  <si>
    <t>https://new.land.naver.com/complexes/141437?tab=detail&amp;rf=Y</t>
  </si>
  <si>
    <t>경기도 수원시 팔달구 매교동 24-6</t>
  </si>
  <si>
    <t>경기도 수원시 팔달구 정조로715번길 29</t>
  </si>
  <si>
    <t>75A</t>
  </si>
  <si>
    <t>75B</t>
  </si>
  <si>
    <t>매교역푸르지오SK뷰</t>
  </si>
  <si>
    <t>2022.07.</t>
  </si>
  <si>
    <t>-</t>
  </si>
  <si>
    <t>https://new.land.naver.com/complexes/129264?tab=detail&amp;rf=Y</t>
  </si>
  <si>
    <t>경기도 수원시 팔달구 매교동 209-14번지 일원</t>
  </si>
  <si>
    <t>81C</t>
  </si>
  <si>
    <t>101A</t>
  </si>
  <si>
    <t>102B</t>
  </si>
  <si>
    <t>타워팰리스2차</t>
  </si>
  <si>
    <t>2017.06.</t>
  </si>
  <si>
    <t>https://new.land.naver.com/complexes/139276?tab=detail&amp;rf=Y</t>
  </si>
  <si>
    <t>경기도 수원시 팔달구 매교동 74-62</t>
  </si>
  <si>
    <t>경기도 수원시 팔달구 매산로126번길 46-6</t>
  </si>
  <si>
    <t>[매산로1가]</t>
  </si>
  <si>
    <t>매산</t>
  </si>
  <si>
    <t>1977.10.</t>
  </si>
  <si>
    <t>https://new.land.naver.com/complexes/113615?tab=detail&amp;rf=Y</t>
  </si>
  <si>
    <t>경기도 수원시 팔달구 매산로1가 24</t>
  </si>
  <si>
    <t>매산로1가</t>
  </si>
  <si>
    <t>경기도 수원시 팔달구 갓매산로71번길 8</t>
  </si>
  <si>
    <t>비치나움(도시형)</t>
  </si>
  <si>
    <t>2014.12.</t>
  </si>
  <si>
    <t>24A</t>
  </si>
  <si>
    <t>https://new.land.naver.com/complexes/112470?tab=detail&amp;rf=Y</t>
  </si>
  <si>
    <t>경기도 수원시 팔달구 매산로1가 111-2</t>
  </si>
  <si>
    <t>경기도 수원시 팔달구 팔달로 4-2</t>
  </si>
  <si>
    <t>24B</t>
  </si>
  <si>
    <t>48B</t>
  </si>
  <si>
    <t>49A</t>
  </si>
  <si>
    <t>[매산로2가]</t>
  </si>
  <si>
    <t>대한대우</t>
  </si>
  <si>
    <t>1999.12.</t>
  </si>
  <si>
    <t>https://new.land.naver.com/complexes/10390?tab=detail&amp;rf=Y</t>
  </si>
  <si>
    <t>경기도 수원시 팔달구 매산로2가 90</t>
  </si>
  <si>
    <t>매산로2가</t>
  </si>
  <si>
    <t>경기도 수원시 팔달구 권선로 477</t>
  </si>
  <si>
    <t>78C</t>
  </si>
  <si>
    <t>105B</t>
  </si>
  <si>
    <t>105A</t>
  </si>
  <si>
    <t>2007.12.</t>
  </si>
  <si>
    <t>https://new.land.naver.com/complexes/110166?tab=detail&amp;rf=Y</t>
  </si>
  <si>
    <t>경기도 수원시 팔달구 매산로2가 11-2</t>
  </si>
  <si>
    <t>경기도 수원시 팔달구 갓매산로56번길 12</t>
  </si>
  <si>
    <t>102A</t>
  </si>
  <si>
    <t>104D</t>
  </si>
  <si>
    <t>104F</t>
  </si>
  <si>
    <t>105C</t>
  </si>
  <si>
    <t>106E</t>
  </si>
  <si>
    <t>이건</t>
  </si>
  <si>
    <t>2005.05.</t>
  </si>
  <si>
    <t>100B</t>
  </si>
  <si>
    <t>https://new.land.naver.com/complexes/113046?tab=detail&amp;rf=Y</t>
  </si>
  <si>
    <t>경기도 수원시 팔달구 매산로2가 84-5</t>
  </si>
  <si>
    <t>경기도 수원시 팔달구 갓매산로19번길 29</t>
  </si>
  <si>
    <t>하이라이프</t>
  </si>
  <si>
    <t>2012.08.</t>
  </si>
  <si>
    <t>https://new.land.naver.com/complexes/107786?tab=detail&amp;rf=Y</t>
  </si>
  <si>
    <t>경기도 수원시 팔달구 매산로2가 101-1</t>
  </si>
  <si>
    <t>경기도 수원시 팔달구 매산로20번길 23</t>
  </si>
  <si>
    <t>99A</t>
  </si>
  <si>
    <t>[매산로3가]</t>
  </si>
  <si>
    <t>스마트빌</t>
  </si>
  <si>
    <t>2019.05.</t>
  </si>
  <si>
    <t>https://new.land.naver.com/complexes/137964?tab=detail&amp;rf=Y</t>
  </si>
  <si>
    <t>경기도 수원시 팔달구 매산로3가 16-8</t>
  </si>
  <si>
    <t>매산로3가</t>
  </si>
  <si>
    <t>경기도 수원시 팔달구 향교로 79</t>
  </si>
  <si>
    <t>63B</t>
  </si>
  <si>
    <t>우주그린</t>
  </si>
  <si>
    <t>https://new.land.naver.com/complexes/110774?tab=detail&amp;rf=Y</t>
  </si>
  <si>
    <t>경기도 수원시 팔달구 매산로3가 16-24</t>
  </si>
  <si>
    <t>경기도 수원시 팔달구 효원로 23-6</t>
  </si>
  <si>
    <t>95B</t>
  </si>
  <si>
    <t>95A</t>
  </si>
  <si>
    <t>97C</t>
  </si>
  <si>
    <t>KCC파크타운</t>
  </si>
  <si>
    <t>2005.07.</t>
  </si>
  <si>
    <t>https://new.land.naver.com/complexes/14531?tab=detail&amp;rf=Y</t>
  </si>
  <si>
    <t>경기도 수원시 팔달구 매산로3가 32-1</t>
  </si>
  <si>
    <t>경기도 수원시 팔달구 매산로 75</t>
  </si>
  <si>
    <t>102C</t>
  </si>
  <si>
    <t>코로나빌(도시형)</t>
  </si>
  <si>
    <t>https://new.land.naver.com/complexes/124850?tab=detail&amp;rf=Y</t>
  </si>
  <si>
    <t>경기도 수원시 팔달구 매산로3가 91-1</t>
  </si>
  <si>
    <t>경기도 수원시 팔달구 세류로83번길 36-2</t>
  </si>
  <si>
    <t>38B</t>
  </si>
  <si>
    <t>38C</t>
  </si>
  <si>
    <t>38A</t>
  </si>
  <si>
    <t>우리하이빌</t>
  </si>
  <si>
    <t>2008.01.</t>
  </si>
  <si>
    <t>https://new.land.naver.com/complexes/101560?tab=detail&amp;rf=Y</t>
  </si>
  <si>
    <t>경기도 수원시 팔달구 매산로3가 35-6</t>
  </si>
  <si>
    <t>경기도 수원시 팔달구 매산로 77-14</t>
  </si>
  <si>
    <t>103C</t>
  </si>
  <si>
    <t>103B</t>
  </si>
  <si>
    <t>[우만동]</t>
  </si>
  <si>
    <t>신성미소지움</t>
  </si>
  <si>
    <t>2002.12.</t>
  </si>
  <si>
    <t>https://new.land.naver.com/complexes/10171?tab=detail&amp;rf=Y</t>
  </si>
  <si>
    <t>경기도 수원시 팔달구 우만동 138</t>
  </si>
  <si>
    <t>우만동</t>
  </si>
  <si>
    <t>경기도 수원시 팔달구 중부대로 193</t>
  </si>
  <si>
    <t>윈하우스(도시형)</t>
  </si>
  <si>
    <t>https://new.land.naver.com/complexes/111938?tab=detail&amp;rf=Y</t>
  </si>
  <si>
    <t>경기도 수원시 팔달구 우만동 504-15</t>
  </si>
  <si>
    <t>경기도 수원시 팔달구 경수대로656번길 55-11</t>
  </si>
  <si>
    <t>선경</t>
  </si>
  <si>
    <t>1995.10.</t>
  </si>
  <si>
    <t>https://new.land.naver.com/complexes/1816?tab=detail&amp;rf=Y</t>
  </si>
  <si>
    <t>경기도 수원시 팔달구 우만동 98</t>
  </si>
  <si>
    <t>경기도 수원시 팔달구 중부대로 215</t>
  </si>
  <si>
    <t>풍림</t>
  </si>
  <si>
    <t>1987.12.</t>
  </si>
  <si>
    <t>https://new.land.naver.com/complexes/2491?tab=detail&amp;rf=Y</t>
  </si>
  <si>
    <t>경기도 수원시 팔달구 우만동 498</t>
  </si>
  <si>
    <t>경기도 수원시 팔달구 세지로 439-14</t>
  </si>
  <si>
    <t>동수원신도브래뉴</t>
  </si>
  <si>
    <t>2007.08.</t>
  </si>
  <si>
    <t>111A</t>
  </si>
  <si>
    <t>https://new.land.naver.com/complexes/22283?tab=detail&amp;rf=Y</t>
  </si>
  <si>
    <t>경기도 수원시 팔달구 우만동 606</t>
  </si>
  <si>
    <t>경기도 수원시 팔달구 중부대로183번길 27</t>
  </si>
  <si>
    <t>112B</t>
  </si>
  <si>
    <t>신미주</t>
  </si>
  <si>
    <t>1989.12.</t>
  </si>
  <si>
    <t>https://new.land.naver.com/complexes/1820?tab=detail&amp;rf=Y</t>
  </si>
  <si>
    <t>경기도 수원시 팔달구 우만동 517</t>
  </si>
  <si>
    <t>경기도 수원시 팔달구 월드컵로321번길 17</t>
  </si>
  <si>
    <t>주공1단지</t>
  </si>
  <si>
    <t>1988.06.</t>
  </si>
  <si>
    <t>https://new.land.naver.com/complexes/1819?tab=detail&amp;rf=Y</t>
  </si>
  <si>
    <t>경기도 수원시 팔달구 우만동 28</t>
  </si>
  <si>
    <t>경기도 수원시 팔달구 중부대로223번길 102</t>
  </si>
  <si>
    <t>주공2단지</t>
  </si>
  <si>
    <t>1989.08.</t>
  </si>
  <si>
    <t>https://new.land.naver.com/complexes/1815?tab=detail&amp;rf=Y</t>
  </si>
  <si>
    <t>경기도 수원시 팔달구 중부대로223번길 92</t>
  </si>
  <si>
    <t>삼익세라믹</t>
  </si>
  <si>
    <t>1989.10.</t>
  </si>
  <si>
    <t>https://new.land.naver.com/complexes/1814?tab=detail&amp;rf=Y</t>
  </si>
  <si>
    <t>경기도 수원시 팔달구 우만동 494</t>
  </si>
  <si>
    <t>경기도 수원시 팔달구 경수대로680번길 50</t>
  </si>
  <si>
    <t>우만한일베라체ECOPLUS(아)</t>
  </si>
  <si>
    <t>2022.06.</t>
  </si>
  <si>
    <t>https://new.land.naver.com/complexes/127743?tab=detail&amp;rf=Y</t>
  </si>
  <si>
    <t>경기도 수원시 팔달구 우만동 139-18번지 외 9필지</t>
  </si>
  <si>
    <t>삼성</t>
  </si>
  <si>
    <t>1995.12.</t>
  </si>
  <si>
    <t>https://new.land.naver.com/complexes/1813?tab=detail&amp;rf=Y</t>
  </si>
  <si>
    <t>경기도 수원시 팔달구 우만동 76-7</t>
  </si>
  <si>
    <t>경기도 수원시 팔달구 아주로 17</t>
  </si>
  <si>
    <t>월드메르디앙</t>
  </si>
  <si>
    <t>2004.06.</t>
  </si>
  <si>
    <t>https://new.land.naver.com/complexes/8177?tab=detail&amp;rf=Y</t>
  </si>
  <si>
    <t>경기도 수원시 팔달구 우만동 600</t>
  </si>
  <si>
    <t>경기도 수원시 팔달구 권광로 373</t>
  </si>
  <si>
    <t>원일(도시형)</t>
  </si>
  <si>
    <t>2019.03.</t>
  </si>
  <si>
    <t>32A</t>
  </si>
  <si>
    <t>https://new.land.naver.com/complexes/125167?tab=detail&amp;rf=Y</t>
  </si>
  <si>
    <t>경기도 수원시 팔달구 우만동 558-4</t>
  </si>
  <si>
    <t>경기도 수원시 팔달구 팔달문로130번길 55</t>
  </si>
  <si>
    <t>36B</t>
  </si>
  <si>
    <t>37C</t>
  </si>
  <si>
    <t>37D</t>
  </si>
  <si>
    <t>42A</t>
  </si>
  <si>
    <t>42B</t>
  </si>
  <si>
    <t>현대</t>
  </si>
  <si>
    <t>1985.06.</t>
  </si>
  <si>
    <t>https://new.land.naver.com/complexes/1822?tab=detail&amp;rf=Y</t>
  </si>
  <si>
    <t>경기도 수원시 팔달구 우만동 129-1</t>
  </si>
  <si>
    <t>경기도 수원시 팔달구 권광로364번길 7-2</t>
  </si>
  <si>
    <t>우만R타워(도시형)</t>
  </si>
  <si>
    <t>2012.10.</t>
  </si>
  <si>
    <t>25A</t>
  </si>
  <si>
    <t>https://new.land.naver.com/complexes/106221?tab=detail&amp;rf=Y</t>
  </si>
  <si>
    <t>경기도 수원시 팔달구 우만동 85-3</t>
  </si>
  <si>
    <t>경기도 수원시 팔달구 중부대로239번길 5</t>
  </si>
  <si>
    <t>25B</t>
  </si>
  <si>
    <t>31B</t>
  </si>
  <si>
    <t>33A</t>
  </si>
  <si>
    <t>동원파크뷰</t>
  </si>
  <si>
    <t>2016.03.</t>
  </si>
  <si>
    <t>https://new.land.naver.com/complexes/116384?tab=detail&amp;rf=Y</t>
  </si>
  <si>
    <t>경기도 수원시 팔달구 우만동 499-6</t>
  </si>
  <si>
    <t>경기도 수원시 팔달구 월드컵로321번길 12-12</t>
  </si>
  <si>
    <t>67B</t>
  </si>
  <si>
    <t>68A</t>
  </si>
  <si>
    <t>68C</t>
  </si>
  <si>
    <t>나성</t>
  </si>
  <si>
    <t>https://new.land.naver.com/complexes/107132?tab=detail&amp;rf=Y</t>
  </si>
  <si>
    <t>경기도 수원시 팔달구 우만동 477</t>
  </si>
  <si>
    <t>경기도 수원시 팔달구 월드컵로369번길 41</t>
  </si>
  <si>
    <t>동도센트리움</t>
  </si>
  <si>
    <t>106A</t>
  </si>
  <si>
    <t>https://new.land.naver.com/complexes/25903?tab=detail&amp;rf=Y</t>
  </si>
  <si>
    <t>경기도 수원시 팔달구 우만동 533-1</t>
  </si>
  <si>
    <t>경기도 수원시 팔달구 팔달문로 183</t>
  </si>
  <si>
    <t>107B</t>
  </si>
  <si>
    <t>금성</t>
  </si>
  <si>
    <t>1985.03.</t>
  </si>
  <si>
    <t>https://new.land.naver.com/complexes/100407?tab=detail&amp;rf=Y</t>
  </si>
  <si>
    <t>경기도 수원시 팔달구 우만동 58-1</t>
  </si>
  <si>
    <t>경기도 수원시 팔달구 아주로47번길 8</t>
  </si>
  <si>
    <t>94A</t>
  </si>
  <si>
    <t>주공4단지</t>
  </si>
  <si>
    <t>1992.03.</t>
  </si>
  <si>
    <t>52A</t>
  </si>
  <si>
    <t>https://new.land.naver.com/complexes/11648?tab=detail&amp;rf=Y</t>
  </si>
  <si>
    <t>경기도 수원시 팔달구 우만동 300</t>
  </si>
  <si>
    <t>경기도 수원시 팔달구 창룡대로 194</t>
  </si>
  <si>
    <t>52B</t>
  </si>
  <si>
    <t>57A</t>
  </si>
  <si>
    <t>60B</t>
  </si>
  <si>
    <t>60A</t>
  </si>
  <si>
    <t>72B</t>
  </si>
  <si>
    <t>74C</t>
  </si>
  <si>
    <t>한효우만타운</t>
  </si>
  <si>
    <t>1996.11.</t>
  </si>
  <si>
    <t>https://new.land.naver.com/complexes/8767?tab=detail&amp;rf=Y</t>
  </si>
  <si>
    <t>경기도 수원시 팔달구 우만동 526-12</t>
  </si>
  <si>
    <t>경기도 수원시 팔달구 팔달문로139번길 11-4</t>
  </si>
  <si>
    <t>84A</t>
  </si>
  <si>
    <t>85B</t>
  </si>
  <si>
    <t>보은맨션</t>
  </si>
  <si>
    <t>1986.05.</t>
  </si>
  <si>
    <t>https://new.land.naver.com/complexes/9977?tab=detail&amp;rf=Y</t>
  </si>
  <si>
    <t>경기도 수원시 팔달구 우만동 479-1</t>
  </si>
  <si>
    <t>경기도 수원시 팔달구 월드컵로369번길 13</t>
  </si>
  <si>
    <t>양우내안애애플(도시형)</t>
  </si>
  <si>
    <t>2013.09.</t>
  </si>
  <si>
    <t>20N</t>
  </si>
  <si>
    <t>https://new.land.naver.com/complexes/104869?tab=detail&amp;rf=Y</t>
  </si>
  <si>
    <t>경기도 수원시 팔달구 우만동 607</t>
  </si>
  <si>
    <t>경기도 수원시 팔달구 권광로367번길 11</t>
  </si>
  <si>
    <t>21O</t>
  </si>
  <si>
    <t>21W</t>
  </si>
  <si>
    <t>21Y</t>
  </si>
  <si>
    <t>22C</t>
  </si>
  <si>
    <t>22B</t>
  </si>
  <si>
    <t>22S</t>
  </si>
  <si>
    <t>23A</t>
  </si>
  <si>
    <t>23H</t>
  </si>
  <si>
    <t>24E</t>
  </si>
  <si>
    <t>25Q</t>
  </si>
  <si>
    <t>26M</t>
  </si>
  <si>
    <t>27D</t>
  </si>
  <si>
    <t>28X</t>
  </si>
  <si>
    <t>29F</t>
  </si>
  <si>
    <t>29L</t>
  </si>
  <si>
    <t>31G</t>
  </si>
  <si>
    <t>32V</t>
  </si>
  <si>
    <t>32U</t>
  </si>
  <si>
    <t>34G</t>
  </si>
  <si>
    <t>37J</t>
  </si>
  <si>
    <t>37V</t>
  </si>
  <si>
    <t>38P</t>
  </si>
  <si>
    <t>38T</t>
  </si>
  <si>
    <t>43K</t>
  </si>
  <si>
    <t>[인계동]</t>
  </si>
  <si>
    <t>인계베스트빌</t>
  </si>
  <si>
    <t>2004.08.</t>
  </si>
  <si>
    <t>https://new.land.naver.com/complexes/27278?tab=detail&amp;rf=Y</t>
  </si>
  <si>
    <t>경기도 수원시 팔달구 인계동 968-6</t>
  </si>
  <si>
    <t>인계동</t>
  </si>
  <si>
    <t>경기도 수원시 팔달구 장다리로233번길 4</t>
  </si>
  <si>
    <t>다원캐슬</t>
  </si>
  <si>
    <t>https://new.land.naver.com/complexes/125173?tab=detail&amp;rf=Y</t>
  </si>
  <si>
    <t>경기도 수원시 팔달구 인계동 954-1</t>
  </si>
  <si>
    <t>경기도 수원시 팔달구 경수대로565번길 21</t>
  </si>
  <si>
    <t>벽산그랜드코아</t>
  </si>
  <si>
    <t>1995.06.</t>
  </si>
  <si>
    <t>https://new.land.naver.com/complexes/11519?tab=detail&amp;rf=Y</t>
  </si>
  <si>
    <t>경기도 수원시 팔달구 인계동 1125-2</t>
  </si>
  <si>
    <t>경기도 수원시 팔달구 권광로 146</t>
  </si>
  <si>
    <t>98B</t>
  </si>
  <si>
    <t>수원센트럴아이파크자이</t>
  </si>
  <si>
    <t>2023.07.</t>
  </si>
  <si>
    <t>https://new.land.naver.com/complexes/133091?tab=detail&amp;rf=Y</t>
  </si>
  <si>
    <t>경기도 수원시 팔달구 인계동 847-3</t>
  </si>
  <si>
    <t>84B</t>
  </si>
  <si>
    <t>112A</t>
  </si>
  <si>
    <t>은하</t>
  </si>
  <si>
    <t>1987.05.</t>
  </si>
  <si>
    <t>56A</t>
  </si>
  <si>
    <t>https://new.land.naver.com/complexes/104942?tab=detail&amp;rf=Y</t>
  </si>
  <si>
    <t>경기도 수원시 팔달구 인계동 956-1</t>
  </si>
  <si>
    <t>경기도 수원시 팔달구 경수대로553번길 37</t>
  </si>
  <si>
    <t>57B</t>
  </si>
  <si>
    <t>59A</t>
  </si>
  <si>
    <t>드림캐슬(도시형)</t>
  </si>
  <si>
    <t>2013.05.</t>
  </si>
  <si>
    <t>30A</t>
  </si>
  <si>
    <t>https://new.land.naver.com/complexes/107236?tab=detail&amp;rf=Y</t>
  </si>
  <si>
    <t>경기도 수원시 팔달구 인계동 1020</t>
  </si>
  <si>
    <t>경기도 수원시 팔달구 경수대로466번길 10</t>
  </si>
  <si>
    <t>30B</t>
  </si>
  <si>
    <t>인계희성연인</t>
  </si>
  <si>
    <t>2012.05.</t>
  </si>
  <si>
    <t>https://new.land.naver.com/complexes/104882?tab=detail&amp;rf=Y</t>
  </si>
  <si>
    <t>경기도 수원시 팔달구 인계동 1168</t>
  </si>
  <si>
    <t>경기도 수원시 팔달구 중부대로 96-19</t>
  </si>
  <si>
    <t>112C</t>
  </si>
  <si>
    <t>1995.05.</t>
  </si>
  <si>
    <t>https://new.land.naver.com/complexes/1841?tab=detail&amp;rf=Y</t>
  </si>
  <si>
    <t>경기도 수원시 팔달구 인계동 374-14</t>
  </si>
  <si>
    <t>경기도 수원시 팔달구 권광로276번길 45</t>
  </si>
  <si>
    <t>래미안노블클래스1단지</t>
  </si>
  <si>
    <t>2009.08.</t>
  </si>
  <si>
    <t>https://new.land.naver.com/complexes/25771?tab=detail&amp;rf=Y</t>
  </si>
  <si>
    <t>경기도 수원시 팔달구 인계동 384</t>
  </si>
  <si>
    <t>경기도 수원시 팔달구 권광로 246</t>
  </si>
  <si>
    <t>113B</t>
  </si>
  <si>
    <t>113C</t>
  </si>
  <si>
    <t>1996.04.</t>
  </si>
  <si>
    <t>https://new.land.naver.com/complexes/1832?tab=detail&amp;rf=Y</t>
  </si>
  <si>
    <t>경기도 수원시 팔달구 인계동 371-1</t>
  </si>
  <si>
    <t>경기도 수원시 팔달구 권광로276번길 9</t>
  </si>
  <si>
    <t>수원인계동문굿모닝힐</t>
  </si>
  <si>
    <t>2020.11.</t>
  </si>
  <si>
    <t>https://new.land.naver.com/complexes/120222?tab=detail&amp;rf=Y</t>
  </si>
  <si>
    <t>경기도 수원시 팔달구 인계동 1171</t>
  </si>
  <si>
    <t>경기도 수원시 팔달구 중부대로220번길 10</t>
  </si>
  <si>
    <t>무궁화</t>
  </si>
  <si>
    <t>1986.06.</t>
  </si>
  <si>
    <t>https://new.land.naver.com/complexes/118061?tab=detail&amp;rf=Y</t>
  </si>
  <si>
    <t>경기도 수원시 팔달구 인계동 245-3</t>
  </si>
  <si>
    <t>경기도 수원시 팔달구 경수대로553번길 40</t>
  </si>
  <si>
    <t>리블리안(도시형)</t>
  </si>
  <si>
    <t>2017.11.</t>
  </si>
  <si>
    <t>https://new.land.naver.com/complexes/119467?tab=detail&amp;rf=Y</t>
  </si>
  <si>
    <t>경기도 수원시 팔달구 인계동 1034-11</t>
  </si>
  <si>
    <t>경기도 수원시 팔달구 인계로108번길 27-9</t>
  </si>
  <si>
    <t>수정</t>
  </si>
  <si>
    <t>2009.02.</t>
  </si>
  <si>
    <t>https://new.land.naver.com/complexes/1834?tab=detail&amp;rf=Y</t>
  </si>
  <si>
    <t>경기도 수원시 팔달구 인계동 303-3</t>
  </si>
  <si>
    <t>경기도 수원시 팔달구 장다리로306번길 45</t>
  </si>
  <si>
    <t>172A</t>
  </si>
  <si>
    <t>173B</t>
  </si>
  <si>
    <t>선경리빙프라자</t>
  </si>
  <si>
    <t>1995.08.</t>
  </si>
  <si>
    <t>https://new.land.naver.com/complexes/10593?tab=detail&amp;rf=Y</t>
  </si>
  <si>
    <t>경기도 수원시 팔달구 인계동 1131</t>
  </si>
  <si>
    <t>경기도 수원시 팔달구 권광로 138</t>
  </si>
  <si>
    <t>127A</t>
  </si>
  <si>
    <t>130B</t>
  </si>
  <si>
    <t>수원인계푸르지오</t>
  </si>
  <si>
    <t>2012.12.</t>
  </si>
  <si>
    <t>https://new.land.naver.com/complexes/102511?tab=detail&amp;rf=Y</t>
  </si>
  <si>
    <t>경기도 수원시 팔달구 인계동 1169</t>
  </si>
  <si>
    <t>경기도 수원시 팔달구 중부대로170번길 17</t>
  </si>
  <si>
    <t>센트럴시티아리스타(도시형)</t>
  </si>
  <si>
    <t>https://new.land.naver.com/complexes/135656?tab=detail&amp;rf=Y</t>
  </si>
  <si>
    <t>경기도 수원시 팔달구 인계동 1036-13</t>
  </si>
  <si>
    <t>경기도 수원시 팔달구 인계로124번길 9</t>
  </si>
  <si>
    <t>29A</t>
  </si>
  <si>
    <t>아미힐(도시형)</t>
  </si>
  <si>
    <t>2019.01.</t>
  </si>
  <si>
    <t>24F</t>
  </si>
  <si>
    <t>https://new.land.naver.com/complexes/122797?tab=detail&amp;rf=Y</t>
  </si>
  <si>
    <t>경기도 수원시 팔달구 인계동 373-2</t>
  </si>
  <si>
    <t>경기도 수원시 팔달구 권광로276번길 33-25</t>
  </si>
  <si>
    <t>29I</t>
  </si>
  <si>
    <t>31E</t>
  </si>
  <si>
    <t>35D</t>
  </si>
  <si>
    <t>38B1</t>
  </si>
  <si>
    <t>43H</t>
  </si>
  <si>
    <t>44G</t>
  </si>
  <si>
    <t>58C</t>
  </si>
  <si>
    <t>샤인팰리스(도시형)</t>
  </si>
  <si>
    <t>2013.06.</t>
  </si>
  <si>
    <t>https://new.land.naver.com/complexes/142259?tab=detail&amp;rf=Y</t>
  </si>
  <si>
    <t>경기도 수원시 팔달구 인계동 750-6</t>
  </si>
  <si>
    <t>경기도 수원시 팔달구 세지로267번길 32</t>
  </si>
  <si>
    <t>센트럴하임(도시형)</t>
  </si>
  <si>
    <t>2021.03.</t>
  </si>
  <si>
    <t>https://new.land.naver.com/complexes/140773?tab=detail&amp;rf=Y</t>
  </si>
  <si>
    <t>경기도 수원시 팔달구 인계동 1022-3</t>
  </si>
  <si>
    <t>경기도 수원시 팔달구 인계로108번길 18</t>
  </si>
  <si>
    <t>27A</t>
  </si>
  <si>
    <t>27C</t>
  </si>
  <si>
    <t>27B</t>
  </si>
  <si>
    <t>인계극동스타클래스</t>
  </si>
  <si>
    <t>2009.06.</t>
  </si>
  <si>
    <t>107A</t>
  </si>
  <si>
    <t>https://new.land.naver.com/complexes/27120?tab=detail&amp;rf=Y</t>
  </si>
  <si>
    <t>경기도 수원시 팔달구 인계동 945</t>
  </si>
  <si>
    <t>경기도 수원시 팔달구 경수대로 534</t>
  </si>
  <si>
    <t>107C</t>
  </si>
  <si>
    <t>인계지음(도시형)</t>
  </si>
  <si>
    <t>2013.10.</t>
  </si>
  <si>
    <t>https://new.land.naver.com/complexes/106027?tab=detail&amp;rf=Y</t>
  </si>
  <si>
    <t>경기도 수원시 팔달구 인계동 1132-1</t>
  </si>
  <si>
    <t>경기도 수원시 팔달구 권선로741번길 21</t>
  </si>
  <si>
    <t>27AT</t>
  </si>
  <si>
    <t>27BT</t>
  </si>
  <si>
    <t>56D</t>
  </si>
  <si>
    <t>골든펠리체(도시형)</t>
  </si>
  <si>
    <t>2018.09.</t>
  </si>
  <si>
    <t>38D</t>
  </si>
  <si>
    <t>https://new.land.naver.com/complexes/118327?tab=detail&amp;rf=Y</t>
  </si>
  <si>
    <t>경기도 수원시 팔달구 인계동 1118-10</t>
  </si>
  <si>
    <t>경기도 수원시 팔달구 권광로188번길 41</t>
  </si>
  <si>
    <t>38E</t>
  </si>
  <si>
    <t>39B</t>
  </si>
  <si>
    <t>45A</t>
  </si>
  <si>
    <t>47C</t>
  </si>
  <si>
    <t>48F</t>
  </si>
  <si>
    <t>무비하임(도시형)</t>
  </si>
  <si>
    <t>21B</t>
  </si>
  <si>
    <t>https://new.land.naver.com/complexes/106862?tab=detail&amp;rf=Y</t>
  </si>
  <si>
    <t>경기도 수원시 팔달구 인계동 1043</t>
  </si>
  <si>
    <t>경기도 수원시 팔달구 효원로249번길 46-12</t>
  </si>
  <si>
    <t>선경2차</t>
  </si>
  <si>
    <t>1994.09.</t>
  </si>
  <si>
    <t>https://new.land.naver.com/complexes/10317?tab=detail&amp;rf=Y</t>
  </si>
  <si>
    <t>경기도 수원시 팔달구 인계동 158-30</t>
  </si>
  <si>
    <t>경기도 수원시 팔달구 권광로 318</t>
  </si>
  <si>
    <t>신반포(한신)</t>
  </si>
  <si>
    <t>1980.12.</t>
  </si>
  <si>
    <t>58B</t>
  </si>
  <si>
    <t>https://new.land.naver.com/complexes/1835?tab=detail&amp;rf=Y</t>
  </si>
  <si>
    <t>경기도 수원시 팔달구 인계동 319-6</t>
  </si>
  <si>
    <t>경기도 수원시 팔달구 장다리로306번길 13</t>
  </si>
  <si>
    <t>58A</t>
  </si>
  <si>
    <t>59C</t>
  </si>
  <si>
    <t>68D</t>
  </si>
  <si>
    <t>70C</t>
  </si>
  <si>
    <t>72A2</t>
  </si>
  <si>
    <t>72A1</t>
  </si>
  <si>
    <t>88D</t>
  </si>
  <si>
    <t>인계미루(도시형)</t>
  </si>
  <si>
    <t>https://new.land.naver.com/complexes/110360?tab=detail&amp;rf=Y</t>
  </si>
  <si>
    <t>경기도 수원시 팔달구 인계동 1114-5</t>
  </si>
  <si>
    <t>경기도 수원시 팔달구 권광로196번길 17-9</t>
  </si>
  <si>
    <t>삼호파크타워</t>
  </si>
  <si>
    <t>1998.11.</t>
  </si>
  <si>
    <t>https://new.land.naver.com/complexes/10461?tab=detail&amp;rf=Y</t>
  </si>
  <si>
    <t>경기도 수원시 팔달구 인계동 1122-10</t>
  </si>
  <si>
    <t>경기도 수원시 팔달구 효원로 303</t>
  </si>
  <si>
    <t>187A</t>
  </si>
  <si>
    <t>189B</t>
  </si>
  <si>
    <t>190A</t>
  </si>
  <si>
    <t>190B</t>
  </si>
  <si>
    <t>LD그린토피아</t>
  </si>
  <si>
    <t>1997.03.</t>
  </si>
  <si>
    <t>https://new.land.naver.com/complexes/17568?tab=detail&amp;rf=Y</t>
  </si>
  <si>
    <t>경기도 수원시 팔달구 인계동 1135</t>
  </si>
  <si>
    <t>경기도 수원시 팔달구 권선로 733</t>
  </si>
  <si>
    <t>현대콤비타운</t>
  </si>
  <si>
    <t>1993.04.</t>
  </si>
  <si>
    <t>https://new.land.naver.com/complexes/24014?tab=detail&amp;rf=Y</t>
  </si>
  <si>
    <t>경기도 수원시 팔달구 인계동 997</t>
  </si>
  <si>
    <t>경기도 수원시 팔달구 장다리로 179</t>
  </si>
  <si>
    <t>다림</t>
  </si>
  <si>
    <t>2004.09.</t>
  </si>
  <si>
    <t>https://new.land.naver.com/complexes/121856?tab=detail&amp;rf=Y</t>
  </si>
  <si>
    <t>경기도 수원시 팔달구 인계동 975-10</t>
  </si>
  <si>
    <t>경기도 수원시 팔달구 세지로198번길 23</t>
  </si>
  <si>
    <t>선경3차</t>
  </si>
  <si>
    <t>https://new.land.naver.com/complexes/2494?tab=detail&amp;rf=Y</t>
  </si>
  <si>
    <t>경기도 수원시 팔달구 인계동 159</t>
  </si>
  <si>
    <t>경기도 수원시 팔달구 권광로317번길 15</t>
  </si>
  <si>
    <t>인계리치안(도시형)</t>
  </si>
  <si>
    <t>2019.04.</t>
  </si>
  <si>
    <t>https://new.land.naver.com/complexes/124701?tab=detail&amp;rf=Y</t>
  </si>
  <si>
    <t>경기도 수원시 팔달구 인계동 1035-7</t>
  </si>
  <si>
    <t>경기도 수원시 팔달구 경수대로466번길 59</t>
  </si>
  <si>
    <t>래미안노블클래스2단지</t>
  </si>
  <si>
    <t>https://new.land.naver.com/complexes/25718?tab=detail&amp;rf=Y</t>
  </si>
  <si>
    <t>경기도 수원시 팔달구 인계동 465</t>
  </si>
  <si>
    <t>경기도 수원시 팔달구 권광로 243</t>
  </si>
  <si>
    <t>씨제이</t>
  </si>
  <si>
    <t>2001.05.</t>
  </si>
  <si>
    <t>https://new.land.naver.com/complexes/17215?tab=detail&amp;rf=Y</t>
  </si>
  <si>
    <t>경기도 수원시 팔달구 인계동 209-7</t>
  </si>
  <si>
    <t>경기도 수원시 팔달구 경수대로565번길 26</t>
  </si>
  <si>
    <t>테라스더아델라움(도시형)</t>
  </si>
  <si>
    <t>2020.10.</t>
  </si>
  <si>
    <t>https://new.land.naver.com/complexes/137303?tab=detail&amp;rf=Y</t>
  </si>
  <si>
    <t>경기도 수원시 팔달구 인계동 1132-18</t>
  </si>
  <si>
    <t>경기도 수원시 팔달구 권광로124번길 13</t>
  </si>
  <si>
    <t>아임홈(도시형)</t>
  </si>
  <si>
    <t>2015.04.</t>
  </si>
  <si>
    <t>21A</t>
  </si>
  <si>
    <t>https://new.land.naver.com/complexes/143452?tab=detail&amp;rf=Y</t>
  </si>
  <si>
    <t>경기도 수원시 팔달구 인계동 1036-9</t>
  </si>
  <si>
    <t>경기도 수원시 팔달구 권광로207번길 26</t>
  </si>
  <si>
    <t>22D</t>
  </si>
  <si>
    <t>28A</t>
  </si>
  <si>
    <t>29B</t>
  </si>
  <si>
    <t>장안</t>
  </si>
  <si>
    <t>https://new.land.naver.com/complexes/1842?tab=detail&amp;rf=Y</t>
  </si>
  <si>
    <t>경기도 수원시 팔달구 인계동 261-1</t>
  </si>
  <si>
    <t>경기도 수원시 팔달구 장다리로 269</t>
  </si>
  <si>
    <t>해피포트</t>
  </si>
  <si>
    <t>2004.01.</t>
  </si>
  <si>
    <t>https://new.land.naver.com/complexes/118076?tab=detail&amp;rf=Y</t>
  </si>
  <si>
    <t>경기도 수원시 팔달구 인계동 960-4</t>
  </si>
  <si>
    <t>경기도 수원시 팔달구 경수대로519번길 12-13</t>
  </si>
  <si>
    <t>80A</t>
  </si>
  <si>
    <t>81B</t>
  </si>
  <si>
    <t>아우룸(도시형)</t>
  </si>
  <si>
    <t>2016.10.</t>
  </si>
  <si>
    <t>https://new.land.naver.com/complexes/114232?tab=detail&amp;rf=Y</t>
  </si>
  <si>
    <t>경기도 수원시 팔달구 인계동 953-2</t>
  </si>
  <si>
    <t>경기도 수원시 팔달구 경수대로 559</t>
  </si>
  <si>
    <t>대명쉐르빌</t>
  </si>
  <si>
    <t>https://new.land.naver.com/complexes/106818?tab=detail&amp;rf=Y</t>
  </si>
  <si>
    <t>경기도 수원시 팔달구 인계동 247-9</t>
  </si>
  <si>
    <t>경기도 수원시 팔달구 경수대로565번길 59-8</t>
  </si>
  <si>
    <t>2018.01.</t>
  </si>
  <si>
    <t>50C-1</t>
  </si>
  <si>
    <t>https://new.land.naver.com/complexes/119669?tab=detail&amp;rf=Y</t>
  </si>
  <si>
    <t>경기도 수원시 팔달구 인계동 1019-6</t>
  </si>
  <si>
    <t>경기도 수원시 팔달구 경수대로466번길 33</t>
  </si>
  <si>
    <t>51B</t>
  </si>
  <si>
    <t>52A1</t>
  </si>
  <si>
    <t>53A2</t>
  </si>
  <si>
    <t>54E</t>
  </si>
  <si>
    <t>56C</t>
  </si>
  <si>
    <t>58D</t>
  </si>
  <si>
    <t>SCT타워(도시형)</t>
  </si>
  <si>
    <t>2017.12.</t>
  </si>
  <si>
    <t>https://new.land.naver.com/complexes/122141?tab=detail&amp;rf=Y</t>
  </si>
  <si>
    <t>경기도 수원시 팔달구 인계동 1030-6</t>
  </si>
  <si>
    <t>경기도 수원시 팔달구 권광로175번길 52</t>
  </si>
  <si>
    <t>29E</t>
  </si>
  <si>
    <t>29D</t>
  </si>
  <si>
    <t>29C</t>
  </si>
  <si>
    <t>30F</t>
  </si>
  <si>
    <t>30G</t>
  </si>
  <si>
    <t>34B</t>
  </si>
  <si>
    <t>35B</t>
  </si>
  <si>
    <t>35C</t>
  </si>
  <si>
    <t>36E</t>
  </si>
  <si>
    <t>36F</t>
  </si>
  <si>
    <t>37G</t>
  </si>
  <si>
    <t>37A</t>
  </si>
  <si>
    <t>글로벌하임(도시형)</t>
  </si>
  <si>
    <t>2020.01.</t>
  </si>
  <si>
    <t>https://new.land.naver.com/complexes/142131?tab=detail&amp;rf=Y</t>
  </si>
  <si>
    <t>경기도 수원시 팔달구 인계동 1035-11</t>
  </si>
  <si>
    <t>경기도 수원시 팔달구 인계로108번길 9</t>
  </si>
  <si>
    <t>26B</t>
  </si>
  <si>
    <t>미래빌(도시형)</t>
  </si>
  <si>
    <t>18A</t>
  </si>
  <si>
    <t>https://new.land.naver.com/complexes/141979?tab=detail&amp;rf=Y</t>
  </si>
  <si>
    <t>경기도 수원시 팔달구 인계동 313-7</t>
  </si>
  <si>
    <t>경기도 수원시 팔달구 장다리로306번길 37</t>
  </si>
  <si>
    <t>선경1차</t>
  </si>
  <si>
    <t>1993.06.</t>
  </si>
  <si>
    <t>https://new.land.naver.com/complexes/1833?tab=detail&amp;rf=Y</t>
  </si>
  <si>
    <t>경기도 수원시 팔달구 인계동 163</t>
  </si>
  <si>
    <t>경기도 수원시 팔달구 권광로317번길 12</t>
  </si>
  <si>
    <t>어반파크(도시형)</t>
  </si>
  <si>
    <t>2020.08.</t>
  </si>
  <si>
    <t>https://new.land.naver.com/complexes/135427?tab=detail&amp;rf=Y</t>
  </si>
  <si>
    <t>경기도 수원시 팔달구 인계동 940-7</t>
  </si>
  <si>
    <t>경기도 수원시 팔달구 중부대로154번길 24</t>
  </si>
  <si>
    <t>45B</t>
  </si>
  <si>
    <t>46C</t>
  </si>
  <si>
    <t>96A</t>
  </si>
  <si>
    <t>96B</t>
  </si>
  <si>
    <t>코스모골드(도시형)</t>
  </si>
  <si>
    <t>2014.07.</t>
  </si>
  <si>
    <t>https://new.land.naver.com/complexes/106056?tab=detail&amp;rf=Y</t>
  </si>
  <si>
    <t>경기도 수원시 팔달구 인계동 939-5</t>
  </si>
  <si>
    <t>경기도 수원시 팔달구 장다리로 325</t>
  </si>
  <si>
    <t>23G</t>
  </si>
  <si>
    <t>23E</t>
  </si>
  <si>
    <t>23F</t>
  </si>
  <si>
    <t>24H</t>
  </si>
  <si>
    <t>24I</t>
  </si>
  <si>
    <t>24K</t>
  </si>
  <si>
    <t>25J</t>
  </si>
  <si>
    <t>한화꿈에그린파크</t>
  </si>
  <si>
    <t>2010.03.</t>
  </si>
  <si>
    <t>https://new.land.naver.com/complexes/27677?tab=detail&amp;rf=Y</t>
  </si>
  <si>
    <t>경기도 수원시 팔달구 인계동 1127-1</t>
  </si>
  <si>
    <t>경기도 수원시 팔달구 효원로308번길 16</t>
  </si>
  <si>
    <t>인계한양수자인</t>
  </si>
  <si>
    <t>82A</t>
  </si>
  <si>
    <t>https://new.land.naver.com/complexes/115681?tab=detail&amp;rf=Y</t>
  </si>
  <si>
    <t>경기도 수원시 팔달구 인계동 1170</t>
  </si>
  <si>
    <t>경기도 수원시 팔달구 중부대로 80</t>
  </si>
  <si>
    <t>83C</t>
  </si>
  <si>
    <t>83E</t>
  </si>
  <si>
    <t>83D</t>
  </si>
  <si>
    <t>인계파밀리에</t>
  </si>
  <si>
    <t>https://new.land.naver.com/complexes/26276?tab=detail&amp;rf=Y</t>
  </si>
  <si>
    <t>경기도 수원시 팔달구 인계동 865-10</t>
  </si>
  <si>
    <t>경기도 수원시 팔달구 세지로 211</t>
  </si>
  <si>
    <t>109A</t>
  </si>
  <si>
    <t>111C</t>
  </si>
  <si>
    <t>143A</t>
  </si>
  <si>
    <t>144B</t>
  </si>
  <si>
    <t>[지동]</t>
  </si>
  <si>
    <t>삼호</t>
  </si>
  <si>
    <t>1995.11.</t>
  </si>
  <si>
    <t>https://new.land.naver.com/complexes/10961?tab=detail&amp;rf=Y</t>
  </si>
  <si>
    <t>경기도 수원시 팔달구 지동 138-24</t>
  </si>
  <si>
    <t>지동</t>
  </si>
  <si>
    <t>경기도 수원시 팔달구 세지로314번길 17-19</t>
  </si>
  <si>
    <t>여울</t>
  </si>
  <si>
    <t>1979.12.</t>
  </si>
  <si>
    <t>https://new.land.naver.com/complexes/126660?tab=detail&amp;rf=Y</t>
  </si>
  <si>
    <t>경기도 수원시 팔달구 지동 312-1</t>
  </si>
  <si>
    <t>경기도 수원시 팔달구 팔달문로53번길 4</t>
  </si>
  <si>
    <t>64A</t>
  </si>
  <si>
    <t>66C</t>
  </si>
  <si>
    <t>71A</t>
  </si>
  <si>
    <t>동오</t>
  </si>
  <si>
    <t>1987.11.</t>
  </si>
  <si>
    <t>https://new.land.naver.com/complexes/101457?tab=detail&amp;rf=Y</t>
  </si>
  <si>
    <t>경기도 수원시 팔달구 지동 354-35</t>
  </si>
  <si>
    <t>경기도 수원시 팔달구 팔달문로42번길 22</t>
  </si>
  <si>
    <t>62C</t>
  </si>
  <si>
    <t>진우</t>
  </si>
  <si>
    <t>https://new.land.naver.com/complexes/11507?tab=detail&amp;rf=Y</t>
  </si>
  <si>
    <t>경기도 수원시 팔달구 지동 138-3</t>
  </si>
  <si>
    <t>경기도 수원시 팔달구 팔달문로 84</t>
  </si>
  <si>
    <t>포레스트(도시형)</t>
  </si>
  <si>
    <t>2014.03.</t>
  </si>
  <si>
    <t>19B</t>
  </si>
  <si>
    <t>https://new.land.naver.com/complexes/116647?tab=detail&amp;rf=Y</t>
  </si>
  <si>
    <t>경기도 수원시 팔달구 지동 365-20</t>
  </si>
  <si>
    <t>경기도 수원시 팔달구 세지로 279-1</t>
  </si>
  <si>
    <t>19A</t>
  </si>
  <si>
    <t>19C</t>
  </si>
  <si>
    <t>31A</t>
  </si>
  <si>
    <t>33B</t>
  </si>
  <si>
    <t>진우빌라트</t>
  </si>
  <si>
    <t>1994.12.</t>
  </si>
  <si>
    <t>https://new.land.naver.com/complexes/11684?tab=detail&amp;rf=Y</t>
  </si>
  <si>
    <t>경기도 수원시 팔달구 지동 138-6</t>
  </si>
  <si>
    <t>경기도 수원시 팔달구 팔달문로 83</t>
  </si>
  <si>
    <t>[팔달로1가]</t>
  </si>
  <si>
    <t>하늘미소</t>
  </si>
  <si>
    <t>2016.04.</t>
  </si>
  <si>
    <t>https://new.land.naver.com/complexes/141609?tab=detail&amp;rf=Y</t>
  </si>
  <si>
    <t>경기도 수원시 팔달구 팔달로1가 8-3</t>
  </si>
  <si>
    <t>팔달로1가</t>
  </si>
  <si>
    <t>경기도 수원시 팔달구 창룡대로8번길 22</t>
  </si>
  <si>
    <t>[팔달로2가]</t>
  </si>
  <si>
    <t>디자인하우스</t>
  </si>
  <si>
    <t>2017.05.</t>
  </si>
  <si>
    <t>https://new.land.naver.com/complexes/135683?tab=detail&amp;rf=Y</t>
  </si>
  <si>
    <t>경기도 수원시 팔달구 팔달로2가 2</t>
  </si>
  <si>
    <t>팔달로2가</t>
  </si>
  <si>
    <t>경기도 수원시 팔달구 정조로801번길 17</t>
  </si>
  <si>
    <t>[화서동]</t>
  </si>
  <si>
    <t>꽃뫼양지마을현대</t>
  </si>
  <si>
    <t>2002.07.</t>
  </si>
  <si>
    <t>https://new.land.naver.com/complexes/3644?tab=detail&amp;rf=Y</t>
  </si>
  <si>
    <t>경기도 수원시 팔달구 화서동 700</t>
  </si>
  <si>
    <t>화서동</t>
  </si>
  <si>
    <t>경기도 수원시 팔달구 화산로17번길 6</t>
  </si>
  <si>
    <t>블루밍푸른숲</t>
  </si>
  <si>
    <t>https://new.land.naver.com/complexes/24615?tab=detail&amp;rf=Y</t>
  </si>
  <si>
    <t>경기도 수원시 팔달구 화서동 250-4</t>
  </si>
  <si>
    <t>경기도 수원시 팔달구 화양로50번길 30</t>
  </si>
  <si>
    <t>화서주공5단지</t>
  </si>
  <si>
    <t>1997.05.</t>
  </si>
  <si>
    <t>https://new.land.naver.com/complexes/10398?tab=detail&amp;rf=Y</t>
  </si>
  <si>
    <t>경기도 수원시 팔달구 화서동 650</t>
  </si>
  <si>
    <t>경기도 수원시 팔달구 덕영대로697번길 48</t>
  </si>
  <si>
    <t>꽃뫼버들마을진흥</t>
  </si>
  <si>
    <t>2002.01.</t>
  </si>
  <si>
    <t>https://new.land.naver.com/complexes/9279?tab=detail&amp;rf=Y</t>
  </si>
  <si>
    <t>경기도 수원시 팔달구 화서동 706</t>
  </si>
  <si>
    <t>경기도 수원시 팔달구 화산로 57</t>
  </si>
  <si>
    <t>화서익주</t>
  </si>
  <si>
    <t>2003.03.</t>
  </si>
  <si>
    <t>https://new.land.naver.com/complexes/12954?tab=detail&amp;rf=Y</t>
  </si>
  <si>
    <t>경기도 수원시 팔달구 화서동 79-30</t>
  </si>
  <si>
    <t>경기도 수원시 팔달구 팔달로153번길 25-8</t>
  </si>
  <si>
    <t>꽃뫼버들마을코오롱</t>
  </si>
  <si>
    <t>2002.03.</t>
  </si>
  <si>
    <t>https://new.land.naver.com/complexes/3643?tab=detail&amp;rf=Y</t>
  </si>
  <si>
    <t>경기도 수원시 팔달구 화서동 730</t>
  </si>
  <si>
    <t>경기도 수원시 팔달구 일월로18번길 4-26</t>
  </si>
  <si>
    <t>1990.06.</t>
  </si>
  <si>
    <t>https://new.land.naver.com/complexes/112406?tab=detail&amp;rf=Y</t>
  </si>
  <si>
    <t>경기도 수원시 팔달구 화서동 97-2</t>
  </si>
  <si>
    <t>경기도 수원시 팔달구 동말로68번길 15</t>
  </si>
  <si>
    <t>화서성원상떼빌</t>
  </si>
  <si>
    <t>2001.12.</t>
  </si>
  <si>
    <t>https://new.land.naver.com/complexes/8496?tab=detail&amp;rf=Y</t>
  </si>
  <si>
    <t>경기도 수원시 팔달구 화서동 11-11</t>
  </si>
  <si>
    <t>경기도 수원시 팔달구 장안로5번길 45</t>
  </si>
  <si>
    <t>85C</t>
  </si>
  <si>
    <t>꽃뫼버들마을LG</t>
  </si>
  <si>
    <t>https://new.land.naver.com/complexes/7978?tab=detail&amp;rf=Y</t>
  </si>
  <si>
    <t>경기도 수원시 팔달구 화서동 713</t>
  </si>
  <si>
    <t>경기도 수원시 팔달구 정자천로32번길 20</t>
  </si>
  <si>
    <t>화서맨션</t>
  </si>
  <si>
    <t>1980.01.</t>
  </si>
  <si>
    <t>https://new.land.naver.com/complexes/11276?tab=detail&amp;rf=Y</t>
  </si>
  <si>
    <t>경기도 수원시 팔달구 화서동 212-1</t>
  </si>
  <si>
    <t>경기도 수원시 팔달구 화양로 41</t>
  </si>
  <si>
    <t>90B</t>
  </si>
  <si>
    <t>꽃뫼버들마을신동아</t>
  </si>
  <si>
    <t>1999.10.</t>
  </si>
  <si>
    <t>https://new.land.naver.com/complexes/2725?tab=detail&amp;rf=Y</t>
  </si>
  <si>
    <t>경기도 수원시 팔달구 화서동 684-2</t>
  </si>
  <si>
    <t>경기도 수원시 팔달구 화산로 24</t>
  </si>
  <si>
    <t>영광</t>
  </si>
  <si>
    <t>https://new.land.naver.com/complexes/2751?tab=detail&amp;rf=Y</t>
  </si>
  <si>
    <t>경기도 수원시 팔달구 화서동 220-3</t>
  </si>
  <si>
    <t>경기도 수원시 팔달구 덕영대로757번길 23</t>
  </si>
  <si>
    <t>화서위브하늘채</t>
  </si>
  <si>
    <t>2009.05.</t>
  </si>
  <si>
    <t>https://new.land.naver.com/complexes/24672?tab=detail&amp;rf=Y</t>
  </si>
  <si>
    <t>경기도 수원시 팔달구 화서동 743</t>
  </si>
  <si>
    <t>경기도 수원시 팔달구 수성로244번길 25</t>
  </si>
  <si>
    <t>150B</t>
  </si>
  <si>
    <t>151A</t>
  </si>
  <si>
    <t>https://new.land.naver.com/complexes/107386?tab=detail&amp;rf=Y</t>
  </si>
  <si>
    <t>경기도 수원시 팔달구 화서동 71-21</t>
  </si>
  <si>
    <t>경기도 수원시 팔달구 팔달로127번길 9-9</t>
  </si>
  <si>
    <t>한진,현대</t>
  </si>
  <si>
    <t>1997.12.</t>
  </si>
  <si>
    <t>https://new.land.naver.com/complexes/24738?tab=detail&amp;rf=Y</t>
  </si>
  <si>
    <t>경기도 수원시 팔달구 화서동 656</t>
  </si>
  <si>
    <t>경기도 수원시 팔달구 덕영대로735번길 18</t>
  </si>
  <si>
    <t>화서주공4단지</t>
  </si>
  <si>
    <t>https://new.land.naver.com/complexes/2728?tab=detail&amp;rf=Y</t>
  </si>
  <si>
    <t>꽃뫼버들마을금강</t>
  </si>
  <si>
    <t>2002.04.</t>
  </si>
  <si>
    <t>https://new.land.naver.com/complexes/3639?tab=detail&amp;rf=Y</t>
  </si>
  <si>
    <t>경기도 수원시 팔달구 화서동 709</t>
  </si>
  <si>
    <t>경기도 수원시 팔달구 정자천로32번길 27</t>
  </si>
  <si>
    <t>신우</t>
  </si>
  <si>
    <t>https://new.land.naver.com/complexes/9278?tab=detail&amp;rf=Y</t>
  </si>
  <si>
    <t>경기도 수원시 팔달구 화서동 206-8</t>
  </si>
  <si>
    <t>경기도 수원시 팔달구 화양로 34</t>
  </si>
  <si>
    <t>화서한신더휴</t>
  </si>
  <si>
    <t>2014.06.</t>
  </si>
  <si>
    <t>https://new.land.naver.com/complexes/108025?tab=detail&amp;rf=Y</t>
  </si>
  <si>
    <t>경기도 수원시 팔달구 화서동 769</t>
  </si>
  <si>
    <t>경기도 수원시 팔달구 수성로258번길 52</t>
  </si>
  <si>
    <t>109C</t>
  </si>
  <si>
    <t>109D</t>
  </si>
  <si>
    <t>화서주공3단지</t>
  </si>
  <si>
    <t>1997.04.</t>
  </si>
  <si>
    <t>https://new.land.naver.com/complexes/2727?tab=detail&amp;rf=Y</t>
  </si>
  <si>
    <t>경기도 수원시 팔달구 화서동 646</t>
  </si>
  <si>
    <t>경기도 수원시 팔달구 덕영대로697번길 47</t>
  </si>
  <si>
    <t>포레스트나인</t>
  </si>
  <si>
    <t>65B</t>
  </si>
  <si>
    <t>https://new.land.naver.com/complexes/119387?tab=detail&amp;rf=Y</t>
  </si>
  <si>
    <t>경기도 수원시 팔달구 화서동 71-6</t>
  </si>
  <si>
    <t>경기도 수원시 팔달구 팔달로 124</t>
  </si>
  <si>
    <t>경일</t>
  </si>
  <si>
    <t>1983.12.</t>
  </si>
  <si>
    <t>https://new.land.naver.com/complexes/14261?tab=detail&amp;rf=Y</t>
  </si>
  <si>
    <t>경기도 수원시 팔달구 화서동 208</t>
  </si>
  <si>
    <t>경기도 수원시 팔달구 동말로47번길 76</t>
  </si>
  <si>
    <t>벽산</t>
  </si>
  <si>
    <t>1991.11.</t>
  </si>
  <si>
    <t>https://new.land.naver.com/complexes/8648?tab=detail&amp;rf=Y</t>
  </si>
  <si>
    <t>경기도 수원시 팔달구 화서동 11-41</t>
  </si>
  <si>
    <t>경기도 수원시 팔달구 팔달로165번길 39</t>
  </si>
  <si>
    <t>꽃뫼노을마을풍림</t>
  </si>
  <si>
    <t>1999.09.</t>
  </si>
  <si>
    <t>https://new.land.naver.com/complexes/8087?tab=detail&amp;rf=Y</t>
  </si>
  <si>
    <t>경기도 수원시 팔달구 화서동 674-1</t>
  </si>
  <si>
    <t>경기도 수원시 팔달구 수성로157번길 75</t>
  </si>
  <si>
    <t>꽃뫼양지마을대우</t>
  </si>
  <si>
    <t>2001.06.</t>
  </si>
  <si>
    <t>https://new.land.naver.com/complexes/3640?tab=detail&amp;rf=Y</t>
  </si>
  <si>
    <t>경기도 수원시 팔달구 화서동 703</t>
  </si>
  <si>
    <t>경기도 수원시 팔달구 수성로101번길 20</t>
  </si>
  <si>
    <t>민영루이스</t>
  </si>
  <si>
    <t>2005.01.</t>
  </si>
  <si>
    <t>https://new.land.naver.com/complexes/19017?tab=detail&amp;rf=Y</t>
  </si>
  <si>
    <t>경기도 수원시 팔달구 화서동 213-27</t>
  </si>
  <si>
    <t>경기도 수원시 팔달구 화양로47번길 17-5</t>
  </si>
  <si>
    <t>수원화서래미안클래식</t>
  </si>
  <si>
    <t>2005.08.</t>
  </si>
  <si>
    <t>https://new.land.naver.com/complexes/27464?tab=detail&amp;rf=Y</t>
  </si>
  <si>
    <t>경기도 수원시 팔달구 화서동 330-10</t>
  </si>
  <si>
    <t>경기도 수원시 팔달구 수성로232번길 7</t>
  </si>
  <si>
    <t>198A</t>
  </si>
  <si>
    <t>198B</t>
  </si>
  <si>
    <t>198C</t>
  </si>
  <si>
    <t>206B</t>
  </si>
  <si>
    <t>207A</t>
  </si>
  <si>
    <t>208A</t>
  </si>
  <si>
    <t>209B</t>
  </si>
  <si>
    <t>칠성</t>
  </si>
  <si>
    <t>1980.11.</t>
  </si>
  <si>
    <t>https://new.land.naver.com/complexes/12843?tab=detail&amp;rf=Y</t>
  </si>
  <si>
    <t>경기도 수원시 팔달구 화서동 84-1</t>
  </si>
  <si>
    <t>경기도 수원시 팔달구 화양로38번길 136-4</t>
  </si>
  <si>
    <t>수원화서역동문굿모닝힐</t>
  </si>
  <si>
    <t>2010.06.</t>
  </si>
  <si>
    <t>https://new.land.naver.com/complexes/26431?tab=detail&amp;rf=Y</t>
  </si>
  <si>
    <t>경기도 수원시 팔달구 화서동 761</t>
  </si>
  <si>
    <t>경기도 수원시 팔달구 화양로67번길 10</t>
  </si>
  <si>
    <t>110A</t>
  </si>
  <si>
    <t>110C</t>
  </si>
  <si>
    <t>성원</t>
  </si>
  <si>
    <t>1983.01.</t>
  </si>
  <si>
    <t>https://new.land.naver.com/complexes/103917?tab=detail&amp;rf=Y</t>
  </si>
  <si>
    <t>경기도 수원시 팔달구 화서동 151-7</t>
  </si>
  <si>
    <t>경기도 수원시 팔달구 덕영대로777번길 24-12</t>
  </si>
  <si>
    <t>고등동</t>
    <phoneticPr fontId="2" type="noConversion"/>
  </si>
  <si>
    <t>수원역푸르지오자이</t>
    <phoneticPr fontId="2" type="noConversion"/>
  </si>
  <si>
    <t>'21.02.</t>
    <phoneticPr fontId="2" type="noConversion"/>
  </si>
  <si>
    <t>수원역푸르지오자이</t>
    <phoneticPr fontId="2" type="noConversion"/>
  </si>
  <si>
    <t>계</t>
    <phoneticPr fontId="2" type="noConversion"/>
  </si>
  <si>
    <t>82B</t>
    <phoneticPr fontId="2" type="noConversion"/>
  </si>
  <si>
    <t>82C</t>
    <phoneticPr fontId="2" type="noConversion"/>
  </si>
  <si>
    <t>100A</t>
    <phoneticPr fontId="2" type="noConversion"/>
  </si>
  <si>
    <t>101C</t>
    <phoneticPr fontId="2" type="noConversion"/>
  </si>
  <si>
    <t>101B</t>
    <phoneticPr fontId="2" type="noConversion"/>
  </si>
  <si>
    <t>114A</t>
    <phoneticPr fontId="2" type="noConversion"/>
  </si>
  <si>
    <t>114C</t>
    <phoneticPr fontId="2" type="noConversion"/>
  </si>
  <si>
    <t>114B</t>
    <phoneticPr fontId="2" type="noConversion"/>
  </si>
  <si>
    <t>114D</t>
    <phoneticPr fontId="2" type="noConversion"/>
  </si>
  <si>
    <t>교동</t>
    <phoneticPr fontId="2" type="noConversion"/>
  </si>
  <si>
    <t>힐스테이트푸르지오수원</t>
    <phoneticPr fontId="2" type="noConversion"/>
  </si>
  <si>
    <t>'22.08.</t>
    <phoneticPr fontId="2" type="noConversion"/>
  </si>
  <si>
    <t>매교동</t>
    <phoneticPr fontId="2" type="noConversion"/>
  </si>
  <si>
    <t>매교역푸르지오SK뷰</t>
    <phoneticPr fontId="2" type="noConversion"/>
  </si>
  <si>
    <t>'22.07.</t>
    <phoneticPr fontId="2" type="noConversion"/>
  </si>
  <si>
    <t>매교역푸르지오SK뷰</t>
    <phoneticPr fontId="2" type="noConversion"/>
  </si>
  <si>
    <t>'22.07.</t>
    <phoneticPr fontId="2" type="noConversion"/>
  </si>
  <si>
    <t>-</t>
    <phoneticPr fontId="2" type="noConversion"/>
  </si>
  <si>
    <t>81C</t>
    <phoneticPr fontId="2" type="noConversion"/>
  </si>
  <si>
    <t>101A</t>
    <phoneticPr fontId="2" type="noConversion"/>
  </si>
  <si>
    <t>102B</t>
    <phoneticPr fontId="2" type="noConversion"/>
  </si>
  <si>
    <t>매산로2가</t>
    <phoneticPr fontId="2" type="noConversion"/>
  </si>
  <si>
    <t>대한대우</t>
    <phoneticPr fontId="2" type="noConversion"/>
  </si>
  <si>
    <t>'99.12.</t>
    <phoneticPr fontId="2" type="noConversion"/>
  </si>
  <si>
    <t>계</t>
    <phoneticPr fontId="2" type="noConversion"/>
  </si>
  <si>
    <t>대한대우</t>
    <phoneticPr fontId="2" type="noConversion"/>
  </si>
  <si>
    <t>'99.12.</t>
    <phoneticPr fontId="2" type="noConversion"/>
  </si>
  <si>
    <t>계</t>
    <phoneticPr fontId="2" type="noConversion"/>
  </si>
  <si>
    <t>78B</t>
    <phoneticPr fontId="2" type="noConversion"/>
  </si>
  <si>
    <t>대한대우</t>
    <phoneticPr fontId="2" type="noConversion"/>
  </si>
  <si>
    <t>'99.12.</t>
    <phoneticPr fontId="2" type="noConversion"/>
  </si>
  <si>
    <t>계</t>
    <phoneticPr fontId="2" type="noConversion"/>
  </si>
  <si>
    <t>78C</t>
    <phoneticPr fontId="2" type="noConversion"/>
  </si>
  <si>
    <t>105B</t>
    <phoneticPr fontId="2" type="noConversion"/>
  </si>
  <si>
    <t>대한대우</t>
    <phoneticPr fontId="2" type="noConversion"/>
  </si>
  <si>
    <t>'99.12.</t>
    <phoneticPr fontId="2" type="noConversion"/>
  </si>
  <si>
    <t>105A</t>
    <phoneticPr fontId="2" type="noConversion"/>
  </si>
  <si>
    <t>대한대우</t>
    <phoneticPr fontId="2" type="noConversion"/>
  </si>
  <si>
    <t>'99.12.</t>
    <phoneticPr fontId="2" type="noConversion"/>
  </si>
  <si>
    <t>계</t>
    <phoneticPr fontId="2" type="noConversion"/>
  </si>
  <si>
    <t>우만동</t>
    <phoneticPr fontId="2" type="noConversion"/>
  </si>
  <si>
    <t>신성미소지움</t>
    <phoneticPr fontId="2" type="noConversion"/>
  </si>
  <si>
    <t>'02.12.</t>
    <phoneticPr fontId="2" type="noConversion"/>
  </si>
  <si>
    <t>신성미소지움</t>
    <phoneticPr fontId="2" type="noConversion"/>
  </si>
  <si>
    <t>'02.12.</t>
    <phoneticPr fontId="2" type="noConversion"/>
  </si>
  <si>
    <t>계</t>
    <phoneticPr fontId="2" type="noConversion"/>
  </si>
  <si>
    <t>선경</t>
    <phoneticPr fontId="2" type="noConversion"/>
  </si>
  <si>
    <t>'95.10.</t>
    <phoneticPr fontId="2" type="noConversion"/>
  </si>
  <si>
    <t>복</t>
    <phoneticPr fontId="2" type="noConversion"/>
  </si>
  <si>
    <t>계</t>
    <phoneticPr fontId="2" type="noConversion"/>
  </si>
  <si>
    <t>풍림</t>
    <phoneticPr fontId="2" type="noConversion"/>
  </si>
  <si>
    <t>'87.12.</t>
    <phoneticPr fontId="2" type="noConversion"/>
  </si>
  <si>
    <t>풍림</t>
    <phoneticPr fontId="2" type="noConversion"/>
  </si>
  <si>
    <t>'87.12.</t>
    <phoneticPr fontId="2" type="noConversion"/>
  </si>
  <si>
    <t>동수원신도브래뉴</t>
    <phoneticPr fontId="2" type="noConversion"/>
  </si>
  <si>
    <t>'07.08.</t>
    <phoneticPr fontId="2" type="noConversion"/>
  </si>
  <si>
    <t>계</t>
    <phoneticPr fontId="2" type="noConversion"/>
  </si>
  <si>
    <t>주공1단지</t>
    <phoneticPr fontId="2" type="noConversion"/>
  </si>
  <si>
    <t>'88.06.</t>
    <phoneticPr fontId="2" type="noConversion"/>
  </si>
  <si>
    <t>주공2단지</t>
    <phoneticPr fontId="2" type="noConversion"/>
  </si>
  <si>
    <t>'89.08.</t>
    <phoneticPr fontId="2" type="noConversion"/>
  </si>
  <si>
    <t>복</t>
    <phoneticPr fontId="2" type="noConversion"/>
  </si>
  <si>
    <t>주공2단지</t>
    <phoneticPr fontId="2" type="noConversion"/>
  </si>
  <si>
    <t>'89.08.</t>
    <phoneticPr fontId="2" type="noConversion"/>
  </si>
  <si>
    <t>복</t>
    <phoneticPr fontId="2" type="noConversion"/>
  </si>
  <si>
    <t>주공2단지</t>
    <phoneticPr fontId="2" type="noConversion"/>
  </si>
  <si>
    <t>'89.08.</t>
    <phoneticPr fontId="2" type="noConversion"/>
  </si>
  <si>
    <t>복</t>
    <phoneticPr fontId="2" type="noConversion"/>
  </si>
  <si>
    <t>우만한일베라체ECOPLUS(아)</t>
    <phoneticPr fontId="2" type="noConversion"/>
  </si>
  <si>
    <t>'22.06.</t>
    <phoneticPr fontId="2" type="noConversion"/>
  </si>
  <si>
    <t>계</t>
    <phoneticPr fontId="2" type="noConversion"/>
  </si>
  <si>
    <t>월드메르디앙</t>
    <phoneticPr fontId="2" type="noConversion"/>
  </si>
  <si>
    <t>'04.06.</t>
    <phoneticPr fontId="2" type="noConversion"/>
  </si>
  <si>
    <t>현대</t>
    <phoneticPr fontId="2" type="noConversion"/>
  </si>
  <si>
    <t>'85.06.</t>
    <phoneticPr fontId="2" type="noConversion"/>
  </si>
  <si>
    <t>현대</t>
    <phoneticPr fontId="2" type="noConversion"/>
  </si>
  <si>
    <t>'85.06.</t>
    <phoneticPr fontId="2" type="noConversion"/>
  </si>
  <si>
    <t>계</t>
    <phoneticPr fontId="2" type="noConversion"/>
  </si>
  <si>
    <t>주공4단지</t>
    <phoneticPr fontId="2" type="noConversion"/>
  </si>
  <si>
    <t>'92.03.</t>
    <phoneticPr fontId="2" type="noConversion"/>
  </si>
  <si>
    <t>복</t>
    <phoneticPr fontId="2" type="noConversion"/>
  </si>
  <si>
    <t>주공4단지</t>
    <phoneticPr fontId="2" type="noConversion"/>
  </si>
  <si>
    <t>'92.03.</t>
    <phoneticPr fontId="2" type="noConversion"/>
  </si>
  <si>
    <t>주공4단지</t>
    <phoneticPr fontId="2" type="noConversion"/>
  </si>
  <si>
    <t>'92.03.</t>
    <phoneticPr fontId="2" type="noConversion"/>
  </si>
  <si>
    <t>복</t>
    <phoneticPr fontId="2" type="noConversion"/>
  </si>
  <si>
    <t>인계동</t>
    <phoneticPr fontId="2" type="noConversion"/>
  </si>
  <si>
    <t>수원센트럴아이파크자이</t>
    <phoneticPr fontId="2" type="noConversion"/>
  </si>
  <si>
    <t>'23.07.</t>
    <phoneticPr fontId="2" type="noConversion"/>
  </si>
  <si>
    <t>수원센트럴아이파크자이</t>
    <phoneticPr fontId="2" type="noConversion"/>
  </si>
  <si>
    <t>'23.07.</t>
    <phoneticPr fontId="2" type="noConversion"/>
  </si>
  <si>
    <t>계</t>
    <phoneticPr fontId="2" type="noConversion"/>
  </si>
  <si>
    <t>수원센트럴아이파크자이</t>
    <phoneticPr fontId="2" type="noConversion"/>
  </si>
  <si>
    <t>'23.07.</t>
    <phoneticPr fontId="2" type="noConversion"/>
  </si>
  <si>
    <t>계</t>
    <phoneticPr fontId="2" type="noConversion"/>
  </si>
  <si>
    <t>래미안노블클래스1단지</t>
    <phoneticPr fontId="2" type="noConversion"/>
  </si>
  <si>
    <t>'09.08.</t>
    <phoneticPr fontId="2" type="noConversion"/>
  </si>
  <si>
    <t>삼성</t>
    <phoneticPr fontId="2" type="noConversion"/>
  </si>
  <si>
    <t>'96.04.</t>
    <phoneticPr fontId="2" type="noConversion"/>
  </si>
  <si>
    <t>삼성</t>
    <phoneticPr fontId="2" type="noConversion"/>
  </si>
  <si>
    <t>'96.04.</t>
    <phoneticPr fontId="2" type="noConversion"/>
  </si>
  <si>
    <t>계</t>
    <phoneticPr fontId="2" type="noConversion"/>
  </si>
  <si>
    <t>수원인계동문굿모닝힐</t>
    <phoneticPr fontId="2" type="noConversion"/>
  </si>
  <si>
    <t>'20.11.</t>
    <phoneticPr fontId="2" type="noConversion"/>
  </si>
  <si>
    <t>신반포(한신)</t>
    <phoneticPr fontId="2" type="noConversion"/>
  </si>
  <si>
    <t>'80.12.</t>
    <phoneticPr fontId="2" type="noConversion"/>
  </si>
  <si>
    <t>신반포(한신)</t>
    <phoneticPr fontId="2" type="noConversion"/>
  </si>
  <si>
    <t>'80.12.</t>
    <phoneticPr fontId="2" type="noConversion"/>
  </si>
  <si>
    <t>복</t>
    <phoneticPr fontId="2" type="noConversion"/>
  </si>
  <si>
    <t>계</t>
    <phoneticPr fontId="2" type="noConversion"/>
  </si>
  <si>
    <t>선경3차</t>
    <phoneticPr fontId="2" type="noConversion"/>
  </si>
  <si>
    <t>'96.04.</t>
    <phoneticPr fontId="2" type="noConversion"/>
  </si>
  <si>
    <t>래미안노블클래스2단지</t>
    <phoneticPr fontId="2" type="noConversion"/>
  </si>
  <si>
    <t>'09.08.</t>
    <phoneticPr fontId="2" type="noConversion"/>
  </si>
  <si>
    <t>씨제이</t>
    <phoneticPr fontId="2" type="noConversion"/>
  </si>
  <si>
    <t>'01.05.</t>
    <phoneticPr fontId="2" type="noConversion"/>
  </si>
  <si>
    <t>복</t>
    <phoneticPr fontId="2" type="noConversion"/>
  </si>
  <si>
    <t>씨제이</t>
    <phoneticPr fontId="2" type="noConversion"/>
  </si>
  <si>
    <t>'01.05.</t>
    <phoneticPr fontId="2" type="noConversion"/>
  </si>
  <si>
    <t>선경1차</t>
    <phoneticPr fontId="2" type="noConversion"/>
  </si>
  <si>
    <t>'93.06.</t>
    <phoneticPr fontId="2" type="noConversion"/>
  </si>
  <si>
    <t>계</t>
    <phoneticPr fontId="2" type="noConversion"/>
  </si>
  <si>
    <t>한화꿈에그린파크</t>
    <phoneticPr fontId="2" type="noConversion"/>
  </si>
  <si>
    <t>'10.03.</t>
    <phoneticPr fontId="2" type="noConversion"/>
  </si>
  <si>
    <t>인계한양수자인</t>
    <phoneticPr fontId="2" type="noConversion"/>
  </si>
  <si>
    <t>'19.04.</t>
    <phoneticPr fontId="2" type="noConversion"/>
  </si>
  <si>
    <t>인계파밀리에</t>
    <phoneticPr fontId="2" type="noConversion"/>
  </si>
  <si>
    <t>'09.06.</t>
    <phoneticPr fontId="2" type="noConversion"/>
  </si>
  <si>
    <t>화서동</t>
    <phoneticPr fontId="2" type="noConversion"/>
  </si>
  <si>
    <t>꽃뫼양지마을현대</t>
    <phoneticPr fontId="2" type="noConversion"/>
  </si>
  <si>
    <t>'02.07.</t>
    <phoneticPr fontId="2" type="noConversion"/>
  </si>
  <si>
    <t>꽃뫼양지마을현대</t>
    <phoneticPr fontId="2" type="noConversion"/>
  </si>
  <si>
    <t>'02.07.</t>
    <phoneticPr fontId="2" type="noConversion"/>
  </si>
  <si>
    <t>계</t>
    <phoneticPr fontId="2" type="noConversion"/>
  </si>
  <si>
    <t>블루밍푸른숲</t>
    <phoneticPr fontId="2" type="noConversion"/>
  </si>
  <si>
    <t>'09.06.</t>
    <phoneticPr fontId="2" type="noConversion"/>
  </si>
  <si>
    <t>화서주공5단지</t>
    <phoneticPr fontId="2" type="noConversion"/>
  </si>
  <si>
    <t>'97.05.</t>
    <phoneticPr fontId="2" type="noConversion"/>
  </si>
  <si>
    <t>복</t>
    <phoneticPr fontId="2" type="noConversion"/>
  </si>
  <si>
    <t>꽃뫼버들마을진흥</t>
    <phoneticPr fontId="2" type="noConversion"/>
  </si>
  <si>
    <t>'02.01.</t>
    <phoneticPr fontId="2" type="noConversion"/>
  </si>
  <si>
    <t>꽃뫼버들마을코오롱</t>
    <phoneticPr fontId="2" type="noConversion"/>
  </si>
  <si>
    <t>'02.03.</t>
    <phoneticPr fontId="2" type="noConversion"/>
  </si>
  <si>
    <t>화서성원상떼빌</t>
    <phoneticPr fontId="2" type="noConversion"/>
  </si>
  <si>
    <t>'01.12.</t>
    <phoneticPr fontId="2" type="noConversion"/>
  </si>
  <si>
    <t>꽃뫼버들마을LG</t>
    <phoneticPr fontId="2" type="noConversion"/>
  </si>
  <si>
    <t>'01.05.</t>
    <phoneticPr fontId="2" type="noConversion"/>
  </si>
  <si>
    <t>꽃뫼버들마을신동아</t>
    <phoneticPr fontId="2" type="noConversion"/>
  </si>
  <si>
    <t>'99.10.</t>
    <phoneticPr fontId="2" type="noConversion"/>
  </si>
  <si>
    <t>영광</t>
    <phoneticPr fontId="2" type="noConversion"/>
  </si>
  <si>
    <t>'93.04.</t>
    <phoneticPr fontId="2" type="noConversion"/>
  </si>
  <si>
    <t>영광</t>
    <phoneticPr fontId="2" type="noConversion"/>
  </si>
  <si>
    <t>'93.04.</t>
    <phoneticPr fontId="2" type="noConversion"/>
  </si>
  <si>
    <t>복</t>
    <phoneticPr fontId="2" type="noConversion"/>
  </si>
  <si>
    <t>화서위브하늘채</t>
    <phoneticPr fontId="2" type="noConversion"/>
  </si>
  <si>
    <t>'09.05.</t>
    <phoneticPr fontId="2" type="noConversion"/>
  </si>
  <si>
    <t>계</t>
    <phoneticPr fontId="2" type="noConversion"/>
  </si>
  <si>
    <t>한진,현대</t>
    <phoneticPr fontId="2" type="noConversion"/>
  </si>
  <si>
    <t>'97.12.</t>
    <phoneticPr fontId="2" type="noConversion"/>
  </si>
  <si>
    <t>화서주공4단지</t>
    <phoneticPr fontId="2" type="noConversion"/>
  </si>
  <si>
    <t>'97.05.</t>
    <phoneticPr fontId="2" type="noConversion"/>
  </si>
  <si>
    <t>화서주공4단지</t>
    <phoneticPr fontId="2" type="noConversion"/>
  </si>
  <si>
    <t>'97.05.</t>
    <phoneticPr fontId="2" type="noConversion"/>
  </si>
  <si>
    <t>계</t>
    <phoneticPr fontId="2" type="noConversion"/>
  </si>
  <si>
    <t>꽃뫼버들마을금강</t>
    <phoneticPr fontId="2" type="noConversion"/>
  </si>
  <si>
    <t>'02.04.</t>
    <phoneticPr fontId="2" type="noConversion"/>
  </si>
  <si>
    <t>화서주공3단지</t>
    <phoneticPr fontId="2" type="noConversion"/>
  </si>
  <si>
    <t>'97.04.</t>
    <phoneticPr fontId="2" type="noConversion"/>
  </si>
  <si>
    <t>벽산</t>
    <phoneticPr fontId="2" type="noConversion"/>
  </si>
  <si>
    <t>'91.11.</t>
    <phoneticPr fontId="2" type="noConversion"/>
  </si>
  <si>
    <t>복</t>
    <phoneticPr fontId="2" type="noConversion"/>
  </si>
  <si>
    <t>꽃뫼노을마을풍림</t>
    <phoneticPr fontId="2" type="noConversion"/>
  </si>
  <si>
    <t>'99.09.</t>
    <phoneticPr fontId="2" type="noConversion"/>
  </si>
  <si>
    <t>꽃뫼양지마을대우</t>
    <phoneticPr fontId="2" type="noConversion"/>
  </si>
  <si>
    <t>'01.06.</t>
    <phoneticPr fontId="2" type="noConversion"/>
  </si>
  <si>
    <t>수원화서역동문굿모닝힐</t>
    <phoneticPr fontId="2" type="noConversion"/>
  </si>
  <si>
    <t>'10.06.</t>
    <phoneticPr fontId="2" type="noConversion"/>
  </si>
  <si>
    <t>수원화서역동문굿모닝힐</t>
    <phoneticPr fontId="2" type="noConversion"/>
  </si>
  <si>
    <t>'10.06.</t>
    <phoneticPr fontId="2" type="noConversion"/>
  </si>
  <si>
    <t>계</t>
    <phoneticPr fontId="2" type="noConversion"/>
  </si>
  <si>
    <t>수원화서역동문굿모닝힐</t>
    <phoneticPr fontId="2" type="noConversion"/>
  </si>
  <si>
    <t>'10.06.</t>
    <phoneticPr fontId="2" type="noConversion"/>
  </si>
  <si>
    <t>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</si>
</sst>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0_);[Red]\(0\)"/>
    <numFmt numFmtId="177" formatCode="#,##0_);[Red]\(#,##0\)"/>
    <numFmt numFmtId="178" formatCode="&quot;@&quot;#,##0_ "/>
    <numFmt numFmtId="179" formatCode="0.0"/>
    <numFmt numFmtId="180" formatCode="#,###&quot;^&quot;"/>
    <numFmt numFmtId="181" formatCode="General&quot;^&quot;"/>
    <numFmt numFmtId="182" formatCode="0_ "/>
    <numFmt numFmtId="183" formatCode="#,##0_ "/>
    <numFmt numFmtId="184" formatCode="0.0%"/>
    <numFmt numFmtId="185" formatCode="&quot;~&quot;General"/>
    <numFmt numFmtId="186" formatCode="General&quot;~&quot;"/>
    <numFmt numFmtId="187" formatCode="yyyy&quot;년&quot;\ m&quot;월&quot;\ d&quot;일&quot;;@"/>
  </numFmts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vertAlign val="superscript"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31">
    <xf numFmtId="0" fontId="0" fillId="0" borderId="0" xfId="0">
      <alignment vertical="center"/>
    </xf>
    <xf numFmtId="0" fontId="4" fillId="2" borderId="0" xfId="0" applyFont="1" applyFill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0" fontId="4" fillId="2" borderId="1" xfId="0" applyNumberFormat="1" applyFont="1" applyFill="1" applyBorder="1">
      <alignment vertical="center"/>
    </xf>
    <xf numFmtId="177" fontId="4" fillId="2" borderId="1" xfId="0" applyNumberFormat="1" applyFont="1" applyFill="1" applyBorder="1">
      <alignment vertical="center"/>
    </xf>
    <xf numFmtId="9" fontId="4" fillId="2" borderId="1" xfId="1" applyFont="1" applyFill="1" applyBorder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>
      <alignment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>
      <alignment vertical="center"/>
    </xf>
    <xf numFmtId="0" fontId="6" fillId="2" borderId="1" xfId="0" applyFont="1" applyFill="1" applyBorder="1">
      <alignment vertical="center"/>
    </xf>
    <xf numFmtId="0" fontId="4" fillId="2" borderId="1" xfId="0" applyFont="1" applyFill="1" applyBorder="1" applyAlignment="1">
      <alignment vertical="center"/>
    </xf>
    <xf numFmtId="178" fontId="4" fillId="2" borderId="1" xfId="0" applyNumberFormat="1" applyFont="1" applyFill="1" applyBorder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quotePrefix="1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176" fontId="4" fillId="2" borderId="1" xfId="0" applyNumberFormat="1" applyFont="1" applyFill="1" applyBorder="1" applyAlignment="1">
      <alignment horizontal="center" vertical="center"/>
    </xf>
    <xf numFmtId="176" fontId="4" fillId="2" borderId="1" xfId="0" applyNumberFormat="1" applyFont="1" applyFill="1" applyBorder="1" applyAlignment="1">
      <alignment vertical="center"/>
    </xf>
    <xf numFmtId="49" fontId="3" fillId="3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>
      <alignment vertical="center"/>
    </xf>
    <xf numFmtId="179" fontId="4" fillId="2" borderId="1" xfId="0" applyNumberFormat="1" applyFont="1" applyFill="1" applyBorder="1" applyAlignment="1">
      <alignment vertical="center"/>
    </xf>
    <xf numFmtId="1" fontId="4" fillId="2" borderId="1" xfId="0" applyNumberFormat="1" applyFont="1" applyFill="1" applyBorder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8" fontId="4" fillId="2" borderId="1" xfId="0" applyNumberFormat="1" applyFont="1" applyFill="1" applyBorder="1" applyAlignment="1">
      <alignment vertical="center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7" fontId="4" fillId="0" borderId="1" xfId="0" applyNumberFormat="1" applyFont="1" applyFill="1" applyBorder="1">
      <alignment vertical="center"/>
    </xf>
    <xf numFmtId="0" fontId="10" fillId="3" borderId="1" xfId="0" quotePrefix="1" applyFont="1" applyFill="1" applyBorder="1" applyAlignment="1">
      <alignment horizontal="center" vertical="center"/>
    </xf>
    <xf numFmtId="0" fontId="11" fillId="3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176" fontId="3" fillId="2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4" fillId="2" borderId="0" xfId="0" applyFont="1" applyFill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11" fillId="3" borderId="1" xfId="0" quotePrefix="1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Protection="1">
      <alignment vertical="center"/>
      <protection locked="0"/>
    </xf>
    <xf numFmtId="0" fontId="10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12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82" fontId="4" fillId="2" borderId="0" xfId="0" applyNumberFormat="1" applyFont="1" applyFill="1">
      <alignment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183" fontId="4" fillId="4" borderId="1" xfId="0" applyNumberFormat="1" applyFont="1" applyFill="1" applyBorder="1" applyProtection="1">
      <alignment vertical="center"/>
      <protection locked="0"/>
    </xf>
    <xf numFmtId="185" fontId="4" fillId="3" borderId="1" xfId="0" applyNumberFormat="1" applyFont="1" applyFill="1" applyBorder="1" applyAlignment="1">
      <alignment horizontal="center" vertical="center"/>
    </xf>
    <xf numFmtId="186" fontId="4" fillId="3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2" borderId="9" xfId="0" applyFont="1" applyFill="1" applyBorder="1">
      <alignment vertical="center"/>
    </xf>
    <xf numFmtId="0" fontId="13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15" fillId="3" borderId="2" xfId="0" applyFont="1" applyFill="1" applyBorder="1" applyAlignment="1">
      <alignment horizontal="centerContinuous" vertical="center" wrapText="1"/>
    </xf>
    <xf numFmtId="0" fontId="15" fillId="3" borderId="3" xfId="0" applyFont="1" applyFill="1" applyBorder="1" applyAlignment="1">
      <alignment horizontal="centerContinuous" vertical="center" wrapText="1"/>
    </xf>
    <xf numFmtId="0" fontId="15" fillId="3" borderId="4" xfId="0" applyFont="1" applyFill="1" applyBorder="1" applyAlignment="1">
      <alignment horizontal="centerContinuous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5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5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179" fontId="15" fillId="6" borderId="10" xfId="0" applyNumberFormat="1" applyFont="1" applyFill="1" applyBorder="1" applyAlignment="1">
      <alignment horizontal="center" vertical="center" wrapText="1"/>
    </xf>
    <xf numFmtId="179" fontId="15" fillId="6" borderId="4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0" fillId="2" borderId="0" xfId="0" applyFill="1">
      <alignment vertical="center"/>
    </xf>
    <xf numFmtId="179" fontId="15" fillId="6" borderId="9" xfId="0" applyNumberFormat="1" applyFont="1" applyFill="1" applyBorder="1" applyAlignment="1">
      <alignment horizontal="center" vertical="center" wrapText="1"/>
    </xf>
    <xf numFmtId="179" fontId="15" fillId="5" borderId="4" xfId="0" applyNumberFormat="1" applyFont="1" applyFill="1" applyBorder="1" applyAlignment="1">
      <alignment horizontal="center" vertical="center" wrapText="1"/>
    </xf>
    <xf numFmtId="179" fontId="15" fillId="7" borderId="4" xfId="0" applyNumberFormat="1" applyFont="1" applyFill="1" applyBorder="1" applyAlignment="1">
      <alignment horizontal="center" vertical="center" wrapText="1"/>
    </xf>
    <xf numFmtId="179" fontId="15" fillId="8" borderId="4" xfId="0" applyNumberFormat="1" applyFont="1" applyFill="1" applyBorder="1" applyAlignment="1">
      <alignment horizontal="center" vertical="center" wrapText="1"/>
    </xf>
    <xf numFmtId="179" fontId="15" fillId="6" borderId="2" xfId="0" applyNumberFormat="1" applyFont="1" applyFill="1" applyBorder="1" applyAlignment="1">
      <alignment horizontal="center" vertical="center" wrapText="1"/>
    </xf>
    <xf numFmtId="179" fontId="15" fillId="5" borderId="2" xfId="0" applyNumberFormat="1" applyFont="1" applyFill="1" applyBorder="1" applyAlignment="1">
      <alignment horizontal="center" vertical="center" wrapText="1"/>
    </xf>
    <xf numFmtId="179" fontId="15" fillId="7" borderId="2" xfId="0" applyNumberFormat="1" applyFont="1" applyFill="1" applyBorder="1" applyAlignment="1">
      <alignment horizontal="center" vertical="center" wrapText="1"/>
    </xf>
    <xf numFmtId="179" fontId="15" fillId="8" borderId="2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76" fontId="4" fillId="2" borderId="1" xfId="0" applyNumberFormat="1" applyFont="1" applyFill="1" applyBorder="1">
      <alignment vertical="center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187" fontId="6" fillId="2" borderId="0" xfId="0" quotePrefix="1" applyNumberFormat="1" applyFont="1" applyFill="1" applyAlignment="1" applyProtection="1">
      <alignment horizontal="left" vertical="center"/>
      <protection locked="0"/>
    </xf>
    <xf numFmtId="0" fontId="17" fillId="0" borderId="0" xfId="0" applyFont="1">
      <alignment vertical="center"/>
    </xf>
    <xf numFmtId="0" fontId="18" fillId="4" borderId="0" xfId="0" applyFont="1" applyFill="1">
      <alignment vertical="center"/>
    </xf>
    <xf numFmtId="0" fontId="4" fillId="2" borderId="1" xfId="0" applyFont="1" applyFill="1" applyBorder="1" applyAlignment="1">
      <alignment horizontal="center" vertical="center"/>
    </xf>
    <xf numFmtId="183" fontId="4" fillId="2" borderId="1" xfId="0" applyNumberFormat="1" applyFont="1" applyFill="1" applyBorder="1">
      <alignment vertical="center"/>
    </xf>
    <xf numFmtId="0" fontId="11" fillId="2" borderId="1" xfId="0" applyFont="1" applyFill="1" applyBorder="1" applyAlignment="1">
      <alignment horizontal="center" vertical="center"/>
    </xf>
    <xf numFmtId="183" fontId="11" fillId="2" borderId="1" xfId="0" applyNumberFormat="1" applyFont="1" applyFill="1" applyBorder="1">
      <alignment vertical="center"/>
    </xf>
    <xf numFmtId="184" fontId="4" fillId="2" borderId="1" xfId="1" applyNumberFormat="1" applyFont="1" applyFill="1" applyBorder="1">
      <alignment vertical="center"/>
    </xf>
    <xf numFmtId="184" fontId="11" fillId="2" borderId="1" xfId="1" applyNumberFormat="1" applyFont="1" applyFill="1" applyBorder="1">
      <alignment vertical="center"/>
    </xf>
    <xf numFmtId="0" fontId="0" fillId="9" borderId="0" xfId="0" applyFill="1">
      <alignment vertical="center"/>
    </xf>
    <xf numFmtId="0" fontId="3" fillId="3" borderId="2" xfId="0" applyFont="1" applyFill="1" applyBorder="1" applyAlignment="1" applyProtection="1">
      <alignment horizontal="center" vertical="center" wrapText="1"/>
      <protection locked="0"/>
    </xf>
    <xf numFmtId="0" fontId="3" fillId="3" borderId="4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3560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FF99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" hidden="1">
              <a:extLst>
                <a:ext uri="{63B3BB69-23CF-44E3-9099-C40C66FF867C}">
                  <a14:compatExt spid="_x0000_s388097"/>
                </a:ext>
                <a:ext uri="{FF2B5EF4-FFF2-40B4-BE49-F238E27FC236}">
                  <a16:creationId xmlns:a16="http://schemas.microsoft.com/office/drawing/2014/main" id="{00000000-0008-0000-0000-000001E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2" hidden="1">
              <a:extLst>
                <a:ext uri="{63B3BB69-23CF-44E3-9099-C40C66FF867C}">
                  <a14:compatExt spid="_x0000_s388098"/>
                </a:ext>
                <a:ext uri="{FF2B5EF4-FFF2-40B4-BE49-F238E27FC236}">
                  <a16:creationId xmlns:a16="http://schemas.microsoft.com/office/drawing/2014/main" id="{00000000-0008-0000-0000-000002E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  <a:ext uri="{FF2B5EF4-FFF2-40B4-BE49-F238E27FC236}">
                  <a16:creationId xmlns:a16="http://schemas.microsoft.com/office/drawing/2014/main" id="{00000000-0008-0000-0100-000001E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  <a:ext uri="{FF2B5EF4-FFF2-40B4-BE49-F238E27FC236}">
                  <a16:creationId xmlns:a16="http://schemas.microsoft.com/office/drawing/2014/main" id="{00000000-0008-0000-0200-000001E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2152650</xdr:colOff>
      <xdr:row>0</xdr:row>
      <xdr:rowOff>19050</xdr:rowOff>
    </xdr:from>
    <xdr:to>
      <xdr:col>6</xdr:col>
      <xdr:colOff>342900</xdr:colOff>
      <xdr:row>3</xdr:row>
      <xdr:rowOff>12700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105150" y="19050"/>
          <a:ext cx="4838700" cy="603250"/>
        </a:xfrm>
        <a:prstGeom prst="wedgeRoundRectCallout">
          <a:avLst>
            <a:gd name="adj1" fmla="val -60997"/>
            <a:gd name="adj2" fmla="val -9013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_</a:t>
          </a:r>
          <a:r>
            <a:rPr lang="ko-KR" altLang="en-US" sz="1000">
              <a:solidFill>
                <a:srgbClr val="FF0000"/>
              </a:solidFill>
            </a:rPr>
            <a:t>가격표용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의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전체단지추출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을 먼저 하신 뒤 사용하세요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ko-KR" altLang="en-US" sz="1000">
              <a:solidFill>
                <a:srgbClr val="FF0000"/>
              </a:solidFill>
            </a:rPr>
            <a:t>아래 동 및 가격구간의 추가</a:t>
          </a:r>
          <a:r>
            <a:rPr lang="en-US" altLang="ko-KR" sz="1000">
              <a:solidFill>
                <a:srgbClr val="FF0000"/>
              </a:solidFill>
            </a:rPr>
            <a:t>/</a:t>
          </a:r>
          <a:r>
            <a:rPr lang="ko-KR" altLang="en-US" sz="1000">
              <a:solidFill>
                <a:srgbClr val="FF0000"/>
              </a:solidFill>
            </a:rPr>
            <a:t>변경 시에 다시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전체단지추출</a:t>
          </a:r>
          <a:r>
            <a:rPr lang="en-US" altLang="ko-KR" sz="1000">
              <a:solidFill>
                <a:srgbClr val="FF0000"/>
              </a:solidFill>
            </a:rPr>
            <a:t>' </a:t>
          </a:r>
          <a:r>
            <a:rPr lang="ko-KR" altLang="en-US" sz="1000">
              <a:solidFill>
                <a:srgbClr val="FF0000"/>
              </a:solidFill>
            </a:rPr>
            <a:t>할 필요는 없습니다</a:t>
          </a:r>
          <a:r>
            <a:rPr lang="en-US" altLang="ko-KR" sz="1000">
              <a:solidFill>
                <a:srgbClr val="FF0000"/>
              </a:solidFill>
            </a:rPr>
            <a:t>.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  <a:ext uri="{FF2B5EF4-FFF2-40B4-BE49-F238E27FC236}">
                  <a16:creationId xmlns:a16="http://schemas.microsoft.com/office/drawing/2014/main" id="{00000000-0008-0000-0300-0000010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  <a:ext uri="{FF2B5EF4-FFF2-40B4-BE49-F238E27FC236}">
                  <a16:creationId xmlns:a16="http://schemas.microsoft.com/office/drawing/2014/main" id="{00000000-0008-0000-0300-0000020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04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00000000-0008-0000-0400-000002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xdr:twoCellAnchor>
    <xdr:from>
      <xdr:col>41</xdr:col>
      <xdr:colOff>400050</xdr:colOff>
      <xdr:row>1</xdr:row>
      <xdr:rowOff>88900</xdr:rowOff>
    </xdr:from>
    <xdr:to>
      <xdr:col>48</xdr:col>
      <xdr:colOff>190500</xdr:colOff>
      <xdr:row>4</xdr:row>
      <xdr:rowOff>44450</xdr:rowOff>
    </xdr:to>
    <xdr:sp macro="" textlink="">
      <xdr:nvSpPr>
        <xdr:cNvPr id="4" name="말풍선: 모서리가 둥근 사각형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7476450" y="304800"/>
          <a:ext cx="4413250" cy="603250"/>
        </a:xfrm>
        <a:prstGeom prst="wedgeRoundRectCallout">
          <a:avLst>
            <a:gd name="adj1" fmla="val 55670"/>
            <a:gd name="adj2" fmla="val -41645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AX~BF</a:t>
          </a:r>
          <a:r>
            <a:rPr lang="en-US" altLang="ko-KR" sz="1000" baseline="0">
              <a:solidFill>
                <a:srgbClr val="FF0000"/>
              </a:solidFill>
            </a:rPr>
            <a:t> </a:t>
          </a:r>
          <a:r>
            <a:rPr lang="ko-KR" altLang="en-US" sz="1000" baseline="0">
              <a:solidFill>
                <a:srgbClr val="FF0000"/>
              </a:solidFill>
            </a:rPr>
            <a:t>열을 복사하여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</a:t>
          </a:r>
          <a:r>
            <a:rPr lang="ko-KR" altLang="en-US" sz="1000">
              <a:solidFill>
                <a:srgbClr val="FF0000"/>
              </a:solidFill>
            </a:rPr>
            <a:t>및 각 동별 </a:t>
          </a:r>
          <a:r>
            <a:rPr lang="en-US" altLang="ko-KR" sz="1000">
              <a:solidFill>
                <a:srgbClr val="FF0000"/>
              </a:solidFill>
            </a:rPr>
            <a:t>Sheet</a:t>
          </a:r>
          <a:r>
            <a:rPr lang="ko-KR" altLang="en-US" sz="1000">
              <a:solidFill>
                <a:srgbClr val="FF0000"/>
              </a:solidFill>
            </a:rPr>
            <a:t>의 </a:t>
          </a:r>
          <a:r>
            <a:rPr lang="en-US" altLang="ko-KR" sz="1000">
              <a:solidFill>
                <a:srgbClr val="FF0000"/>
              </a:solidFill>
            </a:rPr>
            <a:t>AX~BF </a:t>
          </a:r>
          <a:r>
            <a:rPr lang="ko-KR" altLang="en-US" sz="1000">
              <a:solidFill>
                <a:srgbClr val="FF0000"/>
              </a:solidFill>
            </a:rPr>
            <a:t>열에 붙여넣은 뒤</a:t>
          </a:r>
          <a:r>
            <a:rPr lang="en-US" altLang="ko-KR" sz="1000">
              <a:solidFill>
                <a:srgbClr val="FF0000"/>
              </a:solidFill>
            </a:rPr>
            <a:t>,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AX,</a:t>
          </a:r>
          <a:r>
            <a:rPr lang="en-US" altLang="ko-KR" sz="1000" baseline="0">
              <a:solidFill>
                <a:srgbClr val="FF0000"/>
              </a:solidFill>
            </a:rPr>
            <a:t> AY </a:t>
          </a:r>
          <a:r>
            <a:rPr lang="ko-KR" altLang="en-US" sz="1000" baseline="0">
              <a:solidFill>
                <a:srgbClr val="FF0000"/>
              </a:solidFill>
            </a:rPr>
            <a:t>열의 값을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</a:t>
          </a:r>
          <a:r>
            <a:rPr lang="en-US" altLang="ko-KR" sz="1000" baseline="0">
              <a:solidFill>
                <a:srgbClr val="FF0000"/>
              </a:solidFill>
            </a:rPr>
            <a:t>Data </a:t>
          </a:r>
          <a:r>
            <a:rPr lang="ko-KR" altLang="en-US" sz="1000" baseline="0">
              <a:solidFill>
                <a:srgbClr val="FF0000"/>
              </a:solidFill>
            </a:rPr>
            <a:t>끝까지 복붙하시면 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r>
            <a:rPr lang="ko-KR" altLang="en-US" sz="1000">
              <a:solidFill>
                <a:srgbClr val="FF0000"/>
              </a:solidFill>
            </a:rPr>
            <a:t>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3450" y="1892300"/>
          <a:ext cx="4140200" cy="10922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defaultColWidth="9" defaultRowHeight="14.1" customHeight="1" x14ac:dyDescent="0.3"/>
  <cols>
    <col min="1" max="1" width="22.5" style="92" bestFit="1" customWidth="1"/>
    <col min="2" max="2" width="5.625" style="92" bestFit="1" customWidth="1"/>
    <col min="3" max="3" width="6.625" style="92" bestFit="1" customWidth="1"/>
    <col min="4" max="4" width="5.625" style="92" bestFit="1" customWidth="1"/>
    <col min="5" max="5" width="4.625" style="92" bestFit="1" customWidth="1"/>
    <col min="6" max="6" width="5.625" style="92" bestFit="1" customWidth="1"/>
    <col min="7" max="7" width="4.625" style="92" bestFit="1" customWidth="1"/>
    <col min="8" max="8" width="6.625" style="92" bestFit="1" customWidth="1"/>
    <col min="9" max="9" width="7.75" style="92" bestFit="1" customWidth="1"/>
    <col min="10" max="10" width="4" style="92" bestFit="1" customWidth="1"/>
    <col min="11" max="11" width="6.875" style="92" bestFit="1" customWidth="1"/>
    <col min="12" max="12" width="4" style="92" bestFit="1" customWidth="1"/>
    <col min="13" max="13" width="6.875" style="92" bestFit="1" customWidth="1"/>
    <col min="14" max="14" width="4.625" style="92" bestFit="1" customWidth="1"/>
    <col min="15" max="16" width="7.625" style="92" bestFit="1" customWidth="1"/>
    <col min="17" max="19" width="3.25" style="92" bestFit="1" customWidth="1"/>
    <col min="20" max="20" width="10.125" style="92" customWidth="1"/>
    <col min="21" max="21" width="25" style="92" customWidth="1"/>
    <col min="22" max="22" width="2.25" style="92" customWidth="1"/>
    <col min="23" max="23" width="5.625" style="92" bestFit="1" customWidth="1"/>
    <col min="24" max="24" width="4.5" style="92" customWidth="1"/>
    <col min="25" max="25" width="6.25" style="92" bestFit="1" customWidth="1"/>
    <col min="26" max="26" width="7.75" style="92" bestFit="1" customWidth="1"/>
    <col min="27" max="27" width="7" style="92" bestFit="1" customWidth="1"/>
    <col min="28" max="28" width="6.875" style="92" bestFit="1" customWidth="1"/>
    <col min="29" max="29" width="4.625" style="92" bestFit="1" customWidth="1"/>
    <col min="30" max="30" width="7.625" style="92" bestFit="1" customWidth="1"/>
    <col min="31" max="31" width="3.25" style="92" bestFit="1" customWidth="1"/>
    <col min="32" max="32" width="4.625" style="92" bestFit="1" customWidth="1"/>
    <col min="33" max="33" width="2.125" style="92" customWidth="1"/>
    <col min="34" max="34" width="22.5" style="92" bestFit="1" customWidth="1"/>
    <col min="35" max="35" width="4.625" style="92" bestFit="1" customWidth="1"/>
    <col min="36" max="40" width="4.625" style="92" customWidth="1"/>
    <col min="41" max="41" width="9.125" style="92" bestFit="1" customWidth="1"/>
    <col min="42" max="43" width="7.625" style="92" bestFit="1" customWidth="1"/>
    <col min="44" max="44" width="9.125" style="92" bestFit="1" customWidth="1"/>
    <col min="45" max="45" width="6.125" style="92" bestFit="1" customWidth="1"/>
    <col min="46" max="46" width="8.625" style="92" bestFit="1" customWidth="1"/>
    <col min="47" max="47" width="9.125" style="92" bestFit="1" customWidth="1"/>
    <col min="48" max="48" width="7.625" style="92" bestFit="1" customWidth="1"/>
    <col min="49" max="51" width="9" style="42"/>
    <col min="52" max="52" width="1.25" style="42" customWidth="1"/>
    <col min="53" max="16384" width="9" style="42"/>
  </cols>
  <sheetData>
    <row r="1" spans="1:60" ht="17.25" x14ac:dyDescent="0.3">
      <c r="A1" s="41" t="s">
        <v>77</v>
      </c>
      <c r="B1" s="42"/>
      <c r="C1" s="43"/>
      <c r="D1" s="42"/>
      <c r="E1" s="42"/>
      <c r="F1" s="42"/>
      <c r="G1" s="42"/>
      <c r="H1" s="43"/>
      <c r="I1" s="42"/>
      <c r="J1" s="122" t="s">
        <v>56</v>
      </c>
      <c r="K1" s="122"/>
      <c r="L1" s="63" t="s">
        <v>32</v>
      </c>
      <c r="M1"/>
      <c r="N1" s="122" t="s">
        <v>57</v>
      </c>
      <c r="O1" s="122"/>
      <c r="P1" s="64">
        <v>0</v>
      </c>
      <c r="Q1" s="123" t="s">
        <v>58</v>
      </c>
      <c r="R1" s="123"/>
      <c r="S1" s="123"/>
      <c r="T1" s="45"/>
      <c r="U1" s="42"/>
      <c r="V1" s="42"/>
      <c r="W1" s="42"/>
      <c r="X1" s="56" t="s">
        <v>38</v>
      </c>
      <c r="Y1" s="56"/>
      <c r="Z1" s="1"/>
      <c r="AA1" s="58">
        <v>70000</v>
      </c>
      <c r="AB1" s="42"/>
      <c r="AC1" s="42"/>
      <c r="AD1" s="42"/>
      <c r="AE1" s="44"/>
      <c r="AF1" s="45"/>
      <c r="AG1" s="42"/>
      <c r="AH1" s="41" t="s">
        <v>76</v>
      </c>
      <c r="AI1" s="42"/>
      <c r="AJ1" s="124" t="s">
        <v>78</v>
      </c>
      <c r="AK1" s="124"/>
      <c r="AL1" s="124"/>
      <c r="AM1" s="124"/>
      <c r="AN1" s="125"/>
      <c r="AO1" s="39">
        <v>80</v>
      </c>
      <c r="AP1" s="39">
        <v>45000</v>
      </c>
      <c r="AQ1" s="40">
        <v>1000</v>
      </c>
      <c r="AR1" s="39">
        <v>6000</v>
      </c>
      <c r="AS1" s="3"/>
      <c r="AT1" s="3"/>
      <c r="AU1" s="39">
        <v>300</v>
      </c>
      <c r="AV1" s="42"/>
      <c r="AX1" s="91" t="s">
        <v>61</v>
      </c>
      <c r="AY1" s="91" t="s">
        <v>62</v>
      </c>
      <c r="AZ1" s="68"/>
      <c r="BH1" s="42" t="s">
        <v>74</v>
      </c>
    </row>
    <row r="2" spans="1:60" ht="12" x14ac:dyDescent="0.3">
      <c r="A2" s="110">
        <v>44197</v>
      </c>
      <c r="B2" s="44"/>
      <c r="C2" s="43"/>
      <c r="D2" s="42"/>
      <c r="E2" s="42"/>
      <c r="F2" s="42"/>
      <c r="G2" s="42"/>
      <c r="H2" s="43"/>
      <c r="I2" s="42"/>
      <c r="J2" s="42"/>
      <c r="K2" s="42"/>
      <c r="L2" s="42"/>
      <c r="M2" s="42"/>
      <c r="N2" s="42"/>
      <c r="O2" s="42"/>
      <c r="P2" s="42"/>
      <c r="Q2" s="45"/>
      <c r="R2" s="45"/>
      <c r="S2" s="44"/>
      <c r="T2" s="45"/>
      <c r="U2" s="46"/>
      <c r="V2" s="42"/>
      <c r="W2" s="42"/>
      <c r="X2" s="57" t="s">
        <v>39</v>
      </c>
      <c r="Y2" s="57"/>
      <c r="Z2" s="1"/>
      <c r="AA2" s="58">
        <v>10000</v>
      </c>
      <c r="AB2" s="42"/>
      <c r="AC2" s="42"/>
      <c r="AD2" s="42"/>
      <c r="AE2" s="44"/>
      <c r="AF2" s="45"/>
      <c r="AG2" s="42"/>
      <c r="AH2" s="47" t="s">
        <v>35</v>
      </c>
      <c r="AI2" s="48"/>
      <c r="AJ2" s="49" t="s">
        <v>44</v>
      </c>
      <c r="AK2" s="49" t="s">
        <v>42</v>
      </c>
      <c r="AL2" s="49" t="s">
        <v>42</v>
      </c>
      <c r="AM2" s="49" t="s">
        <v>42</v>
      </c>
      <c r="AN2" s="49" t="s">
        <v>66</v>
      </c>
      <c r="AO2" s="120" t="s">
        <v>23</v>
      </c>
      <c r="AP2" s="126"/>
      <c r="AQ2" s="121"/>
      <c r="AR2" s="120" t="s">
        <v>24</v>
      </c>
      <c r="AS2" s="121"/>
      <c r="AT2" s="120" t="s">
        <v>25</v>
      </c>
      <c r="AU2" s="121"/>
      <c r="AV2" s="50" t="s">
        <v>36</v>
      </c>
      <c r="AX2" s="67">
        <v>2020</v>
      </c>
      <c r="AY2" s="67">
        <v>9</v>
      </c>
      <c r="AZ2" s="69"/>
      <c r="BH2" s="42" t="s">
        <v>75</v>
      </c>
    </row>
    <row r="3" spans="1:60" ht="26.25" x14ac:dyDescent="0.3">
      <c r="A3" s="50" t="s">
        <v>10</v>
      </c>
      <c r="B3" s="50" t="s">
        <v>11</v>
      </c>
      <c r="C3" s="50" t="s">
        <v>12</v>
      </c>
      <c r="D3" s="50" t="s">
        <v>20</v>
      </c>
      <c r="E3" s="50" t="s">
        <v>4</v>
      </c>
      <c r="F3" s="50" t="s">
        <v>21</v>
      </c>
      <c r="G3" s="50" t="s">
        <v>13</v>
      </c>
      <c r="H3" s="72" t="s">
        <v>6</v>
      </c>
      <c r="I3" s="51" t="s">
        <v>14</v>
      </c>
      <c r="J3" s="51" t="s">
        <v>22</v>
      </c>
      <c r="K3" s="51" t="s">
        <v>15</v>
      </c>
      <c r="L3" s="51" t="s">
        <v>22</v>
      </c>
      <c r="M3" s="72" t="s">
        <v>2</v>
      </c>
      <c r="N3" s="50" t="s">
        <v>5</v>
      </c>
      <c r="O3" s="51" t="s">
        <v>17</v>
      </c>
      <c r="P3" s="51" t="s">
        <v>16</v>
      </c>
      <c r="Q3" s="52" t="s">
        <v>18</v>
      </c>
      <c r="R3" s="52" t="s">
        <v>19</v>
      </c>
      <c r="S3" s="50" t="s">
        <v>7</v>
      </c>
      <c r="T3" s="53" t="s">
        <v>34</v>
      </c>
      <c r="U3" s="72" t="s">
        <v>9</v>
      </c>
      <c r="V3" s="42"/>
      <c r="W3" s="50" t="s">
        <v>37</v>
      </c>
      <c r="X3" s="50" t="s">
        <v>4</v>
      </c>
      <c r="Y3" s="54" t="s">
        <v>6</v>
      </c>
      <c r="Z3" s="72" t="s">
        <v>0</v>
      </c>
      <c r="AA3" s="72" t="s">
        <v>1</v>
      </c>
      <c r="AB3" s="72" t="s">
        <v>2</v>
      </c>
      <c r="AC3" s="50" t="s">
        <v>5</v>
      </c>
      <c r="AD3" s="72" t="s">
        <v>3</v>
      </c>
      <c r="AE3" s="50" t="s">
        <v>7</v>
      </c>
      <c r="AF3" s="52" t="s">
        <v>8</v>
      </c>
      <c r="AG3" s="42"/>
      <c r="AH3" s="50" t="s">
        <v>79</v>
      </c>
      <c r="AI3" s="50" t="s">
        <v>80</v>
      </c>
      <c r="AJ3" s="50" t="s">
        <v>26</v>
      </c>
      <c r="AK3" s="50" t="s">
        <v>27</v>
      </c>
      <c r="AL3" s="50" t="s">
        <v>28</v>
      </c>
      <c r="AM3" s="50" t="s">
        <v>29</v>
      </c>
      <c r="AN3" s="50" t="s">
        <v>30</v>
      </c>
      <c r="AO3" s="50" t="s">
        <v>81</v>
      </c>
      <c r="AP3" s="50" t="s">
        <v>82</v>
      </c>
      <c r="AQ3" s="50" t="s">
        <v>87</v>
      </c>
      <c r="AR3" s="50" t="s">
        <v>83</v>
      </c>
      <c r="AS3" s="50" t="s">
        <v>31</v>
      </c>
      <c r="AT3" s="55" t="s">
        <v>33</v>
      </c>
      <c r="AU3" s="50" t="s">
        <v>84</v>
      </c>
      <c r="AV3" s="50" t="s">
        <v>36</v>
      </c>
      <c r="AX3" s="18" t="s">
        <v>59</v>
      </c>
      <c r="AY3" s="18" t="s">
        <v>60</v>
      </c>
      <c r="AZ3" s="71"/>
      <c r="BA3" s="73"/>
      <c r="BB3" s="65">
        <v>2010</v>
      </c>
      <c r="BC3" s="65">
        <v>2000</v>
      </c>
      <c r="BD3" s="65">
        <v>1990</v>
      </c>
      <c r="BE3" s="66">
        <v>1990</v>
      </c>
      <c r="BF3" s="1"/>
    </row>
    <row r="4" spans="1:60" s="1" customFormat="1" ht="16.5" x14ac:dyDescent="0.3">
      <c r="A4" s="92"/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X4" s="62">
        <v>2011</v>
      </c>
      <c r="AY4" s="62">
        <v>4</v>
      </c>
      <c r="AZ4" s="92"/>
    </row>
    <row r="5" spans="1:60" s="1" customFormat="1" ht="16.5" x14ac:dyDescent="0.3">
      <c r="A5" s="92"/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92"/>
      <c r="V5" s="92"/>
      <c r="W5" s="92"/>
      <c r="X5" s="92"/>
      <c r="Y5" s="92"/>
      <c r="Z5" s="92"/>
      <c r="AA5" s="92"/>
      <c r="AB5" s="92"/>
      <c r="AC5" s="92"/>
      <c r="AD5" s="92"/>
      <c r="AE5" s="92"/>
      <c r="AF5" s="92"/>
      <c r="AG5" s="92"/>
      <c r="AH5" s="92"/>
      <c r="AI5" s="9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  <c r="AX5" s="62">
        <v>2011</v>
      </c>
      <c r="AY5" s="62">
        <v>4</v>
      </c>
      <c r="AZ5" s="92"/>
    </row>
    <row r="6" spans="1:60" s="1" customFormat="1" ht="16.5" x14ac:dyDescent="0.3">
      <c r="A6" s="92"/>
      <c r="B6" s="92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  <c r="AA6" s="92"/>
      <c r="AB6" s="92"/>
      <c r="AC6" s="92"/>
      <c r="AD6" s="92"/>
      <c r="AE6" s="92"/>
      <c r="AF6" s="92"/>
      <c r="AG6" s="92"/>
      <c r="AH6" s="92"/>
      <c r="AI6" s="92"/>
      <c r="AJ6" s="92"/>
      <c r="AK6" s="92"/>
      <c r="AL6" s="92"/>
      <c r="AM6" s="92"/>
      <c r="AN6" s="92"/>
      <c r="AO6" s="92"/>
      <c r="AP6" s="92"/>
      <c r="AQ6" s="92"/>
      <c r="AR6" s="92"/>
      <c r="AS6" s="92"/>
      <c r="AT6" s="92"/>
      <c r="AU6" s="92"/>
      <c r="AV6" s="92"/>
      <c r="AX6" s="62">
        <v>2011</v>
      </c>
      <c r="AY6" s="62">
        <v>4</v>
      </c>
      <c r="AZ6" s="92"/>
    </row>
    <row r="7" spans="1:60" s="1" customFormat="1" ht="16.5" x14ac:dyDescent="0.3">
      <c r="A7" s="92"/>
      <c r="B7" s="92"/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92"/>
      <c r="AS7" s="92"/>
      <c r="AT7" s="92"/>
      <c r="AU7" s="92"/>
      <c r="AV7" s="92"/>
      <c r="AX7" s="62">
        <v>2015</v>
      </c>
      <c r="AY7" s="62">
        <v>7</v>
      </c>
      <c r="AZ7" s="92"/>
    </row>
    <row r="8" spans="1:60" s="1" customFormat="1" ht="16.5" x14ac:dyDescent="0.3">
      <c r="A8" s="92"/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92"/>
      <c r="AV8" s="92"/>
      <c r="AX8" s="62">
        <v>2015</v>
      </c>
      <c r="AY8" s="62">
        <v>7</v>
      </c>
      <c r="AZ8" s="92"/>
    </row>
    <row r="9" spans="1:60" s="1" customFormat="1" ht="16.5" x14ac:dyDescent="0.3">
      <c r="A9" s="92"/>
      <c r="B9" s="92"/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X9" s="62">
        <v>2015</v>
      </c>
      <c r="AY9" s="62">
        <v>7</v>
      </c>
      <c r="AZ9" s="92"/>
    </row>
    <row r="10" spans="1:60" s="1" customFormat="1" ht="16.5" x14ac:dyDescent="0.3">
      <c r="A10" s="92"/>
      <c r="B10" s="92"/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X10" s="62">
        <v>2012</v>
      </c>
      <c r="AY10" s="62">
        <v>5</v>
      </c>
      <c r="AZ10" s="92"/>
    </row>
    <row r="11" spans="1:60" s="1" customFormat="1" ht="16.5" x14ac:dyDescent="0.3">
      <c r="A11" s="92"/>
      <c r="B11" s="92"/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X11" s="62">
        <v>2012</v>
      </c>
      <c r="AY11" s="62">
        <v>5</v>
      </c>
      <c r="AZ11" s="92"/>
    </row>
    <row r="12" spans="1:60" s="1" customFormat="1" ht="16.5" x14ac:dyDescent="0.3">
      <c r="A12" s="92"/>
      <c r="B12" s="92"/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X12" s="62">
        <v>2012</v>
      </c>
      <c r="AY12" s="62">
        <v>5</v>
      </c>
      <c r="AZ12" s="92"/>
    </row>
    <row r="13" spans="1:60" s="1" customFormat="1" ht="16.5" x14ac:dyDescent="0.3">
      <c r="A13" s="92"/>
      <c r="B13" s="92"/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X13" s="62">
        <v>2012</v>
      </c>
      <c r="AY13" s="62">
        <v>5</v>
      </c>
      <c r="AZ13" s="92"/>
    </row>
    <row r="14" spans="1:60" s="1" customFormat="1" ht="16.5" x14ac:dyDescent="0.3">
      <c r="A14" s="92"/>
      <c r="B14" s="92"/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92"/>
      <c r="AV14" s="92"/>
      <c r="AX14" s="62">
        <v>2011</v>
      </c>
      <c r="AY14" s="62">
        <v>2</v>
      </c>
      <c r="AZ14" s="92"/>
    </row>
    <row r="15" spans="1:60" s="1" customFormat="1" ht="16.5" x14ac:dyDescent="0.3">
      <c r="A15" s="92"/>
      <c r="B15" s="92"/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X15" s="62">
        <v>2011</v>
      </c>
      <c r="AY15" s="62">
        <v>2</v>
      </c>
      <c r="AZ15" s="92"/>
    </row>
    <row r="16" spans="1:60" s="1" customFormat="1" ht="16.5" x14ac:dyDescent="0.3">
      <c r="A16" s="92"/>
      <c r="B16" s="92"/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F16" s="92"/>
      <c r="AG16" s="92"/>
      <c r="AH16" s="92"/>
      <c r="AI16" s="9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X16" s="62">
        <v>2011</v>
      </c>
      <c r="AY16" s="62">
        <v>2</v>
      </c>
      <c r="AZ16" s="92"/>
    </row>
    <row r="17" spans="1:52" s="1" customFormat="1" ht="16.5" x14ac:dyDescent="0.3">
      <c r="A17" s="92"/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  <c r="AA17" s="92"/>
      <c r="AB17" s="92"/>
      <c r="AC17" s="92"/>
      <c r="AD17" s="92"/>
      <c r="AE17" s="92"/>
      <c r="AF17" s="92"/>
      <c r="AG17" s="92"/>
      <c r="AH17" s="92"/>
      <c r="AI17" s="92"/>
      <c r="AJ17" s="92"/>
      <c r="AK17" s="92"/>
      <c r="AL17" s="92"/>
      <c r="AM17" s="92"/>
      <c r="AN17" s="92"/>
      <c r="AO17" s="92"/>
      <c r="AP17" s="92"/>
      <c r="AQ17" s="92"/>
      <c r="AR17" s="92"/>
      <c r="AS17" s="92"/>
      <c r="AT17" s="92"/>
      <c r="AU17" s="92"/>
      <c r="AV17" s="92"/>
      <c r="AX17" s="62">
        <v>2012</v>
      </c>
      <c r="AY17" s="62">
        <v>7</v>
      </c>
      <c r="AZ17" s="92"/>
    </row>
    <row r="18" spans="1:52" s="1" customFormat="1" ht="16.5" x14ac:dyDescent="0.3">
      <c r="A18" s="92"/>
      <c r="B18" s="92"/>
      <c r="C18" s="92"/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  <c r="AA18" s="92"/>
      <c r="AB18" s="92"/>
      <c r="AC18" s="92"/>
      <c r="AD18" s="92"/>
      <c r="AE18" s="92"/>
      <c r="AF18" s="92"/>
      <c r="AG18" s="92"/>
      <c r="AH18" s="92"/>
      <c r="AI18" s="92"/>
      <c r="AJ18" s="92"/>
      <c r="AK18" s="92"/>
      <c r="AL18" s="92"/>
      <c r="AM18" s="92"/>
      <c r="AN18" s="92"/>
      <c r="AO18" s="92"/>
      <c r="AP18" s="92"/>
      <c r="AQ18" s="92"/>
      <c r="AR18" s="92"/>
      <c r="AS18" s="92"/>
      <c r="AT18" s="92"/>
      <c r="AU18" s="92"/>
      <c r="AV18" s="92"/>
      <c r="AX18" s="62">
        <v>2012</v>
      </c>
      <c r="AY18" s="62">
        <v>7</v>
      </c>
      <c r="AZ18" s="92"/>
    </row>
    <row r="19" spans="1:52" s="1" customFormat="1" ht="16.5" x14ac:dyDescent="0.3">
      <c r="A19" s="92"/>
      <c r="B19" s="92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92"/>
      <c r="R19" s="92"/>
      <c r="S19" s="92"/>
      <c r="T19" s="92"/>
      <c r="U19" s="92"/>
      <c r="V19" s="92"/>
      <c r="W19" s="92"/>
      <c r="X19" s="92"/>
      <c r="Y19" s="92"/>
      <c r="Z19" s="92"/>
      <c r="AA19" s="92"/>
      <c r="AB19" s="92"/>
      <c r="AC19" s="92"/>
      <c r="AD19" s="92"/>
      <c r="AE19" s="92"/>
      <c r="AF19" s="92"/>
      <c r="AG19" s="92"/>
      <c r="AH19" s="92"/>
      <c r="AI19" s="92"/>
      <c r="AJ19" s="92"/>
      <c r="AK19" s="92"/>
      <c r="AL19" s="92"/>
      <c r="AM19" s="92"/>
      <c r="AN19" s="92"/>
      <c r="AO19" s="92"/>
      <c r="AP19" s="92"/>
      <c r="AQ19" s="92"/>
      <c r="AR19" s="92"/>
      <c r="AS19" s="92"/>
      <c r="AT19" s="92"/>
      <c r="AU19" s="92"/>
      <c r="AV19" s="92"/>
      <c r="AX19" s="62">
        <v>2012</v>
      </c>
      <c r="AY19" s="62">
        <v>7</v>
      </c>
      <c r="AZ19" s="92"/>
    </row>
    <row r="20" spans="1:52" s="1" customFormat="1" ht="16.5" x14ac:dyDescent="0.3">
      <c r="A20" s="92"/>
      <c r="B20" s="92"/>
      <c r="C20" s="9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  <c r="AH20" s="92"/>
      <c r="AI20" s="92"/>
      <c r="AJ20" s="92"/>
      <c r="AK20" s="92"/>
      <c r="AL20" s="92"/>
      <c r="AM20" s="92"/>
      <c r="AN20" s="92"/>
      <c r="AO20" s="92"/>
      <c r="AP20" s="92"/>
      <c r="AQ20" s="92"/>
      <c r="AR20" s="92"/>
      <c r="AS20" s="92"/>
      <c r="AT20" s="92"/>
      <c r="AU20" s="92"/>
      <c r="AV20" s="92"/>
      <c r="AX20" s="62">
        <v>2012</v>
      </c>
      <c r="AY20" s="62">
        <v>7</v>
      </c>
      <c r="AZ20" s="92"/>
    </row>
    <row r="21" spans="1:52" s="1" customFormat="1" ht="16.5" x14ac:dyDescent="0.3">
      <c r="A21" s="92"/>
      <c r="B21" s="92"/>
      <c r="C21" s="92"/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  <c r="AA21" s="92"/>
      <c r="AB21" s="92"/>
      <c r="AC21" s="92"/>
      <c r="AD21" s="92"/>
      <c r="AE21" s="92"/>
      <c r="AF21" s="92"/>
      <c r="AG21" s="92"/>
      <c r="AH21" s="92"/>
      <c r="AI21" s="92"/>
      <c r="AJ21" s="92"/>
      <c r="AK21" s="92"/>
      <c r="AL21" s="92"/>
      <c r="AM21" s="92"/>
      <c r="AN21" s="92"/>
      <c r="AO21" s="92"/>
      <c r="AP21" s="92"/>
      <c r="AQ21" s="92"/>
      <c r="AR21" s="92"/>
      <c r="AS21" s="92"/>
      <c r="AT21" s="92"/>
      <c r="AU21" s="92"/>
      <c r="AV21" s="92"/>
      <c r="AX21" s="62">
        <v>2011</v>
      </c>
      <c r="AY21" s="62">
        <v>2</v>
      </c>
      <c r="AZ21" s="92"/>
    </row>
    <row r="22" spans="1:52" s="1" customFormat="1" ht="16.5" x14ac:dyDescent="0.3">
      <c r="A22" s="92"/>
      <c r="B22" s="92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2"/>
      <c r="AH22" s="92"/>
      <c r="AI22" s="92"/>
      <c r="AJ22" s="92"/>
      <c r="AK22" s="92"/>
      <c r="AL22" s="92"/>
      <c r="AM22" s="92"/>
      <c r="AN22" s="92"/>
      <c r="AO22" s="92"/>
      <c r="AP22" s="92"/>
      <c r="AQ22" s="92"/>
      <c r="AR22" s="92"/>
      <c r="AS22" s="92"/>
      <c r="AT22" s="92"/>
      <c r="AU22" s="92"/>
      <c r="AV22" s="92"/>
      <c r="AX22" s="62">
        <v>2011</v>
      </c>
      <c r="AY22" s="62">
        <v>2</v>
      </c>
      <c r="AZ22" s="92"/>
    </row>
    <row r="23" spans="1:52" s="1" customFormat="1" ht="16.5" x14ac:dyDescent="0.3">
      <c r="A23" s="92"/>
      <c r="B23" s="92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  <c r="AX23" s="62">
        <v>2011</v>
      </c>
      <c r="AY23" s="62">
        <v>2</v>
      </c>
      <c r="AZ23" s="92"/>
    </row>
    <row r="24" spans="1:52" s="1" customFormat="1" ht="16.5" x14ac:dyDescent="0.3">
      <c r="A24" s="92"/>
      <c r="B24" s="92"/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X24" s="62">
        <v>2011</v>
      </c>
      <c r="AY24" s="62">
        <v>2</v>
      </c>
      <c r="AZ24" s="92"/>
    </row>
    <row r="25" spans="1:52" s="1" customFormat="1" ht="16.5" x14ac:dyDescent="0.3">
      <c r="A25" s="92"/>
      <c r="B25" s="92"/>
      <c r="C25" s="92"/>
      <c r="D25" s="92"/>
      <c r="E25" s="92"/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  <c r="AK25" s="92"/>
      <c r="AL25" s="92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X25" s="62">
        <v>2011</v>
      </c>
      <c r="AY25" s="62">
        <v>2</v>
      </c>
      <c r="AZ25" s="92"/>
    </row>
    <row r="26" spans="1:52" s="1" customFormat="1" ht="16.5" x14ac:dyDescent="0.3">
      <c r="A26" s="92"/>
      <c r="B26" s="92"/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X26" s="62">
        <v>2009</v>
      </c>
      <c r="AY26" s="62">
        <v>9</v>
      </c>
      <c r="AZ26" s="92"/>
    </row>
    <row r="27" spans="1:52" s="1" customFormat="1" ht="16.5" x14ac:dyDescent="0.3">
      <c r="A27" s="92"/>
      <c r="B27" s="92"/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X27" s="62">
        <v>2009</v>
      </c>
      <c r="AY27" s="62">
        <v>9</v>
      </c>
      <c r="AZ27" s="92"/>
    </row>
    <row r="28" spans="1:52" s="1" customFormat="1" ht="16.5" x14ac:dyDescent="0.3">
      <c r="A28" s="92"/>
      <c r="B28" s="92"/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X28" s="62">
        <v>2009</v>
      </c>
      <c r="AY28" s="62">
        <v>9</v>
      </c>
      <c r="AZ28" s="92"/>
    </row>
    <row r="29" spans="1:52" s="1" customFormat="1" ht="16.5" x14ac:dyDescent="0.3">
      <c r="A29" s="92"/>
      <c r="B29" s="92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X29" s="62">
        <v>2009</v>
      </c>
      <c r="AY29" s="62">
        <v>9</v>
      </c>
      <c r="AZ29" s="92"/>
    </row>
    <row r="30" spans="1:52" s="1" customFormat="1" ht="16.5" x14ac:dyDescent="0.3">
      <c r="A30" s="92"/>
      <c r="B30" s="92"/>
      <c r="C30" s="92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X30" s="62">
        <v>2009</v>
      </c>
      <c r="AY30" s="62">
        <v>9</v>
      </c>
      <c r="AZ30" s="92"/>
    </row>
    <row r="31" spans="1:52" s="1" customFormat="1" ht="16.5" x14ac:dyDescent="0.3">
      <c r="A31" s="92"/>
      <c r="B31" s="92"/>
      <c r="C31" s="92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X31" s="62">
        <v>2010</v>
      </c>
      <c r="AY31" s="62">
        <v>3</v>
      </c>
      <c r="AZ31" s="92"/>
    </row>
    <row r="32" spans="1:52" s="1" customFormat="1" ht="16.5" x14ac:dyDescent="0.3">
      <c r="A32" s="92"/>
      <c r="B32" s="92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X32" s="62">
        <v>2010</v>
      </c>
      <c r="AY32" s="62">
        <v>3</v>
      </c>
      <c r="AZ32" s="92"/>
    </row>
    <row r="33" spans="1:52" s="1" customFormat="1" ht="16.5" x14ac:dyDescent="0.3">
      <c r="A33" s="92"/>
      <c r="B33" s="92"/>
      <c r="C33" s="92"/>
      <c r="D33" s="92"/>
      <c r="E33" s="92"/>
      <c r="F33" s="92"/>
      <c r="G33" s="92"/>
      <c r="H33" s="92"/>
      <c r="I33" s="92"/>
      <c r="J33" s="92"/>
      <c r="K33" s="92"/>
      <c r="L33" s="92"/>
      <c r="M33" s="92"/>
      <c r="N33" s="92"/>
      <c r="O33" s="9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  <c r="AG33" s="92"/>
      <c r="AH33" s="92"/>
      <c r="AI33" s="92"/>
      <c r="AJ33" s="92"/>
      <c r="AK33" s="92"/>
      <c r="AL33" s="92"/>
      <c r="AM33" s="92"/>
      <c r="AN33" s="92"/>
      <c r="AO33" s="92"/>
      <c r="AP33" s="92"/>
      <c r="AQ33" s="92"/>
      <c r="AR33" s="92"/>
      <c r="AS33" s="92"/>
      <c r="AT33" s="92"/>
      <c r="AU33" s="92"/>
      <c r="AV33" s="92"/>
      <c r="AX33" s="62">
        <v>2010</v>
      </c>
      <c r="AY33" s="62">
        <v>3</v>
      </c>
      <c r="AZ33" s="92"/>
    </row>
    <row r="34" spans="1:52" s="1" customFormat="1" ht="16.5" x14ac:dyDescent="0.3">
      <c r="A34" s="92"/>
      <c r="B34" s="92"/>
      <c r="C34" s="92"/>
      <c r="D34" s="92"/>
      <c r="E34" s="92"/>
      <c r="F34" s="92"/>
      <c r="G34" s="92"/>
      <c r="H34" s="92"/>
      <c r="I34" s="92"/>
      <c r="J34" s="92"/>
      <c r="K34" s="92"/>
      <c r="L34" s="92"/>
      <c r="M34" s="92"/>
      <c r="N34" s="92"/>
      <c r="O34" s="9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92"/>
      <c r="AF34" s="92"/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92"/>
      <c r="AX34" s="62">
        <v>2010</v>
      </c>
      <c r="AY34" s="62">
        <v>3</v>
      </c>
      <c r="AZ34" s="92"/>
    </row>
    <row r="35" spans="1:52" s="1" customFormat="1" ht="16.5" x14ac:dyDescent="0.3">
      <c r="A35" s="92"/>
      <c r="B35" s="92"/>
      <c r="C35" s="92"/>
      <c r="D35" s="92"/>
      <c r="E35" s="92"/>
      <c r="F35" s="92"/>
      <c r="G35" s="92"/>
      <c r="H35" s="92"/>
      <c r="I35" s="92"/>
      <c r="J35" s="92"/>
      <c r="K35" s="92"/>
      <c r="L35" s="92"/>
      <c r="M35" s="92"/>
      <c r="N35" s="92"/>
      <c r="O35" s="92"/>
      <c r="P35" s="92"/>
      <c r="Q35" s="92"/>
      <c r="R35" s="92"/>
      <c r="S35" s="92"/>
      <c r="T35" s="92"/>
      <c r="U35" s="92"/>
      <c r="V35" s="92"/>
      <c r="W35" s="92"/>
      <c r="X35" s="92"/>
      <c r="Y35" s="92"/>
      <c r="Z35" s="92"/>
      <c r="AA35" s="92"/>
      <c r="AB35" s="92"/>
      <c r="AC35" s="92"/>
      <c r="AD35" s="92"/>
      <c r="AE35" s="92"/>
      <c r="AF35" s="92"/>
      <c r="AG35" s="92"/>
      <c r="AH35" s="92"/>
      <c r="AI35" s="92"/>
      <c r="AJ35" s="92"/>
      <c r="AK35" s="92"/>
      <c r="AL35" s="92"/>
      <c r="AM35" s="92"/>
      <c r="AN35" s="92"/>
      <c r="AO35" s="92"/>
      <c r="AP35" s="92"/>
      <c r="AQ35" s="92"/>
      <c r="AR35" s="92"/>
      <c r="AS35" s="92"/>
      <c r="AT35" s="92"/>
      <c r="AU35" s="92"/>
      <c r="AV35" s="92"/>
      <c r="AX35" s="62">
        <v>2005</v>
      </c>
      <c r="AY35" s="62">
        <v>6</v>
      </c>
      <c r="AZ35" s="92"/>
    </row>
    <row r="36" spans="1:52" s="1" customFormat="1" ht="16.5" x14ac:dyDescent="0.3">
      <c r="A36" s="92"/>
      <c r="B36" s="92"/>
      <c r="C36" s="92"/>
      <c r="D36" s="92"/>
      <c r="E36" s="92"/>
      <c r="F36" s="92"/>
      <c r="G36" s="92"/>
      <c r="H36" s="92"/>
      <c r="I36" s="92"/>
      <c r="J36" s="92"/>
      <c r="K36" s="92"/>
      <c r="L36" s="92"/>
      <c r="M36" s="92"/>
      <c r="N36" s="92"/>
      <c r="O36" s="92"/>
      <c r="P36" s="92"/>
      <c r="Q36" s="92"/>
      <c r="R36" s="92"/>
      <c r="S36" s="92"/>
      <c r="T36" s="92"/>
      <c r="U36" s="92"/>
      <c r="V36" s="92"/>
      <c r="W36" s="92"/>
      <c r="X36" s="92"/>
      <c r="Y36" s="92"/>
      <c r="Z36" s="92"/>
      <c r="AA36" s="92"/>
      <c r="AB36" s="92"/>
      <c r="AC36" s="92"/>
      <c r="AD36" s="92"/>
      <c r="AE36" s="92"/>
      <c r="AF36" s="92"/>
      <c r="AG36" s="92"/>
      <c r="AH36" s="92"/>
      <c r="AI36" s="92"/>
      <c r="AJ36" s="92"/>
      <c r="AK36" s="92"/>
      <c r="AL36" s="92"/>
      <c r="AM36" s="92"/>
      <c r="AN36" s="92"/>
      <c r="AO36" s="92"/>
      <c r="AP36" s="92"/>
      <c r="AQ36" s="92"/>
      <c r="AR36" s="92"/>
      <c r="AS36" s="92"/>
      <c r="AT36" s="92"/>
      <c r="AU36" s="92"/>
      <c r="AV36" s="92"/>
      <c r="AX36" s="62">
        <v>2005</v>
      </c>
      <c r="AY36" s="62">
        <v>6</v>
      </c>
      <c r="AZ36" s="92"/>
    </row>
    <row r="37" spans="1:52" s="1" customFormat="1" ht="16.5" x14ac:dyDescent="0.3">
      <c r="A37" s="92"/>
      <c r="B37" s="92"/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92"/>
      <c r="AB37" s="92"/>
      <c r="AC37" s="92"/>
      <c r="AD37" s="92"/>
      <c r="AE37" s="92"/>
      <c r="AF37" s="92"/>
      <c r="AG37" s="92"/>
      <c r="AH37" s="92"/>
      <c r="AI37" s="9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  <c r="AX37" s="62">
        <v>2005</v>
      </c>
      <c r="AY37" s="62">
        <v>6</v>
      </c>
      <c r="AZ37" s="92"/>
    </row>
    <row r="38" spans="1:52" s="1" customFormat="1" ht="16.5" x14ac:dyDescent="0.3">
      <c r="A38" s="92"/>
      <c r="B38" s="92"/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2"/>
      <c r="AK38" s="92"/>
      <c r="AL38" s="92"/>
      <c r="AM38" s="92"/>
      <c r="AN38" s="92"/>
      <c r="AO38" s="92"/>
      <c r="AP38" s="92"/>
      <c r="AQ38" s="92"/>
      <c r="AR38" s="92"/>
      <c r="AS38" s="92"/>
      <c r="AT38" s="92"/>
      <c r="AU38" s="92"/>
      <c r="AV38" s="92"/>
      <c r="AX38" s="62">
        <v>2005</v>
      </c>
      <c r="AY38" s="62">
        <v>3</v>
      </c>
      <c r="AZ38" s="92"/>
    </row>
    <row r="39" spans="1:52" s="1" customFormat="1" ht="16.5" x14ac:dyDescent="0.3">
      <c r="A39" s="92"/>
      <c r="B39" s="92"/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X39" s="62">
        <v>2005</v>
      </c>
      <c r="AY39" s="62">
        <v>3</v>
      </c>
      <c r="AZ39" s="92"/>
    </row>
    <row r="40" spans="1:52" s="1" customFormat="1" ht="16.5" x14ac:dyDescent="0.3">
      <c r="A40" s="92"/>
      <c r="B40" s="92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2"/>
      <c r="AH40" s="92"/>
      <c r="AI40" s="92"/>
      <c r="AJ40" s="92"/>
      <c r="AK40" s="92"/>
      <c r="AL40" s="92"/>
      <c r="AM40" s="92"/>
      <c r="AN40" s="92"/>
      <c r="AO40" s="92"/>
      <c r="AP40" s="92"/>
      <c r="AQ40" s="92"/>
      <c r="AR40" s="92"/>
      <c r="AS40" s="92"/>
      <c r="AT40" s="92"/>
      <c r="AU40" s="92"/>
      <c r="AV40" s="92"/>
      <c r="AX40" s="62">
        <v>2005</v>
      </c>
      <c r="AY40" s="62">
        <v>7</v>
      </c>
      <c r="AZ40" s="92"/>
    </row>
    <row r="41" spans="1:52" s="1" customFormat="1" ht="16.5" x14ac:dyDescent="0.3">
      <c r="A41" s="92"/>
      <c r="B41" s="92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X41" s="62">
        <v>2015</v>
      </c>
      <c r="AY41" s="62">
        <v>8</v>
      </c>
      <c r="AZ41" s="92"/>
    </row>
    <row r="42" spans="1:52" s="1" customFormat="1" ht="16.5" x14ac:dyDescent="0.3">
      <c r="A42" s="92"/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92"/>
      <c r="AG42" s="92"/>
      <c r="AH42" s="92"/>
      <c r="AI42" s="92"/>
      <c r="AJ42" s="92"/>
      <c r="AK42" s="92"/>
      <c r="AL42" s="92"/>
      <c r="AM42" s="92"/>
      <c r="AN42" s="92"/>
      <c r="AO42" s="92"/>
      <c r="AP42" s="92"/>
      <c r="AQ42" s="92"/>
      <c r="AR42" s="92"/>
      <c r="AS42" s="92"/>
      <c r="AT42" s="92"/>
      <c r="AU42" s="92"/>
      <c r="AV42" s="92"/>
      <c r="AX42" s="62">
        <v>2015</v>
      </c>
      <c r="AY42" s="62">
        <v>8</v>
      </c>
      <c r="AZ42" s="92"/>
    </row>
    <row r="43" spans="1:52" s="1" customFormat="1" ht="16.5" x14ac:dyDescent="0.3">
      <c r="A43" s="92"/>
      <c r="B43" s="92"/>
      <c r="C43" s="92"/>
      <c r="D43" s="92"/>
      <c r="E43" s="92"/>
      <c r="F43" s="92"/>
      <c r="G43" s="92"/>
      <c r="H43" s="92"/>
      <c r="I43" s="92"/>
      <c r="J43" s="92"/>
      <c r="K43" s="92"/>
      <c r="L43" s="92"/>
      <c r="M43" s="92"/>
      <c r="N43" s="92"/>
      <c r="O43" s="92"/>
      <c r="P43" s="92"/>
      <c r="Q43" s="92"/>
      <c r="R43" s="92"/>
      <c r="S43" s="92"/>
      <c r="T43" s="92"/>
      <c r="U43" s="92"/>
      <c r="V43" s="92"/>
      <c r="W43" s="92"/>
      <c r="X43" s="92"/>
      <c r="Y43" s="92"/>
      <c r="Z43" s="92"/>
      <c r="AA43" s="92"/>
      <c r="AB43" s="92"/>
      <c r="AC43" s="92"/>
      <c r="AD43" s="92"/>
      <c r="AE43" s="92"/>
      <c r="AF43" s="92"/>
      <c r="AG43" s="92"/>
      <c r="AH43" s="92"/>
      <c r="AI43" s="92"/>
      <c r="AJ43" s="92"/>
      <c r="AK43" s="92"/>
      <c r="AL43" s="92"/>
      <c r="AM43" s="92"/>
      <c r="AN43" s="92"/>
      <c r="AO43" s="92"/>
      <c r="AP43" s="92"/>
      <c r="AQ43" s="92"/>
      <c r="AR43" s="92"/>
      <c r="AS43" s="92"/>
      <c r="AT43" s="92"/>
      <c r="AU43" s="92"/>
      <c r="AV43" s="92"/>
      <c r="AX43" s="62">
        <v>2015</v>
      </c>
      <c r="AY43" s="62">
        <v>8</v>
      </c>
      <c r="AZ43" s="92"/>
    </row>
    <row r="44" spans="1:52" s="1" customFormat="1" ht="16.5" x14ac:dyDescent="0.3">
      <c r="A44" s="92"/>
      <c r="B44" s="92"/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2"/>
      <c r="AK44" s="92"/>
      <c r="AL44" s="92"/>
      <c r="AM44" s="92"/>
      <c r="AN44" s="92"/>
      <c r="AO44" s="92"/>
      <c r="AP44" s="92"/>
      <c r="AQ44" s="92"/>
      <c r="AR44" s="92"/>
      <c r="AS44" s="92"/>
      <c r="AT44" s="92"/>
      <c r="AU44" s="92"/>
      <c r="AV44" s="92"/>
      <c r="AX44" s="62">
        <v>2015</v>
      </c>
      <c r="AY44" s="62">
        <v>8</v>
      </c>
      <c r="AZ44" s="92"/>
    </row>
    <row r="45" spans="1:52" s="1" customFormat="1" ht="16.5" x14ac:dyDescent="0.3">
      <c r="A45" s="92"/>
      <c r="B45" s="92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/>
      <c r="S45" s="92"/>
      <c r="T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  <c r="AI45" s="9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2"/>
      <c r="AU45" s="92"/>
      <c r="AV45" s="92"/>
      <c r="AX45" s="62">
        <v>2012</v>
      </c>
      <c r="AY45" s="62">
        <v>7</v>
      </c>
      <c r="AZ45" s="92"/>
    </row>
    <row r="46" spans="1:52" s="1" customFormat="1" ht="16.5" x14ac:dyDescent="0.3">
      <c r="A46" s="92"/>
      <c r="B46" s="92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  <c r="AG46" s="92"/>
      <c r="AH46" s="92"/>
      <c r="AI46" s="92"/>
      <c r="AJ46" s="92"/>
      <c r="AK46" s="92"/>
      <c r="AL46" s="92"/>
      <c r="AM46" s="92"/>
      <c r="AN46" s="92"/>
      <c r="AO46" s="92"/>
      <c r="AP46" s="92"/>
      <c r="AQ46" s="92"/>
      <c r="AR46" s="92"/>
      <c r="AS46" s="92"/>
      <c r="AT46" s="92"/>
      <c r="AU46" s="92"/>
      <c r="AV46" s="92"/>
      <c r="AX46" s="62">
        <v>2012</v>
      </c>
      <c r="AY46" s="62">
        <v>7</v>
      </c>
      <c r="AZ46" s="92"/>
    </row>
    <row r="47" spans="1:52" s="1" customFormat="1" ht="16.5" x14ac:dyDescent="0.3">
      <c r="A47" s="92"/>
      <c r="B47" s="92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92"/>
      <c r="AB47" s="92"/>
      <c r="AC47" s="92"/>
      <c r="AD47" s="92"/>
      <c r="AE47" s="92"/>
      <c r="AF47" s="92"/>
      <c r="AG47" s="92"/>
      <c r="AH47" s="92"/>
      <c r="AI47" s="92"/>
      <c r="AJ47" s="92"/>
      <c r="AK47" s="92"/>
      <c r="AL47" s="92"/>
      <c r="AM47" s="92"/>
      <c r="AN47" s="92"/>
      <c r="AO47" s="92"/>
      <c r="AP47" s="92"/>
      <c r="AQ47" s="92"/>
      <c r="AR47" s="92"/>
      <c r="AS47" s="92"/>
      <c r="AT47" s="92"/>
      <c r="AU47" s="92"/>
      <c r="AV47" s="92"/>
      <c r="AX47" s="62">
        <v>2012</v>
      </c>
      <c r="AY47" s="62">
        <v>7</v>
      </c>
      <c r="AZ47" s="92"/>
    </row>
    <row r="48" spans="1:52" s="1" customFormat="1" ht="16.5" x14ac:dyDescent="0.3">
      <c r="A48" s="92"/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2"/>
      <c r="AK48" s="92"/>
      <c r="AL48" s="92"/>
      <c r="AM48" s="92"/>
      <c r="AN48" s="92"/>
      <c r="AO48" s="92"/>
      <c r="AP48" s="92"/>
      <c r="AQ48" s="92"/>
      <c r="AR48" s="92"/>
      <c r="AS48" s="92"/>
      <c r="AT48" s="92"/>
      <c r="AU48" s="92"/>
      <c r="AV48" s="92"/>
      <c r="AX48" s="62">
        <v>2012</v>
      </c>
      <c r="AY48" s="62">
        <v>7</v>
      </c>
      <c r="AZ48" s="92"/>
    </row>
    <row r="49" spans="1:52" s="1" customFormat="1" ht="16.5" x14ac:dyDescent="0.3">
      <c r="A49" s="92"/>
      <c r="B49" s="92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  <c r="AX49" s="62">
        <v>2010</v>
      </c>
      <c r="AY49" s="62">
        <v>4</v>
      </c>
      <c r="AZ49" s="92"/>
    </row>
    <row r="50" spans="1:52" s="1" customFormat="1" ht="16.5" x14ac:dyDescent="0.3">
      <c r="A50" s="92"/>
      <c r="B50" s="92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2"/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2"/>
      <c r="AX50" s="62">
        <v>2010</v>
      </c>
      <c r="AY50" s="62">
        <v>4</v>
      </c>
      <c r="AZ50" s="92"/>
    </row>
    <row r="51" spans="1:52" s="1" customFormat="1" ht="16.5" x14ac:dyDescent="0.3">
      <c r="A51" s="92"/>
      <c r="B51" s="92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X51" s="62">
        <v>2010</v>
      </c>
      <c r="AY51" s="62">
        <v>4</v>
      </c>
      <c r="AZ51" s="92"/>
    </row>
    <row r="52" spans="1:52" s="1" customFormat="1" ht="16.5" x14ac:dyDescent="0.3">
      <c r="A52" s="92"/>
      <c r="B52" s="92"/>
      <c r="C52" s="92"/>
      <c r="D52" s="92"/>
      <c r="E52" s="92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2"/>
      <c r="AK52" s="92"/>
      <c r="AL52" s="92"/>
      <c r="AM52" s="92"/>
      <c r="AN52" s="92"/>
      <c r="AO52" s="92"/>
      <c r="AP52" s="92"/>
      <c r="AQ52" s="92"/>
      <c r="AR52" s="92"/>
      <c r="AS52" s="92"/>
      <c r="AT52" s="92"/>
      <c r="AU52" s="92"/>
      <c r="AV52" s="92"/>
      <c r="AX52" s="62">
        <v>2010</v>
      </c>
      <c r="AY52" s="62">
        <v>4</v>
      </c>
      <c r="AZ52" s="92"/>
    </row>
    <row r="53" spans="1:52" s="1" customFormat="1" ht="16.5" x14ac:dyDescent="0.3">
      <c r="A53" s="92"/>
      <c r="B53" s="92"/>
      <c r="C53" s="92"/>
      <c r="D53" s="92"/>
      <c r="E53" s="92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2"/>
      <c r="AV53" s="92"/>
      <c r="AX53" s="62">
        <v>2010</v>
      </c>
      <c r="AY53" s="62">
        <v>4</v>
      </c>
      <c r="AZ53" s="92"/>
    </row>
    <row r="54" spans="1:52" s="1" customFormat="1" ht="16.5" x14ac:dyDescent="0.3">
      <c r="A54" s="92"/>
      <c r="B54" s="92"/>
      <c r="C54" s="92"/>
      <c r="D54" s="92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2"/>
      <c r="AV54" s="92"/>
      <c r="AX54" s="62">
        <v>2009</v>
      </c>
      <c r="AY54" s="62">
        <v>9</v>
      </c>
      <c r="AZ54" s="92"/>
    </row>
    <row r="55" spans="1:52" s="1" customFormat="1" ht="16.5" x14ac:dyDescent="0.3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92"/>
      <c r="AX55" s="62">
        <v>2009</v>
      </c>
      <c r="AY55" s="62">
        <v>9</v>
      </c>
      <c r="AZ55" s="92"/>
    </row>
    <row r="56" spans="1:52" s="1" customFormat="1" ht="16.5" x14ac:dyDescent="0.3">
      <c r="A56" s="92"/>
      <c r="B56" s="92"/>
      <c r="C56" s="92"/>
      <c r="D56" s="92"/>
      <c r="E56" s="92"/>
      <c r="F56" s="92"/>
      <c r="G56" s="92"/>
      <c r="H56" s="92"/>
      <c r="I56" s="92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2"/>
      <c r="AK56" s="92"/>
      <c r="AL56" s="92"/>
      <c r="AM56" s="92"/>
      <c r="AN56" s="92"/>
      <c r="AO56" s="92"/>
      <c r="AP56" s="92"/>
      <c r="AQ56" s="92"/>
      <c r="AR56" s="92"/>
      <c r="AS56" s="92"/>
      <c r="AT56" s="92"/>
      <c r="AU56" s="92"/>
      <c r="AV56" s="92"/>
      <c r="AX56" s="62">
        <v>2009</v>
      </c>
      <c r="AY56" s="62">
        <v>9</v>
      </c>
      <c r="AZ56" s="92"/>
    </row>
    <row r="57" spans="1:52" s="1" customFormat="1" ht="16.5" x14ac:dyDescent="0.3">
      <c r="A57" s="92"/>
      <c r="B57" s="92"/>
      <c r="C57" s="92"/>
      <c r="D57" s="92"/>
      <c r="E57" s="92"/>
      <c r="F57" s="92"/>
      <c r="G57" s="92"/>
      <c r="H57" s="92"/>
      <c r="I57" s="92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2"/>
      <c r="AK57" s="92"/>
      <c r="AL57" s="92"/>
      <c r="AM57" s="92"/>
      <c r="AN57" s="92"/>
      <c r="AO57" s="92"/>
      <c r="AP57" s="92"/>
      <c r="AQ57" s="92"/>
      <c r="AR57" s="92"/>
      <c r="AS57" s="92"/>
      <c r="AT57" s="92"/>
      <c r="AU57" s="92"/>
      <c r="AV57" s="92"/>
      <c r="AX57" s="62">
        <v>2009</v>
      </c>
      <c r="AY57" s="62">
        <v>9</v>
      </c>
      <c r="AZ57" s="92"/>
    </row>
    <row r="58" spans="1:52" s="1" customFormat="1" ht="16.5" x14ac:dyDescent="0.3">
      <c r="A58" s="92"/>
      <c r="B58" s="92"/>
      <c r="C58" s="92"/>
      <c r="D58" s="92"/>
      <c r="E58" s="92"/>
      <c r="F58" s="92"/>
      <c r="G58" s="92"/>
      <c r="H58" s="92"/>
      <c r="I58" s="92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AT58" s="92"/>
      <c r="AU58" s="92"/>
      <c r="AV58" s="92"/>
      <c r="AX58" s="62">
        <v>2015</v>
      </c>
      <c r="AY58" s="62">
        <v>1</v>
      </c>
      <c r="AZ58" s="92"/>
    </row>
    <row r="59" spans="1:52" s="1" customFormat="1" ht="16.5" x14ac:dyDescent="0.3">
      <c r="A59" s="92"/>
      <c r="B59" s="92"/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2"/>
      <c r="AK59" s="92"/>
      <c r="AL59" s="92"/>
      <c r="AM59" s="92"/>
      <c r="AN59" s="92"/>
      <c r="AO59" s="92"/>
      <c r="AP59" s="92"/>
      <c r="AQ59" s="92"/>
      <c r="AR59" s="92"/>
      <c r="AS59" s="92"/>
      <c r="AT59" s="92"/>
      <c r="AU59" s="92"/>
      <c r="AV59" s="92"/>
      <c r="AX59" s="62">
        <v>2015</v>
      </c>
      <c r="AY59" s="62">
        <v>1</v>
      </c>
      <c r="AZ59" s="92"/>
    </row>
    <row r="60" spans="1:52" s="1" customFormat="1" ht="16.5" x14ac:dyDescent="0.3">
      <c r="A60" s="92"/>
      <c r="B60" s="92"/>
      <c r="C60" s="92"/>
      <c r="D60" s="92"/>
      <c r="E60" s="92"/>
      <c r="F60" s="92"/>
      <c r="G60" s="92"/>
      <c r="H60" s="92"/>
      <c r="I60" s="92"/>
      <c r="J60" s="92"/>
      <c r="K60" s="92"/>
      <c r="L60" s="92"/>
      <c r="M60" s="92"/>
      <c r="N60" s="92"/>
      <c r="O60" s="92"/>
      <c r="P60" s="92"/>
      <c r="Q60" s="92"/>
      <c r="R60" s="92"/>
      <c r="S60" s="92"/>
      <c r="T60" s="92"/>
      <c r="U60" s="92"/>
      <c r="V60" s="92"/>
      <c r="W60" s="92"/>
      <c r="X60" s="92"/>
      <c r="Y60" s="92"/>
      <c r="Z60" s="92"/>
      <c r="AA60" s="92"/>
      <c r="AB60" s="92"/>
      <c r="AC60" s="92"/>
      <c r="AD60" s="92"/>
      <c r="AE60" s="92"/>
      <c r="AF60" s="92"/>
      <c r="AG60" s="92"/>
      <c r="AH60" s="92"/>
      <c r="AI60" s="92"/>
      <c r="AJ60" s="92"/>
      <c r="AK60" s="92"/>
      <c r="AL60" s="92"/>
      <c r="AM60" s="92"/>
      <c r="AN60" s="92"/>
      <c r="AO60" s="92"/>
      <c r="AP60" s="92"/>
      <c r="AQ60" s="92"/>
      <c r="AR60" s="92"/>
      <c r="AS60" s="92"/>
      <c r="AT60" s="92"/>
      <c r="AU60" s="92"/>
      <c r="AV60" s="92"/>
      <c r="AX60" s="62">
        <v>2015</v>
      </c>
      <c r="AY60" s="62">
        <v>1</v>
      </c>
      <c r="AZ60" s="92"/>
    </row>
    <row r="61" spans="1:52" s="1" customFormat="1" ht="16.5" x14ac:dyDescent="0.3">
      <c r="A61" s="92"/>
      <c r="B61" s="92"/>
      <c r="C61" s="92"/>
      <c r="D61" s="92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92"/>
      <c r="AJ61" s="92"/>
      <c r="AK61" s="92"/>
      <c r="AL61" s="92"/>
      <c r="AM61" s="92"/>
      <c r="AN61" s="92"/>
      <c r="AO61" s="92"/>
      <c r="AP61" s="92"/>
      <c r="AQ61" s="92"/>
      <c r="AR61" s="92"/>
      <c r="AS61" s="92"/>
      <c r="AT61" s="92"/>
      <c r="AU61" s="92"/>
      <c r="AV61" s="92"/>
      <c r="AX61" s="62">
        <v>2009</v>
      </c>
      <c r="AY61" s="62">
        <v>9</v>
      </c>
      <c r="AZ61" s="92"/>
    </row>
    <row r="62" spans="1:52" s="1" customFormat="1" ht="16.5" x14ac:dyDescent="0.3">
      <c r="A62" s="92"/>
      <c r="B62" s="92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2"/>
      <c r="AF62" s="92"/>
      <c r="AG62" s="92"/>
      <c r="AH62" s="92"/>
      <c r="AI62" s="92"/>
      <c r="AJ62" s="92"/>
      <c r="AK62" s="92"/>
      <c r="AL62" s="92"/>
      <c r="AM62" s="92"/>
      <c r="AN62" s="92"/>
      <c r="AO62" s="92"/>
      <c r="AP62" s="92"/>
      <c r="AQ62" s="92"/>
      <c r="AR62" s="92"/>
      <c r="AS62" s="92"/>
      <c r="AT62" s="92"/>
      <c r="AU62" s="92"/>
      <c r="AV62" s="92"/>
      <c r="AX62" s="62">
        <v>2009</v>
      </c>
      <c r="AY62" s="62">
        <v>9</v>
      </c>
      <c r="AZ62" s="92"/>
    </row>
    <row r="63" spans="1:52" s="1" customFormat="1" ht="16.5" x14ac:dyDescent="0.3">
      <c r="A63" s="92"/>
      <c r="B63" s="92"/>
      <c r="C63" s="92"/>
      <c r="D63" s="92"/>
      <c r="E63" s="92"/>
      <c r="F63" s="92"/>
      <c r="G63" s="92"/>
      <c r="H63" s="92"/>
      <c r="I63" s="92"/>
      <c r="J63" s="92"/>
      <c r="K63" s="92"/>
      <c r="L63" s="92"/>
      <c r="M63" s="92"/>
      <c r="N63" s="92"/>
      <c r="O63" s="92"/>
      <c r="P63" s="92"/>
      <c r="Q63" s="92"/>
      <c r="R63" s="92"/>
      <c r="S63" s="92"/>
      <c r="T63" s="92"/>
      <c r="U63" s="92"/>
      <c r="V63" s="92"/>
      <c r="W63" s="92"/>
      <c r="X63" s="92"/>
      <c r="Y63" s="92"/>
      <c r="Z63" s="92"/>
      <c r="AA63" s="92"/>
      <c r="AB63" s="92"/>
      <c r="AC63" s="92"/>
      <c r="AD63" s="92"/>
      <c r="AE63" s="92"/>
      <c r="AF63" s="92"/>
      <c r="AG63" s="92"/>
      <c r="AH63" s="92"/>
      <c r="AI63" s="92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  <c r="AX63" s="62">
        <v>2009</v>
      </c>
      <c r="AY63" s="62">
        <v>9</v>
      </c>
      <c r="AZ63" s="92"/>
    </row>
    <row r="64" spans="1:52" s="1" customFormat="1" ht="16.5" x14ac:dyDescent="0.3">
      <c r="A64" s="92"/>
      <c r="B64" s="92"/>
      <c r="C64" s="92"/>
      <c r="D64" s="92"/>
      <c r="E64" s="92"/>
      <c r="F64" s="92"/>
      <c r="G64" s="92"/>
      <c r="H64" s="92"/>
      <c r="I64" s="92"/>
      <c r="J64" s="92"/>
      <c r="K64" s="92"/>
      <c r="L64" s="92"/>
      <c r="M64" s="92"/>
      <c r="N64" s="92"/>
      <c r="O64" s="92"/>
      <c r="P64" s="92"/>
      <c r="Q64" s="92"/>
      <c r="R64" s="92"/>
      <c r="S64" s="92"/>
      <c r="T64" s="92"/>
      <c r="U64" s="92"/>
      <c r="V64" s="92"/>
      <c r="W64" s="92"/>
      <c r="X64" s="92"/>
      <c r="Y64" s="92"/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X64" s="62">
        <v>2009</v>
      </c>
      <c r="AY64" s="62">
        <v>9</v>
      </c>
      <c r="AZ64" s="92"/>
    </row>
    <row r="65" spans="1:58" s="1" customFormat="1" ht="16.5" x14ac:dyDescent="0.3">
      <c r="A65" s="92"/>
      <c r="B65" s="92"/>
      <c r="C65" s="92"/>
      <c r="D65" s="92"/>
      <c r="E65" s="92"/>
      <c r="F65" s="92"/>
      <c r="G65" s="92"/>
      <c r="H65" s="92"/>
      <c r="I65" s="92"/>
      <c r="J65" s="92"/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  <c r="AX65" s="62">
        <v>2005</v>
      </c>
      <c r="AY65" s="62">
        <v>3</v>
      </c>
      <c r="AZ65" s="92"/>
    </row>
    <row r="66" spans="1:58" s="1" customFormat="1" ht="16.5" x14ac:dyDescent="0.3">
      <c r="A66" s="92"/>
      <c r="B66" s="92"/>
      <c r="C66" s="92"/>
      <c r="D66" s="92"/>
      <c r="E66" s="92"/>
      <c r="F66" s="92"/>
      <c r="G66" s="92"/>
      <c r="H66" s="92"/>
      <c r="I66" s="92"/>
      <c r="J66" s="92"/>
      <c r="K66" s="92"/>
      <c r="L66" s="92"/>
      <c r="M66" s="92"/>
      <c r="N66" s="92"/>
      <c r="O66" s="92"/>
      <c r="P66" s="92"/>
      <c r="Q66" s="92"/>
      <c r="R66" s="92"/>
      <c r="S66" s="92"/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  <c r="AE66" s="92"/>
      <c r="AF66" s="92"/>
      <c r="AG66" s="92"/>
      <c r="AH66" s="92"/>
      <c r="AI66" s="92"/>
      <c r="AJ66" s="92"/>
      <c r="AK66" s="92"/>
      <c r="AL66" s="92"/>
      <c r="AM66" s="92"/>
      <c r="AN66" s="92"/>
      <c r="AO66" s="92"/>
      <c r="AP66" s="92"/>
      <c r="AQ66" s="92"/>
      <c r="AR66" s="92"/>
      <c r="AS66" s="92"/>
      <c r="AT66" s="92"/>
      <c r="AU66" s="92"/>
      <c r="AV66" s="92"/>
      <c r="AX66" s="62">
        <v>2005</v>
      </c>
      <c r="AY66" s="62">
        <v>3</v>
      </c>
      <c r="AZ66" s="92"/>
    </row>
    <row r="67" spans="1:58" s="1" customFormat="1" ht="16.5" x14ac:dyDescent="0.3">
      <c r="A67" s="92"/>
      <c r="B67" s="92"/>
      <c r="C67" s="92"/>
      <c r="D67" s="92"/>
      <c r="E67" s="92"/>
      <c r="F67" s="92"/>
      <c r="G67" s="92"/>
      <c r="H67" s="92"/>
      <c r="I67" s="92"/>
      <c r="J67" s="92"/>
      <c r="K67" s="92"/>
      <c r="L67" s="92"/>
      <c r="M67" s="92"/>
      <c r="N67" s="92"/>
      <c r="O67" s="92"/>
      <c r="P67" s="92"/>
      <c r="Q67" s="92"/>
      <c r="R67" s="92"/>
      <c r="S67" s="92"/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  <c r="AE67" s="92"/>
      <c r="AF67" s="92"/>
      <c r="AG67" s="92"/>
      <c r="AH67" s="92"/>
      <c r="AI67" s="92"/>
      <c r="AJ67" s="92"/>
      <c r="AK67" s="92"/>
      <c r="AL67" s="92"/>
      <c r="AM67" s="92"/>
      <c r="AN67" s="92"/>
      <c r="AO67" s="92"/>
      <c r="AP67" s="92"/>
      <c r="AQ67" s="92"/>
      <c r="AR67" s="92"/>
      <c r="AS67" s="92"/>
      <c r="AT67" s="92"/>
      <c r="AU67" s="92"/>
      <c r="AV67" s="92"/>
      <c r="AX67" s="62">
        <v>2005</v>
      </c>
      <c r="AY67" s="62">
        <v>3</v>
      </c>
      <c r="AZ67" s="92"/>
    </row>
    <row r="68" spans="1:58" s="1" customFormat="1" ht="16.5" x14ac:dyDescent="0.3">
      <c r="A68" s="92"/>
      <c r="B68" s="92"/>
      <c r="C68" s="92"/>
      <c r="D68" s="92"/>
      <c r="E68" s="92"/>
      <c r="F68" s="92"/>
      <c r="G68" s="92"/>
      <c r="H68" s="92"/>
      <c r="I68" s="92"/>
      <c r="J68" s="92"/>
      <c r="K68" s="92"/>
      <c r="L68" s="92"/>
      <c r="M68" s="92"/>
      <c r="N68" s="92"/>
      <c r="O68" s="92"/>
      <c r="P68" s="92"/>
      <c r="Q68" s="92"/>
      <c r="R68" s="92"/>
      <c r="S68" s="92"/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  <c r="AE68" s="92"/>
      <c r="AF68" s="92"/>
      <c r="AG68" s="92"/>
      <c r="AH68" s="92"/>
      <c r="AI68" s="92"/>
      <c r="AJ68" s="92"/>
      <c r="AK68" s="92"/>
      <c r="AL68" s="92"/>
      <c r="AM68" s="92"/>
      <c r="AN68" s="92"/>
      <c r="AO68" s="92"/>
      <c r="AP68" s="92"/>
      <c r="AQ68" s="92"/>
      <c r="AR68" s="92"/>
      <c r="AS68" s="92"/>
      <c r="AT68" s="92"/>
      <c r="AU68" s="92"/>
      <c r="AV68" s="92"/>
      <c r="AX68" s="62">
        <v>1994</v>
      </c>
      <c r="AY68" s="62">
        <v>5</v>
      </c>
      <c r="AZ68" s="62"/>
      <c r="BA68" s="113" t="s">
        <v>48</v>
      </c>
      <c r="BB68" s="114">
        <v>0</v>
      </c>
      <c r="BC68" s="114">
        <v>0</v>
      </c>
      <c r="BD68" s="114">
        <v>0</v>
      </c>
      <c r="BE68" s="114">
        <v>0</v>
      </c>
      <c r="BF68" s="114">
        <v>0</v>
      </c>
    </row>
    <row r="69" spans="1:58" s="1" customFormat="1" ht="16.5" x14ac:dyDescent="0.3">
      <c r="A69" s="92"/>
      <c r="B69" s="92"/>
      <c r="C69" s="92"/>
      <c r="D69" s="92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92"/>
      <c r="AJ69" s="92"/>
      <c r="AK69" s="92"/>
      <c r="AL69" s="92"/>
      <c r="AM69" s="92"/>
      <c r="AN69" s="92"/>
      <c r="AO69" s="92"/>
      <c r="AP69" s="92"/>
      <c r="AQ69" s="92"/>
      <c r="AR69" s="92"/>
      <c r="AS69" s="92"/>
      <c r="AT69" s="92"/>
      <c r="AU69" s="92"/>
      <c r="AV69" s="92"/>
      <c r="AX69" s="62">
        <v>1994</v>
      </c>
      <c r="AY69" s="62">
        <v>5</v>
      </c>
      <c r="AZ69" s="62"/>
      <c r="BA69" s="113" t="s">
        <v>49</v>
      </c>
      <c r="BB69" s="114">
        <v>0</v>
      </c>
      <c r="BC69" s="114">
        <v>0</v>
      </c>
      <c r="BD69" s="114">
        <v>0</v>
      </c>
      <c r="BE69" s="114">
        <v>0</v>
      </c>
      <c r="BF69" s="114">
        <v>0</v>
      </c>
    </row>
    <row r="70" spans="1:58" s="1" customFormat="1" ht="16.5" x14ac:dyDescent="0.3">
      <c r="A70" s="92"/>
      <c r="B70" s="92"/>
      <c r="C70" s="92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92"/>
      <c r="AI70" s="92"/>
      <c r="AJ70" s="92"/>
      <c r="AK70" s="92"/>
      <c r="AL70" s="92"/>
      <c r="AM70" s="92"/>
      <c r="AN70" s="92"/>
      <c r="AO70" s="92"/>
      <c r="AP70" s="92"/>
      <c r="AQ70" s="92"/>
      <c r="AR70" s="92"/>
      <c r="AS70" s="92"/>
      <c r="AT70" s="92"/>
      <c r="AU70" s="92"/>
      <c r="AV70" s="92"/>
      <c r="AX70" s="62">
        <v>1994</v>
      </c>
      <c r="AY70" s="62">
        <v>5</v>
      </c>
      <c r="AZ70" s="62"/>
      <c r="BA70" s="115" t="s">
        <v>50</v>
      </c>
      <c r="BB70" s="116">
        <v>0</v>
      </c>
      <c r="BC70" s="116">
        <v>0</v>
      </c>
      <c r="BD70" s="116">
        <v>0</v>
      </c>
      <c r="BE70" s="116">
        <v>0</v>
      </c>
      <c r="BF70" s="116">
        <v>0</v>
      </c>
    </row>
    <row r="71" spans="1:58" s="1" customFormat="1" ht="16.5" x14ac:dyDescent="0.3">
      <c r="A71" s="92"/>
      <c r="B71" s="92"/>
      <c r="C71" s="92"/>
      <c r="D71" s="92"/>
      <c r="E71" s="92"/>
      <c r="F71" s="92"/>
      <c r="G71" s="92"/>
      <c r="H71" s="92"/>
      <c r="I71" s="92"/>
      <c r="J71" s="92"/>
      <c r="K71" s="92"/>
      <c r="L71" s="92"/>
      <c r="M71" s="92"/>
      <c r="N71" s="92"/>
      <c r="O71" s="92"/>
      <c r="P71" s="92"/>
      <c r="Q71" s="92"/>
      <c r="R71" s="92"/>
      <c r="S71" s="92"/>
      <c r="T71" s="92"/>
      <c r="U71" s="92"/>
      <c r="V71" s="92"/>
      <c r="W71" s="92"/>
      <c r="X71" s="92"/>
      <c r="Y71" s="92"/>
      <c r="Z71" s="92"/>
      <c r="AA71" s="92"/>
      <c r="AB71" s="92"/>
      <c r="AC71" s="92"/>
      <c r="AD71" s="92"/>
      <c r="AE71" s="92"/>
      <c r="AF71" s="92"/>
      <c r="AG71" s="92"/>
      <c r="AH71" s="92"/>
      <c r="AI71" s="92"/>
      <c r="AJ71" s="92"/>
      <c r="AK71" s="92"/>
      <c r="AL71" s="92"/>
      <c r="AM71" s="92"/>
      <c r="AN71" s="92"/>
      <c r="AO71" s="92"/>
      <c r="AP71" s="92"/>
      <c r="AQ71" s="92"/>
      <c r="AR71" s="92"/>
      <c r="AS71" s="92"/>
      <c r="AT71" s="92"/>
      <c r="AU71" s="92"/>
      <c r="AV71" s="92"/>
      <c r="AX71" s="62">
        <v>1995</v>
      </c>
      <c r="AY71" s="62">
        <v>8</v>
      </c>
      <c r="AZ71" s="62"/>
      <c r="BA71" s="3"/>
    </row>
    <row r="72" spans="1:58" s="1" customFormat="1" ht="16.5" x14ac:dyDescent="0.3">
      <c r="A72" s="92"/>
      <c r="B72" s="92"/>
      <c r="C72" s="92"/>
      <c r="D72" s="92"/>
      <c r="E72" s="92"/>
      <c r="F72" s="92"/>
      <c r="G72" s="92"/>
      <c r="H72" s="92"/>
      <c r="I72" s="92"/>
      <c r="J72" s="92"/>
      <c r="K72" s="92"/>
      <c r="L72" s="92"/>
      <c r="M72" s="92"/>
      <c r="N72" s="92"/>
      <c r="O72" s="92"/>
      <c r="P72" s="92"/>
      <c r="Q72" s="92"/>
      <c r="R72" s="92"/>
      <c r="S72" s="92"/>
      <c r="T72" s="92"/>
      <c r="U72" s="92"/>
      <c r="V72" s="92"/>
      <c r="W72" s="92"/>
      <c r="X72" s="92"/>
      <c r="Y72" s="92"/>
      <c r="Z72" s="92"/>
      <c r="AA72" s="92"/>
      <c r="AB72" s="92"/>
      <c r="AC72" s="92"/>
      <c r="AD72" s="92"/>
      <c r="AE72" s="92"/>
      <c r="AF72" s="92"/>
      <c r="AG72" s="92"/>
      <c r="AH72" s="92"/>
      <c r="AI72" s="92"/>
      <c r="AJ72" s="92"/>
      <c r="AK72" s="92"/>
      <c r="AL72" s="92"/>
      <c r="AM72" s="92"/>
      <c r="AN72" s="92"/>
      <c r="AO72" s="92"/>
      <c r="AP72" s="92"/>
      <c r="AQ72" s="92"/>
      <c r="AR72" s="92"/>
      <c r="AS72" s="92"/>
      <c r="AT72" s="92"/>
      <c r="AU72" s="92"/>
      <c r="AV72" s="92"/>
      <c r="AX72" s="62">
        <v>1995</v>
      </c>
      <c r="AY72" s="62">
        <v>8</v>
      </c>
      <c r="AZ72" s="62"/>
      <c r="BA72" s="113"/>
      <c r="BB72" s="113" t="s">
        <v>55</v>
      </c>
      <c r="BC72" s="113" t="s">
        <v>53</v>
      </c>
      <c r="BD72" s="113" t="s">
        <v>54</v>
      </c>
      <c r="BE72" s="113" t="s">
        <v>51</v>
      </c>
      <c r="BF72" s="113" t="s">
        <v>52</v>
      </c>
    </row>
    <row r="73" spans="1:58" s="1" customFormat="1" ht="16.5" x14ac:dyDescent="0.3">
      <c r="A73" s="92"/>
      <c r="B73" s="92"/>
      <c r="C73" s="92"/>
      <c r="D73" s="92"/>
      <c r="E73" s="92"/>
      <c r="F73" s="92"/>
      <c r="G73" s="92"/>
      <c r="H73" s="92"/>
      <c r="I73" s="92"/>
      <c r="J73" s="92"/>
      <c r="K73" s="92"/>
      <c r="L73" s="92"/>
      <c r="M73" s="92"/>
      <c r="N73" s="92"/>
      <c r="O73" s="92"/>
      <c r="P73" s="92"/>
      <c r="Q73" s="92"/>
      <c r="R73" s="92"/>
      <c r="S73" s="92"/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  <c r="AE73" s="92"/>
      <c r="AF73" s="92"/>
      <c r="AG73" s="92"/>
      <c r="AH73" s="92"/>
      <c r="AI73" s="92"/>
      <c r="AJ73" s="92"/>
      <c r="AK73" s="92"/>
      <c r="AL73" s="92"/>
      <c r="AM73" s="92"/>
      <c r="AN73" s="92"/>
      <c r="AO73" s="92"/>
      <c r="AP73" s="92"/>
      <c r="AQ73" s="92"/>
      <c r="AR73" s="92"/>
      <c r="AS73" s="92"/>
      <c r="AT73" s="92"/>
      <c r="AU73" s="92"/>
      <c r="AV73" s="92"/>
      <c r="AX73" s="62">
        <v>1994</v>
      </c>
      <c r="AY73" s="62">
        <v>12</v>
      </c>
      <c r="BA73" s="113" t="s">
        <v>48</v>
      </c>
      <c r="BB73" s="117" t="e">
        <v>#DIV/0!</v>
      </c>
      <c r="BC73" s="117" t="e">
        <v>#DIV/0!</v>
      </c>
      <c r="BD73" s="117" t="e">
        <v>#DIV/0!</v>
      </c>
      <c r="BE73" s="117" t="e">
        <v>#DIV/0!</v>
      </c>
      <c r="BF73" s="117" t="e">
        <v>#DIV/0!</v>
      </c>
    </row>
    <row r="74" spans="1:58" s="1" customFormat="1" ht="16.5" x14ac:dyDescent="0.3">
      <c r="A74" s="92"/>
      <c r="B74" s="92"/>
      <c r="C74" s="92"/>
      <c r="D74" s="92"/>
      <c r="E74" s="92"/>
      <c r="F74" s="92"/>
      <c r="G74" s="92"/>
      <c r="H74" s="92"/>
      <c r="I74" s="92"/>
      <c r="J74" s="92"/>
      <c r="K74" s="92"/>
      <c r="L74" s="92"/>
      <c r="M74" s="92"/>
      <c r="N74" s="92"/>
      <c r="O74" s="92"/>
      <c r="P74" s="92"/>
      <c r="Q74" s="92"/>
      <c r="R74" s="92"/>
      <c r="S74" s="92"/>
      <c r="T74" s="92"/>
      <c r="U74" s="92"/>
      <c r="V74" s="92"/>
      <c r="W74" s="92"/>
      <c r="X74" s="92"/>
      <c r="Y74" s="92"/>
      <c r="Z74" s="92"/>
      <c r="AA74" s="92"/>
      <c r="AB74" s="92"/>
      <c r="AC74" s="92"/>
      <c r="AD74" s="92"/>
      <c r="AE74" s="92"/>
      <c r="AF74" s="92"/>
      <c r="AG74" s="92"/>
      <c r="AH74" s="92"/>
      <c r="AI74" s="92"/>
      <c r="AJ74" s="92"/>
      <c r="AK74" s="92"/>
      <c r="AL74" s="92"/>
      <c r="AM74" s="92"/>
      <c r="AN74" s="92"/>
      <c r="AO74" s="92"/>
      <c r="AP74" s="92"/>
      <c r="AQ74" s="92"/>
      <c r="AR74" s="92"/>
      <c r="AS74" s="92"/>
      <c r="AT74" s="92"/>
      <c r="AU74" s="92"/>
      <c r="AV74" s="92"/>
      <c r="AX74" s="62">
        <v>1993</v>
      </c>
      <c r="AY74" s="62">
        <v>6</v>
      </c>
      <c r="BA74" s="115" t="s">
        <v>50</v>
      </c>
      <c r="BB74" s="118" t="e">
        <v>#DIV/0!</v>
      </c>
      <c r="BC74" s="118" t="e">
        <v>#DIV/0!</v>
      </c>
      <c r="BD74" s="118" t="e">
        <v>#DIV/0!</v>
      </c>
      <c r="BE74" s="118" t="e">
        <v>#DIV/0!</v>
      </c>
      <c r="BF74" s="118" t="e">
        <v>#DIV/0!</v>
      </c>
    </row>
    <row r="75" spans="1:58" s="1" customFormat="1" ht="16.5" x14ac:dyDescent="0.3">
      <c r="A75" s="92"/>
      <c r="B75" s="92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92"/>
      <c r="Y75" s="92"/>
      <c r="Z75" s="92"/>
      <c r="AA75" s="92"/>
      <c r="AB75" s="92"/>
      <c r="AC75" s="92"/>
      <c r="AD75" s="92"/>
      <c r="AE75" s="92"/>
      <c r="AF75" s="92"/>
      <c r="AG75" s="92"/>
      <c r="AH75" s="92"/>
      <c r="AI75" s="92"/>
      <c r="AJ75" s="92"/>
      <c r="AK75" s="92"/>
      <c r="AL75" s="92"/>
      <c r="AM75" s="92"/>
      <c r="AN75" s="92"/>
      <c r="AO75" s="92"/>
      <c r="AP75" s="92"/>
      <c r="AQ75" s="92"/>
      <c r="AR75" s="92"/>
      <c r="AS75" s="92"/>
      <c r="AT75" s="92"/>
      <c r="AU75" s="92"/>
      <c r="AV75" s="92"/>
      <c r="AX75" s="62">
        <v>1993</v>
      </c>
      <c r="AY75" s="62">
        <v>6</v>
      </c>
      <c r="BA75" s="113" t="s">
        <v>52</v>
      </c>
      <c r="BB75" s="117" t="e">
        <v>#DIV/0!</v>
      </c>
      <c r="BC75" s="117" t="e">
        <v>#DIV/0!</v>
      </c>
      <c r="BD75" s="117" t="e">
        <v>#DIV/0!</v>
      </c>
      <c r="BE75" s="117" t="e">
        <v>#DIV/0!</v>
      </c>
      <c r="BF75" s="117" t="e">
        <v>#DIV/0!</v>
      </c>
    </row>
    <row r="76" spans="1:58" s="1" customFormat="1" ht="16.5" x14ac:dyDescent="0.3">
      <c r="A76" s="92"/>
      <c r="B76" s="92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92"/>
      <c r="Y76" s="92"/>
      <c r="Z76" s="92"/>
      <c r="AA76" s="92"/>
      <c r="AB76" s="92"/>
      <c r="AC76" s="92"/>
      <c r="AD76" s="92"/>
      <c r="AE76" s="92"/>
      <c r="AF76" s="92"/>
      <c r="AG76" s="92"/>
      <c r="AH76" s="92"/>
      <c r="AI76" s="92"/>
      <c r="AJ76" s="92"/>
      <c r="AK76" s="92"/>
      <c r="AL76" s="92"/>
      <c r="AM76" s="92"/>
      <c r="AN76" s="92"/>
      <c r="AO76" s="92"/>
      <c r="AP76" s="92"/>
      <c r="AQ76" s="92"/>
      <c r="AR76" s="92"/>
      <c r="AS76" s="92"/>
      <c r="AT76" s="92"/>
      <c r="AU76" s="92"/>
      <c r="AV76" s="92"/>
      <c r="AX76" s="62">
        <v>2019</v>
      </c>
      <c r="AY76" s="62">
        <v>3</v>
      </c>
    </row>
    <row r="77" spans="1:58" s="1" customFormat="1" ht="16.5" x14ac:dyDescent="0.3">
      <c r="A77" s="92"/>
      <c r="B77" s="92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92"/>
      <c r="Y77" s="92"/>
      <c r="Z77" s="92"/>
      <c r="AA77" s="92"/>
      <c r="AB77" s="92"/>
      <c r="AC77" s="92"/>
      <c r="AD77" s="92"/>
      <c r="AE77" s="92"/>
      <c r="AF77" s="92"/>
      <c r="AG77" s="92"/>
      <c r="AH77" s="92"/>
      <c r="AI77" s="92"/>
      <c r="AJ77" s="92"/>
      <c r="AK77" s="92"/>
      <c r="AL77" s="92"/>
      <c r="AM77" s="92"/>
      <c r="AN77" s="92"/>
      <c r="AO77" s="92"/>
      <c r="AP77" s="92"/>
      <c r="AQ77" s="92"/>
      <c r="AR77" s="92"/>
      <c r="AS77" s="92"/>
      <c r="AT77" s="92"/>
      <c r="AU77" s="92"/>
      <c r="AV77" s="92"/>
      <c r="AX77" s="62">
        <v>2019</v>
      </c>
      <c r="AY77" s="62">
        <v>3</v>
      </c>
    </row>
    <row r="78" spans="1:58" s="1" customFormat="1" ht="16.5" x14ac:dyDescent="0.3">
      <c r="A78" s="92"/>
      <c r="B78" s="92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92"/>
      <c r="Y78" s="92"/>
      <c r="Z78" s="92"/>
      <c r="AA78" s="92"/>
      <c r="AB78" s="92"/>
      <c r="AC78" s="92"/>
      <c r="AD78" s="92"/>
      <c r="AE78" s="92"/>
      <c r="AF78" s="92"/>
      <c r="AG78" s="92"/>
      <c r="AH78" s="92"/>
      <c r="AI78" s="92"/>
      <c r="AJ78" s="92"/>
      <c r="AK78" s="92"/>
      <c r="AL78" s="92"/>
      <c r="AM78" s="92"/>
      <c r="AN78" s="92"/>
      <c r="AO78" s="92"/>
      <c r="AP78" s="92"/>
      <c r="AQ78" s="92"/>
      <c r="AR78" s="92"/>
      <c r="AS78" s="92"/>
      <c r="AT78" s="92"/>
      <c r="AU78" s="92"/>
      <c r="AV78" s="92"/>
      <c r="AX78" s="62">
        <v>2019</v>
      </c>
      <c r="AY78" s="62">
        <v>3</v>
      </c>
    </row>
    <row r="79" spans="1:58" s="1" customFormat="1" ht="16.5" x14ac:dyDescent="0.3">
      <c r="A79" s="92"/>
      <c r="B79" s="92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92"/>
      <c r="Y79" s="92"/>
      <c r="Z79" s="92"/>
      <c r="AA79" s="92"/>
      <c r="AB79" s="92"/>
      <c r="AC79" s="92"/>
      <c r="AD79" s="92"/>
      <c r="AE79" s="92"/>
      <c r="AF79" s="92"/>
      <c r="AG79" s="92"/>
      <c r="AH79" s="92"/>
      <c r="AI79" s="92"/>
      <c r="AJ79" s="92"/>
      <c r="AK79" s="92"/>
      <c r="AL79" s="92"/>
      <c r="AM79" s="92"/>
      <c r="AN79" s="92"/>
      <c r="AO79" s="92"/>
      <c r="AP79" s="92"/>
      <c r="AQ79" s="92"/>
      <c r="AR79" s="92"/>
      <c r="AS79" s="92"/>
      <c r="AT79" s="92"/>
      <c r="AU79" s="92"/>
      <c r="AV79" s="92"/>
      <c r="AX79" s="62">
        <v>2019</v>
      </c>
      <c r="AY79" s="62">
        <v>3</v>
      </c>
    </row>
    <row r="80" spans="1:58" s="1" customFormat="1" ht="16.5" x14ac:dyDescent="0.3">
      <c r="A80" s="92"/>
      <c r="B80" s="92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92"/>
      <c r="Y80" s="92"/>
      <c r="Z80" s="92"/>
      <c r="AA80" s="92"/>
      <c r="AB80" s="92"/>
      <c r="AC80" s="92"/>
      <c r="AD80" s="92"/>
      <c r="AE80" s="92"/>
      <c r="AF80" s="92"/>
      <c r="AG80" s="92"/>
      <c r="AH80" s="92"/>
      <c r="AI80" s="92"/>
      <c r="AJ80" s="92"/>
      <c r="AK80" s="92"/>
      <c r="AL80" s="92"/>
      <c r="AM80" s="92"/>
      <c r="AN80" s="92"/>
      <c r="AO80" s="92"/>
      <c r="AP80" s="92"/>
      <c r="AQ80" s="92"/>
      <c r="AR80" s="92"/>
      <c r="AS80" s="92"/>
      <c r="AT80" s="92"/>
      <c r="AU80" s="92"/>
      <c r="AV80" s="92"/>
      <c r="AX80" s="62">
        <v>1993</v>
      </c>
      <c r="AY80" s="62">
        <v>8</v>
      </c>
    </row>
    <row r="81" spans="1:51" s="1" customFormat="1" ht="16.5" x14ac:dyDescent="0.3">
      <c r="A81" s="92"/>
      <c r="B81" s="92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92"/>
      <c r="Y81" s="92"/>
      <c r="Z81" s="92"/>
      <c r="AA81" s="92"/>
      <c r="AB81" s="92"/>
      <c r="AC81" s="92"/>
      <c r="AD81" s="92"/>
      <c r="AE81" s="92"/>
      <c r="AF81" s="92"/>
      <c r="AG81" s="92"/>
      <c r="AH81" s="92"/>
      <c r="AI81" s="92"/>
      <c r="AJ81" s="92"/>
      <c r="AK81" s="92"/>
      <c r="AL81" s="92"/>
      <c r="AM81" s="92"/>
      <c r="AN81" s="92"/>
      <c r="AO81" s="92"/>
      <c r="AP81" s="92"/>
      <c r="AQ81" s="92"/>
      <c r="AR81" s="92"/>
      <c r="AS81" s="92"/>
      <c r="AT81" s="92"/>
      <c r="AU81" s="92"/>
      <c r="AV81" s="92"/>
      <c r="AX81" s="62">
        <v>1993</v>
      </c>
      <c r="AY81" s="62">
        <v>8</v>
      </c>
    </row>
    <row r="82" spans="1:51" s="1" customFormat="1" ht="16.5" x14ac:dyDescent="0.3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92"/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92"/>
      <c r="AX82" s="62">
        <v>1995</v>
      </c>
      <c r="AY82" s="62">
        <v>8</v>
      </c>
    </row>
    <row r="83" spans="1:51" s="1" customFormat="1" ht="16.5" x14ac:dyDescent="0.3">
      <c r="A83" s="92"/>
      <c r="B83" s="92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92"/>
      <c r="Y83" s="92"/>
      <c r="Z83" s="92"/>
      <c r="AA83" s="92"/>
      <c r="AB83" s="92"/>
      <c r="AC83" s="92"/>
      <c r="AD83" s="92"/>
      <c r="AE83" s="92"/>
      <c r="AF83" s="92"/>
      <c r="AG83" s="92"/>
      <c r="AH83" s="92"/>
      <c r="AI83" s="92"/>
      <c r="AJ83" s="92"/>
      <c r="AK83" s="92"/>
      <c r="AL83" s="92"/>
      <c r="AM83" s="92"/>
      <c r="AN83" s="92"/>
      <c r="AO83" s="92"/>
      <c r="AP83" s="92"/>
      <c r="AQ83" s="92"/>
      <c r="AR83" s="92"/>
      <c r="AS83" s="92"/>
      <c r="AT83" s="92"/>
      <c r="AU83" s="92"/>
      <c r="AV83" s="92"/>
      <c r="AX83" s="62">
        <v>1995</v>
      </c>
      <c r="AY83" s="62">
        <v>8</v>
      </c>
    </row>
    <row r="84" spans="1:51" s="1" customFormat="1" ht="16.5" x14ac:dyDescent="0.3">
      <c r="A84" s="92"/>
      <c r="B84" s="92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92"/>
      <c r="Y84" s="92"/>
      <c r="Z84" s="92"/>
      <c r="AA84" s="92"/>
      <c r="AB84" s="92"/>
      <c r="AC84" s="92"/>
      <c r="AD84" s="92"/>
      <c r="AE84" s="92"/>
      <c r="AF84" s="92"/>
      <c r="AG84" s="92"/>
      <c r="AH84" s="92"/>
      <c r="AI84" s="92"/>
      <c r="AJ84" s="92"/>
      <c r="AK84" s="92"/>
      <c r="AL84" s="92"/>
      <c r="AM84" s="92"/>
      <c r="AN84" s="92"/>
      <c r="AO84" s="92"/>
      <c r="AP84" s="92"/>
      <c r="AQ84" s="92"/>
      <c r="AR84" s="92"/>
      <c r="AS84" s="92"/>
      <c r="AT84" s="92"/>
      <c r="AU84" s="92"/>
      <c r="AV84" s="92"/>
      <c r="AX84" s="62">
        <v>1993</v>
      </c>
      <c r="AY84" s="62">
        <v>4</v>
      </c>
    </row>
    <row r="85" spans="1:51" s="1" customFormat="1" ht="16.5" x14ac:dyDescent="0.3">
      <c r="A85" s="92"/>
      <c r="B85" s="92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92"/>
      <c r="Y85" s="92"/>
      <c r="Z85" s="92"/>
      <c r="AA85" s="92"/>
      <c r="AB85" s="92"/>
      <c r="AC85" s="92"/>
      <c r="AD85" s="92"/>
      <c r="AE85" s="92"/>
      <c r="AF85" s="92"/>
      <c r="AG85" s="92"/>
      <c r="AH85" s="92"/>
      <c r="AI85" s="9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  <c r="AX85" s="62">
        <v>1993</v>
      </c>
      <c r="AY85" s="62">
        <v>4</v>
      </c>
    </row>
    <row r="86" spans="1:51" s="1" customFormat="1" ht="16.5" x14ac:dyDescent="0.3">
      <c r="A86" s="92"/>
      <c r="B86" s="92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92"/>
      <c r="Y86" s="92"/>
      <c r="Z86" s="92"/>
      <c r="AA86" s="92"/>
      <c r="AB86" s="92"/>
      <c r="AC86" s="92"/>
      <c r="AD86" s="92"/>
      <c r="AE86" s="92"/>
      <c r="AF86" s="92"/>
      <c r="AG86" s="92"/>
      <c r="AH86" s="92"/>
      <c r="AI86" s="92"/>
      <c r="AJ86" s="92"/>
      <c r="AK86" s="92"/>
      <c r="AL86" s="92"/>
      <c r="AM86" s="92"/>
      <c r="AN86" s="92"/>
      <c r="AO86" s="92"/>
      <c r="AP86" s="92"/>
      <c r="AQ86" s="92"/>
      <c r="AR86" s="92"/>
      <c r="AS86" s="92"/>
      <c r="AT86" s="92"/>
      <c r="AU86" s="92"/>
      <c r="AV86" s="92"/>
      <c r="AX86" s="62">
        <v>1993</v>
      </c>
      <c r="AY86" s="62">
        <v>4</v>
      </c>
    </row>
    <row r="87" spans="1:51" s="1" customFormat="1" ht="16.5" x14ac:dyDescent="0.3">
      <c r="A87" s="92"/>
      <c r="B87" s="92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92"/>
      <c r="Y87" s="92"/>
      <c r="Z87" s="92"/>
      <c r="AA87" s="92"/>
      <c r="AB87" s="92"/>
      <c r="AC87" s="92"/>
      <c r="AD87" s="92"/>
      <c r="AE87" s="92"/>
      <c r="AF87" s="92"/>
      <c r="AG87" s="92"/>
      <c r="AH87" s="92"/>
      <c r="AI87" s="92"/>
      <c r="AJ87" s="92"/>
      <c r="AK87" s="92"/>
      <c r="AL87" s="92"/>
      <c r="AM87" s="92"/>
      <c r="AN87" s="92"/>
      <c r="AO87" s="92"/>
      <c r="AP87" s="92"/>
      <c r="AQ87" s="92"/>
      <c r="AR87" s="92"/>
      <c r="AS87" s="92"/>
      <c r="AT87" s="92"/>
      <c r="AU87" s="92"/>
      <c r="AV87" s="92"/>
      <c r="AX87" s="62">
        <v>2017</v>
      </c>
      <c r="AY87" s="62">
        <v>11</v>
      </c>
    </row>
    <row r="88" spans="1:51" s="1" customFormat="1" ht="16.5" x14ac:dyDescent="0.3">
      <c r="A88" s="92"/>
      <c r="B88" s="92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92"/>
      <c r="Y88" s="92"/>
      <c r="Z88" s="92"/>
      <c r="AA88" s="92"/>
      <c r="AB88" s="92"/>
      <c r="AC88" s="92"/>
      <c r="AD88" s="92"/>
      <c r="AE88" s="92"/>
      <c r="AF88" s="92"/>
      <c r="AG88" s="92"/>
      <c r="AH88" s="92"/>
      <c r="AI88" s="9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X88" s="62">
        <v>2017</v>
      </c>
      <c r="AY88" s="62">
        <v>11</v>
      </c>
    </row>
    <row r="89" spans="1:51" s="1" customFormat="1" ht="16.5" x14ac:dyDescent="0.3">
      <c r="A89" s="92"/>
      <c r="B89" s="92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92"/>
      <c r="Y89" s="92"/>
      <c r="Z89" s="92"/>
      <c r="AA89" s="92"/>
      <c r="AB89" s="92"/>
      <c r="AC89" s="92"/>
      <c r="AD89" s="92"/>
      <c r="AE89" s="92"/>
      <c r="AF89" s="92"/>
      <c r="AG89" s="92"/>
      <c r="AH89" s="92"/>
      <c r="AI89" s="9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X89" s="62">
        <v>1993</v>
      </c>
      <c r="AY89" s="62">
        <v>1</v>
      </c>
    </row>
    <row r="90" spans="1:51" s="1" customFormat="1" ht="16.5" x14ac:dyDescent="0.3">
      <c r="A90" s="92"/>
      <c r="B90" s="92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92"/>
      <c r="Y90" s="92"/>
      <c r="Z90" s="92"/>
      <c r="AA90" s="92"/>
      <c r="AB90" s="92"/>
      <c r="AC90" s="92"/>
      <c r="AD90" s="92"/>
      <c r="AE90" s="92"/>
      <c r="AF90" s="92"/>
      <c r="AG90" s="92"/>
      <c r="AH90" s="92"/>
      <c r="AI90" s="92"/>
      <c r="AJ90" s="92"/>
      <c r="AK90" s="92"/>
      <c r="AL90" s="92"/>
      <c r="AM90" s="92"/>
      <c r="AN90" s="92"/>
      <c r="AO90" s="92"/>
      <c r="AP90" s="92"/>
      <c r="AQ90" s="92"/>
      <c r="AR90" s="92"/>
      <c r="AS90" s="92"/>
      <c r="AT90" s="92"/>
      <c r="AU90" s="92"/>
      <c r="AV90" s="92"/>
      <c r="AX90" s="62">
        <v>2019</v>
      </c>
      <c r="AY90" s="62">
        <v>5</v>
      </c>
    </row>
    <row r="91" spans="1:51" s="1" customFormat="1" ht="16.5" x14ac:dyDescent="0.3">
      <c r="A91" s="92"/>
      <c r="B91" s="92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92"/>
      <c r="Y91" s="92"/>
      <c r="Z91" s="92"/>
      <c r="AA91" s="92"/>
      <c r="AB91" s="92"/>
      <c r="AC91" s="92"/>
      <c r="AD91" s="92"/>
      <c r="AE91" s="92"/>
      <c r="AF91" s="92"/>
      <c r="AG91" s="92"/>
      <c r="AH91" s="92"/>
      <c r="AI91" s="92"/>
      <c r="AJ91" s="92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X91" s="62">
        <v>2019</v>
      </c>
      <c r="AY91" s="62">
        <v>5</v>
      </c>
    </row>
    <row r="92" spans="1:51" s="1" customFormat="1" ht="16.5" x14ac:dyDescent="0.3">
      <c r="A92" s="92"/>
      <c r="B92" s="92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92"/>
      <c r="Y92" s="92"/>
      <c r="Z92" s="92"/>
      <c r="AA92" s="92"/>
      <c r="AB92" s="92"/>
      <c r="AC92" s="92"/>
      <c r="AD92" s="92"/>
      <c r="AE92" s="92"/>
      <c r="AF92" s="92"/>
      <c r="AG92" s="92"/>
      <c r="AH92" s="92"/>
      <c r="AI92" s="92"/>
      <c r="AJ92" s="92"/>
      <c r="AK92" s="92"/>
      <c r="AL92" s="92"/>
      <c r="AM92" s="92"/>
      <c r="AN92" s="92"/>
      <c r="AO92" s="92"/>
      <c r="AP92" s="92"/>
      <c r="AQ92" s="92"/>
      <c r="AR92" s="92"/>
      <c r="AS92" s="92"/>
      <c r="AT92" s="92"/>
      <c r="AU92" s="92"/>
      <c r="AV92" s="92"/>
      <c r="AX92" s="62">
        <v>2019</v>
      </c>
      <c r="AY92" s="62">
        <v>5</v>
      </c>
    </row>
    <row r="93" spans="1:51" s="1" customFormat="1" ht="16.5" x14ac:dyDescent="0.3">
      <c r="A93" s="92"/>
      <c r="B93" s="92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92"/>
      <c r="Y93" s="92"/>
      <c r="Z93" s="92"/>
      <c r="AA93" s="92"/>
      <c r="AB93" s="92"/>
      <c r="AC93" s="92"/>
      <c r="AD93" s="92"/>
      <c r="AE93" s="92"/>
      <c r="AF93" s="92"/>
      <c r="AG93" s="92"/>
      <c r="AH93" s="92"/>
      <c r="AI93" s="92"/>
      <c r="AJ93" s="92"/>
      <c r="AK93" s="92"/>
      <c r="AL93" s="92"/>
      <c r="AM93" s="92"/>
      <c r="AN93" s="92"/>
      <c r="AO93" s="92"/>
      <c r="AP93" s="92"/>
      <c r="AQ93" s="92"/>
      <c r="AR93" s="92"/>
      <c r="AS93" s="92"/>
      <c r="AT93" s="92"/>
      <c r="AU93" s="92"/>
      <c r="AV93" s="92"/>
      <c r="AX93" s="62">
        <v>1994</v>
      </c>
      <c r="AY93" s="62">
        <v>12</v>
      </c>
    </row>
    <row r="94" spans="1:51" s="1" customFormat="1" ht="16.5" x14ac:dyDescent="0.3">
      <c r="A94" s="92"/>
      <c r="B94" s="92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92"/>
      <c r="Y94" s="92"/>
      <c r="Z94" s="92"/>
      <c r="AA94" s="92"/>
      <c r="AB94" s="92"/>
      <c r="AC94" s="92"/>
      <c r="AD94" s="92"/>
      <c r="AE94" s="92"/>
      <c r="AF94" s="92"/>
      <c r="AG94" s="92"/>
      <c r="AH94" s="92"/>
      <c r="AI94" s="92"/>
      <c r="AJ94" s="92"/>
      <c r="AK94" s="92"/>
      <c r="AL94" s="92"/>
      <c r="AM94" s="92"/>
      <c r="AN94" s="92"/>
      <c r="AO94" s="92"/>
      <c r="AP94" s="92"/>
      <c r="AQ94" s="92"/>
      <c r="AR94" s="92"/>
      <c r="AS94" s="92"/>
      <c r="AT94" s="92"/>
      <c r="AU94" s="92"/>
      <c r="AV94" s="92"/>
      <c r="AX94" s="62">
        <v>1994</v>
      </c>
      <c r="AY94" s="62">
        <v>12</v>
      </c>
    </row>
    <row r="95" spans="1:51" s="1" customFormat="1" ht="16.5" x14ac:dyDescent="0.3">
      <c r="A95" s="92"/>
      <c r="B95" s="92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92"/>
      <c r="Y95" s="92"/>
      <c r="Z95" s="92"/>
      <c r="AA95" s="92"/>
      <c r="AB95" s="92"/>
      <c r="AC95" s="92"/>
      <c r="AD95" s="92"/>
      <c r="AE95" s="92"/>
      <c r="AF95" s="92"/>
      <c r="AG95" s="92"/>
      <c r="AH95" s="92"/>
      <c r="AI95" s="92"/>
      <c r="AJ95" s="92"/>
      <c r="AK95" s="92"/>
      <c r="AL95" s="92"/>
      <c r="AM95" s="92"/>
      <c r="AN95" s="92"/>
      <c r="AO95" s="92"/>
      <c r="AP95" s="92"/>
      <c r="AQ95" s="92"/>
      <c r="AR95" s="92"/>
      <c r="AS95" s="92"/>
      <c r="AT95" s="92"/>
      <c r="AU95" s="92"/>
      <c r="AV95" s="92"/>
      <c r="AX95" s="62">
        <v>1994</v>
      </c>
      <c r="AY95" s="62">
        <v>12</v>
      </c>
    </row>
    <row r="96" spans="1:51" s="1" customFormat="1" ht="16.5" x14ac:dyDescent="0.3">
      <c r="A96" s="92"/>
      <c r="B96" s="92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92"/>
      <c r="Y96" s="92"/>
      <c r="Z96" s="92"/>
      <c r="AA96" s="92"/>
      <c r="AB96" s="92"/>
      <c r="AC96" s="92"/>
      <c r="AD96" s="92"/>
      <c r="AE96" s="92"/>
      <c r="AF96" s="92"/>
      <c r="AG96" s="92"/>
      <c r="AH96" s="92"/>
      <c r="AI96" s="92"/>
      <c r="AJ96" s="92"/>
      <c r="AK96" s="92"/>
      <c r="AL96" s="92"/>
      <c r="AM96" s="92"/>
      <c r="AN96" s="92"/>
      <c r="AO96" s="92"/>
      <c r="AP96" s="92"/>
      <c r="AQ96" s="92"/>
      <c r="AR96" s="92"/>
      <c r="AS96" s="92"/>
      <c r="AT96" s="92"/>
      <c r="AU96" s="92"/>
      <c r="AV96" s="92"/>
      <c r="AX96" s="62">
        <v>1994</v>
      </c>
      <c r="AY96" s="62">
        <v>4</v>
      </c>
    </row>
    <row r="97" spans="1:51" s="1" customFormat="1" ht="16.5" x14ac:dyDescent="0.3">
      <c r="A97" s="92"/>
      <c r="B97" s="92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2"/>
      <c r="AO97" s="92"/>
      <c r="AP97" s="92"/>
      <c r="AQ97" s="92"/>
      <c r="AR97" s="92"/>
      <c r="AS97" s="92"/>
      <c r="AT97" s="92"/>
      <c r="AU97" s="92"/>
      <c r="AV97" s="92"/>
      <c r="AX97" s="62">
        <v>1994</v>
      </c>
      <c r="AY97" s="62">
        <v>4</v>
      </c>
    </row>
    <row r="98" spans="1:51" s="1" customFormat="1" ht="16.5" x14ac:dyDescent="0.3">
      <c r="A98" s="92"/>
      <c r="B98" s="92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2"/>
      <c r="AO98" s="92"/>
      <c r="AP98" s="92"/>
      <c r="AQ98" s="92"/>
      <c r="AR98" s="92"/>
      <c r="AS98" s="92"/>
      <c r="AT98" s="92"/>
      <c r="AU98" s="92"/>
      <c r="AV98" s="92"/>
      <c r="AX98" s="62">
        <v>1994</v>
      </c>
      <c r="AY98" s="62">
        <v>6</v>
      </c>
    </row>
    <row r="99" spans="1:51" s="1" customFormat="1" ht="16.5" x14ac:dyDescent="0.3">
      <c r="A99" s="92"/>
      <c r="B99" s="92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X99" s="62">
        <v>1994</v>
      </c>
      <c r="AY99" s="62">
        <v>6</v>
      </c>
    </row>
    <row r="100" spans="1:51" s="1" customFormat="1" ht="16.5" x14ac:dyDescent="0.3">
      <c r="A100" s="92"/>
      <c r="B100" s="92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2"/>
      <c r="AO100" s="92"/>
      <c r="AP100" s="92"/>
      <c r="AQ100" s="92"/>
      <c r="AR100" s="92"/>
      <c r="AS100" s="92"/>
      <c r="AT100" s="92"/>
      <c r="AU100" s="92"/>
      <c r="AV100" s="92"/>
      <c r="AX100" s="62">
        <v>1994</v>
      </c>
      <c r="AY100" s="62">
        <v>6</v>
      </c>
    </row>
    <row r="101" spans="1:51" s="1" customFormat="1" ht="16.5" x14ac:dyDescent="0.3">
      <c r="A101" s="92"/>
      <c r="B101" s="92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2"/>
      <c r="AO101" s="92"/>
      <c r="AP101" s="92"/>
      <c r="AQ101" s="92"/>
      <c r="AR101" s="92"/>
      <c r="AS101" s="92"/>
      <c r="AT101" s="92"/>
      <c r="AU101" s="92"/>
      <c r="AV101" s="92"/>
      <c r="AX101" s="62">
        <v>1994</v>
      </c>
      <c r="AY101" s="62">
        <v>6</v>
      </c>
    </row>
    <row r="102" spans="1:51" s="1" customFormat="1" ht="16.5" x14ac:dyDescent="0.3">
      <c r="A102" s="92"/>
      <c r="B102" s="92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  <c r="AX102" s="62">
        <v>1993</v>
      </c>
      <c r="AY102" s="62">
        <v>12</v>
      </c>
    </row>
    <row r="103" spans="1:51" s="1" customFormat="1" ht="16.5" x14ac:dyDescent="0.3">
      <c r="A103" s="92"/>
      <c r="B103" s="92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2"/>
      <c r="AO103" s="92"/>
      <c r="AP103" s="92"/>
      <c r="AQ103" s="92"/>
      <c r="AR103" s="92"/>
      <c r="AS103" s="92"/>
      <c r="AT103" s="92"/>
      <c r="AU103" s="92"/>
      <c r="AV103" s="92"/>
      <c r="AX103" s="62">
        <v>1993</v>
      </c>
      <c r="AY103" s="62">
        <v>7</v>
      </c>
    </row>
    <row r="104" spans="1:51" s="1" customFormat="1" ht="16.5" x14ac:dyDescent="0.3">
      <c r="A104" s="92"/>
      <c r="B104" s="92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X104" s="62">
        <v>1994</v>
      </c>
      <c r="AY104" s="62">
        <v>4</v>
      </c>
    </row>
    <row r="105" spans="1:51" s="1" customFormat="1" ht="16.5" x14ac:dyDescent="0.3">
      <c r="A105" s="92"/>
      <c r="B105" s="92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X105" s="62">
        <v>1993</v>
      </c>
      <c r="AY105" s="62">
        <v>12</v>
      </c>
    </row>
    <row r="106" spans="1:51" s="1" customFormat="1" ht="16.5" x14ac:dyDescent="0.3">
      <c r="A106" s="92"/>
      <c r="B106" s="92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X106" s="62">
        <v>1993</v>
      </c>
      <c r="AY106" s="62">
        <v>12</v>
      </c>
    </row>
    <row r="107" spans="1:51" s="1" customFormat="1" ht="16.5" x14ac:dyDescent="0.3">
      <c r="A107" s="92"/>
      <c r="B107" s="92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X107" s="62">
        <v>1994</v>
      </c>
      <c r="AY107" s="62">
        <v>5</v>
      </c>
    </row>
    <row r="108" spans="1:51" s="1" customFormat="1" ht="16.5" x14ac:dyDescent="0.3">
      <c r="A108" s="92"/>
      <c r="B108" s="92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2"/>
      <c r="AO108" s="92"/>
      <c r="AP108" s="92"/>
      <c r="AQ108" s="92"/>
      <c r="AR108" s="92"/>
      <c r="AS108" s="92"/>
      <c r="AT108" s="92"/>
      <c r="AU108" s="92"/>
      <c r="AV108" s="92"/>
      <c r="AX108" s="62">
        <v>2019</v>
      </c>
      <c r="AY108" s="62">
        <v>4</v>
      </c>
    </row>
    <row r="109" spans="1:51" s="1" customFormat="1" ht="16.5" x14ac:dyDescent="0.3">
      <c r="A109" s="92"/>
      <c r="B109" s="92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X109" s="62">
        <v>1993</v>
      </c>
      <c r="AY109" s="62">
        <v>8</v>
      </c>
    </row>
    <row r="110" spans="1:51" s="1" customFormat="1" ht="16.5" x14ac:dyDescent="0.3">
      <c r="A110" s="92"/>
      <c r="B110" s="92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X110" s="62">
        <v>1993</v>
      </c>
      <c r="AY110" s="62">
        <v>8</v>
      </c>
    </row>
    <row r="111" spans="1:51" s="1" customFormat="1" ht="16.5" x14ac:dyDescent="0.3">
      <c r="A111" s="92"/>
      <c r="B111" s="92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  <c r="AX111" s="62">
        <v>2019</v>
      </c>
      <c r="AY111" s="62">
        <v>3</v>
      </c>
    </row>
    <row r="112" spans="1:51" s="1" customFormat="1" ht="16.5" x14ac:dyDescent="0.3">
      <c r="A112" s="92"/>
      <c r="B112" s="92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2"/>
      <c r="AO112" s="92"/>
      <c r="AP112" s="92"/>
      <c r="AQ112" s="92"/>
      <c r="AR112" s="92"/>
      <c r="AS112" s="92"/>
      <c r="AT112" s="92"/>
      <c r="AU112" s="92"/>
      <c r="AV112" s="92"/>
      <c r="AX112" s="62">
        <v>2019</v>
      </c>
      <c r="AY112" s="62">
        <v>3</v>
      </c>
    </row>
    <row r="113" spans="1:58" s="1" customFormat="1" ht="16.5" x14ac:dyDescent="0.3">
      <c r="A113" s="92"/>
      <c r="B113" s="92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  <c r="AG113" s="92"/>
      <c r="AH113" s="92"/>
      <c r="AI113" s="92"/>
      <c r="AJ113" s="92"/>
      <c r="AK113" s="92"/>
      <c r="AL113" s="92"/>
      <c r="AM113" s="92"/>
      <c r="AN113" s="92"/>
      <c r="AO113" s="92"/>
      <c r="AP113" s="92"/>
      <c r="AQ113" s="92"/>
      <c r="AR113" s="92"/>
      <c r="AS113" s="92"/>
      <c r="AT113" s="92"/>
      <c r="AU113" s="92"/>
      <c r="AV113" s="92"/>
      <c r="AX113" s="62">
        <v>1994</v>
      </c>
      <c r="AY113" s="62">
        <v>9</v>
      </c>
    </row>
    <row r="114" spans="1:58" s="1" customFormat="1" ht="16.5" x14ac:dyDescent="0.3">
      <c r="A114" s="92"/>
      <c r="B114" s="92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  <c r="AA114" s="92"/>
      <c r="AB114" s="92"/>
      <c r="AC114" s="92"/>
      <c r="AD114" s="92"/>
      <c r="AE114" s="92"/>
      <c r="AF114" s="92"/>
      <c r="AG114" s="92"/>
      <c r="AH114" s="92"/>
      <c r="AI114" s="92"/>
      <c r="AJ114" s="92"/>
      <c r="AK114" s="92"/>
      <c r="AL114" s="92"/>
      <c r="AM114" s="92"/>
      <c r="AN114" s="92"/>
      <c r="AO114" s="92"/>
      <c r="AP114" s="92"/>
      <c r="AQ114" s="92"/>
      <c r="AR114" s="92"/>
      <c r="AS114" s="92"/>
      <c r="AT114" s="92"/>
      <c r="AU114" s="92"/>
      <c r="AV114" s="92"/>
      <c r="AX114" s="62">
        <v>1994</v>
      </c>
      <c r="AY114" s="62">
        <v>9</v>
      </c>
    </row>
    <row r="115" spans="1:58" s="1" customFormat="1" ht="16.5" x14ac:dyDescent="0.3">
      <c r="A115" s="92"/>
      <c r="B115" s="92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  <c r="AA115" s="92"/>
      <c r="AB115" s="92"/>
      <c r="AC115" s="92"/>
      <c r="AD115" s="92"/>
      <c r="AE115" s="92"/>
      <c r="AF115" s="92"/>
      <c r="AG115" s="92"/>
      <c r="AH115" s="92"/>
      <c r="AI115" s="92"/>
      <c r="AJ115" s="92"/>
      <c r="AK115" s="92"/>
      <c r="AL115" s="92"/>
      <c r="AM115" s="92"/>
      <c r="AN115" s="92"/>
      <c r="AO115" s="92"/>
      <c r="AP115" s="92"/>
      <c r="AQ115" s="92"/>
      <c r="AR115" s="92"/>
      <c r="AS115" s="92"/>
      <c r="AT115" s="92"/>
      <c r="AU115" s="92"/>
      <c r="AV115" s="92"/>
      <c r="AX115" s="62">
        <v>2019</v>
      </c>
      <c r="AY115" s="62">
        <v>9</v>
      </c>
    </row>
    <row r="116" spans="1:58" s="1" customFormat="1" ht="16.5" x14ac:dyDescent="0.3">
      <c r="A116" s="92"/>
      <c r="B116" s="92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  <c r="AA116" s="92"/>
      <c r="AB116" s="92"/>
      <c r="AC116" s="92"/>
      <c r="AD116" s="92"/>
      <c r="AE116" s="92"/>
      <c r="AF116" s="92"/>
      <c r="AG116" s="92"/>
      <c r="AH116" s="92"/>
      <c r="AI116" s="92"/>
      <c r="AJ116" s="92"/>
      <c r="AK116" s="92"/>
      <c r="AL116" s="92"/>
      <c r="AM116" s="92"/>
      <c r="AN116" s="92"/>
      <c r="AO116" s="92"/>
      <c r="AP116" s="92"/>
      <c r="AQ116" s="92"/>
      <c r="AR116" s="92"/>
      <c r="AS116" s="92"/>
      <c r="AT116" s="92"/>
      <c r="AU116" s="92"/>
      <c r="AV116" s="92"/>
      <c r="AX116" s="62">
        <v>1992</v>
      </c>
      <c r="AY116" s="62">
        <v>1</v>
      </c>
      <c r="AZ116" s="62"/>
      <c r="BA116" s="113" t="s">
        <v>48</v>
      </c>
      <c r="BB116" s="114">
        <v>0</v>
      </c>
      <c r="BC116" s="114">
        <v>0</v>
      </c>
      <c r="BD116" s="114">
        <v>0</v>
      </c>
      <c r="BE116" s="114">
        <v>0</v>
      </c>
      <c r="BF116" s="114">
        <v>0</v>
      </c>
    </row>
    <row r="117" spans="1:58" s="1" customFormat="1" ht="16.5" x14ac:dyDescent="0.3">
      <c r="A117" s="92"/>
      <c r="B117" s="92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  <c r="AA117" s="92"/>
      <c r="AB117" s="92"/>
      <c r="AC117" s="92"/>
      <c r="AD117" s="92"/>
      <c r="AE117" s="92"/>
      <c r="AF117" s="92"/>
      <c r="AG117" s="92"/>
      <c r="AH117" s="92"/>
      <c r="AI117" s="92"/>
      <c r="AJ117" s="92"/>
      <c r="AK117" s="92"/>
      <c r="AL117" s="92"/>
      <c r="AM117" s="92"/>
      <c r="AN117" s="92"/>
      <c r="AO117" s="92"/>
      <c r="AP117" s="92"/>
      <c r="AQ117" s="92"/>
      <c r="AR117" s="92"/>
      <c r="AS117" s="92"/>
      <c r="AT117" s="92"/>
      <c r="AU117" s="92"/>
      <c r="AV117" s="92"/>
      <c r="AX117" s="62">
        <v>1992</v>
      </c>
      <c r="AY117" s="62">
        <v>1</v>
      </c>
      <c r="AZ117" s="62"/>
      <c r="BA117" s="113" t="s">
        <v>49</v>
      </c>
      <c r="BB117" s="114">
        <v>0</v>
      </c>
      <c r="BC117" s="114">
        <v>0</v>
      </c>
      <c r="BD117" s="114">
        <v>0</v>
      </c>
      <c r="BE117" s="114">
        <v>0</v>
      </c>
      <c r="BF117" s="114">
        <v>0</v>
      </c>
    </row>
    <row r="118" spans="1:58" s="1" customFormat="1" ht="16.5" x14ac:dyDescent="0.3">
      <c r="A118" s="92"/>
      <c r="B118" s="92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  <c r="AA118" s="92"/>
      <c r="AB118" s="92"/>
      <c r="AC118" s="92"/>
      <c r="AD118" s="92"/>
      <c r="AE118" s="92"/>
      <c r="AF118" s="92"/>
      <c r="AG118" s="92"/>
      <c r="AH118" s="92"/>
      <c r="AI118" s="92"/>
      <c r="AJ118" s="92"/>
      <c r="AK118" s="92"/>
      <c r="AL118" s="92"/>
      <c r="AM118" s="92"/>
      <c r="AN118" s="92"/>
      <c r="AO118" s="92"/>
      <c r="AP118" s="92"/>
      <c r="AQ118" s="92"/>
      <c r="AR118" s="92"/>
      <c r="AS118" s="92"/>
      <c r="AT118" s="92"/>
      <c r="AU118" s="92"/>
      <c r="AV118" s="92"/>
      <c r="AX118" s="62">
        <v>1993</v>
      </c>
      <c r="AY118" s="62">
        <v>1</v>
      </c>
      <c r="AZ118" s="62"/>
      <c r="BA118" s="113" t="s">
        <v>52</v>
      </c>
      <c r="BB118" s="114">
        <v>0</v>
      </c>
      <c r="BC118" s="114">
        <v>0</v>
      </c>
      <c r="BD118" s="114">
        <v>0</v>
      </c>
      <c r="BE118" s="114">
        <v>0</v>
      </c>
      <c r="BF118" s="114">
        <v>0</v>
      </c>
    </row>
    <row r="119" spans="1:58" s="1" customFormat="1" ht="16.5" x14ac:dyDescent="0.3">
      <c r="A119" s="92"/>
      <c r="B119" s="92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  <c r="AA119" s="92"/>
      <c r="AB119" s="92"/>
      <c r="AC119" s="92"/>
      <c r="AD119" s="92"/>
      <c r="AE119" s="92"/>
      <c r="AF119" s="92"/>
      <c r="AG119" s="92"/>
      <c r="AH119" s="92"/>
      <c r="AI119" s="92"/>
      <c r="AJ119" s="92"/>
      <c r="AK119" s="92"/>
      <c r="AL119" s="92"/>
      <c r="AM119" s="92"/>
      <c r="AN119" s="92"/>
      <c r="AO119" s="92"/>
      <c r="AP119" s="92"/>
      <c r="AQ119" s="92"/>
      <c r="AR119" s="92"/>
      <c r="AS119" s="92"/>
      <c r="AT119" s="92"/>
      <c r="AU119" s="92"/>
      <c r="AV119" s="92"/>
      <c r="AX119" s="62">
        <v>1993</v>
      </c>
      <c r="AY119" s="62">
        <v>1</v>
      </c>
      <c r="AZ119" s="62"/>
      <c r="BA119" s="3"/>
    </row>
    <row r="120" spans="1:58" s="1" customFormat="1" ht="16.5" x14ac:dyDescent="0.3">
      <c r="A120" s="92"/>
      <c r="B120" s="92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92"/>
      <c r="Y120" s="92"/>
      <c r="Z120" s="92"/>
      <c r="AA120" s="92"/>
      <c r="AB120" s="92"/>
      <c r="AC120" s="92"/>
      <c r="AD120" s="92"/>
      <c r="AE120" s="92"/>
      <c r="AF120" s="92"/>
      <c r="AG120" s="92"/>
      <c r="AH120" s="92"/>
      <c r="AI120" s="92"/>
      <c r="AJ120" s="92"/>
      <c r="AK120" s="92"/>
      <c r="AL120" s="92"/>
      <c r="AM120" s="92"/>
      <c r="AN120" s="92"/>
      <c r="AO120" s="92"/>
      <c r="AP120" s="92"/>
      <c r="AQ120" s="92"/>
      <c r="AR120" s="92"/>
      <c r="AS120" s="92"/>
      <c r="AT120" s="92"/>
      <c r="AU120" s="92"/>
      <c r="AV120" s="92"/>
      <c r="AX120" s="62">
        <v>1993</v>
      </c>
      <c r="AY120" s="62">
        <v>1</v>
      </c>
      <c r="AZ120" s="62"/>
      <c r="BA120" s="113"/>
      <c r="BB120" s="113" t="s">
        <v>55</v>
      </c>
      <c r="BC120" s="113" t="s">
        <v>53</v>
      </c>
      <c r="BD120" s="113" t="s">
        <v>54</v>
      </c>
      <c r="BE120" s="113" t="s">
        <v>51</v>
      </c>
      <c r="BF120" s="113" t="s">
        <v>52</v>
      </c>
    </row>
    <row r="121" spans="1:58" s="1" customFormat="1" ht="16.5" x14ac:dyDescent="0.3">
      <c r="A121" s="92"/>
      <c r="B121" s="92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92"/>
      <c r="Y121" s="92"/>
      <c r="Z121" s="92"/>
      <c r="AA121" s="92"/>
      <c r="AB121" s="92"/>
      <c r="AC121" s="92"/>
      <c r="AD121" s="92"/>
      <c r="AE121" s="92"/>
      <c r="AF121" s="92"/>
      <c r="AG121" s="92"/>
      <c r="AH121" s="92"/>
      <c r="AI121" s="92"/>
      <c r="AJ121" s="92"/>
      <c r="AK121" s="92"/>
      <c r="AL121" s="92"/>
      <c r="AM121" s="92"/>
      <c r="AN121" s="92"/>
      <c r="AO121" s="92"/>
      <c r="AP121" s="92"/>
      <c r="AQ121" s="92"/>
      <c r="AR121" s="92"/>
      <c r="AS121" s="92"/>
      <c r="AT121" s="92"/>
      <c r="AU121" s="92"/>
      <c r="AV121" s="92"/>
      <c r="AX121" s="62">
        <v>1995</v>
      </c>
      <c r="AY121" s="62">
        <v>8</v>
      </c>
      <c r="BA121" s="113" t="s">
        <v>48</v>
      </c>
      <c r="BB121" s="117" t="e">
        <v>#DIV/0!</v>
      </c>
      <c r="BC121" s="117" t="e">
        <v>#DIV/0!</v>
      </c>
      <c r="BD121" s="117" t="e">
        <v>#DIV/0!</v>
      </c>
      <c r="BE121" s="117" t="e">
        <v>#DIV/0!</v>
      </c>
      <c r="BF121" s="117" t="e">
        <v>#DIV/0!</v>
      </c>
    </row>
    <row r="122" spans="1:58" s="1" customFormat="1" ht="16.5" x14ac:dyDescent="0.3">
      <c r="A122" s="92"/>
      <c r="B122" s="92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92"/>
      <c r="Y122" s="92"/>
      <c r="Z122" s="92"/>
      <c r="AA122" s="92"/>
      <c r="AB122" s="92"/>
      <c r="AC122" s="92"/>
      <c r="AD122" s="92"/>
      <c r="AE122" s="92"/>
      <c r="AF122" s="92"/>
      <c r="AG122" s="92"/>
      <c r="AH122" s="92"/>
      <c r="AI122" s="92"/>
      <c r="AJ122" s="92"/>
      <c r="AK122" s="92"/>
      <c r="AL122" s="92"/>
      <c r="AM122" s="92"/>
      <c r="AN122" s="92"/>
      <c r="AO122" s="92"/>
      <c r="AP122" s="92"/>
      <c r="AQ122" s="92"/>
      <c r="AR122" s="92"/>
      <c r="AS122" s="92"/>
      <c r="AT122" s="92"/>
      <c r="AU122" s="92"/>
      <c r="AV122" s="92"/>
      <c r="AX122" s="62">
        <v>1995</v>
      </c>
      <c r="AY122" s="62">
        <v>8</v>
      </c>
      <c r="BA122" s="113" t="s">
        <v>49</v>
      </c>
      <c r="BB122" s="117" t="e">
        <v>#DIV/0!</v>
      </c>
      <c r="BC122" s="117" t="e">
        <v>#DIV/0!</v>
      </c>
      <c r="BD122" s="117" t="e">
        <v>#DIV/0!</v>
      </c>
      <c r="BE122" s="117" t="e">
        <v>#DIV/0!</v>
      </c>
      <c r="BF122" s="117" t="e">
        <v>#DIV/0!</v>
      </c>
    </row>
    <row r="123" spans="1:58" s="1" customFormat="1" ht="16.5" x14ac:dyDescent="0.3">
      <c r="A123" s="92"/>
      <c r="B123" s="92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92"/>
      <c r="Y123" s="92"/>
      <c r="Z123" s="92"/>
      <c r="AA123" s="92"/>
      <c r="AB123" s="92"/>
      <c r="AC123" s="92"/>
      <c r="AD123" s="92"/>
      <c r="AE123" s="92"/>
      <c r="AF123" s="92"/>
      <c r="AG123" s="92"/>
      <c r="AH123" s="92"/>
      <c r="AI123" s="92"/>
      <c r="AJ123" s="92"/>
      <c r="AK123" s="92"/>
      <c r="AL123" s="92"/>
      <c r="AM123" s="92"/>
      <c r="AN123" s="92"/>
      <c r="AO123" s="92"/>
      <c r="AP123" s="92"/>
      <c r="AQ123" s="92"/>
      <c r="AR123" s="92"/>
      <c r="AS123" s="92"/>
      <c r="AT123" s="92"/>
      <c r="AU123" s="92"/>
      <c r="AV123" s="92"/>
      <c r="AX123" s="62">
        <v>1992</v>
      </c>
      <c r="AY123" s="62">
        <v>5</v>
      </c>
      <c r="BA123" s="113" t="s">
        <v>52</v>
      </c>
      <c r="BB123" s="117" t="e">
        <v>#DIV/0!</v>
      </c>
      <c r="BC123" s="117" t="e">
        <v>#DIV/0!</v>
      </c>
      <c r="BD123" s="117" t="e">
        <v>#DIV/0!</v>
      </c>
      <c r="BE123" s="117" t="e">
        <v>#DIV/0!</v>
      </c>
      <c r="BF123" s="117" t="e">
        <v>#DIV/0!</v>
      </c>
    </row>
    <row r="124" spans="1:58" s="1" customFormat="1" ht="16.5" x14ac:dyDescent="0.3">
      <c r="A124" s="92"/>
      <c r="B124" s="92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92"/>
      <c r="Y124" s="92"/>
      <c r="Z124" s="92"/>
      <c r="AA124" s="92"/>
      <c r="AB124" s="92"/>
      <c r="AC124" s="92"/>
      <c r="AD124" s="92"/>
      <c r="AE124" s="92"/>
      <c r="AF124" s="92"/>
      <c r="AG124" s="92"/>
      <c r="AH124" s="92"/>
      <c r="AI124" s="92"/>
      <c r="AJ124" s="92"/>
      <c r="AK124" s="92"/>
      <c r="AL124" s="92"/>
      <c r="AM124" s="92"/>
      <c r="AN124" s="92"/>
      <c r="AO124" s="92"/>
      <c r="AP124" s="92"/>
      <c r="AQ124" s="92"/>
      <c r="AR124" s="92"/>
      <c r="AS124" s="92"/>
      <c r="AT124" s="92"/>
      <c r="AU124" s="92"/>
      <c r="AV124" s="92"/>
      <c r="AX124" s="62">
        <v>1992</v>
      </c>
      <c r="AY124" s="62">
        <v>5</v>
      </c>
    </row>
    <row r="125" spans="1:58" s="1" customFormat="1" ht="16.5" x14ac:dyDescent="0.3">
      <c r="A125" s="92"/>
      <c r="B125" s="92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92"/>
      <c r="Y125" s="92"/>
      <c r="Z125" s="92"/>
      <c r="AA125" s="92"/>
      <c r="AB125" s="92"/>
      <c r="AC125" s="92"/>
      <c r="AD125" s="92"/>
      <c r="AE125" s="92"/>
      <c r="AF125" s="92"/>
      <c r="AG125" s="92"/>
      <c r="AH125" s="92"/>
      <c r="AI125" s="92"/>
      <c r="AJ125" s="92"/>
      <c r="AK125" s="92"/>
      <c r="AL125" s="92"/>
      <c r="AM125" s="92"/>
      <c r="AN125" s="92"/>
      <c r="AO125" s="92"/>
      <c r="AP125" s="92"/>
      <c r="AQ125" s="92"/>
      <c r="AR125" s="92"/>
      <c r="AS125" s="92"/>
      <c r="AT125" s="92"/>
      <c r="AU125" s="92"/>
      <c r="AV125" s="92"/>
      <c r="AX125" s="62">
        <v>1992</v>
      </c>
      <c r="AY125" s="62">
        <v>5</v>
      </c>
    </row>
    <row r="126" spans="1:58" s="1" customFormat="1" ht="16.5" x14ac:dyDescent="0.3">
      <c r="A126" s="92"/>
      <c r="B126" s="92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  <c r="AA126" s="92"/>
      <c r="AB126" s="92"/>
      <c r="AC126" s="92"/>
      <c r="AD126" s="92"/>
      <c r="AE126" s="92"/>
      <c r="AF126" s="92"/>
      <c r="AG126" s="92"/>
      <c r="AH126" s="92"/>
      <c r="AI126" s="92"/>
      <c r="AJ126" s="92"/>
      <c r="AK126" s="92"/>
      <c r="AL126" s="92"/>
      <c r="AM126" s="92"/>
      <c r="AN126" s="92"/>
      <c r="AO126" s="92"/>
      <c r="AP126" s="92"/>
      <c r="AQ126" s="92"/>
      <c r="AR126" s="92"/>
      <c r="AS126" s="92"/>
      <c r="AT126" s="92"/>
      <c r="AU126" s="92"/>
      <c r="AV126" s="92"/>
      <c r="AX126" s="62">
        <v>1991</v>
      </c>
      <c r="AY126" s="62">
        <v>6</v>
      </c>
    </row>
    <row r="127" spans="1:58" s="1" customFormat="1" ht="16.5" x14ac:dyDescent="0.3">
      <c r="A127" s="92"/>
      <c r="B127" s="92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92"/>
      <c r="Y127" s="92"/>
      <c r="Z127" s="92"/>
      <c r="AA127" s="92"/>
      <c r="AB127" s="92"/>
      <c r="AC127" s="92"/>
      <c r="AD127" s="92"/>
      <c r="AE127" s="92"/>
      <c r="AF127" s="92"/>
      <c r="AG127" s="92"/>
      <c r="AH127" s="92"/>
      <c r="AI127" s="92"/>
      <c r="AJ127" s="92"/>
      <c r="AK127" s="92"/>
      <c r="AL127" s="92"/>
      <c r="AM127" s="92"/>
      <c r="AN127" s="92"/>
      <c r="AO127" s="92"/>
      <c r="AP127" s="92"/>
      <c r="AQ127" s="92"/>
      <c r="AR127" s="92"/>
      <c r="AS127" s="92"/>
      <c r="AT127" s="92"/>
      <c r="AU127" s="92"/>
      <c r="AV127" s="92"/>
      <c r="AX127" s="62">
        <v>1991</v>
      </c>
      <c r="AY127" s="62">
        <v>6</v>
      </c>
    </row>
    <row r="128" spans="1:58" s="1" customFormat="1" ht="16.5" x14ac:dyDescent="0.3">
      <c r="A128" s="92"/>
      <c r="B128" s="92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92"/>
      <c r="Y128" s="92"/>
      <c r="Z128" s="92"/>
      <c r="AA128" s="92"/>
      <c r="AB128" s="92"/>
      <c r="AC128" s="92"/>
      <c r="AD128" s="92"/>
      <c r="AE128" s="92"/>
      <c r="AF128" s="92"/>
      <c r="AG128" s="92"/>
      <c r="AH128" s="92"/>
      <c r="AI128" s="92"/>
      <c r="AJ128" s="92"/>
      <c r="AK128" s="92"/>
      <c r="AL128" s="92"/>
      <c r="AM128" s="92"/>
      <c r="AN128" s="92"/>
      <c r="AO128" s="92"/>
      <c r="AP128" s="92"/>
      <c r="AQ128" s="92"/>
      <c r="AR128" s="92"/>
      <c r="AS128" s="92"/>
      <c r="AT128" s="92"/>
      <c r="AU128" s="92"/>
      <c r="AV128" s="92"/>
      <c r="AX128" s="62">
        <v>1991</v>
      </c>
      <c r="AY128" s="62">
        <v>6</v>
      </c>
    </row>
    <row r="129" spans="1:58" s="1" customFormat="1" ht="16.5" x14ac:dyDescent="0.3">
      <c r="A129" s="92"/>
      <c r="B129" s="92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92"/>
      <c r="Y129" s="92"/>
      <c r="Z129" s="92"/>
      <c r="AA129" s="92"/>
      <c r="AB129" s="92"/>
      <c r="AC129" s="92"/>
      <c r="AD129" s="92"/>
      <c r="AE129" s="92"/>
      <c r="AF129" s="92"/>
      <c r="AG129" s="92"/>
      <c r="AH129" s="92"/>
      <c r="AI129" s="92"/>
      <c r="AJ129" s="92"/>
      <c r="AK129" s="92"/>
      <c r="AL129" s="92"/>
      <c r="AM129" s="92"/>
      <c r="AN129" s="92"/>
      <c r="AO129" s="92"/>
      <c r="AP129" s="92"/>
      <c r="AQ129" s="92"/>
      <c r="AR129" s="92"/>
      <c r="AS129" s="92"/>
      <c r="AT129" s="92"/>
      <c r="AU129" s="92"/>
      <c r="AV129" s="92"/>
      <c r="AX129" s="62">
        <v>1991</v>
      </c>
      <c r="AY129" s="62">
        <v>6</v>
      </c>
    </row>
    <row r="130" spans="1:58" s="1" customFormat="1" ht="16.5" x14ac:dyDescent="0.3">
      <c r="A130" s="92"/>
      <c r="B130" s="92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92"/>
      <c r="Y130" s="92"/>
      <c r="Z130" s="92"/>
      <c r="AA130" s="92"/>
      <c r="AB130" s="92"/>
      <c r="AC130" s="92"/>
      <c r="AD130" s="92"/>
      <c r="AE130" s="92"/>
      <c r="AF130" s="92"/>
      <c r="AG130" s="92"/>
      <c r="AH130" s="92"/>
      <c r="AI130" s="92"/>
      <c r="AJ130" s="92"/>
      <c r="AK130" s="92"/>
      <c r="AL130" s="92"/>
      <c r="AM130" s="92"/>
      <c r="AN130" s="92"/>
      <c r="AO130" s="92"/>
      <c r="AP130" s="92"/>
      <c r="AQ130" s="92"/>
      <c r="AR130" s="92"/>
      <c r="AS130" s="92"/>
      <c r="AT130" s="92"/>
      <c r="AU130" s="92"/>
      <c r="AV130" s="92"/>
      <c r="AX130" s="62">
        <v>1991</v>
      </c>
      <c r="AY130" s="62">
        <v>6</v>
      </c>
    </row>
    <row r="131" spans="1:58" s="1" customFormat="1" ht="16.5" x14ac:dyDescent="0.3">
      <c r="A131" s="92"/>
      <c r="B131" s="92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  <c r="AA131" s="92"/>
      <c r="AB131" s="92"/>
      <c r="AC131" s="92"/>
      <c r="AD131" s="92"/>
      <c r="AE131" s="92"/>
      <c r="AF131" s="92"/>
      <c r="AG131" s="92"/>
      <c r="AH131" s="92"/>
      <c r="AI131" s="92"/>
      <c r="AJ131" s="92"/>
      <c r="AK131" s="92"/>
      <c r="AL131" s="92"/>
      <c r="AM131" s="92"/>
      <c r="AN131" s="92"/>
      <c r="AO131" s="92"/>
      <c r="AP131" s="92"/>
      <c r="AQ131" s="92"/>
      <c r="AR131" s="92"/>
      <c r="AS131" s="92"/>
      <c r="AT131" s="92"/>
      <c r="AU131" s="92"/>
      <c r="AV131" s="92"/>
      <c r="AX131" s="62">
        <v>1991</v>
      </c>
      <c r="AY131" s="62">
        <v>6</v>
      </c>
    </row>
    <row r="132" spans="1:58" s="1" customFormat="1" ht="16.5" x14ac:dyDescent="0.3">
      <c r="A132" s="92"/>
      <c r="B132" s="92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  <c r="AA132" s="92"/>
      <c r="AB132" s="92"/>
      <c r="AC132" s="92"/>
      <c r="AD132" s="92"/>
      <c r="AE132" s="92"/>
      <c r="AF132" s="92"/>
      <c r="AG132" s="92"/>
      <c r="AH132" s="92"/>
      <c r="AI132" s="92"/>
      <c r="AJ132" s="92"/>
      <c r="AK132" s="92"/>
      <c r="AL132" s="92"/>
      <c r="AM132" s="92"/>
      <c r="AN132" s="92"/>
      <c r="AO132" s="92"/>
      <c r="AP132" s="92"/>
      <c r="AQ132" s="92"/>
      <c r="AR132" s="92"/>
      <c r="AS132" s="92"/>
      <c r="AT132" s="92"/>
      <c r="AU132" s="92"/>
      <c r="AV132" s="92"/>
      <c r="AX132" s="62">
        <v>1995</v>
      </c>
      <c r="AY132" s="62">
        <v>4</v>
      </c>
      <c r="AZ132" s="62"/>
      <c r="BA132" s="113" t="s">
        <v>48</v>
      </c>
      <c r="BB132" s="114">
        <v>0</v>
      </c>
      <c r="BC132" s="114">
        <v>0</v>
      </c>
      <c r="BD132" s="114">
        <v>0</v>
      </c>
      <c r="BE132" s="114">
        <v>0</v>
      </c>
      <c r="BF132" s="114">
        <v>0</v>
      </c>
    </row>
    <row r="133" spans="1:58" s="1" customFormat="1" ht="16.5" x14ac:dyDescent="0.3">
      <c r="A133" s="92"/>
      <c r="B133" s="92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92"/>
      <c r="Y133" s="92"/>
      <c r="Z133" s="92"/>
      <c r="AA133" s="92"/>
      <c r="AB133" s="92"/>
      <c r="AC133" s="92"/>
      <c r="AD133" s="92"/>
      <c r="AE133" s="92"/>
      <c r="AF133" s="92"/>
      <c r="AG133" s="92"/>
      <c r="AH133" s="92"/>
      <c r="AI133" s="92"/>
      <c r="AJ133" s="92"/>
      <c r="AK133" s="92"/>
      <c r="AL133" s="92"/>
      <c r="AM133" s="92"/>
      <c r="AN133" s="92"/>
      <c r="AO133" s="92"/>
      <c r="AP133" s="92"/>
      <c r="AQ133" s="92"/>
      <c r="AR133" s="92"/>
      <c r="AS133" s="92"/>
      <c r="AT133" s="92"/>
      <c r="AU133" s="92"/>
      <c r="AV133" s="92"/>
      <c r="AX133" s="62">
        <v>1995</v>
      </c>
      <c r="AY133" s="62">
        <v>4</v>
      </c>
      <c r="AZ133" s="62"/>
      <c r="BA133" s="113" t="s">
        <v>49</v>
      </c>
      <c r="BB133" s="114">
        <v>0</v>
      </c>
      <c r="BC133" s="114">
        <v>0</v>
      </c>
      <c r="BD133" s="114">
        <v>0</v>
      </c>
      <c r="BE133" s="114">
        <v>0</v>
      </c>
      <c r="BF133" s="114">
        <v>0</v>
      </c>
    </row>
    <row r="134" spans="1:58" s="1" customFormat="1" ht="16.5" x14ac:dyDescent="0.3">
      <c r="A134" s="92"/>
      <c r="B134" s="92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  <c r="AA134" s="92"/>
      <c r="AB134" s="92"/>
      <c r="AC134" s="92"/>
      <c r="AD134" s="92"/>
      <c r="AE134" s="92"/>
      <c r="AF134" s="92"/>
      <c r="AG134" s="92"/>
      <c r="AH134" s="92"/>
      <c r="AI134" s="92"/>
      <c r="AJ134" s="92"/>
      <c r="AK134" s="92"/>
      <c r="AL134" s="92"/>
      <c r="AM134" s="92"/>
      <c r="AN134" s="92"/>
      <c r="AO134" s="92"/>
      <c r="AP134" s="92"/>
      <c r="AQ134" s="92"/>
      <c r="AR134" s="92"/>
      <c r="AS134" s="92"/>
      <c r="AT134" s="92"/>
      <c r="AU134" s="92"/>
      <c r="AV134" s="92"/>
      <c r="AX134" s="62">
        <v>1995</v>
      </c>
      <c r="AY134" s="62">
        <v>4</v>
      </c>
      <c r="AZ134" s="62"/>
      <c r="BA134" s="115" t="s">
        <v>50</v>
      </c>
      <c r="BB134" s="116">
        <v>0</v>
      </c>
      <c r="BC134" s="116">
        <v>0</v>
      </c>
      <c r="BD134" s="116">
        <v>0</v>
      </c>
      <c r="BE134" s="116">
        <v>0</v>
      </c>
      <c r="BF134" s="116">
        <v>0</v>
      </c>
    </row>
    <row r="135" spans="1:58" s="1" customFormat="1" ht="16.5" x14ac:dyDescent="0.3">
      <c r="A135" s="92"/>
      <c r="B135" s="92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92"/>
      <c r="Y135" s="92"/>
      <c r="Z135" s="92"/>
      <c r="AA135" s="92"/>
      <c r="AB135" s="92"/>
      <c r="AC135" s="92"/>
      <c r="AD135" s="92"/>
      <c r="AE135" s="92"/>
      <c r="AF135" s="92"/>
      <c r="AG135" s="92"/>
      <c r="AH135" s="92"/>
      <c r="AI135" s="92"/>
      <c r="AJ135" s="92"/>
      <c r="AK135" s="92"/>
      <c r="AL135" s="92"/>
      <c r="AM135" s="92"/>
      <c r="AN135" s="92"/>
      <c r="AO135" s="92"/>
      <c r="AP135" s="92"/>
      <c r="AQ135" s="92"/>
      <c r="AR135" s="92"/>
      <c r="AS135" s="92"/>
      <c r="AT135" s="92"/>
      <c r="AU135" s="92"/>
      <c r="AV135" s="92"/>
      <c r="AX135" s="62">
        <v>1993</v>
      </c>
      <c r="AY135" s="62">
        <v>5</v>
      </c>
      <c r="AZ135" s="62"/>
      <c r="BA135" s="3"/>
    </row>
    <row r="136" spans="1:58" s="1" customFormat="1" ht="16.5" x14ac:dyDescent="0.3">
      <c r="A136" s="92"/>
      <c r="B136" s="92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92"/>
      <c r="Y136" s="92"/>
      <c r="Z136" s="92"/>
      <c r="AA136" s="92"/>
      <c r="AB136" s="92"/>
      <c r="AC136" s="92"/>
      <c r="AD136" s="92"/>
      <c r="AE136" s="92"/>
      <c r="AF136" s="92"/>
      <c r="AG136" s="92"/>
      <c r="AH136" s="92"/>
      <c r="AI136" s="92"/>
      <c r="AJ136" s="92"/>
      <c r="AK136" s="92"/>
      <c r="AL136" s="92"/>
      <c r="AM136" s="92"/>
      <c r="AN136" s="92"/>
      <c r="AO136" s="92"/>
      <c r="AP136" s="92"/>
      <c r="AQ136" s="92"/>
      <c r="AR136" s="92"/>
      <c r="AS136" s="92"/>
      <c r="AT136" s="92"/>
      <c r="AU136" s="92"/>
      <c r="AV136" s="92"/>
      <c r="AX136" s="62">
        <v>1993</v>
      </c>
      <c r="AY136" s="62">
        <v>11</v>
      </c>
      <c r="AZ136" s="62"/>
      <c r="BA136" s="113" t="s">
        <v>47</v>
      </c>
      <c r="BB136" s="117" t="e">
        <v>#DIV/0!</v>
      </c>
      <c r="BC136" s="117" t="e">
        <v>#DIV/0!</v>
      </c>
      <c r="BD136" s="117" t="e">
        <v>#DIV/0!</v>
      </c>
      <c r="BE136" s="117" t="e">
        <v>#DIV/0!</v>
      </c>
      <c r="BF136" s="117" t="e">
        <v>#DIV/0!</v>
      </c>
    </row>
    <row r="137" spans="1:58" s="1" customFormat="1" ht="16.5" x14ac:dyDescent="0.3">
      <c r="A137" s="92"/>
      <c r="B137" s="92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  <c r="AA137" s="92"/>
      <c r="AB137" s="92"/>
      <c r="AC137" s="92"/>
      <c r="AD137" s="92"/>
      <c r="AE137" s="92"/>
      <c r="AF137" s="92"/>
      <c r="AG137" s="92"/>
      <c r="AH137" s="92"/>
      <c r="AI137" s="92"/>
      <c r="AJ137" s="92"/>
      <c r="AK137" s="92"/>
      <c r="AL137" s="92"/>
      <c r="AM137" s="92"/>
      <c r="AN137" s="92"/>
      <c r="AO137" s="92"/>
      <c r="AP137" s="92"/>
      <c r="AQ137" s="92"/>
      <c r="AR137" s="92"/>
      <c r="AS137" s="92"/>
      <c r="AT137" s="92"/>
      <c r="AU137" s="92"/>
      <c r="AV137" s="92"/>
      <c r="AX137" s="62">
        <v>1994</v>
      </c>
      <c r="AY137" s="62">
        <v>9</v>
      </c>
      <c r="BA137" s="113" t="s">
        <v>49</v>
      </c>
      <c r="BB137" s="117" t="e">
        <v>#DIV/0!</v>
      </c>
      <c r="BC137" s="117" t="e">
        <v>#DIV/0!</v>
      </c>
      <c r="BD137" s="117" t="e">
        <v>#DIV/0!</v>
      </c>
      <c r="BE137" s="117" t="e">
        <v>#DIV/0!</v>
      </c>
      <c r="BF137" s="117" t="e">
        <v>#DIV/0!</v>
      </c>
    </row>
    <row r="138" spans="1:58" s="1" customFormat="1" ht="16.5" x14ac:dyDescent="0.3">
      <c r="A138" s="92"/>
      <c r="B138" s="92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  <c r="AA138" s="92"/>
      <c r="AB138" s="92"/>
      <c r="AC138" s="92"/>
      <c r="AD138" s="92"/>
      <c r="AE138" s="92"/>
      <c r="AF138" s="92"/>
      <c r="AG138" s="92"/>
      <c r="AH138" s="92"/>
      <c r="AI138" s="92"/>
      <c r="AJ138" s="92"/>
      <c r="AK138" s="92"/>
      <c r="AL138" s="92"/>
      <c r="AM138" s="92"/>
      <c r="AN138" s="92"/>
      <c r="AO138" s="92"/>
      <c r="AP138" s="92"/>
      <c r="AQ138" s="92"/>
      <c r="AR138" s="92"/>
      <c r="AS138" s="92"/>
      <c r="AT138" s="92"/>
      <c r="AU138" s="92"/>
      <c r="AV138" s="92"/>
      <c r="AX138" s="62">
        <v>1994</v>
      </c>
      <c r="AY138" s="62">
        <v>9</v>
      </c>
      <c r="BA138" s="113" t="s">
        <v>52</v>
      </c>
      <c r="BB138" s="117" t="e">
        <v>#DIV/0!</v>
      </c>
      <c r="BC138" s="117" t="e">
        <v>#DIV/0!</v>
      </c>
      <c r="BD138" s="117" t="e">
        <v>#DIV/0!</v>
      </c>
      <c r="BE138" s="117" t="e">
        <v>#DIV/0!</v>
      </c>
      <c r="BF138" s="117" t="e">
        <v>#DIV/0!</v>
      </c>
    </row>
    <row r="139" spans="1:58" s="1" customFormat="1" ht="16.5" x14ac:dyDescent="0.3">
      <c r="A139" s="92"/>
      <c r="B139" s="92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92"/>
      <c r="Y139" s="92"/>
      <c r="Z139" s="92"/>
      <c r="AA139" s="92"/>
      <c r="AB139" s="92"/>
      <c r="AC139" s="92"/>
      <c r="AD139" s="92"/>
      <c r="AE139" s="92"/>
      <c r="AF139" s="92"/>
      <c r="AG139" s="92"/>
      <c r="AH139" s="92"/>
      <c r="AI139" s="92"/>
      <c r="AJ139" s="92"/>
      <c r="AK139" s="92"/>
      <c r="AL139" s="92"/>
      <c r="AM139" s="92"/>
      <c r="AN139" s="92"/>
      <c r="AO139" s="92"/>
      <c r="AP139" s="92"/>
      <c r="AQ139" s="92"/>
      <c r="AR139" s="92"/>
      <c r="AS139" s="92"/>
      <c r="AT139" s="92"/>
      <c r="AU139" s="92"/>
      <c r="AV139" s="92"/>
      <c r="AX139" s="62">
        <v>1994</v>
      </c>
      <c r="AY139" s="62">
        <v>9</v>
      </c>
    </row>
    <row r="140" spans="1:58" s="1" customFormat="1" ht="16.5" x14ac:dyDescent="0.3">
      <c r="A140" s="92"/>
      <c r="B140" s="92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  <c r="AA140" s="92"/>
      <c r="AB140" s="92"/>
      <c r="AC140" s="92"/>
      <c r="AD140" s="92"/>
      <c r="AE140" s="92"/>
      <c r="AF140" s="92"/>
      <c r="AG140" s="92"/>
      <c r="AH140" s="92"/>
      <c r="AI140" s="92"/>
      <c r="AJ140" s="92"/>
      <c r="AK140" s="92"/>
      <c r="AL140" s="92"/>
      <c r="AM140" s="92"/>
      <c r="AN140" s="92"/>
      <c r="AO140" s="92"/>
      <c r="AP140" s="92"/>
      <c r="AQ140" s="92"/>
      <c r="AR140" s="92"/>
      <c r="AS140" s="92"/>
      <c r="AT140" s="92"/>
      <c r="AU140" s="92"/>
      <c r="AV140" s="92"/>
      <c r="AX140" s="62">
        <v>1992</v>
      </c>
      <c r="AY140" s="62">
        <v>5</v>
      </c>
    </row>
    <row r="141" spans="1:58" s="1" customFormat="1" ht="16.5" x14ac:dyDescent="0.3">
      <c r="A141" s="92"/>
      <c r="B141" s="92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  <c r="AA141" s="92"/>
      <c r="AB141" s="92"/>
      <c r="AC141" s="92"/>
      <c r="AD141" s="92"/>
      <c r="AE141" s="92"/>
      <c r="AF141" s="92"/>
      <c r="AG141" s="92"/>
      <c r="AH141" s="92"/>
      <c r="AI141" s="92"/>
      <c r="AJ141" s="92"/>
      <c r="AK141" s="92"/>
      <c r="AL141" s="92"/>
      <c r="AM141" s="92"/>
      <c r="AN141" s="92"/>
      <c r="AO141" s="92"/>
      <c r="AP141" s="92"/>
      <c r="AQ141" s="92"/>
      <c r="AR141" s="92"/>
      <c r="AS141" s="92"/>
      <c r="AT141" s="92"/>
      <c r="AU141" s="92"/>
      <c r="AV141" s="92"/>
      <c r="AX141" s="62">
        <v>1992</v>
      </c>
      <c r="AY141" s="62">
        <v>6</v>
      </c>
    </row>
    <row r="142" spans="1:58" s="1" customFormat="1" ht="16.5" x14ac:dyDescent="0.3">
      <c r="A142" s="92"/>
      <c r="B142" s="92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  <c r="AA142" s="92"/>
      <c r="AB142" s="92"/>
      <c r="AC142" s="92"/>
      <c r="AD142" s="92"/>
      <c r="AE142" s="92"/>
      <c r="AF142" s="92"/>
      <c r="AG142" s="92"/>
      <c r="AH142" s="92"/>
      <c r="AI142" s="92"/>
      <c r="AJ142" s="92"/>
      <c r="AK142" s="92"/>
      <c r="AL142" s="92"/>
      <c r="AM142" s="92"/>
      <c r="AN142" s="92"/>
      <c r="AO142" s="92"/>
      <c r="AP142" s="92"/>
      <c r="AQ142" s="92"/>
      <c r="AR142" s="92"/>
      <c r="AS142" s="92"/>
      <c r="AT142" s="92"/>
      <c r="AU142" s="92"/>
      <c r="AV142" s="92"/>
      <c r="AX142" s="62">
        <v>1992</v>
      </c>
      <c r="AY142" s="62">
        <v>6</v>
      </c>
    </row>
    <row r="143" spans="1:58" s="1" customFormat="1" ht="16.5" x14ac:dyDescent="0.3">
      <c r="A143" s="92"/>
      <c r="B143" s="92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92"/>
      <c r="Y143" s="92"/>
      <c r="Z143" s="92"/>
      <c r="AA143" s="92"/>
      <c r="AB143" s="92"/>
      <c r="AC143" s="92"/>
      <c r="AD143" s="92"/>
      <c r="AE143" s="92"/>
      <c r="AF143" s="92"/>
      <c r="AG143" s="92"/>
      <c r="AH143" s="92"/>
      <c r="AI143" s="92"/>
      <c r="AJ143" s="92"/>
      <c r="AK143" s="92"/>
      <c r="AL143" s="92"/>
      <c r="AM143" s="92"/>
      <c r="AN143" s="92"/>
      <c r="AO143" s="92"/>
      <c r="AP143" s="92"/>
      <c r="AQ143" s="92"/>
      <c r="AR143" s="92"/>
      <c r="AS143" s="92"/>
      <c r="AT143" s="92"/>
      <c r="AU143" s="92"/>
      <c r="AV143" s="92"/>
      <c r="AX143" s="62">
        <v>1993</v>
      </c>
      <c r="AY143" s="62">
        <v>9</v>
      </c>
    </row>
    <row r="144" spans="1:58" s="1" customFormat="1" ht="16.5" x14ac:dyDescent="0.3">
      <c r="A144" s="92"/>
      <c r="B144" s="92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92"/>
      <c r="Y144" s="92"/>
      <c r="Z144" s="92"/>
      <c r="AA144" s="92"/>
      <c r="AB144" s="92"/>
      <c r="AC144" s="92"/>
      <c r="AD144" s="92"/>
      <c r="AE144" s="92"/>
      <c r="AF144" s="92"/>
      <c r="AG144" s="92"/>
      <c r="AH144" s="92"/>
      <c r="AI144" s="92"/>
      <c r="AJ144" s="92"/>
      <c r="AK144" s="92"/>
      <c r="AL144" s="92"/>
      <c r="AM144" s="92"/>
      <c r="AN144" s="92"/>
      <c r="AO144" s="92"/>
      <c r="AP144" s="92"/>
      <c r="AQ144" s="92"/>
      <c r="AR144" s="92"/>
      <c r="AS144" s="92"/>
      <c r="AT144" s="92"/>
      <c r="AU144" s="92"/>
      <c r="AV144" s="92"/>
      <c r="AX144" s="62">
        <v>1993</v>
      </c>
      <c r="AY144" s="62">
        <v>9</v>
      </c>
    </row>
    <row r="145" spans="1:51" s="1" customFormat="1" ht="16.5" x14ac:dyDescent="0.3">
      <c r="A145" s="92"/>
      <c r="B145" s="92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92"/>
      <c r="Y145" s="92"/>
      <c r="Z145" s="92"/>
      <c r="AA145" s="92"/>
      <c r="AB145" s="92"/>
      <c r="AC145" s="92"/>
      <c r="AD145" s="92"/>
      <c r="AE145" s="92"/>
      <c r="AF145" s="92"/>
      <c r="AG145" s="92"/>
      <c r="AH145" s="92"/>
      <c r="AI145" s="92"/>
      <c r="AJ145" s="92"/>
      <c r="AK145" s="92"/>
      <c r="AL145" s="92"/>
      <c r="AM145" s="92"/>
      <c r="AN145" s="92"/>
      <c r="AO145" s="92"/>
      <c r="AP145" s="92"/>
      <c r="AQ145" s="92"/>
      <c r="AR145" s="92"/>
      <c r="AS145" s="92"/>
      <c r="AT145" s="92"/>
      <c r="AU145" s="92"/>
      <c r="AV145" s="92"/>
      <c r="AX145" s="62">
        <v>1992</v>
      </c>
      <c r="AY145" s="62">
        <v>3</v>
      </c>
    </row>
    <row r="146" spans="1:51" s="1" customFormat="1" ht="16.5" x14ac:dyDescent="0.3">
      <c r="A146" s="92"/>
      <c r="B146" s="92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92"/>
      <c r="Y146" s="92"/>
      <c r="Z146" s="92"/>
      <c r="AA146" s="92"/>
      <c r="AB146" s="92"/>
      <c r="AC146" s="92"/>
      <c r="AD146" s="92"/>
      <c r="AE146" s="92"/>
      <c r="AF146" s="92"/>
      <c r="AG146" s="92"/>
      <c r="AH146" s="92"/>
      <c r="AI146" s="92"/>
      <c r="AJ146" s="92"/>
      <c r="AK146" s="92"/>
      <c r="AL146" s="92"/>
      <c r="AM146" s="92"/>
      <c r="AN146" s="92"/>
      <c r="AO146" s="92"/>
      <c r="AP146" s="92"/>
      <c r="AQ146" s="92"/>
      <c r="AR146" s="92"/>
      <c r="AS146" s="92"/>
      <c r="AT146" s="92"/>
      <c r="AU146" s="92"/>
      <c r="AV146" s="92"/>
      <c r="AX146" s="62">
        <v>1992</v>
      </c>
      <c r="AY146" s="62">
        <v>3</v>
      </c>
    </row>
    <row r="147" spans="1:51" s="1" customFormat="1" ht="16.5" x14ac:dyDescent="0.3">
      <c r="A147" s="92"/>
      <c r="B147" s="92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  <c r="AA147" s="92"/>
      <c r="AB147" s="92"/>
      <c r="AC147" s="92"/>
      <c r="AD147" s="92"/>
      <c r="AE147" s="92"/>
      <c r="AF147" s="92"/>
      <c r="AG147" s="92"/>
      <c r="AH147" s="92"/>
      <c r="AI147" s="92"/>
      <c r="AJ147" s="92"/>
      <c r="AK147" s="92"/>
      <c r="AL147" s="92"/>
      <c r="AM147" s="92"/>
      <c r="AN147" s="92"/>
      <c r="AO147" s="92"/>
      <c r="AP147" s="92"/>
      <c r="AQ147" s="92"/>
      <c r="AR147" s="92"/>
      <c r="AS147" s="92"/>
      <c r="AT147" s="92"/>
      <c r="AU147" s="92"/>
      <c r="AV147" s="92"/>
      <c r="AX147" s="62">
        <v>1993</v>
      </c>
      <c r="AY147" s="62">
        <v>5</v>
      </c>
    </row>
    <row r="148" spans="1:51" s="1" customFormat="1" ht="16.5" x14ac:dyDescent="0.3">
      <c r="A148" s="92"/>
      <c r="B148" s="92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  <c r="AA148" s="92"/>
      <c r="AB148" s="92"/>
      <c r="AC148" s="92"/>
      <c r="AD148" s="92"/>
      <c r="AE148" s="92"/>
      <c r="AF148" s="92"/>
      <c r="AG148" s="92"/>
      <c r="AH148" s="92"/>
      <c r="AI148" s="92"/>
      <c r="AJ148" s="92"/>
      <c r="AK148" s="92"/>
      <c r="AL148" s="92"/>
      <c r="AM148" s="92"/>
      <c r="AN148" s="92"/>
      <c r="AO148" s="92"/>
      <c r="AP148" s="92"/>
      <c r="AQ148" s="92"/>
      <c r="AR148" s="92"/>
      <c r="AS148" s="92"/>
      <c r="AT148" s="92"/>
      <c r="AU148" s="92"/>
      <c r="AV148" s="92"/>
      <c r="AX148" s="62">
        <v>1993</v>
      </c>
      <c r="AY148" s="62">
        <v>5</v>
      </c>
    </row>
    <row r="149" spans="1:51" s="1" customFormat="1" ht="16.5" x14ac:dyDescent="0.3">
      <c r="A149" s="92"/>
      <c r="B149" s="92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  <c r="AA149" s="92"/>
      <c r="AB149" s="92"/>
      <c r="AC149" s="92"/>
      <c r="AD149" s="92"/>
      <c r="AE149" s="92"/>
      <c r="AF149" s="92"/>
      <c r="AG149" s="92"/>
      <c r="AH149" s="92"/>
      <c r="AI149" s="92"/>
      <c r="AJ149" s="92"/>
      <c r="AK149" s="92"/>
      <c r="AL149" s="92"/>
      <c r="AM149" s="92"/>
      <c r="AN149" s="92"/>
      <c r="AO149" s="92"/>
      <c r="AP149" s="92"/>
      <c r="AQ149" s="92"/>
      <c r="AR149" s="92"/>
      <c r="AS149" s="92"/>
      <c r="AT149" s="92"/>
      <c r="AU149" s="92"/>
      <c r="AV149" s="92"/>
      <c r="AX149" s="62">
        <v>1993</v>
      </c>
      <c r="AY149" s="62">
        <v>5</v>
      </c>
    </row>
    <row r="150" spans="1:51" s="1" customFormat="1" ht="16.5" x14ac:dyDescent="0.3">
      <c r="A150" s="92"/>
      <c r="B150" s="92"/>
      <c r="C150" s="92"/>
      <c r="D150" s="92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  <c r="AA150" s="92"/>
      <c r="AB150" s="92"/>
      <c r="AC150" s="92"/>
      <c r="AD150" s="92"/>
      <c r="AE150" s="92"/>
      <c r="AF150" s="92"/>
      <c r="AG150" s="92"/>
      <c r="AH150" s="92"/>
      <c r="AI150" s="92"/>
      <c r="AJ150" s="92"/>
      <c r="AK150" s="92"/>
      <c r="AL150" s="92"/>
      <c r="AM150" s="92"/>
      <c r="AN150" s="92"/>
      <c r="AO150" s="92"/>
      <c r="AP150" s="92"/>
      <c r="AQ150" s="92"/>
      <c r="AR150" s="92"/>
      <c r="AS150" s="92"/>
      <c r="AT150" s="92"/>
      <c r="AU150" s="92"/>
      <c r="AV150" s="92"/>
      <c r="AX150" s="62">
        <v>1993</v>
      </c>
      <c r="AY150" s="62">
        <v>5</v>
      </c>
    </row>
    <row r="151" spans="1:51" s="1" customFormat="1" ht="16.5" x14ac:dyDescent="0.3">
      <c r="A151" s="92"/>
      <c r="B151" s="92"/>
      <c r="C151" s="92"/>
      <c r="D151" s="92"/>
      <c r="E151" s="92"/>
      <c r="F151" s="92"/>
      <c r="G151" s="92"/>
      <c r="H151" s="92"/>
      <c r="I151" s="92"/>
      <c r="J151" s="92"/>
      <c r="K151" s="92"/>
      <c r="L151" s="92"/>
      <c r="M151" s="92"/>
      <c r="N151" s="92"/>
      <c r="O151" s="92"/>
      <c r="P151" s="92"/>
      <c r="Q151" s="92"/>
      <c r="R151" s="92"/>
      <c r="S151" s="92"/>
      <c r="T151" s="92"/>
      <c r="U151" s="92"/>
      <c r="V151" s="92"/>
      <c r="W151" s="92"/>
      <c r="X151" s="92"/>
      <c r="Y151" s="92"/>
      <c r="Z151" s="92"/>
      <c r="AA151" s="92"/>
      <c r="AB151" s="92"/>
      <c r="AC151" s="92"/>
      <c r="AD151" s="92"/>
      <c r="AE151" s="92"/>
      <c r="AF151" s="92"/>
      <c r="AG151" s="92"/>
      <c r="AH151" s="92"/>
      <c r="AI151" s="92"/>
      <c r="AJ151" s="92"/>
      <c r="AK151" s="92"/>
      <c r="AL151" s="92"/>
      <c r="AM151" s="92"/>
      <c r="AN151" s="92"/>
      <c r="AO151" s="92"/>
      <c r="AP151" s="92"/>
      <c r="AQ151" s="92"/>
      <c r="AR151" s="92"/>
      <c r="AS151" s="92"/>
      <c r="AT151" s="92"/>
      <c r="AU151" s="92"/>
      <c r="AV151" s="92"/>
      <c r="AX151" s="62">
        <v>1992</v>
      </c>
      <c r="AY151" s="62">
        <v>12</v>
      </c>
    </row>
    <row r="152" spans="1:51" s="1" customFormat="1" ht="16.5" x14ac:dyDescent="0.3">
      <c r="A152" s="92"/>
      <c r="B152" s="92"/>
      <c r="C152" s="92"/>
      <c r="D152" s="92"/>
      <c r="E152" s="92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92"/>
      <c r="Q152" s="92"/>
      <c r="R152" s="92"/>
      <c r="S152" s="92"/>
      <c r="T152" s="92"/>
      <c r="U152" s="92"/>
      <c r="V152" s="92"/>
      <c r="W152" s="92"/>
      <c r="X152" s="92"/>
      <c r="Y152" s="92"/>
      <c r="Z152" s="92"/>
      <c r="AA152" s="92"/>
      <c r="AB152" s="92"/>
      <c r="AC152" s="92"/>
      <c r="AD152" s="92"/>
      <c r="AE152" s="92"/>
      <c r="AF152" s="92"/>
      <c r="AG152" s="92"/>
      <c r="AH152" s="92"/>
      <c r="AI152" s="92"/>
      <c r="AJ152" s="92"/>
      <c r="AK152" s="92"/>
      <c r="AL152" s="92"/>
      <c r="AM152" s="92"/>
      <c r="AN152" s="92"/>
      <c r="AO152" s="92"/>
      <c r="AP152" s="92"/>
      <c r="AQ152" s="92"/>
      <c r="AR152" s="92"/>
      <c r="AS152" s="92"/>
      <c r="AT152" s="92"/>
      <c r="AU152" s="92"/>
      <c r="AV152" s="92"/>
      <c r="AX152" s="62">
        <v>1993</v>
      </c>
      <c r="AY152" s="62">
        <v>5</v>
      </c>
    </row>
    <row r="153" spans="1:51" s="1" customFormat="1" ht="16.5" x14ac:dyDescent="0.3">
      <c r="A153" s="92"/>
      <c r="B153" s="92"/>
      <c r="C153" s="92"/>
      <c r="D153" s="92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  <c r="AA153" s="92"/>
      <c r="AB153" s="92"/>
      <c r="AC153" s="92"/>
      <c r="AD153" s="92"/>
      <c r="AE153" s="92"/>
      <c r="AF153" s="92"/>
      <c r="AG153" s="92"/>
      <c r="AH153" s="92"/>
      <c r="AI153" s="92"/>
      <c r="AJ153" s="92"/>
      <c r="AK153" s="92"/>
      <c r="AL153" s="92"/>
      <c r="AM153" s="92"/>
      <c r="AN153" s="92"/>
      <c r="AO153" s="92"/>
      <c r="AP153" s="92"/>
      <c r="AQ153" s="92"/>
      <c r="AR153" s="92"/>
      <c r="AS153" s="92"/>
      <c r="AT153" s="92"/>
      <c r="AU153" s="92"/>
      <c r="AV153" s="92"/>
      <c r="AX153" s="62">
        <v>1993</v>
      </c>
      <c r="AY153" s="62">
        <v>5</v>
      </c>
    </row>
    <row r="154" spans="1:51" s="1" customFormat="1" ht="16.5" x14ac:dyDescent="0.3">
      <c r="A154" s="92"/>
      <c r="B154" s="92"/>
      <c r="C154" s="92"/>
      <c r="D154" s="92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  <c r="AA154" s="92"/>
      <c r="AB154" s="92"/>
      <c r="AC154" s="92"/>
      <c r="AD154" s="92"/>
      <c r="AE154" s="92"/>
      <c r="AF154" s="92"/>
      <c r="AG154" s="92"/>
      <c r="AH154" s="92"/>
      <c r="AI154" s="92"/>
      <c r="AJ154" s="92"/>
      <c r="AK154" s="92"/>
      <c r="AL154" s="92"/>
      <c r="AM154" s="92"/>
      <c r="AN154" s="92"/>
      <c r="AO154" s="92"/>
      <c r="AP154" s="92"/>
      <c r="AQ154" s="92"/>
      <c r="AR154" s="92"/>
      <c r="AS154" s="92"/>
      <c r="AT154" s="92"/>
      <c r="AU154" s="92"/>
      <c r="AV154" s="92"/>
      <c r="AX154" s="62">
        <v>1997</v>
      </c>
      <c r="AY154" s="62">
        <v>8</v>
      </c>
    </row>
    <row r="155" spans="1:51" s="1" customFormat="1" ht="16.5" x14ac:dyDescent="0.3">
      <c r="A155" s="92"/>
      <c r="B155" s="92"/>
      <c r="C155" s="92"/>
      <c r="D155" s="92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  <c r="AA155" s="92"/>
      <c r="AB155" s="92"/>
      <c r="AC155" s="92"/>
      <c r="AD155" s="92"/>
      <c r="AE155" s="92"/>
      <c r="AF155" s="92"/>
      <c r="AG155" s="92"/>
      <c r="AH155" s="92"/>
      <c r="AI155" s="92"/>
      <c r="AJ155" s="92"/>
      <c r="AK155" s="92"/>
      <c r="AL155" s="92"/>
      <c r="AM155" s="92"/>
      <c r="AN155" s="92"/>
      <c r="AO155" s="92"/>
      <c r="AP155" s="92"/>
      <c r="AQ155" s="92"/>
      <c r="AR155" s="92"/>
      <c r="AS155" s="92"/>
      <c r="AT155" s="92"/>
      <c r="AU155" s="92"/>
      <c r="AV155" s="92"/>
      <c r="AX155" s="62">
        <v>1997</v>
      </c>
      <c r="AY155" s="62">
        <v>8</v>
      </c>
    </row>
    <row r="156" spans="1:51" s="1" customFormat="1" ht="16.5" x14ac:dyDescent="0.3">
      <c r="A156" s="92"/>
      <c r="B156" s="92"/>
      <c r="C156" s="92"/>
      <c r="D156" s="92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  <c r="AA156" s="92"/>
      <c r="AB156" s="92"/>
      <c r="AC156" s="92"/>
      <c r="AD156" s="92"/>
      <c r="AE156" s="92"/>
      <c r="AF156" s="92"/>
      <c r="AG156" s="92"/>
      <c r="AH156" s="92"/>
      <c r="AI156" s="92"/>
      <c r="AJ156" s="92"/>
      <c r="AK156" s="92"/>
      <c r="AL156" s="92"/>
      <c r="AM156" s="92"/>
      <c r="AN156" s="92"/>
      <c r="AO156" s="92"/>
      <c r="AP156" s="92"/>
      <c r="AQ156" s="92"/>
      <c r="AR156" s="92"/>
      <c r="AS156" s="92"/>
      <c r="AT156" s="92"/>
      <c r="AU156" s="92"/>
      <c r="AV156" s="92"/>
      <c r="AX156" s="62">
        <v>1994</v>
      </c>
      <c r="AY156" s="62">
        <v>5</v>
      </c>
    </row>
    <row r="157" spans="1:51" s="1" customFormat="1" ht="16.5" x14ac:dyDescent="0.3">
      <c r="A157" s="92"/>
      <c r="B157" s="92"/>
      <c r="C157" s="92"/>
      <c r="D157" s="92"/>
      <c r="E157" s="92"/>
      <c r="F157" s="92"/>
      <c r="G157" s="92"/>
      <c r="H157" s="92"/>
      <c r="I157" s="92"/>
      <c r="J157" s="92"/>
      <c r="K157" s="92"/>
      <c r="L157" s="92"/>
      <c r="M157" s="92"/>
      <c r="N157" s="92"/>
      <c r="O157" s="92"/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  <c r="AA157" s="92"/>
      <c r="AB157" s="92"/>
      <c r="AC157" s="92"/>
      <c r="AD157" s="92"/>
      <c r="AE157" s="92"/>
      <c r="AF157" s="92"/>
      <c r="AG157" s="92"/>
      <c r="AH157" s="92"/>
      <c r="AI157" s="92"/>
      <c r="AJ157" s="92"/>
      <c r="AK157" s="92"/>
      <c r="AL157" s="92"/>
      <c r="AM157" s="92"/>
      <c r="AN157" s="92"/>
      <c r="AO157" s="92"/>
      <c r="AP157" s="92"/>
      <c r="AQ157" s="92"/>
      <c r="AR157" s="92"/>
      <c r="AS157" s="92"/>
      <c r="AT157" s="92"/>
      <c r="AU157" s="92"/>
      <c r="AV157" s="92"/>
      <c r="AX157" s="62">
        <v>1994</v>
      </c>
      <c r="AY157" s="62">
        <v>2</v>
      </c>
    </row>
    <row r="158" spans="1:51" s="1" customFormat="1" ht="16.5" x14ac:dyDescent="0.3">
      <c r="A158" s="92"/>
      <c r="B158" s="92"/>
      <c r="C158" s="92"/>
      <c r="D158" s="92"/>
      <c r="E158" s="92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  <c r="AA158" s="92"/>
      <c r="AB158" s="92"/>
      <c r="AC158" s="92"/>
      <c r="AD158" s="92"/>
      <c r="AE158" s="92"/>
      <c r="AF158" s="92"/>
      <c r="AG158" s="92"/>
      <c r="AH158" s="92"/>
      <c r="AI158" s="92"/>
      <c r="AJ158" s="92"/>
      <c r="AK158" s="92"/>
      <c r="AL158" s="92"/>
      <c r="AM158" s="92"/>
      <c r="AN158" s="92"/>
      <c r="AO158" s="92"/>
      <c r="AP158" s="92"/>
      <c r="AQ158" s="92"/>
      <c r="AR158" s="92"/>
      <c r="AS158" s="92"/>
      <c r="AT158" s="92"/>
      <c r="AU158" s="92"/>
      <c r="AV158" s="92"/>
      <c r="AX158" s="62">
        <v>1994</v>
      </c>
      <c r="AY158" s="62">
        <v>2</v>
      </c>
    </row>
    <row r="159" spans="1:51" s="1" customFormat="1" ht="16.5" x14ac:dyDescent="0.3">
      <c r="A159" s="92"/>
      <c r="B159" s="92"/>
      <c r="C159" s="92"/>
      <c r="D159" s="92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  <c r="AA159" s="92"/>
      <c r="AB159" s="92"/>
      <c r="AC159" s="92"/>
      <c r="AD159" s="92"/>
      <c r="AE159" s="92"/>
      <c r="AF159" s="92"/>
      <c r="AG159" s="92"/>
      <c r="AH159" s="92"/>
      <c r="AI159" s="92"/>
      <c r="AJ159" s="92"/>
      <c r="AK159" s="92"/>
      <c r="AL159" s="92"/>
      <c r="AM159" s="92"/>
      <c r="AN159" s="92"/>
      <c r="AO159" s="92"/>
      <c r="AP159" s="92"/>
      <c r="AQ159" s="92"/>
      <c r="AR159" s="92"/>
      <c r="AS159" s="92"/>
      <c r="AT159" s="92"/>
      <c r="AU159" s="92"/>
      <c r="AV159" s="92"/>
      <c r="AX159" s="62">
        <v>1994</v>
      </c>
      <c r="AY159" s="62">
        <v>2</v>
      </c>
    </row>
    <row r="160" spans="1:51" s="1" customFormat="1" ht="16.5" x14ac:dyDescent="0.3">
      <c r="A160" s="92"/>
      <c r="B160" s="92"/>
      <c r="C160" s="92"/>
      <c r="D160" s="92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Z160" s="92"/>
      <c r="AA160" s="92"/>
      <c r="AB160" s="92"/>
      <c r="AC160" s="92"/>
      <c r="AD160" s="92"/>
      <c r="AE160" s="92"/>
      <c r="AF160" s="92"/>
      <c r="AG160" s="92"/>
      <c r="AH160" s="92"/>
      <c r="AI160" s="92"/>
      <c r="AJ160" s="92"/>
      <c r="AK160" s="92"/>
      <c r="AL160" s="92"/>
      <c r="AM160" s="92"/>
      <c r="AN160" s="92"/>
      <c r="AO160" s="92"/>
      <c r="AP160" s="92"/>
      <c r="AQ160" s="92"/>
      <c r="AR160" s="92"/>
      <c r="AS160" s="92"/>
      <c r="AT160" s="92"/>
      <c r="AU160" s="92"/>
      <c r="AV160" s="92"/>
      <c r="AX160" s="62">
        <v>1994</v>
      </c>
      <c r="AY160" s="62">
        <v>1</v>
      </c>
    </row>
    <row r="161" spans="1:58" s="1" customFormat="1" ht="16.5" x14ac:dyDescent="0.3">
      <c r="A161" s="92"/>
      <c r="B161" s="92"/>
      <c r="C161" s="92"/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  <c r="AA161" s="92"/>
      <c r="AB161" s="92"/>
      <c r="AC161" s="92"/>
      <c r="AD161" s="92"/>
      <c r="AE161" s="92"/>
      <c r="AF161" s="92"/>
      <c r="AG161" s="92"/>
      <c r="AH161" s="92"/>
      <c r="AI161" s="92"/>
      <c r="AJ161" s="92"/>
      <c r="AK161" s="92"/>
      <c r="AL161" s="92"/>
      <c r="AM161" s="92"/>
      <c r="AN161" s="92"/>
      <c r="AO161" s="92"/>
      <c r="AP161" s="92"/>
      <c r="AQ161" s="92"/>
      <c r="AR161" s="92"/>
      <c r="AS161" s="92"/>
      <c r="AT161" s="92"/>
      <c r="AU161" s="92"/>
      <c r="AV161" s="92"/>
      <c r="AX161" s="62">
        <v>1994</v>
      </c>
      <c r="AY161" s="62">
        <v>1</v>
      </c>
    </row>
    <row r="162" spans="1:58" s="1" customFormat="1" ht="16.5" x14ac:dyDescent="0.3">
      <c r="A162" s="92"/>
      <c r="B162" s="92"/>
      <c r="C162" s="92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  <c r="AB162" s="92"/>
      <c r="AC162" s="92"/>
      <c r="AD162" s="92"/>
      <c r="AE162" s="92"/>
      <c r="AF162" s="92"/>
      <c r="AG162" s="92"/>
      <c r="AH162" s="92"/>
      <c r="AI162" s="92"/>
      <c r="AJ162" s="92"/>
      <c r="AK162" s="92"/>
      <c r="AL162" s="92"/>
      <c r="AM162" s="92"/>
      <c r="AN162" s="92"/>
      <c r="AO162" s="92"/>
      <c r="AP162" s="92"/>
      <c r="AQ162" s="92"/>
      <c r="AR162" s="92"/>
      <c r="AS162" s="92"/>
      <c r="AT162" s="92"/>
      <c r="AU162" s="92"/>
      <c r="AV162" s="92"/>
      <c r="AX162" s="62">
        <v>1994</v>
      </c>
      <c r="AY162" s="62">
        <v>12</v>
      </c>
    </row>
    <row r="163" spans="1:58" s="1" customFormat="1" ht="16.5" x14ac:dyDescent="0.3">
      <c r="A163" s="92"/>
      <c r="B163" s="92"/>
      <c r="C163" s="92"/>
      <c r="D163" s="92"/>
      <c r="E163" s="92"/>
      <c r="F163" s="92"/>
      <c r="G163" s="92"/>
      <c r="H163" s="92"/>
      <c r="I163" s="92"/>
      <c r="J163" s="92"/>
      <c r="K163" s="92"/>
      <c r="L163" s="92"/>
      <c r="M163" s="92"/>
      <c r="N163" s="92"/>
      <c r="O163" s="92"/>
      <c r="P163" s="92"/>
      <c r="Q163" s="92"/>
      <c r="R163" s="92"/>
      <c r="S163" s="92"/>
      <c r="T163" s="92"/>
      <c r="U163" s="92"/>
      <c r="V163" s="92"/>
      <c r="W163" s="92"/>
      <c r="X163" s="92"/>
      <c r="Y163" s="92"/>
      <c r="Z163" s="92"/>
      <c r="AA163" s="92"/>
      <c r="AB163" s="92"/>
      <c r="AC163" s="92"/>
      <c r="AD163" s="92"/>
      <c r="AE163" s="92"/>
      <c r="AF163" s="92"/>
      <c r="AG163" s="92"/>
      <c r="AH163" s="92"/>
      <c r="AI163" s="92"/>
      <c r="AJ163" s="92"/>
      <c r="AK163" s="92"/>
      <c r="AL163" s="92"/>
      <c r="AM163" s="92"/>
      <c r="AN163" s="92"/>
      <c r="AO163" s="92"/>
      <c r="AP163" s="92"/>
      <c r="AQ163" s="92"/>
      <c r="AR163" s="92"/>
      <c r="AS163" s="92"/>
      <c r="AT163" s="92"/>
      <c r="AU163" s="92"/>
      <c r="AV163" s="92"/>
      <c r="AX163" s="62">
        <v>1992</v>
      </c>
      <c r="AY163" s="62">
        <v>6</v>
      </c>
    </row>
    <row r="164" spans="1:58" s="1" customFormat="1" ht="16.5" x14ac:dyDescent="0.3">
      <c r="A164" s="92"/>
      <c r="B164" s="92"/>
      <c r="C164" s="92"/>
      <c r="D164" s="92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  <c r="AA164" s="92"/>
      <c r="AB164" s="92"/>
      <c r="AC164" s="92"/>
      <c r="AD164" s="92"/>
      <c r="AE164" s="92"/>
      <c r="AF164" s="92"/>
      <c r="AG164" s="92"/>
      <c r="AH164" s="92"/>
      <c r="AI164" s="92"/>
      <c r="AJ164" s="92"/>
      <c r="AK164" s="92"/>
      <c r="AL164" s="92"/>
      <c r="AM164" s="92"/>
      <c r="AN164" s="92"/>
      <c r="AO164" s="92"/>
      <c r="AP164" s="92"/>
      <c r="AQ164" s="92"/>
      <c r="AR164" s="92"/>
      <c r="AS164" s="92"/>
      <c r="AT164" s="92"/>
      <c r="AU164" s="92"/>
      <c r="AV164" s="92"/>
      <c r="AX164" s="62">
        <v>1992</v>
      </c>
      <c r="AY164" s="62">
        <v>6</v>
      </c>
    </row>
    <row r="165" spans="1:58" s="1" customFormat="1" ht="16.5" x14ac:dyDescent="0.3">
      <c r="A165" s="92"/>
      <c r="B165" s="92"/>
      <c r="C165" s="92"/>
      <c r="D165" s="92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  <c r="AA165" s="92"/>
      <c r="AB165" s="92"/>
      <c r="AC165" s="92"/>
      <c r="AD165" s="92"/>
      <c r="AE165" s="92"/>
      <c r="AF165" s="92"/>
      <c r="AG165" s="92"/>
      <c r="AH165" s="92"/>
      <c r="AI165" s="92"/>
      <c r="AJ165" s="92"/>
      <c r="AK165" s="92"/>
      <c r="AL165" s="92"/>
      <c r="AM165" s="92"/>
      <c r="AN165" s="92"/>
      <c r="AO165" s="92"/>
      <c r="AP165" s="92"/>
      <c r="AQ165" s="92"/>
      <c r="AR165" s="92"/>
      <c r="AS165" s="92"/>
      <c r="AT165" s="92"/>
      <c r="AU165" s="92"/>
      <c r="AV165" s="92"/>
      <c r="AX165" s="62">
        <v>1992</v>
      </c>
      <c r="AY165" s="62">
        <v>5</v>
      </c>
    </row>
    <row r="166" spans="1:58" s="1" customFormat="1" ht="16.5" x14ac:dyDescent="0.3">
      <c r="A166" s="92"/>
      <c r="B166" s="92"/>
      <c r="C166" s="92"/>
      <c r="D166" s="92"/>
      <c r="E166" s="92"/>
      <c r="F166" s="92"/>
      <c r="G166" s="92"/>
      <c r="H166" s="92"/>
      <c r="I166" s="92"/>
      <c r="J166" s="92"/>
      <c r="K166" s="92"/>
      <c r="L166" s="92"/>
      <c r="M166" s="92"/>
      <c r="N166" s="92"/>
      <c r="O166" s="92"/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  <c r="AA166" s="92"/>
      <c r="AB166" s="92"/>
      <c r="AC166" s="92"/>
      <c r="AD166" s="92"/>
      <c r="AE166" s="92"/>
      <c r="AF166" s="92"/>
      <c r="AG166" s="92"/>
      <c r="AH166" s="92"/>
      <c r="AI166" s="92"/>
      <c r="AJ166" s="92"/>
      <c r="AK166" s="92"/>
      <c r="AL166" s="92"/>
      <c r="AM166" s="92"/>
      <c r="AN166" s="92"/>
      <c r="AO166" s="92"/>
      <c r="AP166" s="92"/>
      <c r="AQ166" s="92"/>
      <c r="AR166" s="92"/>
      <c r="AS166" s="92"/>
      <c r="AT166" s="92"/>
      <c r="AU166" s="92"/>
      <c r="AV166" s="92"/>
      <c r="AX166" s="62">
        <v>1992</v>
      </c>
      <c r="AY166" s="62">
        <v>5</v>
      </c>
    </row>
    <row r="167" spans="1:58" s="1" customFormat="1" ht="16.5" x14ac:dyDescent="0.3">
      <c r="A167" s="92"/>
      <c r="B167" s="92"/>
      <c r="C167" s="92"/>
      <c r="D167" s="92"/>
      <c r="E167" s="92"/>
      <c r="F167" s="92"/>
      <c r="G167" s="92"/>
      <c r="H167" s="92"/>
      <c r="I167" s="92"/>
      <c r="J167" s="92"/>
      <c r="K167" s="92"/>
      <c r="L167" s="92"/>
      <c r="M167" s="92"/>
      <c r="N167" s="92"/>
      <c r="O167" s="92"/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  <c r="AA167" s="92"/>
      <c r="AB167" s="92"/>
      <c r="AC167" s="92"/>
      <c r="AD167" s="92"/>
      <c r="AE167" s="92"/>
      <c r="AF167" s="92"/>
      <c r="AG167" s="92"/>
      <c r="AH167" s="92"/>
      <c r="AI167" s="92"/>
      <c r="AJ167" s="92"/>
      <c r="AK167" s="92"/>
      <c r="AL167" s="92"/>
      <c r="AM167" s="92"/>
      <c r="AN167" s="92"/>
      <c r="AO167" s="92"/>
      <c r="AP167" s="92"/>
      <c r="AQ167" s="92"/>
      <c r="AR167" s="92"/>
      <c r="AS167" s="92"/>
      <c r="AT167" s="92"/>
      <c r="AU167" s="92"/>
      <c r="AV167" s="92"/>
      <c r="AX167" s="62">
        <v>1994</v>
      </c>
      <c r="AY167" s="62">
        <v>3</v>
      </c>
    </row>
    <row r="168" spans="1:58" s="1" customFormat="1" ht="16.5" x14ac:dyDescent="0.3">
      <c r="A168" s="92"/>
      <c r="B168" s="92"/>
      <c r="C168" s="92"/>
      <c r="D168" s="92"/>
      <c r="E168" s="92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  <c r="AA168" s="92"/>
      <c r="AB168" s="92"/>
      <c r="AC168" s="92"/>
      <c r="AD168" s="92"/>
      <c r="AE168" s="92"/>
      <c r="AF168" s="92"/>
      <c r="AG168" s="92"/>
      <c r="AH168" s="92"/>
      <c r="AI168" s="92"/>
      <c r="AJ168" s="92"/>
      <c r="AK168" s="92"/>
      <c r="AL168" s="92"/>
      <c r="AM168" s="92"/>
      <c r="AN168" s="92"/>
      <c r="AO168" s="92"/>
      <c r="AP168" s="92"/>
      <c r="AQ168" s="92"/>
      <c r="AR168" s="92"/>
      <c r="AS168" s="92"/>
      <c r="AT168" s="92"/>
      <c r="AU168" s="92"/>
      <c r="AV168" s="92"/>
      <c r="AX168" s="62">
        <v>1992</v>
      </c>
      <c r="AY168" s="62">
        <v>6</v>
      </c>
    </row>
    <row r="169" spans="1:58" s="1" customFormat="1" ht="16.5" x14ac:dyDescent="0.3">
      <c r="A169" s="92"/>
      <c r="B169" s="92"/>
      <c r="C169" s="92"/>
      <c r="D169" s="92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  <c r="AA169" s="92"/>
      <c r="AB169" s="92"/>
      <c r="AC169" s="92"/>
      <c r="AD169" s="92"/>
      <c r="AE169" s="92"/>
      <c r="AF169" s="92"/>
      <c r="AG169" s="92"/>
      <c r="AH169" s="92"/>
      <c r="AI169" s="92"/>
      <c r="AJ169" s="92"/>
      <c r="AK169" s="92"/>
      <c r="AL169" s="92"/>
      <c r="AM169" s="92"/>
      <c r="AN169" s="92"/>
      <c r="AO169" s="92"/>
      <c r="AP169" s="92"/>
      <c r="AQ169" s="92"/>
      <c r="AR169" s="92"/>
      <c r="AS169" s="92"/>
      <c r="AT169" s="92"/>
      <c r="AU169" s="92"/>
      <c r="AV169" s="92"/>
      <c r="AX169" s="62">
        <v>1992</v>
      </c>
      <c r="AY169" s="62">
        <v>6</v>
      </c>
    </row>
    <row r="170" spans="1:58" s="1" customFormat="1" ht="16.5" x14ac:dyDescent="0.3">
      <c r="A170" s="92"/>
      <c r="B170" s="92"/>
      <c r="C170" s="92"/>
      <c r="D170" s="92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  <c r="AA170" s="92"/>
      <c r="AB170" s="92"/>
      <c r="AC170" s="92"/>
      <c r="AD170" s="92"/>
      <c r="AE170" s="92"/>
      <c r="AF170" s="92"/>
      <c r="AG170" s="92"/>
      <c r="AH170" s="92"/>
      <c r="AI170" s="92"/>
      <c r="AJ170" s="92"/>
      <c r="AK170" s="92"/>
      <c r="AL170" s="92"/>
      <c r="AM170" s="92"/>
      <c r="AN170" s="92"/>
      <c r="AO170" s="92"/>
      <c r="AP170" s="92"/>
      <c r="AQ170" s="92"/>
      <c r="AR170" s="92"/>
      <c r="AS170" s="92"/>
      <c r="AT170" s="92"/>
      <c r="AU170" s="92"/>
      <c r="AV170" s="92"/>
      <c r="AX170" s="62">
        <v>1992</v>
      </c>
      <c r="AY170" s="62">
        <v>7</v>
      </c>
    </row>
    <row r="171" spans="1:58" s="1" customFormat="1" ht="16.5" x14ac:dyDescent="0.3">
      <c r="A171" s="92"/>
      <c r="B171" s="92"/>
      <c r="C171" s="92"/>
      <c r="D171" s="92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  <c r="AA171" s="92"/>
      <c r="AB171" s="92"/>
      <c r="AC171" s="92"/>
      <c r="AD171" s="92"/>
      <c r="AE171" s="92"/>
      <c r="AF171" s="92"/>
      <c r="AG171" s="92"/>
      <c r="AH171" s="92"/>
      <c r="AI171" s="92"/>
      <c r="AJ171" s="92"/>
      <c r="AK171" s="92"/>
      <c r="AL171" s="92"/>
      <c r="AM171" s="92"/>
      <c r="AN171" s="92"/>
      <c r="AO171" s="92"/>
      <c r="AP171" s="92"/>
      <c r="AQ171" s="92"/>
      <c r="AR171" s="92"/>
      <c r="AS171" s="92"/>
      <c r="AT171" s="92"/>
      <c r="AU171" s="92"/>
      <c r="AV171" s="92"/>
      <c r="AX171" s="62">
        <v>1993</v>
      </c>
      <c r="AY171" s="62">
        <v>11</v>
      </c>
      <c r="AZ171" s="62"/>
      <c r="BA171" s="113" t="s">
        <v>48</v>
      </c>
      <c r="BB171" s="114">
        <v>0</v>
      </c>
      <c r="BC171" s="114">
        <v>0</v>
      </c>
      <c r="BD171" s="114">
        <v>0</v>
      </c>
      <c r="BE171" s="114">
        <v>0</v>
      </c>
      <c r="BF171" s="114">
        <v>0</v>
      </c>
    </row>
    <row r="172" spans="1:58" s="1" customFormat="1" ht="16.5" x14ac:dyDescent="0.3">
      <c r="A172" s="92"/>
      <c r="B172" s="92"/>
      <c r="C172" s="92"/>
      <c r="D172" s="92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  <c r="AA172" s="92"/>
      <c r="AB172" s="92"/>
      <c r="AC172" s="92"/>
      <c r="AD172" s="92"/>
      <c r="AE172" s="92"/>
      <c r="AF172" s="92"/>
      <c r="AG172" s="92"/>
      <c r="AH172" s="92"/>
      <c r="AI172" s="92"/>
      <c r="AJ172" s="92"/>
      <c r="AK172" s="92"/>
      <c r="AL172" s="92"/>
      <c r="AM172" s="92"/>
      <c r="AN172" s="92"/>
      <c r="AO172" s="92"/>
      <c r="AP172" s="92"/>
      <c r="AQ172" s="92"/>
      <c r="AR172" s="92"/>
      <c r="AS172" s="92"/>
      <c r="AT172" s="92"/>
      <c r="AU172" s="92"/>
      <c r="AV172" s="92"/>
      <c r="AX172" s="62">
        <v>1993</v>
      </c>
      <c r="AY172" s="62">
        <v>11</v>
      </c>
      <c r="AZ172" s="62"/>
      <c r="BA172" s="113" t="s">
        <v>49</v>
      </c>
      <c r="BB172" s="114">
        <v>0</v>
      </c>
      <c r="BC172" s="114">
        <v>0</v>
      </c>
      <c r="BD172" s="114">
        <v>0</v>
      </c>
      <c r="BE172" s="114">
        <v>0</v>
      </c>
      <c r="BF172" s="114">
        <v>0</v>
      </c>
    </row>
    <row r="173" spans="1:58" s="1" customFormat="1" ht="16.5" x14ac:dyDescent="0.3">
      <c r="A173" s="92"/>
      <c r="B173" s="92"/>
      <c r="C173" s="92"/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  <c r="AA173" s="92"/>
      <c r="AB173" s="92"/>
      <c r="AC173" s="92"/>
      <c r="AD173" s="92"/>
      <c r="AE173" s="92"/>
      <c r="AF173" s="92"/>
      <c r="AG173" s="92"/>
      <c r="AH173" s="92"/>
      <c r="AI173" s="92"/>
      <c r="AJ173" s="92"/>
      <c r="AK173" s="92"/>
      <c r="AL173" s="92"/>
      <c r="AM173" s="92"/>
      <c r="AN173" s="92"/>
      <c r="AO173" s="92"/>
      <c r="AP173" s="92"/>
      <c r="AQ173" s="92"/>
      <c r="AR173" s="92"/>
      <c r="AS173" s="92"/>
      <c r="AT173" s="92"/>
      <c r="AU173" s="92"/>
      <c r="AV173" s="92"/>
      <c r="AX173" s="62">
        <v>1993</v>
      </c>
      <c r="AY173" s="62">
        <v>11</v>
      </c>
      <c r="AZ173" s="62"/>
      <c r="BA173" s="115" t="s">
        <v>50</v>
      </c>
      <c r="BB173" s="116">
        <v>0</v>
      </c>
      <c r="BC173" s="116">
        <v>0</v>
      </c>
      <c r="BD173" s="116">
        <v>0</v>
      </c>
      <c r="BE173" s="116">
        <v>0</v>
      </c>
      <c r="BF173" s="116">
        <v>0</v>
      </c>
    </row>
    <row r="174" spans="1:58" s="1" customFormat="1" ht="16.5" x14ac:dyDescent="0.3">
      <c r="A174" s="92"/>
      <c r="B174" s="92"/>
      <c r="C174" s="9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  <c r="AA174" s="92"/>
      <c r="AB174" s="92"/>
      <c r="AC174" s="92"/>
      <c r="AD174" s="92"/>
      <c r="AE174" s="92"/>
      <c r="AF174" s="92"/>
      <c r="AG174" s="92"/>
      <c r="AH174" s="92"/>
      <c r="AI174" s="92"/>
      <c r="AJ174" s="92"/>
      <c r="AK174" s="92"/>
      <c r="AL174" s="92"/>
      <c r="AM174" s="92"/>
      <c r="AN174" s="92"/>
      <c r="AO174" s="92"/>
      <c r="AP174" s="92"/>
      <c r="AQ174" s="92"/>
      <c r="AR174" s="92"/>
      <c r="AS174" s="92"/>
      <c r="AT174" s="92"/>
      <c r="AU174" s="92"/>
      <c r="AV174" s="92"/>
      <c r="AX174" s="62">
        <v>1993</v>
      </c>
      <c r="AY174" s="62">
        <v>11</v>
      </c>
      <c r="AZ174" s="62"/>
      <c r="BA174" s="113" t="s">
        <v>52</v>
      </c>
      <c r="BB174" s="114">
        <v>0</v>
      </c>
      <c r="BC174" s="114">
        <v>0</v>
      </c>
      <c r="BD174" s="114">
        <v>0</v>
      </c>
      <c r="BE174" s="114">
        <v>0</v>
      </c>
      <c r="BF174" s="114">
        <v>0</v>
      </c>
    </row>
    <row r="175" spans="1:58" s="1" customFormat="1" ht="16.5" x14ac:dyDescent="0.3">
      <c r="A175" s="92"/>
      <c r="B175" s="92"/>
      <c r="C175" s="9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  <c r="AA175" s="92"/>
      <c r="AB175" s="92"/>
      <c r="AC175" s="92"/>
      <c r="AD175" s="92"/>
      <c r="AE175" s="92"/>
      <c r="AF175" s="92"/>
      <c r="AG175" s="92"/>
      <c r="AH175" s="92"/>
      <c r="AI175" s="92"/>
      <c r="AJ175" s="92"/>
      <c r="AK175" s="92"/>
      <c r="AL175" s="92"/>
      <c r="AM175" s="92"/>
      <c r="AN175" s="92"/>
      <c r="AO175" s="92"/>
      <c r="AP175" s="92"/>
      <c r="AQ175" s="92"/>
      <c r="AR175" s="92"/>
      <c r="AS175" s="92"/>
      <c r="AT175" s="92"/>
      <c r="AU175" s="92"/>
      <c r="AV175" s="92"/>
      <c r="AX175" s="62">
        <v>1995</v>
      </c>
      <c r="AY175" s="62">
        <v>12</v>
      </c>
      <c r="AZ175" s="62"/>
      <c r="BA175" s="113"/>
      <c r="BB175" s="113" t="s">
        <v>55</v>
      </c>
      <c r="BC175" s="113" t="s">
        <v>53</v>
      </c>
      <c r="BD175" s="113" t="s">
        <v>54</v>
      </c>
      <c r="BE175" s="113" t="s">
        <v>51</v>
      </c>
      <c r="BF175" s="113" t="s">
        <v>52</v>
      </c>
    </row>
    <row r="176" spans="1:58" s="1" customFormat="1" ht="16.5" x14ac:dyDescent="0.3">
      <c r="A176" s="92"/>
      <c r="B176" s="92"/>
      <c r="C176" s="92"/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  <c r="AA176" s="92"/>
      <c r="AB176" s="92"/>
      <c r="AC176" s="92"/>
      <c r="AD176" s="92"/>
      <c r="AE176" s="92"/>
      <c r="AF176" s="92"/>
      <c r="AG176" s="92"/>
      <c r="AH176" s="92"/>
      <c r="AI176" s="92"/>
      <c r="AJ176" s="92"/>
      <c r="AK176" s="92"/>
      <c r="AL176" s="92"/>
      <c r="AM176" s="92"/>
      <c r="AN176" s="92"/>
      <c r="AO176" s="92"/>
      <c r="AP176" s="92"/>
      <c r="AQ176" s="92"/>
      <c r="AR176" s="92"/>
      <c r="AS176" s="92"/>
      <c r="AT176" s="92"/>
      <c r="AU176" s="92"/>
      <c r="AV176" s="92"/>
      <c r="AX176" s="62">
        <v>1995</v>
      </c>
      <c r="AY176" s="62">
        <v>12</v>
      </c>
      <c r="BA176" s="113" t="s">
        <v>48</v>
      </c>
      <c r="BB176" s="117" t="e">
        <v>#DIV/0!</v>
      </c>
      <c r="BC176" s="117" t="e">
        <v>#DIV/0!</v>
      </c>
      <c r="BD176" s="117" t="e">
        <v>#DIV/0!</v>
      </c>
      <c r="BE176" s="117" t="e">
        <v>#DIV/0!</v>
      </c>
      <c r="BF176" s="117" t="e">
        <v>#DIV/0!</v>
      </c>
    </row>
    <row r="177" spans="1:58" s="1" customFormat="1" ht="16.5" x14ac:dyDescent="0.3">
      <c r="A177" s="92"/>
      <c r="B177" s="92"/>
      <c r="C177" s="92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  <c r="AA177" s="92"/>
      <c r="AB177" s="92"/>
      <c r="AC177" s="92"/>
      <c r="AD177" s="92"/>
      <c r="AE177" s="92"/>
      <c r="AF177" s="92"/>
      <c r="AG177" s="92"/>
      <c r="AH177" s="92"/>
      <c r="AI177" s="92"/>
      <c r="AJ177" s="92"/>
      <c r="AK177" s="92"/>
      <c r="AL177" s="92"/>
      <c r="AM177" s="92"/>
      <c r="AN177" s="92"/>
      <c r="AO177" s="92"/>
      <c r="AP177" s="92"/>
      <c r="AQ177" s="92"/>
      <c r="AR177" s="92"/>
      <c r="AS177" s="92"/>
      <c r="AT177" s="92"/>
      <c r="AU177" s="92"/>
      <c r="AV177" s="92"/>
      <c r="AX177" s="62">
        <v>1997</v>
      </c>
      <c r="AY177" s="62">
        <v>5</v>
      </c>
      <c r="BA177" s="115" t="s">
        <v>50</v>
      </c>
      <c r="BB177" s="118" t="e">
        <v>#DIV/0!</v>
      </c>
      <c r="BC177" s="118" t="e">
        <v>#DIV/0!</v>
      </c>
      <c r="BD177" s="118" t="e">
        <v>#DIV/0!</v>
      </c>
      <c r="BE177" s="118" t="e">
        <v>#DIV/0!</v>
      </c>
      <c r="BF177" s="118" t="e">
        <v>#DIV/0!</v>
      </c>
    </row>
    <row r="178" spans="1:58" s="1" customFormat="1" ht="16.5" x14ac:dyDescent="0.3">
      <c r="A178" s="92"/>
      <c r="B178" s="92"/>
      <c r="C178" s="92"/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  <c r="AA178" s="92"/>
      <c r="AB178" s="92"/>
      <c r="AC178" s="92"/>
      <c r="AD178" s="92"/>
      <c r="AE178" s="92"/>
      <c r="AF178" s="92"/>
      <c r="AG178" s="92"/>
      <c r="AH178" s="92"/>
      <c r="AI178" s="92"/>
      <c r="AJ178" s="92"/>
      <c r="AK178" s="92"/>
      <c r="AL178" s="92"/>
      <c r="AM178" s="92"/>
      <c r="AN178" s="92"/>
      <c r="AO178" s="92"/>
      <c r="AP178" s="92"/>
      <c r="AQ178" s="92"/>
      <c r="AR178" s="92"/>
      <c r="AS178" s="92"/>
      <c r="AT178" s="92"/>
      <c r="AU178" s="92"/>
      <c r="AV178" s="92"/>
      <c r="AX178" s="62">
        <v>1997</v>
      </c>
      <c r="AY178" s="62">
        <v>5</v>
      </c>
      <c r="BA178" s="113" t="s">
        <v>52</v>
      </c>
      <c r="BB178" s="117" t="e">
        <v>#DIV/0!</v>
      </c>
      <c r="BC178" s="117" t="e">
        <v>#DIV/0!</v>
      </c>
      <c r="BD178" s="117" t="e">
        <v>#DIV/0!</v>
      </c>
      <c r="BE178" s="117" t="e">
        <v>#DIV/0!</v>
      </c>
      <c r="BF178" s="117" t="e">
        <v>#DIV/0!</v>
      </c>
    </row>
    <row r="179" spans="1:58" s="1" customFormat="1" ht="16.5" x14ac:dyDescent="0.3">
      <c r="A179" s="92"/>
      <c r="B179" s="92"/>
      <c r="C179" s="92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  <c r="AA179" s="92"/>
      <c r="AB179" s="92"/>
      <c r="AC179" s="92"/>
      <c r="AD179" s="92"/>
      <c r="AE179" s="92"/>
      <c r="AF179" s="92"/>
      <c r="AG179" s="92"/>
      <c r="AH179" s="92"/>
      <c r="AI179" s="92"/>
      <c r="AJ179" s="92"/>
      <c r="AK179" s="92"/>
      <c r="AL179" s="92"/>
      <c r="AM179" s="92"/>
      <c r="AN179" s="92"/>
      <c r="AO179" s="92"/>
      <c r="AP179" s="92"/>
      <c r="AQ179" s="92"/>
      <c r="AR179" s="92"/>
      <c r="AS179" s="92"/>
      <c r="AT179" s="92"/>
      <c r="AU179" s="92"/>
      <c r="AV179" s="92"/>
      <c r="AX179" s="62">
        <v>1994</v>
      </c>
      <c r="AY179" s="62">
        <v>12</v>
      </c>
    </row>
    <row r="180" spans="1:58" s="1" customFormat="1" ht="16.5" x14ac:dyDescent="0.3">
      <c r="A180" s="92"/>
      <c r="B180" s="92"/>
      <c r="C180" s="9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  <c r="AA180" s="92"/>
      <c r="AB180" s="92"/>
      <c r="AC180" s="92"/>
      <c r="AD180" s="92"/>
      <c r="AE180" s="92"/>
      <c r="AF180" s="92"/>
      <c r="AG180" s="92"/>
      <c r="AH180" s="92"/>
      <c r="AI180" s="92"/>
      <c r="AJ180" s="92"/>
      <c r="AK180" s="92"/>
      <c r="AL180" s="92"/>
      <c r="AM180" s="92"/>
      <c r="AN180" s="92"/>
      <c r="AO180" s="92"/>
      <c r="AP180" s="92"/>
      <c r="AQ180" s="92"/>
      <c r="AR180" s="92"/>
      <c r="AS180" s="92"/>
      <c r="AT180" s="92"/>
      <c r="AU180" s="92"/>
      <c r="AV180" s="92"/>
      <c r="AX180" s="62">
        <v>1994</v>
      </c>
      <c r="AY180" s="62">
        <v>12</v>
      </c>
    </row>
    <row r="181" spans="1:58" s="1" customFormat="1" ht="16.5" x14ac:dyDescent="0.3">
      <c r="A181" s="92"/>
      <c r="B181" s="92"/>
      <c r="C181" s="92"/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  <c r="AA181" s="92"/>
      <c r="AB181" s="92"/>
      <c r="AC181" s="92"/>
      <c r="AD181" s="92"/>
      <c r="AE181" s="92"/>
      <c r="AF181" s="92"/>
      <c r="AG181" s="92"/>
      <c r="AH181" s="92"/>
      <c r="AI181" s="92"/>
      <c r="AJ181" s="92"/>
      <c r="AK181" s="92"/>
      <c r="AL181" s="92"/>
      <c r="AM181" s="92"/>
      <c r="AN181" s="92"/>
      <c r="AO181" s="92"/>
      <c r="AP181" s="92"/>
      <c r="AQ181" s="92"/>
      <c r="AR181" s="92"/>
      <c r="AS181" s="92"/>
      <c r="AT181" s="92"/>
      <c r="AU181" s="92"/>
      <c r="AV181" s="92"/>
      <c r="AX181" s="62">
        <v>1994</v>
      </c>
      <c r="AY181" s="62">
        <v>12</v>
      </c>
    </row>
    <row r="182" spans="1:58" s="1" customFormat="1" ht="16.5" x14ac:dyDescent="0.3">
      <c r="A182" s="92"/>
      <c r="B182" s="92"/>
      <c r="C182" s="92"/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X182" s="92"/>
      <c r="Y182" s="92"/>
      <c r="Z182" s="92"/>
      <c r="AA182" s="92"/>
      <c r="AB182" s="92"/>
      <c r="AC182" s="92"/>
      <c r="AD182" s="92"/>
      <c r="AE182" s="92"/>
      <c r="AF182" s="92"/>
      <c r="AG182" s="92"/>
      <c r="AH182" s="92"/>
      <c r="AI182" s="92"/>
      <c r="AJ182" s="92"/>
      <c r="AK182" s="92"/>
      <c r="AL182" s="92"/>
      <c r="AM182" s="92"/>
      <c r="AN182" s="92"/>
      <c r="AO182" s="92"/>
      <c r="AP182" s="92"/>
      <c r="AQ182" s="92"/>
      <c r="AR182" s="92"/>
      <c r="AS182" s="92"/>
      <c r="AT182" s="92"/>
      <c r="AU182" s="92"/>
      <c r="AV182" s="92"/>
      <c r="AX182" s="62">
        <v>1994</v>
      </c>
      <c r="AY182" s="62">
        <v>12</v>
      </c>
    </row>
    <row r="183" spans="1:58" s="1" customFormat="1" ht="16.5" x14ac:dyDescent="0.3">
      <c r="A183" s="92"/>
      <c r="B183" s="92"/>
      <c r="C183" s="92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  <c r="AA183" s="92"/>
      <c r="AB183" s="92"/>
      <c r="AC183" s="92"/>
      <c r="AD183" s="92"/>
      <c r="AE183" s="92"/>
      <c r="AF183" s="92"/>
      <c r="AG183" s="92"/>
      <c r="AH183" s="92"/>
      <c r="AI183" s="92"/>
      <c r="AJ183" s="92"/>
      <c r="AK183" s="92"/>
      <c r="AL183" s="92"/>
      <c r="AM183" s="92"/>
      <c r="AN183" s="92"/>
      <c r="AO183" s="92"/>
      <c r="AP183" s="92"/>
      <c r="AQ183" s="92"/>
      <c r="AR183" s="92"/>
      <c r="AS183" s="92"/>
      <c r="AT183" s="92"/>
      <c r="AU183" s="92"/>
      <c r="AV183" s="92"/>
      <c r="AX183" s="62">
        <v>1997</v>
      </c>
      <c r="AY183" s="62">
        <v>7</v>
      </c>
    </row>
    <row r="184" spans="1:58" s="1" customFormat="1" ht="16.5" x14ac:dyDescent="0.3">
      <c r="A184" s="92"/>
      <c r="B184" s="92"/>
      <c r="C184" s="92"/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Z184" s="92"/>
      <c r="AA184" s="92"/>
      <c r="AB184" s="92"/>
      <c r="AC184" s="92"/>
      <c r="AD184" s="92"/>
      <c r="AE184" s="92"/>
      <c r="AF184" s="92"/>
      <c r="AG184" s="92"/>
      <c r="AH184" s="92"/>
      <c r="AI184" s="92"/>
      <c r="AJ184" s="92"/>
      <c r="AK184" s="92"/>
      <c r="AL184" s="92"/>
      <c r="AM184" s="92"/>
      <c r="AN184" s="92"/>
      <c r="AO184" s="92"/>
      <c r="AP184" s="92"/>
      <c r="AQ184" s="92"/>
      <c r="AR184" s="92"/>
      <c r="AS184" s="92"/>
      <c r="AT184" s="92"/>
      <c r="AU184" s="92"/>
      <c r="AV184" s="92"/>
      <c r="AX184" s="62">
        <v>1997</v>
      </c>
      <c r="AY184" s="62">
        <v>7</v>
      </c>
    </row>
    <row r="185" spans="1:58" s="1" customFormat="1" ht="16.5" x14ac:dyDescent="0.3">
      <c r="A185" s="92"/>
      <c r="B185" s="92"/>
      <c r="C185" s="92"/>
      <c r="D185" s="92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  <c r="AA185" s="92"/>
      <c r="AB185" s="92"/>
      <c r="AC185" s="92"/>
      <c r="AD185" s="92"/>
      <c r="AE185" s="92"/>
      <c r="AF185" s="92"/>
      <c r="AG185" s="92"/>
      <c r="AH185" s="92"/>
      <c r="AI185" s="92"/>
      <c r="AJ185" s="92"/>
      <c r="AK185" s="92"/>
      <c r="AL185" s="92"/>
      <c r="AM185" s="92"/>
      <c r="AN185" s="92"/>
      <c r="AO185" s="92"/>
      <c r="AP185" s="92"/>
      <c r="AQ185" s="92"/>
      <c r="AR185" s="92"/>
      <c r="AS185" s="92"/>
      <c r="AT185" s="92"/>
      <c r="AU185" s="92"/>
      <c r="AV185" s="92"/>
      <c r="AX185" s="62">
        <v>1996</v>
      </c>
      <c r="AY185" s="62">
        <v>3</v>
      </c>
    </row>
    <row r="186" spans="1:58" s="1" customFormat="1" ht="16.5" x14ac:dyDescent="0.3">
      <c r="A186" s="92"/>
      <c r="B186" s="92"/>
      <c r="C186" s="92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  <c r="AA186" s="92"/>
      <c r="AB186" s="92"/>
      <c r="AC186" s="92"/>
      <c r="AD186" s="92"/>
      <c r="AE186" s="92"/>
      <c r="AF186" s="92"/>
      <c r="AG186" s="92"/>
      <c r="AH186" s="92"/>
      <c r="AI186" s="92"/>
      <c r="AJ186" s="92"/>
      <c r="AK186" s="92"/>
      <c r="AL186" s="92"/>
      <c r="AM186" s="92"/>
      <c r="AN186" s="92"/>
      <c r="AO186" s="92"/>
      <c r="AP186" s="92"/>
      <c r="AQ186" s="92"/>
      <c r="AR186" s="92"/>
      <c r="AS186" s="92"/>
      <c r="AT186" s="92"/>
      <c r="AU186" s="92"/>
      <c r="AV186" s="92"/>
      <c r="AX186" s="62">
        <v>1996</v>
      </c>
      <c r="AY186" s="62">
        <v>3</v>
      </c>
    </row>
    <row r="187" spans="1:58" s="1" customFormat="1" ht="16.5" x14ac:dyDescent="0.3">
      <c r="A187" s="92"/>
      <c r="B187" s="92"/>
      <c r="C187" s="92"/>
      <c r="D187" s="92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X187" s="92"/>
      <c r="Y187" s="92"/>
      <c r="Z187" s="92"/>
      <c r="AA187" s="92"/>
      <c r="AB187" s="92"/>
      <c r="AC187" s="92"/>
      <c r="AD187" s="92"/>
      <c r="AE187" s="92"/>
      <c r="AF187" s="92"/>
      <c r="AG187" s="92"/>
      <c r="AH187" s="92"/>
      <c r="AI187" s="92"/>
      <c r="AJ187" s="92"/>
      <c r="AK187" s="92"/>
      <c r="AL187" s="92"/>
      <c r="AM187" s="92"/>
      <c r="AN187" s="92"/>
      <c r="AO187" s="92"/>
      <c r="AP187" s="92"/>
      <c r="AQ187" s="92"/>
      <c r="AR187" s="92"/>
      <c r="AS187" s="92"/>
      <c r="AT187" s="92"/>
      <c r="AU187" s="92"/>
      <c r="AV187" s="92"/>
      <c r="AX187" s="62">
        <v>1995</v>
      </c>
      <c r="AY187" s="62">
        <v>1</v>
      </c>
    </row>
    <row r="188" spans="1:58" s="1" customFormat="1" ht="16.5" x14ac:dyDescent="0.3">
      <c r="A188" s="92"/>
      <c r="B188" s="92"/>
      <c r="C188" s="92"/>
      <c r="D188" s="92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  <c r="R188" s="92"/>
      <c r="S188" s="92"/>
      <c r="T188" s="92"/>
      <c r="U188" s="92"/>
      <c r="V188" s="92"/>
      <c r="W188" s="92"/>
      <c r="X188" s="92"/>
      <c r="Y188" s="92"/>
      <c r="Z188" s="92"/>
      <c r="AA188" s="92"/>
      <c r="AB188" s="92"/>
      <c r="AC188" s="92"/>
      <c r="AD188" s="92"/>
      <c r="AE188" s="92"/>
      <c r="AF188" s="92"/>
      <c r="AG188" s="92"/>
      <c r="AH188" s="92"/>
      <c r="AI188" s="92"/>
      <c r="AJ188" s="92"/>
      <c r="AK188" s="92"/>
      <c r="AL188" s="92"/>
      <c r="AM188" s="92"/>
      <c r="AN188" s="92"/>
      <c r="AO188" s="92"/>
      <c r="AP188" s="92"/>
      <c r="AQ188" s="92"/>
      <c r="AR188" s="92"/>
      <c r="AS188" s="92"/>
      <c r="AT188" s="92"/>
      <c r="AU188" s="92"/>
      <c r="AV188" s="92"/>
      <c r="AX188" s="62">
        <v>1995</v>
      </c>
      <c r="AY188" s="62">
        <v>1</v>
      </c>
    </row>
    <row r="189" spans="1:58" s="1" customFormat="1" ht="16.5" x14ac:dyDescent="0.3">
      <c r="A189" s="92"/>
      <c r="B189" s="92"/>
      <c r="C189" s="92"/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  <c r="AA189" s="92"/>
      <c r="AB189" s="92"/>
      <c r="AC189" s="92"/>
      <c r="AD189" s="92"/>
      <c r="AE189" s="92"/>
      <c r="AF189" s="92"/>
      <c r="AG189" s="92"/>
      <c r="AH189" s="92"/>
      <c r="AI189" s="92"/>
      <c r="AJ189" s="92"/>
      <c r="AK189" s="92"/>
      <c r="AL189" s="92"/>
      <c r="AM189" s="92"/>
      <c r="AN189" s="92"/>
      <c r="AO189" s="92"/>
      <c r="AP189" s="92"/>
      <c r="AQ189" s="92"/>
      <c r="AR189" s="92"/>
      <c r="AS189" s="92"/>
      <c r="AT189" s="92"/>
      <c r="AU189" s="92"/>
      <c r="AV189" s="92"/>
      <c r="AX189" s="62">
        <v>1995</v>
      </c>
      <c r="AY189" s="62">
        <v>1</v>
      </c>
    </row>
    <row r="190" spans="1:58" s="1" customFormat="1" ht="16.5" x14ac:dyDescent="0.3">
      <c r="A190" s="92"/>
      <c r="B190" s="92"/>
      <c r="C190" s="92"/>
      <c r="D190" s="92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  <c r="S190" s="92"/>
      <c r="T190" s="92"/>
      <c r="U190" s="92"/>
      <c r="V190" s="92"/>
      <c r="W190" s="92"/>
      <c r="X190" s="92"/>
      <c r="Y190" s="92"/>
      <c r="Z190" s="92"/>
      <c r="AA190" s="92"/>
      <c r="AB190" s="92"/>
      <c r="AC190" s="92"/>
      <c r="AD190" s="92"/>
      <c r="AE190" s="92"/>
      <c r="AF190" s="92"/>
      <c r="AG190" s="92"/>
      <c r="AH190" s="92"/>
      <c r="AI190" s="92"/>
      <c r="AJ190" s="92"/>
      <c r="AK190" s="92"/>
      <c r="AL190" s="92"/>
      <c r="AM190" s="92"/>
      <c r="AN190" s="92"/>
      <c r="AO190" s="92"/>
      <c r="AP190" s="92"/>
      <c r="AQ190" s="92"/>
      <c r="AR190" s="92"/>
      <c r="AS190" s="92"/>
      <c r="AT190" s="92"/>
      <c r="AU190" s="92"/>
      <c r="AV190" s="92"/>
      <c r="AX190" s="62">
        <v>1998</v>
      </c>
      <c r="AY190" s="62">
        <v>8</v>
      </c>
    </row>
    <row r="191" spans="1:58" s="1" customFormat="1" ht="16.5" x14ac:dyDescent="0.3">
      <c r="A191" s="92"/>
      <c r="B191" s="92"/>
      <c r="C191" s="92"/>
      <c r="D191" s="92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  <c r="AA191" s="92"/>
      <c r="AB191" s="92"/>
      <c r="AC191" s="92"/>
      <c r="AD191" s="92"/>
      <c r="AE191" s="92"/>
      <c r="AF191" s="92"/>
      <c r="AG191" s="92"/>
      <c r="AH191" s="92"/>
      <c r="AI191" s="92"/>
      <c r="AJ191" s="92"/>
      <c r="AK191" s="92"/>
      <c r="AL191" s="92"/>
      <c r="AM191" s="92"/>
      <c r="AN191" s="92"/>
      <c r="AO191" s="92"/>
      <c r="AP191" s="92"/>
      <c r="AQ191" s="92"/>
      <c r="AR191" s="92"/>
      <c r="AS191" s="92"/>
      <c r="AT191" s="92"/>
      <c r="AU191" s="92"/>
      <c r="AV191" s="92"/>
      <c r="AX191" s="62">
        <v>1998</v>
      </c>
      <c r="AY191" s="62">
        <v>8</v>
      </c>
    </row>
    <row r="192" spans="1:58" s="1" customFormat="1" ht="16.5" x14ac:dyDescent="0.3">
      <c r="A192" s="92"/>
      <c r="B192" s="92"/>
      <c r="C192" s="92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  <c r="AA192" s="92"/>
      <c r="AB192" s="92"/>
      <c r="AC192" s="92"/>
      <c r="AD192" s="92"/>
      <c r="AE192" s="92"/>
      <c r="AF192" s="92"/>
      <c r="AG192" s="92"/>
      <c r="AH192" s="92"/>
      <c r="AI192" s="92"/>
      <c r="AJ192" s="92"/>
      <c r="AK192" s="92"/>
      <c r="AL192" s="92"/>
      <c r="AM192" s="92"/>
      <c r="AN192" s="92"/>
      <c r="AO192" s="92"/>
      <c r="AP192" s="92"/>
      <c r="AQ192" s="92"/>
      <c r="AR192" s="92"/>
      <c r="AS192" s="92"/>
      <c r="AT192" s="92"/>
      <c r="AU192" s="92"/>
      <c r="AV192" s="92"/>
      <c r="AX192" s="62">
        <v>1998</v>
      </c>
      <c r="AY192" s="62">
        <v>8</v>
      </c>
    </row>
    <row r="193" spans="1:51" s="1" customFormat="1" ht="16.5" x14ac:dyDescent="0.3">
      <c r="A193" s="92"/>
      <c r="B193" s="92"/>
      <c r="C193" s="92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  <c r="AA193" s="92"/>
      <c r="AB193" s="92"/>
      <c r="AC193" s="92"/>
      <c r="AD193" s="92"/>
      <c r="AE193" s="92"/>
      <c r="AF193" s="92"/>
      <c r="AG193" s="92"/>
      <c r="AH193" s="92"/>
      <c r="AI193" s="92"/>
      <c r="AJ193" s="92"/>
      <c r="AK193" s="92"/>
      <c r="AL193" s="92"/>
      <c r="AM193" s="92"/>
      <c r="AN193" s="92"/>
      <c r="AO193" s="92"/>
      <c r="AP193" s="92"/>
      <c r="AQ193" s="92"/>
      <c r="AR193" s="92"/>
      <c r="AS193" s="92"/>
      <c r="AT193" s="92"/>
      <c r="AU193" s="92"/>
      <c r="AV193" s="92"/>
      <c r="AX193" s="62">
        <v>1996</v>
      </c>
      <c r="AY193" s="62">
        <v>1</v>
      </c>
    </row>
    <row r="194" spans="1:51" s="1" customFormat="1" ht="16.5" x14ac:dyDescent="0.3">
      <c r="A194" s="92"/>
      <c r="B194" s="92"/>
      <c r="C194" s="92"/>
      <c r="D194" s="92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  <c r="AA194" s="92"/>
      <c r="AB194" s="92"/>
      <c r="AC194" s="92"/>
      <c r="AD194" s="92"/>
      <c r="AE194" s="92"/>
      <c r="AF194" s="92"/>
      <c r="AG194" s="92"/>
      <c r="AH194" s="92"/>
      <c r="AI194" s="92"/>
      <c r="AJ194" s="92"/>
      <c r="AK194" s="92"/>
      <c r="AL194" s="92"/>
      <c r="AM194" s="92"/>
      <c r="AN194" s="92"/>
      <c r="AO194" s="92"/>
      <c r="AP194" s="92"/>
      <c r="AQ194" s="92"/>
      <c r="AR194" s="92"/>
      <c r="AS194" s="92"/>
      <c r="AT194" s="92"/>
      <c r="AU194" s="92"/>
      <c r="AV194" s="92"/>
      <c r="AX194" s="62">
        <v>1996</v>
      </c>
      <c r="AY194" s="62">
        <v>1</v>
      </c>
    </row>
    <row r="195" spans="1:51" s="1" customFormat="1" ht="16.5" x14ac:dyDescent="0.3">
      <c r="A195" s="92"/>
      <c r="B195" s="92"/>
      <c r="C195" s="92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  <c r="AA195" s="92"/>
      <c r="AB195" s="92"/>
      <c r="AC195" s="92"/>
      <c r="AD195" s="92"/>
      <c r="AE195" s="92"/>
      <c r="AF195" s="92"/>
      <c r="AG195" s="92"/>
      <c r="AH195" s="92"/>
      <c r="AI195" s="92"/>
      <c r="AJ195" s="92"/>
      <c r="AK195" s="92"/>
      <c r="AL195" s="92"/>
      <c r="AM195" s="92"/>
      <c r="AN195" s="92"/>
      <c r="AO195" s="92"/>
      <c r="AP195" s="92"/>
      <c r="AQ195" s="92"/>
      <c r="AR195" s="92"/>
      <c r="AS195" s="92"/>
      <c r="AT195" s="92"/>
      <c r="AU195" s="92"/>
      <c r="AV195" s="92"/>
      <c r="AX195" s="62">
        <v>1996</v>
      </c>
      <c r="AY195" s="62">
        <v>1</v>
      </c>
    </row>
    <row r="196" spans="1:51" s="1" customFormat="1" ht="16.5" x14ac:dyDescent="0.3">
      <c r="A196" s="92"/>
      <c r="B196" s="92"/>
      <c r="C196" s="92"/>
      <c r="D196" s="92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2"/>
      <c r="S196" s="92"/>
      <c r="T196" s="92"/>
      <c r="U196" s="92"/>
      <c r="V196" s="92"/>
      <c r="W196" s="92"/>
      <c r="X196" s="92"/>
      <c r="Y196" s="92"/>
      <c r="Z196" s="92"/>
      <c r="AA196" s="92"/>
      <c r="AB196" s="92"/>
      <c r="AC196" s="92"/>
      <c r="AD196" s="92"/>
      <c r="AE196" s="92"/>
      <c r="AF196" s="92"/>
      <c r="AG196" s="92"/>
      <c r="AH196" s="92"/>
      <c r="AI196" s="92"/>
      <c r="AJ196" s="92"/>
      <c r="AK196" s="92"/>
      <c r="AL196" s="92"/>
      <c r="AM196" s="92"/>
      <c r="AN196" s="92"/>
      <c r="AO196" s="92"/>
      <c r="AP196" s="92"/>
      <c r="AQ196" s="92"/>
      <c r="AR196" s="92"/>
      <c r="AS196" s="92"/>
      <c r="AT196" s="92"/>
      <c r="AU196" s="92"/>
      <c r="AV196" s="92"/>
      <c r="AX196" s="62">
        <v>1997</v>
      </c>
      <c r="AY196" s="62">
        <v>12</v>
      </c>
    </row>
    <row r="197" spans="1:51" s="1" customFormat="1" ht="16.5" x14ac:dyDescent="0.3">
      <c r="A197" s="92"/>
      <c r="B197" s="92"/>
      <c r="C197" s="92"/>
      <c r="D197" s="92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Q197" s="92"/>
      <c r="R197" s="92"/>
      <c r="S197" s="92"/>
      <c r="T197" s="92"/>
      <c r="U197" s="92"/>
      <c r="V197" s="92"/>
      <c r="W197" s="92"/>
      <c r="X197" s="92"/>
      <c r="Y197" s="92"/>
      <c r="Z197" s="92"/>
      <c r="AA197" s="92"/>
      <c r="AB197" s="92"/>
      <c r="AC197" s="92"/>
      <c r="AD197" s="92"/>
      <c r="AE197" s="92"/>
      <c r="AF197" s="92"/>
      <c r="AG197" s="92"/>
      <c r="AH197" s="92"/>
      <c r="AI197" s="92"/>
      <c r="AJ197" s="92"/>
      <c r="AK197" s="92"/>
      <c r="AL197" s="92"/>
      <c r="AM197" s="92"/>
      <c r="AN197" s="92"/>
      <c r="AO197" s="92"/>
      <c r="AP197" s="92"/>
      <c r="AQ197" s="92"/>
      <c r="AR197" s="92"/>
      <c r="AS197" s="92"/>
      <c r="AT197" s="92"/>
      <c r="AU197" s="92"/>
      <c r="AV197" s="92"/>
      <c r="AX197" s="62">
        <v>1997</v>
      </c>
      <c r="AY197" s="62">
        <v>12</v>
      </c>
    </row>
    <row r="198" spans="1:51" s="1" customFormat="1" ht="16.5" x14ac:dyDescent="0.3">
      <c r="A198" s="92"/>
      <c r="B198" s="92"/>
      <c r="C198" s="92"/>
      <c r="D198" s="92"/>
      <c r="E198" s="92"/>
      <c r="F198" s="92"/>
      <c r="G198" s="92"/>
      <c r="H198" s="92"/>
      <c r="I198" s="92"/>
      <c r="J198" s="92"/>
      <c r="K198" s="92"/>
      <c r="L198" s="92"/>
      <c r="M198" s="92"/>
      <c r="N198" s="92"/>
      <c r="O198" s="92"/>
      <c r="P198" s="92"/>
      <c r="Q198" s="92"/>
      <c r="R198" s="92"/>
      <c r="S198" s="92"/>
      <c r="T198" s="92"/>
      <c r="U198" s="92"/>
      <c r="V198" s="92"/>
      <c r="W198" s="92"/>
      <c r="X198" s="92"/>
      <c r="Y198" s="92"/>
      <c r="Z198" s="92"/>
      <c r="AA198" s="92"/>
      <c r="AB198" s="92"/>
      <c r="AC198" s="92"/>
      <c r="AD198" s="92"/>
      <c r="AE198" s="92"/>
      <c r="AF198" s="92"/>
      <c r="AG198" s="92"/>
      <c r="AH198" s="92"/>
      <c r="AI198" s="92"/>
      <c r="AJ198" s="92"/>
      <c r="AK198" s="92"/>
      <c r="AL198" s="92"/>
      <c r="AM198" s="92"/>
      <c r="AN198" s="92"/>
      <c r="AO198" s="92"/>
      <c r="AP198" s="92"/>
      <c r="AQ198" s="92"/>
      <c r="AR198" s="92"/>
      <c r="AS198" s="92"/>
      <c r="AT198" s="92"/>
      <c r="AU198" s="92"/>
      <c r="AV198" s="92"/>
      <c r="AX198" s="62">
        <v>1998</v>
      </c>
      <c r="AY198" s="62">
        <v>3</v>
      </c>
    </row>
    <row r="199" spans="1:51" s="1" customFormat="1" ht="16.5" x14ac:dyDescent="0.3">
      <c r="A199" s="92"/>
      <c r="B199" s="92"/>
      <c r="C199" s="92"/>
      <c r="D199" s="92"/>
      <c r="E199" s="92"/>
      <c r="F199" s="92"/>
      <c r="G199" s="92"/>
      <c r="H199" s="92"/>
      <c r="I199" s="92"/>
      <c r="J199" s="92"/>
      <c r="K199" s="92"/>
      <c r="L199" s="92"/>
      <c r="M199" s="92"/>
      <c r="N199" s="92"/>
      <c r="O199" s="92"/>
      <c r="P199" s="92"/>
      <c r="Q199" s="92"/>
      <c r="R199" s="92"/>
      <c r="S199" s="92"/>
      <c r="T199" s="92"/>
      <c r="U199" s="92"/>
      <c r="V199" s="92"/>
      <c r="W199" s="92"/>
      <c r="X199" s="92"/>
      <c r="Y199" s="92"/>
      <c r="Z199" s="92"/>
      <c r="AA199" s="92"/>
      <c r="AB199" s="92"/>
      <c r="AC199" s="92"/>
      <c r="AD199" s="92"/>
      <c r="AE199" s="92"/>
      <c r="AF199" s="92"/>
      <c r="AG199" s="92"/>
      <c r="AH199" s="92"/>
      <c r="AI199" s="92"/>
      <c r="AJ199" s="92"/>
      <c r="AK199" s="92"/>
      <c r="AL199" s="92"/>
      <c r="AM199" s="92"/>
      <c r="AN199" s="92"/>
      <c r="AO199" s="92"/>
      <c r="AP199" s="92"/>
      <c r="AQ199" s="92"/>
      <c r="AR199" s="92"/>
      <c r="AS199" s="92"/>
      <c r="AT199" s="92"/>
      <c r="AU199" s="92"/>
      <c r="AV199" s="92"/>
      <c r="AX199" s="62">
        <v>1998</v>
      </c>
      <c r="AY199" s="62">
        <v>3</v>
      </c>
    </row>
    <row r="200" spans="1:51" s="1" customFormat="1" ht="16.5" x14ac:dyDescent="0.3">
      <c r="A200" s="92"/>
      <c r="B200" s="92"/>
      <c r="C200" s="92"/>
      <c r="D200" s="92"/>
      <c r="E200" s="92"/>
      <c r="F200" s="92"/>
      <c r="G200" s="92"/>
      <c r="H200" s="92"/>
      <c r="I200" s="92"/>
      <c r="J200" s="92"/>
      <c r="K200" s="92"/>
      <c r="L200" s="92"/>
      <c r="M200" s="92"/>
      <c r="N200" s="92"/>
      <c r="O200" s="92"/>
      <c r="P200" s="92"/>
      <c r="Q200" s="92"/>
      <c r="R200" s="92"/>
      <c r="S200" s="92"/>
      <c r="T200" s="92"/>
      <c r="U200" s="92"/>
      <c r="V200" s="92"/>
      <c r="W200" s="92"/>
      <c r="X200" s="92"/>
      <c r="Y200" s="92"/>
      <c r="Z200" s="92"/>
      <c r="AA200" s="92"/>
      <c r="AB200" s="92"/>
      <c r="AC200" s="92"/>
      <c r="AD200" s="92"/>
      <c r="AE200" s="92"/>
      <c r="AF200" s="92"/>
      <c r="AG200" s="92"/>
      <c r="AH200" s="92"/>
      <c r="AI200" s="92"/>
      <c r="AJ200" s="92"/>
      <c r="AK200" s="92"/>
      <c r="AL200" s="92"/>
      <c r="AM200" s="92"/>
      <c r="AN200" s="92"/>
      <c r="AO200" s="92"/>
      <c r="AP200" s="92"/>
      <c r="AQ200" s="92"/>
      <c r="AR200" s="92"/>
      <c r="AS200" s="92"/>
      <c r="AT200" s="92"/>
      <c r="AU200" s="92"/>
      <c r="AV200" s="92"/>
      <c r="AX200" s="62">
        <v>1998</v>
      </c>
      <c r="AY200" s="62">
        <v>3</v>
      </c>
    </row>
    <row r="201" spans="1:51" s="1" customFormat="1" ht="16.5" x14ac:dyDescent="0.3">
      <c r="A201" s="92"/>
      <c r="B201" s="92"/>
      <c r="C201" s="92"/>
      <c r="D201" s="92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92"/>
      <c r="P201" s="92"/>
      <c r="Q201" s="92"/>
      <c r="R201" s="92"/>
      <c r="S201" s="92"/>
      <c r="T201" s="92"/>
      <c r="U201" s="92"/>
      <c r="V201" s="92"/>
      <c r="W201" s="92"/>
      <c r="X201" s="92"/>
      <c r="Y201" s="92"/>
      <c r="Z201" s="92"/>
      <c r="AA201" s="92"/>
      <c r="AB201" s="92"/>
      <c r="AC201" s="92"/>
      <c r="AD201" s="92"/>
      <c r="AE201" s="92"/>
      <c r="AF201" s="92"/>
      <c r="AG201" s="92"/>
      <c r="AH201" s="92"/>
      <c r="AI201" s="92"/>
      <c r="AJ201" s="92"/>
      <c r="AK201" s="92"/>
      <c r="AL201" s="92"/>
      <c r="AM201" s="92"/>
      <c r="AN201" s="92"/>
      <c r="AO201" s="92"/>
      <c r="AP201" s="92"/>
      <c r="AQ201" s="92"/>
      <c r="AR201" s="92"/>
      <c r="AS201" s="92"/>
      <c r="AT201" s="92"/>
      <c r="AU201" s="92"/>
      <c r="AV201" s="92"/>
      <c r="AX201" s="62">
        <v>1998</v>
      </c>
      <c r="AY201" s="62">
        <v>3</v>
      </c>
    </row>
    <row r="202" spans="1:51" s="1" customFormat="1" ht="16.5" x14ac:dyDescent="0.3">
      <c r="A202" s="92"/>
      <c r="B202" s="92"/>
      <c r="C202" s="92"/>
      <c r="D202" s="92"/>
      <c r="E202" s="92"/>
      <c r="F202" s="92"/>
      <c r="G202" s="92"/>
      <c r="H202" s="92"/>
      <c r="I202" s="92"/>
      <c r="J202" s="92"/>
      <c r="K202" s="92"/>
      <c r="L202" s="92"/>
      <c r="M202" s="92"/>
      <c r="N202" s="92"/>
      <c r="O202" s="92"/>
      <c r="P202" s="92"/>
      <c r="Q202" s="92"/>
      <c r="R202" s="92"/>
      <c r="S202" s="92"/>
      <c r="T202" s="92"/>
      <c r="U202" s="92"/>
      <c r="V202" s="92"/>
      <c r="W202" s="92"/>
      <c r="X202" s="92"/>
      <c r="Y202" s="92"/>
      <c r="Z202" s="92"/>
      <c r="AA202" s="92"/>
      <c r="AB202" s="92"/>
      <c r="AC202" s="92"/>
      <c r="AD202" s="92"/>
      <c r="AE202" s="92"/>
      <c r="AF202" s="92"/>
      <c r="AG202" s="92"/>
      <c r="AH202" s="92"/>
      <c r="AI202" s="92"/>
      <c r="AJ202" s="92"/>
      <c r="AK202" s="92"/>
      <c r="AL202" s="92"/>
      <c r="AM202" s="92"/>
      <c r="AN202" s="92"/>
      <c r="AO202" s="92"/>
      <c r="AP202" s="92"/>
      <c r="AQ202" s="92"/>
      <c r="AR202" s="92"/>
      <c r="AS202" s="92"/>
      <c r="AT202" s="92"/>
      <c r="AU202" s="92"/>
      <c r="AV202" s="92"/>
      <c r="AX202" s="62">
        <v>1997</v>
      </c>
      <c r="AY202" s="62">
        <v>8</v>
      </c>
    </row>
    <row r="203" spans="1:51" s="1" customFormat="1" ht="16.5" x14ac:dyDescent="0.3">
      <c r="A203" s="92"/>
      <c r="B203" s="92"/>
      <c r="C203" s="92"/>
      <c r="D203" s="92"/>
      <c r="E203" s="92"/>
      <c r="F203" s="92"/>
      <c r="G203" s="92"/>
      <c r="H203" s="92"/>
      <c r="I203" s="92"/>
      <c r="J203" s="92"/>
      <c r="K203" s="92"/>
      <c r="L203" s="92"/>
      <c r="M203" s="92"/>
      <c r="N203" s="92"/>
      <c r="O203" s="92"/>
      <c r="P203" s="92"/>
      <c r="Q203" s="92"/>
      <c r="R203" s="92"/>
      <c r="S203" s="92"/>
      <c r="T203" s="92"/>
      <c r="U203" s="92"/>
      <c r="V203" s="92"/>
      <c r="W203" s="92"/>
      <c r="X203" s="92"/>
      <c r="Y203" s="92"/>
      <c r="Z203" s="92"/>
      <c r="AA203" s="92"/>
      <c r="AB203" s="92"/>
      <c r="AC203" s="92"/>
      <c r="AD203" s="92"/>
      <c r="AE203" s="92"/>
      <c r="AF203" s="92"/>
      <c r="AG203" s="92"/>
      <c r="AH203" s="92"/>
      <c r="AI203" s="92"/>
      <c r="AJ203" s="92"/>
      <c r="AK203" s="92"/>
      <c r="AL203" s="92"/>
      <c r="AM203" s="92"/>
      <c r="AN203" s="92"/>
      <c r="AO203" s="92"/>
      <c r="AP203" s="92"/>
      <c r="AQ203" s="92"/>
      <c r="AR203" s="92"/>
      <c r="AS203" s="92"/>
      <c r="AT203" s="92"/>
      <c r="AU203" s="92"/>
      <c r="AV203" s="92"/>
      <c r="AX203" s="62">
        <v>1997</v>
      </c>
      <c r="AY203" s="62">
        <v>8</v>
      </c>
    </row>
    <row r="204" spans="1:51" s="1" customFormat="1" ht="16.5" x14ac:dyDescent="0.3">
      <c r="A204" s="92"/>
      <c r="B204" s="92"/>
      <c r="C204" s="92"/>
      <c r="D204" s="92"/>
      <c r="E204" s="92"/>
      <c r="F204" s="92"/>
      <c r="G204" s="92"/>
      <c r="H204" s="92"/>
      <c r="I204" s="92"/>
      <c r="J204" s="92"/>
      <c r="K204" s="92"/>
      <c r="L204" s="92"/>
      <c r="M204" s="92"/>
      <c r="N204" s="92"/>
      <c r="O204" s="92"/>
      <c r="P204" s="92"/>
      <c r="Q204" s="92"/>
      <c r="R204" s="92"/>
      <c r="S204" s="92"/>
      <c r="T204" s="92"/>
      <c r="U204" s="92"/>
      <c r="V204" s="92"/>
      <c r="W204" s="92"/>
      <c r="X204" s="92"/>
      <c r="Y204" s="92"/>
      <c r="Z204" s="92"/>
      <c r="AA204" s="92"/>
      <c r="AB204" s="92"/>
      <c r="AC204" s="92"/>
      <c r="AD204" s="92"/>
      <c r="AE204" s="92"/>
      <c r="AF204" s="92"/>
      <c r="AG204" s="92"/>
      <c r="AH204" s="92"/>
      <c r="AI204" s="92"/>
      <c r="AJ204" s="92"/>
      <c r="AK204" s="92"/>
      <c r="AL204" s="92"/>
      <c r="AM204" s="92"/>
      <c r="AN204" s="92"/>
      <c r="AO204" s="92"/>
      <c r="AP204" s="92"/>
      <c r="AQ204" s="92"/>
      <c r="AR204" s="92"/>
      <c r="AS204" s="92"/>
      <c r="AT204" s="92"/>
      <c r="AU204" s="92"/>
      <c r="AV204" s="92"/>
      <c r="AX204" s="62">
        <v>1997</v>
      </c>
      <c r="AY204" s="62">
        <v>8</v>
      </c>
    </row>
    <row r="205" spans="1:51" s="1" customFormat="1" ht="16.5" x14ac:dyDescent="0.3">
      <c r="A205" s="92"/>
      <c r="B205" s="92"/>
      <c r="C205" s="92"/>
      <c r="D205" s="92"/>
      <c r="E205" s="92"/>
      <c r="F205" s="92"/>
      <c r="G205" s="92"/>
      <c r="H205" s="92"/>
      <c r="I205" s="92"/>
      <c r="J205" s="92"/>
      <c r="K205" s="92"/>
      <c r="L205" s="92"/>
      <c r="M205" s="92"/>
      <c r="N205" s="92"/>
      <c r="O205" s="92"/>
      <c r="P205" s="92"/>
      <c r="Q205" s="92"/>
      <c r="R205" s="92"/>
      <c r="S205" s="92"/>
      <c r="T205" s="92"/>
      <c r="U205" s="92"/>
      <c r="V205" s="92"/>
      <c r="W205" s="92"/>
      <c r="X205" s="92"/>
      <c r="Y205" s="92"/>
      <c r="Z205" s="92"/>
      <c r="AA205" s="92"/>
      <c r="AB205" s="92"/>
      <c r="AC205" s="92"/>
      <c r="AD205" s="92"/>
      <c r="AE205" s="92"/>
      <c r="AF205" s="92"/>
      <c r="AG205" s="92"/>
      <c r="AH205" s="92"/>
      <c r="AI205" s="92"/>
      <c r="AJ205" s="92"/>
      <c r="AK205" s="92"/>
      <c r="AL205" s="92"/>
      <c r="AM205" s="92"/>
      <c r="AN205" s="92"/>
      <c r="AO205" s="92"/>
      <c r="AP205" s="92"/>
      <c r="AQ205" s="92"/>
      <c r="AR205" s="92"/>
      <c r="AS205" s="92"/>
      <c r="AT205" s="92"/>
      <c r="AU205" s="92"/>
      <c r="AV205" s="92"/>
      <c r="AX205" s="62">
        <v>1996</v>
      </c>
      <c r="AY205" s="62">
        <v>9</v>
      </c>
    </row>
    <row r="206" spans="1:51" s="1" customFormat="1" ht="16.5" x14ac:dyDescent="0.3">
      <c r="A206" s="92"/>
      <c r="B206" s="92"/>
      <c r="C206" s="92"/>
      <c r="D206" s="92"/>
      <c r="E206" s="92"/>
      <c r="F206" s="92"/>
      <c r="G206" s="92"/>
      <c r="H206" s="92"/>
      <c r="I206" s="92"/>
      <c r="J206" s="92"/>
      <c r="K206" s="92"/>
      <c r="L206" s="92"/>
      <c r="M206" s="92"/>
      <c r="N206" s="92"/>
      <c r="O206" s="92"/>
      <c r="P206" s="92"/>
      <c r="Q206" s="92"/>
      <c r="R206" s="92"/>
      <c r="S206" s="92"/>
      <c r="T206" s="92"/>
      <c r="U206" s="92"/>
      <c r="V206" s="92"/>
      <c r="W206" s="92"/>
      <c r="X206" s="92"/>
      <c r="Y206" s="92"/>
      <c r="Z206" s="92"/>
      <c r="AA206" s="92"/>
      <c r="AB206" s="92"/>
      <c r="AC206" s="92"/>
      <c r="AD206" s="92"/>
      <c r="AE206" s="92"/>
      <c r="AF206" s="92"/>
      <c r="AG206" s="92"/>
      <c r="AH206" s="92"/>
      <c r="AI206" s="92"/>
      <c r="AJ206" s="92"/>
      <c r="AK206" s="92"/>
      <c r="AL206" s="92"/>
      <c r="AM206" s="92"/>
      <c r="AN206" s="92"/>
      <c r="AO206" s="92"/>
      <c r="AP206" s="92"/>
      <c r="AQ206" s="92"/>
      <c r="AR206" s="92"/>
      <c r="AS206" s="92"/>
      <c r="AT206" s="92"/>
      <c r="AU206" s="92"/>
      <c r="AV206" s="92"/>
      <c r="AX206" s="62">
        <v>1996</v>
      </c>
      <c r="AY206" s="62">
        <v>9</v>
      </c>
    </row>
    <row r="207" spans="1:51" s="1" customFormat="1" ht="16.5" x14ac:dyDescent="0.3">
      <c r="A207" s="92"/>
      <c r="B207" s="92"/>
      <c r="C207" s="92"/>
      <c r="D207" s="92"/>
      <c r="E207" s="92"/>
      <c r="F207" s="92"/>
      <c r="G207" s="92"/>
      <c r="H207" s="92"/>
      <c r="I207" s="92"/>
      <c r="J207" s="92"/>
      <c r="K207" s="92"/>
      <c r="L207" s="92"/>
      <c r="M207" s="92"/>
      <c r="N207" s="92"/>
      <c r="O207" s="92"/>
      <c r="P207" s="92"/>
      <c r="Q207" s="92"/>
      <c r="R207" s="92"/>
      <c r="S207" s="92"/>
      <c r="T207" s="92"/>
      <c r="U207" s="92"/>
      <c r="V207" s="92"/>
      <c r="W207" s="92"/>
      <c r="X207" s="92"/>
      <c r="Y207" s="92"/>
      <c r="Z207" s="92"/>
      <c r="AA207" s="92"/>
      <c r="AB207" s="92"/>
      <c r="AC207" s="92"/>
      <c r="AD207" s="92"/>
      <c r="AE207" s="92"/>
      <c r="AF207" s="92"/>
      <c r="AG207" s="92"/>
      <c r="AH207" s="92"/>
      <c r="AI207" s="92"/>
      <c r="AJ207" s="92"/>
      <c r="AK207" s="92"/>
      <c r="AL207" s="92"/>
      <c r="AM207" s="92"/>
      <c r="AN207" s="92"/>
      <c r="AO207" s="92"/>
      <c r="AP207" s="92"/>
      <c r="AQ207" s="92"/>
      <c r="AR207" s="92"/>
      <c r="AS207" s="92"/>
      <c r="AT207" s="92"/>
      <c r="AU207" s="92"/>
      <c r="AV207" s="92"/>
      <c r="AX207" s="62">
        <v>1994</v>
      </c>
      <c r="AY207" s="62">
        <v>11</v>
      </c>
    </row>
    <row r="208" spans="1:51" s="1" customFormat="1" ht="16.5" x14ac:dyDescent="0.3">
      <c r="A208" s="92"/>
      <c r="B208" s="92"/>
      <c r="C208" s="92"/>
      <c r="D208" s="92"/>
      <c r="E208" s="92"/>
      <c r="F208" s="92"/>
      <c r="G208" s="92"/>
      <c r="H208" s="92"/>
      <c r="I208" s="92"/>
      <c r="J208" s="92"/>
      <c r="K208" s="92"/>
      <c r="L208" s="92"/>
      <c r="M208" s="92"/>
      <c r="N208" s="92"/>
      <c r="O208" s="92"/>
      <c r="P208" s="92"/>
      <c r="Q208" s="92"/>
      <c r="R208" s="92"/>
      <c r="S208" s="92"/>
      <c r="T208" s="92"/>
      <c r="U208" s="92"/>
      <c r="V208" s="92"/>
      <c r="W208" s="92"/>
      <c r="X208" s="92"/>
      <c r="Y208" s="92"/>
      <c r="Z208" s="92"/>
      <c r="AA208" s="92"/>
      <c r="AB208" s="92"/>
      <c r="AC208" s="92"/>
      <c r="AD208" s="92"/>
      <c r="AE208" s="92"/>
      <c r="AF208" s="92"/>
      <c r="AG208" s="92"/>
      <c r="AH208" s="92"/>
      <c r="AI208" s="92"/>
      <c r="AJ208" s="92"/>
      <c r="AK208" s="92"/>
      <c r="AL208" s="92"/>
      <c r="AM208" s="92"/>
      <c r="AN208" s="92"/>
      <c r="AO208" s="92"/>
      <c r="AP208" s="92"/>
      <c r="AQ208" s="92"/>
      <c r="AR208" s="92"/>
      <c r="AS208" s="92"/>
      <c r="AT208" s="92"/>
      <c r="AU208" s="92"/>
      <c r="AV208" s="92"/>
      <c r="AX208" s="62">
        <v>1994</v>
      </c>
      <c r="AY208" s="62">
        <v>11</v>
      </c>
    </row>
    <row r="209" spans="1:58" s="1" customFormat="1" ht="16.5" x14ac:dyDescent="0.3">
      <c r="A209" s="92"/>
      <c r="B209" s="92"/>
      <c r="C209" s="92"/>
      <c r="D209" s="92"/>
      <c r="E209" s="92"/>
      <c r="F209" s="92"/>
      <c r="G209" s="92"/>
      <c r="H209" s="92"/>
      <c r="I209" s="92"/>
      <c r="J209" s="92"/>
      <c r="K209" s="92"/>
      <c r="L209" s="92"/>
      <c r="M209" s="92"/>
      <c r="N209" s="92"/>
      <c r="O209" s="92"/>
      <c r="P209" s="92"/>
      <c r="Q209" s="92"/>
      <c r="R209" s="92"/>
      <c r="S209" s="92"/>
      <c r="T209" s="92"/>
      <c r="U209" s="92"/>
      <c r="V209" s="92"/>
      <c r="W209" s="92"/>
      <c r="X209" s="92"/>
      <c r="Y209" s="92"/>
      <c r="Z209" s="92"/>
      <c r="AA209" s="92"/>
      <c r="AB209" s="92"/>
      <c r="AC209" s="92"/>
      <c r="AD209" s="92"/>
      <c r="AE209" s="92"/>
      <c r="AF209" s="92"/>
      <c r="AG209" s="92"/>
      <c r="AH209" s="92"/>
      <c r="AI209" s="92"/>
      <c r="AJ209" s="92"/>
      <c r="AK209" s="92"/>
      <c r="AL209" s="92"/>
      <c r="AM209" s="92"/>
      <c r="AN209" s="92"/>
      <c r="AO209" s="92"/>
      <c r="AP209" s="92"/>
      <c r="AQ209" s="92"/>
      <c r="AR209" s="92"/>
      <c r="AS209" s="92"/>
      <c r="AT209" s="92"/>
      <c r="AU209" s="92"/>
      <c r="AV209" s="92"/>
      <c r="AX209" s="62">
        <v>1984</v>
      </c>
      <c r="AY209" s="62">
        <v>1</v>
      </c>
    </row>
    <row r="210" spans="1:58" s="1" customFormat="1" ht="16.5" x14ac:dyDescent="0.3">
      <c r="A210" s="92"/>
      <c r="B210" s="92"/>
      <c r="C210" s="92"/>
      <c r="D210" s="92"/>
      <c r="E210" s="92"/>
      <c r="F210" s="92"/>
      <c r="G210" s="92"/>
      <c r="H210" s="92"/>
      <c r="I210" s="92"/>
      <c r="J210" s="92"/>
      <c r="K210" s="92"/>
      <c r="L210" s="92"/>
      <c r="M210" s="92"/>
      <c r="N210" s="92"/>
      <c r="O210" s="92"/>
      <c r="P210" s="92"/>
      <c r="Q210" s="92"/>
      <c r="R210" s="92"/>
      <c r="S210" s="92"/>
      <c r="T210" s="92"/>
      <c r="U210" s="92"/>
      <c r="V210" s="92"/>
      <c r="W210" s="92"/>
      <c r="X210" s="92"/>
      <c r="Y210" s="92"/>
      <c r="Z210" s="92"/>
      <c r="AA210" s="92"/>
      <c r="AB210" s="92"/>
      <c r="AC210" s="92"/>
      <c r="AD210" s="92"/>
      <c r="AE210" s="92"/>
      <c r="AF210" s="92"/>
      <c r="AG210" s="92"/>
      <c r="AH210" s="92"/>
      <c r="AI210" s="92"/>
      <c r="AJ210" s="92"/>
      <c r="AK210" s="92"/>
      <c r="AL210" s="92"/>
      <c r="AM210" s="92"/>
      <c r="AN210" s="92"/>
      <c r="AO210" s="92"/>
      <c r="AP210" s="92"/>
      <c r="AQ210" s="92"/>
      <c r="AR210" s="92"/>
      <c r="AS210" s="92"/>
      <c r="AT210" s="92"/>
      <c r="AU210" s="92"/>
      <c r="AV210" s="92"/>
      <c r="AX210" s="62">
        <v>1984</v>
      </c>
      <c r="AY210" s="62">
        <v>1</v>
      </c>
    </row>
    <row r="211" spans="1:58" s="1" customFormat="1" ht="16.5" x14ac:dyDescent="0.3">
      <c r="A211" s="92"/>
      <c r="B211" s="92"/>
      <c r="C211" s="92"/>
      <c r="D211" s="92"/>
      <c r="E211" s="92"/>
      <c r="F211" s="92"/>
      <c r="G211" s="92"/>
      <c r="H211" s="92"/>
      <c r="I211" s="92"/>
      <c r="J211" s="92"/>
      <c r="K211" s="92"/>
      <c r="L211" s="92"/>
      <c r="M211" s="92"/>
      <c r="N211" s="92"/>
      <c r="O211" s="92"/>
      <c r="P211" s="92"/>
      <c r="Q211" s="92"/>
      <c r="R211" s="92"/>
      <c r="S211" s="92"/>
      <c r="T211" s="92"/>
      <c r="U211" s="92"/>
      <c r="V211" s="92"/>
      <c r="W211" s="92"/>
      <c r="X211" s="92"/>
      <c r="Y211" s="92"/>
      <c r="Z211" s="92"/>
      <c r="AA211" s="92"/>
      <c r="AB211" s="92"/>
      <c r="AC211" s="92"/>
      <c r="AD211" s="92"/>
      <c r="AE211" s="92"/>
      <c r="AF211" s="92"/>
      <c r="AG211" s="92"/>
      <c r="AH211" s="92"/>
      <c r="AI211" s="92"/>
      <c r="AJ211" s="92"/>
      <c r="AK211" s="92"/>
      <c r="AL211" s="92"/>
      <c r="AM211" s="92"/>
      <c r="AN211" s="92"/>
      <c r="AO211" s="92"/>
      <c r="AP211" s="92"/>
      <c r="AQ211" s="92"/>
      <c r="AR211" s="92"/>
      <c r="AS211" s="92"/>
      <c r="AT211" s="92"/>
      <c r="AU211" s="92"/>
      <c r="AV211" s="92"/>
      <c r="AX211" s="62">
        <v>1994</v>
      </c>
      <c r="AY211" s="62">
        <v>1</v>
      </c>
    </row>
    <row r="212" spans="1:58" s="1" customFormat="1" ht="16.5" x14ac:dyDescent="0.3">
      <c r="A212" s="92"/>
      <c r="B212" s="92"/>
      <c r="C212" s="92"/>
      <c r="D212" s="92"/>
      <c r="E212" s="92"/>
      <c r="F212" s="92"/>
      <c r="G212" s="92"/>
      <c r="H212" s="92"/>
      <c r="I212" s="92"/>
      <c r="J212" s="92"/>
      <c r="K212" s="92"/>
      <c r="L212" s="92"/>
      <c r="M212" s="92"/>
      <c r="N212" s="92"/>
      <c r="O212" s="92"/>
      <c r="P212" s="92"/>
      <c r="Q212" s="92"/>
      <c r="R212" s="92"/>
      <c r="S212" s="92"/>
      <c r="T212" s="92"/>
      <c r="U212" s="92"/>
      <c r="V212" s="92"/>
      <c r="W212" s="92"/>
      <c r="X212" s="92"/>
      <c r="Y212" s="92"/>
      <c r="Z212" s="92"/>
      <c r="AA212" s="92"/>
      <c r="AB212" s="92"/>
      <c r="AC212" s="92"/>
      <c r="AD212" s="92"/>
      <c r="AE212" s="92"/>
      <c r="AF212" s="92"/>
      <c r="AG212" s="92"/>
      <c r="AH212" s="92"/>
      <c r="AI212" s="92"/>
      <c r="AJ212" s="92"/>
      <c r="AK212" s="92"/>
      <c r="AL212" s="92"/>
      <c r="AM212" s="92"/>
      <c r="AN212" s="92"/>
      <c r="AO212" s="92"/>
      <c r="AP212" s="92"/>
      <c r="AQ212" s="92"/>
      <c r="AR212" s="92"/>
      <c r="AS212" s="92"/>
      <c r="AT212" s="92"/>
      <c r="AU212" s="92"/>
      <c r="AV212" s="92"/>
      <c r="AX212" s="62">
        <v>1994</v>
      </c>
      <c r="AY212" s="62">
        <v>1</v>
      </c>
    </row>
    <row r="213" spans="1:58" s="1" customFormat="1" ht="16.5" x14ac:dyDescent="0.3">
      <c r="A213" s="92"/>
      <c r="B213" s="92"/>
      <c r="C213" s="92"/>
      <c r="D213" s="92"/>
      <c r="E213" s="92"/>
      <c r="F213" s="92"/>
      <c r="G213" s="92"/>
      <c r="H213" s="92"/>
      <c r="I213" s="92"/>
      <c r="J213" s="92"/>
      <c r="K213" s="92"/>
      <c r="L213" s="92"/>
      <c r="M213" s="92"/>
      <c r="N213" s="92"/>
      <c r="O213" s="92"/>
      <c r="P213" s="92"/>
      <c r="Q213" s="92"/>
      <c r="R213" s="92"/>
      <c r="S213" s="92"/>
      <c r="T213" s="92"/>
      <c r="U213" s="92"/>
      <c r="V213" s="92"/>
      <c r="W213" s="92"/>
      <c r="X213" s="92"/>
      <c r="Y213" s="92"/>
      <c r="Z213" s="92"/>
      <c r="AA213" s="92"/>
      <c r="AB213" s="92"/>
      <c r="AC213" s="92"/>
      <c r="AD213" s="92"/>
      <c r="AE213" s="92"/>
      <c r="AF213" s="92"/>
      <c r="AG213" s="92"/>
      <c r="AH213" s="92"/>
      <c r="AI213" s="92"/>
      <c r="AJ213" s="92"/>
      <c r="AK213" s="92"/>
      <c r="AL213" s="92"/>
      <c r="AM213" s="92"/>
      <c r="AN213" s="92"/>
      <c r="AO213" s="92"/>
      <c r="AP213" s="92"/>
      <c r="AQ213" s="92"/>
      <c r="AR213" s="92"/>
      <c r="AS213" s="92"/>
      <c r="AT213" s="92"/>
      <c r="AU213" s="92"/>
      <c r="AV213" s="92"/>
      <c r="AX213" s="62">
        <v>1997</v>
      </c>
      <c r="AY213" s="62">
        <v>5</v>
      </c>
    </row>
    <row r="214" spans="1:58" s="1" customFormat="1" ht="16.5" x14ac:dyDescent="0.3">
      <c r="A214" s="92"/>
      <c r="B214" s="92"/>
      <c r="C214" s="92"/>
      <c r="D214" s="92"/>
      <c r="E214" s="92"/>
      <c r="F214" s="92"/>
      <c r="G214" s="92"/>
      <c r="H214" s="92"/>
      <c r="I214" s="92"/>
      <c r="J214" s="92"/>
      <c r="K214" s="92"/>
      <c r="L214" s="92"/>
      <c r="M214" s="92"/>
      <c r="N214" s="92"/>
      <c r="O214" s="92"/>
      <c r="P214" s="92"/>
      <c r="Q214" s="92"/>
      <c r="R214" s="92"/>
      <c r="S214" s="92"/>
      <c r="T214" s="92"/>
      <c r="U214" s="92"/>
      <c r="V214" s="92"/>
      <c r="W214" s="92"/>
      <c r="X214" s="92"/>
      <c r="Y214" s="92"/>
      <c r="Z214" s="92"/>
      <c r="AA214" s="92"/>
      <c r="AB214" s="92"/>
      <c r="AC214" s="92"/>
      <c r="AD214" s="92"/>
      <c r="AE214" s="92"/>
      <c r="AF214" s="92"/>
      <c r="AG214" s="92"/>
      <c r="AH214" s="92"/>
      <c r="AI214" s="92"/>
      <c r="AJ214" s="92"/>
      <c r="AK214" s="92"/>
      <c r="AL214" s="92"/>
      <c r="AM214" s="92"/>
      <c r="AN214" s="92"/>
      <c r="AO214" s="92"/>
      <c r="AP214" s="92"/>
      <c r="AQ214" s="92"/>
      <c r="AR214" s="92"/>
      <c r="AS214" s="92"/>
      <c r="AT214" s="92"/>
      <c r="AU214" s="92"/>
      <c r="AV214" s="92"/>
      <c r="AX214" s="62">
        <v>1997</v>
      </c>
      <c r="AY214" s="62">
        <v>5</v>
      </c>
    </row>
    <row r="215" spans="1:58" s="1" customFormat="1" ht="16.5" x14ac:dyDescent="0.3">
      <c r="A215" s="92"/>
      <c r="B215" s="92"/>
      <c r="C215" s="92"/>
      <c r="D215" s="92"/>
      <c r="E215" s="92"/>
      <c r="F215" s="92"/>
      <c r="G215" s="92"/>
      <c r="H215" s="92"/>
      <c r="I215" s="92"/>
      <c r="J215" s="92"/>
      <c r="K215" s="92"/>
      <c r="L215" s="92"/>
      <c r="M215" s="92"/>
      <c r="N215" s="92"/>
      <c r="O215" s="92"/>
      <c r="P215" s="92"/>
      <c r="Q215" s="92"/>
      <c r="R215" s="92"/>
      <c r="S215" s="92"/>
      <c r="T215" s="92"/>
      <c r="U215" s="92"/>
      <c r="V215" s="92"/>
      <c r="W215" s="92"/>
      <c r="X215" s="92"/>
      <c r="Y215" s="92"/>
      <c r="Z215" s="92"/>
      <c r="AA215" s="92"/>
      <c r="AB215" s="92"/>
      <c r="AC215" s="92"/>
      <c r="AD215" s="92"/>
      <c r="AE215" s="92"/>
      <c r="AF215" s="92"/>
      <c r="AG215" s="92"/>
      <c r="AH215" s="92"/>
      <c r="AI215" s="92"/>
      <c r="AJ215" s="92"/>
      <c r="AK215" s="92"/>
      <c r="AL215" s="92"/>
      <c r="AM215" s="92"/>
      <c r="AN215" s="92"/>
      <c r="AO215" s="92"/>
      <c r="AP215" s="92"/>
      <c r="AQ215" s="92"/>
      <c r="AR215" s="92"/>
      <c r="AS215" s="92"/>
      <c r="AT215" s="92"/>
      <c r="AU215" s="92"/>
      <c r="AV215" s="92"/>
      <c r="AX215" s="62">
        <v>1997</v>
      </c>
      <c r="AY215" s="62">
        <v>5</v>
      </c>
    </row>
    <row r="216" spans="1:58" s="1" customFormat="1" ht="16.5" x14ac:dyDescent="0.3">
      <c r="A216" s="92"/>
      <c r="B216" s="92"/>
      <c r="C216" s="92"/>
      <c r="D216" s="92"/>
      <c r="E216" s="92"/>
      <c r="F216" s="92"/>
      <c r="G216" s="92"/>
      <c r="H216" s="92"/>
      <c r="I216" s="92"/>
      <c r="J216" s="92"/>
      <c r="K216" s="92"/>
      <c r="L216" s="92"/>
      <c r="M216" s="92"/>
      <c r="N216" s="92"/>
      <c r="O216" s="92"/>
      <c r="P216" s="92"/>
      <c r="Q216" s="92"/>
      <c r="R216" s="92"/>
      <c r="S216" s="92"/>
      <c r="T216" s="92"/>
      <c r="U216" s="92"/>
      <c r="V216" s="92"/>
      <c r="W216" s="92"/>
      <c r="X216" s="92"/>
      <c r="Y216" s="92"/>
      <c r="Z216" s="92"/>
      <c r="AA216" s="92"/>
      <c r="AB216" s="92"/>
      <c r="AC216" s="92"/>
      <c r="AD216" s="92"/>
      <c r="AE216" s="92"/>
      <c r="AF216" s="92"/>
      <c r="AG216" s="92"/>
      <c r="AH216" s="92"/>
      <c r="AI216" s="92"/>
      <c r="AJ216" s="92"/>
      <c r="AK216" s="92"/>
      <c r="AL216" s="92"/>
      <c r="AM216" s="92"/>
      <c r="AN216" s="92"/>
      <c r="AO216" s="92"/>
      <c r="AP216" s="92"/>
      <c r="AQ216" s="92"/>
      <c r="AR216" s="92"/>
      <c r="AS216" s="92"/>
      <c r="AT216" s="92"/>
      <c r="AU216" s="92"/>
      <c r="AV216" s="92"/>
      <c r="AX216" s="62">
        <v>1997</v>
      </c>
      <c r="AY216" s="62">
        <v>11</v>
      </c>
    </row>
    <row r="217" spans="1:58" s="1" customFormat="1" ht="16.5" x14ac:dyDescent="0.3">
      <c r="A217" s="92"/>
      <c r="B217" s="92"/>
      <c r="C217" s="92"/>
      <c r="D217" s="92"/>
      <c r="E217" s="92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Q217" s="92"/>
      <c r="R217" s="92"/>
      <c r="S217" s="92"/>
      <c r="T217" s="92"/>
      <c r="U217" s="92"/>
      <c r="V217" s="92"/>
      <c r="W217" s="92"/>
      <c r="X217" s="92"/>
      <c r="Y217" s="92"/>
      <c r="Z217" s="92"/>
      <c r="AA217" s="92"/>
      <c r="AB217" s="92"/>
      <c r="AC217" s="92"/>
      <c r="AD217" s="92"/>
      <c r="AE217" s="92"/>
      <c r="AF217" s="92"/>
      <c r="AG217" s="92"/>
      <c r="AH217" s="92"/>
      <c r="AI217" s="92"/>
      <c r="AJ217" s="92"/>
      <c r="AK217" s="92"/>
      <c r="AL217" s="92"/>
      <c r="AM217" s="92"/>
      <c r="AN217" s="92"/>
      <c r="AO217" s="92"/>
      <c r="AP217" s="92"/>
      <c r="AQ217" s="92"/>
      <c r="AR217" s="92"/>
      <c r="AS217" s="92"/>
      <c r="AT217" s="92"/>
      <c r="AU217" s="92"/>
      <c r="AV217" s="92"/>
      <c r="AX217" s="62">
        <v>1997</v>
      </c>
      <c r="AY217" s="62">
        <v>11</v>
      </c>
    </row>
    <row r="218" spans="1:58" s="1" customFormat="1" ht="16.5" x14ac:dyDescent="0.3">
      <c r="A218" s="92"/>
      <c r="B218" s="92"/>
      <c r="C218" s="92"/>
      <c r="D218" s="92"/>
      <c r="E218" s="92"/>
      <c r="F218" s="92"/>
      <c r="G218" s="92"/>
      <c r="H218" s="92"/>
      <c r="I218" s="92"/>
      <c r="J218" s="92"/>
      <c r="K218" s="92"/>
      <c r="L218" s="92"/>
      <c r="M218" s="92"/>
      <c r="N218" s="92"/>
      <c r="O218" s="92"/>
      <c r="P218" s="92"/>
      <c r="Q218" s="92"/>
      <c r="R218" s="92"/>
      <c r="S218" s="92"/>
      <c r="T218" s="92"/>
      <c r="U218" s="92"/>
      <c r="V218" s="92"/>
      <c r="W218" s="92"/>
      <c r="X218" s="92"/>
      <c r="Y218" s="92"/>
      <c r="Z218" s="92"/>
      <c r="AA218" s="92"/>
      <c r="AB218" s="92"/>
      <c r="AC218" s="92"/>
      <c r="AD218" s="92"/>
      <c r="AE218" s="92"/>
      <c r="AF218" s="92"/>
      <c r="AG218" s="92"/>
      <c r="AH218" s="92"/>
      <c r="AI218" s="92"/>
      <c r="AJ218" s="92"/>
      <c r="AK218" s="92"/>
      <c r="AL218" s="92"/>
      <c r="AM218" s="92"/>
      <c r="AN218" s="92"/>
      <c r="AO218" s="92"/>
      <c r="AP218" s="92"/>
      <c r="AQ218" s="92"/>
      <c r="AR218" s="92"/>
      <c r="AS218" s="92"/>
      <c r="AT218" s="92"/>
      <c r="AU218" s="92"/>
      <c r="AV218" s="92"/>
      <c r="AX218" s="62">
        <v>1997</v>
      </c>
      <c r="AY218" s="62">
        <v>11</v>
      </c>
    </row>
    <row r="219" spans="1:58" s="1" customFormat="1" ht="16.5" x14ac:dyDescent="0.3">
      <c r="A219" s="92"/>
      <c r="B219" s="92"/>
      <c r="C219" s="92"/>
      <c r="D219" s="92"/>
      <c r="E219" s="92"/>
      <c r="F219" s="92"/>
      <c r="G219" s="92"/>
      <c r="H219" s="92"/>
      <c r="I219" s="92"/>
      <c r="J219" s="92"/>
      <c r="K219" s="92"/>
      <c r="L219" s="92"/>
      <c r="M219" s="92"/>
      <c r="N219" s="92"/>
      <c r="O219" s="92"/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  <c r="AA219" s="92"/>
      <c r="AB219" s="92"/>
      <c r="AC219" s="92"/>
      <c r="AD219" s="92"/>
      <c r="AE219" s="92"/>
      <c r="AF219" s="92"/>
      <c r="AG219" s="92"/>
      <c r="AH219" s="92"/>
      <c r="AI219" s="92"/>
      <c r="AJ219" s="92"/>
      <c r="AK219" s="92"/>
      <c r="AL219" s="92"/>
      <c r="AM219" s="92"/>
      <c r="AN219" s="92"/>
      <c r="AO219" s="92"/>
      <c r="AP219" s="92"/>
      <c r="AQ219" s="92"/>
      <c r="AR219" s="92"/>
      <c r="AS219" s="92"/>
      <c r="AT219" s="92"/>
      <c r="AU219" s="92"/>
      <c r="AV219" s="92"/>
      <c r="AX219" s="62">
        <v>2002</v>
      </c>
      <c r="AY219" s="62">
        <v>6</v>
      </c>
    </row>
    <row r="220" spans="1:58" s="1" customFormat="1" ht="16.5" x14ac:dyDescent="0.3">
      <c r="A220" s="92"/>
      <c r="B220" s="92"/>
      <c r="C220" s="92"/>
      <c r="D220" s="92"/>
      <c r="E220" s="92"/>
      <c r="F220" s="92"/>
      <c r="G220" s="92"/>
      <c r="H220" s="92"/>
      <c r="I220" s="92"/>
      <c r="J220" s="92"/>
      <c r="K220" s="92"/>
      <c r="L220" s="92"/>
      <c r="M220" s="92"/>
      <c r="N220" s="92"/>
      <c r="O220" s="92"/>
      <c r="P220" s="92"/>
      <c r="Q220" s="92"/>
      <c r="R220" s="92"/>
      <c r="S220" s="92"/>
      <c r="T220" s="92"/>
      <c r="U220" s="92"/>
      <c r="V220" s="92"/>
      <c r="W220" s="92"/>
      <c r="X220" s="92"/>
      <c r="Y220" s="92"/>
      <c r="Z220" s="92"/>
      <c r="AA220" s="92"/>
      <c r="AB220" s="92"/>
      <c r="AC220" s="92"/>
      <c r="AD220" s="92"/>
      <c r="AE220" s="92"/>
      <c r="AF220" s="92"/>
      <c r="AG220" s="92"/>
      <c r="AH220" s="92"/>
      <c r="AI220" s="92"/>
      <c r="AJ220" s="92"/>
      <c r="AK220" s="92"/>
      <c r="AL220" s="92"/>
      <c r="AM220" s="92"/>
      <c r="AN220" s="92"/>
      <c r="AO220" s="92"/>
      <c r="AP220" s="92"/>
      <c r="AQ220" s="92"/>
      <c r="AR220" s="92"/>
      <c r="AS220" s="92"/>
      <c r="AT220" s="92"/>
      <c r="AU220" s="92"/>
      <c r="AV220" s="92"/>
      <c r="AX220" s="62">
        <v>2002</v>
      </c>
      <c r="AY220" s="62">
        <v>6</v>
      </c>
    </row>
    <row r="221" spans="1:58" s="1" customFormat="1" ht="16.5" x14ac:dyDescent="0.3">
      <c r="A221" s="92"/>
      <c r="B221" s="92"/>
      <c r="C221" s="92"/>
      <c r="D221" s="92"/>
      <c r="E221" s="92"/>
      <c r="F221" s="92"/>
      <c r="G221" s="92"/>
      <c r="H221" s="92"/>
      <c r="I221" s="92"/>
      <c r="J221" s="92"/>
      <c r="K221" s="92"/>
      <c r="L221" s="92"/>
      <c r="M221" s="92"/>
      <c r="N221" s="92"/>
      <c r="O221" s="92"/>
      <c r="P221" s="92"/>
      <c r="Q221" s="92"/>
      <c r="R221" s="92"/>
      <c r="S221" s="92"/>
      <c r="T221" s="92"/>
      <c r="U221" s="92"/>
      <c r="V221" s="92"/>
      <c r="W221" s="92"/>
      <c r="X221" s="92"/>
      <c r="Y221" s="92"/>
      <c r="Z221" s="92"/>
      <c r="AA221" s="92"/>
      <c r="AB221" s="92"/>
      <c r="AC221" s="92"/>
      <c r="AD221" s="92"/>
      <c r="AE221" s="92"/>
      <c r="AF221" s="92"/>
      <c r="AG221" s="92"/>
      <c r="AH221" s="92"/>
      <c r="AI221" s="92"/>
      <c r="AJ221" s="92"/>
      <c r="AK221" s="92"/>
      <c r="AL221" s="92"/>
      <c r="AM221" s="92"/>
      <c r="AN221" s="92"/>
      <c r="AO221" s="92"/>
      <c r="AP221" s="92"/>
      <c r="AQ221" s="92"/>
      <c r="AR221" s="92"/>
      <c r="AS221" s="92"/>
      <c r="AT221" s="92"/>
      <c r="AU221" s="92"/>
      <c r="AV221" s="92"/>
      <c r="AX221" s="62">
        <v>1990</v>
      </c>
      <c r="AY221" s="62">
        <v>6</v>
      </c>
    </row>
    <row r="222" spans="1:58" s="1" customFormat="1" ht="16.5" x14ac:dyDescent="0.3">
      <c r="A222" s="92"/>
      <c r="B222" s="92"/>
      <c r="C222" s="92"/>
      <c r="D222" s="92"/>
      <c r="E222" s="92"/>
      <c r="F222" s="92"/>
      <c r="G222" s="92"/>
      <c r="H222" s="92"/>
      <c r="I222" s="92"/>
      <c r="J222" s="92"/>
      <c r="K222" s="92"/>
      <c r="L222" s="92"/>
      <c r="M222" s="92"/>
      <c r="N222" s="92"/>
      <c r="O222" s="92"/>
      <c r="P222" s="92"/>
      <c r="Q222" s="92"/>
      <c r="R222" s="92"/>
      <c r="S222" s="92"/>
      <c r="T222" s="92"/>
      <c r="U222" s="92"/>
      <c r="V222" s="92"/>
      <c r="W222" s="92"/>
      <c r="X222" s="92"/>
      <c r="Y222" s="92"/>
      <c r="Z222" s="92"/>
      <c r="AA222" s="92"/>
      <c r="AB222" s="92"/>
      <c r="AC222" s="92"/>
      <c r="AD222" s="92"/>
      <c r="AE222" s="92"/>
      <c r="AF222" s="92"/>
      <c r="AG222" s="92"/>
      <c r="AH222" s="92"/>
      <c r="AI222" s="92"/>
      <c r="AJ222" s="92"/>
      <c r="AK222" s="92"/>
      <c r="AL222" s="92"/>
      <c r="AM222" s="92"/>
      <c r="AN222" s="92"/>
      <c r="AO222" s="92"/>
      <c r="AP222" s="92"/>
      <c r="AQ222" s="92"/>
      <c r="AR222" s="92"/>
      <c r="AS222" s="92"/>
      <c r="AT222" s="92"/>
      <c r="AU222" s="92"/>
      <c r="AV222" s="92"/>
      <c r="AX222" s="62">
        <v>1990</v>
      </c>
      <c r="AY222" s="62">
        <v>6</v>
      </c>
    </row>
    <row r="223" spans="1:58" s="1" customFormat="1" ht="16.5" x14ac:dyDescent="0.3">
      <c r="A223" s="92"/>
      <c r="B223" s="92"/>
      <c r="C223" s="92"/>
      <c r="D223" s="92"/>
      <c r="E223" s="92"/>
      <c r="F223" s="92"/>
      <c r="G223" s="92"/>
      <c r="H223" s="92"/>
      <c r="I223" s="92"/>
      <c r="J223" s="92"/>
      <c r="K223" s="92"/>
      <c r="L223" s="92"/>
      <c r="M223" s="92"/>
      <c r="N223" s="92"/>
      <c r="O223" s="92"/>
      <c r="P223" s="92"/>
      <c r="Q223" s="92"/>
      <c r="R223" s="92"/>
      <c r="S223" s="92"/>
      <c r="T223" s="92"/>
      <c r="U223" s="92"/>
      <c r="V223" s="92"/>
      <c r="W223" s="92"/>
      <c r="X223" s="92"/>
      <c r="Y223" s="92"/>
      <c r="Z223" s="92"/>
      <c r="AA223" s="92"/>
      <c r="AB223" s="92"/>
      <c r="AC223" s="92"/>
      <c r="AD223" s="92"/>
      <c r="AE223" s="92"/>
      <c r="AF223" s="92"/>
      <c r="AG223" s="92"/>
      <c r="AH223" s="92"/>
      <c r="AI223" s="92"/>
      <c r="AJ223" s="92"/>
      <c r="AK223" s="92"/>
      <c r="AL223" s="92"/>
      <c r="AM223" s="92"/>
      <c r="AN223" s="92"/>
      <c r="AO223" s="92"/>
      <c r="AP223" s="92"/>
      <c r="AQ223" s="92"/>
      <c r="AR223" s="92"/>
      <c r="AS223" s="92"/>
      <c r="AT223" s="92"/>
      <c r="AU223" s="92"/>
      <c r="AV223" s="92"/>
      <c r="AX223" s="62">
        <v>1994</v>
      </c>
      <c r="AY223" s="62">
        <v>1</v>
      </c>
      <c r="AZ223" s="62"/>
      <c r="BA223" s="113" t="s">
        <v>48</v>
      </c>
      <c r="BB223" s="114">
        <v>0</v>
      </c>
      <c r="BC223" s="114">
        <v>0</v>
      </c>
      <c r="BD223" s="114">
        <v>0</v>
      </c>
      <c r="BE223" s="114">
        <v>0</v>
      </c>
      <c r="BF223" s="114">
        <v>0</v>
      </c>
    </row>
    <row r="224" spans="1:58" s="1" customFormat="1" ht="16.5" x14ac:dyDescent="0.3">
      <c r="A224" s="92"/>
      <c r="B224" s="92"/>
      <c r="C224" s="92"/>
      <c r="D224" s="92"/>
      <c r="E224" s="92"/>
      <c r="F224" s="92"/>
      <c r="G224" s="92"/>
      <c r="H224" s="92"/>
      <c r="I224" s="92"/>
      <c r="J224" s="92"/>
      <c r="K224" s="92"/>
      <c r="L224" s="92"/>
      <c r="M224" s="92"/>
      <c r="N224" s="92"/>
      <c r="O224" s="92"/>
      <c r="P224" s="92"/>
      <c r="Q224" s="92"/>
      <c r="R224" s="92"/>
      <c r="S224" s="92"/>
      <c r="T224" s="92"/>
      <c r="U224" s="92"/>
      <c r="V224" s="92"/>
      <c r="W224" s="92"/>
      <c r="X224" s="92"/>
      <c r="Y224" s="92"/>
      <c r="Z224" s="92"/>
      <c r="AA224" s="92"/>
      <c r="AB224" s="92"/>
      <c r="AC224" s="92"/>
      <c r="AD224" s="92"/>
      <c r="AE224" s="92"/>
      <c r="AF224" s="92"/>
      <c r="AG224" s="92"/>
      <c r="AH224" s="92"/>
      <c r="AI224" s="92"/>
      <c r="AJ224" s="92"/>
      <c r="AK224" s="92"/>
      <c r="AL224" s="92"/>
      <c r="AM224" s="92"/>
      <c r="AN224" s="92"/>
      <c r="AO224" s="92"/>
      <c r="AP224" s="92"/>
      <c r="AQ224" s="92"/>
      <c r="AR224" s="92"/>
      <c r="AS224" s="92"/>
      <c r="AT224" s="92"/>
      <c r="AU224" s="92"/>
      <c r="AV224" s="92"/>
      <c r="AX224" s="62">
        <v>1994</v>
      </c>
      <c r="AY224" s="62">
        <v>1</v>
      </c>
      <c r="AZ224" s="62"/>
      <c r="BA224" s="113" t="s">
        <v>49</v>
      </c>
      <c r="BB224" s="114">
        <v>0</v>
      </c>
      <c r="BC224" s="114">
        <v>0</v>
      </c>
      <c r="BD224" s="114">
        <v>0</v>
      </c>
      <c r="BE224" s="114">
        <v>0</v>
      </c>
      <c r="BF224" s="114">
        <v>0</v>
      </c>
    </row>
    <row r="225" spans="1:58" s="1" customFormat="1" ht="16.5" x14ac:dyDescent="0.3">
      <c r="A225" s="92"/>
      <c r="B225" s="92"/>
      <c r="C225" s="92"/>
      <c r="D225" s="92"/>
      <c r="E225" s="92"/>
      <c r="F225" s="92"/>
      <c r="G225" s="92"/>
      <c r="H225" s="92"/>
      <c r="I225" s="92"/>
      <c r="J225" s="92"/>
      <c r="K225" s="92"/>
      <c r="L225" s="92"/>
      <c r="M225" s="92"/>
      <c r="N225" s="92"/>
      <c r="O225" s="92"/>
      <c r="P225" s="92"/>
      <c r="Q225" s="92"/>
      <c r="R225" s="92"/>
      <c r="S225" s="92"/>
      <c r="T225" s="92"/>
      <c r="U225" s="92"/>
      <c r="V225" s="92"/>
      <c r="W225" s="92"/>
      <c r="X225" s="92"/>
      <c r="Y225" s="92"/>
      <c r="Z225" s="92"/>
      <c r="AA225" s="92"/>
      <c r="AB225" s="92"/>
      <c r="AC225" s="92"/>
      <c r="AD225" s="92"/>
      <c r="AE225" s="92"/>
      <c r="AF225" s="92"/>
      <c r="AG225" s="92"/>
      <c r="AH225" s="92"/>
      <c r="AI225" s="92"/>
      <c r="AJ225" s="92"/>
      <c r="AK225" s="92"/>
      <c r="AL225" s="92"/>
      <c r="AM225" s="92"/>
      <c r="AN225" s="92"/>
      <c r="AO225" s="92"/>
      <c r="AP225" s="92"/>
      <c r="AQ225" s="92"/>
      <c r="AR225" s="92"/>
      <c r="AS225" s="92"/>
      <c r="AT225" s="92"/>
      <c r="AU225" s="92"/>
      <c r="AV225" s="92"/>
      <c r="AX225" s="62">
        <v>1995</v>
      </c>
      <c r="AY225" s="62">
        <v>3</v>
      </c>
      <c r="AZ225" s="62"/>
      <c r="BA225" s="113" t="s">
        <v>52</v>
      </c>
      <c r="BB225" s="114">
        <v>0</v>
      </c>
      <c r="BC225" s="114">
        <v>0</v>
      </c>
      <c r="BD225" s="114">
        <v>0</v>
      </c>
      <c r="BE225" s="114">
        <v>0</v>
      </c>
      <c r="BF225" s="114">
        <v>0</v>
      </c>
    </row>
    <row r="226" spans="1:58" s="1" customFormat="1" ht="16.5" x14ac:dyDescent="0.3">
      <c r="A226" s="92"/>
      <c r="B226" s="92"/>
      <c r="C226" s="92"/>
      <c r="D226" s="92"/>
      <c r="E226" s="92"/>
      <c r="F226" s="92"/>
      <c r="G226" s="92"/>
      <c r="H226" s="92"/>
      <c r="I226" s="92"/>
      <c r="J226" s="92"/>
      <c r="K226" s="92"/>
      <c r="L226" s="92"/>
      <c r="M226" s="92"/>
      <c r="N226" s="92"/>
      <c r="O226" s="92"/>
      <c r="P226" s="92"/>
      <c r="Q226" s="92"/>
      <c r="R226" s="92"/>
      <c r="S226" s="92"/>
      <c r="T226" s="92"/>
      <c r="U226" s="92"/>
      <c r="V226" s="92"/>
      <c r="W226" s="92"/>
      <c r="X226" s="92"/>
      <c r="Y226" s="92"/>
      <c r="Z226" s="92"/>
      <c r="AA226" s="92"/>
      <c r="AB226" s="92"/>
      <c r="AC226" s="92"/>
      <c r="AD226" s="92"/>
      <c r="AE226" s="92"/>
      <c r="AF226" s="92"/>
      <c r="AG226" s="92"/>
      <c r="AH226" s="92"/>
      <c r="AI226" s="92"/>
      <c r="AJ226" s="92"/>
      <c r="AK226" s="92"/>
      <c r="AL226" s="92"/>
      <c r="AM226" s="92"/>
      <c r="AN226" s="92"/>
      <c r="AO226" s="92"/>
      <c r="AP226" s="92"/>
      <c r="AQ226" s="92"/>
      <c r="AR226" s="92"/>
      <c r="AS226" s="92"/>
      <c r="AT226" s="92"/>
      <c r="AU226" s="92"/>
      <c r="AV226" s="92"/>
      <c r="AX226" s="62">
        <v>1995</v>
      </c>
      <c r="AY226" s="62">
        <v>3</v>
      </c>
      <c r="AZ226" s="62"/>
      <c r="BA226" s="3"/>
    </row>
    <row r="227" spans="1:58" s="1" customFormat="1" ht="16.5" x14ac:dyDescent="0.3">
      <c r="A227" s="92"/>
      <c r="B227" s="92"/>
      <c r="C227" s="92"/>
      <c r="D227" s="92"/>
      <c r="E227" s="92"/>
      <c r="F227" s="92"/>
      <c r="G227" s="92"/>
      <c r="H227" s="92"/>
      <c r="I227" s="92"/>
      <c r="J227" s="92"/>
      <c r="K227" s="92"/>
      <c r="L227" s="92"/>
      <c r="M227" s="92"/>
      <c r="N227" s="92"/>
      <c r="O227" s="92"/>
      <c r="P227" s="92"/>
      <c r="Q227" s="92"/>
      <c r="R227" s="92"/>
      <c r="S227" s="92"/>
      <c r="T227" s="92"/>
      <c r="U227" s="92"/>
      <c r="V227" s="92"/>
      <c r="W227" s="92"/>
      <c r="X227" s="92"/>
      <c r="Y227" s="92"/>
      <c r="Z227" s="92"/>
      <c r="AA227" s="92"/>
      <c r="AB227" s="92"/>
      <c r="AC227" s="92"/>
      <c r="AD227" s="92"/>
      <c r="AE227" s="92"/>
      <c r="AF227" s="92"/>
      <c r="AG227" s="92"/>
      <c r="AH227" s="92"/>
      <c r="AI227" s="92"/>
      <c r="AJ227" s="92"/>
      <c r="AK227" s="92"/>
      <c r="AL227" s="92"/>
      <c r="AM227" s="92"/>
      <c r="AN227" s="92"/>
      <c r="AO227" s="92"/>
      <c r="AP227" s="92"/>
      <c r="AQ227" s="92"/>
      <c r="AR227" s="92"/>
      <c r="AS227" s="92"/>
      <c r="AT227" s="92"/>
      <c r="AU227" s="92"/>
      <c r="AV227" s="92"/>
      <c r="AX227" s="62">
        <v>1995</v>
      </c>
      <c r="AY227" s="62">
        <v>3</v>
      </c>
      <c r="AZ227" s="62"/>
      <c r="BA227" s="113"/>
      <c r="BB227" s="113" t="s">
        <v>55</v>
      </c>
      <c r="BC227" s="113" t="s">
        <v>53</v>
      </c>
      <c r="BD227" s="113" t="s">
        <v>54</v>
      </c>
      <c r="BE227" s="113" t="s">
        <v>51</v>
      </c>
      <c r="BF227" s="113" t="s">
        <v>52</v>
      </c>
    </row>
    <row r="228" spans="1:58" s="1" customFormat="1" ht="16.5" x14ac:dyDescent="0.3">
      <c r="A228" s="92"/>
      <c r="B228" s="92"/>
      <c r="C228" s="92"/>
      <c r="D228" s="92"/>
      <c r="E228" s="92"/>
      <c r="F228" s="92"/>
      <c r="G228" s="92"/>
      <c r="H228" s="92"/>
      <c r="I228" s="92"/>
      <c r="J228" s="92"/>
      <c r="K228" s="92"/>
      <c r="L228" s="92"/>
      <c r="M228" s="92"/>
      <c r="N228" s="92"/>
      <c r="O228" s="92"/>
      <c r="P228" s="92"/>
      <c r="Q228" s="92"/>
      <c r="R228" s="92"/>
      <c r="S228" s="92"/>
      <c r="T228" s="92"/>
      <c r="U228" s="92"/>
      <c r="V228" s="92"/>
      <c r="W228" s="92"/>
      <c r="X228" s="92"/>
      <c r="Y228" s="92"/>
      <c r="Z228" s="92"/>
      <c r="AA228" s="92"/>
      <c r="AB228" s="92"/>
      <c r="AC228" s="92"/>
      <c r="AD228" s="92"/>
      <c r="AE228" s="92"/>
      <c r="AF228" s="92"/>
      <c r="AG228" s="92"/>
      <c r="AH228" s="92"/>
      <c r="AI228" s="92"/>
      <c r="AJ228" s="92"/>
      <c r="AK228" s="92"/>
      <c r="AL228" s="92"/>
      <c r="AM228" s="92"/>
      <c r="AN228" s="92"/>
      <c r="AO228" s="92"/>
      <c r="AP228" s="92"/>
      <c r="AQ228" s="92"/>
      <c r="AR228" s="92"/>
      <c r="AS228" s="92"/>
      <c r="AT228" s="92"/>
      <c r="AU228" s="92"/>
      <c r="AV228" s="92"/>
      <c r="AX228" s="62">
        <v>1994</v>
      </c>
      <c r="AY228" s="62">
        <v>9</v>
      </c>
      <c r="BA228" s="113" t="s">
        <v>49</v>
      </c>
      <c r="BB228" s="117" t="e">
        <v>#DIV/0!</v>
      </c>
      <c r="BC228" s="117" t="e">
        <v>#DIV/0!</v>
      </c>
      <c r="BD228" s="117" t="e">
        <v>#DIV/0!</v>
      </c>
      <c r="BE228" s="117" t="e">
        <v>#DIV/0!</v>
      </c>
      <c r="BF228" s="117" t="e">
        <v>#DIV/0!</v>
      </c>
    </row>
    <row r="229" spans="1:58" s="1" customFormat="1" ht="16.5" x14ac:dyDescent="0.3">
      <c r="A229" s="92"/>
      <c r="B229" s="92"/>
      <c r="C229" s="92"/>
      <c r="D229" s="92"/>
      <c r="E229" s="92"/>
      <c r="F229" s="92"/>
      <c r="G229" s="92"/>
      <c r="H229" s="92"/>
      <c r="I229" s="92"/>
      <c r="J229" s="92"/>
      <c r="K229" s="92"/>
      <c r="L229" s="92"/>
      <c r="M229" s="92"/>
      <c r="N229" s="92"/>
      <c r="O229" s="92"/>
      <c r="P229" s="92"/>
      <c r="Q229" s="92"/>
      <c r="R229" s="92"/>
      <c r="S229" s="92"/>
      <c r="T229" s="92"/>
      <c r="U229" s="92"/>
      <c r="V229" s="92"/>
      <c r="W229" s="92"/>
      <c r="X229" s="92"/>
      <c r="Y229" s="92"/>
      <c r="Z229" s="92"/>
      <c r="AA229" s="92"/>
      <c r="AB229" s="92"/>
      <c r="AC229" s="92"/>
      <c r="AD229" s="92"/>
      <c r="AE229" s="92"/>
      <c r="AF229" s="92"/>
      <c r="AG229" s="92"/>
      <c r="AH229" s="92"/>
      <c r="AI229" s="92"/>
      <c r="AJ229" s="92"/>
      <c r="AK229" s="92"/>
      <c r="AL229" s="92"/>
      <c r="AM229" s="92"/>
      <c r="AN229" s="92"/>
      <c r="AO229" s="92"/>
      <c r="AP229" s="92"/>
      <c r="AQ229" s="92"/>
      <c r="AR229" s="92"/>
      <c r="AS229" s="92"/>
      <c r="AT229" s="92"/>
      <c r="AU229" s="92"/>
      <c r="AV229" s="92"/>
      <c r="AX229" s="62">
        <v>1993</v>
      </c>
      <c r="AY229" s="62">
        <v>11</v>
      </c>
      <c r="BA229" s="113" t="s">
        <v>52</v>
      </c>
      <c r="BB229" s="117" t="e">
        <v>#DIV/0!</v>
      </c>
      <c r="BC229" s="117" t="e">
        <v>#DIV/0!</v>
      </c>
      <c r="BD229" s="117" t="e">
        <v>#DIV/0!</v>
      </c>
      <c r="BE229" s="117" t="e">
        <v>#DIV/0!</v>
      </c>
      <c r="BF229" s="117" t="e">
        <v>#DIV/0!</v>
      </c>
    </row>
    <row r="230" spans="1:58" s="1" customFormat="1" ht="16.5" x14ac:dyDescent="0.3">
      <c r="A230" s="92"/>
      <c r="B230" s="92"/>
      <c r="C230" s="92"/>
      <c r="D230" s="92"/>
      <c r="E230" s="92"/>
      <c r="F230" s="92"/>
      <c r="G230" s="92"/>
      <c r="H230" s="92"/>
      <c r="I230" s="92"/>
      <c r="J230" s="92"/>
      <c r="K230" s="92"/>
      <c r="L230" s="92"/>
      <c r="M230" s="92"/>
      <c r="N230" s="92"/>
      <c r="O230" s="92"/>
      <c r="P230" s="92"/>
      <c r="Q230" s="92"/>
      <c r="R230" s="92"/>
      <c r="S230" s="92"/>
      <c r="T230" s="92"/>
      <c r="U230" s="92"/>
      <c r="V230" s="92"/>
      <c r="W230" s="92"/>
      <c r="X230" s="92"/>
      <c r="Y230" s="92"/>
      <c r="Z230" s="92"/>
      <c r="AA230" s="92"/>
      <c r="AB230" s="92"/>
      <c r="AC230" s="92"/>
      <c r="AD230" s="92"/>
      <c r="AE230" s="92"/>
      <c r="AF230" s="92"/>
      <c r="AG230" s="92"/>
      <c r="AH230" s="92"/>
      <c r="AI230" s="92"/>
      <c r="AJ230" s="92"/>
      <c r="AK230" s="92"/>
      <c r="AL230" s="92"/>
      <c r="AM230" s="92"/>
      <c r="AN230" s="92"/>
      <c r="AO230" s="92"/>
      <c r="AP230" s="92"/>
      <c r="AQ230" s="92"/>
      <c r="AR230" s="92"/>
      <c r="AS230" s="92"/>
      <c r="AT230" s="92"/>
      <c r="AU230" s="92"/>
      <c r="AV230" s="92"/>
      <c r="AX230" s="62">
        <v>2000</v>
      </c>
      <c r="AY230" s="62">
        <v>6</v>
      </c>
    </row>
    <row r="231" spans="1:58" s="1" customFormat="1" ht="16.5" x14ac:dyDescent="0.3">
      <c r="A231" s="92"/>
      <c r="B231" s="92"/>
      <c r="C231" s="92"/>
      <c r="D231" s="92"/>
      <c r="E231" s="92"/>
      <c r="F231" s="92"/>
      <c r="G231" s="92"/>
      <c r="H231" s="92"/>
      <c r="I231" s="92"/>
      <c r="J231" s="92"/>
      <c r="K231" s="92"/>
      <c r="L231" s="92"/>
      <c r="M231" s="92"/>
      <c r="N231" s="92"/>
      <c r="O231" s="92"/>
      <c r="P231" s="92"/>
      <c r="Q231" s="92"/>
      <c r="R231" s="92"/>
      <c r="S231" s="92"/>
      <c r="T231" s="92"/>
      <c r="U231" s="92"/>
      <c r="V231" s="92"/>
      <c r="W231" s="92"/>
      <c r="X231" s="92"/>
      <c r="Y231" s="92"/>
      <c r="Z231" s="92"/>
      <c r="AA231" s="92"/>
      <c r="AB231" s="92"/>
      <c r="AC231" s="92"/>
      <c r="AD231" s="92"/>
      <c r="AE231" s="92"/>
      <c r="AF231" s="92"/>
      <c r="AG231" s="92"/>
      <c r="AH231" s="92"/>
      <c r="AI231" s="92"/>
      <c r="AJ231" s="92"/>
      <c r="AK231" s="92"/>
      <c r="AL231" s="92"/>
      <c r="AM231" s="92"/>
      <c r="AN231" s="92"/>
      <c r="AO231" s="92"/>
      <c r="AP231" s="92"/>
      <c r="AQ231" s="92"/>
      <c r="AR231" s="92"/>
      <c r="AS231" s="92"/>
      <c r="AT231" s="92"/>
      <c r="AU231" s="92"/>
      <c r="AV231" s="92"/>
      <c r="AX231" s="62">
        <v>2000</v>
      </c>
      <c r="AY231" s="62">
        <v>6</v>
      </c>
    </row>
    <row r="232" spans="1:58" s="1" customFormat="1" ht="16.5" x14ac:dyDescent="0.3">
      <c r="A232" s="92"/>
      <c r="B232" s="92"/>
      <c r="C232" s="92"/>
      <c r="D232" s="92"/>
      <c r="E232" s="92"/>
      <c r="F232" s="92"/>
      <c r="G232" s="92"/>
      <c r="H232" s="92"/>
      <c r="I232" s="92"/>
      <c r="J232" s="92"/>
      <c r="K232" s="92"/>
      <c r="L232" s="92"/>
      <c r="M232" s="92"/>
      <c r="N232" s="92"/>
      <c r="O232" s="92"/>
      <c r="P232" s="92"/>
      <c r="Q232" s="92"/>
      <c r="R232" s="92"/>
      <c r="S232" s="92"/>
      <c r="T232" s="92"/>
      <c r="U232" s="92"/>
      <c r="V232" s="92"/>
      <c r="W232" s="92"/>
      <c r="X232" s="92"/>
      <c r="Y232" s="92"/>
      <c r="Z232" s="92"/>
      <c r="AA232" s="92"/>
      <c r="AB232" s="92"/>
      <c r="AC232" s="92"/>
      <c r="AD232" s="92"/>
      <c r="AE232" s="92"/>
      <c r="AF232" s="92"/>
      <c r="AG232" s="92"/>
      <c r="AH232" s="92"/>
      <c r="AI232" s="92"/>
      <c r="AJ232" s="92"/>
      <c r="AK232" s="92"/>
      <c r="AL232" s="92"/>
      <c r="AM232" s="92"/>
      <c r="AN232" s="92"/>
      <c r="AO232" s="92"/>
      <c r="AP232" s="92"/>
      <c r="AQ232" s="92"/>
      <c r="AR232" s="92"/>
      <c r="AS232" s="92"/>
      <c r="AT232" s="92"/>
      <c r="AU232" s="92"/>
      <c r="AV232" s="92"/>
      <c r="AX232" s="62">
        <v>1994</v>
      </c>
      <c r="AY232" s="62">
        <v>3</v>
      </c>
    </row>
    <row r="233" spans="1:58" s="1" customFormat="1" ht="16.5" x14ac:dyDescent="0.3">
      <c r="A233" s="92"/>
      <c r="B233" s="92"/>
      <c r="C233" s="92"/>
      <c r="D233" s="92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  <c r="AA233" s="92"/>
      <c r="AB233" s="92"/>
      <c r="AC233" s="92"/>
      <c r="AD233" s="92"/>
      <c r="AE233" s="92"/>
      <c r="AF233" s="92"/>
      <c r="AG233" s="92"/>
      <c r="AH233" s="92"/>
      <c r="AI233" s="92"/>
      <c r="AJ233" s="92"/>
      <c r="AK233" s="92"/>
      <c r="AL233" s="92"/>
      <c r="AM233" s="92"/>
      <c r="AN233" s="92"/>
      <c r="AO233" s="92"/>
      <c r="AP233" s="92"/>
      <c r="AQ233" s="92"/>
      <c r="AR233" s="92"/>
      <c r="AS233" s="92"/>
      <c r="AT233" s="92"/>
      <c r="AU233" s="92"/>
      <c r="AV233" s="92"/>
      <c r="AX233" s="62">
        <v>1993</v>
      </c>
      <c r="AY233" s="62">
        <v>6</v>
      </c>
    </row>
    <row r="234" spans="1:58" s="1" customFormat="1" ht="16.5" x14ac:dyDescent="0.3">
      <c r="A234" s="92"/>
      <c r="B234" s="92"/>
      <c r="C234" s="92"/>
      <c r="D234" s="92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  <c r="AA234" s="92"/>
      <c r="AB234" s="92"/>
      <c r="AC234" s="92"/>
      <c r="AD234" s="92"/>
      <c r="AE234" s="92"/>
      <c r="AF234" s="92"/>
      <c r="AG234" s="92"/>
      <c r="AH234" s="92"/>
      <c r="AI234" s="92"/>
      <c r="AJ234" s="92"/>
      <c r="AK234" s="92"/>
      <c r="AL234" s="92"/>
      <c r="AM234" s="92"/>
      <c r="AN234" s="92"/>
      <c r="AO234" s="92"/>
      <c r="AP234" s="92"/>
      <c r="AQ234" s="92"/>
      <c r="AR234" s="92"/>
      <c r="AS234" s="92"/>
      <c r="AT234" s="92"/>
      <c r="AU234" s="92"/>
      <c r="AV234" s="92"/>
      <c r="AX234" s="62" t="s">
        <v>85</v>
      </c>
      <c r="AY234" s="62" t="s">
        <v>85</v>
      </c>
      <c r="AZ234" s="92"/>
    </row>
    <row r="235" spans="1:58" s="1" customFormat="1" ht="16.5" x14ac:dyDescent="0.3">
      <c r="A235" s="92"/>
      <c r="B235" s="92"/>
      <c r="C235" s="92"/>
      <c r="D235" s="92"/>
      <c r="E235" s="92"/>
      <c r="F235" s="92"/>
      <c r="G235" s="92"/>
      <c r="H235" s="92"/>
      <c r="I235" s="92"/>
      <c r="J235" s="92"/>
      <c r="K235" s="92"/>
      <c r="L235" s="92"/>
      <c r="M235" s="92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  <c r="AA235" s="92"/>
      <c r="AB235" s="92"/>
      <c r="AC235" s="92"/>
      <c r="AD235" s="92"/>
      <c r="AE235" s="92"/>
      <c r="AF235" s="92"/>
      <c r="AG235" s="92"/>
      <c r="AH235" s="92"/>
      <c r="AI235" s="92"/>
      <c r="AJ235" s="92"/>
      <c r="AK235" s="92"/>
      <c r="AL235" s="92"/>
      <c r="AM235" s="92"/>
      <c r="AN235" s="92"/>
      <c r="AO235" s="92"/>
      <c r="AP235" s="92"/>
      <c r="AQ235" s="92"/>
      <c r="AR235" s="92"/>
      <c r="AS235" s="92"/>
      <c r="AT235" s="92"/>
      <c r="AU235" s="92"/>
      <c r="AV235" s="92"/>
      <c r="AX235" s="62" t="s">
        <v>85</v>
      </c>
      <c r="AY235" s="62" t="s">
        <v>85</v>
      </c>
      <c r="AZ235" s="92"/>
    </row>
    <row r="236" spans="1:58" s="1" customFormat="1" ht="16.5" x14ac:dyDescent="0.3">
      <c r="A236" s="92"/>
      <c r="B236" s="92"/>
      <c r="C236" s="92"/>
      <c r="D236" s="92"/>
      <c r="E236" s="92"/>
      <c r="F236" s="92"/>
      <c r="G236" s="92"/>
      <c r="H236" s="92"/>
      <c r="I236" s="92"/>
      <c r="J236" s="92"/>
      <c r="K236" s="92"/>
      <c r="L236" s="92"/>
      <c r="M236" s="92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  <c r="AA236" s="92"/>
      <c r="AB236" s="92"/>
      <c r="AC236" s="92"/>
      <c r="AD236" s="92"/>
      <c r="AE236" s="92"/>
      <c r="AF236" s="92"/>
      <c r="AG236" s="92"/>
      <c r="AH236" s="92"/>
      <c r="AI236" s="92"/>
      <c r="AJ236" s="92"/>
      <c r="AK236" s="92"/>
      <c r="AL236" s="92"/>
      <c r="AM236" s="92"/>
      <c r="AN236" s="92"/>
      <c r="AO236" s="92"/>
      <c r="AP236" s="92"/>
      <c r="AQ236" s="92"/>
      <c r="AR236" s="92"/>
      <c r="AS236" s="92"/>
      <c r="AT236" s="92"/>
      <c r="AU236" s="92"/>
      <c r="AV236" s="92"/>
      <c r="AX236" s="62" t="s">
        <v>85</v>
      </c>
      <c r="AY236" s="62" t="s">
        <v>85</v>
      </c>
      <c r="AZ236" s="92"/>
    </row>
    <row r="237" spans="1:58" s="1" customFormat="1" ht="16.5" x14ac:dyDescent="0.3">
      <c r="A237" s="92"/>
      <c r="B237" s="92"/>
      <c r="C237" s="92"/>
      <c r="D237" s="92"/>
      <c r="E237" s="92"/>
      <c r="F237" s="92"/>
      <c r="G237" s="92"/>
      <c r="H237" s="92"/>
      <c r="I237" s="92"/>
      <c r="J237" s="92"/>
      <c r="K237" s="92"/>
      <c r="L237" s="92"/>
      <c r="M237" s="92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  <c r="AA237" s="92"/>
      <c r="AB237" s="92"/>
      <c r="AC237" s="92"/>
      <c r="AD237" s="92"/>
      <c r="AE237" s="92"/>
      <c r="AF237" s="92"/>
      <c r="AG237" s="92"/>
      <c r="AH237" s="92"/>
      <c r="AI237" s="92"/>
      <c r="AJ237" s="92"/>
      <c r="AK237" s="92"/>
      <c r="AL237" s="92"/>
      <c r="AM237" s="92"/>
      <c r="AN237" s="92"/>
      <c r="AO237" s="92"/>
      <c r="AP237" s="92"/>
      <c r="AQ237" s="92"/>
      <c r="AR237" s="92"/>
      <c r="AS237" s="92"/>
      <c r="AT237" s="92"/>
      <c r="AU237" s="92"/>
      <c r="AV237" s="92"/>
      <c r="AX237" s="62" t="s">
        <v>85</v>
      </c>
      <c r="AY237" s="62" t="s">
        <v>85</v>
      </c>
      <c r="AZ237" s="92"/>
    </row>
    <row r="238" spans="1:58" s="1" customFormat="1" ht="16.5" x14ac:dyDescent="0.3">
      <c r="A238" s="92"/>
      <c r="B238" s="92"/>
      <c r="C238" s="92"/>
      <c r="D238" s="92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  <c r="AA238" s="92"/>
      <c r="AB238" s="92"/>
      <c r="AC238" s="92"/>
      <c r="AD238" s="92"/>
      <c r="AE238" s="92"/>
      <c r="AF238" s="92"/>
      <c r="AG238" s="92"/>
      <c r="AH238" s="92"/>
      <c r="AI238" s="92"/>
      <c r="AJ238" s="92"/>
      <c r="AK238" s="92"/>
      <c r="AL238" s="92"/>
      <c r="AM238" s="92"/>
      <c r="AN238" s="92"/>
      <c r="AO238" s="92"/>
      <c r="AP238" s="92"/>
      <c r="AQ238" s="92"/>
      <c r="AR238" s="92"/>
      <c r="AS238" s="92"/>
      <c r="AT238" s="92"/>
      <c r="AU238" s="92"/>
      <c r="AV238" s="92"/>
      <c r="AX238" s="62" t="s">
        <v>85</v>
      </c>
      <c r="AY238" s="62" t="s">
        <v>85</v>
      </c>
      <c r="AZ238" s="92"/>
    </row>
    <row r="239" spans="1:58" s="1" customFormat="1" ht="16.5" x14ac:dyDescent="0.3">
      <c r="A239" s="92"/>
      <c r="B239" s="92"/>
      <c r="C239" s="92"/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  <c r="AA239" s="92"/>
      <c r="AB239" s="92"/>
      <c r="AC239" s="92"/>
      <c r="AD239" s="92"/>
      <c r="AE239" s="92"/>
      <c r="AF239" s="92"/>
      <c r="AG239" s="92"/>
      <c r="AH239" s="92"/>
      <c r="AI239" s="92"/>
      <c r="AJ239" s="92"/>
      <c r="AK239" s="92"/>
      <c r="AL239" s="92"/>
      <c r="AM239" s="92"/>
      <c r="AN239" s="92"/>
      <c r="AO239" s="92"/>
      <c r="AP239" s="92"/>
      <c r="AQ239" s="92"/>
      <c r="AR239" s="92"/>
      <c r="AS239" s="92"/>
      <c r="AT239" s="92"/>
      <c r="AU239" s="92"/>
      <c r="AV239" s="92"/>
      <c r="AX239" s="62" t="s">
        <v>85</v>
      </c>
      <c r="AY239" s="62" t="s">
        <v>85</v>
      </c>
      <c r="AZ239" s="92"/>
    </row>
    <row r="240" spans="1:58" s="1" customFormat="1" ht="16.5" x14ac:dyDescent="0.3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  <c r="AA240" s="92"/>
      <c r="AB240" s="92"/>
      <c r="AC240" s="92"/>
      <c r="AD240" s="92"/>
      <c r="AE240" s="92"/>
      <c r="AF240" s="92"/>
      <c r="AG240" s="92"/>
      <c r="AH240" s="92"/>
      <c r="AI240" s="92"/>
      <c r="AJ240" s="92"/>
      <c r="AK240" s="92"/>
      <c r="AL240" s="92"/>
      <c r="AM240" s="92"/>
      <c r="AN240" s="92"/>
      <c r="AO240" s="92"/>
      <c r="AP240" s="92"/>
      <c r="AQ240" s="92"/>
      <c r="AR240" s="92"/>
      <c r="AS240" s="92"/>
      <c r="AT240" s="92"/>
      <c r="AU240" s="92"/>
      <c r="AV240" s="92"/>
      <c r="AX240" s="62" t="s">
        <v>85</v>
      </c>
      <c r="AY240" s="62" t="s">
        <v>85</v>
      </c>
      <c r="AZ240" s="92"/>
    </row>
    <row r="241" spans="1:52" s="1" customFormat="1" ht="16.5" x14ac:dyDescent="0.3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  <c r="AA241" s="92"/>
      <c r="AB241" s="92"/>
      <c r="AC241" s="92"/>
      <c r="AD241" s="92"/>
      <c r="AE241" s="92"/>
      <c r="AF241" s="92"/>
      <c r="AG241" s="92"/>
      <c r="AH241" s="92"/>
      <c r="AI241" s="92"/>
      <c r="AJ241" s="92"/>
      <c r="AK241" s="92"/>
      <c r="AL241" s="92"/>
      <c r="AM241" s="92"/>
      <c r="AN241" s="92"/>
      <c r="AO241" s="92"/>
      <c r="AP241" s="92"/>
      <c r="AQ241" s="92"/>
      <c r="AR241" s="92"/>
      <c r="AS241" s="92"/>
      <c r="AT241" s="92"/>
      <c r="AU241" s="92"/>
      <c r="AV241" s="92"/>
      <c r="AX241" s="62" t="s">
        <v>85</v>
      </c>
      <c r="AY241" s="62" t="s">
        <v>85</v>
      </c>
      <c r="AZ241" s="92"/>
    </row>
    <row r="242" spans="1:52" s="1" customFormat="1" ht="16.5" x14ac:dyDescent="0.3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E242" s="92"/>
      <c r="AF242" s="92"/>
      <c r="AG242" s="92"/>
      <c r="AH242" s="92"/>
      <c r="AI242" s="92"/>
      <c r="AJ242" s="92"/>
      <c r="AK242" s="92"/>
      <c r="AL242" s="92"/>
      <c r="AM242" s="92"/>
      <c r="AN242" s="92"/>
      <c r="AO242" s="92"/>
      <c r="AP242" s="92"/>
      <c r="AQ242" s="92"/>
      <c r="AR242" s="92"/>
      <c r="AS242" s="92"/>
      <c r="AT242" s="92"/>
      <c r="AU242" s="92"/>
      <c r="AV242" s="92"/>
      <c r="AX242" s="62" t="s">
        <v>85</v>
      </c>
      <c r="AY242" s="62" t="s">
        <v>85</v>
      </c>
      <c r="AZ242" s="92"/>
    </row>
    <row r="243" spans="1:52" s="1" customFormat="1" ht="16.5" x14ac:dyDescent="0.3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  <c r="AA243" s="92"/>
      <c r="AB243" s="92"/>
      <c r="AC243" s="92"/>
      <c r="AD243" s="92"/>
      <c r="AE243" s="92"/>
      <c r="AF243" s="92"/>
      <c r="AG243" s="92"/>
      <c r="AH243" s="92"/>
      <c r="AI243" s="92"/>
      <c r="AJ243" s="92"/>
      <c r="AK243" s="92"/>
      <c r="AL243" s="92"/>
      <c r="AM243" s="92"/>
      <c r="AN243" s="92"/>
      <c r="AO243" s="92"/>
      <c r="AP243" s="92"/>
      <c r="AQ243" s="92"/>
      <c r="AR243" s="92"/>
      <c r="AS243" s="92"/>
      <c r="AT243" s="92"/>
      <c r="AU243" s="92"/>
      <c r="AV243" s="92"/>
      <c r="AX243" s="62" t="s">
        <v>85</v>
      </c>
      <c r="AY243" s="62" t="s">
        <v>85</v>
      </c>
      <c r="AZ243" s="92"/>
    </row>
    <row r="244" spans="1:52" s="1" customFormat="1" ht="16.5" x14ac:dyDescent="0.3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  <c r="AX244" s="62" t="s">
        <v>85</v>
      </c>
      <c r="AY244" s="62" t="s">
        <v>85</v>
      </c>
      <c r="AZ244" s="92"/>
    </row>
    <row r="245" spans="1:52" s="1" customFormat="1" ht="16.5" x14ac:dyDescent="0.3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  <c r="AX245" s="62" t="s">
        <v>85</v>
      </c>
      <c r="AY245" s="62" t="s">
        <v>85</v>
      </c>
      <c r="AZ245" s="92"/>
    </row>
    <row r="246" spans="1:52" s="1" customFormat="1" ht="16.5" x14ac:dyDescent="0.3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  <c r="AX246" s="62" t="s">
        <v>85</v>
      </c>
      <c r="AY246" s="62" t="s">
        <v>85</v>
      </c>
      <c r="AZ246" s="92"/>
    </row>
    <row r="247" spans="1:52" s="1" customFormat="1" ht="16.5" x14ac:dyDescent="0.3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  <c r="AX247" s="62" t="s">
        <v>85</v>
      </c>
      <c r="AY247" s="62" t="s">
        <v>85</v>
      </c>
      <c r="AZ247" s="92"/>
    </row>
    <row r="248" spans="1:52" s="1" customFormat="1" ht="16.5" x14ac:dyDescent="0.3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  <c r="AX248" s="62" t="s">
        <v>85</v>
      </c>
      <c r="AY248" s="62" t="s">
        <v>85</v>
      </c>
      <c r="AZ248" s="92"/>
    </row>
    <row r="249" spans="1:52" s="1" customFormat="1" ht="16.5" x14ac:dyDescent="0.3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X249" s="62" t="s">
        <v>85</v>
      </c>
      <c r="AY249" s="62" t="s">
        <v>85</v>
      </c>
      <c r="AZ249" s="92"/>
    </row>
    <row r="250" spans="1:52" s="1" customFormat="1" ht="16.5" x14ac:dyDescent="0.3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X250" s="62" t="s">
        <v>85</v>
      </c>
      <c r="AY250" s="62" t="s">
        <v>85</v>
      </c>
      <c r="AZ250" s="92"/>
    </row>
    <row r="251" spans="1:52" s="1" customFormat="1" ht="16.5" x14ac:dyDescent="0.3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X251" s="62" t="s">
        <v>85</v>
      </c>
      <c r="AY251" s="62" t="s">
        <v>85</v>
      </c>
      <c r="AZ251" s="92"/>
    </row>
    <row r="252" spans="1:52" s="1" customFormat="1" ht="16.5" x14ac:dyDescent="0.3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X252" s="62" t="s">
        <v>85</v>
      </c>
      <c r="AY252" s="62" t="s">
        <v>85</v>
      </c>
      <c r="AZ252" s="92"/>
    </row>
    <row r="253" spans="1:52" s="1" customFormat="1" ht="16.5" x14ac:dyDescent="0.3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X253" s="62" t="s">
        <v>85</v>
      </c>
      <c r="AY253" s="62" t="s">
        <v>85</v>
      </c>
      <c r="AZ253" s="92"/>
    </row>
    <row r="254" spans="1:52" s="1" customFormat="1" ht="16.5" x14ac:dyDescent="0.3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X254" s="62" t="s">
        <v>85</v>
      </c>
      <c r="AY254" s="62" t="s">
        <v>85</v>
      </c>
      <c r="AZ254" s="92"/>
    </row>
    <row r="255" spans="1:52" s="1" customFormat="1" ht="16.5" x14ac:dyDescent="0.3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X255" s="62" t="s">
        <v>85</v>
      </c>
      <c r="AY255" s="62" t="s">
        <v>85</v>
      </c>
      <c r="AZ255" s="92"/>
    </row>
    <row r="256" spans="1:52" s="1" customFormat="1" ht="16.5" x14ac:dyDescent="0.3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X256" s="62" t="s">
        <v>85</v>
      </c>
      <c r="AY256" s="62" t="s">
        <v>85</v>
      </c>
      <c r="AZ256" s="92"/>
    </row>
    <row r="257" spans="1:52" s="1" customFormat="1" ht="16.5" x14ac:dyDescent="0.3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X257" s="62" t="s">
        <v>85</v>
      </c>
      <c r="AY257" s="62" t="s">
        <v>85</v>
      </c>
      <c r="AZ257" s="92"/>
    </row>
    <row r="258" spans="1:52" s="1" customFormat="1" ht="16.5" x14ac:dyDescent="0.3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X258" s="62" t="s">
        <v>85</v>
      </c>
      <c r="AY258" s="62" t="s">
        <v>85</v>
      </c>
      <c r="AZ258" s="92"/>
    </row>
    <row r="259" spans="1:52" s="1" customFormat="1" ht="16.5" x14ac:dyDescent="0.3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X259" s="62" t="s">
        <v>85</v>
      </c>
      <c r="AY259" s="62" t="s">
        <v>85</v>
      </c>
      <c r="AZ259" s="92"/>
    </row>
    <row r="260" spans="1:52" s="1" customFormat="1" ht="16.5" x14ac:dyDescent="0.3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X260" s="62" t="s">
        <v>85</v>
      </c>
      <c r="AY260" s="62" t="s">
        <v>85</v>
      </c>
      <c r="AZ260" s="92"/>
    </row>
    <row r="261" spans="1:52" s="1" customFormat="1" ht="16.5" x14ac:dyDescent="0.3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X261" s="62" t="s">
        <v>85</v>
      </c>
      <c r="AY261" s="62" t="s">
        <v>85</v>
      </c>
      <c r="AZ261" s="92"/>
    </row>
    <row r="262" spans="1:52" s="1" customFormat="1" ht="16.5" x14ac:dyDescent="0.3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X262" s="62" t="s">
        <v>85</v>
      </c>
      <c r="AY262" s="62" t="s">
        <v>85</v>
      </c>
      <c r="AZ262" s="92"/>
    </row>
    <row r="263" spans="1:52" s="1" customFormat="1" ht="16.5" x14ac:dyDescent="0.3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X263" s="62" t="s">
        <v>85</v>
      </c>
      <c r="AY263" s="62" t="s">
        <v>85</v>
      </c>
      <c r="AZ263" s="92"/>
    </row>
    <row r="264" spans="1:52" s="1" customFormat="1" ht="16.5" x14ac:dyDescent="0.3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X264" s="62" t="s">
        <v>85</v>
      </c>
      <c r="AY264" s="62" t="s">
        <v>85</v>
      </c>
      <c r="AZ264" s="92"/>
    </row>
    <row r="265" spans="1:52" s="1" customFormat="1" ht="16.5" x14ac:dyDescent="0.3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X265" s="62" t="s">
        <v>85</v>
      </c>
      <c r="AY265" s="62" t="s">
        <v>85</v>
      </c>
      <c r="AZ265" s="92"/>
    </row>
    <row r="266" spans="1:52" s="1" customFormat="1" ht="16.5" x14ac:dyDescent="0.3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X266" s="62" t="s">
        <v>85</v>
      </c>
      <c r="AY266" s="62" t="s">
        <v>85</v>
      </c>
      <c r="AZ266" s="92"/>
    </row>
    <row r="267" spans="1:52" s="1" customFormat="1" ht="16.5" x14ac:dyDescent="0.3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X267" s="62" t="s">
        <v>85</v>
      </c>
      <c r="AY267" s="62" t="s">
        <v>85</v>
      </c>
      <c r="AZ267" s="92"/>
    </row>
    <row r="268" spans="1:52" s="1" customFormat="1" ht="16.5" x14ac:dyDescent="0.3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X268" s="62" t="s">
        <v>85</v>
      </c>
      <c r="AY268" s="62" t="s">
        <v>85</v>
      </c>
      <c r="AZ268" s="92"/>
    </row>
    <row r="269" spans="1:52" s="1" customFormat="1" ht="16.5" x14ac:dyDescent="0.3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X269" s="62" t="s">
        <v>85</v>
      </c>
      <c r="AY269" s="62" t="s">
        <v>85</v>
      </c>
      <c r="AZ269" s="92"/>
    </row>
    <row r="270" spans="1:52" s="1" customFormat="1" ht="16.5" x14ac:dyDescent="0.3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X270" s="62" t="s">
        <v>85</v>
      </c>
      <c r="AY270" s="62" t="s">
        <v>85</v>
      </c>
      <c r="AZ270" s="92"/>
    </row>
    <row r="271" spans="1:52" s="1" customFormat="1" ht="16.5" x14ac:dyDescent="0.3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X271" s="62" t="s">
        <v>85</v>
      </c>
      <c r="AY271" s="62" t="s">
        <v>85</v>
      </c>
      <c r="AZ271" s="92"/>
    </row>
    <row r="272" spans="1:52" s="1" customFormat="1" ht="16.5" x14ac:dyDescent="0.3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X272" s="62" t="s">
        <v>85</v>
      </c>
      <c r="AY272" s="62" t="s">
        <v>85</v>
      </c>
      <c r="AZ272" s="92"/>
    </row>
    <row r="273" spans="1:52" s="1" customFormat="1" ht="16.5" x14ac:dyDescent="0.3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X273" s="62" t="s">
        <v>85</v>
      </c>
      <c r="AY273" s="62" t="s">
        <v>85</v>
      </c>
      <c r="AZ273" s="92"/>
    </row>
    <row r="274" spans="1:52" s="1" customFormat="1" ht="16.5" x14ac:dyDescent="0.3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X274" s="62" t="s">
        <v>85</v>
      </c>
      <c r="AY274" s="62" t="s">
        <v>85</v>
      </c>
      <c r="AZ274" s="92"/>
    </row>
    <row r="275" spans="1:52" s="1" customFormat="1" ht="16.5" x14ac:dyDescent="0.3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X275" s="62" t="s">
        <v>85</v>
      </c>
      <c r="AY275" s="62" t="s">
        <v>85</v>
      </c>
      <c r="AZ275" s="92"/>
    </row>
    <row r="276" spans="1:52" s="1" customFormat="1" ht="16.5" x14ac:dyDescent="0.3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X276" s="62" t="s">
        <v>85</v>
      </c>
      <c r="AY276" s="62" t="s">
        <v>85</v>
      </c>
      <c r="AZ276" s="92"/>
    </row>
    <row r="277" spans="1:52" s="1" customFormat="1" ht="16.5" x14ac:dyDescent="0.3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X277" s="62" t="s">
        <v>85</v>
      </c>
      <c r="AY277" s="62" t="s">
        <v>85</v>
      </c>
      <c r="AZ277" s="92"/>
    </row>
    <row r="278" spans="1:52" s="1" customFormat="1" ht="16.5" x14ac:dyDescent="0.3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X278" s="62" t="s">
        <v>85</v>
      </c>
      <c r="AY278" s="62" t="s">
        <v>85</v>
      </c>
      <c r="AZ278" s="92"/>
    </row>
    <row r="279" spans="1:52" s="1" customFormat="1" ht="16.5" x14ac:dyDescent="0.3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X279" s="62" t="s">
        <v>85</v>
      </c>
      <c r="AY279" s="62" t="s">
        <v>85</v>
      </c>
      <c r="AZ279" s="92"/>
    </row>
    <row r="280" spans="1:52" s="1" customFormat="1" ht="16.5" x14ac:dyDescent="0.3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X280" s="62" t="s">
        <v>85</v>
      </c>
      <c r="AY280" s="62" t="s">
        <v>85</v>
      </c>
      <c r="AZ280" s="92"/>
    </row>
    <row r="281" spans="1:52" s="1" customFormat="1" ht="16.5" x14ac:dyDescent="0.3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X281" s="62" t="s">
        <v>85</v>
      </c>
      <c r="AY281" s="62" t="s">
        <v>85</v>
      </c>
      <c r="AZ281" s="92"/>
    </row>
    <row r="282" spans="1:52" s="1" customFormat="1" ht="16.5" x14ac:dyDescent="0.3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X282" s="62" t="s">
        <v>85</v>
      </c>
      <c r="AY282" s="62" t="s">
        <v>85</v>
      </c>
      <c r="AZ282" s="92"/>
    </row>
    <row r="283" spans="1:52" s="1" customFormat="1" ht="16.5" x14ac:dyDescent="0.3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X283" s="62" t="s">
        <v>85</v>
      </c>
      <c r="AY283" s="62" t="s">
        <v>85</v>
      </c>
      <c r="AZ283" s="92"/>
    </row>
    <row r="284" spans="1:52" s="1" customFormat="1" ht="16.5" x14ac:dyDescent="0.3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X284" s="62" t="s">
        <v>85</v>
      </c>
      <c r="AY284" s="62" t="s">
        <v>85</v>
      </c>
      <c r="AZ284" s="92"/>
    </row>
    <row r="285" spans="1:52" s="1" customFormat="1" ht="16.5" x14ac:dyDescent="0.3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X285" s="62" t="s">
        <v>85</v>
      </c>
      <c r="AY285" s="62" t="s">
        <v>85</v>
      </c>
      <c r="AZ285" s="92"/>
    </row>
    <row r="286" spans="1:52" s="1" customFormat="1" ht="16.5" x14ac:dyDescent="0.3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X286" s="62" t="s">
        <v>85</v>
      </c>
      <c r="AY286" s="62" t="s">
        <v>85</v>
      </c>
      <c r="AZ286" s="92"/>
    </row>
    <row r="287" spans="1:52" s="1" customFormat="1" ht="16.5" x14ac:dyDescent="0.3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X287" s="62" t="s">
        <v>85</v>
      </c>
      <c r="AY287" s="62" t="s">
        <v>85</v>
      </c>
      <c r="AZ287" s="92"/>
    </row>
    <row r="288" spans="1:52" s="1" customFormat="1" ht="16.5" x14ac:dyDescent="0.3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X288" s="62" t="s">
        <v>85</v>
      </c>
      <c r="AY288" s="62" t="s">
        <v>85</v>
      </c>
      <c r="AZ288" s="92"/>
    </row>
    <row r="289" spans="1:52" s="1" customFormat="1" ht="16.5" x14ac:dyDescent="0.3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X289" s="62" t="s">
        <v>85</v>
      </c>
      <c r="AY289" s="62" t="s">
        <v>85</v>
      </c>
      <c r="AZ289" s="92"/>
    </row>
    <row r="290" spans="1:52" s="1" customFormat="1" ht="16.5" x14ac:dyDescent="0.3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X290" s="62" t="s">
        <v>85</v>
      </c>
      <c r="AY290" s="62" t="s">
        <v>85</v>
      </c>
      <c r="AZ290" s="92"/>
    </row>
    <row r="291" spans="1:52" s="1" customFormat="1" ht="16.5" x14ac:dyDescent="0.3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X291" s="62" t="s">
        <v>85</v>
      </c>
      <c r="AY291" s="62" t="s">
        <v>85</v>
      </c>
      <c r="AZ291" s="92"/>
    </row>
    <row r="292" spans="1:52" s="1" customFormat="1" ht="16.5" x14ac:dyDescent="0.3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X292" s="62" t="s">
        <v>85</v>
      </c>
      <c r="AY292" s="62" t="s">
        <v>85</v>
      </c>
      <c r="AZ292" s="92"/>
    </row>
    <row r="293" spans="1:52" s="1" customFormat="1" ht="16.5" x14ac:dyDescent="0.3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X293" s="62" t="s">
        <v>85</v>
      </c>
      <c r="AY293" s="62" t="s">
        <v>85</v>
      </c>
      <c r="AZ293" s="92"/>
    </row>
    <row r="294" spans="1:52" s="1" customFormat="1" ht="16.5" x14ac:dyDescent="0.3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X294" s="62" t="s">
        <v>85</v>
      </c>
      <c r="AY294" s="62" t="s">
        <v>85</v>
      </c>
      <c r="AZ294" s="92"/>
    </row>
    <row r="295" spans="1:52" s="1" customFormat="1" ht="16.5" x14ac:dyDescent="0.3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X295" s="62" t="s">
        <v>85</v>
      </c>
      <c r="AY295" s="62" t="s">
        <v>85</v>
      </c>
      <c r="AZ295" s="92"/>
    </row>
    <row r="296" spans="1:52" s="1" customFormat="1" ht="16.5" x14ac:dyDescent="0.3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X296" s="62" t="s">
        <v>85</v>
      </c>
      <c r="AY296" s="62" t="s">
        <v>85</v>
      </c>
      <c r="AZ296" s="92"/>
    </row>
    <row r="297" spans="1:52" s="1" customFormat="1" ht="16.5" x14ac:dyDescent="0.3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X297" s="62" t="s">
        <v>85</v>
      </c>
      <c r="AY297" s="62" t="s">
        <v>85</v>
      </c>
      <c r="AZ297" s="92"/>
    </row>
    <row r="298" spans="1:52" s="1" customFormat="1" ht="16.5" x14ac:dyDescent="0.3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X298" s="62" t="s">
        <v>85</v>
      </c>
      <c r="AY298" s="62" t="s">
        <v>85</v>
      </c>
      <c r="AZ298" s="92"/>
    </row>
    <row r="299" spans="1:52" s="1" customFormat="1" ht="16.5" x14ac:dyDescent="0.3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X299" s="62" t="s">
        <v>85</v>
      </c>
      <c r="AY299" s="62" t="s">
        <v>85</v>
      </c>
      <c r="AZ299" s="92"/>
    </row>
    <row r="300" spans="1:52" s="1" customFormat="1" ht="16.5" x14ac:dyDescent="0.3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X300" s="62" t="s">
        <v>85</v>
      </c>
      <c r="AY300" s="62" t="s">
        <v>85</v>
      </c>
      <c r="AZ300" s="92"/>
    </row>
    <row r="301" spans="1:52" s="1" customFormat="1" ht="16.5" x14ac:dyDescent="0.3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X301" s="62" t="s">
        <v>85</v>
      </c>
      <c r="AY301" s="62" t="s">
        <v>85</v>
      </c>
      <c r="AZ301" s="92"/>
    </row>
    <row r="302" spans="1:52" s="1" customFormat="1" ht="16.5" x14ac:dyDescent="0.3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X302" s="62" t="s">
        <v>85</v>
      </c>
      <c r="AY302" s="62" t="s">
        <v>85</v>
      </c>
      <c r="AZ302" s="92"/>
    </row>
    <row r="303" spans="1:52" s="1" customFormat="1" ht="16.5" x14ac:dyDescent="0.3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X303" s="62" t="s">
        <v>85</v>
      </c>
      <c r="AY303" s="62" t="s">
        <v>85</v>
      </c>
      <c r="AZ303" s="92"/>
    </row>
    <row r="304" spans="1:52" s="1" customFormat="1" ht="16.5" x14ac:dyDescent="0.3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X304" s="62" t="s">
        <v>85</v>
      </c>
      <c r="AY304" s="62" t="s">
        <v>85</v>
      </c>
      <c r="AZ304" s="92"/>
    </row>
    <row r="305" spans="1:52" s="1" customFormat="1" ht="16.5" x14ac:dyDescent="0.3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X305" s="62" t="s">
        <v>85</v>
      </c>
      <c r="AY305" s="62" t="s">
        <v>85</v>
      </c>
      <c r="AZ305" s="92"/>
    </row>
    <row r="306" spans="1:52" s="1" customFormat="1" ht="16.5" x14ac:dyDescent="0.3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X306" s="62" t="s">
        <v>85</v>
      </c>
      <c r="AY306" s="62" t="s">
        <v>85</v>
      </c>
      <c r="AZ306" s="92"/>
    </row>
    <row r="307" spans="1:52" s="1" customFormat="1" ht="16.5" x14ac:dyDescent="0.3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X307" s="62" t="s">
        <v>85</v>
      </c>
      <c r="AY307" s="62" t="s">
        <v>85</v>
      </c>
      <c r="AZ307" s="92"/>
    </row>
    <row r="308" spans="1:52" s="1" customFormat="1" ht="16.5" x14ac:dyDescent="0.3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X308" s="62" t="s">
        <v>85</v>
      </c>
      <c r="AY308" s="62" t="s">
        <v>85</v>
      </c>
      <c r="AZ308" s="92"/>
    </row>
    <row r="309" spans="1:52" s="1" customFormat="1" ht="16.5" x14ac:dyDescent="0.3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X309" s="62" t="s">
        <v>85</v>
      </c>
      <c r="AY309" s="62" t="s">
        <v>85</v>
      </c>
      <c r="AZ309" s="92"/>
    </row>
    <row r="310" spans="1:52" s="1" customFormat="1" ht="16.5" x14ac:dyDescent="0.3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X310" s="62" t="s">
        <v>85</v>
      </c>
      <c r="AY310" s="62" t="s">
        <v>85</v>
      </c>
      <c r="AZ310" s="92"/>
    </row>
    <row r="311" spans="1:52" s="1" customFormat="1" ht="16.5" x14ac:dyDescent="0.3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X311" s="62" t="s">
        <v>85</v>
      </c>
      <c r="AY311" s="62" t="s">
        <v>85</v>
      </c>
      <c r="AZ311" s="92"/>
    </row>
    <row r="312" spans="1:52" s="1" customFormat="1" ht="16.5" x14ac:dyDescent="0.3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X312" s="62" t="s">
        <v>85</v>
      </c>
      <c r="AY312" s="62" t="s">
        <v>85</v>
      </c>
      <c r="AZ312" s="92"/>
    </row>
    <row r="313" spans="1:52" s="1" customFormat="1" ht="16.5" x14ac:dyDescent="0.3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X313" s="62" t="s">
        <v>85</v>
      </c>
      <c r="AY313" s="62" t="s">
        <v>85</v>
      </c>
      <c r="AZ313" s="92"/>
    </row>
    <row r="314" spans="1:52" s="1" customFormat="1" ht="16.5" x14ac:dyDescent="0.3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X314" s="62" t="s">
        <v>85</v>
      </c>
      <c r="AY314" s="62" t="s">
        <v>85</v>
      </c>
      <c r="AZ314" s="92"/>
    </row>
    <row r="315" spans="1:52" s="1" customFormat="1" ht="16.5" x14ac:dyDescent="0.3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X315" s="62" t="s">
        <v>85</v>
      </c>
      <c r="AY315" s="62" t="s">
        <v>85</v>
      </c>
      <c r="AZ315" s="92"/>
    </row>
    <row r="316" spans="1:52" s="1" customFormat="1" ht="16.5" x14ac:dyDescent="0.3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X316" s="62" t="s">
        <v>85</v>
      </c>
      <c r="AY316" s="62" t="s">
        <v>85</v>
      </c>
      <c r="AZ316" s="92"/>
    </row>
    <row r="317" spans="1:52" s="1" customFormat="1" ht="16.5" x14ac:dyDescent="0.3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X317" s="62" t="s">
        <v>85</v>
      </c>
      <c r="AY317" s="62" t="s">
        <v>85</v>
      </c>
      <c r="AZ317" s="92"/>
    </row>
    <row r="318" spans="1:52" s="1" customFormat="1" ht="16.5" x14ac:dyDescent="0.3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X318" s="62" t="s">
        <v>85</v>
      </c>
      <c r="AY318" s="62" t="s">
        <v>85</v>
      </c>
      <c r="AZ318" s="92"/>
    </row>
    <row r="319" spans="1:52" s="1" customFormat="1" ht="16.5" x14ac:dyDescent="0.3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X319" s="62" t="s">
        <v>85</v>
      </c>
      <c r="AY319" s="62" t="s">
        <v>85</v>
      </c>
      <c r="AZ319" s="92"/>
    </row>
    <row r="320" spans="1:52" s="1" customFormat="1" ht="16.5" x14ac:dyDescent="0.3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X320" s="62" t="s">
        <v>85</v>
      </c>
      <c r="AY320" s="62" t="s">
        <v>85</v>
      </c>
      <c r="AZ320" s="92"/>
    </row>
    <row r="321" spans="1:58" s="1" customFormat="1" ht="16.5" x14ac:dyDescent="0.3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X321" s="62" t="s">
        <v>85</v>
      </c>
      <c r="AY321" s="62" t="s">
        <v>85</v>
      </c>
      <c r="AZ321" s="92"/>
    </row>
    <row r="322" spans="1:58" s="1" customFormat="1" ht="16.5" x14ac:dyDescent="0.3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X322" s="62" t="s">
        <v>85</v>
      </c>
      <c r="AY322" s="62" t="s">
        <v>85</v>
      </c>
      <c r="AZ322" s="92"/>
    </row>
    <row r="323" spans="1:58" s="1" customFormat="1" ht="16.5" x14ac:dyDescent="0.3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X323" s="62" t="s">
        <v>85</v>
      </c>
      <c r="AY323" s="62" t="s">
        <v>85</v>
      </c>
      <c r="AZ323" s="92"/>
    </row>
    <row r="324" spans="1:58" s="1" customFormat="1" ht="16.5" x14ac:dyDescent="0.3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X324" s="62" t="s">
        <v>85</v>
      </c>
      <c r="AY324" s="62" t="s">
        <v>85</v>
      </c>
      <c r="AZ324" s="92"/>
    </row>
    <row r="325" spans="1:58" s="1" customFormat="1" ht="16.5" x14ac:dyDescent="0.3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X325" s="62" t="s">
        <v>85</v>
      </c>
      <c r="AY325" s="62" t="s">
        <v>85</v>
      </c>
      <c r="AZ325" s="92"/>
    </row>
    <row r="326" spans="1:58" s="1" customFormat="1" ht="16.5" x14ac:dyDescent="0.3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X326" s="62" t="s">
        <v>85</v>
      </c>
      <c r="AY326" s="62" t="s">
        <v>85</v>
      </c>
      <c r="AZ326" s="92"/>
    </row>
    <row r="327" spans="1:58" s="1" customFormat="1" ht="16.5" x14ac:dyDescent="0.3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X327" s="62" t="s">
        <v>85</v>
      </c>
      <c r="AY327" s="62" t="s">
        <v>85</v>
      </c>
      <c r="AZ327" s="92"/>
    </row>
    <row r="328" spans="1:58" s="1" customFormat="1" ht="16.5" x14ac:dyDescent="0.3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X328" s="62" t="s">
        <v>85</v>
      </c>
      <c r="AY328" s="62" t="s">
        <v>85</v>
      </c>
      <c r="AZ328" s="92"/>
    </row>
    <row r="329" spans="1:58" s="1" customFormat="1" ht="16.5" x14ac:dyDescent="0.3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X329" s="62" t="s">
        <v>85</v>
      </c>
      <c r="AY329" s="62" t="s">
        <v>85</v>
      </c>
      <c r="AZ329" s="92"/>
    </row>
    <row r="330" spans="1:58" s="1" customFormat="1" ht="16.5" x14ac:dyDescent="0.3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X330" s="62" t="s">
        <v>85</v>
      </c>
      <c r="AY330" s="62" t="s">
        <v>85</v>
      </c>
      <c r="AZ330" s="92"/>
    </row>
    <row r="331" spans="1:58" s="1" customFormat="1" ht="16.5" x14ac:dyDescent="0.3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X331" s="62" t="s">
        <v>85</v>
      </c>
      <c r="AY331" s="62" t="s">
        <v>85</v>
      </c>
      <c r="AZ331" s="92"/>
    </row>
    <row r="332" spans="1:58" s="1" customFormat="1" ht="16.5" x14ac:dyDescent="0.3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X332" s="62" t="s">
        <v>85</v>
      </c>
      <c r="AY332" s="62" t="s">
        <v>85</v>
      </c>
      <c r="AZ332" s="92"/>
    </row>
    <row r="333" spans="1:58" s="1" customFormat="1" ht="16.5" x14ac:dyDescent="0.3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X333" s="62" t="s">
        <v>85</v>
      </c>
      <c r="AY333" s="62" t="s">
        <v>85</v>
      </c>
      <c r="AZ333" s="92"/>
    </row>
    <row r="334" spans="1:58" s="1" customFormat="1" ht="16.5" x14ac:dyDescent="0.3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X334" s="62" t="s">
        <v>85</v>
      </c>
      <c r="AY334" s="62" t="s">
        <v>85</v>
      </c>
      <c r="AZ334" s="92"/>
    </row>
    <row r="335" spans="1:58" s="1" customFormat="1" ht="16.5" x14ac:dyDescent="0.3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X335" s="62" t="s">
        <v>85</v>
      </c>
      <c r="AY335" s="62" t="s">
        <v>85</v>
      </c>
      <c r="AZ335" s="92"/>
    </row>
    <row r="336" spans="1:58" s="1" customFormat="1" ht="16.5" x14ac:dyDescent="0.3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X336" s="62" t="s">
        <v>85</v>
      </c>
      <c r="AY336" s="62" t="s">
        <v>85</v>
      </c>
      <c r="AZ336" s="62"/>
      <c r="BA336" s="113" t="s">
        <v>48</v>
      </c>
      <c r="BB336" s="114">
        <v>0</v>
      </c>
      <c r="BC336" s="114">
        <v>0</v>
      </c>
      <c r="BD336" s="114">
        <v>0</v>
      </c>
      <c r="BE336" s="114">
        <v>0</v>
      </c>
      <c r="BF336" s="114">
        <v>0</v>
      </c>
    </row>
    <row r="337" spans="1:58" s="1" customFormat="1" ht="16.5" x14ac:dyDescent="0.3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X337" s="62" t="s">
        <v>85</v>
      </c>
      <c r="AY337" s="62" t="s">
        <v>85</v>
      </c>
      <c r="AZ337" s="62"/>
      <c r="BA337" s="113" t="s">
        <v>49</v>
      </c>
      <c r="BB337" s="114">
        <v>0</v>
      </c>
      <c r="BC337" s="114">
        <v>0</v>
      </c>
      <c r="BD337" s="114">
        <v>0</v>
      </c>
      <c r="BE337" s="114">
        <v>0</v>
      </c>
      <c r="BF337" s="114">
        <v>0</v>
      </c>
    </row>
    <row r="338" spans="1:58" s="1" customFormat="1" ht="16.5" x14ac:dyDescent="0.3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X338" s="62" t="s">
        <v>85</v>
      </c>
      <c r="AY338" s="62" t="s">
        <v>85</v>
      </c>
      <c r="AZ338" s="62"/>
      <c r="BA338" s="115" t="s">
        <v>50</v>
      </c>
      <c r="BB338" s="116">
        <v>0</v>
      </c>
      <c r="BC338" s="116">
        <v>0</v>
      </c>
      <c r="BD338" s="116">
        <v>0</v>
      </c>
      <c r="BE338" s="116">
        <v>0</v>
      </c>
      <c r="BF338" s="116">
        <v>0</v>
      </c>
    </row>
    <row r="339" spans="1:58" s="1" customFormat="1" ht="16.5" x14ac:dyDescent="0.3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X339" s="62" t="s">
        <v>85</v>
      </c>
      <c r="AY339" s="62" t="s">
        <v>85</v>
      </c>
      <c r="AZ339" s="62"/>
      <c r="BA339" s="3"/>
    </row>
    <row r="340" spans="1:58" s="1" customFormat="1" ht="16.5" x14ac:dyDescent="0.3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X340" s="62" t="s">
        <v>85</v>
      </c>
      <c r="AY340" s="62" t="s">
        <v>85</v>
      </c>
      <c r="AZ340" s="62"/>
      <c r="BA340" s="113"/>
      <c r="BB340" s="113" t="s">
        <v>55</v>
      </c>
      <c r="BC340" s="113" t="s">
        <v>53</v>
      </c>
      <c r="BD340" s="113" t="s">
        <v>54</v>
      </c>
      <c r="BE340" s="113" t="s">
        <v>51</v>
      </c>
      <c r="BF340" s="113" t="s">
        <v>52</v>
      </c>
    </row>
    <row r="341" spans="1:58" s="1" customFormat="1" ht="16.5" x14ac:dyDescent="0.3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X341" s="62" t="s">
        <v>85</v>
      </c>
      <c r="AY341" s="62" t="s">
        <v>85</v>
      </c>
      <c r="BA341" s="113" t="s">
        <v>48</v>
      </c>
      <c r="BB341" s="117" t="e">
        <v>#DIV/0!</v>
      </c>
      <c r="BC341" s="117" t="e">
        <v>#DIV/0!</v>
      </c>
      <c r="BD341" s="117" t="e">
        <v>#DIV/0!</v>
      </c>
      <c r="BE341" s="117" t="e">
        <v>#DIV/0!</v>
      </c>
      <c r="BF341" s="117" t="e">
        <v>#DIV/0!</v>
      </c>
    </row>
    <row r="342" spans="1:58" s="1" customFormat="1" ht="16.5" x14ac:dyDescent="0.3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X342" s="62" t="s">
        <v>85</v>
      </c>
      <c r="AY342" s="62" t="s">
        <v>85</v>
      </c>
      <c r="BA342" s="115" t="s">
        <v>50</v>
      </c>
      <c r="BB342" s="118" t="e">
        <v>#DIV/0!</v>
      </c>
      <c r="BC342" s="118" t="e">
        <v>#DIV/0!</v>
      </c>
      <c r="BD342" s="118" t="e">
        <v>#DIV/0!</v>
      </c>
      <c r="BE342" s="118" t="e">
        <v>#DIV/0!</v>
      </c>
      <c r="BF342" s="118" t="e">
        <v>#DIV/0!</v>
      </c>
    </row>
    <row r="343" spans="1:58" s="1" customFormat="1" ht="16.5" x14ac:dyDescent="0.3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X343" s="62" t="s">
        <v>85</v>
      </c>
      <c r="AY343" s="62" t="s">
        <v>85</v>
      </c>
      <c r="BA343" s="113" t="s">
        <v>52</v>
      </c>
      <c r="BB343" s="117" t="e">
        <v>#DIV/0!</v>
      </c>
      <c r="BC343" s="117" t="e">
        <v>#DIV/0!</v>
      </c>
      <c r="BD343" s="117" t="e">
        <v>#DIV/0!</v>
      </c>
      <c r="BE343" s="117" t="e">
        <v>#DIV/0!</v>
      </c>
      <c r="BF343" s="117" t="e">
        <v>#DIV/0!</v>
      </c>
    </row>
    <row r="344" spans="1:58" s="1" customFormat="1" ht="16.5" x14ac:dyDescent="0.3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X344" s="62" t="s">
        <v>85</v>
      </c>
      <c r="AY344" s="62" t="s">
        <v>85</v>
      </c>
    </row>
    <row r="345" spans="1:58" s="1" customFormat="1" ht="16.5" x14ac:dyDescent="0.3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X345" s="62" t="s">
        <v>85</v>
      </c>
      <c r="AY345" s="62" t="s">
        <v>85</v>
      </c>
    </row>
    <row r="346" spans="1:58" s="1" customFormat="1" ht="16.5" x14ac:dyDescent="0.3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X346" s="62" t="s">
        <v>85</v>
      </c>
      <c r="AY346" s="62" t="s">
        <v>85</v>
      </c>
    </row>
    <row r="347" spans="1:58" s="1" customFormat="1" ht="16.5" x14ac:dyDescent="0.3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X347" s="62" t="s">
        <v>85</v>
      </c>
      <c r="AY347" s="62" t="s">
        <v>85</v>
      </c>
    </row>
    <row r="348" spans="1:58" s="1" customFormat="1" ht="16.5" x14ac:dyDescent="0.3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X348" s="62" t="s">
        <v>85</v>
      </c>
      <c r="AY348" s="62" t="s">
        <v>85</v>
      </c>
    </row>
    <row r="349" spans="1:58" s="1" customFormat="1" ht="16.5" x14ac:dyDescent="0.3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X349" s="62" t="s">
        <v>85</v>
      </c>
      <c r="AY349" s="62" t="s">
        <v>85</v>
      </c>
    </row>
    <row r="350" spans="1:58" s="1" customFormat="1" ht="16.5" x14ac:dyDescent="0.3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X350" s="62" t="s">
        <v>85</v>
      </c>
      <c r="AY350" s="62" t="s">
        <v>85</v>
      </c>
    </row>
    <row r="351" spans="1:58" s="1" customFormat="1" ht="16.5" x14ac:dyDescent="0.3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X351" s="62" t="s">
        <v>85</v>
      </c>
      <c r="AY351" s="62" t="s">
        <v>85</v>
      </c>
    </row>
    <row r="352" spans="1:58" s="1" customFormat="1" ht="16.5" x14ac:dyDescent="0.3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X352" s="62" t="s">
        <v>85</v>
      </c>
      <c r="AY352" s="62" t="s">
        <v>85</v>
      </c>
    </row>
    <row r="353" spans="1:51" s="1" customFormat="1" ht="16.5" x14ac:dyDescent="0.3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X353" s="62" t="s">
        <v>85</v>
      </c>
      <c r="AY353" s="62" t="s">
        <v>85</v>
      </c>
    </row>
    <row r="354" spans="1:51" s="1" customFormat="1" ht="16.5" x14ac:dyDescent="0.3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X354" s="62" t="s">
        <v>85</v>
      </c>
      <c r="AY354" s="62" t="s">
        <v>85</v>
      </c>
    </row>
    <row r="355" spans="1:51" s="1" customFormat="1" ht="16.5" x14ac:dyDescent="0.3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X355" s="62" t="s">
        <v>85</v>
      </c>
      <c r="AY355" s="62" t="s">
        <v>85</v>
      </c>
    </row>
    <row r="356" spans="1:51" s="1" customFormat="1" ht="16.5" x14ac:dyDescent="0.3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X356" s="62" t="s">
        <v>85</v>
      </c>
      <c r="AY356" s="62" t="s">
        <v>85</v>
      </c>
    </row>
    <row r="357" spans="1:51" s="1" customFormat="1" ht="16.5" x14ac:dyDescent="0.3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X357" s="62" t="s">
        <v>85</v>
      </c>
      <c r="AY357" s="62" t="s">
        <v>85</v>
      </c>
    </row>
    <row r="358" spans="1:51" s="1" customFormat="1" ht="16.5" x14ac:dyDescent="0.3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X358" s="62" t="s">
        <v>85</v>
      </c>
      <c r="AY358" s="62" t="s">
        <v>85</v>
      </c>
    </row>
    <row r="359" spans="1:51" s="1" customFormat="1" ht="16.5" x14ac:dyDescent="0.3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X359" s="62" t="s">
        <v>85</v>
      </c>
      <c r="AY359" s="62" t="s">
        <v>85</v>
      </c>
    </row>
    <row r="360" spans="1:51" s="1" customFormat="1" ht="16.5" x14ac:dyDescent="0.3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X360" s="62" t="s">
        <v>85</v>
      </c>
      <c r="AY360" s="62" t="s">
        <v>85</v>
      </c>
    </row>
    <row r="361" spans="1:51" s="1" customFormat="1" ht="16.5" x14ac:dyDescent="0.3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X361" s="62" t="s">
        <v>85</v>
      </c>
      <c r="AY361" s="62" t="s">
        <v>85</v>
      </c>
    </row>
    <row r="362" spans="1:51" s="1" customFormat="1" ht="16.5" x14ac:dyDescent="0.3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X362" s="62" t="s">
        <v>85</v>
      </c>
      <c r="AY362" s="62" t="s">
        <v>85</v>
      </c>
    </row>
    <row r="363" spans="1:51" s="1" customFormat="1" ht="16.5" x14ac:dyDescent="0.3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X363" s="62" t="s">
        <v>85</v>
      </c>
      <c r="AY363" s="62" t="s">
        <v>85</v>
      </c>
    </row>
    <row r="364" spans="1:51" s="1" customFormat="1" ht="16.5" x14ac:dyDescent="0.3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X364" s="62" t="s">
        <v>85</v>
      </c>
      <c r="AY364" s="62" t="s">
        <v>85</v>
      </c>
    </row>
    <row r="365" spans="1:51" s="1" customFormat="1" ht="16.5" x14ac:dyDescent="0.3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X365" s="62" t="s">
        <v>85</v>
      </c>
      <c r="AY365" s="62" t="s">
        <v>85</v>
      </c>
    </row>
    <row r="366" spans="1:51" s="1" customFormat="1" ht="16.5" x14ac:dyDescent="0.3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X366" s="62" t="s">
        <v>85</v>
      </c>
      <c r="AY366" s="62" t="s">
        <v>85</v>
      </c>
    </row>
    <row r="367" spans="1:51" s="1" customFormat="1" ht="16.5" x14ac:dyDescent="0.3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X367" s="62" t="s">
        <v>85</v>
      </c>
      <c r="AY367" s="62" t="s">
        <v>85</v>
      </c>
    </row>
    <row r="368" spans="1:51" s="1" customFormat="1" ht="16.5" x14ac:dyDescent="0.3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X368" s="62" t="s">
        <v>85</v>
      </c>
      <c r="AY368" s="62" t="s">
        <v>85</v>
      </c>
    </row>
    <row r="369" spans="1:51" s="1" customFormat="1" ht="16.5" x14ac:dyDescent="0.3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X369" s="62" t="s">
        <v>85</v>
      </c>
      <c r="AY369" s="62" t="s">
        <v>85</v>
      </c>
    </row>
    <row r="370" spans="1:51" s="1" customFormat="1" ht="16.5" x14ac:dyDescent="0.3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X370" s="62" t="s">
        <v>85</v>
      </c>
      <c r="AY370" s="62" t="s">
        <v>85</v>
      </c>
    </row>
    <row r="371" spans="1:51" s="1" customFormat="1" ht="16.5" x14ac:dyDescent="0.3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X371" s="62" t="s">
        <v>85</v>
      </c>
      <c r="AY371" s="62" t="s">
        <v>85</v>
      </c>
    </row>
    <row r="372" spans="1:51" s="1" customFormat="1" ht="16.5" x14ac:dyDescent="0.3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X372" s="62" t="s">
        <v>85</v>
      </c>
      <c r="AY372" s="62" t="s">
        <v>85</v>
      </c>
    </row>
    <row r="373" spans="1:51" s="1" customFormat="1" ht="16.5" x14ac:dyDescent="0.3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X373" s="62" t="s">
        <v>85</v>
      </c>
      <c r="AY373" s="62" t="s">
        <v>85</v>
      </c>
    </row>
    <row r="374" spans="1:51" s="1" customFormat="1" ht="16.5" x14ac:dyDescent="0.3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X374" s="62" t="s">
        <v>85</v>
      </c>
      <c r="AY374" s="62" t="s">
        <v>85</v>
      </c>
    </row>
    <row r="375" spans="1:51" s="1" customFormat="1" ht="16.5" x14ac:dyDescent="0.3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X375" s="62" t="s">
        <v>85</v>
      </c>
      <c r="AY375" s="62" t="s">
        <v>85</v>
      </c>
    </row>
    <row r="376" spans="1:51" s="1" customFormat="1" ht="16.5" x14ac:dyDescent="0.3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X376" s="62" t="s">
        <v>85</v>
      </c>
      <c r="AY376" s="62" t="s">
        <v>85</v>
      </c>
    </row>
    <row r="377" spans="1:51" s="1" customFormat="1" ht="16.5" x14ac:dyDescent="0.3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X377" s="62" t="s">
        <v>85</v>
      </c>
      <c r="AY377" s="62" t="s">
        <v>85</v>
      </c>
    </row>
    <row r="378" spans="1:51" s="1" customFormat="1" ht="16.5" x14ac:dyDescent="0.3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X378" s="62" t="s">
        <v>85</v>
      </c>
      <c r="AY378" s="62" t="s">
        <v>85</v>
      </c>
    </row>
    <row r="379" spans="1:51" s="1" customFormat="1" ht="16.5" x14ac:dyDescent="0.3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X379" s="62" t="s">
        <v>85</v>
      </c>
      <c r="AY379" s="62" t="s">
        <v>85</v>
      </c>
    </row>
    <row r="380" spans="1:51" s="1" customFormat="1" ht="16.5" x14ac:dyDescent="0.3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X380" s="62" t="s">
        <v>85</v>
      </c>
      <c r="AY380" s="62" t="s">
        <v>85</v>
      </c>
    </row>
    <row r="381" spans="1:51" s="1" customFormat="1" ht="16.5" x14ac:dyDescent="0.3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X381" s="62" t="s">
        <v>85</v>
      </c>
      <c r="AY381" s="62" t="s">
        <v>85</v>
      </c>
    </row>
    <row r="382" spans="1:51" s="1" customFormat="1" ht="16.5" x14ac:dyDescent="0.3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X382" s="62" t="s">
        <v>85</v>
      </c>
      <c r="AY382" s="62" t="s">
        <v>85</v>
      </c>
    </row>
    <row r="383" spans="1:51" s="1" customFormat="1" ht="16.5" x14ac:dyDescent="0.3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X383" s="62" t="s">
        <v>85</v>
      </c>
      <c r="AY383" s="62" t="s">
        <v>85</v>
      </c>
    </row>
    <row r="384" spans="1:51" s="1" customFormat="1" ht="16.5" x14ac:dyDescent="0.3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X384" s="62" t="s">
        <v>85</v>
      </c>
      <c r="AY384" s="62" t="s">
        <v>85</v>
      </c>
    </row>
    <row r="385" spans="1:51" s="1" customFormat="1" ht="16.5" x14ac:dyDescent="0.3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X385" s="62" t="s">
        <v>85</v>
      </c>
      <c r="AY385" s="62" t="s">
        <v>85</v>
      </c>
    </row>
    <row r="386" spans="1:51" s="1" customFormat="1" ht="16.5" x14ac:dyDescent="0.3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X386" s="62" t="s">
        <v>85</v>
      </c>
      <c r="AY386" s="62" t="s">
        <v>85</v>
      </c>
    </row>
    <row r="387" spans="1:51" s="1" customFormat="1" ht="16.5" x14ac:dyDescent="0.3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X387" s="62" t="s">
        <v>85</v>
      </c>
      <c r="AY387" s="62" t="s">
        <v>85</v>
      </c>
    </row>
    <row r="388" spans="1:51" s="1" customFormat="1" ht="16.5" x14ac:dyDescent="0.3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X388" s="62" t="s">
        <v>85</v>
      </c>
      <c r="AY388" s="62" t="s">
        <v>85</v>
      </c>
    </row>
    <row r="389" spans="1:51" s="1" customFormat="1" ht="16.5" x14ac:dyDescent="0.3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X389" s="62" t="s">
        <v>85</v>
      </c>
      <c r="AY389" s="62" t="s">
        <v>85</v>
      </c>
    </row>
    <row r="390" spans="1:51" s="1" customFormat="1" ht="16.5" x14ac:dyDescent="0.3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X390" s="62" t="s">
        <v>85</v>
      </c>
      <c r="AY390" s="62" t="s">
        <v>85</v>
      </c>
    </row>
    <row r="391" spans="1:51" s="1" customFormat="1" ht="16.5" x14ac:dyDescent="0.3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X391" s="62" t="s">
        <v>85</v>
      </c>
      <c r="AY391" s="62" t="s">
        <v>85</v>
      </c>
    </row>
    <row r="392" spans="1:51" s="1" customFormat="1" ht="16.5" x14ac:dyDescent="0.3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X392" s="62" t="s">
        <v>85</v>
      </c>
      <c r="AY392" s="62" t="s">
        <v>85</v>
      </c>
    </row>
    <row r="393" spans="1:51" s="1" customFormat="1" ht="16.5" x14ac:dyDescent="0.3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X393" s="62" t="s">
        <v>85</v>
      </c>
      <c r="AY393" s="62" t="s">
        <v>85</v>
      </c>
    </row>
    <row r="394" spans="1:51" s="1" customFormat="1" ht="16.5" x14ac:dyDescent="0.3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X394" s="62" t="s">
        <v>85</v>
      </c>
      <c r="AY394" s="62" t="s">
        <v>85</v>
      </c>
    </row>
    <row r="395" spans="1:51" s="1" customFormat="1" ht="16.5" x14ac:dyDescent="0.3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X395" s="62" t="s">
        <v>85</v>
      </c>
      <c r="AY395" s="62" t="s">
        <v>85</v>
      </c>
    </row>
    <row r="396" spans="1:51" s="1" customFormat="1" ht="16.5" x14ac:dyDescent="0.3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X396" s="62" t="s">
        <v>85</v>
      </c>
      <c r="AY396" s="62" t="s">
        <v>85</v>
      </c>
    </row>
    <row r="397" spans="1:51" s="1" customFormat="1" ht="16.5" x14ac:dyDescent="0.3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X397" s="62" t="s">
        <v>85</v>
      </c>
      <c r="AY397" s="62" t="s">
        <v>85</v>
      </c>
    </row>
    <row r="398" spans="1:51" s="1" customFormat="1" ht="16.5" x14ac:dyDescent="0.3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X398" s="62" t="s">
        <v>85</v>
      </c>
      <c r="AY398" s="62" t="s">
        <v>85</v>
      </c>
    </row>
    <row r="399" spans="1:51" s="1" customFormat="1" ht="16.5" x14ac:dyDescent="0.3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X399" s="62" t="s">
        <v>85</v>
      </c>
      <c r="AY399" s="62" t="s">
        <v>85</v>
      </c>
    </row>
    <row r="400" spans="1:51" s="1" customFormat="1" ht="16.5" x14ac:dyDescent="0.3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X400" s="62" t="s">
        <v>85</v>
      </c>
      <c r="AY400" s="62" t="s">
        <v>85</v>
      </c>
    </row>
    <row r="401" spans="1:58" s="1" customFormat="1" ht="16.5" x14ac:dyDescent="0.3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X401" s="62" t="s">
        <v>85</v>
      </c>
      <c r="AY401" s="62" t="s">
        <v>85</v>
      </c>
    </row>
    <row r="402" spans="1:58" s="1" customFormat="1" ht="16.5" x14ac:dyDescent="0.3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X402" s="62" t="s">
        <v>85</v>
      </c>
      <c r="AY402" s="62" t="s">
        <v>85</v>
      </c>
    </row>
    <row r="403" spans="1:58" s="1" customFormat="1" ht="16.5" x14ac:dyDescent="0.3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X403" s="62" t="s">
        <v>85</v>
      </c>
      <c r="AY403" s="62" t="s">
        <v>85</v>
      </c>
    </row>
    <row r="404" spans="1:58" s="1" customFormat="1" ht="16.5" x14ac:dyDescent="0.3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X404" s="62" t="s">
        <v>85</v>
      </c>
      <c r="AY404" s="62" t="s">
        <v>85</v>
      </c>
      <c r="AZ404" s="62"/>
      <c r="BA404" s="113" t="s">
        <v>48</v>
      </c>
      <c r="BB404" s="114">
        <v>0</v>
      </c>
      <c r="BC404" s="114">
        <v>0</v>
      </c>
      <c r="BD404" s="114">
        <v>0</v>
      </c>
      <c r="BE404" s="114">
        <v>0</v>
      </c>
      <c r="BF404" s="114">
        <v>0</v>
      </c>
    </row>
    <row r="405" spans="1:58" s="1" customFormat="1" ht="16.5" x14ac:dyDescent="0.3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X405" s="62" t="s">
        <v>85</v>
      </c>
      <c r="AY405" s="62" t="s">
        <v>85</v>
      </c>
      <c r="AZ405" s="62"/>
      <c r="BA405" s="113" t="s">
        <v>49</v>
      </c>
      <c r="BB405" s="114">
        <v>0</v>
      </c>
      <c r="BC405" s="114">
        <v>0</v>
      </c>
      <c r="BD405" s="114">
        <v>0</v>
      </c>
      <c r="BE405" s="114">
        <v>0</v>
      </c>
      <c r="BF405" s="114">
        <v>0</v>
      </c>
    </row>
    <row r="406" spans="1:58" s="1" customFormat="1" ht="16.5" x14ac:dyDescent="0.3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X406" s="62" t="s">
        <v>85</v>
      </c>
      <c r="AY406" s="62" t="s">
        <v>85</v>
      </c>
      <c r="AZ406" s="62"/>
      <c r="BA406" s="113" t="s">
        <v>52</v>
      </c>
      <c r="BB406" s="114">
        <v>0</v>
      </c>
      <c r="BC406" s="114">
        <v>0</v>
      </c>
      <c r="BD406" s="114">
        <v>0</v>
      </c>
      <c r="BE406" s="114">
        <v>0</v>
      </c>
      <c r="BF406" s="114">
        <v>0</v>
      </c>
    </row>
    <row r="407" spans="1:58" s="1" customFormat="1" ht="16.5" x14ac:dyDescent="0.3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X407" s="62" t="s">
        <v>85</v>
      </c>
      <c r="AY407" s="62" t="s">
        <v>85</v>
      </c>
      <c r="AZ407" s="62"/>
      <c r="BA407" s="3"/>
    </row>
    <row r="408" spans="1:58" s="1" customFormat="1" ht="16.5" x14ac:dyDescent="0.3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X408" s="62" t="s">
        <v>85</v>
      </c>
      <c r="AY408" s="62" t="s">
        <v>85</v>
      </c>
      <c r="AZ408" s="62"/>
      <c r="BA408" s="113"/>
      <c r="BB408" s="113" t="s">
        <v>55</v>
      </c>
      <c r="BC408" s="113" t="s">
        <v>53</v>
      </c>
      <c r="BD408" s="113" t="s">
        <v>54</v>
      </c>
      <c r="BE408" s="113" t="s">
        <v>51</v>
      </c>
      <c r="BF408" s="113" t="s">
        <v>52</v>
      </c>
    </row>
    <row r="409" spans="1:58" s="1" customFormat="1" ht="16.5" x14ac:dyDescent="0.3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X409" s="62" t="s">
        <v>85</v>
      </c>
      <c r="AY409" s="62" t="s">
        <v>85</v>
      </c>
      <c r="BA409" s="113" t="s">
        <v>48</v>
      </c>
      <c r="BB409" s="117" t="e">
        <v>#DIV/0!</v>
      </c>
      <c r="BC409" s="117" t="e">
        <v>#DIV/0!</v>
      </c>
      <c r="BD409" s="117" t="e">
        <v>#DIV/0!</v>
      </c>
      <c r="BE409" s="117" t="e">
        <v>#DIV/0!</v>
      </c>
      <c r="BF409" s="117" t="e">
        <v>#DIV/0!</v>
      </c>
    </row>
    <row r="410" spans="1:58" s="1" customFormat="1" ht="16.5" x14ac:dyDescent="0.3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  <c r="AV410" s="92"/>
      <c r="AX410" s="62" t="s">
        <v>85</v>
      </c>
      <c r="AY410" s="62" t="s">
        <v>85</v>
      </c>
      <c r="BA410" s="113" t="s">
        <v>49</v>
      </c>
      <c r="BB410" s="117" t="e">
        <v>#DIV/0!</v>
      </c>
      <c r="BC410" s="117" t="e">
        <v>#DIV/0!</v>
      </c>
      <c r="BD410" s="117" t="e">
        <v>#DIV/0!</v>
      </c>
      <c r="BE410" s="117" t="e">
        <v>#DIV/0!</v>
      </c>
      <c r="BF410" s="117" t="e">
        <v>#DIV/0!</v>
      </c>
    </row>
    <row r="411" spans="1:58" s="1" customFormat="1" ht="16.5" x14ac:dyDescent="0.3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  <c r="AA411" s="92"/>
      <c r="AB411" s="92"/>
      <c r="AC411" s="92"/>
      <c r="AD411" s="92"/>
      <c r="AE411" s="92"/>
      <c r="AF411" s="92"/>
      <c r="AG411" s="92"/>
      <c r="AH411" s="92"/>
      <c r="AI411" s="92"/>
      <c r="AJ411" s="92"/>
      <c r="AK411" s="92"/>
      <c r="AL411" s="92"/>
      <c r="AM411" s="92"/>
      <c r="AN411" s="92"/>
      <c r="AO411" s="92"/>
      <c r="AP411" s="92"/>
      <c r="AQ411" s="92"/>
      <c r="AR411" s="92"/>
      <c r="AS411" s="92"/>
      <c r="AT411" s="92"/>
      <c r="AU411" s="92"/>
      <c r="AV411" s="92"/>
      <c r="AX411" s="62" t="s">
        <v>85</v>
      </c>
      <c r="AY411" s="62" t="s">
        <v>85</v>
      </c>
      <c r="BA411" s="113" t="s">
        <v>52</v>
      </c>
      <c r="BB411" s="117" t="e">
        <v>#DIV/0!</v>
      </c>
      <c r="BC411" s="117" t="e">
        <v>#DIV/0!</v>
      </c>
      <c r="BD411" s="117" t="e">
        <v>#DIV/0!</v>
      </c>
      <c r="BE411" s="117" t="e">
        <v>#DIV/0!</v>
      </c>
      <c r="BF411" s="117" t="e">
        <v>#DIV/0!</v>
      </c>
    </row>
    <row r="412" spans="1:58" s="1" customFormat="1" ht="16.5" x14ac:dyDescent="0.3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  <c r="AA412" s="92"/>
      <c r="AB412" s="92"/>
      <c r="AC412" s="92"/>
      <c r="AD412" s="92"/>
      <c r="AE412" s="92"/>
      <c r="AF412" s="92"/>
      <c r="AG412" s="92"/>
      <c r="AH412" s="92"/>
      <c r="AI412" s="92"/>
      <c r="AJ412" s="92"/>
      <c r="AK412" s="92"/>
      <c r="AL412" s="92"/>
      <c r="AM412" s="92"/>
      <c r="AN412" s="92"/>
      <c r="AO412" s="92"/>
      <c r="AP412" s="92"/>
      <c r="AQ412" s="92"/>
      <c r="AR412" s="92"/>
      <c r="AS412" s="92"/>
      <c r="AT412" s="92"/>
      <c r="AU412" s="92"/>
      <c r="AV412" s="92"/>
      <c r="AX412" s="62" t="s">
        <v>85</v>
      </c>
      <c r="AY412" s="62" t="s">
        <v>85</v>
      </c>
    </row>
    <row r="413" spans="1:58" s="1" customFormat="1" ht="16.5" x14ac:dyDescent="0.3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  <c r="AA413" s="92"/>
      <c r="AB413" s="92"/>
      <c r="AC413" s="92"/>
      <c r="AD413" s="92"/>
      <c r="AE413" s="92"/>
      <c r="AF413" s="92"/>
      <c r="AG413" s="92"/>
      <c r="AH413" s="92"/>
      <c r="AI413" s="92"/>
      <c r="AJ413" s="92"/>
      <c r="AK413" s="92"/>
      <c r="AL413" s="92"/>
      <c r="AM413" s="92"/>
      <c r="AN413" s="92"/>
      <c r="AO413" s="92"/>
      <c r="AP413" s="92"/>
      <c r="AQ413" s="92"/>
      <c r="AR413" s="92"/>
      <c r="AS413" s="92"/>
      <c r="AT413" s="92"/>
      <c r="AU413" s="92"/>
      <c r="AV413" s="92"/>
      <c r="AX413" s="62" t="s">
        <v>85</v>
      </c>
      <c r="AY413" s="62" t="s">
        <v>85</v>
      </c>
    </row>
    <row r="414" spans="1:58" s="1" customFormat="1" ht="16.5" x14ac:dyDescent="0.3">
      <c r="A414" s="92"/>
      <c r="B414" s="92"/>
      <c r="C414" s="92"/>
      <c r="D414" s="92"/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  <c r="AA414" s="92"/>
      <c r="AB414" s="92"/>
      <c r="AC414" s="92"/>
      <c r="AD414" s="92"/>
      <c r="AE414" s="92"/>
      <c r="AF414" s="92"/>
      <c r="AG414" s="92"/>
      <c r="AH414" s="92"/>
      <c r="AI414" s="92"/>
      <c r="AJ414" s="92"/>
      <c r="AK414" s="92"/>
      <c r="AL414" s="92"/>
      <c r="AM414" s="92"/>
      <c r="AN414" s="92"/>
      <c r="AO414" s="92"/>
      <c r="AP414" s="92"/>
      <c r="AQ414" s="92"/>
      <c r="AR414" s="92"/>
      <c r="AS414" s="92"/>
      <c r="AT414" s="92"/>
      <c r="AU414" s="92"/>
      <c r="AV414" s="92"/>
      <c r="AX414" s="62" t="s">
        <v>85</v>
      </c>
      <c r="AY414" s="62" t="s">
        <v>85</v>
      </c>
    </row>
    <row r="415" spans="1:58" s="1" customFormat="1" ht="16.5" x14ac:dyDescent="0.3">
      <c r="A415" s="92"/>
      <c r="B415" s="92"/>
      <c r="C415" s="92"/>
      <c r="D415" s="92"/>
      <c r="E415" s="92"/>
      <c r="F415" s="92"/>
      <c r="G415" s="92"/>
      <c r="H415" s="92"/>
      <c r="I415" s="92"/>
      <c r="J415" s="92"/>
      <c r="K415" s="92"/>
      <c r="L415" s="92"/>
      <c r="M415" s="92"/>
      <c r="N415" s="92"/>
      <c r="O415" s="92"/>
      <c r="P415" s="92"/>
      <c r="Q415" s="92"/>
      <c r="R415" s="92"/>
      <c r="S415" s="92"/>
      <c r="T415" s="92"/>
      <c r="U415" s="92"/>
      <c r="V415" s="92"/>
      <c r="W415" s="92"/>
      <c r="X415" s="92"/>
      <c r="Y415" s="92"/>
      <c r="Z415" s="92"/>
      <c r="AA415" s="92"/>
      <c r="AB415" s="92"/>
      <c r="AC415" s="92"/>
      <c r="AD415" s="92"/>
      <c r="AE415" s="92"/>
      <c r="AF415" s="92"/>
      <c r="AG415" s="92"/>
      <c r="AH415" s="92"/>
      <c r="AI415" s="92"/>
      <c r="AJ415" s="92"/>
      <c r="AK415" s="92"/>
      <c r="AL415" s="92"/>
      <c r="AM415" s="92"/>
      <c r="AN415" s="92"/>
      <c r="AO415" s="92"/>
      <c r="AP415" s="92"/>
      <c r="AQ415" s="92"/>
      <c r="AR415" s="92"/>
      <c r="AS415" s="92"/>
      <c r="AT415" s="92"/>
      <c r="AU415" s="92"/>
      <c r="AV415" s="92"/>
      <c r="AX415" s="62" t="s">
        <v>85</v>
      </c>
      <c r="AY415" s="62" t="s">
        <v>85</v>
      </c>
    </row>
    <row r="416" spans="1:58" s="1" customFormat="1" ht="16.5" x14ac:dyDescent="0.3">
      <c r="A416" s="92"/>
      <c r="B416" s="92"/>
      <c r="C416" s="92"/>
      <c r="D416" s="92"/>
      <c r="E416" s="92"/>
      <c r="F416" s="92"/>
      <c r="G416" s="92"/>
      <c r="H416" s="92"/>
      <c r="I416" s="92"/>
      <c r="J416" s="92"/>
      <c r="K416" s="92"/>
      <c r="L416" s="92"/>
      <c r="M416" s="92"/>
      <c r="N416" s="92"/>
      <c r="O416" s="92"/>
      <c r="P416" s="92"/>
      <c r="Q416" s="92"/>
      <c r="R416" s="92"/>
      <c r="S416" s="92"/>
      <c r="T416" s="92"/>
      <c r="U416" s="92"/>
      <c r="V416" s="92"/>
      <c r="W416" s="92"/>
      <c r="X416" s="92"/>
      <c r="Y416" s="92"/>
      <c r="Z416" s="92"/>
      <c r="AA416" s="92"/>
      <c r="AB416" s="92"/>
      <c r="AC416" s="92"/>
      <c r="AD416" s="92"/>
      <c r="AE416" s="92"/>
      <c r="AF416" s="92"/>
      <c r="AG416" s="92"/>
      <c r="AH416" s="92"/>
      <c r="AI416" s="92"/>
      <c r="AJ416" s="92"/>
      <c r="AK416" s="92"/>
      <c r="AL416" s="92"/>
      <c r="AM416" s="92"/>
      <c r="AN416" s="92"/>
      <c r="AO416" s="92"/>
      <c r="AP416" s="92"/>
      <c r="AQ416" s="92"/>
      <c r="AR416" s="92"/>
      <c r="AS416" s="92"/>
      <c r="AT416" s="92"/>
      <c r="AU416" s="92"/>
      <c r="AV416" s="92"/>
      <c r="AX416" s="62" t="s">
        <v>85</v>
      </c>
      <c r="AY416" s="62" t="s">
        <v>85</v>
      </c>
    </row>
    <row r="417" spans="1:58" s="1" customFormat="1" ht="16.5" x14ac:dyDescent="0.3">
      <c r="A417" s="92"/>
      <c r="B417" s="92"/>
      <c r="C417" s="92"/>
      <c r="D417" s="92"/>
      <c r="E417" s="92"/>
      <c r="F417" s="92"/>
      <c r="G417" s="92"/>
      <c r="H417" s="92"/>
      <c r="I417" s="92"/>
      <c r="J417" s="92"/>
      <c r="K417" s="92"/>
      <c r="L417" s="92"/>
      <c r="M417" s="92"/>
      <c r="N417" s="92"/>
      <c r="O417" s="92"/>
      <c r="P417" s="92"/>
      <c r="Q417" s="92"/>
      <c r="R417" s="92"/>
      <c r="S417" s="92"/>
      <c r="T417" s="92"/>
      <c r="U417" s="92"/>
      <c r="V417" s="92"/>
      <c r="W417" s="92"/>
      <c r="X417" s="92"/>
      <c r="Y417" s="92"/>
      <c r="Z417" s="92"/>
      <c r="AA417" s="92"/>
      <c r="AB417" s="92"/>
      <c r="AC417" s="92"/>
      <c r="AD417" s="92"/>
      <c r="AE417" s="92"/>
      <c r="AF417" s="92"/>
      <c r="AG417" s="92"/>
      <c r="AH417" s="92"/>
      <c r="AI417" s="92"/>
      <c r="AJ417" s="92"/>
      <c r="AK417" s="92"/>
      <c r="AL417" s="92"/>
      <c r="AM417" s="92"/>
      <c r="AN417" s="92"/>
      <c r="AO417" s="92"/>
      <c r="AP417" s="92"/>
      <c r="AQ417" s="92"/>
      <c r="AR417" s="92"/>
      <c r="AS417" s="92"/>
      <c r="AT417" s="92"/>
      <c r="AU417" s="92"/>
      <c r="AV417" s="92"/>
      <c r="AX417" s="62" t="s">
        <v>85</v>
      </c>
      <c r="AY417" s="62" t="s">
        <v>85</v>
      </c>
    </row>
    <row r="418" spans="1:58" s="1" customFormat="1" ht="16.5" x14ac:dyDescent="0.3">
      <c r="A418" s="92"/>
      <c r="B418" s="92"/>
      <c r="C418" s="92"/>
      <c r="D418" s="92"/>
      <c r="E418" s="92"/>
      <c r="F418" s="92"/>
      <c r="G418" s="92"/>
      <c r="H418" s="92"/>
      <c r="I418" s="92"/>
      <c r="J418" s="92"/>
      <c r="K418" s="92"/>
      <c r="L418" s="92"/>
      <c r="M418" s="92"/>
      <c r="N418" s="92"/>
      <c r="O418" s="92"/>
      <c r="P418" s="92"/>
      <c r="Q418" s="92"/>
      <c r="R418" s="92"/>
      <c r="S418" s="92"/>
      <c r="T418" s="92"/>
      <c r="U418" s="92"/>
      <c r="V418" s="92"/>
      <c r="W418" s="92"/>
      <c r="X418" s="92"/>
      <c r="Y418" s="92"/>
      <c r="Z418" s="92"/>
      <c r="AA418" s="92"/>
      <c r="AB418" s="92"/>
      <c r="AC418" s="92"/>
      <c r="AD418" s="92"/>
      <c r="AE418" s="92"/>
      <c r="AF418" s="92"/>
      <c r="AG418" s="92"/>
      <c r="AH418" s="92"/>
      <c r="AI418" s="92"/>
      <c r="AJ418" s="92"/>
      <c r="AK418" s="92"/>
      <c r="AL418" s="92"/>
      <c r="AM418" s="92"/>
      <c r="AN418" s="92"/>
      <c r="AO418" s="92"/>
      <c r="AP418" s="92"/>
      <c r="AQ418" s="92"/>
      <c r="AR418" s="92"/>
      <c r="AS418" s="92"/>
      <c r="AT418" s="92"/>
      <c r="AU418" s="92"/>
      <c r="AV418" s="92"/>
      <c r="AX418" s="62" t="s">
        <v>85</v>
      </c>
      <c r="AY418" s="62" t="s">
        <v>85</v>
      </c>
    </row>
    <row r="419" spans="1:58" s="1" customFormat="1" ht="16.5" x14ac:dyDescent="0.3">
      <c r="A419" s="92"/>
      <c r="B419" s="92"/>
      <c r="C419" s="92"/>
      <c r="D419" s="92"/>
      <c r="E419" s="92"/>
      <c r="F419" s="92"/>
      <c r="G419" s="92"/>
      <c r="H419" s="92"/>
      <c r="I419" s="92"/>
      <c r="J419" s="92"/>
      <c r="K419" s="92"/>
      <c r="L419" s="92"/>
      <c r="M419" s="92"/>
      <c r="N419" s="92"/>
      <c r="O419" s="92"/>
      <c r="P419" s="92"/>
      <c r="Q419" s="92"/>
      <c r="R419" s="92"/>
      <c r="S419" s="92"/>
      <c r="T419" s="92"/>
      <c r="U419" s="92"/>
      <c r="V419" s="92"/>
      <c r="W419" s="92"/>
      <c r="X419" s="92"/>
      <c r="Y419" s="92"/>
      <c r="Z419" s="92"/>
      <c r="AA419" s="92"/>
      <c r="AB419" s="92"/>
      <c r="AC419" s="92"/>
      <c r="AD419" s="92"/>
      <c r="AE419" s="92"/>
      <c r="AF419" s="92"/>
      <c r="AG419" s="92"/>
      <c r="AH419" s="92"/>
      <c r="AI419" s="92"/>
      <c r="AJ419" s="92"/>
      <c r="AK419" s="92"/>
      <c r="AL419" s="92"/>
      <c r="AM419" s="92"/>
      <c r="AN419" s="92"/>
      <c r="AO419" s="92"/>
      <c r="AP419" s="92"/>
      <c r="AQ419" s="92"/>
      <c r="AR419" s="92"/>
      <c r="AS419" s="92"/>
      <c r="AT419" s="92"/>
      <c r="AU419" s="92"/>
      <c r="AV419" s="92"/>
      <c r="AX419" s="62" t="s">
        <v>85</v>
      </c>
      <c r="AY419" s="62" t="s">
        <v>85</v>
      </c>
    </row>
    <row r="420" spans="1:58" s="1" customFormat="1" ht="16.5" x14ac:dyDescent="0.3">
      <c r="A420" s="92"/>
      <c r="B420" s="92"/>
      <c r="C420" s="92"/>
      <c r="D420" s="92"/>
      <c r="E420" s="92"/>
      <c r="F420" s="92"/>
      <c r="G420" s="92"/>
      <c r="H420" s="92"/>
      <c r="I420" s="92"/>
      <c r="J420" s="92"/>
      <c r="K420" s="92"/>
      <c r="L420" s="92"/>
      <c r="M420" s="92"/>
      <c r="N420" s="92"/>
      <c r="O420" s="92"/>
      <c r="P420" s="92"/>
      <c r="Q420" s="92"/>
      <c r="R420" s="92"/>
      <c r="S420" s="92"/>
      <c r="T420" s="92"/>
      <c r="U420" s="92"/>
      <c r="V420" s="92"/>
      <c r="W420" s="92"/>
      <c r="X420" s="92"/>
      <c r="Y420" s="92"/>
      <c r="Z420" s="92"/>
      <c r="AA420" s="92"/>
      <c r="AB420" s="92"/>
      <c r="AC420" s="92"/>
      <c r="AD420" s="92"/>
      <c r="AE420" s="92"/>
      <c r="AF420" s="92"/>
      <c r="AG420" s="92"/>
      <c r="AH420" s="92"/>
      <c r="AI420" s="92"/>
      <c r="AJ420" s="92"/>
      <c r="AK420" s="92"/>
      <c r="AL420" s="92"/>
      <c r="AM420" s="92"/>
      <c r="AN420" s="92"/>
      <c r="AO420" s="92"/>
      <c r="AP420" s="92"/>
      <c r="AQ420" s="92"/>
      <c r="AR420" s="92"/>
      <c r="AS420" s="92"/>
      <c r="AT420" s="92"/>
      <c r="AU420" s="92"/>
      <c r="AV420" s="92"/>
      <c r="AX420" s="62" t="s">
        <v>85</v>
      </c>
      <c r="AY420" s="62" t="s">
        <v>85</v>
      </c>
    </row>
    <row r="421" spans="1:58" s="1" customFormat="1" ht="16.5" x14ac:dyDescent="0.3">
      <c r="A421" s="92"/>
      <c r="B421" s="92"/>
      <c r="C421" s="92"/>
      <c r="D421" s="92"/>
      <c r="E421" s="92"/>
      <c r="F421" s="92"/>
      <c r="G421" s="92"/>
      <c r="H421" s="92"/>
      <c r="I421" s="92"/>
      <c r="J421" s="92"/>
      <c r="K421" s="92"/>
      <c r="L421" s="92"/>
      <c r="M421" s="92"/>
      <c r="N421" s="92"/>
      <c r="O421" s="92"/>
      <c r="P421" s="92"/>
      <c r="Q421" s="92"/>
      <c r="R421" s="92"/>
      <c r="S421" s="92"/>
      <c r="T421" s="92"/>
      <c r="U421" s="92"/>
      <c r="V421" s="92"/>
      <c r="W421" s="92"/>
      <c r="X421" s="92"/>
      <c r="Y421" s="92"/>
      <c r="Z421" s="92"/>
      <c r="AA421" s="92"/>
      <c r="AB421" s="92"/>
      <c r="AC421" s="92"/>
      <c r="AD421" s="92"/>
      <c r="AE421" s="92"/>
      <c r="AF421" s="92"/>
      <c r="AG421" s="92"/>
      <c r="AH421" s="92"/>
      <c r="AI421" s="92"/>
      <c r="AJ421" s="92"/>
      <c r="AK421" s="92"/>
      <c r="AL421" s="92"/>
      <c r="AM421" s="92"/>
      <c r="AN421" s="92"/>
      <c r="AO421" s="92"/>
      <c r="AP421" s="92"/>
      <c r="AQ421" s="92"/>
      <c r="AR421" s="92"/>
      <c r="AS421" s="92"/>
      <c r="AT421" s="92"/>
      <c r="AU421" s="92"/>
      <c r="AV421" s="92"/>
      <c r="AX421" s="62" t="s">
        <v>85</v>
      </c>
      <c r="AY421" s="62" t="s">
        <v>85</v>
      </c>
    </row>
    <row r="422" spans="1:58" s="1" customFormat="1" ht="16.5" x14ac:dyDescent="0.3">
      <c r="A422" s="92"/>
      <c r="B422" s="92"/>
      <c r="C422" s="92"/>
      <c r="D422" s="92"/>
      <c r="E422" s="92"/>
      <c r="F422" s="92"/>
      <c r="G422" s="92"/>
      <c r="H422" s="92"/>
      <c r="I422" s="92"/>
      <c r="J422" s="92"/>
      <c r="K422" s="92"/>
      <c r="L422" s="92"/>
      <c r="M422" s="92"/>
      <c r="N422" s="92"/>
      <c r="O422" s="92"/>
      <c r="P422" s="92"/>
      <c r="Q422" s="92"/>
      <c r="R422" s="92"/>
      <c r="S422" s="92"/>
      <c r="T422" s="92"/>
      <c r="U422" s="92"/>
      <c r="V422" s="92"/>
      <c r="W422" s="92"/>
      <c r="X422" s="92"/>
      <c r="Y422" s="92"/>
      <c r="Z422" s="92"/>
      <c r="AA422" s="92"/>
      <c r="AB422" s="92"/>
      <c r="AC422" s="92"/>
      <c r="AD422" s="92"/>
      <c r="AE422" s="92"/>
      <c r="AF422" s="92"/>
      <c r="AG422" s="92"/>
      <c r="AH422" s="92"/>
      <c r="AI422" s="92"/>
      <c r="AJ422" s="92"/>
      <c r="AK422" s="92"/>
      <c r="AL422" s="92"/>
      <c r="AM422" s="92"/>
      <c r="AN422" s="92"/>
      <c r="AO422" s="92"/>
      <c r="AP422" s="92"/>
      <c r="AQ422" s="92"/>
      <c r="AR422" s="92"/>
      <c r="AS422" s="92"/>
      <c r="AT422" s="92"/>
      <c r="AU422" s="92"/>
      <c r="AV422" s="92"/>
      <c r="AX422" s="62" t="s">
        <v>85</v>
      </c>
      <c r="AY422" s="62" t="s">
        <v>85</v>
      </c>
      <c r="AZ422" s="62"/>
      <c r="BA422" s="113" t="s">
        <v>48</v>
      </c>
      <c r="BB422" s="114">
        <v>0</v>
      </c>
      <c r="BC422" s="114">
        <v>0</v>
      </c>
      <c r="BD422" s="114">
        <v>0</v>
      </c>
      <c r="BE422" s="114">
        <v>0</v>
      </c>
      <c r="BF422" s="114">
        <v>0</v>
      </c>
    </row>
    <row r="423" spans="1:58" s="1" customFormat="1" ht="16.5" x14ac:dyDescent="0.3">
      <c r="A423" s="92"/>
      <c r="B423" s="92"/>
      <c r="C423" s="92"/>
      <c r="D423" s="92"/>
      <c r="E423" s="92"/>
      <c r="F423" s="92"/>
      <c r="G423" s="92"/>
      <c r="H423" s="92"/>
      <c r="I423" s="92"/>
      <c r="J423" s="92"/>
      <c r="K423" s="92"/>
      <c r="L423" s="92"/>
      <c r="M423" s="92"/>
      <c r="N423" s="92"/>
      <c r="O423" s="92"/>
      <c r="P423" s="92"/>
      <c r="Q423" s="92"/>
      <c r="R423" s="92"/>
      <c r="S423" s="92"/>
      <c r="T423" s="92"/>
      <c r="U423" s="92"/>
      <c r="V423" s="92"/>
      <c r="W423" s="92"/>
      <c r="X423" s="92"/>
      <c r="Y423" s="92"/>
      <c r="Z423" s="92"/>
      <c r="AA423" s="92"/>
      <c r="AB423" s="92"/>
      <c r="AC423" s="92"/>
      <c r="AD423" s="92"/>
      <c r="AE423" s="92"/>
      <c r="AF423" s="92"/>
      <c r="AG423" s="92"/>
      <c r="AH423" s="92"/>
      <c r="AI423" s="92"/>
      <c r="AJ423" s="92"/>
      <c r="AK423" s="92"/>
      <c r="AL423" s="92"/>
      <c r="AM423" s="92"/>
      <c r="AN423" s="92"/>
      <c r="AO423" s="92"/>
      <c r="AP423" s="92"/>
      <c r="AQ423" s="92"/>
      <c r="AR423" s="92"/>
      <c r="AS423" s="92"/>
      <c r="AT423" s="92"/>
      <c r="AU423" s="92"/>
      <c r="AV423" s="92"/>
      <c r="AX423" s="62" t="s">
        <v>85</v>
      </c>
      <c r="AY423" s="62" t="s">
        <v>85</v>
      </c>
      <c r="AZ423" s="62"/>
      <c r="BA423" s="113" t="s">
        <v>49</v>
      </c>
      <c r="BB423" s="114">
        <v>0</v>
      </c>
      <c r="BC423" s="114">
        <v>0</v>
      </c>
      <c r="BD423" s="114">
        <v>0</v>
      </c>
      <c r="BE423" s="114">
        <v>0</v>
      </c>
      <c r="BF423" s="114">
        <v>0</v>
      </c>
    </row>
    <row r="424" spans="1:58" s="1" customFormat="1" ht="16.5" x14ac:dyDescent="0.3">
      <c r="A424" s="92"/>
      <c r="B424" s="92"/>
      <c r="C424" s="92"/>
      <c r="D424" s="92"/>
      <c r="E424" s="92"/>
      <c r="F424" s="92"/>
      <c r="G424" s="92"/>
      <c r="H424" s="92"/>
      <c r="I424" s="92"/>
      <c r="J424" s="92"/>
      <c r="K424" s="92"/>
      <c r="L424" s="92"/>
      <c r="M424" s="92"/>
      <c r="N424" s="92"/>
      <c r="O424" s="92"/>
      <c r="P424" s="92"/>
      <c r="Q424" s="92"/>
      <c r="R424" s="92"/>
      <c r="S424" s="92"/>
      <c r="T424" s="92"/>
      <c r="U424" s="92"/>
      <c r="V424" s="92"/>
      <c r="W424" s="92"/>
      <c r="X424" s="92"/>
      <c r="Y424" s="92"/>
      <c r="Z424" s="92"/>
      <c r="AA424" s="92"/>
      <c r="AB424" s="92"/>
      <c r="AC424" s="92"/>
      <c r="AD424" s="92"/>
      <c r="AE424" s="92"/>
      <c r="AF424" s="92"/>
      <c r="AG424" s="92"/>
      <c r="AH424" s="92"/>
      <c r="AI424" s="92"/>
      <c r="AJ424" s="92"/>
      <c r="AK424" s="92"/>
      <c r="AL424" s="92"/>
      <c r="AM424" s="92"/>
      <c r="AN424" s="92"/>
      <c r="AO424" s="92"/>
      <c r="AP424" s="92"/>
      <c r="AQ424" s="92"/>
      <c r="AR424" s="92"/>
      <c r="AS424" s="92"/>
      <c r="AT424" s="92"/>
      <c r="AU424" s="92"/>
      <c r="AV424" s="92"/>
      <c r="AX424" s="62" t="s">
        <v>85</v>
      </c>
      <c r="AY424" s="62" t="s">
        <v>85</v>
      </c>
      <c r="AZ424" s="62"/>
      <c r="BA424" s="115" t="s">
        <v>50</v>
      </c>
      <c r="BB424" s="116">
        <v>0</v>
      </c>
      <c r="BC424" s="116">
        <v>0</v>
      </c>
      <c r="BD424" s="116">
        <v>0</v>
      </c>
      <c r="BE424" s="116">
        <v>0</v>
      </c>
      <c r="BF424" s="116">
        <v>0</v>
      </c>
    </row>
    <row r="425" spans="1:58" s="1" customFormat="1" ht="16.5" x14ac:dyDescent="0.3">
      <c r="A425" s="92"/>
      <c r="B425" s="92"/>
      <c r="C425" s="92"/>
      <c r="D425" s="92"/>
      <c r="E425" s="92"/>
      <c r="F425" s="92"/>
      <c r="G425" s="92"/>
      <c r="H425" s="92"/>
      <c r="I425" s="92"/>
      <c r="J425" s="92"/>
      <c r="K425" s="92"/>
      <c r="L425" s="92"/>
      <c r="M425" s="92"/>
      <c r="N425" s="92"/>
      <c r="O425" s="92"/>
      <c r="P425" s="92"/>
      <c r="Q425" s="92"/>
      <c r="R425" s="92"/>
      <c r="S425" s="92"/>
      <c r="T425" s="92"/>
      <c r="U425" s="92"/>
      <c r="V425" s="92"/>
      <c r="W425" s="92"/>
      <c r="X425" s="92"/>
      <c r="Y425" s="92"/>
      <c r="Z425" s="92"/>
      <c r="AA425" s="92"/>
      <c r="AB425" s="92"/>
      <c r="AC425" s="92"/>
      <c r="AD425" s="92"/>
      <c r="AE425" s="92"/>
      <c r="AF425" s="92"/>
      <c r="AG425" s="92"/>
      <c r="AH425" s="92"/>
      <c r="AI425" s="92"/>
      <c r="AJ425" s="92"/>
      <c r="AK425" s="92"/>
      <c r="AL425" s="92"/>
      <c r="AM425" s="92"/>
      <c r="AN425" s="92"/>
      <c r="AO425" s="92"/>
      <c r="AP425" s="92"/>
      <c r="AQ425" s="92"/>
      <c r="AR425" s="92"/>
      <c r="AS425" s="92"/>
      <c r="AT425" s="92"/>
      <c r="AU425" s="92"/>
      <c r="AV425" s="92"/>
      <c r="AX425" s="62" t="s">
        <v>85</v>
      </c>
      <c r="AY425" s="62" t="s">
        <v>85</v>
      </c>
      <c r="AZ425" s="62"/>
      <c r="BA425" s="3"/>
    </row>
    <row r="426" spans="1:58" s="1" customFormat="1" ht="16.5" x14ac:dyDescent="0.3">
      <c r="A426" s="92"/>
      <c r="B426" s="92"/>
      <c r="C426" s="92"/>
      <c r="D426" s="92"/>
      <c r="E426" s="92"/>
      <c r="F426" s="92"/>
      <c r="G426" s="92"/>
      <c r="H426" s="92"/>
      <c r="I426" s="92"/>
      <c r="J426" s="92"/>
      <c r="K426" s="92"/>
      <c r="L426" s="92"/>
      <c r="M426" s="92"/>
      <c r="N426" s="92"/>
      <c r="O426" s="92"/>
      <c r="P426" s="92"/>
      <c r="Q426" s="92"/>
      <c r="R426" s="92"/>
      <c r="S426" s="92"/>
      <c r="T426" s="92"/>
      <c r="U426" s="92"/>
      <c r="V426" s="92"/>
      <c r="W426" s="92"/>
      <c r="X426" s="92"/>
      <c r="Y426" s="92"/>
      <c r="Z426" s="92"/>
      <c r="AA426" s="92"/>
      <c r="AB426" s="92"/>
      <c r="AC426" s="92"/>
      <c r="AD426" s="92"/>
      <c r="AE426" s="92"/>
      <c r="AF426" s="92"/>
      <c r="AG426" s="92"/>
      <c r="AH426" s="92"/>
      <c r="AI426" s="92"/>
      <c r="AJ426" s="92"/>
      <c r="AK426" s="92"/>
      <c r="AL426" s="92"/>
      <c r="AM426" s="92"/>
      <c r="AN426" s="92"/>
      <c r="AO426" s="92"/>
      <c r="AP426" s="92"/>
      <c r="AQ426" s="92"/>
      <c r="AR426" s="92"/>
      <c r="AS426" s="92"/>
      <c r="AT426" s="92"/>
      <c r="AU426" s="92"/>
      <c r="AV426" s="92"/>
      <c r="AX426" s="62" t="s">
        <v>85</v>
      </c>
      <c r="AY426" s="62" t="s">
        <v>85</v>
      </c>
      <c r="AZ426" s="62"/>
      <c r="BA426" s="113" t="s">
        <v>47</v>
      </c>
      <c r="BB426" s="117" t="e">
        <v>#DIV/0!</v>
      </c>
      <c r="BC426" s="117" t="e">
        <v>#DIV/0!</v>
      </c>
      <c r="BD426" s="117" t="e">
        <v>#DIV/0!</v>
      </c>
      <c r="BE426" s="117" t="e">
        <v>#DIV/0!</v>
      </c>
      <c r="BF426" s="117" t="e">
        <v>#DIV/0!</v>
      </c>
    </row>
    <row r="427" spans="1:58" s="1" customFormat="1" ht="16.5" x14ac:dyDescent="0.3">
      <c r="A427" s="92"/>
      <c r="B427" s="92"/>
      <c r="C427" s="92"/>
      <c r="D427" s="92"/>
      <c r="E427" s="92"/>
      <c r="F427" s="92"/>
      <c r="G427" s="92"/>
      <c r="H427" s="92"/>
      <c r="I427" s="92"/>
      <c r="J427" s="92"/>
      <c r="K427" s="92"/>
      <c r="L427" s="92"/>
      <c r="M427" s="92"/>
      <c r="N427" s="92"/>
      <c r="O427" s="92"/>
      <c r="P427" s="92"/>
      <c r="Q427" s="92"/>
      <c r="R427" s="92"/>
      <c r="S427" s="92"/>
      <c r="T427" s="92"/>
      <c r="U427" s="92"/>
      <c r="V427" s="92"/>
      <c r="W427" s="92"/>
      <c r="X427" s="92"/>
      <c r="Y427" s="92"/>
      <c r="Z427" s="92"/>
      <c r="AA427" s="92"/>
      <c r="AB427" s="92"/>
      <c r="AC427" s="92"/>
      <c r="AD427" s="92"/>
      <c r="AE427" s="92"/>
      <c r="AF427" s="92"/>
      <c r="AG427" s="92"/>
      <c r="AH427" s="92"/>
      <c r="AI427" s="92"/>
      <c r="AJ427" s="92"/>
      <c r="AK427" s="92"/>
      <c r="AL427" s="92"/>
      <c r="AM427" s="92"/>
      <c r="AN427" s="92"/>
      <c r="AO427" s="92"/>
      <c r="AP427" s="92"/>
      <c r="AQ427" s="92"/>
      <c r="AR427" s="92"/>
      <c r="AS427" s="92"/>
      <c r="AT427" s="92"/>
      <c r="AU427" s="92"/>
      <c r="AV427" s="92"/>
      <c r="AX427" s="62" t="s">
        <v>85</v>
      </c>
      <c r="AY427" s="62" t="s">
        <v>85</v>
      </c>
      <c r="BA427" s="113" t="s">
        <v>49</v>
      </c>
      <c r="BB427" s="117" t="e">
        <v>#DIV/0!</v>
      </c>
      <c r="BC427" s="117" t="e">
        <v>#DIV/0!</v>
      </c>
      <c r="BD427" s="117" t="e">
        <v>#DIV/0!</v>
      </c>
      <c r="BE427" s="117" t="e">
        <v>#DIV/0!</v>
      </c>
      <c r="BF427" s="117" t="e">
        <v>#DIV/0!</v>
      </c>
    </row>
    <row r="428" spans="1:58" s="1" customFormat="1" ht="16.5" x14ac:dyDescent="0.3">
      <c r="A428" s="92"/>
      <c r="B428" s="92"/>
      <c r="C428" s="92"/>
      <c r="D428" s="92"/>
      <c r="E428" s="92"/>
      <c r="F428" s="92"/>
      <c r="G428" s="92"/>
      <c r="H428" s="92"/>
      <c r="I428" s="92"/>
      <c r="J428" s="92"/>
      <c r="K428" s="92"/>
      <c r="L428" s="92"/>
      <c r="M428" s="92"/>
      <c r="N428" s="92"/>
      <c r="O428" s="92"/>
      <c r="P428" s="92"/>
      <c r="Q428" s="92"/>
      <c r="R428" s="92"/>
      <c r="S428" s="92"/>
      <c r="T428" s="92"/>
      <c r="U428" s="92"/>
      <c r="V428" s="92"/>
      <c r="W428" s="92"/>
      <c r="X428" s="92"/>
      <c r="Y428" s="92"/>
      <c r="Z428" s="92"/>
      <c r="AA428" s="92"/>
      <c r="AB428" s="92"/>
      <c r="AC428" s="92"/>
      <c r="AD428" s="92"/>
      <c r="AE428" s="92"/>
      <c r="AF428" s="92"/>
      <c r="AG428" s="92"/>
      <c r="AH428" s="92"/>
      <c r="AI428" s="92"/>
      <c r="AJ428" s="92"/>
      <c r="AK428" s="92"/>
      <c r="AL428" s="92"/>
      <c r="AM428" s="92"/>
      <c r="AN428" s="92"/>
      <c r="AO428" s="92"/>
      <c r="AP428" s="92"/>
      <c r="AQ428" s="92"/>
      <c r="AR428" s="92"/>
      <c r="AS428" s="92"/>
      <c r="AT428" s="92"/>
      <c r="AU428" s="92"/>
      <c r="AV428" s="92"/>
      <c r="AX428" s="62" t="s">
        <v>85</v>
      </c>
      <c r="AY428" s="62" t="s">
        <v>85</v>
      </c>
      <c r="BA428" s="115" t="s">
        <v>50</v>
      </c>
      <c r="BB428" s="118" t="e">
        <v>#DIV/0!</v>
      </c>
      <c r="BC428" s="118" t="e">
        <v>#DIV/0!</v>
      </c>
      <c r="BD428" s="118" t="e">
        <v>#DIV/0!</v>
      </c>
      <c r="BE428" s="118" t="e">
        <v>#DIV/0!</v>
      </c>
      <c r="BF428" s="118" t="e">
        <v>#DIV/0!</v>
      </c>
    </row>
    <row r="429" spans="1:58" s="1" customFormat="1" ht="16.5" x14ac:dyDescent="0.3">
      <c r="A429" s="92"/>
      <c r="B429" s="92"/>
      <c r="C429" s="92"/>
      <c r="D429" s="92"/>
      <c r="E429" s="92"/>
      <c r="F429" s="92"/>
      <c r="G429" s="92"/>
      <c r="H429" s="92"/>
      <c r="I429" s="92"/>
      <c r="J429" s="92"/>
      <c r="K429" s="92"/>
      <c r="L429" s="92"/>
      <c r="M429" s="92"/>
      <c r="N429" s="92"/>
      <c r="O429" s="92"/>
      <c r="P429" s="92"/>
      <c r="Q429" s="92"/>
      <c r="R429" s="92"/>
      <c r="S429" s="92"/>
      <c r="T429" s="92"/>
      <c r="U429" s="92"/>
      <c r="V429" s="92"/>
      <c r="W429" s="92"/>
      <c r="X429" s="92"/>
      <c r="Y429" s="92"/>
      <c r="Z429" s="92"/>
      <c r="AA429" s="92"/>
      <c r="AB429" s="92"/>
      <c r="AC429" s="92"/>
      <c r="AD429" s="92"/>
      <c r="AE429" s="92"/>
      <c r="AF429" s="92"/>
      <c r="AG429" s="92"/>
      <c r="AH429" s="92"/>
      <c r="AI429" s="92"/>
      <c r="AJ429" s="92"/>
      <c r="AK429" s="92"/>
      <c r="AL429" s="92"/>
      <c r="AM429" s="92"/>
      <c r="AN429" s="92"/>
      <c r="AO429" s="92"/>
      <c r="AP429" s="92"/>
      <c r="AQ429" s="92"/>
      <c r="AR429" s="92"/>
      <c r="AS429" s="92"/>
      <c r="AT429" s="92"/>
      <c r="AU429" s="92"/>
      <c r="AV429" s="92"/>
      <c r="AX429" s="62" t="s">
        <v>85</v>
      </c>
      <c r="AY429" s="62" t="s">
        <v>85</v>
      </c>
      <c r="BA429" s="113" t="s">
        <v>52</v>
      </c>
      <c r="BB429" s="117" t="e">
        <v>#DIV/0!</v>
      </c>
      <c r="BC429" s="117" t="e">
        <v>#DIV/0!</v>
      </c>
      <c r="BD429" s="117" t="e">
        <v>#DIV/0!</v>
      </c>
      <c r="BE429" s="117" t="e">
        <v>#DIV/0!</v>
      </c>
      <c r="BF429" s="117" t="e">
        <v>#DIV/0!</v>
      </c>
    </row>
    <row r="430" spans="1:58" s="1" customFormat="1" ht="16.5" x14ac:dyDescent="0.3">
      <c r="A430" s="92"/>
      <c r="B430" s="92"/>
      <c r="C430" s="92"/>
      <c r="D430" s="92"/>
      <c r="E430" s="92"/>
      <c r="F430" s="92"/>
      <c r="G430" s="92"/>
      <c r="H430" s="92"/>
      <c r="I430" s="92"/>
      <c r="J430" s="92"/>
      <c r="K430" s="92"/>
      <c r="L430" s="92"/>
      <c r="M430" s="92"/>
      <c r="N430" s="92"/>
      <c r="O430" s="92"/>
      <c r="P430" s="92"/>
      <c r="Q430" s="92"/>
      <c r="R430" s="92"/>
      <c r="S430" s="92"/>
      <c r="T430" s="92"/>
      <c r="U430" s="92"/>
      <c r="V430" s="92"/>
      <c r="W430" s="92"/>
      <c r="X430" s="92"/>
      <c r="Y430" s="92"/>
      <c r="Z430" s="92"/>
      <c r="AA430" s="92"/>
      <c r="AB430" s="92"/>
      <c r="AC430" s="92"/>
      <c r="AD430" s="92"/>
      <c r="AE430" s="92"/>
      <c r="AF430" s="92"/>
      <c r="AG430" s="92"/>
      <c r="AH430" s="92"/>
      <c r="AI430" s="92"/>
      <c r="AJ430" s="92"/>
      <c r="AK430" s="92"/>
      <c r="AL430" s="92"/>
      <c r="AM430" s="92"/>
      <c r="AN430" s="92"/>
      <c r="AO430" s="92"/>
      <c r="AP430" s="92"/>
      <c r="AQ430" s="92"/>
      <c r="AR430" s="92"/>
      <c r="AS430" s="92"/>
      <c r="AT430" s="92"/>
      <c r="AU430" s="92"/>
      <c r="AV430" s="92"/>
      <c r="AX430" s="62" t="s">
        <v>85</v>
      </c>
      <c r="AY430" s="62" t="s">
        <v>85</v>
      </c>
    </row>
    <row r="431" spans="1:58" s="1" customFormat="1" ht="16.5" x14ac:dyDescent="0.3">
      <c r="A431" s="92"/>
      <c r="B431" s="92"/>
      <c r="C431" s="92"/>
      <c r="D431" s="92"/>
      <c r="E431" s="92"/>
      <c r="F431" s="92"/>
      <c r="G431" s="92"/>
      <c r="H431" s="92"/>
      <c r="I431" s="92"/>
      <c r="J431" s="92"/>
      <c r="K431" s="92"/>
      <c r="L431" s="92"/>
      <c r="M431" s="92"/>
      <c r="N431" s="92"/>
      <c r="O431" s="92"/>
      <c r="P431" s="92"/>
      <c r="Q431" s="92"/>
      <c r="R431" s="92"/>
      <c r="S431" s="92"/>
      <c r="T431" s="92"/>
      <c r="U431" s="92"/>
      <c r="V431" s="92"/>
      <c r="W431" s="92"/>
      <c r="X431" s="92"/>
      <c r="Y431" s="92"/>
      <c r="Z431" s="92"/>
      <c r="AA431" s="92"/>
      <c r="AB431" s="92"/>
      <c r="AC431" s="92"/>
      <c r="AD431" s="92"/>
      <c r="AE431" s="92"/>
      <c r="AF431" s="92"/>
      <c r="AG431" s="92"/>
      <c r="AH431" s="92"/>
      <c r="AI431" s="92"/>
      <c r="AJ431" s="92"/>
      <c r="AK431" s="92"/>
      <c r="AL431" s="92"/>
      <c r="AM431" s="92"/>
      <c r="AN431" s="92"/>
      <c r="AO431" s="92"/>
      <c r="AP431" s="92"/>
      <c r="AQ431" s="92"/>
      <c r="AR431" s="92"/>
      <c r="AS431" s="92"/>
      <c r="AT431" s="92"/>
      <c r="AU431" s="92"/>
      <c r="AV431" s="92"/>
      <c r="AX431" s="62" t="s">
        <v>85</v>
      </c>
      <c r="AY431" s="62" t="s">
        <v>85</v>
      </c>
    </row>
    <row r="432" spans="1:58" s="1" customFormat="1" ht="16.5" x14ac:dyDescent="0.3">
      <c r="A432" s="92"/>
      <c r="B432" s="92"/>
      <c r="C432" s="92"/>
      <c r="D432" s="92"/>
      <c r="E432" s="92"/>
      <c r="F432" s="92"/>
      <c r="G432" s="92"/>
      <c r="H432" s="92"/>
      <c r="I432" s="92"/>
      <c r="J432" s="92"/>
      <c r="K432" s="92"/>
      <c r="L432" s="92"/>
      <c r="M432" s="92"/>
      <c r="N432" s="92"/>
      <c r="O432" s="92"/>
      <c r="P432" s="92"/>
      <c r="Q432" s="92"/>
      <c r="R432" s="92"/>
      <c r="S432" s="92"/>
      <c r="T432" s="92"/>
      <c r="U432" s="92"/>
      <c r="V432" s="92"/>
      <c r="W432" s="92"/>
      <c r="X432" s="92"/>
      <c r="Y432" s="92"/>
      <c r="Z432" s="92"/>
      <c r="AA432" s="92"/>
      <c r="AB432" s="92"/>
      <c r="AC432" s="92"/>
      <c r="AD432" s="92"/>
      <c r="AE432" s="92"/>
      <c r="AF432" s="92"/>
      <c r="AG432" s="92"/>
      <c r="AH432" s="92"/>
      <c r="AI432" s="92"/>
      <c r="AJ432" s="92"/>
      <c r="AK432" s="92"/>
      <c r="AL432" s="92"/>
      <c r="AM432" s="92"/>
      <c r="AN432" s="92"/>
      <c r="AO432" s="92"/>
      <c r="AP432" s="92"/>
      <c r="AQ432" s="92"/>
      <c r="AR432" s="92"/>
      <c r="AS432" s="92"/>
      <c r="AT432" s="92"/>
      <c r="AU432" s="92"/>
      <c r="AV432" s="92"/>
      <c r="AX432" s="62" t="s">
        <v>85</v>
      </c>
      <c r="AY432" s="62" t="s">
        <v>85</v>
      </c>
    </row>
    <row r="433" spans="1:51" s="1" customFormat="1" ht="16.5" x14ac:dyDescent="0.3">
      <c r="A433" s="92"/>
      <c r="B433" s="92"/>
      <c r="C433" s="92"/>
      <c r="D433" s="92"/>
      <c r="E433" s="92"/>
      <c r="F433" s="92"/>
      <c r="G433" s="92"/>
      <c r="H433" s="92"/>
      <c r="I433" s="92"/>
      <c r="J433" s="92"/>
      <c r="K433" s="92"/>
      <c r="L433" s="92"/>
      <c r="M433" s="92"/>
      <c r="N433" s="92"/>
      <c r="O433" s="92"/>
      <c r="P433" s="92"/>
      <c r="Q433" s="92"/>
      <c r="R433" s="92"/>
      <c r="S433" s="92"/>
      <c r="T433" s="92"/>
      <c r="U433" s="92"/>
      <c r="V433" s="92"/>
      <c r="W433" s="92"/>
      <c r="X433" s="92"/>
      <c r="Y433" s="92"/>
      <c r="Z433" s="92"/>
      <c r="AA433" s="92"/>
      <c r="AB433" s="92"/>
      <c r="AC433" s="92"/>
      <c r="AD433" s="92"/>
      <c r="AE433" s="92"/>
      <c r="AF433" s="92"/>
      <c r="AG433" s="92"/>
      <c r="AH433" s="92"/>
      <c r="AI433" s="92"/>
      <c r="AJ433" s="92"/>
      <c r="AK433" s="92"/>
      <c r="AL433" s="92"/>
      <c r="AM433" s="92"/>
      <c r="AN433" s="92"/>
      <c r="AO433" s="92"/>
      <c r="AP433" s="92"/>
      <c r="AQ433" s="92"/>
      <c r="AR433" s="92"/>
      <c r="AS433" s="92"/>
      <c r="AT433" s="92"/>
      <c r="AU433" s="92"/>
      <c r="AV433" s="92"/>
      <c r="AX433" s="62" t="s">
        <v>85</v>
      </c>
      <c r="AY433" s="62" t="s">
        <v>85</v>
      </c>
    </row>
    <row r="434" spans="1:51" s="1" customFormat="1" ht="16.5" x14ac:dyDescent="0.3">
      <c r="A434" s="92"/>
      <c r="B434" s="92"/>
      <c r="C434" s="92"/>
      <c r="D434" s="92"/>
      <c r="E434" s="92"/>
      <c r="F434" s="92"/>
      <c r="G434" s="92"/>
      <c r="H434" s="92"/>
      <c r="I434" s="92"/>
      <c r="J434" s="92"/>
      <c r="K434" s="92"/>
      <c r="L434" s="92"/>
      <c r="M434" s="92"/>
      <c r="N434" s="92"/>
      <c r="O434" s="92"/>
      <c r="P434" s="92"/>
      <c r="Q434" s="92"/>
      <c r="R434" s="92"/>
      <c r="S434" s="92"/>
      <c r="T434" s="92"/>
      <c r="U434" s="92"/>
      <c r="V434" s="92"/>
      <c r="W434" s="92"/>
      <c r="X434" s="92"/>
      <c r="Y434" s="92"/>
      <c r="Z434" s="92"/>
      <c r="AA434" s="92"/>
      <c r="AB434" s="92"/>
      <c r="AC434" s="92"/>
      <c r="AD434" s="92"/>
      <c r="AE434" s="92"/>
      <c r="AF434" s="92"/>
      <c r="AG434" s="92"/>
      <c r="AH434" s="92"/>
      <c r="AI434" s="92"/>
      <c r="AJ434" s="92"/>
      <c r="AK434" s="92"/>
      <c r="AL434" s="92"/>
      <c r="AM434" s="92"/>
      <c r="AN434" s="92"/>
      <c r="AO434" s="92"/>
      <c r="AP434" s="92"/>
      <c r="AQ434" s="92"/>
      <c r="AR434" s="92"/>
      <c r="AS434" s="92"/>
      <c r="AT434" s="92"/>
      <c r="AU434" s="92"/>
      <c r="AV434" s="92"/>
      <c r="AX434" s="62" t="s">
        <v>85</v>
      </c>
      <c r="AY434" s="62" t="s">
        <v>85</v>
      </c>
    </row>
    <row r="435" spans="1:51" s="1" customFormat="1" ht="16.5" x14ac:dyDescent="0.3">
      <c r="A435" s="92"/>
      <c r="B435" s="92"/>
      <c r="C435" s="92"/>
      <c r="D435" s="92"/>
      <c r="E435" s="92"/>
      <c r="F435" s="92"/>
      <c r="G435" s="92"/>
      <c r="H435" s="92"/>
      <c r="I435" s="92"/>
      <c r="J435" s="92"/>
      <c r="K435" s="92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92"/>
      <c r="Y435" s="92"/>
      <c r="Z435" s="92"/>
      <c r="AA435" s="92"/>
      <c r="AB435" s="92"/>
      <c r="AC435" s="92"/>
      <c r="AD435" s="92"/>
      <c r="AE435" s="92"/>
      <c r="AF435" s="92"/>
      <c r="AG435" s="92"/>
      <c r="AH435" s="92"/>
      <c r="AI435" s="92"/>
      <c r="AJ435" s="92"/>
      <c r="AK435" s="92"/>
      <c r="AL435" s="92"/>
      <c r="AM435" s="92"/>
      <c r="AN435" s="92"/>
      <c r="AO435" s="92"/>
      <c r="AP435" s="92"/>
      <c r="AQ435" s="92"/>
      <c r="AR435" s="92"/>
      <c r="AS435" s="92"/>
      <c r="AT435" s="92"/>
      <c r="AU435" s="92"/>
      <c r="AV435" s="92"/>
      <c r="AX435" s="62" t="s">
        <v>85</v>
      </c>
      <c r="AY435" s="62" t="s">
        <v>85</v>
      </c>
    </row>
    <row r="436" spans="1:51" s="1" customFormat="1" ht="16.5" x14ac:dyDescent="0.3">
      <c r="A436" s="92"/>
      <c r="B436" s="92"/>
      <c r="C436" s="92"/>
      <c r="D436" s="92"/>
      <c r="E436" s="92"/>
      <c r="F436" s="92"/>
      <c r="G436" s="92"/>
      <c r="H436" s="92"/>
      <c r="I436" s="92"/>
      <c r="J436" s="92"/>
      <c r="K436" s="92"/>
      <c r="L436" s="92"/>
      <c r="M436" s="92"/>
      <c r="N436" s="92"/>
      <c r="O436" s="92"/>
      <c r="P436" s="92"/>
      <c r="Q436" s="92"/>
      <c r="R436" s="92"/>
      <c r="S436" s="92"/>
      <c r="T436" s="92"/>
      <c r="U436" s="92"/>
      <c r="V436" s="92"/>
      <c r="W436" s="92"/>
      <c r="X436" s="92"/>
      <c r="Y436" s="92"/>
      <c r="Z436" s="92"/>
      <c r="AA436" s="92"/>
      <c r="AB436" s="92"/>
      <c r="AC436" s="92"/>
      <c r="AD436" s="92"/>
      <c r="AE436" s="92"/>
      <c r="AF436" s="92"/>
      <c r="AG436" s="92"/>
      <c r="AH436" s="92"/>
      <c r="AI436" s="92"/>
      <c r="AJ436" s="92"/>
      <c r="AK436" s="92"/>
      <c r="AL436" s="92"/>
      <c r="AM436" s="92"/>
      <c r="AN436" s="92"/>
      <c r="AO436" s="92"/>
      <c r="AP436" s="92"/>
      <c r="AQ436" s="92"/>
      <c r="AR436" s="92"/>
      <c r="AS436" s="92"/>
      <c r="AT436" s="92"/>
      <c r="AU436" s="92"/>
      <c r="AV436" s="92"/>
      <c r="AX436" s="62" t="s">
        <v>85</v>
      </c>
      <c r="AY436" s="62" t="s">
        <v>85</v>
      </c>
    </row>
    <row r="437" spans="1:51" s="1" customFormat="1" ht="16.5" x14ac:dyDescent="0.3">
      <c r="A437" s="92"/>
      <c r="B437" s="92"/>
      <c r="C437" s="92"/>
      <c r="D437" s="92"/>
      <c r="E437" s="92"/>
      <c r="F437" s="92"/>
      <c r="G437" s="92"/>
      <c r="H437" s="92"/>
      <c r="I437" s="92"/>
      <c r="J437" s="92"/>
      <c r="K437" s="92"/>
      <c r="L437" s="92"/>
      <c r="M437" s="92"/>
      <c r="N437" s="92"/>
      <c r="O437" s="92"/>
      <c r="P437" s="92"/>
      <c r="Q437" s="92"/>
      <c r="R437" s="92"/>
      <c r="S437" s="92"/>
      <c r="T437" s="92"/>
      <c r="U437" s="92"/>
      <c r="V437" s="92"/>
      <c r="W437" s="92"/>
      <c r="X437" s="92"/>
      <c r="Y437" s="92"/>
      <c r="Z437" s="92"/>
      <c r="AA437" s="92"/>
      <c r="AB437" s="92"/>
      <c r="AC437" s="92"/>
      <c r="AD437" s="92"/>
      <c r="AE437" s="92"/>
      <c r="AF437" s="92"/>
      <c r="AG437" s="92"/>
      <c r="AH437" s="92"/>
      <c r="AI437" s="92"/>
      <c r="AJ437" s="92"/>
      <c r="AK437" s="92"/>
      <c r="AL437" s="92"/>
      <c r="AM437" s="92"/>
      <c r="AN437" s="92"/>
      <c r="AO437" s="92"/>
      <c r="AP437" s="92"/>
      <c r="AQ437" s="92"/>
      <c r="AR437" s="92"/>
      <c r="AS437" s="92"/>
      <c r="AT437" s="92"/>
      <c r="AU437" s="92"/>
      <c r="AV437" s="92"/>
      <c r="AX437" s="62" t="s">
        <v>85</v>
      </c>
      <c r="AY437" s="62" t="s">
        <v>85</v>
      </c>
    </row>
    <row r="438" spans="1:51" s="1" customFormat="1" ht="16.5" x14ac:dyDescent="0.3">
      <c r="A438" s="92"/>
      <c r="B438" s="92"/>
      <c r="C438" s="92"/>
      <c r="D438" s="92"/>
      <c r="E438" s="92"/>
      <c r="F438" s="92"/>
      <c r="G438" s="92"/>
      <c r="H438" s="92"/>
      <c r="I438" s="92"/>
      <c r="J438" s="92"/>
      <c r="K438" s="92"/>
      <c r="L438" s="92"/>
      <c r="M438" s="92"/>
      <c r="N438" s="92"/>
      <c r="O438" s="92"/>
      <c r="P438" s="92"/>
      <c r="Q438" s="92"/>
      <c r="R438" s="92"/>
      <c r="S438" s="92"/>
      <c r="T438" s="92"/>
      <c r="U438" s="92"/>
      <c r="V438" s="92"/>
      <c r="W438" s="92"/>
      <c r="X438" s="92"/>
      <c r="Y438" s="92"/>
      <c r="Z438" s="92"/>
      <c r="AA438" s="92"/>
      <c r="AB438" s="92"/>
      <c r="AC438" s="92"/>
      <c r="AD438" s="92"/>
      <c r="AE438" s="92"/>
      <c r="AF438" s="92"/>
      <c r="AG438" s="92"/>
      <c r="AH438" s="92"/>
      <c r="AI438" s="92"/>
      <c r="AJ438" s="92"/>
      <c r="AK438" s="92"/>
      <c r="AL438" s="92"/>
      <c r="AM438" s="92"/>
      <c r="AN438" s="92"/>
      <c r="AO438" s="92"/>
      <c r="AP438" s="92"/>
      <c r="AQ438" s="92"/>
      <c r="AR438" s="92"/>
      <c r="AS438" s="92"/>
      <c r="AT438" s="92"/>
      <c r="AU438" s="92"/>
      <c r="AV438" s="92"/>
      <c r="AX438" s="62" t="s">
        <v>85</v>
      </c>
      <c r="AY438" s="62" t="s">
        <v>85</v>
      </c>
    </row>
    <row r="439" spans="1:51" s="1" customFormat="1" ht="16.5" x14ac:dyDescent="0.3">
      <c r="A439" s="92"/>
      <c r="B439" s="92"/>
      <c r="C439" s="92"/>
      <c r="D439" s="92"/>
      <c r="E439" s="92"/>
      <c r="F439" s="92"/>
      <c r="G439" s="92"/>
      <c r="H439" s="92"/>
      <c r="I439" s="92"/>
      <c r="J439" s="92"/>
      <c r="K439" s="92"/>
      <c r="L439" s="92"/>
      <c r="M439" s="92"/>
      <c r="N439" s="92"/>
      <c r="O439" s="92"/>
      <c r="P439" s="92"/>
      <c r="Q439" s="92"/>
      <c r="R439" s="92"/>
      <c r="S439" s="92"/>
      <c r="T439" s="92"/>
      <c r="U439" s="92"/>
      <c r="V439" s="92"/>
      <c r="W439" s="92"/>
      <c r="X439" s="92"/>
      <c r="Y439" s="92"/>
      <c r="Z439" s="92"/>
      <c r="AA439" s="92"/>
      <c r="AB439" s="92"/>
      <c r="AC439" s="92"/>
      <c r="AD439" s="92"/>
      <c r="AE439" s="92"/>
      <c r="AF439" s="92"/>
      <c r="AG439" s="92"/>
      <c r="AH439" s="92"/>
      <c r="AI439" s="92"/>
      <c r="AJ439" s="92"/>
      <c r="AK439" s="92"/>
      <c r="AL439" s="92"/>
      <c r="AM439" s="92"/>
      <c r="AN439" s="92"/>
      <c r="AO439" s="92"/>
      <c r="AP439" s="92"/>
      <c r="AQ439" s="92"/>
      <c r="AR439" s="92"/>
      <c r="AS439" s="92"/>
      <c r="AT439" s="92"/>
      <c r="AU439" s="92"/>
      <c r="AV439" s="92"/>
      <c r="AX439" s="62" t="s">
        <v>85</v>
      </c>
      <c r="AY439" s="62" t="s">
        <v>85</v>
      </c>
    </row>
    <row r="440" spans="1:51" s="1" customFormat="1" ht="16.5" x14ac:dyDescent="0.3">
      <c r="A440" s="92"/>
      <c r="B440" s="92"/>
      <c r="C440" s="92"/>
      <c r="D440" s="92"/>
      <c r="E440" s="92"/>
      <c r="F440" s="92"/>
      <c r="G440" s="92"/>
      <c r="H440" s="92"/>
      <c r="I440" s="92"/>
      <c r="J440" s="92"/>
      <c r="K440" s="92"/>
      <c r="L440" s="92"/>
      <c r="M440" s="92"/>
      <c r="N440" s="92"/>
      <c r="O440" s="92"/>
      <c r="P440" s="92"/>
      <c r="Q440" s="92"/>
      <c r="R440" s="92"/>
      <c r="S440" s="92"/>
      <c r="T440" s="92"/>
      <c r="U440" s="92"/>
      <c r="V440" s="92"/>
      <c r="W440" s="92"/>
      <c r="X440" s="92"/>
      <c r="Y440" s="92"/>
      <c r="Z440" s="92"/>
      <c r="AA440" s="92"/>
      <c r="AB440" s="92"/>
      <c r="AC440" s="92"/>
      <c r="AD440" s="92"/>
      <c r="AE440" s="92"/>
      <c r="AF440" s="92"/>
      <c r="AG440" s="92"/>
      <c r="AH440" s="92"/>
      <c r="AI440" s="92"/>
      <c r="AJ440" s="92"/>
      <c r="AK440" s="92"/>
      <c r="AL440" s="92"/>
      <c r="AM440" s="92"/>
      <c r="AN440" s="92"/>
      <c r="AO440" s="92"/>
      <c r="AP440" s="92"/>
      <c r="AQ440" s="92"/>
      <c r="AR440" s="92"/>
      <c r="AS440" s="92"/>
      <c r="AT440" s="92"/>
      <c r="AU440" s="92"/>
      <c r="AV440" s="92"/>
      <c r="AX440" s="62" t="s">
        <v>85</v>
      </c>
      <c r="AY440" s="62" t="s">
        <v>85</v>
      </c>
    </row>
    <row r="441" spans="1:51" s="1" customFormat="1" ht="16.5" x14ac:dyDescent="0.3">
      <c r="A441" s="92"/>
      <c r="B441" s="92"/>
      <c r="C441" s="92"/>
      <c r="D441" s="92"/>
      <c r="E441" s="92"/>
      <c r="F441" s="92"/>
      <c r="G441" s="92"/>
      <c r="H441" s="92"/>
      <c r="I441" s="92"/>
      <c r="J441" s="92"/>
      <c r="K441" s="92"/>
      <c r="L441" s="92"/>
      <c r="M441" s="92"/>
      <c r="N441" s="92"/>
      <c r="O441" s="92"/>
      <c r="P441" s="92"/>
      <c r="Q441" s="92"/>
      <c r="R441" s="92"/>
      <c r="S441" s="92"/>
      <c r="T441" s="92"/>
      <c r="U441" s="92"/>
      <c r="V441" s="92"/>
      <c r="W441" s="92"/>
      <c r="X441" s="92"/>
      <c r="Y441" s="92"/>
      <c r="Z441" s="92"/>
      <c r="AA441" s="92"/>
      <c r="AB441" s="92"/>
      <c r="AC441" s="92"/>
      <c r="AD441" s="92"/>
      <c r="AE441" s="92"/>
      <c r="AF441" s="92"/>
      <c r="AG441" s="92"/>
      <c r="AH441" s="92"/>
      <c r="AI441" s="92"/>
      <c r="AJ441" s="92"/>
      <c r="AK441" s="92"/>
      <c r="AL441" s="92"/>
      <c r="AM441" s="92"/>
      <c r="AN441" s="92"/>
      <c r="AO441" s="92"/>
      <c r="AP441" s="92"/>
      <c r="AQ441" s="92"/>
      <c r="AR441" s="92"/>
      <c r="AS441" s="92"/>
      <c r="AT441" s="92"/>
      <c r="AU441" s="92"/>
      <c r="AV441" s="92"/>
      <c r="AX441" s="62" t="s">
        <v>85</v>
      </c>
      <c r="AY441" s="62" t="s">
        <v>85</v>
      </c>
    </row>
    <row r="442" spans="1:51" s="1" customFormat="1" ht="16.5" x14ac:dyDescent="0.3">
      <c r="A442" s="92"/>
      <c r="B442" s="92"/>
      <c r="C442" s="92"/>
      <c r="D442" s="92"/>
      <c r="E442" s="92"/>
      <c r="F442" s="92"/>
      <c r="G442" s="92"/>
      <c r="H442" s="92"/>
      <c r="I442" s="92"/>
      <c r="J442" s="92"/>
      <c r="K442" s="92"/>
      <c r="L442" s="92"/>
      <c r="M442" s="92"/>
      <c r="N442" s="92"/>
      <c r="O442" s="92"/>
      <c r="P442" s="92"/>
      <c r="Q442" s="92"/>
      <c r="R442" s="92"/>
      <c r="S442" s="92"/>
      <c r="T442" s="92"/>
      <c r="U442" s="92"/>
      <c r="V442" s="92"/>
      <c r="W442" s="92"/>
      <c r="X442" s="92"/>
      <c r="Y442" s="92"/>
      <c r="Z442" s="92"/>
      <c r="AA442" s="92"/>
      <c r="AB442" s="92"/>
      <c r="AC442" s="92"/>
      <c r="AD442" s="92"/>
      <c r="AE442" s="92"/>
      <c r="AF442" s="92"/>
      <c r="AG442" s="92"/>
      <c r="AH442" s="92"/>
      <c r="AI442" s="92"/>
      <c r="AJ442" s="92"/>
      <c r="AK442" s="92"/>
      <c r="AL442" s="92"/>
      <c r="AM442" s="92"/>
      <c r="AN442" s="92"/>
      <c r="AO442" s="92"/>
      <c r="AP442" s="92"/>
      <c r="AQ442" s="92"/>
      <c r="AR442" s="92"/>
      <c r="AS442" s="92"/>
      <c r="AT442" s="92"/>
      <c r="AU442" s="92"/>
      <c r="AV442" s="92"/>
      <c r="AX442" s="62" t="s">
        <v>85</v>
      </c>
      <c r="AY442" s="62" t="s">
        <v>85</v>
      </c>
    </row>
    <row r="443" spans="1:51" s="1" customFormat="1" ht="16.5" x14ac:dyDescent="0.3">
      <c r="A443" s="92"/>
      <c r="B443" s="92"/>
      <c r="C443" s="92"/>
      <c r="D443" s="92"/>
      <c r="E443" s="92"/>
      <c r="F443" s="92"/>
      <c r="G443" s="92"/>
      <c r="H443" s="92"/>
      <c r="I443" s="92"/>
      <c r="J443" s="92"/>
      <c r="K443" s="92"/>
      <c r="L443" s="92"/>
      <c r="M443" s="92"/>
      <c r="N443" s="92"/>
      <c r="O443" s="92"/>
      <c r="P443" s="92"/>
      <c r="Q443" s="92"/>
      <c r="R443" s="92"/>
      <c r="S443" s="92"/>
      <c r="T443" s="92"/>
      <c r="U443" s="92"/>
      <c r="V443" s="92"/>
      <c r="W443" s="92"/>
      <c r="X443" s="92"/>
      <c r="Y443" s="92"/>
      <c r="Z443" s="92"/>
      <c r="AA443" s="92"/>
      <c r="AB443" s="92"/>
      <c r="AC443" s="92"/>
      <c r="AD443" s="92"/>
      <c r="AE443" s="92"/>
      <c r="AF443" s="92"/>
      <c r="AG443" s="92"/>
      <c r="AH443" s="92"/>
      <c r="AI443" s="92"/>
      <c r="AJ443" s="92"/>
      <c r="AK443" s="92"/>
      <c r="AL443" s="92"/>
      <c r="AM443" s="92"/>
      <c r="AN443" s="92"/>
      <c r="AO443" s="92"/>
      <c r="AP443" s="92"/>
      <c r="AQ443" s="92"/>
      <c r="AR443" s="92"/>
      <c r="AS443" s="92"/>
      <c r="AT443" s="92"/>
      <c r="AU443" s="92"/>
      <c r="AV443" s="92"/>
      <c r="AX443" s="62" t="s">
        <v>85</v>
      </c>
      <c r="AY443" s="62" t="s">
        <v>85</v>
      </c>
    </row>
    <row r="444" spans="1:51" s="1" customFormat="1" ht="16.5" x14ac:dyDescent="0.3">
      <c r="A444" s="92"/>
      <c r="B444" s="92"/>
      <c r="C444" s="92"/>
      <c r="D444" s="92"/>
      <c r="E444" s="92"/>
      <c r="F444" s="92"/>
      <c r="G444" s="92"/>
      <c r="H444" s="92"/>
      <c r="I444" s="92"/>
      <c r="J444" s="92"/>
      <c r="K444" s="92"/>
      <c r="L444" s="92"/>
      <c r="M444" s="92"/>
      <c r="N444" s="92"/>
      <c r="O444" s="92"/>
      <c r="P444" s="92"/>
      <c r="Q444" s="92"/>
      <c r="R444" s="92"/>
      <c r="S444" s="92"/>
      <c r="T444" s="92"/>
      <c r="U444" s="92"/>
      <c r="V444" s="92"/>
      <c r="W444" s="92"/>
      <c r="X444" s="92"/>
      <c r="Y444" s="92"/>
      <c r="Z444" s="92"/>
      <c r="AA444" s="92"/>
      <c r="AB444" s="92"/>
      <c r="AC444" s="92"/>
      <c r="AD444" s="92"/>
      <c r="AE444" s="92"/>
      <c r="AF444" s="92"/>
      <c r="AG444" s="92"/>
      <c r="AH444" s="92"/>
      <c r="AI444" s="92"/>
      <c r="AJ444" s="92"/>
      <c r="AK444" s="92"/>
      <c r="AL444" s="92"/>
      <c r="AM444" s="92"/>
      <c r="AN444" s="92"/>
      <c r="AO444" s="92"/>
      <c r="AP444" s="92"/>
      <c r="AQ444" s="92"/>
      <c r="AR444" s="92"/>
      <c r="AS444" s="92"/>
      <c r="AT444" s="92"/>
      <c r="AU444" s="92"/>
      <c r="AV444" s="92"/>
      <c r="AX444" s="62" t="s">
        <v>85</v>
      </c>
      <c r="AY444" s="62" t="s">
        <v>85</v>
      </c>
    </row>
    <row r="445" spans="1:51" s="1" customFormat="1" ht="16.5" x14ac:dyDescent="0.3">
      <c r="A445" s="92"/>
      <c r="B445" s="92"/>
      <c r="C445" s="92"/>
      <c r="D445" s="92"/>
      <c r="E445" s="92"/>
      <c r="F445" s="92"/>
      <c r="G445" s="92"/>
      <c r="H445" s="92"/>
      <c r="I445" s="92"/>
      <c r="J445" s="92"/>
      <c r="K445" s="92"/>
      <c r="L445" s="92"/>
      <c r="M445" s="92"/>
      <c r="N445" s="92"/>
      <c r="O445" s="92"/>
      <c r="P445" s="92"/>
      <c r="Q445" s="92"/>
      <c r="R445" s="92"/>
      <c r="S445" s="92"/>
      <c r="T445" s="92"/>
      <c r="U445" s="92"/>
      <c r="V445" s="92"/>
      <c r="W445" s="92"/>
      <c r="X445" s="92"/>
      <c r="Y445" s="92"/>
      <c r="Z445" s="92"/>
      <c r="AA445" s="92"/>
      <c r="AB445" s="92"/>
      <c r="AC445" s="92"/>
      <c r="AD445" s="92"/>
      <c r="AE445" s="92"/>
      <c r="AF445" s="92"/>
      <c r="AG445" s="92"/>
      <c r="AH445" s="92"/>
      <c r="AI445" s="92"/>
      <c r="AJ445" s="92"/>
      <c r="AK445" s="92"/>
      <c r="AL445" s="92"/>
      <c r="AM445" s="92"/>
      <c r="AN445" s="92"/>
      <c r="AO445" s="92"/>
      <c r="AP445" s="92"/>
      <c r="AQ445" s="92"/>
      <c r="AR445" s="92"/>
      <c r="AS445" s="92"/>
      <c r="AT445" s="92"/>
      <c r="AU445" s="92"/>
      <c r="AV445" s="92"/>
      <c r="AX445" s="62" t="s">
        <v>85</v>
      </c>
      <c r="AY445" s="62" t="s">
        <v>85</v>
      </c>
    </row>
    <row r="446" spans="1:51" s="1" customFormat="1" ht="16.5" x14ac:dyDescent="0.3">
      <c r="A446" s="92"/>
      <c r="B446" s="92"/>
      <c r="C446" s="92"/>
      <c r="D446" s="92"/>
      <c r="E446" s="92"/>
      <c r="F446" s="92"/>
      <c r="G446" s="92"/>
      <c r="H446" s="92"/>
      <c r="I446" s="92"/>
      <c r="J446" s="92"/>
      <c r="K446" s="92"/>
      <c r="L446" s="92"/>
      <c r="M446" s="92"/>
      <c r="N446" s="92"/>
      <c r="O446" s="92"/>
      <c r="P446" s="92"/>
      <c r="Q446" s="92"/>
      <c r="R446" s="92"/>
      <c r="S446" s="92"/>
      <c r="T446" s="92"/>
      <c r="U446" s="92"/>
      <c r="V446" s="92"/>
      <c r="W446" s="92"/>
      <c r="X446" s="92"/>
      <c r="Y446" s="92"/>
      <c r="Z446" s="92"/>
      <c r="AA446" s="92"/>
      <c r="AB446" s="92"/>
      <c r="AC446" s="92"/>
      <c r="AD446" s="92"/>
      <c r="AE446" s="92"/>
      <c r="AF446" s="92"/>
      <c r="AG446" s="92"/>
      <c r="AH446" s="92"/>
      <c r="AI446" s="92"/>
      <c r="AJ446" s="92"/>
      <c r="AK446" s="92"/>
      <c r="AL446" s="92"/>
      <c r="AM446" s="92"/>
      <c r="AN446" s="92"/>
      <c r="AO446" s="92"/>
      <c r="AP446" s="92"/>
      <c r="AQ446" s="92"/>
      <c r="AR446" s="92"/>
      <c r="AS446" s="92"/>
      <c r="AT446" s="92"/>
      <c r="AU446" s="92"/>
      <c r="AV446" s="92"/>
      <c r="AX446" s="62" t="s">
        <v>85</v>
      </c>
      <c r="AY446" s="62" t="s">
        <v>85</v>
      </c>
    </row>
    <row r="447" spans="1:51" s="1" customFormat="1" ht="16.5" x14ac:dyDescent="0.3">
      <c r="A447" s="92"/>
      <c r="B447" s="92"/>
      <c r="C447" s="92"/>
      <c r="D447" s="92"/>
      <c r="E447" s="92"/>
      <c r="F447" s="92"/>
      <c r="G447" s="92"/>
      <c r="H447" s="92"/>
      <c r="I447" s="92"/>
      <c r="J447" s="92"/>
      <c r="K447" s="92"/>
      <c r="L447" s="92"/>
      <c r="M447" s="92"/>
      <c r="N447" s="92"/>
      <c r="O447" s="92"/>
      <c r="P447" s="92"/>
      <c r="Q447" s="92"/>
      <c r="R447" s="92"/>
      <c r="S447" s="92"/>
      <c r="T447" s="92"/>
      <c r="U447" s="92"/>
      <c r="V447" s="92"/>
      <c r="W447" s="92"/>
      <c r="X447" s="92"/>
      <c r="Y447" s="92"/>
      <c r="Z447" s="92"/>
      <c r="AA447" s="92"/>
      <c r="AB447" s="92"/>
      <c r="AC447" s="92"/>
      <c r="AD447" s="92"/>
      <c r="AE447" s="92"/>
      <c r="AF447" s="92"/>
      <c r="AG447" s="92"/>
      <c r="AH447" s="92"/>
      <c r="AI447" s="92"/>
      <c r="AJ447" s="92"/>
      <c r="AK447" s="92"/>
      <c r="AL447" s="92"/>
      <c r="AM447" s="92"/>
      <c r="AN447" s="92"/>
      <c r="AO447" s="92"/>
      <c r="AP447" s="92"/>
      <c r="AQ447" s="92"/>
      <c r="AR447" s="92"/>
      <c r="AS447" s="92"/>
      <c r="AT447" s="92"/>
      <c r="AU447" s="92"/>
      <c r="AV447" s="92"/>
      <c r="AX447" s="62" t="s">
        <v>85</v>
      </c>
      <c r="AY447" s="62" t="s">
        <v>85</v>
      </c>
    </row>
    <row r="448" spans="1:51" s="1" customFormat="1" ht="16.5" x14ac:dyDescent="0.3">
      <c r="A448" s="92"/>
      <c r="B448" s="92"/>
      <c r="C448" s="92"/>
      <c r="D448" s="92"/>
      <c r="E448" s="92"/>
      <c r="F448" s="92"/>
      <c r="G448" s="92"/>
      <c r="H448" s="92"/>
      <c r="I448" s="92"/>
      <c r="J448" s="92"/>
      <c r="K448" s="92"/>
      <c r="L448" s="92"/>
      <c r="M448" s="92"/>
      <c r="N448" s="92"/>
      <c r="O448" s="92"/>
      <c r="P448" s="92"/>
      <c r="Q448" s="92"/>
      <c r="R448" s="92"/>
      <c r="S448" s="92"/>
      <c r="T448" s="92"/>
      <c r="U448" s="92"/>
      <c r="V448" s="92"/>
      <c r="W448" s="92"/>
      <c r="X448" s="92"/>
      <c r="Y448" s="92"/>
      <c r="Z448" s="92"/>
      <c r="AA448" s="92"/>
      <c r="AB448" s="92"/>
      <c r="AC448" s="92"/>
      <c r="AD448" s="92"/>
      <c r="AE448" s="92"/>
      <c r="AF448" s="92"/>
      <c r="AG448" s="92"/>
      <c r="AH448" s="92"/>
      <c r="AI448" s="92"/>
      <c r="AJ448" s="92"/>
      <c r="AK448" s="92"/>
      <c r="AL448" s="92"/>
      <c r="AM448" s="92"/>
      <c r="AN448" s="92"/>
      <c r="AO448" s="92"/>
      <c r="AP448" s="92"/>
      <c r="AQ448" s="92"/>
      <c r="AR448" s="92"/>
      <c r="AS448" s="92"/>
      <c r="AT448" s="92"/>
      <c r="AU448" s="92"/>
      <c r="AV448" s="92"/>
      <c r="AX448" s="62" t="s">
        <v>85</v>
      </c>
      <c r="AY448" s="62" t="s">
        <v>85</v>
      </c>
    </row>
    <row r="449" spans="1:58" s="1" customFormat="1" ht="16.5" x14ac:dyDescent="0.3">
      <c r="A449" s="92"/>
      <c r="B449" s="92"/>
      <c r="C449" s="92"/>
      <c r="D449" s="92"/>
      <c r="E449" s="92"/>
      <c r="F449" s="92"/>
      <c r="G449" s="92"/>
      <c r="H449" s="92"/>
      <c r="I449" s="92"/>
      <c r="J449" s="92"/>
      <c r="K449" s="92"/>
      <c r="L449" s="92"/>
      <c r="M449" s="92"/>
      <c r="N449" s="92"/>
      <c r="O449" s="92"/>
      <c r="P449" s="92"/>
      <c r="Q449" s="92"/>
      <c r="R449" s="92"/>
      <c r="S449" s="92"/>
      <c r="T449" s="92"/>
      <c r="U449" s="92"/>
      <c r="V449" s="92"/>
      <c r="W449" s="92"/>
      <c r="X449" s="92"/>
      <c r="Y449" s="92"/>
      <c r="Z449" s="92"/>
      <c r="AA449" s="92"/>
      <c r="AB449" s="92"/>
      <c r="AC449" s="92"/>
      <c r="AD449" s="92"/>
      <c r="AE449" s="92"/>
      <c r="AF449" s="92"/>
      <c r="AG449" s="92"/>
      <c r="AH449" s="92"/>
      <c r="AI449" s="92"/>
      <c r="AJ449" s="92"/>
      <c r="AK449" s="92"/>
      <c r="AL449" s="92"/>
      <c r="AM449" s="92"/>
      <c r="AN449" s="92"/>
      <c r="AO449" s="92"/>
      <c r="AP449" s="92"/>
      <c r="AQ449" s="92"/>
      <c r="AR449" s="92"/>
      <c r="AS449" s="92"/>
      <c r="AT449" s="92"/>
      <c r="AU449" s="92"/>
      <c r="AV449" s="92"/>
      <c r="AX449" s="62" t="s">
        <v>85</v>
      </c>
      <c r="AY449" s="62" t="s">
        <v>85</v>
      </c>
    </row>
    <row r="450" spans="1:58" s="1" customFormat="1" ht="16.5" x14ac:dyDescent="0.3">
      <c r="A450" s="92"/>
      <c r="B450" s="92"/>
      <c r="C450" s="92"/>
      <c r="D450" s="92"/>
      <c r="E450" s="92"/>
      <c r="F450" s="92"/>
      <c r="G450" s="92"/>
      <c r="H450" s="92"/>
      <c r="I450" s="92"/>
      <c r="J450" s="92"/>
      <c r="K450" s="92"/>
      <c r="L450" s="92"/>
      <c r="M450" s="92"/>
      <c r="N450" s="92"/>
      <c r="O450" s="92"/>
      <c r="P450" s="92"/>
      <c r="Q450" s="92"/>
      <c r="R450" s="92"/>
      <c r="S450" s="92"/>
      <c r="T450" s="92"/>
      <c r="U450" s="92"/>
      <c r="V450" s="92"/>
      <c r="W450" s="92"/>
      <c r="X450" s="92"/>
      <c r="Y450" s="92"/>
      <c r="Z450" s="92"/>
      <c r="AA450" s="92"/>
      <c r="AB450" s="92"/>
      <c r="AC450" s="92"/>
      <c r="AD450" s="92"/>
      <c r="AE450" s="92"/>
      <c r="AF450" s="92"/>
      <c r="AG450" s="92"/>
      <c r="AH450" s="92"/>
      <c r="AI450" s="92"/>
      <c r="AJ450" s="92"/>
      <c r="AK450" s="92"/>
      <c r="AL450" s="92"/>
      <c r="AM450" s="92"/>
      <c r="AN450" s="92"/>
      <c r="AO450" s="92"/>
      <c r="AP450" s="92"/>
      <c r="AQ450" s="92"/>
      <c r="AR450" s="92"/>
      <c r="AS450" s="92"/>
      <c r="AT450" s="92"/>
      <c r="AU450" s="92"/>
      <c r="AV450" s="92"/>
      <c r="AX450" s="62" t="s">
        <v>85</v>
      </c>
      <c r="AY450" s="62" t="s">
        <v>85</v>
      </c>
    </row>
    <row r="451" spans="1:58" s="1" customFormat="1" ht="16.5" x14ac:dyDescent="0.3">
      <c r="A451" s="92"/>
      <c r="B451" s="92"/>
      <c r="C451" s="92"/>
      <c r="D451" s="92"/>
      <c r="E451" s="92"/>
      <c r="F451" s="92"/>
      <c r="G451" s="92"/>
      <c r="H451" s="92"/>
      <c r="I451" s="92"/>
      <c r="J451" s="92"/>
      <c r="K451" s="92"/>
      <c r="L451" s="92"/>
      <c r="M451" s="92"/>
      <c r="N451" s="92"/>
      <c r="O451" s="92"/>
      <c r="P451" s="92"/>
      <c r="Q451" s="92"/>
      <c r="R451" s="92"/>
      <c r="S451" s="92"/>
      <c r="T451" s="92"/>
      <c r="U451" s="92"/>
      <c r="V451" s="92"/>
      <c r="W451" s="92"/>
      <c r="X451" s="92"/>
      <c r="Y451" s="92"/>
      <c r="Z451" s="92"/>
      <c r="AA451" s="92"/>
      <c r="AB451" s="92"/>
      <c r="AC451" s="92"/>
      <c r="AD451" s="92"/>
      <c r="AE451" s="92"/>
      <c r="AF451" s="92"/>
      <c r="AG451" s="92"/>
      <c r="AH451" s="92"/>
      <c r="AI451" s="92"/>
      <c r="AJ451" s="92"/>
      <c r="AK451" s="92"/>
      <c r="AL451" s="92"/>
      <c r="AM451" s="92"/>
      <c r="AN451" s="92"/>
      <c r="AO451" s="92"/>
      <c r="AP451" s="92"/>
      <c r="AQ451" s="92"/>
      <c r="AR451" s="92"/>
      <c r="AS451" s="92"/>
      <c r="AT451" s="92"/>
      <c r="AU451" s="92"/>
      <c r="AV451" s="92"/>
      <c r="AX451" s="62" t="s">
        <v>85</v>
      </c>
      <c r="AY451" s="62" t="s">
        <v>85</v>
      </c>
    </row>
    <row r="452" spans="1:58" s="1" customFormat="1" ht="16.5" x14ac:dyDescent="0.3">
      <c r="A452" s="92"/>
      <c r="B452" s="92"/>
      <c r="C452" s="92"/>
      <c r="D452" s="92"/>
      <c r="E452" s="92"/>
      <c r="F452" s="92"/>
      <c r="G452" s="92"/>
      <c r="H452" s="92"/>
      <c r="I452" s="92"/>
      <c r="J452" s="92"/>
      <c r="K452" s="92"/>
      <c r="L452" s="92"/>
      <c r="M452" s="92"/>
      <c r="N452" s="92"/>
      <c r="O452" s="92"/>
      <c r="P452" s="92"/>
      <c r="Q452" s="92"/>
      <c r="R452" s="92"/>
      <c r="S452" s="92"/>
      <c r="T452" s="92"/>
      <c r="U452" s="92"/>
      <c r="V452" s="92"/>
      <c r="W452" s="92"/>
      <c r="X452" s="92"/>
      <c r="Y452" s="92"/>
      <c r="Z452" s="92"/>
      <c r="AA452" s="92"/>
      <c r="AB452" s="92"/>
      <c r="AC452" s="92"/>
      <c r="AD452" s="92"/>
      <c r="AE452" s="92"/>
      <c r="AF452" s="92"/>
      <c r="AG452" s="92"/>
      <c r="AH452" s="92"/>
      <c r="AI452" s="92"/>
      <c r="AJ452" s="92"/>
      <c r="AK452" s="92"/>
      <c r="AL452" s="92"/>
      <c r="AM452" s="92"/>
      <c r="AN452" s="92"/>
      <c r="AO452" s="92"/>
      <c r="AP452" s="92"/>
      <c r="AQ452" s="92"/>
      <c r="AR452" s="92"/>
      <c r="AS452" s="92"/>
      <c r="AT452" s="92"/>
      <c r="AU452" s="92"/>
      <c r="AV452" s="92"/>
      <c r="AX452" s="62" t="s">
        <v>85</v>
      </c>
      <c r="AY452" s="62" t="s">
        <v>85</v>
      </c>
    </row>
    <row r="453" spans="1:58" s="1" customFormat="1" ht="16.5" x14ac:dyDescent="0.3">
      <c r="A453" s="92"/>
      <c r="B453" s="92"/>
      <c r="C453" s="92"/>
      <c r="D453" s="92"/>
      <c r="E453" s="92"/>
      <c r="F453" s="92"/>
      <c r="G453" s="92"/>
      <c r="H453" s="92"/>
      <c r="I453" s="92"/>
      <c r="J453" s="92"/>
      <c r="K453" s="92"/>
      <c r="L453" s="92"/>
      <c r="M453" s="92"/>
      <c r="N453" s="92"/>
      <c r="O453" s="92"/>
      <c r="P453" s="92"/>
      <c r="Q453" s="92"/>
      <c r="R453" s="92"/>
      <c r="S453" s="92"/>
      <c r="T453" s="92"/>
      <c r="U453" s="92"/>
      <c r="V453" s="92"/>
      <c r="W453" s="92"/>
      <c r="X453" s="92"/>
      <c r="Y453" s="92"/>
      <c r="Z453" s="92"/>
      <c r="AA453" s="92"/>
      <c r="AB453" s="92"/>
      <c r="AC453" s="92"/>
      <c r="AD453" s="92"/>
      <c r="AE453" s="92"/>
      <c r="AF453" s="92"/>
      <c r="AG453" s="92"/>
      <c r="AH453" s="92"/>
      <c r="AI453" s="92"/>
      <c r="AJ453" s="92"/>
      <c r="AK453" s="92"/>
      <c r="AL453" s="92"/>
      <c r="AM453" s="92"/>
      <c r="AN453" s="92"/>
      <c r="AO453" s="92"/>
      <c r="AP453" s="92"/>
      <c r="AQ453" s="92"/>
      <c r="AR453" s="92"/>
      <c r="AS453" s="92"/>
      <c r="AT453" s="92"/>
      <c r="AU453" s="92"/>
      <c r="AV453" s="92"/>
      <c r="AX453" s="62" t="s">
        <v>85</v>
      </c>
      <c r="AY453" s="62" t="s">
        <v>85</v>
      </c>
    </row>
    <row r="454" spans="1:58" s="1" customFormat="1" ht="16.5" x14ac:dyDescent="0.3">
      <c r="A454" s="92"/>
      <c r="B454" s="92"/>
      <c r="C454" s="92"/>
      <c r="D454" s="92"/>
      <c r="E454" s="92"/>
      <c r="F454" s="92"/>
      <c r="G454" s="92"/>
      <c r="H454" s="92"/>
      <c r="I454" s="92"/>
      <c r="J454" s="92"/>
      <c r="K454" s="92"/>
      <c r="L454" s="92"/>
      <c r="M454" s="92"/>
      <c r="N454" s="92"/>
      <c r="O454" s="92"/>
      <c r="P454" s="92"/>
      <c r="Q454" s="92"/>
      <c r="R454" s="92"/>
      <c r="S454" s="92"/>
      <c r="T454" s="92"/>
      <c r="U454" s="92"/>
      <c r="V454" s="92"/>
      <c r="W454" s="92"/>
      <c r="X454" s="92"/>
      <c r="Y454" s="92"/>
      <c r="Z454" s="92"/>
      <c r="AA454" s="92"/>
      <c r="AB454" s="92"/>
      <c r="AC454" s="92"/>
      <c r="AD454" s="92"/>
      <c r="AE454" s="92"/>
      <c r="AF454" s="92"/>
      <c r="AG454" s="92"/>
      <c r="AH454" s="92"/>
      <c r="AI454" s="92"/>
      <c r="AJ454" s="92"/>
      <c r="AK454" s="92"/>
      <c r="AL454" s="92"/>
      <c r="AM454" s="92"/>
      <c r="AN454" s="92"/>
      <c r="AO454" s="92"/>
      <c r="AP454" s="92"/>
      <c r="AQ454" s="92"/>
      <c r="AR454" s="92"/>
      <c r="AS454" s="92"/>
      <c r="AT454" s="92"/>
      <c r="AU454" s="92"/>
      <c r="AV454" s="92"/>
      <c r="AX454" s="62" t="s">
        <v>85</v>
      </c>
      <c r="AY454" s="62" t="s">
        <v>85</v>
      </c>
    </row>
    <row r="455" spans="1:58" s="1" customFormat="1" ht="16.5" x14ac:dyDescent="0.3">
      <c r="A455" s="92"/>
      <c r="B455" s="92"/>
      <c r="C455" s="92"/>
      <c r="D455" s="92"/>
      <c r="E455" s="92"/>
      <c r="F455" s="92"/>
      <c r="G455" s="92"/>
      <c r="H455" s="92"/>
      <c r="I455" s="92"/>
      <c r="J455" s="92"/>
      <c r="K455" s="92"/>
      <c r="L455" s="92"/>
      <c r="M455" s="92"/>
      <c r="N455" s="92"/>
      <c r="O455" s="92"/>
      <c r="P455" s="92"/>
      <c r="Q455" s="92"/>
      <c r="R455" s="92"/>
      <c r="S455" s="92"/>
      <c r="T455" s="92"/>
      <c r="U455" s="92"/>
      <c r="V455" s="92"/>
      <c r="W455" s="92"/>
      <c r="X455" s="92"/>
      <c r="Y455" s="92"/>
      <c r="Z455" s="92"/>
      <c r="AA455" s="92"/>
      <c r="AB455" s="92"/>
      <c r="AC455" s="92"/>
      <c r="AD455" s="92"/>
      <c r="AE455" s="92"/>
      <c r="AF455" s="92"/>
      <c r="AG455" s="92"/>
      <c r="AH455" s="92"/>
      <c r="AI455" s="92"/>
      <c r="AJ455" s="92"/>
      <c r="AK455" s="92"/>
      <c r="AL455" s="92"/>
      <c r="AM455" s="92"/>
      <c r="AN455" s="92"/>
      <c r="AO455" s="92"/>
      <c r="AP455" s="92"/>
      <c r="AQ455" s="92"/>
      <c r="AR455" s="92"/>
      <c r="AS455" s="92"/>
      <c r="AT455" s="92"/>
      <c r="AU455" s="92"/>
      <c r="AV455" s="92"/>
      <c r="AX455" s="62" t="s">
        <v>85</v>
      </c>
      <c r="AY455" s="62" t="s">
        <v>85</v>
      </c>
    </row>
    <row r="456" spans="1:58" s="1" customFormat="1" ht="16.5" x14ac:dyDescent="0.3">
      <c r="A456" s="92"/>
      <c r="B456" s="92"/>
      <c r="C456" s="92"/>
      <c r="D456" s="92"/>
      <c r="E456" s="92"/>
      <c r="F456" s="92"/>
      <c r="G456" s="92"/>
      <c r="H456" s="92"/>
      <c r="I456" s="92"/>
      <c r="J456" s="92"/>
      <c r="K456" s="92"/>
      <c r="L456" s="92"/>
      <c r="M456" s="92"/>
      <c r="N456" s="92"/>
      <c r="O456" s="92"/>
      <c r="P456" s="92"/>
      <c r="Q456" s="92"/>
      <c r="R456" s="92"/>
      <c r="S456" s="92"/>
      <c r="T456" s="92"/>
      <c r="U456" s="92"/>
      <c r="V456" s="92"/>
      <c r="W456" s="92"/>
      <c r="X456" s="92"/>
      <c r="Y456" s="92"/>
      <c r="Z456" s="92"/>
      <c r="AA456" s="92"/>
      <c r="AB456" s="92"/>
      <c r="AC456" s="92"/>
      <c r="AD456" s="92"/>
      <c r="AE456" s="92"/>
      <c r="AF456" s="92"/>
      <c r="AG456" s="92"/>
      <c r="AH456" s="92"/>
      <c r="AI456" s="92"/>
      <c r="AJ456" s="92"/>
      <c r="AK456" s="92"/>
      <c r="AL456" s="92"/>
      <c r="AM456" s="92"/>
      <c r="AN456" s="92"/>
      <c r="AO456" s="92"/>
      <c r="AP456" s="92"/>
      <c r="AQ456" s="92"/>
      <c r="AR456" s="92"/>
      <c r="AS456" s="92"/>
      <c r="AT456" s="92"/>
      <c r="AU456" s="92"/>
      <c r="AV456" s="92"/>
      <c r="AX456" s="62" t="s">
        <v>85</v>
      </c>
      <c r="AY456" s="62" t="s">
        <v>85</v>
      </c>
    </row>
    <row r="457" spans="1:58" s="1" customFormat="1" ht="16.5" x14ac:dyDescent="0.3">
      <c r="A457" s="92"/>
      <c r="B457" s="92"/>
      <c r="C457" s="92"/>
      <c r="D457" s="92"/>
      <c r="E457" s="92"/>
      <c r="F457" s="92"/>
      <c r="G457" s="92"/>
      <c r="H457" s="92"/>
      <c r="I457" s="92"/>
      <c r="J457" s="92"/>
      <c r="K457" s="92"/>
      <c r="L457" s="92"/>
      <c r="M457" s="92"/>
      <c r="N457" s="92"/>
      <c r="O457" s="92"/>
      <c r="P457" s="92"/>
      <c r="Q457" s="92"/>
      <c r="R457" s="92"/>
      <c r="S457" s="92"/>
      <c r="T457" s="92"/>
      <c r="U457" s="92"/>
      <c r="V457" s="92"/>
      <c r="W457" s="92"/>
      <c r="X457" s="92"/>
      <c r="Y457" s="92"/>
      <c r="Z457" s="92"/>
      <c r="AA457" s="92"/>
      <c r="AB457" s="92"/>
      <c r="AC457" s="92"/>
      <c r="AD457" s="92"/>
      <c r="AE457" s="92"/>
      <c r="AF457" s="92"/>
      <c r="AG457" s="92"/>
      <c r="AH457" s="92"/>
      <c r="AI457" s="92"/>
      <c r="AJ457" s="92"/>
      <c r="AK457" s="92"/>
      <c r="AL457" s="92"/>
      <c r="AM457" s="92"/>
      <c r="AN457" s="92"/>
      <c r="AO457" s="92"/>
      <c r="AP457" s="92"/>
      <c r="AQ457" s="92"/>
      <c r="AR457" s="92"/>
      <c r="AS457" s="92"/>
      <c r="AT457" s="92"/>
      <c r="AU457" s="92"/>
      <c r="AV457" s="92"/>
      <c r="AX457" s="62" t="s">
        <v>85</v>
      </c>
      <c r="AY457" s="62" t="s">
        <v>85</v>
      </c>
    </row>
    <row r="458" spans="1:58" s="1" customFormat="1" ht="16.5" x14ac:dyDescent="0.3">
      <c r="A458" s="92"/>
      <c r="B458" s="92"/>
      <c r="C458" s="92"/>
      <c r="D458" s="92"/>
      <c r="E458" s="92"/>
      <c r="F458" s="92"/>
      <c r="G458" s="92"/>
      <c r="H458" s="92"/>
      <c r="I458" s="92"/>
      <c r="J458" s="92"/>
      <c r="K458" s="92"/>
      <c r="L458" s="92"/>
      <c r="M458" s="92"/>
      <c r="N458" s="92"/>
      <c r="O458" s="92"/>
      <c r="P458" s="92"/>
      <c r="Q458" s="92"/>
      <c r="R458" s="92"/>
      <c r="S458" s="92"/>
      <c r="T458" s="92"/>
      <c r="U458" s="92"/>
      <c r="V458" s="92"/>
      <c r="W458" s="92"/>
      <c r="X458" s="92"/>
      <c r="Y458" s="92"/>
      <c r="Z458" s="92"/>
      <c r="AA458" s="92"/>
      <c r="AB458" s="92"/>
      <c r="AC458" s="92"/>
      <c r="AD458" s="92"/>
      <c r="AE458" s="92"/>
      <c r="AF458" s="92"/>
      <c r="AG458" s="92"/>
      <c r="AH458" s="92"/>
      <c r="AI458" s="92"/>
      <c r="AJ458" s="92"/>
      <c r="AK458" s="92"/>
      <c r="AL458" s="92"/>
      <c r="AM458" s="92"/>
      <c r="AN458" s="92"/>
      <c r="AO458" s="92"/>
      <c r="AP458" s="92"/>
      <c r="AQ458" s="92"/>
      <c r="AR458" s="92"/>
      <c r="AS458" s="92"/>
      <c r="AT458" s="92"/>
      <c r="AU458" s="92"/>
      <c r="AV458" s="92"/>
      <c r="AX458" s="62" t="s">
        <v>85</v>
      </c>
      <c r="AY458" s="62" t="s">
        <v>85</v>
      </c>
    </row>
    <row r="459" spans="1:58" s="1" customFormat="1" ht="16.5" x14ac:dyDescent="0.3">
      <c r="A459" s="92"/>
      <c r="B459" s="92"/>
      <c r="C459" s="92"/>
      <c r="D459" s="92"/>
      <c r="E459" s="92"/>
      <c r="F459" s="92"/>
      <c r="G459" s="92"/>
      <c r="H459" s="92"/>
      <c r="I459" s="92"/>
      <c r="J459" s="92"/>
      <c r="K459" s="92"/>
      <c r="L459" s="92"/>
      <c r="M459" s="92"/>
      <c r="N459" s="92"/>
      <c r="O459" s="92"/>
      <c r="P459" s="92"/>
      <c r="Q459" s="92"/>
      <c r="R459" s="92"/>
      <c r="S459" s="92"/>
      <c r="T459" s="92"/>
      <c r="U459" s="92"/>
      <c r="V459" s="92"/>
      <c r="W459" s="92"/>
      <c r="X459" s="92"/>
      <c r="Y459" s="92"/>
      <c r="Z459" s="92"/>
      <c r="AA459" s="92"/>
      <c r="AB459" s="92"/>
      <c r="AC459" s="92"/>
      <c r="AD459" s="92"/>
      <c r="AE459" s="92"/>
      <c r="AF459" s="92"/>
      <c r="AG459" s="92"/>
      <c r="AH459" s="92"/>
      <c r="AI459" s="92"/>
      <c r="AJ459" s="92"/>
      <c r="AK459" s="92"/>
      <c r="AL459" s="92"/>
      <c r="AM459" s="92"/>
      <c r="AN459" s="92"/>
      <c r="AO459" s="92"/>
      <c r="AP459" s="92"/>
      <c r="AQ459" s="92"/>
      <c r="AR459" s="92"/>
      <c r="AS459" s="92"/>
      <c r="AT459" s="92"/>
      <c r="AU459" s="92"/>
      <c r="AV459" s="92"/>
      <c r="AX459" s="62" t="s">
        <v>85</v>
      </c>
      <c r="AY459" s="62" t="s">
        <v>85</v>
      </c>
    </row>
    <row r="460" spans="1:58" s="1" customFormat="1" ht="16.5" x14ac:dyDescent="0.3">
      <c r="A460" s="92"/>
      <c r="B460" s="92"/>
      <c r="C460" s="92"/>
      <c r="D460" s="92"/>
      <c r="E460" s="92"/>
      <c r="F460" s="92"/>
      <c r="G460" s="92"/>
      <c r="H460" s="92"/>
      <c r="I460" s="92"/>
      <c r="J460" s="92"/>
      <c r="K460" s="92"/>
      <c r="L460" s="92"/>
      <c r="M460" s="92"/>
      <c r="N460" s="92"/>
      <c r="O460" s="92"/>
      <c r="P460" s="92"/>
      <c r="Q460" s="92"/>
      <c r="R460" s="92"/>
      <c r="S460" s="92"/>
      <c r="T460" s="92"/>
      <c r="U460" s="92"/>
      <c r="V460" s="92"/>
      <c r="W460" s="92"/>
      <c r="X460" s="92"/>
      <c r="Y460" s="92"/>
      <c r="Z460" s="92"/>
      <c r="AA460" s="92"/>
      <c r="AB460" s="92"/>
      <c r="AC460" s="92"/>
      <c r="AD460" s="92"/>
      <c r="AE460" s="92"/>
      <c r="AF460" s="92"/>
      <c r="AG460" s="92"/>
      <c r="AH460" s="92"/>
      <c r="AI460" s="92"/>
      <c r="AJ460" s="92"/>
      <c r="AK460" s="92"/>
      <c r="AL460" s="92"/>
      <c r="AM460" s="92"/>
      <c r="AN460" s="92"/>
      <c r="AO460" s="92"/>
      <c r="AP460" s="92"/>
      <c r="AQ460" s="92"/>
      <c r="AR460" s="92"/>
      <c r="AS460" s="92"/>
      <c r="AT460" s="92"/>
      <c r="AU460" s="92"/>
      <c r="AV460" s="92"/>
      <c r="AX460" s="62" t="s">
        <v>85</v>
      </c>
      <c r="AY460" s="62" t="s">
        <v>85</v>
      </c>
    </row>
    <row r="461" spans="1:58" s="1" customFormat="1" ht="16.5" x14ac:dyDescent="0.3">
      <c r="A461" s="92"/>
      <c r="B461" s="92"/>
      <c r="C461" s="92"/>
      <c r="D461" s="92"/>
      <c r="E461" s="92"/>
      <c r="F461" s="92"/>
      <c r="G461" s="92"/>
      <c r="H461" s="92"/>
      <c r="I461" s="92"/>
      <c r="J461" s="92"/>
      <c r="K461" s="92"/>
      <c r="L461" s="92"/>
      <c r="M461" s="92"/>
      <c r="N461" s="92"/>
      <c r="O461" s="92"/>
      <c r="P461" s="92"/>
      <c r="Q461" s="92"/>
      <c r="R461" s="92"/>
      <c r="S461" s="92"/>
      <c r="T461" s="92"/>
      <c r="U461" s="92"/>
      <c r="V461" s="92"/>
      <c r="W461" s="92"/>
      <c r="X461" s="92"/>
      <c r="Y461" s="92"/>
      <c r="Z461" s="92"/>
      <c r="AA461" s="92"/>
      <c r="AB461" s="92"/>
      <c r="AC461" s="92"/>
      <c r="AD461" s="92"/>
      <c r="AE461" s="92"/>
      <c r="AF461" s="92"/>
      <c r="AG461" s="92"/>
      <c r="AH461" s="92"/>
      <c r="AI461" s="92"/>
      <c r="AJ461" s="92"/>
      <c r="AK461" s="92"/>
      <c r="AL461" s="92"/>
      <c r="AM461" s="92"/>
      <c r="AN461" s="92"/>
      <c r="AO461" s="92"/>
      <c r="AP461" s="92"/>
      <c r="AQ461" s="92"/>
      <c r="AR461" s="92"/>
      <c r="AS461" s="92"/>
      <c r="AT461" s="92"/>
      <c r="AU461" s="92"/>
      <c r="AV461" s="92"/>
      <c r="AX461" s="62" t="s">
        <v>85</v>
      </c>
      <c r="AY461" s="62" t="s">
        <v>85</v>
      </c>
    </row>
    <row r="462" spans="1:58" s="1" customFormat="1" ht="16.5" x14ac:dyDescent="0.3">
      <c r="A462" s="92"/>
      <c r="B462" s="92"/>
      <c r="C462" s="92"/>
      <c r="D462" s="92"/>
      <c r="E462" s="92"/>
      <c r="F462" s="92"/>
      <c r="G462" s="92"/>
      <c r="H462" s="92"/>
      <c r="I462" s="92"/>
      <c r="J462" s="92"/>
      <c r="K462" s="92"/>
      <c r="L462" s="92"/>
      <c r="M462" s="92"/>
      <c r="N462" s="92"/>
      <c r="O462" s="92"/>
      <c r="P462" s="92"/>
      <c r="Q462" s="92"/>
      <c r="R462" s="92"/>
      <c r="S462" s="92"/>
      <c r="T462" s="92"/>
      <c r="U462" s="92"/>
      <c r="V462" s="92"/>
      <c r="W462" s="92"/>
      <c r="X462" s="92"/>
      <c r="Y462" s="92"/>
      <c r="Z462" s="92"/>
      <c r="AA462" s="92"/>
      <c r="AB462" s="92"/>
      <c r="AC462" s="92"/>
      <c r="AD462" s="92"/>
      <c r="AE462" s="92"/>
      <c r="AF462" s="92"/>
      <c r="AG462" s="92"/>
      <c r="AH462" s="92"/>
      <c r="AI462" s="92"/>
      <c r="AJ462" s="92"/>
      <c r="AK462" s="92"/>
      <c r="AL462" s="92"/>
      <c r="AM462" s="92"/>
      <c r="AN462" s="92"/>
      <c r="AO462" s="92"/>
      <c r="AP462" s="92"/>
      <c r="AQ462" s="92"/>
      <c r="AR462" s="92"/>
      <c r="AS462" s="92"/>
      <c r="AT462" s="92"/>
      <c r="AU462" s="92"/>
      <c r="AV462" s="92"/>
      <c r="AX462" s="62" t="s">
        <v>85</v>
      </c>
      <c r="AY462" s="62" t="s">
        <v>85</v>
      </c>
    </row>
    <row r="463" spans="1:58" s="1" customFormat="1" ht="16.5" x14ac:dyDescent="0.3">
      <c r="A463" s="92"/>
      <c r="B463" s="92"/>
      <c r="C463" s="92"/>
      <c r="D463" s="92"/>
      <c r="E463" s="92"/>
      <c r="F463" s="92"/>
      <c r="G463" s="92"/>
      <c r="H463" s="92"/>
      <c r="I463" s="92"/>
      <c r="J463" s="92"/>
      <c r="K463" s="92"/>
      <c r="L463" s="92"/>
      <c r="M463" s="92"/>
      <c r="N463" s="92"/>
      <c r="O463" s="92"/>
      <c r="P463" s="92"/>
      <c r="Q463" s="92"/>
      <c r="R463" s="92"/>
      <c r="S463" s="92"/>
      <c r="T463" s="92"/>
      <c r="U463" s="92"/>
      <c r="V463" s="92"/>
      <c r="W463" s="92"/>
      <c r="X463" s="92"/>
      <c r="Y463" s="92"/>
      <c r="Z463" s="92"/>
      <c r="AA463" s="92"/>
      <c r="AB463" s="92"/>
      <c r="AC463" s="92"/>
      <c r="AD463" s="92"/>
      <c r="AE463" s="92"/>
      <c r="AF463" s="92"/>
      <c r="AG463" s="92"/>
      <c r="AH463" s="92"/>
      <c r="AI463" s="92"/>
      <c r="AJ463" s="92"/>
      <c r="AK463" s="92"/>
      <c r="AL463" s="92"/>
      <c r="AM463" s="92"/>
      <c r="AN463" s="92"/>
      <c r="AO463" s="92"/>
      <c r="AP463" s="92"/>
      <c r="AQ463" s="92"/>
      <c r="AR463" s="92"/>
      <c r="AS463" s="92"/>
      <c r="AT463" s="92"/>
      <c r="AU463" s="92"/>
      <c r="AV463" s="92"/>
      <c r="AX463" s="62" t="s">
        <v>85</v>
      </c>
      <c r="AY463" s="62" t="s">
        <v>85</v>
      </c>
    </row>
    <row r="464" spans="1:58" s="1" customFormat="1" ht="16.5" x14ac:dyDescent="0.3">
      <c r="A464" s="92"/>
      <c r="B464" s="92"/>
      <c r="C464" s="92"/>
      <c r="D464" s="92"/>
      <c r="E464" s="92"/>
      <c r="F464" s="92"/>
      <c r="G464" s="92"/>
      <c r="H464" s="92"/>
      <c r="I464" s="92"/>
      <c r="J464" s="92"/>
      <c r="K464" s="92"/>
      <c r="L464" s="92"/>
      <c r="M464" s="92"/>
      <c r="N464" s="92"/>
      <c r="O464" s="92"/>
      <c r="P464" s="92"/>
      <c r="Q464" s="92"/>
      <c r="R464" s="92"/>
      <c r="S464" s="92"/>
      <c r="T464" s="92"/>
      <c r="U464" s="92"/>
      <c r="V464" s="92"/>
      <c r="W464" s="92"/>
      <c r="X464" s="92"/>
      <c r="Y464" s="92"/>
      <c r="Z464" s="92"/>
      <c r="AA464" s="92"/>
      <c r="AB464" s="92"/>
      <c r="AC464" s="92"/>
      <c r="AD464" s="92"/>
      <c r="AE464" s="92"/>
      <c r="AF464" s="92"/>
      <c r="AG464" s="92"/>
      <c r="AH464" s="92"/>
      <c r="AI464" s="92"/>
      <c r="AJ464" s="92"/>
      <c r="AK464" s="92"/>
      <c r="AL464" s="92"/>
      <c r="AM464" s="92"/>
      <c r="AN464" s="92"/>
      <c r="AO464" s="92"/>
      <c r="AP464" s="92"/>
      <c r="AQ464" s="92"/>
      <c r="AR464" s="92"/>
      <c r="AS464" s="92"/>
      <c r="AT464" s="92"/>
      <c r="AU464" s="92"/>
      <c r="AV464" s="92"/>
      <c r="AX464" s="62" t="s">
        <v>85</v>
      </c>
      <c r="AY464" s="62" t="s">
        <v>85</v>
      </c>
      <c r="AZ464" s="62"/>
      <c r="BA464" s="113" t="s">
        <v>48</v>
      </c>
      <c r="BB464" s="114">
        <v>0</v>
      </c>
      <c r="BC464" s="114">
        <v>0</v>
      </c>
      <c r="BD464" s="114">
        <v>0</v>
      </c>
      <c r="BE464" s="114">
        <v>0</v>
      </c>
      <c r="BF464" s="114">
        <v>0</v>
      </c>
    </row>
    <row r="465" spans="1:58" s="1" customFormat="1" ht="16.5" x14ac:dyDescent="0.3">
      <c r="A465" s="92"/>
      <c r="B465" s="92"/>
      <c r="C465" s="92"/>
      <c r="D465" s="92"/>
      <c r="E465" s="92"/>
      <c r="F465" s="92"/>
      <c r="G465" s="92"/>
      <c r="H465" s="92"/>
      <c r="I465" s="92"/>
      <c r="J465" s="92"/>
      <c r="K465" s="92"/>
      <c r="L465" s="92"/>
      <c r="M465" s="92"/>
      <c r="N465" s="92"/>
      <c r="O465" s="92"/>
      <c r="P465" s="92"/>
      <c r="Q465" s="92"/>
      <c r="R465" s="92"/>
      <c r="S465" s="92"/>
      <c r="T465" s="92"/>
      <c r="U465" s="92"/>
      <c r="V465" s="92"/>
      <c r="W465" s="92"/>
      <c r="X465" s="92"/>
      <c r="Y465" s="92"/>
      <c r="Z465" s="92"/>
      <c r="AA465" s="92"/>
      <c r="AB465" s="92"/>
      <c r="AC465" s="92"/>
      <c r="AD465" s="92"/>
      <c r="AE465" s="92"/>
      <c r="AF465" s="92"/>
      <c r="AG465" s="92"/>
      <c r="AH465" s="92"/>
      <c r="AI465" s="92"/>
      <c r="AJ465" s="92"/>
      <c r="AK465" s="92"/>
      <c r="AL465" s="92"/>
      <c r="AM465" s="92"/>
      <c r="AN465" s="92"/>
      <c r="AO465" s="92"/>
      <c r="AP465" s="92"/>
      <c r="AQ465" s="92"/>
      <c r="AR465" s="92"/>
      <c r="AS465" s="92"/>
      <c r="AT465" s="92"/>
      <c r="AU465" s="92"/>
      <c r="AV465" s="92"/>
      <c r="AX465" s="62" t="s">
        <v>85</v>
      </c>
      <c r="AY465" s="62" t="s">
        <v>85</v>
      </c>
      <c r="AZ465" s="62"/>
      <c r="BA465" s="113" t="s">
        <v>49</v>
      </c>
      <c r="BB465" s="114">
        <v>0</v>
      </c>
      <c r="BC465" s="114">
        <v>0</v>
      </c>
      <c r="BD465" s="114">
        <v>0</v>
      </c>
      <c r="BE465" s="114">
        <v>0</v>
      </c>
      <c r="BF465" s="114">
        <v>0</v>
      </c>
    </row>
    <row r="466" spans="1:58" s="1" customFormat="1" ht="16.5" x14ac:dyDescent="0.3">
      <c r="A466" s="92"/>
      <c r="B466" s="92"/>
      <c r="C466" s="92"/>
      <c r="D466" s="92"/>
      <c r="E466" s="92"/>
      <c r="F466" s="92"/>
      <c r="G466" s="92"/>
      <c r="H466" s="92"/>
      <c r="I466" s="92"/>
      <c r="J466" s="92"/>
      <c r="K466" s="92"/>
      <c r="L466" s="92"/>
      <c r="M466" s="92"/>
      <c r="N466" s="92"/>
      <c r="O466" s="92"/>
      <c r="P466" s="92"/>
      <c r="Q466" s="92"/>
      <c r="R466" s="92"/>
      <c r="S466" s="92"/>
      <c r="T466" s="92"/>
      <c r="U466" s="92"/>
      <c r="V466" s="92"/>
      <c r="W466" s="92"/>
      <c r="X466" s="92"/>
      <c r="Y466" s="92"/>
      <c r="Z466" s="92"/>
      <c r="AA466" s="92"/>
      <c r="AB466" s="92"/>
      <c r="AC466" s="92"/>
      <c r="AD466" s="92"/>
      <c r="AE466" s="92"/>
      <c r="AF466" s="92"/>
      <c r="AG466" s="92"/>
      <c r="AH466" s="92"/>
      <c r="AI466" s="92"/>
      <c r="AJ466" s="92"/>
      <c r="AK466" s="92"/>
      <c r="AL466" s="92"/>
      <c r="AM466" s="92"/>
      <c r="AN466" s="92"/>
      <c r="AO466" s="92"/>
      <c r="AP466" s="92"/>
      <c r="AQ466" s="92"/>
      <c r="AR466" s="92"/>
      <c r="AS466" s="92"/>
      <c r="AT466" s="92"/>
      <c r="AU466" s="92"/>
      <c r="AV466" s="92"/>
      <c r="AX466" s="62" t="s">
        <v>85</v>
      </c>
      <c r="AY466" s="62" t="s">
        <v>85</v>
      </c>
      <c r="AZ466" s="62"/>
      <c r="BA466" s="115" t="s">
        <v>50</v>
      </c>
      <c r="BB466" s="116">
        <v>0</v>
      </c>
      <c r="BC466" s="116">
        <v>0</v>
      </c>
      <c r="BD466" s="116">
        <v>0</v>
      </c>
      <c r="BE466" s="116">
        <v>0</v>
      </c>
      <c r="BF466" s="116">
        <v>0</v>
      </c>
    </row>
    <row r="467" spans="1:58" s="1" customFormat="1" ht="16.5" x14ac:dyDescent="0.3">
      <c r="A467" s="92"/>
      <c r="B467" s="92"/>
      <c r="C467" s="92"/>
      <c r="D467" s="92"/>
      <c r="E467" s="92"/>
      <c r="F467" s="92"/>
      <c r="G467" s="92"/>
      <c r="H467" s="92"/>
      <c r="I467" s="92"/>
      <c r="J467" s="92"/>
      <c r="K467" s="92"/>
      <c r="L467" s="92"/>
      <c r="M467" s="92"/>
      <c r="N467" s="92"/>
      <c r="O467" s="92"/>
      <c r="P467" s="92"/>
      <c r="Q467" s="92"/>
      <c r="R467" s="92"/>
      <c r="S467" s="92"/>
      <c r="T467" s="92"/>
      <c r="U467" s="92"/>
      <c r="V467" s="92"/>
      <c r="W467" s="92"/>
      <c r="X467" s="92"/>
      <c r="Y467" s="92"/>
      <c r="Z467" s="92"/>
      <c r="AA467" s="92"/>
      <c r="AB467" s="92"/>
      <c r="AC467" s="92"/>
      <c r="AD467" s="92"/>
      <c r="AE467" s="92"/>
      <c r="AF467" s="92"/>
      <c r="AG467" s="92"/>
      <c r="AH467" s="92"/>
      <c r="AI467" s="92"/>
      <c r="AJ467" s="92"/>
      <c r="AK467" s="92"/>
      <c r="AL467" s="92"/>
      <c r="AM467" s="92"/>
      <c r="AN467" s="92"/>
      <c r="AO467" s="92"/>
      <c r="AP467" s="92"/>
      <c r="AQ467" s="92"/>
      <c r="AR467" s="92"/>
      <c r="AS467" s="92"/>
      <c r="AT467" s="92"/>
      <c r="AU467" s="92"/>
      <c r="AV467" s="92"/>
      <c r="AX467" s="62" t="s">
        <v>85</v>
      </c>
      <c r="AY467" s="62" t="s">
        <v>85</v>
      </c>
      <c r="AZ467" s="62"/>
      <c r="BA467" s="113" t="s">
        <v>52</v>
      </c>
      <c r="BB467" s="114">
        <v>0</v>
      </c>
      <c r="BC467" s="114">
        <v>0</v>
      </c>
      <c r="BD467" s="114">
        <v>0</v>
      </c>
      <c r="BE467" s="114">
        <v>0</v>
      </c>
      <c r="BF467" s="114">
        <v>0</v>
      </c>
    </row>
    <row r="468" spans="1:58" s="1" customFormat="1" ht="16.5" x14ac:dyDescent="0.3">
      <c r="A468" s="92"/>
      <c r="B468" s="92"/>
      <c r="C468" s="92"/>
      <c r="D468" s="92"/>
      <c r="E468" s="92"/>
      <c r="F468" s="92"/>
      <c r="G468" s="92"/>
      <c r="H468" s="92"/>
      <c r="I468" s="92"/>
      <c r="J468" s="92"/>
      <c r="K468" s="92"/>
      <c r="L468" s="92"/>
      <c r="M468" s="92"/>
      <c r="N468" s="92"/>
      <c r="O468" s="92"/>
      <c r="P468" s="92"/>
      <c r="Q468" s="92"/>
      <c r="R468" s="92"/>
      <c r="S468" s="92"/>
      <c r="T468" s="92"/>
      <c r="U468" s="92"/>
      <c r="V468" s="92"/>
      <c r="W468" s="92"/>
      <c r="X468" s="92"/>
      <c r="Y468" s="92"/>
      <c r="Z468" s="92"/>
      <c r="AA468" s="92"/>
      <c r="AB468" s="92"/>
      <c r="AC468" s="92"/>
      <c r="AD468" s="92"/>
      <c r="AE468" s="92"/>
      <c r="AF468" s="92"/>
      <c r="AG468" s="92"/>
      <c r="AH468" s="92"/>
      <c r="AI468" s="92"/>
      <c r="AJ468" s="92"/>
      <c r="AK468" s="92"/>
      <c r="AL468" s="92"/>
      <c r="AM468" s="92"/>
      <c r="AN468" s="92"/>
      <c r="AO468" s="92"/>
      <c r="AP468" s="92"/>
      <c r="AQ468" s="92"/>
      <c r="AR468" s="92"/>
      <c r="AS468" s="92"/>
      <c r="AT468" s="92"/>
      <c r="AU468" s="92"/>
      <c r="AV468" s="92"/>
      <c r="AX468" s="62" t="s">
        <v>85</v>
      </c>
      <c r="AY468" s="62" t="s">
        <v>85</v>
      </c>
      <c r="AZ468" s="62"/>
      <c r="BA468" s="113"/>
      <c r="BB468" s="113" t="s">
        <v>55</v>
      </c>
      <c r="BC468" s="113" t="s">
        <v>53</v>
      </c>
      <c r="BD468" s="113" t="s">
        <v>54</v>
      </c>
      <c r="BE468" s="113" t="s">
        <v>51</v>
      </c>
      <c r="BF468" s="113" t="s">
        <v>52</v>
      </c>
    </row>
    <row r="469" spans="1:58" s="1" customFormat="1" ht="16.5" x14ac:dyDescent="0.3">
      <c r="A469" s="92"/>
      <c r="B469" s="92"/>
      <c r="C469" s="92"/>
      <c r="D469" s="92"/>
      <c r="E469" s="92"/>
      <c r="F469" s="92"/>
      <c r="G469" s="92"/>
      <c r="H469" s="92"/>
      <c r="I469" s="92"/>
      <c r="J469" s="92"/>
      <c r="K469" s="92"/>
      <c r="L469" s="92"/>
      <c r="M469" s="92"/>
      <c r="N469" s="92"/>
      <c r="O469" s="92"/>
      <c r="P469" s="92"/>
      <c r="Q469" s="92"/>
      <c r="R469" s="92"/>
      <c r="S469" s="92"/>
      <c r="T469" s="92"/>
      <c r="U469" s="92"/>
      <c r="V469" s="92"/>
      <c r="W469" s="92"/>
      <c r="X469" s="92"/>
      <c r="Y469" s="92"/>
      <c r="Z469" s="92"/>
      <c r="AA469" s="92"/>
      <c r="AB469" s="92"/>
      <c r="AC469" s="92"/>
      <c r="AD469" s="92"/>
      <c r="AE469" s="92"/>
      <c r="AF469" s="92"/>
      <c r="AG469" s="92"/>
      <c r="AH469" s="92"/>
      <c r="AI469" s="92"/>
      <c r="AJ469" s="92"/>
      <c r="AK469" s="92"/>
      <c r="AL469" s="92"/>
      <c r="AM469" s="92"/>
      <c r="AN469" s="92"/>
      <c r="AO469" s="92"/>
      <c r="AP469" s="92"/>
      <c r="AQ469" s="92"/>
      <c r="AR469" s="92"/>
      <c r="AS469" s="92"/>
      <c r="AT469" s="92"/>
      <c r="AU469" s="92"/>
      <c r="AV469" s="92"/>
      <c r="AX469" s="62" t="s">
        <v>85</v>
      </c>
      <c r="AY469" s="62" t="s">
        <v>85</v>
      </c>
      <c r="AZ469" s="62"/>
      <c r="BA469" s="113" t="s">
        <v>47</v>
      </c>
      <c r="BB469" s="117" t="e">
        <v>#DIV/0!</v>
      </c>
      <c r="BC469" s="117" t="e">
        <v>#DIV/0!</v>
      </c>
      <c r="BD469" s="117" t="e">
        <v>#DIV/0!</v>
      </c>
      <c r="BE469" s="117" t="e">
        <v>#DIV/0!</v>
      </c>
      <c r="BF469" s="117" t="e">
        <v>#DIV/0!</v>
      </c>
    </row>
    <row r="470" spans="1:58" s="1" customFormat="1" ht="16.5" x14ac:dyDescent="0.3">
      <c r="A470" s="92"/>
      <c r="B470" s="92"/>
      <c r="C470" s="92"/>
      <c r="D470" s="92"/>
      <c r="E470" s="92"/>
      <c r="F470" s="92"/>
      <c r="G470" s="92"/>
      <c r="H470" s="92"/>
      <c r="I470" s="92"/>
      <c r="J470" s="92"/>
      <c r="K470" s="92"/>
      <c r="L470" s="92"/>
      <c r="M470" s="92"/>
      <c r="N470" s="92"/>
      <c r="O470" s="92"/>
      <c r="P470" s="92"/>
      <c r="Q470" s="92"/>
      <c r="R470" s="92"/>
      <c r="S470" s="92"/>
      <c r="T470" s="92"/>
      <c r="U470" s="92"/>
      <c r="V470" s="92"/>
      <c r="W470" s="92"/>
      <c r="X470" s="92"/>
      <c r="Y470" s="92"/>
      <c r="Z470" s="92"/>
      <c r="AA470" s="92"/>
      <c r="AB470" s="92"/>
      <c r="AC470" s="92"/>
      <c r="AD470" s="92"/>
      <c r="AE470" s="92"/>
      <c r="AF470" s="92"/>
      <c r="AG470" s="92"/>
      <c r="AH470" s="92"/>
      <c r="AI470" s="92"/>
      <c r="AJ470" s="92"/>
      <c r="AK470" s="92"/>
      <c r="AL470" s="92"/>
      <c r="AM470" s="92"/>
      <c r="AN470" s="92"/>
      <c r="AO470" s="92"/>
      <c r="AP470" s="92"/>
      <c r="AQ470" s="92"/>
      <c r="AR470" s="92"/>
      <c r="AS470" s="92"/>
      <c r="AT470" s="92"/>
      <c r="AU470" s="92"/>
      <c r="AV470" s="92"/>
      <c r="AX470" s="62" t="s">
        <v>85</v>
      </c>
      <c r="AY470" s="62" t="s">
        <v>85</v>
      </c>
      <c r="BA470" s="113" t="s">
        <v>48</v>
      </c>
      <c r="BB470" s="117" t="e">
        <v>#DIV/0!</v>
      </c>
      <c r="BC470" s="117" t="e">
        <v>#DIV/0!</v>
      </c>
      <c r="BD470" s="117" t="e">
        <v>#DIV/0!</v>
      </c>
      <c r="BE470" s="117" t="e">
        <v>#DIV/0!</v>
      </c>
      <c r="BF470" s="117" t="e">
        <v>#DIV/0!</v>
      </c>
    </row>
    <row r="471" spans="1:58" s="1" customFormat="1" ht="16.5" x14ac:dyDescent="0.3">
      <c r="A471" s="92"/>
      <c r="B471" s="92"/>
      <c r="C471" s="92"/>
      <c r="D471" s="92"/>
      <c r="E471" s="92"/>
      <c r="F471" s="92"/>
      <c r="G471" s="92"/>
      <c r="H471" s="92"/>
      <c r="I471" s="92"/>
      <c r="J471" s="92"/>
      <c r="K471" s="92"/>
      <c r="L471" s="92"/>
      <c r="M471" s="92"/>
      <c r="N471" s="92"/>
      <c r="O471" s="92"/>
      <c r="P471" s="92"/>
      <c r="Q471" s="92"/>
      <c r="R471" s="92"/>
      <c r="S471" s="92"/>
      <c r="T471" s="92"/>
      <c r="U471" s="92"/>
      <c r="V471" s="92"/>
      <c r="W471" s="92"/>
      <c r="X471" s="92"/>
      <c r="Y471" s="92"/>
      <c r="Z471" s="92"/>
      <c r="AA471" s="92"/>
      <c r="AB471" s="92"/>
      <c r="AC471" s="92"/>
      <c r="AD471" s="92"/>
      <c r="AE471" s="92"/>
      <c r="AF471" s="92"/>
      <c r="AG471" s="92"/>
      <c r="AH471" s="92"/>
      <c r="AI471" s="92"/>
      <c r="AJ471" s="92"/>
      <c r="AK471" s="92"/>
      <c r="AL471" s="92"/>
      <c r="AM471" s="92"/>
      <c r="AN471" s="92"/>
      <c r="AO471" s="92"/>
      <c r="AP471" s="92"/>
      <c r="AQ471" s="92"/>
      <c r="AR471" s="92"/>
      <c r="AS471" s="92"/>
      <c r="AT471" s="92"/>
      <c r="AU471" s="92"/>
      <c r="AV471" s="92"/>
      <c r="AX471" s="62" t="s">
        <v>85</v>
      </c>
      <c r="AY471" s="62" t="s">
        <v>85</v>
      </c>
      <c r="BA471" s="115" t="s">
        <v>50</v>
      </c>
      <c r="BB471" s="118" t="e">
        <v>#DIV/0!</v>
      </c>
      <c r="BC471" s="118" t="e">
        <v>#DIV/0!</v>
      </c>
      <c r="BD471" s="118" t="e">
        <v>#DIV/0!</v>
      </c>
      <c r="BE471" s="118" t="e">
        <v>#DIV/0!</v>
      </c>
      <c r="BF471" s="118" t="e">
        <v>#DIV/0!</v>
      </c>
    </row>
    <row r="472" spans="1:58" s="1" customFormat="1" ht="16.5" x14ac:dyDescent="0.3">
      <c r="A472" s="92"/>
      <c r="B472" s="92"/>
      <c r="C472" s="92"/>
      <c r="D472" s="92"/>
      <c r="E472" s="92"/>
      <c r="F472" s="92"/>
      <c r="G472" s="92"/>
      <c r="H472" s="92"/>
      <c r="I472" s="92"/>
      <c r="J472" s="92"/>
      <c r="K472" s="92"/>
      <c r="L472" s="92"/>
      <c r="M472" s="92"/>
      <c r="N472" s="92"/>
      <c r="O472" s="92"/>
      <c r="P472" s="92"/>
      <c r="Q472" s="92"/>
      <c r="R472" s="92"/>
      <c r="S472" s="92"/>
      <c r="T472" s="92"/>
      <c r="U472" s="92"/>
      <c r="V472" s="92"/>
      <c r="W472" s="92"/>
      <c r="X472" s="92"/>
      <c r="Y472" s="92"/>
      <c r="Z472" s="92"/>
      <c r="AA472" s="92"/>
      <c r="AB472" s="92"/>
      <c r="AC472" s="92"/>
      <c r="AD472" s="92"/>
      <c r="AE472" s="92"/>
      <c r="AF472" s="92"/>
      <c r="AG472" s="92"/>
      <c r="AH472" s="92"/>
      <c r="AI472" s="92"/>
      <c r="AJ472" s="92"/>
      <c r="AK472" s="92"/>
      <c r="AL472" s="92"/>
      <c r="AM472" s="92"/>
      <c r="AN472" s="92"/>
      <c r="AO472" s="92"/>
      <c r="AP472" s="92"/>
      <c r="AQ472" s="92"/>
      <c r="AR472" s="92"/>
      <c r="AS472" s="92"/>
      <c r="AT472" s="92"/>
      <c r="AU472" s="92"/>
      <c r="AV472" s="92"/>
      <c r="AX472" s="62" t="s">
        <v>85</v>
      </c>
      <c r="AY472" s="62" t="s">
        <v>85</v>
      </c>
      <c r="BA472" s="113" t="s">
        <v>52</v>
      </c>
      <c r="BB472" s="117" t="e">
        <v>#DIV/0!</v>
      </c>
      <c r="BC472" s="117" t="e">
        <v>#DIV/0!</v>
      </c>
      <c r="BD472" s="117" t="e">
        <v>#DIV/0!</v>
      </c>
      <c r="BE472" s="117" t="e">
        <v>#DIV/0!</v>
      </c>
      <c r="BF472" s="117" t="e">
        <v>#DIV/0!</v>
      </c>
    </row>
    <row r="473" spans="1:58" s="1" customFormat="1" ht="16.5" x14ac:dyDescent="0.3">
      <c r="A473" s="92"/>
      <c r="B473" s="92"/>
      <c r="C473" s="92"/>
      <c r="D473" s="92"/>
      <c r="E473" s="92"/>
      <c r="F473" s="92"/>
      <c r="G473" s="92"/>
      <c r="H473" s="92"/>
      <c r="I473" s="92"/>
      <c r="J473" s="92"/>
      <c r="K473" s="92"/>
      <c r="L473" s="92"/>
      <c r="M473" s="92"/>
      <c r="N473" s="92"/>
      <c r="O473" s="92"/>
      <c r="P473" s="92"/>
      <c r="Q473" s="92"/>
      <c r="R473" s="92"/>
      <c r="S473" s="92"/>
      <c r="T473" s="92"/>
      <c r="U473" s="92"/>
      <c r="V473" s="92"/>
      <c r="W473" s="92"/>
      <c r="X473" s="92"/>
      <c r="Y473" s="92"/>
      <c r="Z473" s="92"/>
      <c r="AA473" s="92"/>
      <c r="AB473" s="92"/>
      <c r="AC473" s="92"/>
      <c r="AD473" s="92"/>
      <c r="AE473" s="92"/>
      <c r="AF473" s="92"/>
      <c r="AG473" s="92"/>
      <c r="AH473" s="92"/>
      <c r="AI473" s="92"/>
      <c r="AJ473" s="92"/>
      <c r="AK473" s="92"/>
      <c r="AL473" s="92"/>
      <c r="AM473" s="92"/>
      <c r="AN473" s="92"/>
      <c r="AO473" s="92"/>
      <c r="AP473" s="92"/>
      <c r="AQ473" s="92"/>
      <c r="AR473" s="92"/>
      <c r="AS473" s="92"/>
      <c r="AT473" s="92"/>
      <c r="AU473" s="92"/>
      <c r="AV473" s="92"/>
      <c r="AX473" s="62" t="s">
        <v>85</v>
      </c>
      <c r="AY473" s="62" t="s">
        <v>85</v>
      </c>
    </row>
    <row r="474" spans="1:58" s="1" customFormat="1" ht="16.5" x14ac:dyDescent="0.3">
      <c r="A474" s="92"/>
      <c r="B474" s="92"/>
      <c r="C474" s="92"/>
      <c r="D474" s="92"/>
      <c r="E474" s="92"/>
      <c r="F474" s="92"/>
      <c r="G474" s="92"/>
      <c r="H474" s="92"/>
      <c r="I474" s="92"/>
      <c r="J474" s="92"/>
      <c r="K474" s="92"/>
      <c r="L474" s="92"/>
      <c r="M474" s="92"/>
      <c r="N474" s="92"/>
      <c r="O474" s="92"/>
      <c r="P474" s="92"/>
      <c r="Q474" s="92"/>
      <c r="R474" s="92"/>
      <c r="S474" s="92"/>
      <c r="T474" s="92"/>
      <c r="U474" s="92"/>
      <c r="V474" s="92"/>
      <c r="W474" s="92"/>
      <c r="X474" s="92"/>
      <c r="Y474" s="92"/>
      <c r="Z474" s="92"/>
      <c r="AA474" s="92"/>
      <c r="AB474" s="92"/>
      <c r="AC474" s="92"/>
      <c r="AD474" s="92"/>
      <c r="AE474" s="92"/>
      <c r="AF474" s="92"/>
      <c r="AG474" s="92"/>
      <c r="AH474" s="92"/>
      <c r="AI474" s="92"/>
      <c r="AJ474" s="92"/>
      <c r="AK474" s="92"/>
      <c r="AL474" s="92"/>
      <c r="AM474" s="92"/>
      <c r="AN474" s="92"/>
      <c r="AO474" s="92"/>
      <c r="AP474" s="92"/>
      <c r="AQ474" s="92"/>
      <c r="AR474" s="92"/>
      <c r="AS474" s="92"/>
      <c r="AT474" s="92"/>
      <c r="AU474" s="92"/>
      <c r="AV474" s="92"/>
      <c r="AX474" s="62" t="s">
        <v>85</v>
      </c>
      <c r="AY474" s="62" t="s">
        <v>85</v>
      </c>
    </row>
    <row r="475" spans="1:58" s="1" customFormat="1" ht="16.5" x14ac:dyDescent="0.3">
      <c r="A475" s="92"/>
      <c r="B475" s="92"/>
      <c r="C475" s="92"/>
      <c r="D475" s="92"/>
      <c r="E475" s="92"/>
      <c r="F475" s="92"/>
      <c r="G475" s="92"/>
      <c r="H475" s="92"/>
      <c r="I475" s="92"/>
      <c r="J475" s="92"/>
      <c r="K475" s="92"/>
      <c r="L475" s="92"/>
      <c r="M475" s="92"/>
      <c r="N475" s="92"/>
      <c r="O475" s="92"/>
      <c r="P475" s="92"/>
      <c r="Q475" s="92"/>
      <c r="R475" s="92"/>
      <c r="S475" s="92"/>
      <c r="T475" s="92"/>
      <c r="U475" s="92"/>
      <c r="V475" s="92"/>
      <c r="W475" s="92"/>
      <c r="X475" s="92"/>
      <c r="Y475" s="92"/>
      <c r="Z475" s="92"/>
      <c r="AA475" s="92"/>
      <c r="AB475" s="92"/>
      <c r="AC475" s="92"/>
      <c r="AD475" s="92"/>
      <c r="AE475" s="92"/>
      <c r="AF475" s="92"/>
      <c r="AG475" s="92"/>
      <c r="AH475" s="92"/>
      <c r="AI475" s="92"/>
      <c r="AJ475" s="92"/>
      <c r="AK475" s="92"/>
      <c r="AL475" s="92"/>
      <c r="AM475" s="92"/>
      <c r="AN475" s="92"/>
      <c r="AO475" s="92"/>
      <c r="AP475" s="92"/>
      <c r="AQ475" s="92"/>
      <c r="AR475" s="92"/>
      <c r="AS475" s="92"/>
      <c r="AT475" s="92"/>
      <c r="AU475" s="92"/>
      <c r="AV475" s="92"/>
      <c r="AX475" s="62" t="s">
        <v>85</v>
      </c>
      <c r="AY475" s="62" t="s">
        <v>85</v>
      </c>
    </row>
    <row r="476" spans="1:58" s="1" customFormat="1" ht="16.5" x14ac:dyDescent="0.3">
      <c r="A476" s="92"/>
      <c r="B476" s="92"/>
      <c r="C476" s="92"/>
      <c r="D476" s="92"/>
      <c r="E476" s="92"/>
      <c r="F476" s="92"/>
      <c r="G476" s="92"/>
      <c r="H476" s="92"/>
      <c r="I476" s="92"/>
      <c r="J476" s="92"/>
      <c r="K476" s="92"/>
      <c r="L476" s="92"/>
      <c r="M476" s="92"/>
      <c r="N476" s="92"/>
      <c r="O476" s="92"/>
      <c r="P476" s="92"/>
      <c r="Q476" s="92"/>
      <c r="R476" s="92"/>
      <c r="S476" s="92"/>
      <c r="T476" s="92"/>
      <c r="U476" s="92"/>
      <c r="V476" s="92"/>
      <c r="W476" s="92"/>
      <c r="X476" s="92"/>
      <c r="Y476" s="92"/>
      <c r="Z476" s="92"/>
      <c r="AA476" s="92"/>
      <c r="AB476" s="92"/>
      <c r="AC476" s="92"/>
      <c r="AD476" s="92"/>
      <c r="AE476" s="92"/>
      <c r="AF476" s="92"/>
      <c r="AG476" s="92"/>
      <c r="AH476" s="92"/>
      <c r="AI476" s="92"/>
      <c r="AJ476" s="92"/>
      <c r="AK476" s="92"/>
      <c r="AL476" s="92"/>
      <c r="AM476" s="92"/>
      <c r="AN476" s="92"/>
      <c r="AO476" s="92"/>
      <c r="AP476" s="92"/>
      <c r="AQ476" s="92"/>
      <c r="AR476" s="92"/>
      <c r="AS476" s="92"/>
      <c r="AT476" s="92"/>
      <c r="AU476" s="92"/>
      <c r="AV476" s="92"/>
      <c r="AX476" s="62" t="s">
        <v>85</v>
      </c>
      <c r="AY476" s="62" t="s">
        <v>85</v>
      </c>
    </row>
    <row r="477" spans="1:58" s="1" customFormat="1" ht="16.5" x14ac:dyDescent="0.3">
      <c r="A477" s="92"/>
      <c r="B477" s="92"/>
      <c r="C477" s="92"/>
      <c r="D477" s="92"/>
      <c r="E477" s="92"/>
      <c r="F477" s="92"/>
      <c r="G477" s="92"/>
      <c r="H477" s="92"/>
      <c r="I477" s="92"/>
      <c r="J477" s="92"/>
      <c r="K477" s="92"/>
      <c r="L477" s="92"/>
      <c r="M477" s="92"/>
      <c r="N477" s="92"/>
      <c r="O477" s="92"/>
      <c r="P477" s="92"/>
      <c r="Q477" s="92"/>
      <c r="R477" s="92"/>
      <c r="S477" s="92"/>
      <c r="T477" s="92"/>
      <c r="U477" s="92"/>
      <c r="V477" s="92"/>
      <c r="W477" s="92"/>
      <c r="X477" s="92"/>
      <c r="Y477" s="92"/>
      <c r="Z477" s="92"/>
      <c r="AA477" s="92"/>
      <c r="AB477" s="92"/>
      <c r="AC477" s="92"/>
      <c r="AD477" s="92"/>
      <c r="AE477" s="92"/>
      <c r="AF477" s="92"/>
      <c r="AG477" s="92"/>
      <c r="AH477" s="92"/>
      <c r="AI477" s="92"/>
      <c r="AJ477" s="92"/>
      <c r="AK477" s="92"/>
      <c r="AL477" s="92"/>
      <c r="AM477" s="92"/>
      <c r="AN477" s="92"/>
      <c r="AO477" s="92"/>
      <c r="AP477" s="92"/>
      <c r="AQ477" s="92"/>
      <c r="AR477" s="92"/>
      <c r="AS477" s="92"/>
      <c r="AT477" s="92"/>
      <c r="AU477" s="92"/>
      <c r="AV477" s="92"/>
      <c r="AX477" s="62" t="s">
        <v>85</v>
      </c>
      <c r="AY477" s="62" t="s">
        <v>85</v>
      </c>
    </row>
    <row r="478" spans="1:58" s="1" customFormat="1" ht="16.5" x14ac:dyDescent="0.3">
      <c r="A478" s="92"/>
      <c r="B478" s="92"/>
      <c r="C478" s="92"/>
      <c r="D478" s="92"/>
      <c r="E478" s="92"/>
      <c r="F478" s="92"/>
      <c r="G478" s="92"/>
      <c r="H478" s="92"/>
      <c r="I478" s="92"/>
      <c r="J478" s="92"/>
      <c r="K478" s="92"/>
      <c r="L478" s="92"/>
      <c r="M478" s="92"/>
      <c r="N478" s="92"/>
      <c r="O478" s="92"/>
      <c r="P478" s="92"/>
      <c r="Q478" s="92"/>
      <c r="R478" s="92"/>
      <c r="S478" s="92"/>
      <c r="T478" s="92"/>
      <c r="U478" s="92"/>
      <c r="V478" s="92"/>
      <c r="W478" s="92"/>
      <c r="X478" s="92"/>
      <c r="Y478" s="92"/>
      <c r="Z478" s="92"/>
      <c r="AA478" s="92"/>
      <c r="AB478" s="92"/>
      <c r="AC478" s="92"/>
      <c r="AD478" s="92"/>
      <c r="AE478" s="92"/>
      <c r="AF478" s="92"/>
      <c r="AG478" s="92"/>
      <c r="AH478" s="92"/>
      <c r="AI478" s="92"/>
      <c r="AJ478" s="92"/>
      <c r="AK478" s="92"/>
      <c r="AL478" s="92"/>
      <c r="AM478" s="92"/>
      <c r="AN478" s="92"/>
      <c r="AO478" s="92"/>
      <c r="AP478" s="92"/>
      <c r="AQ478" s="92"/>
      <c r="AR478" s="92"/>
      <c r="AS478" s="92"/>
      <c r="AT478" s="92"/>
      <c r="AU478" s="92"/>
      <c r="AV478" s="92"/>
      <c r="AX478" s="62" t="s">
        <v>85</v>
      </c>
      <c r="AY478" s="62" t="s">
        <v>85</v>
      </c>
    </row>
    <row r="479" spans="1:58" s="1" customFormat="1" ht="16.5" x14ac:dyDescent="0.3">
      <c r="A479" s="92"/>
      <c r="B479" s="92"/>
      <c r="C479" s="92"/>
      <c r="D479" s="92"/>
      <c r="E479" s="92"/>
      <c r="F479" s="92"/>
      <c r="G479" s="92"/>
      <c r="H479" s="92"/>
      <c r="I479" s="92"/>
      <c r="J479" s="92"/>
      <c r="K479" s="92"/>
      <c r="L479" s="92"/>
      <c r="M479" s="92"/>
      <c r="N479" s="92"/>
      <c r="O479" s="92"/>
      <c r="P479" s="92"/>
      <c r="Q479" s="92"/>
      <c r="R479" s="92"/>
      <c r="S479" s="92"/>
      <c r="T479" s="92"/>
      <c r="U479" s="92"/>
      <c r="V479" s="92"/>
      <c r="W479" s="92"/>
      <c r="X479" s="92"/>
      <c r="Y479" s="92"/>
      <c r="Z479" s="92"/>
      <c r="AA479" s="92"/>
      <c r="AB479" s="92"/>
      <c r="AC479" s="92"/>
      <c r="AD479" s="92"/>
      <c r="AE479" s="92"/>
      <c r="AF479" s="92"/>
      <c r="AG479" s="92"/>
      <c r="AH479" s="92"/>
      <c r="AI479" s="92"/>
      <c r="AJ479" s="92"/>
      <c r="AK479" s="92"/>
      <c r="AL479" s="92"/>
      <c r="AM479" s="92"/>
      <c r="AN479" s="92"/>
      <c r="AO479" s="92"/>
      <c r="AP479" s="92"/>
      <c r="AQ479" s="92"/>
      <c r="AR479" s="92"/>
      <c r="AS479" s="92"/>
      <c r="AT479" s="92"/>
      <c r="AU479" s="92"/>
      <c r="AV479" s="92"/>
      <c r="AX479" s="62" t="s">
        <v>85</v>
      </c>
      <c r="AY479" s="62" t="s">
        <v>85</v>
      </c>
    </row>
    <row r="480" spans="1:58" s="1" customFormat="1" ht="16.5" x14ac:dyDescent="0.3">
      <c r="A480" s="92"/>
      <c r="B480" s="92"/>
      <c r="C480" s="92"/>
      <c r="D480" s="92"/>
      <c r="E480" s="92"/>
      <c r="F480" s="92"/>
      <c r="G480" s="92"/>
      <c r="H480" s="92"/>
      <c r="I480" s="92"/>
      <c r="J480" s="92"/>
      <c r="K480" s="92"/>
      <c r="L480" s="92"/>
      <c r="M480" s="92"/>
      <c r="N480" s="92"/>
      <c r="O480" s="92"/>
      <c r="P480" s="92"/>
      <c r="Q480" s="92"/>
      <c r="R480" s="92"/>
      <c r="S480" s="92"/>
      <c r="T480" s="92"/>
      <c r="U480" s="92"/>
      <c r="V480" s="92"/>
      <c r="W480" s="92"/>
      <c r="X480" s="92"/>
      <c r="Y480" s="92"/>
      <c r="Z480" s="92"/>
      <c r="AA480" s="92"/>
      <c r="AB480" s="92"/>
      <c r="AC480" s="92"/>
      <c r="AD480" s="92"/>
      <c r="AE480" s="92"/>
      <c r="AF480" s="92"/>
      <c r="AG480" s="92"/>
      <c r="AH480" s="92"/>
      <c r="AI480" s="92"/>
      <c r="AJ480" s="92"/>
      <c r="AK480" s="92"/>
      <c r="AL480" s="92"/>
      <c r="AM480" s="92"/>
      <c r="AN480" s="92"/>
      <c r="AO480" s="92"/>
      <c r="AP480" s="92"/>
      <c r="AQ480" s="92"/>
      <c r="AR480" s="92"/>
      <c r="AS480" s="92"/>
      <c r="AT480" s="92"/>
      <c r="AU480" s="92"/>
      <c r="AV480" s="92"/>
      <c r="AX480" s="62" t="s">
        <v>85</v>
      </c>
      <c r="AY480" s="62" t="s">
        <v>85</v>
      </c>
    </row>
    <row r="481" spans="1:51" s="1" customFormat="1" ht="16.5" x14ac:dyDescent="0.3">
      <c r="A481" s="92"/>
      <c r="B481" s="92"/>
      <c r="C481" s="92"/>
      <c r="D481" s="92"/>
      <c r="E481" s="92"/>
      <c r="F481" s="92"/>
      <c r="G481" s="92"/>
      <c r="H481" s="92"/>
      <c r="I481" s="92"/>
      <c r="J481" s="92"/>
      <c r="K481" s="92"/>
      <c r="L481" s="92"/>
      <c r="M481" s="92"/>
      <c r="N481" s="92"/>
      <c r="O481" s="92"/>
      <c r="P481" s="92"/>
      <c r="Q481" s="92"/>
      <c r="R481" s="92"/>
      <c r="S481" s="92"/>
      <c r="T481" s="92"/>
      <c r="U481" s="92"/>
      <c r="V481" s="92"/>
      <c r="W481" s="92"/>
      <c r="X481" s="92"/>
      <c r="Y481" s="92"/>
      <c r="Z481" s="92"/>
      <c r="AA481" s="92"/>
      <c r="AB481" s="92"/>
      <c r="AC481" s="92"/>
      <c r="AD481" s="92"/>
      <c r="AE481" s="92"/>
      <c r="AF481" s="92"/>
      <c r="AG481" s="92"/>
      <c r="AH481" s="92"/>
      <c r="AI481" s="92"/>
      <c r="AJ481" s="92"/>
      <c r="AK481" s="92"/>
      <c r="AL481" s="92"/>
      <c r="AM481" s="92"/>
      <c r="AN481" s="92"/>
      <c r="AO481" s="92"/>
      <c r="AP481" s="92"/>
      <c r="AQ481" s="92"/>
      <c r="AR481" s="92"/>
      <c r="AS481" s="92"/>
      <c r="AT481" s="92"/>
      <c r="AU481" s="92"/>
      <c r="AV481" s="92"/>
      <c r="AX481" s="62" t="s">
        <v>85</v>
      </c>
      <c r="AY481" s="62" t="s">
        <v>85</v>
      </c>
    </row>
    <row r="482" spans="1:51" s="1" customFormat="1" ht="16.5" x14ac:dyDescent="0.3">
      <c r="A482" s="92"/>
      <c r="B482" s="92"/>
      <c r="C482" s="92"/>
      <c r="D482" s="92"/>
      <c r="E482" s="92"/>
      <c r="F482" s="92"/>
      <c r="G482" s="92"/>
      <c r="H482" s="92"/>
      <c r="I482" s="92"/>
      <c r="J482" s="92"/>
      <c r="K482" s="92"/>
      <c r="L482" s="92"/>
      <c r="M482" s="92"/>
      <c r="N482" s="92"/>
      <c r="O482" s="92"/>
      <c r="P482" s="92"/>
      <c r="Q482" s="92"/>
      <c r="R482" s="92"/>
      <c r="S482" s="92"/>
      <c r="T482" s="92"/>
      <c r="U482" s="92"/>
      <c r="V482" s="92"/>
      <c r="W482" s="92"/>
      <c r="X482" s="92"/>
      <c r="Y482" s="92"/>
      <c r="Z482" s="92"/>
      <c r="AA482" s="92"/>
      <c r="AB482" s="92"/>
      <c r="AC482" s="92"/>
      <c r="AD482" s="92"/>
      <c r="AE482" s="92"/>
      <c r="AF482" s="92"/>
      <c r="AG482" s="92"/>
      <c r="AH482" s="92"/>
      <c r="AI482" s="92"/>
      <c r="AJ482" s="92"/>
      <c r="AK482" s="92"/>
      <c r="AL482" s="92"/>
      <c r="AM482" s="92"/>
      <c r="AN482" s="92"/>
      <c r="AO482" s="92"/>
      <c r="AP482" s="92"/>
      <c r="AQ482" s="92"/>
      <c r="AR482" s="92"/>
      <c r="AS482" s="92"/>
      <c r="AT482" s="92"/>
      <c r="AU482" s="92"/>
      <c r="AV482" s="92"/>
      <c r="AX482" s="62" t="s">
        <v>85</v>
      </c>
      <c r="AY482" s="62" t="s">
        <v>85</v>
      </c>
    </row>
    <row r="483" spans="1:51" s="1" customFormat="1" ht="16.5" x14ac:dyDescent="0.3">
      <c r="A483" s="92"/>
      <c r="B483" s="92"/>
      <c r="C483" s="92"/>
      <c r="D483" s="92"/>
      <c r="E483" s="92"/>
      <c r="F483" s="92"/>
      <c r="G483" s="92"/>
      <c r="H483" s="92"/>
      <c r="I483" s="92"/>
      <c r="J483" s="92"/>
      <c r="K483" s="92"/>
      <c r="L483" s="92"/>
      <c r="M483" s="92"/>
      <c r="N483" s="92"/>
      <c r="O483" s="92"/>
      <c r="P483" s="92"/>
      <c r="Q483" s="92"/>
      <c r="R483" s="92"/>
      <c r="S483" s="92"/>
      <c r="T483" s="92"/>
      <c r="U483" s="92"/>
      <c r="V483" s="92"/>
      <c r="W483" s="92"/>
      <c r="X483" s="92"/>
      <c r="Y483" s="92"/>
      <c r="Z483" s="92"/>
      <c r="AA483" s="92"/>
      <c r="AB483" s="92"/>
      <c r="AC483" s="92"/>
      <c r="AD483" s="92"/>
      <c r="AE483" s="92"/>
      <c r="AF483" s="92"/>
      <c r="AG483" s="92"/>
      <c r="AH483" s="92"/>
      <c r="AI483" s="92"/>
      <c r="AJ483" s="92"/>
      <c r="AK483" s="92"/>
      <c r="AL483" s="92"/>
      <c r="AM483" s="92"/>
      <c r="AN483" s="92"/>
      <c r="AO483" s="92"/>
      <c r="AP483" s="92"/>
      <c r="AQ483" s="92"/>
      <c r="AR483" s="92"/>
      <c r="AS483" s="92"/>
      <c r="AT483" s="92"/>
      <c r="AU483" s="92"/>
      <c r="AV483" s="92"/>
      <c r="AX483" s="62" t="s">
        <v>85</v>
      </c>
      <c r="AY483" s="62" t="s">
        <v>85</v>
      </c>
    </row>
    <row r="484" spans="1:51" s="1" customFormat="1" ht="16.5" x14ac:dyDescent="0.3">
      <c r="A484" s="92"/>
      <c r="B484" s="92"/>
      <c r="C484" s="92"/>
      <c r="D484" s="92"/>
      <c r="E484" s="92"/>
      <c r="F484" s="92"/>
      <c r="G484" s="92"/>
      <c r="H484" s="92"/>
      <c r="I484" s="92"/>
      <c r="J484" s="92"/>
      <c r="K484" s="92"/>
      <c r="L484" s="92"/>
      <c r="M484" s="92"/>
      <c r="N484" s="92"/>
      <c r="O484" s="92"/>
      <c r="P484" s="92"/>
      <c r="Q484" s="92"/>
      <c r="R484" s="92"/>
      <c r="S484" s="92"/>
      <c r="T484" s="92"/>
      <c r="U484" s="92"/>
      <c r="V484" s="92"/>
      <c r="W484" s="92"/>
      <c r="X484" s="92"/>
      <c r="Y484" s="92"/>
      <c r="Z484" s="92"/>
      <c r="AA484" s="92"/>
      <c r="AB484" s="92"/>
      <c r="AC484" s="92"/>
      <c r="AD484" s="92"/>
      <c r="AE484" s="92"/>
      <c r="AF484" s="92"/>
      <c r="AG484" s="92"/>
      <c r="AH484" s="92"/>
      <c r="AI484" s="92"/>
      <c r="AJ484" s="92"/>
      <c r="AK484" s="92"/>
      <c r="AL484" s="92"/>
      <c r="AM484" s="92"/>
      <c r="AN484" s="92"/>
      <c r="AO484" s="92"/>
      <c r="AP484" s="92"/>
      <c r="AQ484" s="92"/>
      <c r="AR484" s="92"/>
      <c r="AS484" s="92"/>
      <c r="AT484" s="92"/>
      <c r="AU484" s="92"/>
      <c r="AV484" s="92"/>
      <c r="AX484" s="62" t="s">
        <v>85</v>
      </c>
      <c r="AY484" s="62" t="s">
        <v>85</v>
      </c>
    </row>
    <row r="485" spans="1:51" s="1" customFormat="1" ht="16.5" x14ac:dyDescent="0.3">
      <c r="A485" s="92"/>
      <c r="B485" s="92"/>
      <c r="C485" s="92"/>
      <c r="D485" s="92"/>
      <c r="E485" s="92"/>
      <c r="F485" s="92"/>
      <c r="G485" s="92"/>
      <c r="H485" s="92"/>
      <c r="I485" s="92"/>
      <c r="J485" s="92"/>
      <c r="K485" s="92"/>
      <c r="L485" s="92"/>
      <c r="M485" s="92"/>
      <c r="N485" s="92"/>
      <c r="O485" s="92"/>
      <c r="P485" s="92"/>
      <c r="Q485" s="92"/>
      <c r="R485" s="92"/>
      <c r="S485" s="92"/>
      <c r="T485" s="92"/>
      <c r="U485" s="92"/>
      <c r="V485" s="92"/>
      <c r="W485" s="92"/>
      <c r="X485" s="92"/>
      <c r="Y485" s="92"/>
      <c r="Z485" s="92"/>
      <c r="AA485" s="92"/>
      <c r="AB485" s="92"/>
      <c r="AC485" s="92"/>
      <c r="AD485" s="92"/>
      <c r="AE485" s="92"/>
      <c r="AF485" s="92"/>
      <c r="AG485" s="92"/>
      <c r="AH485" s="92"/>
      <c r="AI485" s="92"/>
      <c r="AJ485" s="92"/>
      <c r="AK485" s="92"/>
      <c r="AL485" s="92"/>
      <c r="AM485" s="92"/>
      <c r="AN485" s="92"/>
      <c r="AO485" s="92"/>
      <c r="AP485" s="92"/>
      <c r="AQ485" s="92"/>
      <c r="AR485" s="92"/>
      <c r="AS485" s="92"/>
      <c r="AT485" s="92"/>
      <c r="AU485" s="92"/>
      <c r="AV485" s="92"/>
      <c r="AX485" s="62" t="s">
        <v>85</v>
      </c>
      <c r="AY485" s="62" t="s">
        <v>85</v>
      </c>
    </row>
    <row r="486" spans="1:51" s="1" customFormat="1" ht="16.5" x14ac:dyDescent="0.3">
      <c r="A486" s="92"/>
      <c r="B486" s="92"/>
      <c r="C486" s="92"/>
      <c r="D486" s="92"/>
      <c r="E486" s="92"/>
      <c r="F486" s="92"/>
      <c r="G486" s="92"/>
      <c r="H486" s="92"/>
      <c r="I486" s="92"/>
      <c r="J486" s="92"/>
      <c r="K486" s="92"/>
      <c r="L486" s="92"/>
      <c r="M486" s="92"/>
      <c r="N486" s="92"/>
      <c r="O486" s="92"/>
      <c r="P486" s="92"/>
      <c r="Q486" s="92"/>
      <c r="R486" s="92"/>
      <c r="S486" s="92"/>
      <c r="T486" s="92"/>
      <c r="U486" s="92"/>
      <c r="V486" s="92"/>
      <c r="W486" s="92"/>
      <c r="X486" s="92"/>
      <c r="Y486" s="92"/>
      <c r="Z486" s="92"/>
      <c r="AA486" s="92"/>
      <c r="AB486" s="92"/>
      <c r="AC486" s="92"/>
      <c r="AD486" s="92"/>
      <c r="AE486" s="92"/>
      <c r="AF486" s="92"/>
      <c r="AG486" s="92"/>
      <c r="AH486" s="92"/>
      <c r="AI486" s="92"/>
      <c r="AJ486" s="92"/>
      <c r="AK486" s="92"/>
      <c r="AL486" s="92"/>
      <c r="AM486" s="92"/>
      <c r="AN486" s="92"/>
      <c r="AO486" s="92"/>
      <c r="AP486" s="92"/>
      <c r="AQ486" s="92"/>
      <c r="AR486" s="92"/>
      <c r="AS486" s="92"/>
      <c r="AT486" s="92"/>
      <c r="AU486" s="92"/>
      <c r="AV486" s="92"/>
      <c r="AX486" s="62" t="s">
        <v>85</v>
      </c>
      <c r="AY486" s="62" t="s">
        <v>85</v>
      </c>
    </row>
    <row r="487" spans="1:51" s="1" customFormat="1" ht="16.5" x14ac:dyDescent="0.3">
      <c r="A487" s="92"/>
      <c r="B487" s="92"/>
      <c r="C487" s="92"/>
      <c r="D487" s="92"/>
      <c r="E487" s="92"/>
      <c r="F487" s="92"/>
      <c r="G487" s="92"/>
      <c r="H487" s="92"/>
      <c r="I487" s="92"/>
      <c r="J487" s="92"/>
      <c r="K487" s="92"/>
      <c r="L487" s="92"/>
      <c r="M487" s="92"/>
      <c r="N487" s="92"/>
      <c r="O487" s="92"/>
      <c r="P487" s="92"/>
      <c r="Q487" s="92"/>
      <c r="R487" s="92"/>
      <c r="S487" s="92"/>
      <c r="T487" s="92"/>
      <c r="U487" s="92"/>
      <c r="V487" s="92"/>
      <c r="W487" s="92"/>
      <c r="X487" s="92"/>
      <c r="Y487" s="92"/>
      <c r="Z487" s="92"/>
      <c r="AA487" s="92"/>
      <c r="AB487" s="92"/>
      <c r="AC487" s="92"/>
      <c r="AD487" s="92"/>
      <c r="AE487" s="92"/>
      <c r="AF487" s="92"/>
      <c r="AG487" s="92"/>
      <c r="AH487" s="92"/>
      <c r="AI487" s="92"/>
      <c r="AJ487" s="92"/>
      <c r="AK487" s="92"/>
      <c r="AL487" s="92"/>
      <c r="AM487" s="92"/>
      <c r="AN487" s="92"/>
      <c r="AO487" s="92"/>
      <c r="AP487" s="92"/>
      <c r="AQ487" s="92"/>
      <c r="AR487" s="92"/>
      <c r="AS487" s="92"/>
      <c r="AT487" s="92"/>
      <c r="AU487" s="92"/>
      <c r="AV487" s="92"/>
      <c r="AX487" s="62" t="s">
        <v>85</v>
      </c>
      <c r="AY487" s="62" t="s">
        <v>85</v>
      </c>
    </row>
    <row r="488" spans="1:51" s="1" customFormat="1" ht="16.5" x14ac:dyDescent="0.3">
      <c r="A488" s="92"/>
      <c r="B488" s="92"/>
      <c r="C488" s="92"/>
      <c r="D488" s="92"/>
      <c r="E488" s="92"/>
      <c r="F488" s="92"/>
      <c r="G488" s="92"/>
      <c r="H488" s="92"/>
      <c r="I488" s="92"/>
      <c r="J488" s="92"/>
      <c r="K488" s="92"/>
      <c r="L488" s="92"/>
      <c r="M488" s="92"/>
      <c r="N488" s="92"/>
      <c r="O488" s="92"/>
      <c r="P488" s="92"/>
      <c r="Q488" s="92"/>
      <c r="R488" s="92"/>
      <c r="S488" s="92"/>
      <c r="T488" s="92"/>
      <c r="U488" s="92"/>
      <c r="V488" s="92"/>
      <c r="W488" s="92"/>
      <c r="X488" s="92"/>
      <c r="Y488" s="92"/>
      <c r="Z488" s="92"/>
      <c r="AA488" s="92"/>
      <c r="AB488" s="92"/>
      <c r="AC488" s="92"/>
      <c r="AD488" s="92"/>
      <c r="AE488" s="92"/>
      <c r="AF488" s="92"/>
      <c r="AG488" s="92"/>
      <c r="AH488" s="92"/>
      <c r="AI488" s="92"/>
      <c r="AJ488" s="92"/>
      <c r="AK488" s="92"/>
      <c r="AL488" s="92"/>
      <c r="AM488" s="92"/>
      <c r="AN488" s="92"/>
      <c r="AO488" s="92"/>
      <c r="AP488" s="92"/>
      <c r="AQ488" s="92"/>
      <c r="AR488" s="92"/>
      <c r="AS488" s="92"/>
      <c r="AT488" s="92"/>
      <c r="AU488" s="92"/>
      <c r="AV488" s="92"/>
      <c r="AX488" s="62" t="s">
        <v>85</v>
      </c>
      <c r="AY488" s="62" t="s">
        <v>85</v>
      </c>
    </row>
    <row r="489" spans="1:51" s="1" customFormat="1" ht="16.5" x14ac:dyDescent="0.3">
      <c r="A489" s="92"/>
      <c r="B489" s="92"/>
      <c r="C489" s="92"/>
      <c r="D489" s="92"/>
      <c r="E489" s="92"/>
      <c r="F489" s="92"/>
      <c r="G489" s="92"/>
      <c r="H489" s="92"/>
      <c r="I489" s="92"/>
      <c r="J489" s="92"/>
      <c r="K489" s="92"/>
      <c r="L489" s="92"/>
      <c r="M489" s="92"/>
      <c r="N489" s="92"/>
      <c r="O489" s="92"/>
      <c r="P489" s="92"/>
      <c r="Q489" s="92"/>
      <c r="R489" s="92"/>
      <c r="S489" s="92"/>
      <c r="T489" s="92"/>
      <c r="U489" s="92"/>
      <c r="V489" s="92"/>
      <c r="W489" s="92"/>
      <c r="X489" s="92"/>
      <c r="Y489" s="92"/>
      <c r="Z489" s="92"/>
      <c r="AA489" s="92"/>
      <c r="AB489" s="92"/>
      <c r="AC489" s="92"/>
      <c r="AD489" s="92"/>
      <c r="AE489" s="92"/>
      <c r="AF489" s="92"/>
      <c r="AG489" s="92"/>
      <c r="AH489" s="92"/>
      <c r="AI489" s="92"/>
      <c r="AJ489" s="92"/>
      <c r="AK489" s="92"/>
      <c r="AL489" s="92"/>
      <c r="AM489" s="92"/>
      <c r="AN489" s="92"/>
      <c r="AO489" s="92"/>
      <c r="AP489" s="92"/>
      <c r="AQ489" s="92"/>
      <c r="AR489" s="92"/>
      <c r="AS489" s="92"/>
      <c r="AT489" s="92"/>
      <c r="AU489" s="92"/>
      <c r="AV489" s="92"/>
      <c r="AX489" s="62" t="s">
        <v>85</v>
      </c>
      <c r="AY489" s="62" t="s">
        <v>85</v>
      </c>
    </row>
    <row r="490" spans="1:51" s="1" customFormat="1" ht="16.5" x14ac:dyDescent="0.3">
      <c r="A490" s="92"/>
      <c r="B490" s="92"/>
      <c r="C490" s="92"/>
      <c r="D490" s="92"/>
      <c r="E490" s="92"/>
      <c r="F490" s="92"/>
      <c r="G490" s="92"/>
      <c r="H490" s="92"/>
      <c r="I490" s="92"/>
      <c r="J490" s="92"/>
      <c r="K490" s="92"/>
      <c r="L490" s="92"/>
      <c r="M490" s="92"/>
      <c r="N490" s="92"/>
      <c r="O490" s="92"/>
      <c r="P490" s="92"/>
      <c r="Q490" s="92"/>
      <c r="R490" s="92"/>
      <c r="S490" s="92"/>
      <c r="T490" s="92"/>
      <c r="U490" s="92"/>
      <c r="V490" s="92"/>
      <c r="W490" s="92"/>
      <c r="X490" s="92"/>
      <c r="Y490" s="92"/>
      <c r="Z490" s="92"/>
      <c r="AA490" s="92"/>
      <c r="AB490" s="92"/>
      <c r="AC490" s="92"/>
      <c r="AD490" s="92"/>
      <c r="AE490" s="92"/>
      <c r="AF490" s="92"/>
      <c r="AG490" s="92"/>
      <c r="AH490" s="92"/>
      <c r="AI490" s="92"/>
      <c r="AJ490" s="92"/>
      <c r="AK490" s="92"/>
      <c r="AL490" s="92"/>
      <c r="AM490" s="92"/>
      <c r="AN490" s="92"/>
      <c r="AO490" s="92"/>
      <c r="AP490" s="92"/>
      <c r="AQ490" s="92"/>
      <c r="AR490" s="92"/>
      <c r="AS490" s="92"/>
      <c r="AT490" s="92"/>
      <c r="AU490" s="92"/>
      <c r="AV490" s="92"/>
      <c r="AX490" s="62" t="s">
        <v>85</v>
      </c>
      <c r="AY490" s="62" t="s">
        <v>85</v>
      </c>
    </row>
    <row r="491" spans="1:51" s="1" customFormat="1" ht="16.5" x14ac:dyDescent="0.3">
      <c r="A491" s="92"/>
      <c r="B491" s="92"/>
      <c r="C491" s="92"/>
      <c r="D491" s="92"/>
      <c r="E491" s="92"/>
      <c r="F491" s="92"/>
      <c r="G491" s="92"/>
      <c r="H491" s="92"/>
      <c r="I491" s="92"/>
      <c r="J491" s="92"/>
      <c r="K491" s="92"/>
      <c r="L491" s="92"/>
      <c r="M491" s="92"/>
      <c r="N491" s="92"/>
      <c r="O491" s="92"/>
      <c r="P491" s="92"/>
      <c r="Q491" s="92"/>
      <c r="R491" s="92"/>
      <c r="S491" s="92"/>
      <c r="T491" s="92"/>
      <c r="U491" s="92"/>
      <c r="V491" s="92"/>
      <c r="W491" s="92"/>
      <c r="X491" s="92"/>
      <c r="Y491" s="92"/>
      <c r="Z491" s="92"/>
      <c r="AA491" s="92"/>
      <c r="AB491" s="92"/>
      <c r="AC491" s="92"/>
      <c r="AD491" s="92"/>
      <c r="AE491" s="92"/>
      <c r="AF491" s="92"/>
      <c r="AG491" s="92"/>
      <c r="AH491" s="92"/>
      <c r="AI491" s="92"/>
      <c r="AJ491" s="92"/>
      <c r="AK491" s="92"/>
      <c r="AL491" s="92"/>
      <c r="AM491" s="92"/>
      <c r="AN491" s="92"/>
      <c r="AO491" s="92"/>
      <c r="AP491" s="92"/>
      <c r="AQ491" s="92"/>
      <c r="AR491" s="92"/>
      <c r="AS491" s="92"/>
      <c r="AT491" s="92"/>
      <c r="AU491" s="92"/>
      <c r="AV491" s="92"/>
      <c r="AX491" s="62" t="s">
        <v>85</v>
      </c>
      <c r="AY491" s="62" t="s">
        <v>85</v>
      </c>
    </row>
    <row r="492" spans="1:51" s="1" customFormat="1" ht="16.5" x14ac:dyDescent="0.3">
      <c r="A492" s="92"/>
      <c r="B492" s="92"/>
      <c r="C492" s="92"/>
      <c r="D492" s="92"/>
      <c r="E492" s="92"/>
      <c r="F492" s="92"/>
      <c r="G492" s="92"/>
      <c r="H492" s="92"/>
      <c r="I492" s="92"/>
      <c r="J492" s="92"/>
      <c r="K492" s="92"/>
      <c r="L492" s="92"/>
      <c r="M492" s="92"/>
      <c r="N492" s="92"/>
      <c r="O492" s="92"/>
      <c r="P492" s="92"/>
      <c r="Q492" s="92"/>
      <c r="R492" s="92"/>
      <c r="S492" s="92"/>
      <c r="T492" s="92"/>
      <c r="U492" s="92"/>
      <c r="V492" s="92"/>
      <c r="W492" s="92"/>
      <c r="X492" s="92"/>
      <c r="Y492" s="92"/>
      <c r="Z492" s="92"/>
      <c r="AA492" s="92"/>
      <c r="AB492" s="92"/>
      <c r="AC492" s="92"/>
      <c r="AD492" s="92"/>
      <c r="AE492" s="92"/>
      <c r="AF492" s="92"/>
      <c r="AG492" s="92"/>
      <c r="AH492" s="92"/>
      <c r="AI492" s="92"/>
      <c r="AJ492" s="92"/>
      <c r="AK492" s="92"/>
      <c r="AL492" s="92"/>
      <c r="AM492" s="92"/>
      <c r="AN492" s="92"/>
      <c r="AO492" s="92"/>
      <c r="AP492" s="92"/>
      <c r="AQ492" s="92"/>
      <c r="AR492" s="92"/>
      <c r="AS492" s="92"/>
      <c r="AT492" s="92"/>
      <c r="AU492" s="92"/>
      <c r="AV492" s="92"/>
      <c r="AX492" s="62" t="s">
        <v>85</v>
      </c>
      <c r="AY492" s="62" t="s">
        <v>85</v>
      </c>
    </row>
    <row r="493" spans="1:51" s="1" customFormat="1" ht="16.5" x14ac:dyDescent="0.3">
      <c r="A493" s="92"/>
      <c r="B493" s="92"/>
      <c r="C493" s="92"/>
      <c r="D493" s="92"/>
      <c r="E493" s="92"/>
      <c r="F493" s="92"/>
      <c r="G493" s="92"/>
      <c r="H493" s="92"/>
      <c r="I493" s="92"/>
      <c r="J493" s="92"/>
      <c r="K493" s="92"/>
      <c r="L493" s="92"/>
      <c r="M493" s="92"/>
      <c r="N493" s="92"/>
      <c r="O493" s="92"/>
      <c r="P493" s="92"/>
      <c r="Q493" s="92"/>
      <c r="R493" s="92"/>
      <c r="S493" s="92"/>
      <c r="T493" s="92"/>
      <c r="U493" s="92"/>
      <c r="V493" s="92"/>
      <c r="W493" s="92"/>
      <c r="X493" s="92"/>
      <c r="Y493" s="92"/>
      <c r="Z493" s="92"/>
      <c r="AA493" s="92"/>
      <c r="AB493" s="92"/>
      <c r="AC493" s="92"/>
      <c r="AD493" s="92"/>
      <c r="AE493" s="92"/>
      <c r="AF493" s="92"/>
      <c r="AG493" s="92"/>
      <c r="AH493" s="92"/>
      <c r="AI493" s="92"/>
      <c r="AJ493" s="92"/>
      <c r="AK493" s="92"/>
      <c r="AL493" s="92"/>
      <c r="AM493" s="92"/>
      <c r="AN493" s="92"/>
      <c r="AO493" s="92"/>
      <c r="AP493" s="92"/>
      <c r="AQ493" s="92"/>
      <c r="AR493" s="92"/>
      <c r="AS493" s="92"/>
      <c r="AT493" s="92"/>
      <c r="AU493" s="92"/>
      <c r="AV493" s="92"/>
      <c r="AX493" s="62" t="s">
        <v>85</v>
      </c>
      <c r="AY493" s="62" t="s">
        <v>85</v>
      </c>
    </row>
    <row r="494" spans="1:51" s="1" customFormat="1" ht="16.5" x14ac:dyDescent="0.3">
      <c r="A494" s="92"/>
      <c r="B494" s="92"/>
      <c r="C494" s="92"/>
      <c r="D494" s="92"/>
      <c r="E494" s="92"/>
      <c r="F494" s="92"/>
      <c r="G494" s="92"/>
      <c r="H494" s="92"/>
      <c r="I494" s="92"/>
      <c r="J494" s="92"/>
      <c r="K494" s="92"/>
      <c r="L494" s="92"/>
      <c r="M494" s="92"/>
      <c r="N494" s="92"/>
      <c r="O494" s="92"/>
      <c r="P494" s="92"/>
      <c r="Q494" s="92"/>
      <c r="R494" s="92"/>
      <c r="S494" s="92"/>
      <c r="T494" s="92"/>
      <c r="U494" s="92"/>
      <c r="V494" s="92"/>
      <c r="W494" s="92"/>
      <c r="X494" s="92"/>
      <c r="Y494" s="92"/>
      <c r="Z494" s="92"/>
      <c r="AA494" s="92"/>
      <c r="AB494" s="92"/>
      <c r="AC494" s="92"/>
      <c r="AD494" s="92"/>
      <c r="AE494" s="92"/>
      <c r="AF494" s="92"/>
      <c r="AG494" s="92"/>
      <c r="AH494" s="92"/>
      <c r="AI494" s="92"/>
      <c r="AJ494" s="92"/>
      <c r="AK494" s="92"/>
      <c r="AL494" s="92"/>
      <c r="AM494" s="92"/>
      <c r="AN494" s="92"/>
      <c r="AO494" s="92"/>
      <c r="AP494" s="92"/>
      <c r="AQ494" s="92"/>
      <c r="AR494" s="92"/>
      <c r="AS494" s="92"/>
      <c r="AT494" s="92"/>
      <c r="AU494" s="92"/>
      <c r="AV494" s="92"/>
      <c r="AX494" s="62" t="s">
        <v>85</v>
      </c>
      <c r="AY494" s="62" t="s">
        <v>85</v>
      </c>
    </row>
    <row r="495" spans="1:51" s="1" customFormat="1" ht="16.5" x14ac:dyDescent="0.3">
      <c r="A495" s="92"/>
      <c r="B495" s="92"/>
      <c r="C495" s="92"/>
      <c r="D495" s="92"/>
      <c r="E495" s="92"/>
      <c r="F495" s="92"/>
      <c r="G495" s="92"/>
      <c r="H495" s="92"/>
      <c r="I495" s="92"/>
      <c r="J495" s="92"/>
      <c r="K495" s="92"/>
      <c r="L495" s="92"/>
      <c r="M495" s="92"/>
      <c r="N495" s="92"/>
      <c r="O495" s="92"/>
      <c r="P495" s="92"/>
      <c r="Q495" s="92"/>
      <c r="R495" s="92"/>
      <c r="S495" s="92"/>
      <c r="T495" s="92"/>
      <c r="U495" s="92"/>
      <c r="V495" s="92"/>
      <c r="W495" s="92"/>
      <c r="X495" s="92"/>
      <c r="Y495" s="92"/>
      <c r="Z495" s="92"/>
      <c r="AA495" s="92"/>
      <c r="AB495" s="92"/>
      <c r="AC495" s="92"/>
      <c r="AD495" s="92"/>
      <c r="AE495" s="92"/>
      <c r="AF495" s="92"/>
      <c r="AG495" s="92"/>
      <c r="AH495" s="92"/>
      <c r="AI495" s="92"/>
      <c r="AJ495" s="92"/>
      <c r="AK495" s="92"/>
      <c r="AL495" s="92"/>
      <c r="AM495" s="92"/>
      <c r="AN495" s="92"/>
      <c r="AO495" s="92"/>
      <c r="AP495" s="92"/>
      <c r="AQ495" s="92"/>
      <c r="AR495" s="92"/>
      <c r="AS495" s="92"/>
      <c r="AT495" s="92"/>
      <c r="AU495" s="92"/>
      <c r="AV495" s="92"/>
      <c r="AX495" s="62" t="s">
        <v>85</v>
      </c>
      <c r="AY495" s="62" t="s">
        <v>85</v>
      </c>
    </row>
    <row r="496" spans="1:51" s="1" customFormat="1" ht="16.5" x14ac:dyDescent="0.3">
      <c r="A496" s="92"/>
      <c r="B496" s="92"/>
      <c r="C496" s="92"/>
      <c r="D496" s="92"/>
      <c r="E496" s="92"/>
      <c r="F496" s="92"/>
      <c r="G496" s="92"/>
      <c r="H496" s="92"/>
      <c r="I496" s="92"/>
      <c r="J496" s="92"/>
      <c r="K496" s="92"/>
      <c r="L496" s="92"/>
      <c r="M496" s="92"/>
      <c r="N496" s="92"/>
      <c r="O496" s="92"/>
      <c r="P496" s="92"/>
      <c r="Q496" s="92"/>
      <c r="R496" s="92"/>
      <c r="S496" s="92"/>
      <c r="T496" s="92"/>
      <c r="U496" s="92"/>
      <c r="V496" s="92"/>
      <c r="W496" s="92"/>
      <c r="X496" s="92"/>
      <c r="Y496" s="92"/>
      <c r="Z496" s="92"/>
      <c r="AA496" s="92"/>
      <c r="AB496" s="92"/>
      <c r="AC496" s="92"/>
      <c r="AD496" s="92"/>
      <c r="AE496" s="92"/>
      <c r="AF496" s="92"/>
      <c r="AG496" s="92"/>
      <c r="AH496" s="92"/>
      <c r="AI496" s="92"/>
      <c r="AJ496" s="92"/>
      <c r="AK496" s="92"/>
      <c r="AL496" s="92"/>
      <c r="AM496" s="92"/>
      <c r="AN496" s="92"/>
      <c r="AO496" s="92"/>
      <c r="AP496" s="92"/>
      <c r="AQ496" s="92"/>
      <c r="AR496" s="92"/>
      <c r="AS496" s="92"/>
      <c r="AT496" s="92"/>
      <c r="AU496" s="92"/>
      <c r="AV496" s="92"/>
      <c r="AX496" s="62" t="s">
        <v>85</v>
      </c>
      <c r="AY496" s="62" t="s">
        <v>85</v>
      </c>
    </row>
    <row r="497" spans="1:51" s="1" customFormat="1" ht="16.5" x14ac:dyDescent="0.3">
      <c r="A497" s="92"/>
      <c r="B497" s="92"/>
      <c r="C497" s="92"/>
      <c r="D497" s="92"/>
      <c r="E497" s="92"/>
      <c r="F497" s="92"/>
      <c r="G497" s="92"/>
      <c r="H497" s="92"/>
      <c r="I497" s="92"/>
      <c r="J497" s="92"/>
      <c r="K497" s="92"/>
      <c r="L497" s="92"/>
      <c r="M497" s="92"/>
      <c r="N497" s="92"/>
      <c r="O497" s="92"/>
      <c r="P497" s="92"/>
      <c r="Q497" s="92"/>
      <c r="R497" s="92"/>
      <c r="S497" s="92"/>
      <c r="T497" s="92"/>
      <c r="U497" s="92"/>
      <c r="V497" s="92"/>
      <c r="W497" s="92"/>
      <c r="X497" s="92"/>
      <c r="Y497" s="92"/>
      <c r="Z497" s="92"/>
      <c r="AA497" s="92"/>
      <c r="AB497" s="92"/>
      <c r="AC497" s="92"/>
      <c r="AD497" s="92"/>
      <c r="AE497" s="92"/>
      <c r="AF497" s="92"/>
      <c r="AG497" s="92"/>
      <c r="AH497" s="92"/>
      <c r="AI497" s="92"/>
      <c r="AJ497" s="92"/>
      <c r="AK497" s="92"/>
      <c r="AL497" s="92"/>
      <c r="AM497" s="92"/>
      <c r="AN497" s="92"/>
      <c r="AO497" s="92"/>
      <c r="AP497" s="92"/>
      <c r="AQ497" s="92"/>
      <c r="AR497" s="92"/>
      <c r="AS497" s="92"/>
      <c r="AT497" s="92"/>
      <c r="AU497" s="92"/>
      <c r="AV497" s="92"/>
      <c r="AX497" s="62" t="s">
        <v>85</v>
      </c>
      <c r="AY497" s="62" t="s">
        <v>85</v>
      </c>
    </row>
    <row r="498" spans="1:51" s="1" customFormat="1" ht="16.5" x14ac:dyDescent="0.3">
      <c r="A498" s="92"/>
      <c r="B498" s="92"/>
      <c r="C498" s="92"/>
      <c r="D498" s="92"/>
      <c r="E498" s="92"/>
      <c r="F498" s="92"/>
      <c r="G498" s="92"/>
      <c r="H498" s="92"/>
      <c r="I498" s="92"/>
      <c r="J498" s="92"/>
      <c r="K498" s="92"/>
      <c r="L498" s="92"/>
      <c r="M498" s="92"/>
      <c r="N498" s="92"/>
      <c r="O498" s="92"/>
      <c r="P498" s="92"/>
      <c r="Q498" s="92"/>
      <c r="R498" s="92"/>
      <c r="S498" s="92"/>
      <c r="T498" s="92"/>
      <c r="U498" s="92"/>
      <c r="V498" s="92"/>
      <c r="W498" s="92"/>
      <c r="X498" s="92"/>
      <c r="Y498" s="92"/>
      <c r="Z498" s="92"/>
      <c r="AA498" s="92"/>
      <c r="AB498" s="92"/>
      <c r="AC498" s="92"/>
      <c r="AD498" s="92"/>
      <c r="AE498" s="92"/>
      <c r="AF498" s="92"/>
      <c r="AG498" s="92"/>
      <c r="AH498" s="92"/>
      <c r="AI498" s="92"/>
      <c r="AJ498" s="92"/>
      <c r="AK498" s="92"/>
      <c r="AL498" s="92"/>
      <c r="AM498" s="92"/>
      <c r="AN498" s="92"/>
      <c r="AO498" s="92"/>
      <c r="AP498" s="92"/>
      <c r="AQ498" s="92"/>
      <c r="AR498" s="92"/>
      <c r="AS498" s="92"/>
      <c r="AT498" s="92"/>
      <c r="AU498" s="92"/>
      <c r="AV498" s="92"/>
      <c r="AX498" s="62" t="s">
        <v>85</v>
      </c>
      <c r="AY498" s="62" t="s">
        <v>85</v>
      </c>
    </row>
    <row r="499" spans="1:51" s="1" customFormat="1" ht="16.5" x14ac:dyDescent="0.3">
      <c r="A499" s="92"/>
      <c r="B499" s="92"/>
      <c r="C499" s="92"/>
      <c r="D499" s="92"/>
      <c r="E499" s="92"/>
      <c r="F499" s="92"/>
      <c r="G499" s="92"/>
      <c r="H499" s="92"/>
      <c r="I499" s="92"/>
      <c r="J499" s="92"/>
      <c r="K499" s="92"/>
      <c r="L499" s="92"/>
      <c r="M499" s="92"/>
      <c r="N499" s="92"/>
      <c r="O499" s="92"/>
      <c r="P499" s="92"/>
      <c r="Q499" s="92"/>
      <c r="R499" s="92"/>
      <c r="S499" s="92"/>
      <c r="T499" s="92"/>
      <c r="U499" s="92"/>
      <c r="V499" s="92"/>
      <c r="W499" s="92"/>
      <c r="X499" s="92"/>
      <c r="Y499" s="92"/>
      <c r="Z499" s="92"/>
      <c r="AA499" s="92"/>
      <c r="AB499" s="92"/>
      <c r="AC499" s="92"/>
      <c r="AD499" s="92"/>
      <c r="AE499" s="92"/>
      <c r="AF499" s="92"/>
      <c r="AG499" s="92"/>
      <c r="AH499" s="92"/>
      <c r="AI499" s="92"/>
      <c r="AJ499" s="92"/>
      <c r="AK499" s="92"/>
      <c r="AL499" s="92"/>
      <c r="AM499" s="92"/>
      <c r="AN499" s="92"/>
      <c r="AO499" s="92"/>
      <c r="AP499" s="92"/>
      <c r="AQ499" s="92"/>
      <c r="AR499" s="92"/>
      <c r="AS499" s="92"/>
      <c r="AT499" s="92"/>
      <c r="AU499" s="92"/>
      <c r="AV499" s="92"/>
      <c r="AX499" s="62" t="s">
        <v>85</v>
      </c>
      <c r="AY499" s="62" t="s">
        <v>85</v>
      </c>
    </row>
    <row r="500" spans="1:51" s="1" customFormat="1" ht="16.5" x14ac:dyDescent="0.3">
      <c r="A500" s="92"/>
      <c r="B500" s="92"/>
      <c r="C500" s="92"/>
      <c r="D500" s="92"/>
      <c r="E500" s="92"/>
      <c r="F500" s="92"/>
      <c r="G500" s="92"/>
      <c r="H500" s="92"/>
      <c r="I500" s="92"/>
      <c r="J500" s="92"/>
      <c r="K500" s="92"/>
      <c r="L500" s="92"/>
      <c r="M500" s="92"/>
      <c r="N500" s="92"/>
      <c r="O500" s="92"/>
      <c r="P500" s="92"/>
      <c r="Q500" s="92"/>
      <c r="R500" s="92"/>
      <c r="S500" s="92"/>
      <c r="T500" s="92"/>
      <c r="U500" s="92"/>
      <c r="V500" s="92"/>
      <c r="W500" s="92"/>
      <c r="X500" s="92"/>
      <c r="Y500" s="92"/>
      <c r="Z500" s="92"/>
      <c r="AA500" s="92"/>
      <c r="AB500" s="92"/>
      <c r="AC500" s="92"/>
      <c r="AD500" s="92"/>
      <c r="AE500" s="92"/>
      <c r="AF500" s="92"/>
      <c r="AG500" s="92"/>
      <c r="AH500" s="92"/>
      <c r="AI500" s="92"/>
      <c r="AJ500" s="92"/>
      <c r="AK500" s="92"/>
      <c r="AL500" s="92"/>
      <c r="AM500" s="92"/>
      <c r="AN500" s="92"/>
      <c r="AO500" s="92"/>
      <c r="AP500" s="92"/>
      <c r="AQ500" s="92"/>
      <c r="AR500" s="92"/>
      <c r="AS500" s="92"/>
      <c r="AT500" s="92"/>
      <c r="AU500" s="92"/>
      <c r="AV500" s="92"/>
      <c r="AX500" s="62" t="s">
        <v>85</v>
      </c>
      <c r="AY500" s="62" t="s">
        <v>85</v>
      </c>
    </row>
    <row r="501" spans="1:51" s="1" customFormat="1" ht="16.5" x14ac:dyDescent="0.3">
      <c r="A501" s="92"/>
      <c r="B501" s="92"/>
      <c r="C501" s="92"/>
      <c r="D501" s="92"/>
      <c r="E501" s="92"/>
      <c r="F501" s="92"/>
      <c r="G501" s="92"/>
      <c r="H501" s="92"/>
      <c r="I501" s="92"/>
      <c r="J501" s="92"/>
      <c r="K501" s="92"/>
      <c r="L501" s="92"/>
      <c r="M501" s="92"/>
      <c r="N501" s="92"/>
      <c r="O501" s="92"/>
      <c r="P501" s="92"/>
      <c r="Q501" s="92"/>
      <c r="R501" s="92"/>
      <c r="S501" s="92"/>
      <c r="T501" s="92"/>
      <c r="U501" s="92"/>
      <c r="V501" s="92"/>
      <c r="W501" s="92"/>
      <c r="X501" s="92"/>
      <c r="Y501" s="92"/>
      <c r="Z501" s="92"/>
      <c r="AA501" s="92"/>
      <c r="AB501" s="92"/>
      <c r="AC501" s="92"/>
      <c r="AD501" s="92"/>
      <c r="AE501" s="92"/>
      <c r="AF501" s="92"/>
      <c r="AG501" s="92"/>
      <c r="AH501" s="92"/>
      <c r="AI501" s="92"/>
      <c r="AJ501" s="92"/>
      <c r="AK501" s="92"/>
      <c r="AL501" s="92"/>
      <c r="AM501" s="92"/>
      <c r="AN501" s="92"/>
      <c r="AO501" s="92"/>
      <c r="AP501" s="92"/>
      <c r="AQ501" s="92"/>
      <c r="AR501" s="92"/>
      <c r="AS501" s="92"/>
      <c r="AT501" s="92"/>
      <c r="AU501" s="92"/>
      <c r="AV501" s="92"/>
      <c r="AX501" s="62" t="s">
        <v>85</v>
      </c>
      <c r="AY501" s="62" t="s">
        <v>85</v>
      </c>
    </row>
    <row r="502" spans="1:51" s="1" customFormat="1" ht="16.5" x14ac:dyDescent="0.3">
      <c r="A502" s="92"/>
      <c r="B502" s="92"/>
      <c r="C502" s="92"/>
      <c r="D502" s="92"/>
      <c r="E502" s="92"/>
      <c r="F502" s="92"/>
      <c r="G502" s="92"/>
      <c r="H502" s="92"/>
      <c r="I502" s="92"/>
      <c r="J502" s="92"/>
      <c r="K502" s="92"/>
      <c r="L502" s="92"/>
      <c r="M502" s="92"/>
      <c r="N502" s="92"/>
      <c r="O502" s="92"/>
      <c r="P502" s="92"/>
      <c r="Q502" s="92"/>
      <c r="R502" s="92"/>
      <c r="S502" s="92"/>
      <c r="T502" s="92"/>
      <c r="U502" s="92"/>
      <c r="V502" s="92"/>
      <c r="W502" s="92"/>
      <c r="X502" s="92"/>
      <c r="Y502" s="92"/>
      <c r="Z502" s="92"/>
      <c r="AA502" s="92"/>
      <c r="AB502" s="92"/>
      <c r="AC502" s="92"/>
      <c r="AD502" s="92"/>
      <c r="AE502" s="92"/>
      <c r="AF502" s="92"/>
      <c r="AG502" s="92"/>
      <c r="AH502" s="92"/>
      <c r="AI502" s="92"/>
      <c r="AJ502" s="92"/>
      <c r="AK502" s="92"/>
      <c r="AL502" s="92"/>
      <c r="AM502" s="92"/>
      <c r="AN502" s="92"/>
      <c r="AO502" s="92"/>
      <c r="AP502" s="92"/>
      <c r="AQ502" s="92"/>
      <c r="AR502" s="92"/>
      <c r="AS502" s="92"/>
      <c r="AT502" s="92"/>
      <c r="AU502" s="92"/>
      <c r="AV502" s="92"/>
      <c r="AX502" s="62" t="s">
        <v>85</v>
      </c>
      <c r="AY502" s="62" t="s">
        <v>85</v>
      </c>
    </row>
    <row r="503" spans="1:51" s="1" customFormat="1" ht="16.5" x14ac:dyDescent="0.3">
      <c r="A503" s="92"/>
      <c r="B503" s="92"/>
      <c r="C503" s="92"/>
      <c r="D503" s="92"/>
      <c r="E503" s="92"/>
      <c r="F503" s="92"/>
      <c r="G503" s="92"/>
      <c r="H503" s="92"/>
      <c r="I503" s="92"/>
      <c r="J503" s="92"/>
      <c r="K503" s="92"/>
      <c r="L503" s="92"/>
      <c r="M503" s="92"/>
      <c r="N503" s="92"/>
      <c r="O503" s="92"/>
      <c r="P503" s="92"/>
      <c r="Q503" s="92"/>
      <c r="R503" s="92"/>
      <c r="S503" s="92"/>
      <c r="T503" s="92"/>
      <c r="U503" s="92"/>
      <c r="V503" s="92"/>
      <c r="W503" s="92"/>
      <c r="X503" s="92"/>
      <c r="Y503" s="92"/>
      <c r="Z503" s="92"/>
      <c r="AA503" s="92"/>
      <c r="AB503" s="92"/>
      <c r="AC503" s="92"/>
      <c r="AD503" s="92"/>
      <c r="AE503" s="92"/>
      <c r="AF503" s="92"/>
      <c r="AG503" s="92"/>
      <c r="AH503" s="92"/>
      <c r="AI503" s="92"/>
      <c r="AJ503" s="92"/>
      <c r="AK503" s="92"/>
      <c r="AL503" s="92"/>
      <c r="AM503" s="92"/>
      <c r="AN503" s="92"/>
      <c r="AO503" s="92"/>
      <c r="AP503" s="92"/>
      <c r="AQ503" s="92"/>
      <c r="AR503" s="92"/>
      <c r="AS503" s="92"/>
      <c r="AT503" s="92"/>
      <c r="AU503" s="92"/>
      <c r="AV503" s="92"/>
      <c r="AX503" s="62" t="s">
        <v>85</v>
      </c>
      <c r="AY503" s="62" t="s">
        <v>85</v>
      </c>
    </row>
    <row r="504" spans="1:51" s="1" customFormat="1" ht="16.5" x14ac:dyDescent="0.3">
      <c r="A504" s="92"/>
      <c r="B504" s="92"/>
      <c r="C504" s="92"/>
      <c r="D504" s="92"/>
      <c r="E504" s="92"/>
      <c r="F504" s="92"/>
      <c r="G504" s="92"/>
      <c r="H504" s="92"/>
      <c r="I504" s="92"/>
      <c r="J504" s="92"/>
      <c r="K504" s="92"/>
      <c r="L504" s="92"/>
      <c r="M504" s="92"/>
      <c r="N504" s="92"/>
      <c r="O504" s="92"/>
      <c r="P504" s="92"/>
      <c r="Q504" s="92"/>
      <c r="R504" s="92"/>
      <c r="S504" s="92"/>
      <c r="T504" s="92"/>
      <c r="U504" s="92"/>
      <c r="V504" s="92"/>
      <c r="W504" s="92"/>
      <c r="X504" s="92"/>
      <c r="Y504" s="92"/>
      <c r="Z504" s="92"/>
      <c r="AA504" s="92"/>
      <c r="AB504" s="92"/>
      <c r="AC504" s="92"/>
      <c r="AD504" s="92"/>
      <c r="AE504" s="92"/>
      <c r="AF504" s="92"/>
      <c r="AG504" s="92"/>
      <c r="AH504" s="92"/>
      <c r="AI504" s="92"/>
      <c r="AJ504" s="92"/>
      <c r="AK504" s="92"/>
      <c r="AL504" s="92"/>
      <c r="AM504" s="92"/>
      <c r="AN504" s="92"/>
      <c r="AO504" s="92"/>
      <c r="AP504" s="92"/>
      <c r="AQ504" s="92"/>
      <c r="AR504" s="92"/>
      <c r="AS504" s="92"/>
      <c r="AT504" s="92"/>
      <c r="AU504" s="92"/>
      <c r="AV504" s="92"/>
      <c r="AX504" s="62" t="s">
        <v>85</v>
      </c>
      <c r="AY504" s="62" t="s">
        <v>85</v>
      </c>
    </row>
    <row r="505" spans="1:51" s="1" customFormat="1" ht="16.5" x14ac:dyDescent="0.3">
      <c r="A505" s="92"/>
      <c r="B505" s="92"/>
      <c r="C505" s="92"/>
      <c r="D505" s="92"/>
      <c r="E505" s="92"/>
      <c r="F505" s="92"/>
      <c r="G505" s="92"/>
      <c r="H505" s="92"/>
      <c r="I505" s="92"/>
      <c r="J505" s="92"/>
      <c r="K505" s="92"/>
      <c r="L505" s="92"/>
      <c r="M505" s="92"/>
      <c r="N505" s="92"/>
      <c r="O505" s="92"/>
      <c r="P505" s="92"/>
      <c r="Q505" s="92"/>
      <c r="R505" s="92"/>
      <c r="S505" s="92"/>
      <c r="T505" s="92"/>
      <c r="U505" s="92"/>
      <c r="V505" s="92"/>
      <c r="W505" s="92"/>
      <c r="X505" s="92"/>
      <c r="Y505" s="92"/>
      <c r="Z505" s="92"/>
      <c r="AA505" s="92"/>
      <c r="AB505" s="92"/>
      <c r="AC505" s="92"/>
      <c r="AD505" s="92"/>
      <c r="AE505" s="92"/>
      <c r="AF505" s="92"/>
      <c r="AG505" s="92"/>
      <c r="AH505" s="92"/>
      <c r="AI505" s="92"/>
      <c r="AJ505" s="92"/>
      <c r="AK505" s="92"/>
      <c r="AL505" s="92"/>
      <c r="AM505" s="92"/>
      <c r="AN505" s="92"/>
      <c r="AO505" s="92"/>
      <c r="AP505" s="92"/>
      <c r="AQ505" s="92"/>
      <c r="AR505" s="92"/>
      <c r="AS505" s="92"/>
      <c r="AT505" s="92"/>
      <c r="AU505" s="92"/>
      <c r="AV505" s="92"/>
      <c r="AX505" s="62" t="s">
        <v>85</v>
      </c>
      <c r="AY505" s="62" t="s">
        <v>85</v>
      </c>
    </row>
    <row r="506" spans="1:51" s="1" customFormat="1" ht="16.5" x14ac:dyDescent="0.3">
      <c r="A506" s="92"/>
      <c r="B506" s="92"/>
      <c r="C506" s="92"/>
      <c r="D506" s="92"/>
      <c r="E506" s="92"/>
      <c r="F506" s="92"/>
      <c r="G506" s="92"/>
      <c r="H506" s="92"/>
      <c r="I506" s="92"/>
      <c r="J506" s="92"/>
      <c r="K506" s="92"/>
      <c r="L506" s="92"/>
      <c r="M506" s="92"/>
      <c r="N506" s="92"/>
      <c r="O506" s="92"/>
      <c r="P506" s="92"/>
      <c r="Q506" s="92"/>
      <c r="R506" s="92"/>
      <c r="S506" s="92"/>
      <c r="T506" s="92"/>
      <c r="U506" s="92"/>
      <c r="V506" s="92"/>
      <c r="W506" s="92"/>
      <c r="X506" s="92"/>
      <c r="Y506" s="92"/>
      <c r="Z506" s="92"/>
      <c r="AA506" s="92"/>
      <c r="AB506" s="92"/>
      <c r="AC506" s="92"/>
      <c r="AD506" s="92"/>
      <c r="AE506" s="92"/>
      <c r="AF506" s="92"/>
      <c r="AG506" s="92"/>
      <c r="AH506" s="92"/>
      <c r="AI506" s="92"/>
      <c r="AJ506" s="92"/>
      <c r="AK506" s="92"/>
      <c r="AL506" s="92"/>
      <c r="AM506" s="92"/>
      <c r="AN506" s="92"/>
      <c r="AO506" s="92"/>
      <c r="AP506" s="92"/>
      <c r="AQ506" s="92"/>
      <c r="AR506" s="92"/>
      <c r="AS506" s="92"/>
      <c r="AT506" s="92"/>
      <c r="AU506" s="92"/>
      <c r="AV506" s="92"/>
      <c r="AX506" s="62" t="s">
        <v>85</v>
      </c>
      <c r="AY506" s="62" t="s">
        <v>85</v>
      </c>
    </row>
    <row r="507" spans="1:51" s="1" customFormat="1" ht="16.5" x14ac:dyDescent="0.3">
      <c r="A507" s="92"/>
      <c r="B507" s="92"/>
      <c r="C507" s="92"/>
      <c r="D507" s="92"/>
      <c r="E507" s="92"/>
      <c r="F507" s="92"/>
      <c r="G507" s="92"/>
      <c r="H507" s="92"/>
      <c r="I507" s="92"/>
      <c r="J507" s="92"/>
      <c r="K507" s="92"/>
      <c r="L507" s="92"/>
      <c r="M507" s="92"/>
      <c r="N507" s="92"/>
      <c r="O507" s="92"/>
      <c r="P507" s="92"/>
      <c r="Q507" s="92"/>
      <c r="R507" s="92"/>
      <c r="S507" s="92"/>
      <c r="T507" s="92"/>
      <c r="U507" s="92"/>
      <c r="V507" s="92"/>
      <c r="W507" s="92"/>
      <c r="X507" s="92"/>
      <c r="Y507" s="92"/>
      <c r="Z507" s="92"/>
      <c r="AA507" s="92"/>
      <c r="AB507" s="92"/>
      <c r="AC507" s="92"/>
      <c r="AD507" s="92"/>
      <c r="AE507" s="92"/>
      <c r="AF507" s="92"/>
      <c r="AG507" s="92"/>
      <c r="AH507" s="92"/>
      <c r="AI507" s="92"/>
      <c r="AJ507" s="92"/>
      <c r="AK507" s="92"/>
      <c r="AL507" s="92"/>
      <c r="AM507" s="92"/>
      <c r="AN507" s="92"/>
      <c r="AO507" s="92"/>
      <c r="AP507" s="92"/>
      <c r="AQ507" s="92"/>
      <c r="AR507" s="92"/>
      <c r="AS507" s="92"/>
      <c r="AT507" s="92"/>
      <c r="AU507" s="92"/>
      <c r="AV507" s="92"/>
      <c r="AX507" s="62" t="s">
        <v>85</v>
      </c>
      <c r="AY507" s="62" t="s">
        <v>85</v>
      </c>
    </row>
    <row r="508" spans="1:51" s="1" customFormat="1" ht="16.5" x14ac:dyDescent="0.3">
      <c r="A508" s="92"/>
      <c r="B508" s="92"/>
      <c r="C508" s="92"/>
      <c r="D508" s="92"/>
      <c r="E508" s="92"/>
      <c r="F508" s="92"/>
      <c r="G508" s="92"/>
      <c r="H508" s="92"/>
      <c r="I508" s="92"/>
      <c r="J508" s="92"/>
      <c r="K508" s="92"/>
      <c r="L508" s="92"/>
      <c r="M508" s="92"/>
      <c r="N508" s="92"/>
      <c r="O508" s="92"/>
      <c r="P508" s="92"/>
      <c r="Q508" s="92"/>
      <c r="R508" s="92"/>
      <c r="S508" s="92"/>
      <c r="T508" s="92"/>
      <c r="U508" s="92"/>
      <c r="V508" s="92"/>
      <c r="W508" s="92"/>
      <c r="X508" s="92"/>
      <c r="Y508" s="92"/>
      <c r="Z508" s="92"/>
      <c r="AA508" s="92"/>
      <c r="AB508" s="92"/>
      <c r="AC508" s="92"/>
      <c r="AD508" s="92"/>
      <c r="AE508" s="92"/>
      <c r="AF508" s="92"/>
      <c r="AG508" s="92"/>
      <c r="AH508" s="92"/>
      <c r="AI508" s="92"/>
      <c r="AJ508" s="92"/>
      <c r="AK508" s="92"/>
      <c r="AL508" s="92"/>
      <c r="AM508" s="92"/>
      <c r="AN508" s="92"/>
      <c r="AO508" s="92"/>
      <c r="AP508" s="92"/>
      <c r="AQ508" s="92"/>
      <c r="AR508" s="92"/>
      <c r="AS508" s="92"/>
      <c r="AT508" s="92"/>
      <c r="AU508" s="92"/>
      <c r="AV508" s="92"/>
      <c r="AX508" s="62" t="s">
        <v>85</v>
      </c>
      <c r="AY508" s="62" t="s">
        <v>85</v>
      </c>
    </row>
    <row r="509" spans="1:51" s="1" customFormat="1" ht="16.5" x14ac:dyDescent="0.3">
      <c r="A509" s="92"/>
      <c r="B509" s="92"/>
      <c r="C509" s="92"/>
      <c r="D509" s="92"/>
      <c r="E509" s="92"/>
      <c r="F509" s="92"/>
      <c r="G509" s="92"/>
      <c r="H509" s="92"/>
      <c r="I509" s="92"/>
      <c r="J509" s="92"/>
      <c r="K509" s="92"/>
      <c r="L509" s="92"/>
      <c r="M509" s="92"/>
      <c r="N509" s="92"/>
      <c r="O509" s="92"/>
      <c r="P509" s="92"/>
      <c r="Q509" s="92"/>
      <c r="R509" s="92"/>
      <c r="S509" s="92"/>
      <c r="T509" s="92"/>
      <c r="U509" s="92"/>
      <c r="V509" s="92"/>
      <c r="W509" s="92"/>
      <c r="X509" s="92"/>
      <c r="Y509" s="92"/>
      <c r="Z509" s="92"/>
      <c r="AA509" s="92"/>
      <c r="AB509" s="92"/>
      <c r="AC509" s="92"/>
      <c r="AD509" s="92"/>
      <c r="AE509" s="92"/>
      <c r="AF509" s="92"/>
      <c r="AG509" s="92"/>
      <c r="AH509" s="92"/>
      <c r="AI509" s="92"/>
      <c r="AJ509" s="92"/>
      <c r="AK509" s="92"/>
      <c r="AL509" s="92"/>
      <c r="AM509" s="92"/>
      <c r="AN509" s="92"/>
      <c r="AO509" s="92"/>
      <c r="AP509" s="92"/>
      <c r="AQ509" s="92"/>
      <c r="AR509" s="92"/>
      <c r="AS509" s="92"/>
      <c r="AT509" s="92"/>
      <c r="AU509" s="92"/>
      <c r="AV509" s="92"/>
      <c r="AX509" s="62" t="s">
        <v>85</v>
      </c>
      <c r="AY509" s="62" t="s">
        <v>85</v>
      </c>
    </row>
    <row r="510" spans="1:51" s="1" customFormat="1" ht="16.5" x14ac:dyDescent="0.3">
      <c r="A510" s="92"/>
      <c r="B510" s="92"/>
      <c r="C510" s="92"/>
      <c r="D510" s="92"/>
      <c r="E510" s="92"/>
      <c r="F510" s="92"/>
      <c r="G510" s="92"/>
      <c r="H510" s="92"/>
      <c r="I510" s="92"/>
      <c r="J510" s="92"/>
      <c r="K510" s="92"/>
      <c r="L510" s="92"/>
      <c r="M510" s="92"/>
      <c r="N510" s="92"/>
      <c r="O510" s="92"/>
      <c r="P510" s="92"/>
      <c r="Q510" s="92"/>
      <c r="R510" s="92"/>
      <c r="S510" s="92"/>
      <c r="T510" s="92"/>
      <c r="U510" s="92"/>
      <c r="V510" s="92"/>
      <c r="W510" s="92"/>
      <c r="X510" s="92"/>
      <c r="Y510" s="92"/>
      <c r="Z510" s="92"/>
      <c r="AA510" s="92"/>
      <c r="AB510" s="92"/>
      <c r="AC510" s="92"/>
      <c r="AD510" s="92"/>
      <c r="AE510" s="92"/>
      <c r="AF510" s="92"/>
      <c r="AG510" s="92"/>
      <c r="AH510" s="92"/>
      <c r="AI510" s="92"/>
      <c r="AJ510" s="92"/>
      <c r="AK510" s="92"/>
      <c r="AL510" s="92"/>
      <c r="AM510" s="92"/>
      <c r="AN510" s="92"/>
      <c r="AO510" s="92"/>
      <c r="AP510" s="92"/>
      <c r="AQ510" s="92"/>
      <c r="AR510" s="92"/>
      <c r="AS510" s="92"/>
      <c r="AT510" s="92"/>
      <c r="AU510" s="92"/>
      <c r="AV510" s="92"/>
      <c r="AX510" s="62" t="s">
        <v>85</v>
      </c>
      <c r="AY510" s="62" t="s">
        <v>85</v>
      </c>
    </row>
    <row r="511" spans="1:51" s="1" customFormat="1" ht="16.5" x14ac:dyDescent="0.3">
      <c r="A511" s="92"/>
      <c r="B511" s="92"/>
      <c r="C511" s="92"/>
      <c r="D511" s="92"/>
      <c r="E511" s="92"/>
      <c r="F511" s="92"/>
      <c r="G511" s="92"/>
      <c r="H511" s="92"/>
      <c r="I511" s="92"/>
      <c r="J511" s="92"/>
      <c r="K511" s="92"/>
      <c r="L511" s="92"/>
      <c r="M511" s="92"/>
      <c r="N511" s="92"/>
      <c r="O511" s="92"/>
      <c r="P511" s="92"/>
      <c r="Q511" s="92"/>
      <c r="R511" s="92"/>
      <c r="S511" s="92"/>
      <c r="T511" s="92"/>
      <c r="U511" s="92"/>
      <c r="V511" s="92"/>
      <c r="W511" s="92"/>
      <c r="X511" s="92"/>
      <c r="Y511" s="92"/>
      <c r="Z511" s="92"/>
      <c r="AA511" s="92"/>
      <c r="AB511" s="92"/>
      <c r="AC511" s="92"/>
      <c r="AD511" s="92"/>
      <c r="AE511" s="92"/>
      <c r="AF511" s="92"/>
      <c r="AG511" s="92"/>
      <c r="AH511" s="92"/>
      <c r="AI511" s="92"/>
      <c r="AJ511" s="92"/>
      <c r="AK511" s="92"/>
      <c r="AL511" s="92"/>
      <c r="AM511" s="92"/>
      <c r="AN511" s="92"/>
      <c r="AO511" s="92"/>
      <c r="AP511" s="92"/>
      <c r="AQ511" s="92"/>
      <c r="AR511" s="92"/>
      <c r="AS511" s="92"/>
      <c r="AT511" s="92"/>
      <c r="AU511" s="92"/>
      <c r="AV511" s="92"/>
      <c r="AX511" s="62" t="s">
        <v>85</v>
      </c>
      <c r="AY511" s="62" t="s">
        <v>85</v>
      </c>
    </row>
    <row r="512" spans="1:51" s="1" customFormat="1" ht="16.5" x14ac:dyDescent="0.3">
      <c r="A512" s="92"/>
      <c r="B512" s="92"/>
      <c r="C512" s="92"/>
      <c r="D512" s="92"/>
      <c r="E512" s="92"/>
      <c r="F512" s="92"/>
      <c r="G512" s="92"/>
      <c r="H512" s="92"/>
      <c r="I512" s="92"/>
      <c r="J512" s="92"/>
      <c r="K512" s="92"/>
      <c r="L512" s="92"/>
      <c r="M512" s="92"/>
      <c r="N512" s="92"/>
      <c r="O512" s="92"/>
      <c r="P512" s="92"/>
      <c r="Q512" s="92"/>
      <c r="R512" s="92"/>
      <c r="S512" s="92"/>
      <c r="T512" s="92"/>
      <c r="U512" s="92"/>
      <c r="V512" s="92"/>
      <c r="W512" s="92"/>
      <c r="X512" s="92"/>
      <c r="Y512" s="92"/>
      <c r="Z512" s="92"/>
      <c r="AA512" s="92"/>
      <c r="AB512" s="92"/>
      <c r="AC512" s="92"/>
      <c r="AD512" s="92"/>
      <c r="AE512" s="92"/>
      <c r="AF512" s="92"/>
      <c r="AG512" s="92"/>
      <c r="AH512" s="92"/>
      <c r="AI512" s="92"/>
      <c r="AJ512" s="92"/>
      <c r="AK512" s="92"/>
      <c r="AL512" s="92"/>
      <c r="AM512" s="92"/>
      <c r="AN512" s="92"/>
      <c r="AO512" s="92"/>
      <c r="AP512" s="92"/>
      <c r="AQ512" s="92"/>
      <c r="AR512" s="92"/>
      <c r="AS512" s="92"/>
      <c r="AT512" s="92"/>
      <c r="AU512" s="92"/>
      <c r="AV512" s="92"/>
      <c r="AX512" s="62" t="s">
        <v>85</v>
      </c>
      <c r="AY512" s="62" t="s">
        <v>85</v>
      </c>
    </row>
    <row r="513" spans="1:58" s="1" customFormat="1" ht="16.5" x14ac:dyDescent="0.3">
      <c r="A513" s="92"/>
      <c r="B513" s="92"/>
      <c r="C513" s="92"/>
      <c r="D513" s="92"/>
      <c r="E513" s="92"/>
      <c r="F513" s="92"/>
      <c r="G513" s="92"/>
      <c r="H513" s="92"/>
      <c r="I513" s="92"/>
      <c r="J513" s="92"/>
      <c r="K513" s="92"/>
      <c r="L513" s="92"/>
      <c r="M513" s="92"/>
      <c r="N513" s="92"/>
      <c r="O513" s="92"/>
      <c r="P513" s="92"/>
      <c r="Q513" s="92"/>
      <c r="R513" s="92"/>
      <c r="S513" s="92"/>
      <c r="T513" s="92"/>
      <c r="U513" s="92"/>
      <c r="V513" s="92"/>
      <c r="W513" s="92"/>
      <c r="X513" s="92"/>
      <c r="Y513" s="92"/>
      <c r="Z513" s="92"/>
      <c r="AA513" s="92"/>
      <c r="AB513" s="92"/>
      <c r="AC513" s="92"/>
      <c r="AD513" s="92"/>
      <c r="AE513" s="92"/>
      <c r="AF513" s="92"/>
      <c r="AG513" s="92"/>
      <c r="AH513" s="92"/>
      <c r="AI513" s="92"/>
      <c r="AJ513" s="92"/>
      <c r="AK513" s="92"/>
      <c r="AL513" s="92"/>
      <c r="AM513" s="92"/>
      <c r="AN513" s="92"/>
      <c r="AO513" s="92"/>
      <c r="AP513" s="92"/>
      <c r="AQ513" s="92"/>
      <c r="AR513" s="92"/>
      <c r="AS513" s="92"/>
      <c r="AT513" s="92"/>
      <c r="AU513" s="92"/>
      <c r="AV513" s="92"/>
      <c r="AX513" s="62" t="s">
        <v>85</v>
      </c>
      <c r="AY513" s="62" t="s">
        <v>85</v>
      </c>
    </row>
    <row r="514" spans="1:58" s="1" customFormat="1" ht="16.5" x14ac:dyDescent="0.3">
      <c r="A514" s="92"/>
      <c r="B514" s="92"/>
      <c r="C514" s="92"/>
      <c r="D514" s="92"/>
      <c r="E514" s="92"/>
      <c r="F514" s="92"/>
      <c r="G514" s="92"/>
      <c r="H514" s="92"/>
      <c r="I514" s="92"/>
      <c r="J514" s="92"/>
      <c r="K514" s="92"/>
      <c r="L514" s="92"/>
      <c r="M514" s="92"/>
      <c r="N514" s="92"/>
      <c r="O514" s="92"/>
      <c r="P514" s="92"/>
      <c r="Q514" s="92"/>
      <c r="R514" s="92"/>
      <c r="S514" s="92"/>
      <c r="T514" s="92"/>
      <c r="U514" s="92"/>
      <c r="V514" s="92"/>
      <c r="W514" s="92"/>
      <c r="X514" s="92"/>
      <c r="Y514" s="92"/>
      <c r="Z514" s="92"/>
      <c r="AA514" s="92"/>
      <c r="AB514" s="92"/>
      <c r="AC514" s="92"/>
      <c r="AD514" s="92"/>
      <c r="AE514" s="92"/>
      <c r="AF514" s="92"/>
      <c r="AG514" s="92"/>
      <c r="AH514" s="92"/>
      <c r="AI514" s="92"/>
      <c r="AJ514" s="92"/>
      <c r="AK514" s="92"/>
      <c r="AL514" s="92"/>
      <c r="AM514" s="92"/>
      <c r="AN514" s="92"/>
      <c r="AO514" s="92"/>
      <c r="AP514" s="92"/>
      <c r="AQ514" s="92"/>
      <c r="AR514" s="92"/>
      <c r="AS514" s="92"/>
      <c r="AT514" s="92"/>
      <c r="AU514" s="92"/>
      <c r="AV514" s="92"/>
      <c r="AX514" s="62" t="s">
        <v>85</v>
      </c>
      <c r="AY514" s="62" t="s">
        <v>85</v>
      </c>
    </row>
    <row r="515" spans="1:58" s="1" customFormat="1" ht="16.5" x14ac:dyDescent="0.3">
      <c r="A515" s="92"/>
      <c r="B515" s="92"/>
      <c r="C515" s="92"/>
      <c r="D515" s="92"/>
      <c r="E515" s="92"/>
      <c r="F515" s="92"/>
      <c r="G515" s="92"/>
      <c r="H515" s="92"/>
      <c r="I515" s="92"/>
      <c r="J515" s="92"/>
      <c r="K515" s="92"/>
      <c r="L515" s="92"/>
      <c r="M515" s="92"/>
      <c r="N515" s="92"/>
      <c r="O515" s="92"/>
      <c r="P515" s="92"/>
      <c r="Q515" s="92"/>
      <c r="R515" s="92"/>
      <c r="S515" s="92"/>
      <c r="T515" s="92"/>
      <c r="U515" s="92"/>
      <c r="V515" s="92"/>
      <c r="W515" s="92"/>
      <c r="X515" s="92"/>
      <c r="Y515" s="92"/>
      <c r="Z515" s="92"/>
      <c r="AA515" s="92"/>
      <c r="AB515" s="92"/>
      <c r="AC515" s="92"/>
      <c r="AD515" s="92"/>
      <c r="AE515" s="92"/>
      <c r="AF515" s="92"/>
      <c r="AG515" s="92"/>
      <c r="AH515" s="92"/>
      <c r="AI515" s="92"/>
      <c r="AJ515" s="92"/>
      <c r="AK515" s="92"/>
      <c r="AL515" s="92"/>
      <c r="AM515" s="92"/>
      <c r="AN515" s="92"/>
      <c r="AO515" s="92"/>
      <c r="AP515" s="92"/>
      <c r="AQ515" s="92"/>
      <c r="AR515" s="92"/>
      <c r="AS515" s="92"/>
      <c r="AT515" s="92"/>
      <c r="AU515" s="92"/>
      <c r="AV515" s="92"/>
      <c r="AX515" s="62" t="s">
        <v>85</v>
      </c>
      <c r="AY515" s="62" t="s">
        <v>85</v>
      </c>
    </row>
    <row r="516" spans="1:58" s="1" customFormat="1" ht="16.5" x14ac:dyDescent="0.3">
      <c r="A516" s="92"/>
      <c r="B516" s="92"/>
      <c r="C516" s="92"/>
      <c r="D516" s="92"/>
      <c r="E516" s="92"/>
      <c r="F516" s="92"/>
      <c r="G516" s="92"/>
      <c r="H516" s="92"/>
      <c r="I516" s="92"/>
      <c r="J516" s="92"/>
      <c r="K516" s="92"/>
      <c r="L516" s="92"/>
      <c r="M516" s="92"/>
      <c r="N516" s="92"/>
      <c r="O516" s="92"/>
      <c r="P516" s="92"/>
      <c r="Q516" s="92"/>
      <c r="R516" s="92"/>
      <c r="S516" s="92"/>
      <c r="T516" s="92"/>
      <c r="U516" s="92"/>
      <c r="V516" s="92"/>
      <c r="W516" s="92"/>
      <c r="X516" s="92"/>
      <c r="Y516" s="92"/>
      <c r="Z516" s="92"/>
      <c r="AA516" s="92"/>
      <c r="AB516" s="92"/>
      <c r="AC516" s="92"/>
      <c r="AD516" s="92"/>
      <c r="AE516" s="92"/>
      <c r="AF516" s="92"/>
      <c r="AG516" s="92"/>
      <c r="AH516" s="92"/>
      <c r="AI516" s="92"/>
      <c r="AJ516" s="92"/>
      <c r="AK516" s="92"/>
      <c r="AL516" s="92"/>
      <c r="AM516" s="92"/>
      <c r="AN516" s="92"/>
      <c r="AO516" s="92"/>
      <c r="AP516" s="92"/>
      <c r="AQ516" s="92"/>
      <c r="AR516" s="92"/>
      <c r="AS516" s="92"/>
      <c r="AT516" s="92"/>
      <c r="AU516" s="92"/>
      <c r="AV516" s="92"/>
      <c r="AX516" s="62" t="s">
        <v>85</v>
      </c>
      <c r="AY516" s="62" t="s">
        <v>85</v>
      </c>
    </row>
    <row r="517" spans="1:58" s="1" customFormat="1" ht="16.5" x14ac:dyDescent="0.3">
      <c r="A517" s="92"/>
      <c r="B517" s="92"/>
      <c r="C517" s="92"/>
      <c r="D517" s="92"/>
      <c r="E517" s="92"/>
      <c r="F517" s="92"/>
      <c r="G517" s="92"/>
      <c r="H517" s="92"/>
      <c r="I517" s="92"/>
      <c r="J517" s="92"/>
      <c r="K517" s="92"/>
      <c r="L517" s="92"/>
      <c r="M517" s="92"/>
      <c r="N517" s="92"/>
      <c r="O517" s="92"/>
      <c r="P517" s="92"/>
      <c r="Q517" s="92"/>
      <c r="R517" s="92"/>
      <c r="S517" s="92"/>
      <c r="T517" s="92"/>
      <c r="U517" s="92"/>
      <c r="V517" s="92"/>
      <c r="W517" s="92"/>
      <c r="X517" s="92"/>
      <c r="Y517" s="92"/>
      <c r="Z517" s="92"/>
      <c r="AA517" s="92"/>
      <c r="AB517" s="92"/>
      <c r="AC517" s="92"/>
      <c r="AD517" s="92"/>
      <c r="AE517" s="92"/>
      <c r="AF517" s="92"/>
      <c r="AG517" s="92"/>
      <c r="AH517" s="92"/>
      <c r="AI517" s="92"/>
      <c r="AJ517" s="92"/>
      <c r="AK517" s="92"/>
      <c r="AL517" s="92"/>
      <c r="AM517" s="92"/>
      <c r="AN517" s="92"/>
      <c r="AO517" s="92"/>
      <c r="AP517" s="92"/>
      <c r="AQ517" s="92"/>
      <c r="AR517" s="92"/>
      <c r="AS517" s="92"/>
      <c r="AT517" s="92"/>
      <c r="AU517" s="92"/>
      <c r="AV517" s="92"/>
      <c r="AX517" s="62" t="s">
        <v>85</v>
      </c>
      <c r="AY517" s="62" t="s">
        <v>85</v>
      </c>
    </row>
    <row r="518" spans="1:58" s="1" customFormat="1" ht="16.5" x14ac:dyDescent="0.3">
      <c r="A518" s="92"/>
      <c r="B518" s="92"/>
      <c r="C518" s="92"/>
      <c r="D518" s="92"/>
      <c r="E518" s="92"/>
      <c r="F518" s="92"/>
      <c r="G518" s="92"/>
      <c r="H518" s="92"/>
      <c r="I518" s="92"/>
      <c r="J518" s="92"/>
      <c r="K518" s="92"/>
      <c r="L518" s="92"/>
      <c r="M518" s="92"/>
      <c r="N518" s="92"/>
      <c r="O518" s="92"/>
      <c r="P518" s="92"/>
      <c r="Q518" s="92"/>
      <c r="R518" s="92"/>
      <c r="S518" s="92"/>
      <c r="T518" s="92"/>
      <c r="U518" s="92"/>
      <c r="V518" s="92"/>
      <c r="W518" s="92"/>
      <c r="X518" s="92"/>
      <c r="Y518" s="92"/>
      <c r="Z518" s="92"/>
      <c r="AA518" s="92"/>
      <c r="AB518" s="92"/>
      <c r="AC518" s="92"/>
      <c r="AD518" s="92"/>
      <c r="AE518" s="92"/>
      <c r="AF518" s="92"/>
      <c r="AG518" s="92"/>
      <c r="AH518" s="92"/>
      <c r="AI518" s="92"/>
      <c r="AJ518" s="92"/>
      <c r="AK518" s="92"/>
      <c r="AL518" s="92"/>
      <c r="AM518" s="92"/>
      <c r="AN518" s="92"/>
      <c r="AO518" s="92"/>
      <c r="AP518" s="92"/>
      <c r="AQ518" s="92"/>
      <c r="AR518" s="92"/>
      <c r="AS518" s="92"/>
      <c r="AT518" s="92"/>
      <c r="AU518" s="92"/>
      <c r="AV518" s="92"/>
      <c r="AX518" s="62" t="s">
        <v>85</v>
      </c>
      <c r="AY518" s="62" t="s">
        <v>85</v>
      </c>
    </row>
    <row r="519" spans="1:58" s="1" customFormat="1" ht="16.5" x14ac:dyDescent="0.3">
      <c r="A519" s="92"/>
      <c r="B519" s="92"/>
      <c r="C519" s="92"/>
      <c r="D519" s="92"/>
      <c r="E519" s="92"/>
      <c r="F519" s="92"/>
      <c r="G519" s="92"/>
      <c r="H519" s="92"/>
      <c r="I519" s="92"/>
      <c r="J519" s="92"/>
      <c r="K519" s="92"/>
      <c r="L519" s="92"/>
      <c r="M519" s="92"/>
      <c r="N519" s="92"/>
      <c r="O519" s="92"/>
      <c r="P519" s="92"/>
      <c r="Q519" s="92"/>
      <c r="R519" s="92"/>
      <c r="S519" s="92"/>
      <c r="T519" s="92"/>
      <c r="U519" s="92"/>
      <c r="V519" s="92"/>
      <c r="W519" s="92"/>
      <c r="X519" s="92"/>
      <c r="Y519" s="92"/>
      <c r="Z519" s="92"/>
      <c r="AA519" s="92"/>
      <c r="AB519" s="92"/>
      <c r="AC519" s="92"/>
      <c r="AD519" s="92"/>
      <c r="AE519" s="92"/>
      <c r="AF519" s="92"/>
      <c r="AG519" s="92"/>
      <c r="AH519" s="92"/>
      <c r="AI519" s="92"/>
      <c r="AJ519" s="92"/>
      <c r="AK519" s="92"/>
      <c r="AL519" s="92"/>
      <c r="AM519" s="92"/>
      <c r="AN519" s="92"/>
      <c r="AO519" s="92"/>
      <c r="AP519" s="92"/>
      <c r="AQ519" s="92"/>
      <c r="AR519" s="92"/>
      <c r="AS519" s="92"/>
      <c r="AT519" s="92"/>
      <c r="AU519" s="92"/>
      <c r="AV519" s="92"/>
      <c r="AX519" s="62" t="s">
        <v>85</v>
      </c>
      <c r="AY519" s="62" t="s">
        <v>85</v>
      </c>
    </row>
    <row r="520" spans="1:58" s="1" customFormat="1" ht="16.5" x14ac:dyDescent="0.3">
      <c r="A520" s="92"/>
      <c r="B520" s="92"/>
      <c r="C520" s="92"/>
      <c r="D520" s="92"/>
      <c r="E520" s="92"/>
      <c r="F520" s="92"/>
      <c r="G520" s="92"/>
      <c r="H520" s="92"/>
      <c r="I520" s="92"/>
      <c r="J520" s="92"/>
      <c r="K520" s="92"/>
      <c r="L520" s="92"/>
      <c r="M520" s="92"/>
      <c r="N520" s="92"/>
      <c r="O520" s="92"/>
      <c r="P520" s="92"/>
      <c r="Q520" s="92"/>
      <c r="R520" s="92"/>
      <c r="S520" s="92"/>
      <c r="T520" s="92"/>
      <c r="U520" s="92"/>
      <c r="V520" s="92"/>
      <c r="W520" s="92"/>
      <c r="X520" s="92"/>
      <c r="Y520" s="92"/>
      <c r="Z520" s="92"/>
      <c r="AA520" s="92"/>
      <c r="AB520" s="92"/>
      <c r="AC520" s="92"/>
      <c r="AD520" s="92"/>
      <c r="AE520" s="92"/>
      <c r="AF520" s="92"/>
      <c r="AG520" s="92"/>
      <c r="AH520" s="92"/>
      <c r="AI520" s="92"/>
      <c r="AJ520" s="92"/>
      <c r="AK520" s="92"/>
      <c r="AL520" s="92"/>
      <c r="AM520" s="92"/>
      <c r="AN520" s="92"/>
      <c r="AO520" s="92"/>
      <c r="AP520" s="92"/>
      <c r="AQ520" s="92"/>
      <c r="AR520" s="92"/>
      <c r="AS520" s="92"/>
      <c r="AT520" s="92"/>
      <c r="AU520" s="92"/>
      <c r="AV520" s="92"/>
      <c r="AX520" s="62" t="s">
        <v>85</v>
      </c>
      <c r="AY520" s="62" t="s">
        <v>85</v>
      </c>
    </row>
    <row r="521" spans="1:58" s="1" customFormat="1" ht="16.5" x14ac:dyDescent="0.3">
      <c r="A521" s="92"/>
      <c r="B521" s="92"/>
      <c r="C521" s="92"/>
      <c r="D521" s="92"/>
      <c r="E521" s="92"/>
      <c r="F521" s="92"/>
      <c r="G521" s="92"/>
      <c r="H521" s="92"/>
      <c r="I521" s="92"/>
      <c r="J521" s="92"/>
      <c r="K521" s="92"/>
      <c r="L521" s="92"/>
      <c r="M521" s="92"/>
      <c r="N521" s="92"/>
      <c r="O521" s="92"/>
      <c r="P521" s="92"/>
      <c r="Q521" s="92"/>
      <c r="R521" s="92"/>
      <c r="S521" s="92"/>
      <c r="T521" s="92"/>
      <c r="U521" s="92"/>
      <c r="V521" s="92"/>
      <c r="W521" s="92"/>
      <c r="X521" s="92"/>
      <c r="Y521" s="92"/>
      <c r="Z521" s="92"/>
      <c r="AA521" s="92"/>
      <c r="AB521" s="92"/>
      <c r="AC521" s="92"/>
      <c r="AD521" s="92"/>
      <c r="AE521" s="92"/>
      <c r="AF521" s="92"/>
      <c r="AG521" s="92"/>
      <c r="AH521" s="92"/>
      <c r="AI521" s="92"/>
      <c r="AJ521" s="92"/>
      <c r="AK521" s="92"/>
      <c r="AL521" s="92"/>
      <c r="AM521" s="92"/>
      <c r="AN521" s="92"/>
      <c r="AO521" s="92"/>
      <c r="AP521" s="92"/>
      <c r="AQ521" s="92"/>
      <c r="AR521" s="92"/>
      <c r="AS521" s="92"/>
      <c r="AT521" s="92"/>
      <c r="AU521" s="92"/>
      <c r="AV521" s="92"/>
      <c r="AX521" s="62" t="s">
        <v>85</v>
      </c>
      <c r="AY521" s="62" t="s">
        <v>85</v>
      </c>
    </row>
    <row r="522" spans="1:58" s="1" customFormat="1" ht="16.5" x14ac:dyDescent="0.3">
      <c r="A522" s="92"/>
      <c r="B522" s="92"/>
      <c r="C522" s="92"/>
      <c r="D522" s="92"/>
      <c r="E522" s="92"/>
      <c r="F522" s="92"/>
      <c r="G522" s="92"/>
      <c r="H522" s="92"/>
      <c r="I522" s="92"/>
      <c r="J522" s="92"/>
      <c r="K522" s="92"/>
      <c r="L522" s="92"/>
      <c r="M522" s="92"/>
      <c r="N522" s="92"/>
      <c r="O522" s="92"/>
      <c r="P522" s="92"/>
      <c r="Q522" s="92"/>
      <c r="R522" s="92"/>
      <c r="S522" s="92"/>
      <c r="T522" s="92"/>
      <c r="U522" s="92"/>
      <c r="V522" s="92"/>
      <c r="W522" s="92"/>
      <c r="X522" s="92"/>
      <c r="Y522" s="92"/>
      <c r="Z522" s="92"/>
      <c r="AA522" s="92"/>
      <c r="AB522" s="92"/>
      <c r="AC522" s="92"/>
      <c r="AD522" s="92"/>
      <c r="AE522" s="92"/>
      <c r="AF522" s="92"/>
      <c r="AG522" s="92"/>
      <c r="AH522" s="92"/>
      <c r="AI522" s="92"/>
      <c r="AJ522" s="92"/>
      <c r="AK522" s="92"/>
      <c r="AL522" s="92"/>
      <c r="AM522" s="92"/>
      <c r="AN522" s="92"/>
      <c r="AO522" s="92"/>
      <c r="AP522" s="92"/>
      <c r="AQ522" s="92"/>
      <c r="AR522" s="92"/>
      <c r="AS522" s="92"/>
      <c r="AT522" s="92"/>
      <c r="AU522" s="92"/>
      <c r="AV522" s="92"/>
      <c r="AX522" s="62" t="s">
        <v>85</v>
      </c>
      <c r="AY522" s="62" t="s">
        <v>85</v>
      </c>
    </row>
    <row r="523" spans="1:58" s="1" customFormat="1" ht="16.5" x14ac:dyDescent="0.3">
      <c r="A523" s="92"/>
      <c r="B523" s="92"/>
      <c r="C523" s="92"/>
      <c r="D523" s="92"/>
      <c r="E523" s="92"/>
      <c r="F523" s="92"/>
      <c r="G523" s="92"/>
      <c r="H523" s="92"/>
      <c r="I523" s="92"/>
      <c r="J523" s="92"/>
      <c r="K523" s="92"/>
      <c r="L523" s="92"/>
      <c r="M523" s="92"/>
      <c r="N523" s="92"/>
      <c r="O523" s="92"/>
      <c r="P523" s="92"/>
      <c r="Q523" s="92"/>
      <c r="R523" s="92"/>
      <c r="S523" s="92"/>
      <c r="T523" s="92"/>
      <c r="U523" s="92"/>
      <c r="V523" s="92"/>
      <c r="W523" s="92"/>
      <c r="X523" s="92"/>
      <c r="Y523" s="92"/>
      <c r="Z523" s="92"/>
      <c r="AA523" s="92"/>
      <c r="AB523" s="92"/>
      <c r="AC523" s="92"/>
      <c r="AD523" s="92"/>
      <c r="AE523" s="92"/>
      <c r="AF523" s="92"/>
      <c r="AG523" s="92"/>
      <c r="AH523" s="92"/>
      <c r="AI523" s="92"/>
      <c r="AJ523" s="92"/>
      <c r="AK523" s="92"/>
      <c r="AL523" s="92"/>
      <c r="AM523" s="92"/>
      <c r="AN523" s="92"/>
      <c r="AO523" s="92"/>
      <c r="AP523" s="92"/>
      <c r="AQ523" s="92"/>
      <c r="AR523" s="92"/>
      <c r="AS523" s="92"/>
      <c r="AT523" s="92"/>
      <c r="AU523" s="92"/>
      <c r="AV523" s="92"/>
      <c r="AX523" s="62" t="s">
        <v>85</v>
      </c>
      <c r="AY523" s="62" t="s">
        <v>85</v>
      </c>
    </row>
    <row r="524" spans="1:58" s="1" customFormat="1" ht="16.5" x14ac:dyDescent="0.3">
      <c r="A524" s="92"/>
      <c r="B524" s="92"/>
      <c r="C524" s="92"/>
      <c r="D524" s="92"/>
      <c r="E524" s="92"/>
      <c r="F524" s="92"/>
      <c r="G524" s="92"/>
      <c r="H524" s="92"/>
      <c r="I524" s="92"/>
      <c r="J524" s="92"/>
      <c r="K524" s="92"/>
      <c r="L524" s="92"/>
      <c r="M524" s="92"/>
      <c r="N524" s="92"/>
      <c r="O524" s="92"/>
      <c r="P524" s="92"/>
      <c r="Q524" s="92"/>
      <c r="R524" s="92"/>
      <c r="S524" s="92"/>
      <c r="T524" s="92"/>
      <c r="U524" s="92"/>
      <c r="V524" s="92"/>
      <c r="W524" s="92"/>
      <c r="X524" s="92"/>
      <c r="Y524" s="92"/>
      <c r="Z524" s="92"/>
      <c r="AA524" s="92"/>
      <c r="AB524" s="92"/>
      <c r="AC524" s="92"/>
      <c r="AD524" s="92"/>
      <c r="AE524" s="92"/>
      <c r="AF524" s="92"/>
      <c r="AG524" s="92"/>
      <c r="AH524" s="92"/>
      <c r="AI524" s="92"/>
      <c r="AJ524" s="92"/>
      <c r="AK524" s="92"/>
      <c r="AL524" s="92"/>
      <c r="AM524" s="92"/>
      <c r="AN524" s="92"/>
      <c r="AO524" s="92"/>
      <c r="AP524" s="92"/>
      <c r="AQ524" s="92"/>
      <c r="AR524" s="92"/>
      <c r="AS524" s="92"/>
      <c r="AT524" s="92"/>
      <c r="AU524" s="92"/>
      <c r="AV524" s="92"/>
      <c r="AX524" s="62" t="s">
        <v>85</v>
      </c>
      <c r="AY524" s="62" t="s">
        <v>85</v>
      </c>
    </row>
    <row r="525" spans="1:58" s="1" customFormat="1" ht="16.5" x14ac:dyDescent="0.3">
      <c r="A525" s="92"/>
      <c r="B525" s="92"/>
      <c r="C525" s="92"/>
      <c r="D525" s="92"/>
      <c r="E525" s="92"/>
      <c r="F525" s="92"/>
      <c r="G525" s="92"/>
      <c r="H525" s="92"/>
      <c r="I525" s="92"/>
      <c r="J525" s="92"/>
      <c r="K525" s="92"/>
      <c r="L525" s="92"/>
      <c r="M525" s="92"/>
      <c r="N525" s="92"/>
      <c r="O525" s="92"/>
      <c r="P525" s="92"/>
      <c r="Q525" s="92"/>
      <c r="R525" s="92"/>
      <c r="S525" s="92"/>
      <c r="T525" s="92"/>
      <c r="U525" s="92"/>
      <c r="V525" s="92"/>
      <c r="W525" s="92"/>
      <c r="X525" s="92"/>
      <c r="Y525" s="92"/>
      <c r="Z525" s="92"/>
      <c r="AA525" s="92"/>
      <c r="AB525" s="92"/>
      <c r="AC525" s="92"/>
      <c r="AD525" s="92"/>
      <c r="AE525" s="92"/>
      <c r="AF525" s="92"/>
      <c r="AG525" s="92"/>
      <c r="AH525" s="92"/>
      <c r="AI525" s="92"/>
      <c r="AJ525" s="92"/>
      <c r="AK525" s="92"/>
      <c r="AL525" s="92"/>
      <c r="AM525" s="92"/>
      <c r="AN525" s="92"/>
      <c r="AO525" s="92"/>
      <c r="AP525" s="92"/>
      <c r="AQ525" s="92"/>
      <c r="AR525" s="92"/>
      <c r="AS525" s="92"/>
      <c r="AT525" s="92"/>
      <c r="AU525" s="92"/>
      <c r="AV525" s="92"/>
      <c r="AX525" s="62" t="s">
        <v>85</v>
      </c>
      <c r="AY525" s="62" t="s">
        <v>85</v>
      </c>
    </row>
    <row r="526" spans="1:58" s="1" customFormat="1" ht="16.5" x14ac:dyDescent="0.3">
      <c r="A526" s="92"/>
      <c r="B526" s="92"/>
      <c r="C526" s="92"/>
      <c r="D526" s="92"/>
      <c r="E526" s="92"/>
      <c r="F526" s="92"/>
      <c r="G526" s="92"/>
      <c r="H526" s="92"/>
      <c r="I526" s="92"/>
      <c r="J526" s="92"/>
      <c r="K526" s="92"/>
      <c r="L526" s="92"/>
      <c r="M526" s="92"/>
      <c r="N526" s="92"/>
      <c r="O526" s="92"/>
      <c r="P526" s="92"/>
      <c r="Q526" s="92"/>
      <c r="R526" s="92"/>
      <c r="S526" s="92"/>
      <c r="T526" s="92"/>
      <c r="U526" s="92"/>
      <c r="V526" s="92"/>
      <c r="W526" s="92"/>
      <c r="X526" s="92"/>
      <c r="Y526" s="92"/>
      <c r="Z526" s="92"/>
      <c r="AA526" s="92"/>
      <c r="AB526" s="92"/>
      <c r="AC526" s="92"/>
      <c r="AD526" s="92"/>
      <c r="AE526" s="92"/>
      <c r="AF526" s="92"/>
      <c r="AG526" s="92"/>
      <c r="AH526" s="92"/>
      <c r="AI526" s="92"/>
      <c r="AJ526" s="92"/>
      <c r="AK526" s="92"/>
      <c r="AL526" s="92"/>
      <c r="AM526" s="92"/>
      <c r="AN526" s="92"/>
      <c r="AO526" s="92"/>
      <c r="AP526" s="92"/>
      <c r="AQ526" s="92"/>
      <c r="AR526" s="92"/>
      <c r="AS526" s="92"/>
      <c r="AT526" s="92"/>
      <c r="AU526" s="92"/>
      <c r="AV526" s="92"/>
      <c r="AX526" s="62" t="s">
        <v>85</v>
      </c>
      <c r="AY526" s="62" t="s">
        <v>85</v>
      </c>
    </row>
    <row r="527" spans="1:58" s="1" customFormat="1" ht="16.5" x14ac:dyDescent="0.3">
      <c r="A527" s="92"/>
      <c r="B527" s="92"/>
      <c r="C527" s="92"/>
      <c r="D527" s="92"/>
      <c r="E527" s="92"/>
      <c r="F527" s="92"/>
      <c r="G527" s="92"/>
      <c r="H527" s="92"/>
      <c r="I527" s="92"/>
      <c r="J527" s="92"/>
      <c r="K527" s="92"/>
      <c r="L527" s="92"/>
      <c r="M527" s="92"/>
      <c r="N527" s="92"/>
      <c r="O527" s="92"/>
      <c r="P527" s="92"/>
      <c r="Q527" s="92"/>
      <c r="R527" s="92"/>
      <c r="S527" s="92"/>
      <c r="T527" s="92"/>
      <c r="U527" s="92"/>
      <c r="V527" s="92"/>
      <c r="W527" s="92"/>
      <c r="X527" s="92"/>
      <c r="Y527" s="92"/>
      <c r="Z527" s="92"/>
      <c r="AA527" s="92"/>
      <c r="AB527" s="92"/>
      <c r="AC527" s="92"/>
      <c r="AD527" s="92"/>
      <c r="AE527" s="92"/>
      <c r="AF527" s="92"/>
      <c r="AG527" s="92"/>
      <c r="AH527" s="92"/>
      <c r="AI527" s="92"/>
      <c r="AJ527" s="92"/>
      <c r="AK527" s="92"/>
      <c r="AL527" s="92"/>
      <c r="AM527" s="92"/>
      <c r="AN527" s="92"/>
      <c r="AO527" s="92"/>
      <c r="AP527" s="92"/>
      <c r="AQ527" s="92"/>
      <c r="AR527" s="92"/>
      <c r="AS527" s="92"/>
      <c r="AT527" s="92"/>
      <c r="AU527" s="92"/>
      <c r="AV527" s="92"/>
      <c r="AX527" s="62" t="s">
        <v>85</v>
      </c>
      <c r="AY527" s="62" t="s">
        <v>85</v>
      </c>
    </row>
    <row r="528" spans="1:58" s="1" customFormat="1" ht="16.5" x14ac:dyDescent="0.3">
      <c r="A528" s="92"/>
      <c r="B528" s="92"/>
      <c r="C528" s="92"/>
      <c r="D528" s="92"/>
      <c r="E528" s="92"/>
      <c r="F528" s="92"/>
      <c r="G528" s="92"/>
      <c r="H528" s="92"/>
      <c r="I528" s="92"/>
      <c r="J528" s="92"/>
      <c r="K528" s="92"/>
      <c r="L528" s="92"/>
      <c r="M528" s="92"/>
      <c r="N528" s="92"/>
      <c r="O528" s="92"/>
      <c r="P528" s="92"/>
      <c r="Q528" s="92"/>
      <c r="R528" s="92"/>
      <c r="S528" s="92"/>
      <c r="T528" s="92"/>
      <c r="U528" s="92"/>
      <c r="V528" s="92"/>
      <c r="W528" s="92"/>
      <c r="X528" s="92"/>
      <c r="Y528" s="92"/>
      <c r="Z528" s="92"/>
      <c r="AA528" s="92"/>
      <c r="AB528" s="92"/>
      <c r="AC528" s="92"/>
      <c r="AD528" s="92"/>
      <c r="AE528" s="92"/>
      <c r="AF528" s="92"/>
      <c r="AG528" s="92"/>
      <c r="AH528" s="92"/>
      <c r="AI528" s="92"/>
      <c r="AJ528" s="92"/>
      <c r="AK528" s="92"/>
      <c r="AL528" s="92"/>
      <c r="AM528" s="92"/>
      <c r="AN528" s="92"/>
      <c r="AO528" s="92"/>
      <c r="AP528" s="92"/>
      <c r="AQ528" s="92"/>
      <c r="AR528" s="92"/>
      <c r="AS528" s="92"/>
      <c r="AT528" s="92"/>
      <c r="AU528" s="92"/>
      <c r="AV528" s="92"/>
      <c r="AX528" s="62" t="s">
        <v>85</v>
      </c>
      <c r="AY528" s="62" t="s">
        <v>85</v>
      </c>
      <c r="AZ528" s="62"/>
      <c r="BA528" s="113" t="s">
        <v>48</v>
      </c>
      <c r="BB528" s="114">
        <v>0</v>
      </c>
      <c r="BC528" s="114">
        <v>0</v>
      </c>
      <c r="BD528" s="114">
        <v>0</v>
      </c>
      <c r="BE528" s="114">
        <v>0</v>
      </c>
      <c r="BF528" s="114">
        <v>0</v>
      </c>
    </row>
    <row r="529" spans="1:58" s="1" customFormat="1" ht="16.5" x14ac:dyDescent="0.3">
      <c r="A529" s="92"/>
      <c r="B529" s="92"/>
      <c r="C529" s="92"/>
      <c r="D529" s="92"/>
      <c r="E529" s="92"/>
      <c r="F529" s="92"/>
      <c r="G529" s="92"/>
      <c r="H529" s="92"/>
      <c r="I529" s="92"/>
      <c r="J529" s="92"/>
      <c r="K529" s="92"/>
      <c r="L529" s="92"/>
      <c r="M529" s="92"/>
      <c r="N529" s="92"/>
      <c r="O529" s="92"/>
      <c r="P529" s="92"/>
      <c r="Q529" s="92"/>
      <c r="R529" s="92"/>
      <c r="S529" s="92"/>
      <c r="T529" s="92"/>
      <c r="U529" s="92"/>
      <c r="V529" s="92"/>
      <c r="W529" s="92"/>
      <c r="X529" s="92"/>
      <c r="Y529" s="92"/>
      <c r="Z529" s="92"/>
      <c r="AA529" s="92"/>
      <c r="AB529" s="92"/>
      <c r="AC529" s="92"/>
      <c r="AD529" s="92"/>
      <c r="AE529" s="92"/>
      <c r="AF529" s="92"/>
      <c r="AG529" s="92"/>
      <c r="AH529" s="92"/>
      <c r="AI529" s="92"/>
      <c r="AJ529" s="92"/>
      <c r="AK529" s="92"/>
      <c r="AL529" s="92"/>
      <c r="AM529" s="92"/>
      <c r="AN529" s="92"/>
      <c r="AO529" s="92"/>
      <c r="AP529" s="92"/>
      <c r="AQ529" s="92"/>
      <c r="AR529" s="92"/>
      <c r="AS529" s="92"/>
      <c r="AT529" s="92"/>
      <c r="AU529" s="92"/>
      <c r="AV529" s="92"/>
      <c r="AX529" s="62" t="s">
        <v>85</v>
      </c>
      <c r="AY529" s="62" t="s">
        <v>85</v>
      </c>
      <c r="AZ529" s="62"/>
      <c r="BA529" s="113" t="s">
        <v>49</v>
      </c>
      <c r="BB529" s="114">
        <v>0</v>
      </c>
      <c r="BC529" s="114">
        <v>0</v>
      </c>
      <c r="BD529" s="114">
        <v>0</v>
      </c>
      <c r="BE529" s="114">
        <v>0</v>
      </c>
      <c r="BF529" s="114">
        <v>0</v>
      </c>
    </row>
    <row r="530" spans="1:58" s="1" customFormat="1" ht="16.5" x14ac:dyDescent="0.3">
      <c r="A530" s="92"/>
      <c r="B530" s="92"/>
      <c r="C530" s="92"/>
      <c r="D530" s="92"/>
      <c r="E530" s="92"/>
      <c r="F530" s="92"/>
      <c r="G530" s="92"/>
      <c r="H530" s="92"/>
      <c r="I530" s="92"/>
      <c r="J530" s="92"/>
      <c r="K530" s="92"/>
      <c r="L530" s="92"/>
      <c r="M530" s="92"/>
      <c r="N530" s="92"/>
      <c r="O530" s="92"/>
      <c r="P530" s="92"/>
      <c r="Q530" s="92"/>
      <c r="R530" s="92"/>
      <c r="S530" s="92"/>
      <c r="T530" s="92"/>
      <c r="U530" s="92"/>
      <c r="V530" s="92"/>
      <c r="W530" s="92"/>
      <c r="X530" s="92"/>
      <c r="Y530" s="92"/>
      <c r="Z530" s="92"/>
      <c r="AA530" s="92"/>
      <c r="AB530" s="92"/>
      <c r="AC530" s="92"/>
      <c r="AD530" s="92"/>
      <c r="AE530" s="92"/>
      <c r="AF530" s="92"/>
      <c r="AG530" s="92"/>
      <c r="AH530" s="92"/>
      <c r="AI530" s="92"/>
      <c r="AJ530" s="92"/>
      <c r="AK530" s="92"/>
      <c r="AL530" s="92"/>
      <c r="AM530" s="92"/>
      <c r="AN530" s="92"/>
      <c r="AO530" s="92"/>
      <c r="AP530" s="92"/>
      <c r="AQ530" s="92"/>
      <c r="AR530" s="92"/>
      <c r="AS530" s="92"/>
      <c r="AT530" s="92"/>
      <c r="AU530" s="92"/>
      <c r="AV530" s="92"/>
      <c r="AX530" s="62" t="s">
        <v>85</v>
      </c>
      <c r="AY530" s="62" t="s">
        <v>85</v>
      </c>
      <c r="AZ530" s="62"/>
      <c r="BA530" s="113" t="s">
        <v>52</v>
      </c>
      <c r="BB530" s="114">
        <v>0</v>
      </c>
      <c r="BC530" s="114">
        <v>0</v>
      </c>
      <c r="BD530" s="114">
        <v>0</v>
      </c>
      <c r="BE530" s="114">
        <v>0</v>
      </c>
      <c r="BF530" s="114">
        <v>0</v>
      </c>
    </row>
    <row r="531" spans="1:58" s="1" customFormat="1" ht="16.5" x14ac:dyDescent="0.3">
      <c r="A531" s="92"/>
      <c r="B531" s="92"/>
      <c r="C531" s="92"/>
      <c r="D531" s="92"/>
      <c r="E531" s="92"/>
      <c r="F531" s="92"/>
      <c r="G531" s="92"/>
      <c r="H531" s="92"/>
      <c r="I531" s="92"/>
      <c r="J531" s="92"/>
      <c r="K531" s="92"/>
      <c r="L531" s="92"/>
      <c r="M531" s="92"/>
      <c r="N531" s="92"/>
      <c r="O531" s="92"/>
      <c r="P531" s="92"/>
      <c r="Q531" s="92"/>
      <c r="R531" s="92"/>
      <c r="S531" s="92"/>
      <c r="T531" s="92"/>
      <c r="U531" s="92"/>
      <c r="V531" s="92"/>
      <c r="W531" s="92"/>
      <c r="X531" s="92"/>
      <c r="Y531" s="92"/>
      <c r="Z531" s="92"/>
      <c r="AA531" s="92"/>
      <c r="AB531" s="92"/>
      <c r="AC531" s="92"/>
      <c r="AD531" s="92"/>
      <c r="AE531" s="92"/>
      <c r="AF531" s="92"/>
      <c r="AG531" s="92"/>
      <c r="AH531" s="92"/>
      <c r="AI531" s="92"/>
      <c r="AJ531" s="92"/>
      <c r="AK531" s="92"/>
      <c r="AL531" s="92"/>
      <c r="AM531" s="92"/>
      <c r="AN531" s="92"/>
      <c r="AO531" s="92"/>
      <c r="AP531" s="92"/>
      <c r="AQ531" s="92"/>
      <c r="AR531" s="92"/>
      <c r="AS531" s="92"/>
      <c r="AT531" s="92"/>
      <c r="AU531" s="92"/>
      <c r="AV531" s="92"/>
      <c r="AX531" s="62" t="s">
        <v>85</v>
      </c>
      <c r="AY531" s="62" t="s">
        <v>85</v>
      </c>
      <c r="AZ531" s="62"/>
      <c r="BA531" s="3"/>
    </row>
    <row r="532" spans="1:58" s="1" customFormat="1" ht="16.5" x14ac:dyDescent="0.3">
      <c r="A532" s="92"/>
      <c r="B532" s="92"/>
      <c r="C532" s="92"/>
      <c r="D532" s="92"/>
      <c r="E532" s="92"/>
      <c r="F532" s="92"/>
      <c r="G532" s="92"/>
      <c r="H532" s="92"/>
      <c r="I532" s="92"/>
      <c r="J532" s="92"/>
      <c r="K532" s="92"/>
      <c r="L532" s="92"/>
      <c r="M532" s="92"/>
      <c r="N532" s="92"/>
      <c r="O532" s="92"/>
      <c r="P532" s="92"/>
      <c r="Q532" s="92"/>
      <c r="R532" s="92"/>
      <c r="S532" s="92"/>
      <c r="T532" s="92"/>
      <c r="U532" s="92"/>
      <c r="V532" s="92"/>
      <c r="W532" s="92"/>
      <c r="X532" s="92"/>
      <c r="Y532" s="92"/>
      <c r="Z532" s="92"/>
      <c r="AA532" s="92"/>
      <c r="AB532" s="92"/>
      <c r="AC532" s="92"/>
      <c r="AD532" s="92"/>
      <c r="AE532" s="92"/>
      <c r="AF532" s="92"/>
      <c r="AG532" s="92"/>
      <c r="AH532" s="92"/>
      <c r="AI532" s="92"/>
      <c r="AJ532" s="92"/>
      <c r="AK532" s="92"/>
      <c r="AL532" s="92"/>
      <c r="AM532" s="92"/>
      <c r="AN532" s="92"/>
      <c r="AO532" s="92"/>
      <c r="AP532" s="92"/>
      <c r="AQ532" s="92"/>
      <c r="AR532" s="92"/>
      <c r="AS532" s="92"/>
      <c r="AT532" s="92"/>
      <c r="AU532" s="92"/>
      <c r="AV532" s="92"/>
      <c r="AX532" s="62" t="s">
        <v>85</v>
      </c>
      <c r="AY532" s="62" t="s">
        <v>85</v>
      </c>
      <c r="AZ532" s="62"/>
      <c r="BA532" s="113"/>
      <c r="BB532" s="113" t="s">
        <v>55</v>
      </c>
      <c r="BC532" s="113" t="s">
        <v>53</v>
      </c>
      <c r="BD532" s="113" t="s">
        <v>54</v>
      </c>
      <c r="BE532" s="113" t="s">
        <v>51</v>
      </c>
      <c r="BF532" s="113" t="s">
        <v>52</v>
      </c>
    </row>
    <row r="533" spans="1:58" s="1" customFormat="1" ht="16.5" x14ac:dyDescent="0.3">
      <c r="A533" s="92"/>
      <c r="B533" s="92"/>
      <c r="C533" s="92"/>
      <c r="D533" s="92"/>
      <c r="E533" s="92"/>
      <c r="F533" s="92"/>
      <c r="G533" s="92"/>
      <c r="H533" s="92"/>
      <c r="I533" s="92"/>
      <c r="J533" s="92"/>
      <c r="K533" s="92"/>
      <c r="L533" s="92"/>
      <c r="M533" s="92"/>
      <c r="N533" s="92"/>
      <c r="O533" s="92"/>
      <c r="P533" s="92"/>
      <c r="Q533" s="92"/>
      <c r="R533" s="92"/>
      <c r="S533" s="92"/>
      <c r="T533" s="92"/>
      <c r="U533" s="92"/>
      <c r="V533" s="92"/>
      <c r="W533" s="92"/>
      <c r="X533" s="92"/>
      <c r="Y533" s="92"/>
      <c r="Z533" s="92"/>
      <c r="AA533" s="92"/>
      <c r="AB533" s="92"/>
      <c r="AC533" s="92"/>
      <c r="AD533" s="92"/>
      <c r="AE533" s="92"/>
      <c r="AF533" s="92"/>
      <c r="AG533" s="92"/>
      <c r="AH533" s="92"/>
      <c r="AI533" s="92"/>
      <c r="AJ533" s="92"/>
      <c r="AK533" s="92"/>
      <c r="AL533" s="92"/>
      <c r="AM533" s="92"/>
      <c r="AN533" s="92"/>
      <c r="AO533" s="92"/>
      <c r="AP533" s="92"/>
      <c r="AQ533" s="92"/>
      <c r="AR533" s="92"/>
      <c r="AS533" s="92"/>
      <c r="AT533" s="92"/>
      <c r="AU533" s="92"/>
      <c r="AV533" s="92"/>
      <c r="AX533" s="62" t="s">
        <v>85</v>
      </c>
      <c r="AY533" s="62" t="s">
        <v>85</v>
      </c>
      <c r="BA533" s="113" t="s">
        <v>48</v>
      </c>
      <c r="BB533" s="117" t="e">
        <v>#DIV/0!</v>
      </c>
      <c r="BC533" s="117" t="e">
        <v>#DIV/0!</v>
      </c>
      <c r="BD533" s="117" t="e">
        <v>#DIV/0!</v>
      </c>
      <c r="BE533" s="117" t="e">
        <v>#DIV/0!</v>
      </c>
      <c r="BF533" s="117" t="e">
        <v>#DIV/0!</v>
      </c>
    </row>
    <row r="534" spans="1:58" s="1" customFormat="1" ht="16.5" x14ac:dyDescent="0.3">
      <c r="A534" s="92"/>
      <c r="B534" s="92"/>
      <c r="C534" s="92"/>
      <c r="D534" s="92"/>
      <c r="E534" s="92"/>
      <c r="F534" s="92"/>
      <c r="G534" s="92"/>
      <c r="H534" s="92"/>
      <c r="I534" s="92"/>
      <c r="J534" s="92"/>
      <c r="K534" s="92"/>
      <c r="L534" s="92"/>
      <c r="M534" s="92"/>
      <c r="N534" s="92"/>
      <c r="O534" s="92"/>
      <c r="P534" s="92"/>
      <c r="Q534" s="92"/>
      <c r="R534" s="92"/>
      <c r="S534" s="92"/>
      <c r="T534" s="92"/>
      <c r="U534" s="92"/>
      <c r="V534" s="92"/>
      <c r="W534" s="92"/>
      <c r="X534" s="92"/>
      <c r="Y534" s="92"/>
      <c r="Z534" s="92"/>
      <c r="AA534" s="92"/>
      <c r="AB534" s="92"/>
      <c r="AC534" s="92"/>
      <c r="AD534" s="92"/>
      <c r="AE534" s="92"/>
      <c r="AF534" s="92"/>
      <c r="AG534" s="92"/>
      <c r="AH534" s="92"/>
      <c r="AI534" s="92"/>
      <c r="AJ534" s="92"/>
      <c r="AK534" s="92"/>
      <c r="AL534" s="92"/>
      <c r="AM534" s="92"/>
      <c r="AN534" s="92"/>
      <c r="AO534" s="92"/>
      <c r="AP534" s="92"/>
      <c r="AQ534" s="92"/>
      <c r="AR534" s="92"/>
      <c r="AS534" s="92"/>
      <c r="AT534" s="92"/>
      <c r="AU534" s="92"/>
      <c r="AV534" s="92"/>
      <c r="AX534" s="62" t="s">
        <v>85</v>
      </c>
      <c r="AY534" s="62" t="s">
        <v>85</v>
      </c>
      <c r="BA534" s="113" t="s">
        <v>49</v>
      </c>
      <c r="BB534" s="117" t="e">
        <v>#DIV/0!</v>
      </c>
      <c r="BC534" s="117" t="e">
        <v>#DIV/0!</v>
      </c>
      <c r="BD534" s="117" t="e">
        <v>#DIV/0!</v>
      </c>
      <c r="BE534" s="117" t="e">
        <v>#DIV/0!</v>
      </c>
      <c r="BF534" s="117" t="e">
        <v>#DIV/0!</v>
      </c>
    </row>
    <row r="535" spans="1:58" s="1" customFormat="1" ht="16.5" x14ac:dyDescent="0.3">
      <c r="A535" s="92"/>
      <c r="B535" s="92"/>
      <c r="C535" s="92"/>
      <c r="D535" s="92"/>
      <c r="E535" s="92"/>
      <c r="F535" s="92"/>
      <c r="G535" s="92"/>
      <c r="H535" s="92"/>
      <c r="I535" s="92"/>
      <c r="J535" s="92"/>
      <c r="K535" s="92"/>
      <c r="L535" s="92"/>
      <c r="M535" s="92"/>
      <c r="N535" s="92"/>
      <c r="O535" s="92"/>
      <c r="P535" s="92"/>
      <c r="Q535" s="92"/>
      <c r="R535" s="92"/>
      <c r="S535" s="92"/>
      <c r="T535" s="92"/>
      <c r="U535" s="92"/>
      <c r="V535" s="92"/>
      <c r="W535" s="92"/>
      <c r="X535" s="92"/>
      <c r="Y535" s="92"/>
      <c r="Z535" s="92"/>
      <c r="AA535" s="92"/>
      <c r="AB535" s="92"/>
      <c r="AC535" s="92"/>
      <c r="AD535" s="92"/>
      <c r="AE535" s="92"/>
      <c r="AF535" s="92"/>
      <c r="AG535" s="92"/>
      <c r="AH535" s="92"/>
      <c r="AI535" s="92"/>
      <c r="AJ535" s="92"/>
      <c r="AK535" s="92"/>
      <c r="AL535" s="92"/>
      <c r="AM535" s="92"/>
      <c r="AN535" s="92"/>
      <c r="AO535" s="92"/>
      <c r="AP535" s="92"/>
      <c r="AQ535" s="92"/>
      <c r="AR535" s="92"/>
      <c r="AS535" s="92"/>
      <c r="AT535" s="92"/>
      <c r="AU535" s="92"/>
      <c r="AV535" s="92"/>
      <c r="AX535" s="62" t="s">
        <v>85</v>
      </c>
      <c r="AY535" s="62" t="s">
        <v>85</v>
      </c>
      <c r="BA535" s="113" t="s">
        <v>52</v>
      </c>
      <c r="BB535" s="117" t="e">
        <v>#DIV/0!</v>
      </c>
      <c r="BC535" s="117" t="e">
        <v>#DIV/0!</v>
      </c>
      <c r="BD535" s="117" t="e">
        <v>#DIV/0!</v>
      </c>
      <c r="BE535" s="117" t="e">
        <v>#DIV/0!</v>
      </c>
      <c r="BF535" s="117" t="e">
        <v>#DIV/0!</v>
      </c>
    </row>
    <row r="536" spans="1:58" s="1" customFormat="1" ht="16.5" x14ac:dyDescent="0.3">
      <c r="A536" s="92"/>
      <c r="B536" s="92"/>
      <c r="C536" s="92"/>
      <c r="D536" s="92"/>
      <c r="E536" s="92"/>
      <c r="F536" s="92"/>
      <c r="G536" s="92"/>
      <c r="H536" s="92"/>
      <c r="I536" s="92"/>
      <c r="J536" s="92"/>
      <c r="K536" s="92"/>
      <c r="L536" s="92"/>
      <c r="M536" s="92"/>
      <c r="N536" s="92"/>
      <c r="O536" s="92"/>
      <c r="P536" s="92"/>
      <c r="Q536" s="92"/>
      <c r="R536" s="92"/>
      <c r="S536" s="92"/>
      <c r="T536" s="92"/>
      <c r="U536" s="92"/>
      <c r="V536" s="92"/>
      <c r="W536" s="92"/>
      <c r="X536" s="92"/>
      <c r="Y536" s="92"/>
      <c r="Z536" s="92"/>
      <c r="AA536" s="92"/>
      <c r="AB536" s="92"/>
      <c r="AC536" s="92"/>
      <c r="AD536" s="92"/>
      <c r="AE536" s="92"/>
      <c r="AF536" s="92"/>
      <c r="AG536" s="92"/>
      <c r="AH536" s="92"/>
      <c r="AI536" s="92"/>
      <c r="AJ536" s="92"/>
      <c r="AK536" s="92"/>
      <c r="AL536" s="92"/>
      <c r="AM536" s="92"/>
      <c r="AN536" s="92"/>
      <c r="AO536" s="92"/>
      <c r="AP536" s="92"/>
      <c r="AQ536" s="92"/>
      <c r="AR536" s="92"/>
      <c r="AS536" s="92"/>
      <c r="AT536" s="92"/>
      <c r="AU536" s="92"/>
      <c r="AV536" s="92"/>
      <c r="AX536" s="62" t="s">
        <v>85</v>
      </c>
      <c r="AY536" s="62" t="s">
        <v>85</v>
      </c>
    </row>
    <row r="537" spans="1:58" s="1" customFormat="1" ht="16.5" x14ac:dyDescent="0.3">
      <c r="A537" s="92"/>
      <c r="B537" s="92"/>
      <c r="C537" s="92"/>
      <c r="D537" s="92"/>
      <c r="E537" s="92"/>
      <c r="F537" s="92"/>
      <c r="G537" s="92"/>
      <c r="H537" s="92"/>
      <c r="I537" s="92"/>
      <c r="J537" s="92"/>
      <c r="K537" s="92"/>
      <c r="L537" s="92"/>
      <c r="M537" s="92"/>
      <c r="N537" s="92"/>
      <c r="O537" s="92"/>
      <c r="P537" s="92"/>
      <c r="Q537" s="92"/>
      <c r="R537" s="92"/>
      <c r="S537" s="92"/>
      <c r="T537" s="92"/>
      <c r="U537" s="92"/>
      <c r="V537" s="92"/>
      <c r="W537" s="92"/>
      <c r="X537" s="92"/>
      <c r="Y537" s="92"/>
      <c r="Z537" s="92"/>
      <c r="AA537" s="92"/>
      <c r="AB537" s="92"/>
      <c r="AC537" s="92"/>
      <c r="AD537" s="92"/>
      <c r="AE537" s="92"/>
      <c r="AF537" s="92"/>
      <c r="AG537" s="92"/>
      <c r="AH537" s="92"/>
      <c r="AI537" s="92"/>
      <c r="AJ537" s="92"/>
      <c r="AK537" s="92"/>
      <c r="AL537" s="92"/>
      <c r="AM537" s="92"/>
      <c r="AN537" s="92"/>
      <c r="AO537" s="92"/>
      <c r="AP537" s="92"/>
      <c r="AQ537" s="92"/>
      <c r="AR537" s="92"/>
      <c r="AS537" s="92"/>
      <c r="AT537" s="92"/>
      <c r="AU537" s="92"/>
      <c r="AV537" s="92"/>
      <c r="AX537" s="62" t="s">
        <v>85</v>
      </c>
      <c r="AY537" s="62" t="s">
        <v>85</v>
      </c>
    </row>
    <row r="538" spans="1:58" s="1" customFormat="1" ht="16.5" x14ac:dyDescent="0.3">
      <c r="A538" s="92"/>
      <c r="B538" s="92"/>
      <c r="C538" s="92"/>
      <c r="D538" s="92"/>
      <c r="E538" s="92"/>
      <c r="F538" s="92"/>
      <c r="G538" s="92"/>
      <c r="H538" s="92"/>
      <c r="I538" s="92"/>
      <c r="J538" s="92"/>
      <c r="K538" s="92"/>
      <c r="L538" s="92"/>
      <c r="M538" s="92"/>
      <c r="N538" s="92"/>
      <c r="O538" s="92"/>
      <c r="P538" s="92"/>
      <c r="Q538" s="92"/>
      <c r="R538" s="92"/>
      <c r="S538" s="92"/>
      <c r="T538" s="92"/>
      <c r="U538" s="92"/>
      <c r="V538" s="92"/>
      <c r="W538" s="92"/>
      <c r="X538" s="92"/>
      <c r="Y538" s="92"/>
      <c r="Z538" s="92"/>
      <c r="AA538" s="92"/>
      <c r="AB538" s="92"/>
      <c r="AC538" s="92"/>
      <c r="AD538" s="92"/>
      <c r="AE538" s="92"/>
      <c r="AF538" s="92"/>
      <c r="AG538" s="92"/>
      <c r="AH538" s="92"/>
      <c r="AI538" s="92"/>
      <c r="AJ538" s="92"/>
      <c r="AK538" s="92"/>
      <c r="AL538" s="92"/>
      <c r="AM538" s="92"/>
      <c r="AN538" s="92"/>
      <c r="AO538" s="92"/>
      <c r="AP538" s="92"/>
      <c r="AQ538" s="92"/>
      <c r="AR538" s="92"/>
      <c r="AS538" s="92"/>
      <c r="AT538" s="92"/>
      <c r="AU538" s="92"/>
      <c r="AV538" s="92"/>
      <c r="AX538" s="62" t="s">
        <v>85</v>
      </c>
      <c r="AY538" s="62" t="s">
        <v>85</v>
      </c>
    </row>
    <row r="539" spans="1:58" s="1" customFormat="1" ht="16.5" x14ac:dyDescent="0.3">
      <c r="A539" s="92"/>
      <c r="B539" s="92"/>
      <c r="C539" s="92"/>
      <c r="D539" s="92"/>
      <c r="E539" s="92"/>
      <c r="F539" s="92"/>
      <c r="G539" s="92"/>
      <c r="H539" s="92"/>
      <c r="I539" s="92"/>
      <c r="J539" s="92"/>
      <c r="K539" s="92"/>
      <c r="L539" s="92"/>
      <c r="M539" s="92"/>
      <c r="N539" s="92"/>
      <c r="O539" s="92"/>
      <c r="P539" s="92"/>
      <c r="Q539" s="92"/>
      <c r="R539" s="92"/>
      <c r="S539" s="92"/>
      <c r="T539" s="92"/>
      <c r="U539" s="92"/>
      <c r="V539" s="92"/>
      <c r="W539" s="92"/>
      <c r="X539" s="92"/>
      <c r="Y539" s="92"/>
      <c r="Z539" s="92"/>
      <c r="AA539" s="92"/>
      <c r="AB539" s="92"/>
      <c r="AC539" s="92"/>
      <c r="AD539" s="92"/>
      <c r="AE539" s="92"/>
      <c r="AF539" s="92"/>
      <c r="AG539" s="92"/>
      <c r="AH539" s="92"/>
      <c r="AI539" s="92"/>
      <c r="AJ539" s="92"/>
      <c r="AK539" s="92"/>
      <c r="AL539" s="92"/>
      <c r="AM539" s="92"/>
      <c r="AN539" s="92"/>
      <c r="AO539" s="92"/>
      <c r="AP539" s="92"/>
      <c r="AQ539" s="92"/>
      <c r="AR539" s="92"/>
      <c r="AS539" s="92"/>
      <c r="AT539" s="92"/>
      <c r="AU539" s="92"/>
      <c r="AV539" s="92"/>
      <c r="AX539" s="62" t="s">
        <v>85</v>
      </c>
      <c r="AY539" s="62" t="s">
        <v>85</v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3559" priority="69562" operator="lessThan">
      <formula>15.1</formula>
    </cfRule>
    <cfRule type="cellIs" dxfId="3558" priority="69563" operator="lessThan">
      <formula>18.1</formula>
    </cfRule>
    <cfRule type="cellIs" dxfId="3557" priority="69564" operator="lessThan">
      <formula>21.1</formula>
    </cfRule>
    <cfRule type="cellIs" dxfId="3556" priority="69565" operator="lessThan">
      <formula>24.1</formula>
    </cfRule>
    <cfRule type="cellIs" dxfId="3555" priority="69566" operator="lessThan">
      <formula>30</formula>
    </cfRule>
    <cfRule type="cellIs" dxfId="3554" priority="69567" operator="lessThan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3553" priority="69559" operator="greaterThan">
      <formula>0.9</formula>
    </cfRule>
    <cfRule type="cellIs" dxfId="3552" priority="69560" operator="greaterThan">
      <formula>0.85</formula>
    </cfRule>
  </conditionalFormatting>
  <conditionalFormatting sqref="N2">
    <cfRule type="cellIs" dxfId="3551" priority="69557" operator="greaterThan">
      <formula>0.9</formula>
    </cfRule>
    <cfRule type="cellIs" dxfId="3550" priority="69558" operator="greaterThan">
      <formula>0.85</formula>
    </cfRule>
  </conditionalFormatting>
  <conditionalFormatting sqref="Z2">
    <cfRule type="colorScale" priority="695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2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/>
    </sheetView>
  </sheetViews>
  <sheetFormatPr defaultColWidth="9" defaultRowHeight="14.1" customHeight="1" x14ac:dyDescent="0.3"/>
  <cols>
    <col min="1" max="1" width="22.5" style="119" bestFit="1" customWidth="1"/>
    <col min="2" max="2" width="5.625" style="119" bestFit="1" customWidth="1"/>
    <col min="3" max="3" width="6.625" style="119" bestFit="1" customWidth="1"/>
    <col min="4" max="4" width="5.625" style="119" bestFit="1" customWidth="1"/>
    <col min="5" max="5" width="4.625" style="119" bestFit="1" customWidth="1"/>
    <col min="6" max="6" width="5.625" style="119" bestFit="1" customWidth="1"/>
    <col min="7" max="7" width="4.625" style="119" bestFit="1" customWidth="1"/>
    <col min="8" max="8" width="6.625" style="119" bestFit="1" customWidth="1"/>
    <col min="9" max="9" width="7.75" style="119" bestFit="1" customWidth="1"/>
    <col min="10" max="10" width="4" style="119" bestFit="1" customWidth="1"/>
    <col min="11" max="11" width="6.875" style="119" bestFit="1" customWidth="1"/>
    <col min="12" max="12" width="4" style="119" bestFit="1" customWidth="1"/>
    <col min="13" max="13" width="6.875" style="119" bestFit="1" customWidth="1"/>
    <col min="14" max="14" width="4.625" style="119" bestFit="1" customWidth="1"/>
    <col min="15" max="16" width="7.625" style="119" bestFit="1" customWidth="1"/>
    <col min="17" max="19" width="3.25" style="119" bestFit="1" customWidth="1"/>
    <col min="20" max="20" width="10.125" style="119" customWidth="1"/>
    <col min="21" max="21" width="25" style="119" customWidth="1"/>
    <col min="22" max="22" width="9" style="119"/>
    <col min="23" max="16384" width="9" style="42"/>
  </cols>
  <sheetData>
    <row r="1" spans="1:22" ht="17.25" x14ac:dyDescent="0.3">
      <c r="A1" s="41" t="str">
        <f>단지추출!A1</f>
        <v>인천광역시 연수구</v>
      </c>
      <c r="B1" s="42"/>
      <c r="C1" s="43"/>
      <c r="D1" s="42"/>
      <c r="E1" s="42"/>
      <c r="F1" s="42"/>
      <c r="G1" s="42"/>
      <c r="H1" s="43"/>
      <c r="I1" s="42"/>
      <c r="J1" s="122" t="s">
        <v>56</v>
      </c>
      <c r="K1" s="122"/>
      <c r="L1" s="63" t="s">
        <v>86</v>
      </c>
      <c r="M1"/>
      <c r="N1" s="122" t="s">
        <v>57</v>
      </c>
      <c r="O1" s="122"/>
      <c r="P1" s="64">
        <v>30</v>
      </c>
      <c r="Q1" s="123" t="s">
        <v>58</v>
      </c>
      <c r="R1" s="123"/>
      <c r="S1" s="123"/>
      <c r="T1" s="45"/>
      <c r="U1" s="42"/>
      <c r="V1" s="42"/>
    </row>
    <row r="2" spans="1:22" ht="12" x14ac:dyDescent="0.3">
      <c r="A2" s="110">
        <f>단지추출!A2</f>
        <v>44197</v>
      </c>
      <c r="B2" s="44"/>
      <c r="C2" s="43"/>
      <c r="D2" s="42"/>
      <c r="E2" s="42"/>
      <c r="F2" s="42"/>
      <c r="G2" s="42"/>
      <c r="H2" s="43"/>
      <c r="I2" s="42"/>
      <c r="J2" s="42"/>
      <c r="K2" s="42"/>
      <c r="L2" s="42"/>
      <c r="M2" s="42"/>
      <c r="N2" s="42"/>
      <c r="O2" s="42"/>
      <c r="P2" s="42"/>
      <c r="Q2" s="45"/>
      <c r="R2" s="45"/>
      <c r="S2" s="44"/>
      <c r="T2" s="45"/>
      <c r="U2" s="46"/>
      <c r="V2" s="42"/>
    </row>
    <row r="3" spans="1:22" ht="26.25" x14ac:dyDescent="0.3">
      <c r="A3" s="50" t="s">
        <v>10</v>
      </c>
      <c r="B3" s="50" t="s">
        <v>11</v>
      </c>
      <c r="C3" s="50" t="s">
        <v>12</v>
      </c>
      <c r="D3" s="50" t="s">
        <v>20</v>
      </c>
      <c r="E3" s="50" t="s">
        <v>4</v>
      </c>
      <c r="F3" s="50" t="s">
        <v>21</v>
      </c>
      <c r="G3" s="50" t="s">
        <v>13</v>
      </c>
      <c r="H3" s="101" t="s">
        <v>6</v>
      </c>
      <c r="I3" s="51" t="s">
        <v>14</v>
      </c>
      <c r="J3" s="51" t="s">
        <v>22</v>
      </c>
      <c r="K3" s="51" t="s">
        <v>15</v>
      </c>
      <c r="L3" s="51" t="s">
        <v>22</v>
      </c>
      <c r="M3" s="101" t="s">
        <v>2</v>
      </c>
      <c r="N3" s="50" t="s">
        <v>5</v>
      </c>
      <c r="O3" s="51" t="s">
        <v>17</v>
      </c>
      <c r="P3" s="51" t="s">
        <v>16</v>
      </c>
      <c r="Q3" s="52" t="s">
        <v>18</v>
      </c>
      <c r="R3" s="52" t="s">
        <v>19</v>
      </c>
      <c r="S3" s="50" t="s">
        <v>7</v>
      </c>
      <c r="T3" s="53" t="s">
        <v>34</v>
      </c>
      <c r="U3" s="101" t="s">
        <v>9</v>
      </c>
      <c r="V3" s="42"/>
    </row>
    <row r="4" spans="1:22" s="1" customFormat="1" ht="16.5" x14ac:dyDescent="0.3">
      <c r="A4" s="119"/>
      <c r="B4" s="119"/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119"/>
      <c r="T4" s="119"/>
      <c r="U4" s="119"/>
      <c r="V4" s="119"/>
    </row>
    <row r="5" spans="1:22" s="1" customFormat="1" ht="16.5" x14ac:dyDescent="0.3">
      <c r="A5" s="119"/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</row>
    <row r="6" spans="1:22" s="1" customFormat="1" ht="16.5" x14ac:dyDescent="0.3">
      <c r="A6" s="119"/>
      <c r="B6" s="119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  <c r="Q6" s="119"/>
      <c r="R6" s="119"/>
      <c r="S6" s="119"/>
      <c r="T6" s="119"/>
      <c r="U6" s="119"/>
      <c r="V6" s="119"/>
    </row>
    <row r="7" spans="1:22" s="1" customFormat="1" ht="16.5" x14ac:dyDescent="0.3">
      <c r="A7" s="119"/>
      <c r="B7" s="119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19"/>
      <c r="R7" s="119"/>
      <c r="S7" s="119"/>
      <c r="T7" s="119"/>
      <c r="U7" s="119"/>
      <c r="V7" s="119"/>
    </row>
    <row r="8" spans="1:22" s="1" customFormat="1" ht="16.5" x14ac:dyDescent="0.3">
      <c r="A8" s="119"/>
      <c r="B8" s="119"/>
      <c r="C8" s="119"/>
      <c r="D8" s="119"/>
      <c r="E8" s="119"/>
      <c r="F8" s="119"/>
      <c r="G8" s="119"/>
      <c r="H8" s="119"/>
      <c r="I8" s="119"/>
      <c r="J8" s="119"/>
      <c r="K8" s="119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19"/>
    </row>
    <row r="9" spans="1:22" s="1" customFormat="1" ht="16.5" x14ac:dyDescent="0.3">
      <c r="A9" s="119"/>
      <c r="B9" s="119"/>
      <c r="C9" s="119"/>
      <c r="D9" s="119"/>
      <c r="E9" s="119"/>
      <c r="F9" s="119"/>
      <c r="G9" s="119"/>
      <c r="H9" s="119"/>
      <c r="I9" s="119"/>
      <c r="J9" s="119"/>
      <c r="K9" s="119"/>
      <c r="L9" s="119"/>
      <c r="M9" s="119"/>
      <c r="N9" s="119"/>
      <c r="O9" s="119"/>
      <c r="P9" s="119"/>
      <c r="Q9" s="119"/>
      <c r="R9" s="119"/>
      <c r="S9" s="119"/>
      <c r="T9" s="119"/>
      <c r="U9" s="119"/>
      <c r="V9" s="119"/>
    </row>
    <row r="10" spans="1:22" s="1" customFormat="1" ht="16.5" x14ac:dyDescent="0.3">
      <c r="A10" s="119"/>
      <c r="B10" s="119"/>
      <c r="C10" s="119"/>
      <c r="D10" s="119"/>
      <c r="E10" s="119"/>
      <c r="F10" s="119"/>
      <c r="G10" s="119"/>
      <c r="H10" s="119"/>
      <c r="I10" s="119"/>
      <c r="J10" s="119"/>
      <c r="K10" s="119"/>
      <c r="L10" s="119"/>
      <c r="M10" s="119"/>
      <c r="N10" s="119"/>
      <c r="O10" s="119"/>
      <c r="P10" s="119"/>
      <c r="Q10" s="119"/>
      <c r="R10" s="119"/>
      <c r="S10" s="119"/>
      <c r="T10" s="119"/>
      <c r="U10" s="119"/>
      <c r="V10" s="119"/>
    </row>
    <row r="11" spans="1:22" s="1" customFormat="1" ht="16.5" x14ac:dyDescent="0.3">
      <c r="A11" s="119"/>
      <c r="B11" s="119"/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</row>
    <row r="12" spans="1:22" s="1" customFormat="1" ht="16.5" x14ac:dyDescent="0.3">
      <c r="A12" s="119"/>
      <c r="B12" s="119"/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</row>
    <row r="13" spans="1:22" s="1" customFormat="1" ht="16.5" x14ac:dyDescent="0.3">
      <c r="A13" s="119"/>
      <c r="B13" s="119"/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</row>
    <row r="14" spans="1:22" s="1" customFormat="1" ht="16.5" x14ac:dyDescent="0.3">
      <c r="A14" s="119"/>
      <c r="B14" s="119"/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</row>
    <row r="15" spans="1:22" s="1" customFormat="1" ht="16.5" x14ac:dyDescent="0.3">
      <c r="A15" s="119"/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</row>
    <row r="16" spans="1:22" s="1" customFormat="1" ht="16.5" x14ac:dyDescent="0.3">
      <c r="A16" s="119"/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</row>
    <row r="17" spans="1:22" s="1" customFormat="1" ht="16.5" x14ac:dyDescent="0.3">
      <c r="A17" s="119"/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</row>
    <row r="18" spans="1:22" s="1" customFormat="1" ht="16.5" x14ac:dyDescent="0.3">
      <c r="A18" s="119"/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</row>
    <row r="19" spans="1:22" s="1" customFormat="1" ht="16.5" x14ac:dyDescent="0.3">
      <c r="A19" s="119"/>
      <c r="B19" s="119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</row>
    <row r="20" spans="1:22" s="1" customFormat="1" ht="16.5" x14ac:dyDescent="0.3">
      <c r="A20" s="119"/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</row>
    <row r="21" spans="1:22" s="1" customFormat="1" ht="16.5" x14ac:dyDescent="0.3">
      <c r="A21" s="119"/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</row>
    <row r="22" spans="1:22" s="1" customFormat="1" ht="16.5" x14ac:dyDescent="0.3">
      <c r="A22" s="119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</row>
    <row r="23" spans="1:22" s="1" customFormat="1" ht="16.5" x14ac:dyDescent="0.3">
      <c r="A23" s="119"/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</row>
    <row r="24" spans="1:22" s="1" customFormat="1" ht="16.5" x14ac:dyDescent="0.3">
      <c r="A24" s="119"/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</row>
    <row r="25" spans="1:22" s="1" customFormat="1" ht="16.5" x14ac:dyDescent="0.3">
      <c r="A25" s="119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</row>
    <row r="26" spans="1:22" s="1" customFormat="1" ht="16.5" x14ac:dyDescent="0.3">
      <c r="A26" s="119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</row>
    <row r="27" spans="1:22" s="1" customFormat="1" ht="16.5" x14ac:dyDescent="0.3">
      <c r="A27" s="119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</row>
    <row r="28" spans="1:22" s="1" customFormat="1" ht="16.5" x14ac:dyDescent="0.3">
      <c r="A28" s="119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</row>
    <row r="29" spans="1:22" s="1" customFormat="1" ht="16.5" x14ac:dyDescent="0.3">
      <c r="A29" s="119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</row>
    <row r="30" spans="1:22" s="1" customFormat="1" ht="16.5" x14ac:dyDescent="0.3">
      <c r="A30" s="119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</row>
    <row r="31" spans="1:22" s="1" customFormat="1" ht="16.5" x14ac:dyDescent="0.3">
      <c r="A31" s="119"/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</row>
    <row r="32" spans="1:22" s="1" customFormat="1" ht="16.5" x14ac:dyDescent="0.3">
      <c r="A32" s="119"/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</row>
    <row r="33" spans="1:22" s="1" customFormat="1" ht="16.5" x14ac:dyDescent="0.3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</row>
    <row r="34" spans="1:22" s="1" customFormat="1" ht="16.5" x14ac:dyDescent="0.3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</row>
    <row r="35" spans="1:22" s="1" customFormat="1" ht="16.5" x14ac:dyDescent="0.3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</row>
    <row r="36" spans="1:22" s="1" customFormat="1" ht="16.5" x14ac:dyDescent="0.3">
      <c r="A36" s="119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</row>
    <row r="37" spans="1:22" s="1" customFormat="1" ht="16.5" x14ac:dyDescent="0.3">
      <c r="A37" s="119"/>
      <c r="B37" s="119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</row>
    <row r="38" spans="1:22" s="1" customFormat="1" ht="16.5" x14ac:dyDescent="0.3">
      <c r="A38" s="119"/>
      <c r="B38" s="119"/>
      <c r="C38" s="119"/>
      <c r="D38" s="119"/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</row>
    <row r="39" spans="1:22" s="1" customFormat="1" ht="16.5" x14ac:dyDescent="0.3">
      <c r="A39" s="119"/>
      <c r="B39" s="119"/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</row>
    <row r="40" spans="1:22" s="1" customFormat="1" ht="16.5" x14ac:dyDescent="0.3">
      <c r="A40" s="119"/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</row>
    <row r="41" spans="1:22" s="1" customFormat="1" ht="16.5" x14ac:dyDescent="0.3">
      <c r="A41" s="119"/>
      <c r="B41" s="119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  <c r="P41" s="119"/>
      <c r="Q41" s="119"/>
      <c r="R41" s="119"/>
      <c r="S41" s="119"/>
      <c r="T41" s="119"/>
      <c r="U41" s="119"/>
      <c r="V41" s="119"/>
    </row>
    <row r="42" spans="1:22" s="1" customFormat="1" ht="16.5" x14ac:dyDescent="0.3">
      <c r="A42" s="119"/>
      <c r="B42" s="119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</row>
    <row r="43" spans="1:22" s="1" customFormat="1" ht="16.5" x14ac:dyDescent="0.3">
      <c r="A43" s="119"/>
      <c r="B43" s="119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</row>
    <row r="44" spans="1:22" s="1" customFormat="1" ht="16.5" x14ac:dyDescent="0.3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</row>
    <row r="45" spans="1:22" s="1" customFormat="1" ht="16.5" x14ac:dyDescent="0.3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</row>
    <row r="46" spans="1:22" s="1" customFormat="1" ht="16.5" x14ac:dyDescent="0.3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</row>
    <row r="47" spans="1:22" s="1" customFormat="1" ht="16.5" x14ac:dyDescent="0.3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</row>
    <row r="48" spans="1:22" s="1" customFormat="1" ht="16.5" x14ac:dyDescent="0.3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</row>
    <row r="49" spans="1:22" s="1" customFormat="1" ht="16.5" x14ac:dyDescent="0.3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</row>
    <row r="50" spans="1:22" s="1" customFormat="1" ht="16.5" x14ac:dyDescent="0.3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</row>
    <row r="51" spans="1:22" s="1" customFormat="1" ht="16.5" x14ac:dyDescent="0.3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</row>
    <row r="52" spans="1:22" s="1" customFormat="1" ht="16.5" x14ac:dyDescent="0.3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</row>
    <row r="53" spans="1:22" s="1" customFormat="1" ht="16.5" x14ac:dyDescent="0.3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</row>
    <row r="54" spans="1:22" s="1" customFormat="1" ht="16.5" x14ac:dyDescent="0.3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</row>
    <row r="55" spans="1:22" s="1" customFormat="1" ht="16.5" x14ac:dyDescent="0.3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</row>
    <row r="56" spans="1:22" s="1" customFormat="1" ht="16.5" x14ac:dyDescent="0.3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</row>
    <row r="57" spans="1:22" s="1" customFormat="1" ht="16.5" x14ac:dyDescent="0.3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</row>
    <row r="58" spans="1:22" s="1" customFormat="1" ht="16.5" x14ac:dyDescent="0.3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</row>
    <row r="59" spans="1:22" s="1" customFormat="1" ht="16.5" x14ac:dyDescent="0.3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</row>
    <row r="60" spans="1:22" s="1" customFormat="1" ht="16.5" x14ac:dyDescent="0.3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</row>
    <row r="61" spans="1:22" s="1" customFormat="1" ht="16.5" x14ac:dyDescent="0.3">
      <c r="A61" s="119"/>
      <c r="B61" s="119"/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</row>
    <row r="62" spans="1:22" s="1" customFormat="1" ht="16.5" x14ac:dyDescent="0.3">
      <c r="A62" s="119"/>
      <c r="B62" s="119"/>
      <c r="C62" s="119"/>
      <c r="D62" s="119"/>
      <c r="E62" s="119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  <c r="R62" s="119"/>
      <c r="S62" s="119"/>
      <c r="T62" s="119"/>
      <c r="U62" s="119"/>
      <c r="V62" s="119"/>
    </row>
    <row r="63" spans="1:22" s="1" customFormat="1" ht="16.5" x14ac:dyDescent="0.3">
      <c r="A63" s="119"/>
      <c r="B63" s="119"/>
      <c r="C63" s="119"/>
      <c r="D63" s="119"/>
      <c r="E63" s="119"/>
      <c r="F63" s="119"/>
      <c r="G63" s="119"/>
      <c r="H63" s="119"/>
      <c r="I63" s="119"/>
      <c r="J63" s="119"/>
      <c r="K63" s="119"/>
      <c r="L63" s="119"/>
      <c r="M63" s="119"/>
      <c r="N63" s="119"/>
      <c r="O63" s="119"/>
      <c r="P63" s="119"/>
      <c r="Q63" s="119"/>
      <c r="R63" s="119"/>
      <c r="S63" s="119"/>
      <c r="T63" s="119"/>
      <c r="U63" s="119"/>
      <c r="V63" s="119"/>
    </row>
    <row r="64" spans="1:22" s="1" customFormat="1" ht="16.5" x14ac:dyDescent="0.3">
      <c r="A64" s="119"/>
      <c r="B64" s="119"/>
      <c r="C64" s="119"/>
      <c r="D64" s="119"/>
      <c r="E64" s="119"/>
      <c r="F64" s="119"/>
      <c r="G64" s="119"/>
      <c r="H64" s="119"/>
      <c r="I64" s="119"/>
      <c r="J64" s="119"/>
      <c r="K64" s="119"/>
      <c r="L64" s="119"/>
      <c r="M64" s="119"/>
      <c r="N64" s="119"/>
      <c r="O64" s="119"/>
      <c r="P64" s="119"/>
      <c r="Q64" s="119"/>
      <c r="R64" s="119"/>
      <c r="S64" s="119"/>
      <c r="T64" s="119"/>
      <c r="U64" s="119"/>
      <c r="V64" s="119"/>
    </row>
    <row r="65" spans="1:22" s="1" customFormat="1" ht="16.5" x14ac:dyDescent="0.3">
      <c r="A65" s="119"/>
      <c r="B65" s="119"/>
      <c r="C65" s="119"/>
      <c r="D65" s="119"/>
      <c r="E65" s="119"/>
      <c r="F65" s="119"/>
      <c r="G65" s="119"/>
      <c r="H65" s="119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</row>
    <row r="66" spans="1:22" s="1" customFormat="1" ht="16.5" x14ac:dyDescent="0.3">
      <c r="A66" s="119"/>
      <c r="B66" s="119"/>
      <c r="C66" s="119"/>
      <c r="D66" s="119"/>
      <c r="E66" s="119"/>
      <c r="F66" s="119"/>
      <c r="G66" s="119"/>
      <c r="H66" s="119"/>
      <c r="I66" s="119"/>
      <c r="J66" s="119"/>
      <c r="K66" s="119"/>
      <c r="L66" s="119"/>
      <c r="M66" s="119"/>
      <c r="N66" s="119"/>
      <c r="O66" s="119"/>
      <c r="P66" s="119"/>
      <c r="Q66" s="119"/>
      <c r="R66" s="119"/>
      <c r="S66" s="119"/>
      <c r="T66" s="119"/>
      <c r="U66" s="119"/>
      <c r="V66" s="119"/>
    </row>
    <row r="67" spans="1:22" s="1" customFormat="1" ht="16.5" x14ac:dyDescent="0.3">
      <c r="A67" s="119"/>
      <c r="B67" s="119"/>
      <c r="C67" s="119"/>
      <c r="D67" s="119"/>
      <c r="E67" s="119"/>
      <c r="F67" s="119"/>
      <c r="G67" s="119"/>
      <c r="H67" s="119"/>
      <c r="I67" s="119"/>
      <c r="J67" s="119"/>
      <c r="K67" s="119"/>
      <c r="L67" s="119"/>
      <c r="M67" s="119"/>
      <c r="N67" s="119"/>
      <c r="O67" s="119"/>
      <c r="P67" s="119"/>
      <c r="Q67" s="119"/>
      <c r="R67" s="119"/>
      <c r="S67" s="119"/>
      <c r="T67" s="119"/>
      <c r="U67" s="119"/>
      <c r="V67" s="119"/>
    </row>
    <row r="68" spans="1:22" s="1" customFormat="1" ht="16.5" x14ac:dyDescent="0.3">
      <c r="A68" s="119"/>
      <c r="B68" s="119"/>
      <c r="C68" s="119"/>
      <c r="D68" s="119"/>
      <c r="E68" s="119"/>
      <c r="F68" s="119"/>
      <c r="G68" s="119"/>
      <c r="H68" s="119"/>
      <c r="I68" s="119"/>
      <c r="J68" s="119"/>
      <c r="K68" s="119"/>
      <c r="L68" s="119"/>
      <c r="M68" s="119"/>
      <c r="N68" s="119"/>
      <c r="O68" s="119"/>
      <c r="P68" s="119"/>
      <c r="Q68" s="119"/>
      <c r="R68" s="119"/>
      <c r="S68" s="119"/>
      <c r="T68" s="119"/>
      <c r="U68" s="119"/>
      <c r="V68" s="119"/>
    </row>
    <row r="69" spans="1:22" s="1" customFormat="1" ht="16.5" x14ac:dyDescent="0.3">
      <c r="A69" s="119"/>
      <c r="B69" s="119"/>
      <c r="C69" s="119"/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</row>
    <row r="70" spans="1:22" s="1" customFormat="1" ht="16.5" x14ac:dyDescent="0.3">
      <c r="A70" s="119"/>
      <c r="B70" s="119"/>
      <c r="C70" s="119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</row>
    <row r="71" spans="1:22" s="1" customFormat="1" ht="16.5" x14ac:dyDescent="0.3">
      <c r="A71" s="119"/>
      <c r="B71" s="119"/>
      <c r="C71" s="119"/>
      <c r="D71" s="119"/>
      <c r="E71" s="119"/>
      <c r="F71" s="119"/>
      <c r="G71" s="119"/>
      <c r="H71" s="119"/>
      <c r="I71" s="119"/>
      <c r="J71" s="119"/>
      <c r="K71" s="119"/>
      <c r="L71" s="119"/>
      <c r="M71" s="119"/>
      <c r="N71" s="119"/>
      <c r="O71" s="119"/>
      <c r="P71" s="119"/>
      <c r="Q71" s="119"/>
      <c r="R71" s="119"/>
      <c r="S71" s="119"/>
      <c r="T71" s="119"/>
      <c r="U71" s="119"/>
      <c r="V71" s="119"/>
    </row>
    <row r="72" spans="1:22" s="1" customFormat="1" ht="16.5" x14ac:dyDescent="0.3">
      <c r="A72" s="119"/>
      <c r="B72" s="119"/>
      <c r="C72" s="119"/>
      <c r="D72" s="119"/>
      <c r="E72" s="119"/>
      <c r="F72" s="119"/>
      <c r="G72" s="119"/>
      <c r="H72" s="119"/>
      <c r="I72" s="119"/>
      <c r="J72" s="119"/>
      <c r="K72" s="119"/>
      <c r="L72" s="119"/>
      <c r="M72" s="119"/>
      <c r="N72" s="119"/>
      <c r="O72" s="119"/>
      <c r="P72" s="119"/>
      <c r="Q72" s="119"/>
      <c r="R72" s="119"/>
      <c r="S72" s="119"/>
      <c r="T72" s="119"/>
      <c r="U72" s="119"/>
      <c r="V72" s="119"/>
    </row>
    <row r="73" spans="1:22" s="1" customFormat="1" ht="16.5" x14ac:dyDescent="0.3">
      <c r="A73" s="119"/>
      <c r="B73" s="119"/>
      <c r="C73" s="119"/>
      <c r="D73" s="119"/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</row>
    <row r="74" spans="1:22" s="1" customFormat="1" ht="16.5" x14ac:dyDescent="0.3">
      <c r="A74" s="119"/>
      <c r="B74" s="119"/>
      <c r="C74" s="119"/>
      <c r="D74" s="119"/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</row>
    <row r="75" spans="1:22" s="1" customFormat="1" ht="16.5" x14ac:dyDescent="0.3">
      <c r="A75" s="119"/>
      <c r="B75" s="119"/>
      <c r="C75" s="119"/>
      <c r="D75" s="119"/>
      <c r="E75" s="119"/>
      <c r="F75" s="119"/>
      <c r="G75" s="119"/>
      <c r="H75" s="119"/>
      <c r="I75" s="119"/>
      <c r="J75" s="119"/>
      <c r="K75" s="119"/>
      <c r="L75" s="119"/>
      <c r="M75" s="119"/>
      <c r="N75" s="119"/>
      <c r="O75" s="119"/>
      <c r="P75" s="119"/>
      <c r="Q75" s="119"/>
      <c r="R75" s="119"/>
      <c r="S75" s="119"/>
      <c r="T75" s="119"/>
      <c r="U75" s="119"/>
      <c r="V75" s="119"/>
    </row>
    <row r="76" spans="1:22" s="1" customFormat="1" ht="16.5" x14ac:dyDescent="0.3">
      <c r="A76" s="119"/>
      <c r="B76" s="119"/>
      <c r="C76" s="119"/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119"/>
      <c r="U76" s="119"/>
      <c r="V76" s="119"/>
    </row>
    <row r="77" spans="1:22" s="1" customFormat="1" ht="16.5" x14ac:dyDescent="0.3">
      <c r="A77" s="119"/>
      <c r="B77" s="119"/>
      <c r="C77" s="119"/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119"/>
      <c r="U77" s="119"/>
      <c r="V77" s="119"/>
    </row>
    <row r="78" spans="1:22" s="1" customFormat="1" ht="16.5" x14ac:dyDescent="0.3">
      <c r="A78" s="119"/>
      <c r="B78" s="119"/>
      <c r="C78" s="119"/>
      <c r="D78" s="119"/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</row>
    <row r="79" spans="1:22" s="1" customFormat="1" ht="16.5" x14ac:dyDescent="0.3">
      <c r="A79" s="119"/>
      <c r="B79" s="119"/>
      <c r="C79" s="119"/>
      <c r="D79" s="119"/>
      <c r="E79" s="119"/>
      <c r="F79" s="119"/>
      <c r="G79" s="119"/>
      <c r="H79" s="119"/>
      <c r="I79" s="119"/>
      <c r="J79" s="119"/>
      <c r="K79" s="119"/>
      <c r="L79" s="119"/>
      <c r="M79" s="119"/>
      <c r="N79" s="119"/>
      <c r="O79" s="119"/>
      <c r="P79" s="119"/>
      <c r="Q79" s="119"/>
      <c r="R79" s="119"/>
      <c r="S79" s="119"/>
      <c r="T79" s="119"/>
      <c r="U79" s="119"/>
      <c r="V79" s="119"/>
    </row>
    <row r="80" spans="1:22" s="1" customFormat="1" ht="16.5" x14ac:dyDescent="0.3">
      <c r="A80" s="119"/>
      <c r="B80" s="119"/>
      <c r="C80" s="119"/>
      <c r="D80" s="119"/>
      <c r="E80" s="119"/>
      <c r="F80" s="119"/>
      <c r="G80" s="119"/>
      <c r="H80" s="119"/>
      <c r="I80" s="119"/>
      <c r="J80" s="119"/>
      <c r="K80" s="119"/>
      <c r="L80" s="119"/>
      <c r="M80" s="119"/>
      <c r="N80" s="119"/>
      <c r="O80" s="119"/>
      <c r="P80" s="119"/>
      <c r="Q80" s="119"/>
      <c r="R80" s="119"/>
      <c r="S80" s="119"/>
      <c r="T80" s="119"/>
      <c r="U80" s="119"/>
      <c r="V80" s="119"/>
    </row>
    <row r="81" spans="1:22" s="1" customFormat="1" ht="16.5" x14ac:dyDescent="0.3">
      <c r="A81" s="119"/>
      <c r="B81" s="119"/>
      <c r="C81" s="119"/>
      <c r="D81" s="119"/>
      <c r="E81" s="119"/>
      <c r="F81" s="119"/>
      <c r="G81" s="119"/>
      <c r="H81" s="119"/>
      <c r="I81" s="119"/>
      <c r="J81" s="119"/>
      <c r="K81" s="119"/>
      <c r="L81" s="119"/>
      <c r="M81" s="119"/>
      <c r="N81" s="119"/>
      <c r="O81" s="119"/>
      <c r="P81" s="119"/>
      <c r="Q81" s="119"/>
      <c r="R81" s="119"/>
      <c r="S81" s="119"/>
      <c r="T81" s="119"/>
      <c r="U81" s="119"/>
      <c r="V81" s="119"/>
    </row>
    <row r="82" spans="1:22" s="1" customFormat="1" ht="16.5" x14ac:dyDescent="0.3">
      <c r="A82" s="119"/>
      <c r="B82" s="119"/>
      <c r="C82" s="119"/>
      <c r="D82" s="119"/>
      <c r="E82" s="119"/>
      <c r="F82" s="119"/>
      <c r="G82" s="119"/>
      <c r="H82" s="119"/>
      <c r="I82" s="119"/>
      <c r="J82" s="119"/>
      <c r="K82" s="119"/>
      <c r="L82" s="119"/>
      <c r="M82" s="119"/>
      <c r="N82" s="119"/>
      <c r="O82" s="119"/>
      <c r="P82" s="119"/>
      <c r="Q82" s="119"/>
      <c r="R82" s="119"/>
      <c r="S82" s="119"/>
      <c r="T82" s="119"/>
      <c r="U82" s="119"/>
      <c r="V82" s="119"/>
    </row>
    <row r="83" spans="1:22" s="1" customFormat="1" ht="16.5" x14ac:dyDescent="0.3">
      <c r="A83" s="119"/>
      <c r="B83" s="119"/>
      <c r="C83" s="119"/>
      <c r="D83" s="119"/>
      <c r="E83" s="119"/>
      <c r="F83" s="119"/>
      <c r="G83" s="119"/>
      <c r="H83" s="119"/>
      <c r="I83" s="119"/>
      <c r="J83" s="119"/>
      <c r="K83" s="119"/>
      <c r="L83" s="119"/>
      <c r="M83" s="119"/>
      <c r="N83" s="119"/>
      <c r="O83" s="119"/>
      <c r="P83" s="119"/>
      <c r="Q83" s="119"/>
      <c r="R83" s="119"/>
      <c r="S83" s="119"/>
      <c r="T83" s="119"/>
      <c r="U83" s="119"/>
      <c r="V83" s="119"/>
    </row>
    <row r="84" spans="1:22" s="1" customFormat="1" ht="16.5" x14ac:dyDescent="0.3">
      <c r="A84" s="119"/>
      <c r="B84" s="119"/>
      <c r="C84" s="119"/>
      <c r="D84" s="119"/>
      <c r="E84" s="119"/>
      <c r="F84" s="119"/>
      <c r="G84" s="119"/>
      <c r="H84" s="119"/>
      <c r="I84" s="119"/>
      <c r="J84" s="119"/>
      <c r="K84" s="119"/>
      <c r="L84" s="119"/>
      <c r="M84" s="119"/>
      <c r="N84" s="119"/>
      <c r="O84" s="119"/>
      <c r="P84" s="119"/>
      <c r="Q84" s="119"/>
      <c r="R84" s="119"/>
      <c r="S84" s="119"/>
      <c r="T84" s="119"/>
      <c r="U84" s="119"/>
      <c r="V84" s="119"/>
    </row>
    <row r="85" spans="1:22" s="1" customFormat="1" ht="16.5" x14ac:dyDescent="0.3">
      <c r="A85" s="119"/>
      <c r="B85" s="119"/>
      <c r="C85" s="119"/>
      <c r="D85" s="119"/>
      <c r="E85" s="119"/>
      <c r="F85" s="119"/>
      <c r="G85" s="119"/>
      <c r="H85" s="119"/>
      <c r="I85" s="119"/>
      <c r="J85" s="119"/>
      <c r="K85" s="119"/>
      <c r="L85" s="119"/>
      <c r="M85" s="119"/>
      <c r="N85" s="119"/>
      <c r="O85" s="119"/>
      <c r="P85" s="119"/>
      <c r="Q85" s="119"/>
      <c r="R85" s="119"/>
      <c r="S85" s="119"/>
      <c r="T85" s="119"/>
      <c r="U85" s="119"/>
      <c r="V85" s="119"/>
    </row>
    <row r="86" spans="1:22" s="1" customFormat="1" ht="16.5" x14ac:dyDescent="0.3">
      <c r="A86" s="119"/>
      <c r="B86" s="119"/>
      <c r="C86" s="119"/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19"/>
      <c r="O86" s="119"/>
      <c r="P86" s="119"/>
      <c r="Q86" s="119"/>
      <c r="R86" s="119"/>
      <c r="S86" s="119"/>
      <c r="T86" s="119"/>
      <c r="U86" s="119"/>
      <c r="V86" s="119"/>
    </row>
    <row r="87" spans="1:22" s="1" customFormat="1" ht="16.5" x14ac:dyDescent="0.3">
      <c r="A87" s="119"/>
      <c r="B87" s="119"/>
      <c r="C87" s="119"/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19"/>
      <c r="O87" s="119"/>
      <c r="P87" s="119"/>
      <c r="Q87" s="119"/>
      <c r="R87" s="119"/>
      <c r="S87" s="119"/>
      <c r="T87" s="119"/>
      <c r="U87" s="119"/>
      <c r="V87" s="119"/>
    </row>
    <row r="88" spans="1:22" s="1" customFormat="1" ht="16.5" x14ac:dyDescent="0.3">
      <c r="A88" s="119"/>
      <c r="B88" s="119"/>
      <c r="C88" s="119"/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19"/>
      <c r="O88" s="119"/>
      <c r="P88" s="119"/>
      <c r="Q88" s="119"/>
      <c r="R88" s="119"/>
      <c r="S88" s="119"/>
      <c r="T88" s="119"/>
      <c r="U88" s="119"/>
      <c r="V88" s="119"/>
    </row>
    <row r="89" spans="1:22" s="1" customFormat="1" ht="16.5" x14ac:dyDescent="0.3">
      <c r="A89" s="119"/>
      <c r="B89" s="119"/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</row>
    <row r="90" spans="1:22" s="1" customFormat="1" ht="16.5" x14ac:dyDescent="0.3">
      <c r="A90" s="119"/>
      <c r="B90" s="119"/>
      <c r="C90" s="119"/>
      <c r="D90" s="119"/>
      <c r="E90" s="119"/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</row>
    <row r="91" spans="1:22" s="1" customFormat="1" ht="16.5" x14ac:dyDescent="0.3">
      <c r="A91" s="119"/>
      <c r="B91" s="119"/>
      <c r="C91" s="119"/>
      <c r="D91" s="119"/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</row>
    <row r="92" spans="1:22" s="1" customFormat="1" ht="16.5" x14ac:dyDescent="0.3">
      <c r="A92" s="119"/>
      <c r="B92" s="119"/>
      <c r="C92" s="119"/>
      <c r="D92" s="119"/>
      <c r="E92" s="119"/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</row>
    <row r="93" spans="1:22" s="1" customFormat="1" ht="16.5" x14ac:dyDescent="0.3">
      <c r="A93" s="119"/>
      <c r="B93" s="119"/>
      <c r="C93" s="119"/>
      <c r="D93" s="119"/>
      <c r="E93" s="119"/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</row>
    <row r="94" spans="1:22" s="1" customFormat="1" ht="16.5" x14ac:dyDescent="0.3">
      <c r="A94" s="119"/>
      <c r="B94" s="119"/>
      <c r="C94" s="119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</row>
    <row r="95" spans="1:22" s="1" customFormat="1" ht="16.5" x14ac:dyDescent="0.3">
      <c r="A95" s="119"/>
      <c r="B95" s="119"/>
      <c r="C95" s="119"/>
      <c r="D95" s="119"/>
      <c r="E95" s="119"/>
      <c r="F95" s="119"/>
      <c r="G95" s="119"/>
      <c r="H95" s="119"/>
      <c r="I95" s="119"/>
      <c r="J95" s="119"/>
      <c r="K95" s="119"/>
      <c r="L95" s="119"/>
      <c r="M95" s="119"/>
      <c r="N95" s="119"/>
      <c r="O95" s="119"/>
      <c r="P95" s="119"/>
      <c r="Q95" s="119"/>
      <c r="R95" s="119"/>
      <c r="S95" s="119"/>
      <c r="T95" s="119"/>
      <c r="U95" s="119"/>
      <c r="V95" s="119"/>
    </row>
    <row r="96" spans="1:22" s="1" customFormat="1" ht="16.5" x14ac:dyDescent="0.3">
      <c r="A96" s="119"/>
      <c r="B96" s="119"/>
      <c r="C96" s="119"/>
      <c r="D96" s="119"/>
      <c r="E96" s="119"/>
      <c r="F96" s="119"/>
      <c r="G96" s="119"/>
      <c r="H96" s="119"/>
      <c r="I96" s="119"/>
      <c r="J96" s="119"/>
      <c r="K96" s="119"/>
      <c r="L96" s="119"/>
      <c r="M96" s="119"/>
      <c r="N96" s="119"/>
      <c r="O96" s="119"/>
      <c r="P96" s="119"/>
      <c r="Q96" s="119"/>
      <c r="R96" s="119"/>
      <c r="S96" s="119"/>
      <c r="T96" s="119"/>
      <c r="U96" s="119"/>
      <c r="V96" s="119"/>
    </row>
    <row r="97" spans="1:22" s="1" customFormat="1" ht="16.5" x14ac:dyDescent="0.3">
      <c r="A97" s="119"/>
      <c r="B97" s="119"/>
      <c r="C97" s="119"/>
      <c r="D97" s="119"/>
      <c r="E97" s="119"/>
      <c r="F97" s="119"/>
      <c r="G97" s="119"/>
      <c r="H97" s="119"/>
      <c r="I97" s="119"/>
      <c r="J97" s="119"/>
      <c r="K97" s="119"/>
      <c r="L97" s="119"/>
      <c r="M97" s="119"/>
      <c r="N97" s="119"/>
      <c r="O97" s="119"/>
      <c r="P97" s="119"/>
      <c r="Q97" s="119"/>
      <c r="R97" s="119"/>
      <c r="S97" s="119"/>
      <c r="T97" s="119"/>
      <c r="U97" s="119"/>
      <c r="V97" s="119"/>
    </row>
    <row r="98" spans="1:22" s="1" customFormat="1" ht="16.5" x14ac:dyDescent="0.3">
      <c r="A98" s="119"/>
      <c r="B98" s="119"/>
      <c r="C98" s="119"/>
      <c r="D98" s="119"/>
      <c r="E98" s="119"/>
      <c r="F98" s="119"/>
      <c r="G98" s="119"/>
      <c r="H98" s="119"/>
      <c r="I98" s="119"/>
      <c r="J98" s="119"/>
      <c r="K98" s="119"/>
      <c r="L98" s="119"/>
      <c r="M98" s="119"/>
      <c r="N98" s="119"/>
      <c r="O98" s="119"/>
      <c r="P98" s="119"/>
      <c r="Q98" s="119"/>
      <c r="R98" s="119"/>
      <c r="S98" s="119"/>
      <c r="T98" s="119"/>
      <c r="U98" s="119"/>
      <c r="V98" s="119"/>
    </row>
    <row r="99" spans="1:22" s="1" customFormat="1" ht="16.5" x14ac:dyDescent="0.3">
      <c r="A99" s="119"/>
      <c r="B99" s="119"/>
      <c r="C99" s="119"/>
      <c r="D99" s="119"/>
      <c r="E99" s="119"/>
      <c r="F99" s="119"/>
      <c r="G99" s="119"/>
      <c r="H99" s="119"/>
      <c r="I99" s="119"/>
      <c r="J99" s="119"/>
      <c r="K99" s="119"/>
      <c r="L99" s="119"/>
      <c r="M99" s="119"/>
      <c r="N99" s="119"/>
      <c r="O99" s="119"/>
      <c r="P99" s="119"/>
      <c r="Q99" s="119"/>
      <c r="R99" s="119"/>
      <c r="S99" s="119"/>
      <c r="T99" s="119"/>
      <c r="U99" s="119"/>
      <c r="V99" s="119"/>
    </row>
    <row r="100" spans="1:22" s="1" customFormat="1" ht="16.5" x14ac:dyDescent="0.3">
      <c r="A100" s="119"/>
      <c r="B100" s="119"/>
      <c r="C100" s="119"/>
      <c r="D100" s="119"/>
      <c r="E100" s="119"/>
      <c r="F100" s="119"/>
      <c r="G100" s="119"/>
      <c r="H100" s="119"/>
      <c r="I100" s="119"/>
      <c r="J100" s="119"/>
      <c r="K100" s="119"/>
      <c r="L100" s="119"/>
      <c r="M100" s="119"/>
      <c r="N100" s="119"/>
      <c r="O100" s="119"/>
      <c r="P100" s="119"/>
      <c r="Q100" s="119"/>
      <c r="R100" s="119"/>
      <c r="S100" s="119"/>
      <c r="T100" s="119"/>
      <c r="U100" s="119"/>
      <c r="V100" s="119"/>
    </row>
    <row r="101" spans="1:22" s="1" customFormat="1" ht="16.5" x14ac:dyDescent="0.3">
      <c r="A101" s="119"/>
      <c r="B101" s="119"/>
      <c r="C101" s="119"/>
      <c r="D101" s="119"/>
      <c r="E101" s="119"/>
      <c r="F101" s="119"/>
      <c r="G101" s="119"/>
      <c r="H101" s="119"/>
      <c r="I101" s="119"/>
      <c r="J101" s="119"/>
      <c r="K101" s="119"/>
      <c r="L101" s="119"/>
      <c r="M101" s="119"/>
      <c r="N101" s="119"/>
      <c r="O101" s="119"/>
      <c r="P101" s="119"/>
      <c r="Q101" s="119"/>
      <c r="R101" s="119"/>
      <c r="S101" s="119"/>
      <c r="T101" s="119"/>
      <c r="U101" s="119"/>
      <c r="V101" s="119"/>
    </row>
    <row r="102" spans="1:22" s="1" customFormat="1" ht="16.5" x14ac:dyDescent="0.3">
      <c r="A102" s="119"/>
      <c r="B102" s="119"/>
      <c r="C102" s="119"/>
      <c r="D102" s="119"/>
      <c r="E102" s="119"/>
      <c r="F102" s="119"/>
      <c r="G102" s="119"/>
      <c r="H102" s="119"/>
      <c r="I102" s="119"/>
      <c r="J102" s="119"/>
      <c r="K102" s="119"/>
      <c r="L102" s="119"/>
      <c r="M102" s="119"/>
      <c r="N102" s="119"/>
      <c r="O102" s="119"/>
      <c r="P102" s="119"/>
      <c r="Q102" s="119"/>
      <c r="R102" s="119"/>
      <c r="S102" s="119"/>
      <c r="T102" s="119"/>
      <c r="U102" s="119"/>
      <c r="V102" s="119"/>
    </row>
    <row r="103" spans="1:22" s="1" customFormat="1" ht="16.5" x14ac:dyDescent="0.3">
      <c r="A103" s="119"/>
      <c r="B103" s="119"/>
      <c r="C103" s="119"/>
      <c r="D103" s="119"/>
      <c r="E103" s="119"/>
      <c r="F103" s="119"/>
      <c r="G103" s="119"/>
      <c r="H103" s="119"/>
      <c r="I103" s="119"/>
      <c r="J103" s="119"/>
      <c r="K103" s="119"/>
      <c r="L103" s="119"/>
      <c r="M103" s="119"/>
      <c r="N103" s="119"/>
      <c r="O103" s="119"/>
      <c r="P103" s="119"/>
      <c r="Q103" s="119"/>
      <c r="R103" s="119"/>
      <c r="S103" s="119"/>
      <c r="T103" s="119"/>
      <c r="U103" s="119"/>
      <c r="V103" s="119"/>
    </row>
    <row r="104" spans="1:22" s="1" customFormat="1" ht="16.5" x14ac:dyDescent="0.3">
      <c r="A104" s="119"/>
      <c r="B104" s="119"/>
      <c r="C104" s="119"/>
      <c r="D104" s="119"/>
      <c r="E104" s="119"/>
      <c r="F104" s="119"/>
      <c r="G104" s="119"/>
      <c r="H104" s="119"/>
      <c r="I104" s="119"/>
      <c r="J104" s="119"/>
      <c r="K104" s="119"/>
      <c r="L104" s="119"/>
      <c r="M104" s="119"/>
      <c r="N104" s="119"/>
      <c r="O104" s="119"/>
      <c r="P104" s="119"/>
      <c r="Q104" s="119"/>
      <c r="R104" s="119"/>
      <c r="S104" s="119"/>
      <c r="T104" s="119"/>
      <c r="U104" s="119"/>
      <c r="V104" s="119"/>
    </row>
    <row r="105" spans="1:22" s="1" customFormat="1" ht="16.5" x14ac:dyDescent="0.3">
      <c r="A105" s="119"/>
      <c r="B105" s="119"/>
      <c r="C105" s="119"/>
      <c r="D105" s="119"/>
      <c r="E105" s="119"/>
      <c r="F105" s="119"/>
      <c r="G105" s="119"/>
      <c r="H105" s="119"/>
      <c r="I105" s="119"/>
      <c r="J105" s="119"/>
      <c r="K105" s="119"/>
      <c r="L105" s="119"/>
      <c r="M105" s="119"/>
      <c r="N105" s="119"/>
      <c r="O105" s="119"/>
      <c r="P105" s="119"/>
      <c r="Q105" s="119"/>
      <c r="R105" s="119"/>
      <c r="S105" s="119"/>
      <c r="T105" s="119"/>
      <c r="U105" s="119"/>
      <c r="V105" s="119"/>
    </row>
    <row r="106" spans="1:22" s="1" customFormat="1" ht="16.5" x14ac:dyDescent="0.3">
      <c r="A106" s="119"/>
      <c r="B106" s="119"/>
      <c r="C106" s="119"/>
      <c r="D106" s="119"/>
      <c r="E106" s="119"/>
      <c r="F106" s="119"/>
      <c r="G106" s="119"/>
      <c r="H106" s="119"/>
      <c r="I106" s="119"/>
      <c r="J106" s="119"/>
      <c r="K106" s="119"/>
      <c r="L106" s="119"/>
      <c r="M106" s="119"/>
      <c r="N106" s="119"/>
      <c r="O106" s="119"/>
      <c r="P106" s="119"/>
      <c r="Q106" s="119"/>
      <c r="R106" s="119"/>
      <c r="S106" s="119"/>
      <c r="T106" s="119"/>
      <c r="U106" s="119"/>
      <c r="V106" s="119"/>
    </row>
    <row r="107" spans="1:22" s="1" customFormat="1" ht="16.5" x14ac:dyDescent="0.3">
      <c r="A107" s="119"/>
      <c r="B107" s="119"/>
      <c r="C107" s="119"/>
      <c r="D107" s="119"/>
      <c r="E107" s="119"/>
      <c r="F107" s="119"/>
      <c r="G107" s="119"/>
      <c r="H107" s="119"/>
      <c r="I107" s="119"/>
      <c r="J107" s="119"/>
      <c r="K107" s="119"/>
      <c r="L107" s="119"/>
      <c r="M107" s="119"/>
      <c r="N107" s="119"/>
      <c r="O107" s="119"/>
      <c r="P107" s="119"/>
      <c r="Q107" s="119"/>
      <c r="R107" s="119"/>
      <c r="S107" s="119"/>
      <c r="T107" s="119"/>
      <c r="U107" s="119"/>
      <c r="V107" s="119"/>
    </row>
    <row r="108" spans="1:22" s="1" customFormat="1" ht="16.5" x14ac:dyDescent="0.3">
      <c r="A108" s="119"/>
      <c r="B108" s="119"/>
      <c r="C108" s="119"/>
      <c r="D108" s="119"/>
      <c r="E108" s="119"/>
      <c r="F108" s="119"/>
      <c r="G108" s="119"/>
      <c r="H108" s="119"/>
      <c r="I108" s="119"/>
      <c r="J108" s="119"/>
      <c r="K108" s="119"/>
      <c r="L108" s="119"/>
      <c r="M108" s="119"/>
      <c r="N108" s="119"/>
      <c r="O108" s="119"/>
      <c r="P108" s="119"/>
      <c r="Q108" s="119"/>
      <c r="R108" s="119"/>
      <c r="S108" s="119"/>
      <c r="T108" s="119"/>
      <c r="U108" s="119"/>
      <c r="V108" s="119"/>
    </row>
    <row r="109" spans="1:22" s="1" customFormat="1" ht="16.5" x14ac:dyDescent="0.3">
      <c r="A109" s="119"/>
      <c r="B109" s="119"/>
      <c r="C109" s="119"/>
      <c r="D109" s="119"/>
      <c r="E109" s="119"/>
      <c r="F109" s="119"/>
      <c r="G109" s="119"/>
      <c r="H109" s="119"/>
      <c r="I109" s="119"/>
      <c r="J109" s="119"/>
      <c r="K109" s="119"/>
      <c r="L109" s="119"/>
      <c r="M109" s="119"/>
      <c r="N109" s="119"/>
      <c r="O109" s="119"/>
      <c r="P109" s="119"/>
      <c r="Q109" s="119"/>
      <c r="R109" s="119"/>
      <c r="S109" s="119"/>
      <c r="T109" s="119"/>
      <c r="U109" s="119"/>
      <c r="V109" s="119"/>
    </row>
    <row r="110" spans="1:22" s="1" customFormat="1" ht="16.5" x14ac:dyDescent="0.3">
      <c r="A110" s="119"/>
      <c r="B110" s="119"/>
      <c r="C110" s="119"/>
      <c r="D110" s="119"/>
      <c r="E110" s="119"/>
      <c r="F110" s="119"/>
      <c r="G110" s="119"/>
      <c r="H110" s="119"/>
      <c r="I110" s="119"/>
      <c r="J110" s="119"/>
      <c r="K110" s="119"/>
      <c r="L110" s="119"/>
      <c r="M110" s="119"/>
      <c r="N110" s="119"/>
      <c r="O110" s="119"/>
      <c r="P110" s="119"/>
      <c r="Q110" s="119"/>
      <c r="R110" s="119"/>
      <c r="S110" s="119"/>
      <c r="T110" s="119"/>
      <c r="U110" s="119"/>
      <c r="V110" s="119"/>
    </row>
    <row r="111" spans="1:22" s="1" customFormat="1" ht="16.5" x14ac:dyDescent="0.3">
      <c r="A111" s="119"/>
      <c r="B111" s="119"/>
      <c r="C111" s="119"/>
      <c r="D111" s="119"/>
      <c r="E111" s="119"/>
      <c r="F111" s="119"/>
      <c r="G111" s="119"/>
      <c r="H111" s="119"/>
      <c r="I111" s="119"/>
      <c r="J111" s="119"/>
      <c r="K111" s="119"/>
      <c r="L111" s="119"/>
      <c r="M111" s="119"/>
      <c r="N111" s="119"/>
      <c r="O111" s="119"/>
      <c r="P111" s="119"/>
      <c r="Q111" s="119"/>
      <c r="R111" s="119"/>
      <c r="S111" s="119"/>
      <c r="T111" s="119"/>
      <c r="U111" s="119"/>
      <c r="V111" s="119"/>
    </row>
    <row r="112" spans="1:22" s="1" customFormat="1" ht="16.5" x14ac:dyDescent="0.3">
      <c r="A112" s="119"/>
      <c r="B112" s="119"/>
      <c r="C112" s="119"/>
      <c r="D112" s="119"/>
      <c r="E112" s="119"/>
      <c r="F112" s="119"/>
      <c r="G112" s="119"/>
      <c r="H112" s="119"/>
      <c r="I112" s="119"/>
      <c r="J112" s="119"/>
      <c r="K112" s="119"/>
      <c r="L112" s="119"/>
      <c r="M112" s="119"/>
      <c r="N112" s="119"/>
      <c r="O112" s="119"/>
      <c r="P112" s="119"/>
      <c r="Q112" s="119"/>
      <c r="R112" s="119"/>
      <c r="S112" s="119"/>
      <c r="T112" s="119"/>
      <c r="U112" s="119"/>
      <c r="V112" s="119"/>
    </row>
    <row r="113" spans="1:22" s="1" customFormat="1" ht="16.5" x14ac:dyDescent="0.3">
      <c r="A113" s="119"/>
      <c r="B113" s="119"/>
      <c r="C113" s="119"/>
      <c r="D113" s="119"/>
      <c r="E113" s="119"/>
      <c r="F113" s="119"/>
      <c r="G113" s="119"/>
      <c r="H113" s="119"/>
      <c r="I113" s="119"/>
      <c r="J113" s="119"/>
      <c r="K113" s="119"/>
      <c r="L113" s="119"/>
      <c r="M113" s="119"/>
      <c r="N113" s="119"/>
      <c r="O113" s="119"/>
      <c r="P113" s="119"/>
      <c r="Q113" s="119"/>
      <c r="R113" s="119"/>
      <c r="S113" s="119"/>
      <c r="T113" s="119"/>
      <c r="U113" s="119"/>
      <c r="V113" s="119"/>
    </row>
    <row r="114" spans="1:22" s="1" customFormat="1" ht="16.5" x14ac:dyDescent="0.3">
      <c r="A114" s="119"/>
      <c r="B114" s="119"/>
      <c r="C114" s="119"/>
      <c r="D114" s="119"/>
      <c r="E114" s="119"/>
      <c r="F114" s="119"/>
      <c r="G114" s="119"/>
      <c r="H114" s="119"/>
      <c r="I114" s="119"/>
      <c r="J114" s="119"/>
      <c r="K114" s="119"/>
      <c r="L114" s="119"/>
      <c r="M114" s="119"/>
      <c r="N114" s="119"/>
      <c r="O114" s="119"/>
      <c r="P114" s="119"/>
      <c r="Q114" s="119"/>
      <c r="R114" s="119"/>
      <c r="S114" s="119"/>
      <c r="T114" s="119"/>
      <c r="U114" s="119"/>
      <c r="V114" s="119"/>
    </row>
    <row r="115" spans="1:22" s="1" customFormat="1" ht="16.5" x14ac:dyDescent="0.3">
      <c r="A115" s="119"/>
      <c r="B115" s="119"/>
      <c r="C115" s="119"/>
      <c r="D115" s="119"/>
      <c r="E115" s="119"/>
      <c r="F115" s="119"/>
      <c r="G115" s="119"/>
      <c r="H115" s="119"/>
      <c r="I115" s="119"/>
      <c r="J115" s="119"/>
      <c r="K115" s="119"/>
      <c r="L115" s="119"/>
      <c r="M115" s="119"/>
      <c r="N115" s="119"/>
      <c r="O115" s="119"/>
      <c r="P115" s="119"/>
      <c r="Q115" s="119"/>
      <c r="R115" s="119"/>
      <c r="S115" s="119"/>
      <c r="T115" s="119"/>
      <c r="U115" s="119"/>
      <c r="V115" s="119"/>
    </row>
    <row r="116" spans="1:22" s="1" customFormat="1" ht="16.5" x14ac:dyDescent="0.3">
      <c r="A116" s="119"/>
      <c r="B116" s="119"/>
      <c r="C116" s="119"/>
      <c r="D116" s="119"/>
      <c r="E116" s="119"/>
      <c r="F116" s="119"/>
      <c r="G116" s="119"/>
      <c r="H116" s="119"/>
      <c r="I116" s="119"/>
      <c r="J116" s="119"/>
      <c r="K116" s="119"/>
      <c r="L116" s="119"/>
      <c r="M116" s="119"/>
      <c r="N116" s="119"/>
      <c r="O116" s="119"/>
      <c r="P116" s="119"/>
      <c r="Q116" s="119"/>
      <c r="R116" s="119"/>
      <c r="S116" s="119"/>
      <c r="T116" s="119"/>
      <c r="U116" s="119"/>
      <c r="V116" s="119"/>
    </row>
    <row r="117" spans="1:22" s="1" customFormat="1" ht="16.5" x14ac:dyDescent="0.3">
      <c r="A117" s="119"/>
      <c r="B117" s="119"/>
      <c r="C117" s="119"/>
      <c r="D117" s="119"/>
      <c r="E117" s="119"/>
      <c r="F117" s="119"/>
      <c r="G117" s="119"/>
      <c r="H117" s="119"/>
      <c r="I117" s="119"/>
      <c r="J117" s="119"/>
      <c r="K117" s="119"/>
      <c r="L117" s="119"/>
      <c r="M117" s="119"/>
      <c r="N117" s="119"/>
      <c r="O117" s="119"/>
      <c r="P117" s="119"/>
      <c r="Q117" s="119"/>
      <c r="R117" s="119"/>
      <c r="S117" s="119"/>
      <c r="T117" s="119"/>
      <c r="U117" s="119"/>
      <c r="V117" s="119"/>
    </row>
    <row r="118" spans="1:22" s="1" customFormat="1" ht="16.5" x14ac:dyDescent="0.3">
      <c r="A118" s="119"/>
      <c r="B118" s="119"/>
      <c r="C118" s="119"/>
      <c r="D118" s="119"/>
      <c r="E118" s="119"/>
      <c r="F118" s="119"/>
      <c r="G118" s="119"/>
      <c r="H118" s="119"/>
      <c r="I118" s="119"/>
      <c r="J118" s="119"/>
      <c r="K118" s="119"/>
      <c r="L118" s="119"/>
      <c r="M118" s="119"/>
      <c r="N118" s="119"/>
      <c r="O118" s="119"/>
      <c r="P118" s="119"/>
      <c r="Q118" s="119"/>
      <c r="R118" s="119"/>
      <c r="S118" s="119"/>
      <c r="T118" s="119"/>
      <c r="U118" s="119"/>
      <c r="V118" s="119"/>
    </row>
    <row r="119" spans="1:22" s="1" customFormat="1" ht="16.5" x14ac:dyDescent="0.3">
      <c r="A119" s="119"/>
      <c r="B119" s="119"/>
      <c r="C119" s="119"/>
      <c r="D119" s="119"/>
      <c r="E119" s="119"/>
      <c r="F119" s="119"/>
      <c r="G119" s="119"/>
      <c r="H119" s="119"/>
      <c r="I119" s="119"/>
      <c r="J119" s="119"/>
      <c r="K119" s="119"/>
      <c r="L119" s="119"/>
      <c r="M119" s="119"/>
      <c r="N119" s="119"/>
      <c r="O119" s="119"/>
      <c r="P119" s="119"/>
      <c r="Q119" s="119"/>
      <c r="R119" s="119"/>
      <c r="S119" s="119"/>
      <c r="T119" s="119"/>
      <c r="U119" s="119"/>
      <c r="V119" s="119"/>
    </row>
    <row r="120" spans="1:22" s="1" customFormat="1" ht="16.5" x14ac:dyDescent="0.3">
      <c r="A120" s="119"/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  <c r="N120" s="119"/>
      <c r="O120" s="119"/>
      <c r="P120" s="119"/>
      <c r="Q120" s="119"/>
      <c r="R120" s="119"/>
      <c r="S120" s="119"/>
      <c r="T120" s="119"/>
      <c r="U120" s="119"/>
      <c r="V120" s="119"/>
    </row>
    <row r="121" spans="1:22" s="1" customFormat="1" ht="16.5" x14ac:dyDescent="0.3">
      <c r="A121" s="119"/>
      <c r="B121" s="119"/>
      <c r="C121" s="119"/>
      <c r="D121" s="119"/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</row>
    <row r="122" spans="1:22" s="1" customFormat="1" ht="16.5" x14ac:dyDescent="0.3">
      <c r="A122" s="119"/>
      <c r="B122" s="119"/>
      <c r="C122" s="119"/>
      <c r="D122" s="119"/>
      <c r="E122" s="119"/>
      <c r="F122" s="119"/>
      <c r="G122" s="119"/>
      <c r="H122" s="119"/>
      <c r="I122" s="119"/>
      <c r="J122" s="119"/>
      <c r="K122" s="119"/>
      <c r="L122" s="119"/>
      <c r="M122" s="119"/>
      <c r="N122" s="119"/>
      <c r="O122" s="119"/>
      <c r="P122" s="119"/>
      <c r="Q122" s="119"/>
      <c r="R122" s="119"/>
      <c r="S122" s="119"/>
      <c r="T122" s="119"/>
      <c r="U122" s="119"/>
      <c r="V122" s="119"/>
    </row>
    <row r="123" spans="1:22" s="1" customFormat="1" ht="16.5" x14ac:dyDescent="0.3">
      <c r="A123" s="119"/>
      <c r="B123" s="119"/>
      <c r="C123" s="119"/>
      <c r="D123" s="119"/>
      <c r="E123" s="119"/>
      <c r="F123" s="119"/>
      <c r="G123" s="119"/>
      <c r="H123" s="119"/>
      <c r="I123" s="119"/>
      <c r="J123" s="119"/>
      <c r="K123" s="119"/>
      <c r="L123" s="119"/>
      <c r="M123" s="119"/>
      <c r="N123" s="119"/>
      <c r="O123" s="119"/>
      <c r="P123" s="119"/>
      <c r="Q123" s="119"/>
      <c r="R123" s="119"/>
      <c r="S123" s="119"/>
      <c r="T123" s="119"/>
      <c r="U123" s="119"/>
      <c r="V123" s="119"/>
    </row>
    <row r="124" spans="1:22" s="1" customFormat="1" ht="16.5" x14ac:dyDescent="0.3">
      <c r="A124" s="119"/>
      <c r="B124" s="119"/>
      <c r="C124" s="119"/>
      <c r="D124" s="119"/>
      <c r="E124" s="119"/>
      <c r="F124" s="119"/>
      <c r="G124" s="119"/>
      <c r="H124" s="119"/>
      <c r="I124" s="119"/>
      <c r="J124" s="119"/>
      <c r="K124" s="119"/>
      <c r="L124" s="119"/>
      <c r="M124" s="119"/>
      <c r="N124" s="119"/>
      <c r="O124" s="119"/>
      <c r="P124" s="119"/>
      <c r="Q124" s="119"/>
      <c r="R124" s="119"/>
      <c r="S124" s="119"/>
      <c r="T124" s="119"/>
      <c r="U124" s="119"/>
      <c r="V124" s="119"/>
    </row>
    <row r="125" spans="1:22" s="1" customFormat="1" ht="16.5" x14ac:dyDescent="0.3">
      <c r="A125" s="119"/>
      <c r="B125" s="119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</row>
    <row r="126" spans="1:22" s="1" customFormat="1" ht="16.5" x14ac:dyDescent="0.3">
      <c r="A126" s="119"/>
      <c r="B126" s="119"/>
      <c r="C126" s="119"/>
      <c r="D126" s="119"/>
      <c r="E126" s="119"/>
      <c r="F126" s="119"/>
      <c r="G126" s="119"/>
      <c r="H126" s="119"/>
      <c r="I126" s="119"/>
      <c r="J126" s="119"/>
      <c r="K126" s="119"/>
      <c r="L126" s="119"/>
      <c r="M126" s="119"/>
      <c r="N126" s="119"/>
      <c r="O126" s="119"/>
      <c r="P126" s="119"/>
      <c r="Q126" s="119"/>
      <c r="R126" s="119"/>
      <c r="S126" s="119"/>
      <c r="T126" s="119"/>
      <c r="U126" s="119"/>
      <c r="V126" s="119"/>
    </row>
    <row r="127" spans="1:22" s="1" customFormat="1" ht="16.5" x14ac:dyDescent="0.3">
      <c r="A127" s="119"/>
      <c r="B127" s="119"/>
      <c r="C127" s="119"/>
      <c r="D127" s="119"/>
      <c r="E127" s="119"/>
      <c r="F127" s="119"/>
      <c r="G127" s="119"/>
      <c r="H127" s="119"/>
      <c r="I127" s="119"/>
      <c r="J127" s="119"/>
      <c r="K127" s="119"/>
      <c r="L127" s="119"/>
      <c r="M127" s="119"/>
      <c r="N127" s="119"/>
      <c r="O127" s="119"/>
      <c r="P127" s="119"/>
      <c r="Q127" s="119"/>
      <c r="R127" s="119"/>
      <c r="S127" s="119"/>
      <c r="T127" s="119"/>
      <c r="U127" s="119"/>
      <c r="V127" s="119"/>
    </row>
    <row r="128" spans="1:22" s="1" customFormat="1" ht="16.5" x14ac:dyDescent="0.3">
      <c r="A128" s="119"/>
      <c r="B128" s="119"/>
      <c r="C128" s="119"/>
      <c r="D128" s="119"/>
      <c r="E128" s="119"/>
      <c r="F128" s="119"/>
      <c r="G128" s="119"/>
      <c r="H128" s="119"/>
      <c r="I128" s="119"/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</row>
    <row r="129" spans="1:22" s="1" customFormat="1" ht="16.5" x14ac:dyDescent="0.3">
      <c r="A129" s="119"/>
      <c r="B129" s="119"/>
      <c r="C129" s="119"/>
      <c r="D129" s="119"/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</row>
    <row r="130" spans="1:22" s="1" customFormat="1" ht="16.5" x14ac:dyDescent="0.3">
      <c r="A130" s="119"/>
      <c r="B130" s="119"/>
      <c r="C130" s="119"/>
      <c r="D130" s="119"/>
      <c r="E130" s="119"/>
      <c r="F130" s="119"/>
      <c r="G130" s="119"/>
      <c r="H130" s="119"/>
      <c r="I130" s="119"/>
      <c r="J130" s="119"/>
      <c r="K130" s="119"/>
      <c r="L130" s="119"/>
      <c r="M130" s="119"/>
      <c r="N130" s="119"/>
      <c r="O130" s="119"/>
      <c r="P130" s="119"/>
      <c r="Q130" s="119"/>
      <c r="R130" s="119"/>
      <c r="S130" s="119"/>
      <c r="T130" s="119"/>
      <c r="U130" s="119"/>
      <c r="V130" s="119"/>
    </row>
    <row r="131" spans="1:22" s="1" customFormat="1" ht="16.5" x14ac:dyDescent="0.3">
      <c r="A131" s="119"/>
      <c r="B131" s="119"/>
      <c r="C131" s="119"/>
      <c r="D131" s="119"/>
      <c r="E131" s="119"/>
      <c r="F131" s="119"/>
      <c r="G131" s="119"/>
      <c r="H131" s="119"/>
      <c r="I131" s="119"/>
      <c r="J131" s="119"/>
      <c r="K131" s="119"/>
      <c r="L131" s="119"/>
      <c r="M131" s="119"/>
      <c r="N131" s="119"/>
      <c r="O131" s="119"/>
      <c r="P131" s="119"/>
      <c r="Q131" s="119"/>
      <c r="R131" s="119"/>
      <c r="S131" s="119"/>
      <c r="T131" s="119"/>
      <c r="U131" s="119"/>
      <c r="V131" s="119"/>
    </row>
    <row r="132" spans="1:22" s="1" customFormat="1" ht="16.5" x14ac:dyDescent="0.3">
      <c r="A132" s="119"/>
      <c r="B132" s="119"/>
      <c r="C132" s="119"/>
      <c r="D132" s="119"/>
      <c r="E132" s="119"/>
      <c r="F132" s="119"/>
      <c r="G132" s="119"/>
      <c r="H132" s="119"/>
      <c r="I132" s="119"/>
      <c r="J132" s="119"/>
      <c r="K132" s="119"/>
      <c r="L132" s="119"/>
      <c r="M132" s="119"/>
      <c r="N132" s="119"/>
      <c r="O132" s="119"/>
      <c r="P132" s="119"/>
      <c r="Q132" s="119"/>
      <c r="R132" s="119"/>
      <c r="S132" s="119"/>
      <c r="T132" s="119"/>
      <c r="U132" s="119"/>
      <c r="V132" s="119"/>
    </row>
    <row r="133" spans="1:22" s="1" customFormat="1" ht="16.5" x14ac:dyDescent="0.3">
      <c r="A133" s="119"/>
      <c r="B133" s="119"/>
      <c r="C133" s="119"/>
      <c r="D133" s="119"/>
      <c r="E133" s="119"/>
      <c r="F133" s="119"/>
      <c r="G133" s="119"/>
      <c r="H133" s="119"/>
      <c r="I133" s="119"/>
      <c r="J133" s="119"/>
      <c r="K133" s="119"/>
      <c r="L133" s="119"/>
      <c r="M133" s="119"/>
      <c r="N133" s="119"/>
      <c r="O133" s="119"/>
      <c r="P133" s="119"/>
      <c r="Q133" s="119"/>
      <c r="R133" s="119"/>
      <c r="S133" s="119"/>
      <c r="T133" s="119"/>
      <c r="U133" s="119"/>
      <c r="V133" s="119"/>
    </row>
    <row r="134" spans="1:22" s="1" customFormat="1" ht="16.5" x14ac:dyDescent="0.3">
      <c r="A134" s="119"/>
      <c r="B134" s="119"/>
      <c r="C134" s="119"/>
      <c r="D134" s="119"/>
      <c r="E134" s="119"/>
      <c r="F134" s="119"/>
      <c r="G134" s="119"/>
      <c r="H134" s="119"/>
      <c r="I134" s="119"/>
      <c r="J134" s="119"/>
      <c r="K134" s="119"/>
      <c r="L134" s="119"/>
      <c r="M134" s="119"/>
      <c r="N134" s="119"/>
      <c r="O134" s="119"/>
      <c r="P134" s="119"/>
      <c r="Q134" s="119"/>
      <c r="R134" s="119"/>
      <c r="S134" s="119"/>
      <c r="T134" s="119"/>
      <c r="U134" s="119"/>
      <c r="V134" s="119"/>
    </row>
    <row r="135" spans="1:22" s="1" customFormat="1" ht="16.5" x14ac:dyDescent="0.3">
      <c r="A135" s="119"/>
      <c r="B135" s="119"/>
      <c r="C135" s="119"/>
      <c r="D135" s="119"/>
      <c r="E135" s="119"/>
      <c r="F135" s="119"/>
      <c r="G135" s="119"/>
      <c r="H135" s="119"/>
      <c r="I135" s="119"/>
      <c r="J135" s="119"/>
      <c r="K135" s="119"/>
      <c r="L135" s="119"/>
      <c r="M135" s="119"/>
      <c r="N135" s="119"/>
      <c r="O135" s="119"/>
      <c r="P135" s="119"/>
      <c r="Q135" s="119"/>
      <c r="R135" s="119"/>
      <c r="S135" s="119"/>
      <c r="T135" s="119"/>
      <c r="U135" s="119"/>
      <c r="V135" s="119"/>
    </row>
    <row r="136" spans="1:22" s="1" customFormat="1" ht="16.5" x14ac:dyDescent="0.3">
      <c r="A136" s="119"/>
      <c r="B136" s="119"/>
      <c r="C136" s="119"/>
      <c r="D136" s="119"/>
      <c r="E136" s="119"/>
      <c r="F136" s="119"/>
      <c r="G136" s="119"/>
      <c r="H136" s="119"/>
      <c r="I136" s="119"/>
      <c r="J136" s="119"/>
      <c r="K136" s="119"/>
      <c r="L136" s="119"/>
      <c r="M136" s="119"/>
      <c r="N136" s="119"/>
      <c r="O136" s="119"/>
      <c r="P136" s="119"/>
      <c r="Q136" s="119"/>
      <c r="R136" s="119"/>
      <c r="S136" s="119"/>
      <c r="T136" s="119"/>
      <c r="U136" s="119"/>
      <c r="V136" s="119"/>
    </row>
    <row r="137" spans="1:22" s="1" customFormat="1" ht="16.5" x14ac:dyDescent="0.3">
      <c r="A137" s="119"/>
      <c r="B137" s="119"/>
      <c r="C137" s="119"/>
      <c r="D137" s="119"/>
      <c r="E137" s="119"/>
      <c r="F137" s="119"/>
      <c r="G137" s="119"/>
      <c r="H137" s="119"/>
      <c r="I137" s="119"/>
      <c r="J137" s="119"/>
      <c r="K137" s="119"/>
      <c r="L137" s="119"/>
      <c r="M137" s="119"/>
      <c r="N137" s="119"/>
      <c r="O137" s="119"/>
      <c r="P137" s="119"/>
      <c r="Q137" s="119"/>
      <c r="R137" s="119"/>
      <c r="S137" s="119"/>
      <c r="T137" s="119"/>
      <c r="U137" s="119"/>
      <c r="V137" s="119"/>
    </row>
    <row r="138" spans="1:22" s="1" customFormat="1" ht="16.5" x14ac:dyDescent="0.3">
      <c r="A138" s="119"/>
      <c r="B138" s="119"/>
      <c r="C138" s="119"/>
      <c r="D138" s="119"/>
      <c r="E138" s="119"/>
      <c r="F138" s="119"/>
      <c r="G138" s="119"/>
      <c r="H138" s="119"/>
      <c r="I138" s="119"/>
      <c r="J138" s="119"/>
      <c r="K138" s="119"/>
      <c r="L138" s="119"/>
      <c r="M138" s="119"/>
      <c r="N138" s="119"/>
      <c r="O138" s="119"/>
      <c r="P138" s="119"/>
      <c r="Q138" s="119"/>
      <c r="R138" s="119"/>
      <c r="S138" s="119"/>
      <c r="T138" s="119"/>
      <c r="U138" s="119"/>
      <c r="V138" s="119"/>
    </row>
    <row r="139" spans="1:22" s="1" customFormat="1" ht="16.5" x14ac:dyDescent="0.3">
      <c r="A139" s="119"/>
      <c r="B139" s="119"/>
      <c r="C139" s="119"/>
      <c r="D139" s="119"/>
      <c r="E139" s="119"/>
      <c r="F139" s="119"/>
      <c r="G139" s="119"/>
      <c r="H139" s="119"/>
      <c r="I139" s="119"/>
      <c r="J139" s="119"/>
      <c r="K139" s="119"/>
      <c r="L139" s="119"/>
      <c r="M139" s="119"/>
      <c r="N139" s="119"/>
      <c r="O139" s="119"/>
      <c r="P139" s="119"/>
      <c r="Q139" s="119"/>
      <c r="R139" s="119"/>
      <c r="S139" s="119"/>
      <c r="T139" s="119"/>
      <c r="U139" s="119"/>
      <c r="V139" s="119"/>
    </row>
    <row r="140" spans="1:22" s="1" customFormat="1" ht="16.5" x14ac:dyDescent="0.3">
      <c r="A140" s="119"/>
      <c r="B140" s="119"/>
      <c r="C140" s="119"/>
      <c r="D140" s="119"/>
      <c r="E140" s="119"/>
      <c r="F140" s="119"/>
      <c r="G140" s="119"/>
      <c r="H140" s="119"/>
      <c r="I140" s="119"/>
      <c r="J140" s="119"/>
      <c r="K140" s="119"/>
      <c r="L140" s="119"/>
      <c r="M140" s="119"/>
      <c r="N140" s="119"/>
      <c r="O140" s="119"/>
      <c r="P140" s="119"/>
      <c r="Q140" s="119"/>
      <c r="R140" s="119"/>
      <c r="S140" s="119"/>
      <c r="T140" s="119"/>
      <c r="U140" s="119"/>
      <c r="V140" s="119"/>
    </row>
    <row r="141" spans="1:22" s="1" customFormat="1" ht="16.5" x14ac:dyDescent="0.3">
      <c r="A141" s="119"/>
      <c r="B141" s="119"/>
      <c r="C141" s="119"/>
      <c r="D141" s="119"/>
      <c r="E141" s="119"/>
      <c r="F141" s="119"/>
      <c r="G141" s="119"/>
      <c r="H141" s="119"/>
      <c r="I141" s="119"/>
      <c r="J141" s="119"/>
      <c r="K141" s="119"/>
      <c r="L141" s="119"/>
      <c r="M141" s="119"/>
      <c r="N141" s="119"/>
      <c r="O141" s="119"/>
      <c r="P141" s="119"/>
      <c r="Q141" s="119"/>
      <c r="R141" s="119"/>
      <c r="S141" s="119"/>
      <c r="T141" s="119"/>
      <c r="U141" s="119"/>
      <c r="V141" s="119"/>
    </row>
    <row r="142" spans="1:22" s="1" customFormat="1" ht="16.5" x14ac:dyDescent="0.3">
      <c r="A142" s="119"/>
      <c r="B142" s="119"/>
      <c r="C142" s="119"/>
      <c r="D142" s="119"/>
      <c r="E142" s="119"/>
      <c r="F142" s="119"/>
      <c r="G142" s="119"/>
      <c r="H142" s="119"/>
      <c r="I142" s="119"/>
      <c r="J142" s="119"/>
      <c r="K142" s="119"/>
      <c r="L142" s="119"/>
      <c r="M142" s="119"/>
      <c r="N142" s="119"/>
      <c r="O142" s="119"/>
      <c r="P142" s="119"/>
      <c r="Q142" s="119"/>
      <c r="R142" s="119"/>
      <c r="S142" s="119"/>
      <c r="T142" s="119"/>
      <c r="U142" s="119"/>
      <c r="V142" s="119"/>
    </row>
    <row r="143" spans="1:22" s="1" customFormat="1" ht="16.5" x14ac:dyDescent="0.3">
      <c r="A143" s="119"/>
      <c r="B143" s="119"/>
      <c r="C143" s="119"/>
      <c r="D143" s="119"/>
      <c r="E143" s="119"/>
      <c r="F143" s="119"/>
      <c r="G143" s="119"/>
      <c r="H143" s="119"/>
      <c r="I143" s="119"/>
      <c r="J143" s="119"/>
      <c r="K143" s="119"/>
      <c r="L143" s="119"/>
      <c r="M143" s="119"/>
      <c r="N143" s="119"/>
      <c r="O143" s="119"/>
      <c r="P143" s="119"/>
      <c r="Q143" s="119"/>
      <c r="R143" s="119"/>
      <c r="S143" s="119"/>
      <c r="T143" s="119"/>
      <c r="U143" s="119"/>
      <c r="V143" s="119"/>
    </row>
    <row r="144" spans="1:22" s="1" customFormat="1" ht="16.5" x14ac:dyDescent="0.3">
      <c r="A144" s="119"/>
      <c r="B144" s="119"/>
      <c r="C144" s="119"/>
      <c r="D144" s="119"/>
      <c r="E144" s="119"/>
      <c r="F144" s="119"/>
      <c r="G144" s="119"/>
      <c r="H144" s="119"/>
      <c r="I144" s="119"/>
      <c r="J144" s="119"/>
      <c r="K144" s="119"/>
      <c r="L144" s="119"/>
      <c r="M144" s="119"/>
      <c r="N144" s="119"/>
      <c r="O144" s="119"/>
      <c r="P144" s="119"/>
      <c r="Q144" s="119"/>
      <c r="R144" s="119"/>
      <c r="S144" s="119"/>
      <c r="T144" s="119"/>
      <c r="U144" s="119"/>
      <c r="V144" s="119"/>
    </row>
    <row r="145" spans="1:22" s="1" customFormat="1" ht="16.5" x14ac:dyDescent="0.3">
      <c r="A145" s="119"/>
      <c r="B145" s="119"/>
      <c r="C145" s="119"/>
      <c r="D145" s="119"/>
      <c r="E145" s="119"/>
      <c r="F145" s="119"/>
      <c r="G145" s="119"/>
      <c r="H145" s="119"/>
      <c r="I145" s="119"/>
      <c r="J145" s="119"/>
      <c r="K145" s="119"/>
      <c r="L145" s="119"/>
      <c r="M145" s="119"/>
      <c r="N145" s="119"/>
      <c r="O145" s="119"/>
      <c r="P145" s="119"/>
      <c r="Q145" s="119"/>
      <c r="R145" s="119"/>
      <c r="S145" s="119"/>
      <c r="T145" s="119"/>
      <c r="U145" s="119"/>
      <c r="V145" s="119"/>
    </row>
    <row r="146" spans="1:22" s="1" customFormat="1" ht="16.5" x14ac:dyDescent="0.3">
      <c r="A146" s="119"/>
      <c r="B146" s="119"/>
      <c r="C146" s="119"/>
      <c r="D146" s="119"/>
      <c r="E146" s="119"/>
      <c r="F146" s="119"/>
      <c r="G146" s="119"/>
      <c r="H146" s="119"/>
      <c r="I146" s="119"/>
      <c r="J146" s="119"/>
      <c r="K146" s="119"/>
      <c r="L146" s="119"/>
      <c r="M146" s="119"/>
      <c r="N146" s="119"/>
      <c r="O146" s="119"/>
      <c r="P146" s="119"/>
      <c r="Q146" s="119"/>
      <c r="R146" s="119"/>
      <c r="S146" s="119"/>
      <c r="T146" s="119"/>
      <c r="U146" s="119"/>
      <c r="V146" s="119"/>
    </row>
    <row r="147" spans="1:22" s="1" customFormat="1" ht="16.5" x14ac:dyDescent="0.3">
      <c r="A147" s="119"/>
      <c r="B147" s="119"/>
      <c r="C147" s="119"/>
      <c r="D147" s="119"/>
      <c r="E147" s="119"/>
      <c r="F147" s="119"/>
      <c r="G147" s="119"/>
      <c r="H147" s="119"/>
      <c r="I147" s="119"/>
      <c r="J147" s="119"/>
      <c r="K147" s="119"/>
      <c r="L147" s="119"/>
      <c r="M147" s="119"/>
      <c r="N147" s="119"/>
      <c r="O147" s="119"/>
      <c r="P147" s="119"/>
      <c r="Q147" s="119"/>
      <c r="R147" s="119"/>
      <c r="S147" s="119"/>
      <c r="T147" s="119"/>
      <c r="U147" s="119"/>
      <c r="V147" s="119"/>
    </row>
    <row r="148" spans="1:22" s="1" customFormat="1" ht="16.5" x14ac:dyDescent="0.3">
      <c r="A148" s="119"/>
      <c r="B148" s="119"/>
      <c r="C148" s="119"/>
      <c r="D148" s="119"/>
      <c r="E148" s="119"/>
      <c r="F148" s="119"/>
      <c r="G148" s="119"/>
      <c r="H148" s="119"/>
      <c r="I148" s="119"/>
      <c r="J148" s="119"/>
      <c r="K148" s="119"/>
      <c r="L148" s="119"/>
      <c r="M148" s="119"/>
      <c r="N148" s="119"/>
      <c r="O148" s="119"/>
      <c r="P148" s="119"/>
      <c r="Q148" s="119"/>
      <c r="R148" s="119"/>
      <c r="S148" s="119"/>
      <c r="T148" s="119"/>
      <c r="U148" s="119"/>
      <c r="V148" s="119"/>
    </row>
    <row r="149" spans="1:22" s="1" customFormat="1" ht="16.5" x14ac:dyDescent="0.3">
      <c r="A149" s="119"/>
      <c r="B149" s="119"/>
      <c r="C149" s="119"/>
      <c r="D149" s="119"/>
      <c r="E149" s="119"/>
      <c r="F149" s="119"/>
      <c r="G149" s="119"/>
      <c r="H149" s="119"/>
      <c r="I149" s="11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</row>
    <row r="150" spans="1:22" s="1" customFormat="1" ht="16.5" x14ac:dyDescent="0.3">
      <c r="A150" s="119"/>
      <c r="B150" s="119"/>
      <c r="C150" s="119"/>
      <c r="D150" s="119"/>
      <c r="E150" s="119"/>
      <c r="F150" s="119"/>
      <c r="G150" s="119"/>
      <c r="H150" s="119"/>
      <c r="I150" s="119"/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</row>
    <row r="151" spans="1:22" s="1" customFormat="1" ht="16.5" x14ac:dyDescent="0.3">
      <c r="A151" s="119"/>
      <c r="B151" s="119"/>
      <c r="C151" s="119"/>
      <c r="D151" s="119"/>
      <c r="E151" s="119"/>
      <c r="F151" s="119"/>
      <c r="G151" s="119"/>
      <c r="H151" s="119"/>
      <c r="I151" s="119"/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</row>
    <row r="152" spans="1:22" s="1" customFormat="1" ht="16.5" x14ac:dyDescent="0.3">
      <c r="A152" s="119"/>
      <c r="B152" s="119"/>
      <c r="C152" s="119"/>
      <c r="D152" s="119"/>
      <c r="E152" s="119"/>
      <c r="F152" s="119"/>
      <c r="G152" s="119"/>
      <c r="H152" s="119"/>
      <c r="I152" s="119"/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</row>
    <row r="153" spans="1:22" s="1" customFormat="1" ht="16.5" x14ac:dyDescent="0.3">
      <c r="A153" s="119"/>
      <c r="B153" s="119"/>
      <c r="C153" s="119"/>
      <c r="D153" s="119"/>
      <c r="E153" s="119"/>
      <c r="F153" s="119"/>
      <c r="G153" s="119"/>
      <c r="H153" s="119"/>
      <c r="I153" s="119"/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</row>
    <row r="154" spans="1:22" s="1" customFormat="1" ht="16.5" x14ac:dyDescent="0.3">
      <c r="A154" s="119"/>
      <c r="B154" s="119"/>
      <c r="C154" s="119"/>
      <c r="D154" s="119"/>
      <c r="E154" s="119"/>
      <c r="F154" s="119"/>
      <c r="G154" s="119"/>
      <c r="H154" s="119"/>
      <c r="I154" s="119"/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</row>
    <row r="155" spans="1:22" s="1" customFormat="1" ht="16.5" x14ac:dyDescent="0.3">
      <c r="A155" s="119"/>
      <c r="B155" s="119"/>
      <c r="C155" s="119"/>
      <c r="D155" s="119"/>
      <c r="E155" s="119"/>
      <c r="F155" s="119"/>
      <c r="G155" s="119"/>
      <c r="H155" s="119"/>
      <c r="I155" s="119"/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</row>
    <row r="156" spans="1:22" s="1" customFormat="1" ht="16.5" x14ac:dyDescent="0.3">
      <c r="A156" s="119"/>
      <c r="B156" s="119"/>
      <c r="C156" s="119"/>
      <c r="D156" s="119"/>
      <c r="E156" s="119"/>
      <c r="F156" s="119"/>
      <c r="G156" s="119"/>
      <c r="H156" s="119"/>
      <c r="I156" s="119"/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</row>
    <row r="157" spans="1:22" s="1" customFormat="1" ht="16.5" x14ac:dyDescent="0.3">
      <c r="A157" s="119"/>
      <c r="B157" s="119"/>
      <c r="C157" s="119"/>
      <c r="D157" s="119"/>
      <c r="E157" s="119"/>
      <c r="F157" s="119"/>
      <c r="G157" s="119"/>
      <c r="H157" s="119"/>
      <c r="I157" s="119"/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</row>
    <row r="158" spans="1:22" s="1" customFormat="1" ht="16.5" x14ac:dyDescent="0.3">
      <c r="A158" s="119"/>
      <c r="B158" s="119"/>
      <c r="C158" s="119"/>
      <c r="D158" s="119"/>
      <c r="E158" s="119"/>
      <c r="F158" s="119"/>
      <c r="G158" s="119"/>
      <c r="H158" s="119"/>
      <c r="I158" s="119"/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</row>
    <row r="159" spans="1:22" s="1" customFormat="1" ht="16.5" x14ac:dyDescent="0.3">
      <c r="A159" s="119"/>
      <c r="B159" s="119"/>
      <c r="C159" s="119"/>
      <c r="D159" s="119"/>
      <c r="E159" s="119"/>
      <c r="F159" s="119"/>
      <c r="G159" s="119"/>
      <c r="H159" s="119"/>
      <c r="I159" s="119"/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</row>
    <row r="160" spans="1:22" s="1" customFormat="1" ht="16.5" x14ac:dyDescent="0.3">
      <c r="A160" s="119"/>
      <c r="B160" s="119"/>
      <c r="C160" s="119"/>
      <c r="D160" s="119"/>
      <c r="E160" s="119"/>
      <c r="F160" s="119"/>
      <c r="G160" s="119"/>
      <c r="H160" s="119"/>
      <c r="I160" s="119"/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</row>
    <row r="161" spans="1:22" s="1" customFormat="1" ht="16.5" x14ac:dyDescent="0.3">
      <c r="A161" s="119"/>
      <c r="B161" s="119"/>
      <c r="C161" s="119"/>
      <c r="D161" s="119"/>
      <c r="E161" s="119"/>
      <c r="F161" s="119"/>
      <c r="G161" s="119"/>
      <c r="H161" s="119"/>
      <c r="I161" s="119"/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</row>
    <row r="162" spans="1:22" s="1" customFormat="1" ht="16.5" x14ac:dyDescent="0.3">
      <c r="A162" s="119"/>
      <c r="B162" s="119"/>
      <c r="C162" s="119"/>
      <c r="D162" s="119"/>
      <c r="E162" s="119"/>
      <c r="F162" s="119"/>
      <c r="G162" s="119"/>
      <c r="H162" s="119"/>
      <c r="I162" s="119"/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</row>
    <row r="163" spans="1:22" s="1" customFormat="1" ht="16.5" x14ac:dyDescent="0.3">
      <c r="A163" s="119"/>
      <c r="B163" s="119"/>
      <c r="C163" s="119"/>
      <c r="D163" s="119"/>
      <c r="E163" s="119"/>
      <c r="F163" s="119"/>
      <c r="G163" s="119"/>
      <c r="H163" s="119"/>
      <c r="I163" s="119"/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</row>
    <row r="164" spans="1:22" s="1" customFormat="1" ht="16.5" x14ac:dyDescent="0.3">
      <c r="A164" s="119"/>
      <c r="B164" s="119"/>
      <c r="C164" s="119"/>
      <c r="D164" s="119"/>
      <c r="E164" s="119"/>
      <c r="F164" s="119"/>
      <c r="G164" s="119"/>
      <c r="H164" s="119"/>
      <c r="I164" s="119"/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</row>
    <row r="165" spans="1:22" s="1" customFormat="1" ht="16.5" x14ac:dyDescent="0.3">
      <c r="A165" s="119"/>
      <c r="B165" s="119"/>
      <c r="C165" s="119"/>
      <c r="D165" s="119"/>
      <c r="E165" s="119"/>
      <c r="F165" s="119"/>
      <c r="G165" s="119"/>
      <c r="H165" s="119"/>
      <c r="I165" s="119"/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</row>
    <row r="166" spans="1:22" s="1" customFormat="1" ht="16.5" x14ac:dyDescent="0.3">
      <c r="A166" s="119"/>
      <c r="B166" s="119"/>
      <c r="C166" s="119"/>
      <c r="D166" s="119"/>
      <c r="E166" s="119"/>
      <c r="F166" s="119"/>
      <c r="G166" s="119"/>
      <c r="H166" s="119"/>
      <c r="I166" s="119"/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</row>
    <row r="167" spans="1:22" s="1" customFormat="1" ht="16.5" x14ac:dyDescent="0.3">
      <c r="A167" s="119"/>
      <c r="B167" s="119"/>
      <c r="C167" s="119"/>
      <c r="D167" s="119"/>
      <c r="E167" s="119"/>
      <c r="F167" s="119"/>
      <c r="G167" s="119"/>
      <c r="H167" s="119"/>
      <c r="I167" s="119"/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</row>
    <row r="168" spans="1:22" s="1" customFormat="1" ht="16.5" x14ac:dyDescent="0.3">
      <c r="A168" s="119"/>
      <c r="B168" s="119"/>
      <c r="C168" s="119"/>
      <c r="D168" s="119"/>
      <c r="E168" s="119"/>
      <c r="F168" s="119"/>
      <c r="G168" s="119"/>
      <c r="H168" s="119"/>
      <c r="I168" s="119"/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</row>
    <row r="169" spans="1:22" s="1" customFormat="1" ht="16.5" x14ac:dyDescent="0.3">
      <c r="A169" s="119"/>
      <c r="B169" s="119"/>
      <c r="C169" s="119"/>
      <c r="D169" s="119"/>
      <c r="E169" s="119"/>
      <c r="F169" s="119"/>
      <c r="G169" s="119"/>
      <c r="H169" s="119"/>
      <c r="I169" s="119"/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</row>
    <row r="170" spans="1:22" s="1" customFormat="1" ht="16.5" x14ac:dyDescent="0.3">
      <c r="A170" s="119"/>
      <c r="B170" s="119"/>
      <c r="C170" s="119"/>
      <c r="D170" s="119"/>
      <c r="E170" s="119"/>
      <c r="F170" s="119"/>
      <c r="G170" s="119"/>
      <c r="H170" s="119"/>
      <c r="I170" s="119"/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</row>
    <row r="171" spans="1:22" s="1" customFormat="1" ht="16.5" x14ac:dyDescent="0.3">
      <c r="A171" s="119"/>
      <c r="B171" s="119"/>
      <c r="C171" s="119"/>
      <c r="D171" s="119"/>
      <c r="E171" s="119"/>
      <c r="F171" s="119"/>
      <c r="G171" s="119"/>
      <c r="H171" s="119"/>
      <c r="I171" s="119"/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</row>
    <row r="172" spans="1:22" s="1" customFormat="1" ht="16.5" x14ac:dyDescent="0.3">
      <c r="A172" s="119"/>
      <c r="B172" s="119"/>
      <c r="C172" s="119"/>
      <c r="D172" s="119"/>
      <c r="E172" s="119"/>
      <c r="F172" s="119"/>
      <c r="G172" s="119"/>
      <c r="H172" s="119"/>
      <c r="I172" s="119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</row>
    <row r="173" spans="1:22" s="1" customFormat="1" ht="16.5" x14ac:dyDescent="0.3">
      <c r="A173" s="119"/>
      <c r="B173" s="119"/>
      <c r="C173" s="119"/>
      <c r="D173" s="119"/>
      <c r="E173" s="119"/>
      <c r="F173" s="119"/>
      <c r="G173" s="119"/>
      <c r="H173" s="119"/>
      <c r="I173" s="119"/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</row>
    <row r="174" spans="1:22" s="1" customFormat="1" ht="16.5" x14ac:dyDescent="0.3">
      <c r="A174" s="119"/>
      <c r="B174" s="119"/>
      <c r="C174" s="119"/>
      <c r="D174" s="119"/>
      <c r="E174" s="119"/>
      <c r="F174" s="119"/>
      <c r="G174" s="119"/>
      <c r="H174" s="119"/>
      <c r="I174" s="119"/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</row>
    <row r="175" spans="1:22" s="1" customFormat="1" ht="16.5" x14ac:dyDescent="0.3">
      <c r="A175" s="119"/>
      <c r="B175" s="119"/>
      <c r="C175" s="119"/>
      <c r="D175" s="119"/>
      <c r="E175" s="119"/>
      <c r="F175" s="119"/>
      <c r="G175" s="119"/>
      <c r="H175" s="119"/>
      <c r="I175" s="119"/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</row>
    <row r="176" spans="1:22" s="1" customFormat="1" ht="16.5" x14ac:dyDescent="0.3">
      <c r="A176" s="119"/>
      <c r="B176" s="119"/>
      <c r="C176" s="119"/>
      <c r="D176" s="119"/>
      <c r="E176" s="119"/>
      <c r="F176" s="119"/>
      <c r="G176" s="119"/>
      <c r="H176" s="119"/>
      <c r="I176" s="119"/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</row>
    <row r="177" spans="1:22" s="1" customFormat="1" ht="16.5" x14ac:dyDescent="0.3">
      <c r="A177" s="119"/>
      <c r="B177" s="119"/>
      <c r="C177" s="119"/>
      <c r="D177" s="119"/>
      <c r="E177" s="119"/>
      <c r="F177" s="119"/>
      <c r="G177" s="119"/>
      <c r="H177" s="119"/>
      <c r="I177" s="119"/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</row>
    <row r="178" spans="1:22" s="1" customFormat="1" ht="16.5" x14ac:dyDescent="0.3">
      <c r="A178" s="119"/>
      <c r="B178" s="119"/>
      <c r="C178" s="119"/>
      <c r="D178" s="119"/>
      <c r="E178" s="119"/>
      <c r="F178" s="119"/>
      <c r="G178" s="119"/>
      <c r="H178" s="119"/>
      <c r="I178" s="119"/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</row>
    <row r="179" spans="1:22" s="1" customFormat="1" ht="16.5" x14ac:dyDescent="0.3">
      <c r="A179" s="119"/>
      <c r="B179" s="119"/>
      <c r="C179" s="119"/>
      <c r="D179" s="119"/>
      <c r="E179" s="119"/>
      <c r="F179" s="119"/>
      <c r="G179" s="119"/>
      <c r="H179" s="119"/>
      <c r="I179" s="119"/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</row>
    <row r="180" spans="1:22" s="1" customFormat="1" ht="16.5" x14ac:dyDescent="0.3">
      <c r="A180" s="119"/>
      <c r="B180" s="119"/>
      <c r="C180" s="119"/>
      <c r="D180" s="119"/>
      <c r="E180" s="119"/>
      <c r="F180" s="119"/>
      <c r="G180" s="119"/>
      <c r="H180" s="119"/>
      <c r="I180" s="119"/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</row>
    <row r="181" spans="1:22" s="1" customFormat="1" ht="16.5" x14ac:dyDescent="0.3">
      <c r="A181" s="119"/>
      <c r="B181" s="119"/>
      <c r="C181" s="119"/>
      <c r="D181" s="119"/>
      <c r="E181" s="119"/>
      <c r="F181" s="119"/>
      <c r="G181" s="119"/>
      <c r="H181" s="119"/>
      <c r="I181" s="119"/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</row>
    <row r="182" spans="1:22" s="1" customFormat="1" ht="16.5" x14ac:dyDescent="0.3">
      <c r="A182" s="119"/>
      <c r="B182" s="119"/>
      <c r="C182" s="119"/>
      <c r="D182" s="119"/>
      <c r="E182" s="119"/>
      <c r="F182" s="119"/>
      <c r="G182" s="119"/>
      <c r="H182" s="119"/>
      <c r="I182" s="119"/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</row>
    <row r="183" spans="1:22" s="1" customFormat="1" ht="16.5" x14ac:dyDescent="0.3">
      <c r="A183" s="119"/>
      <c r="B183" s="119"/>
      <c r="C183" s="119"/>
      <c r="D183" s="119"/>
      <c r="E183" s="119"/>
      <c r="F183" s="119"/>
      <c r="G183" s="119"/>
      <c r="H183" s="119"/>
      <c r="I183" s="119"/>
      <c r="J183" s="119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</row>
    <row r="184" spans="1:22" s="1" customFormat="1" ht="16.5" x14ac:dyDescent="0.3">
      <c r="A184" s="119"/>
      <c r="B184" s="119"/>
      <c r="C184" s="119"/>
      <c r="D184" s="119"/>
      <c r="E184" s="119"/>
      <c r="F184" s="119"/>
      <c r="G184" s="119"/>
      <c r="H184" s="119"/>
      <c r="I184" s="119"/>
      <c r="J184" s="119"/>
      <c r="K184" s="119"/>
      <c r="L184" s="119"/>
      <c r="M184" s="119"/>
      <c r="N184" s="119"/>
      <c r="O184" s="119"/>
      <c r="P184" s="119"/>
      <c r="Q184" s="119"/>
      <c r="R184" s="119"/>
      <c r="S184" s="119"/>
      <c r="T184" s="119"/>
      <c r="U184" s="119"/>
      <c r="V184" s="119"/>
    </row>
    <row r="185" spans="1:22" s="1" customFormat="1" ht="16.5" x14ac:dyDescent="0.3">
      <c r="A185" s="119"/>
      <c r="B185" s="119"/>
      <c r="C185" s="119"/>
      <c r="D185" s="119"/>
      <c r="E185" s="119"/>
      <c r="F185" s="119"/>
      <c r="G185" s="119"/>
      <c r="H185" s="119"/>
      <c r="I185" s="119"/>
      <c r="J185" s="119"/>
      <c r="K185" s="119"/>
      <c r="L185" s="119"/>
      <c r="M185" s="119"/>
      <c r="N185" s="119"/>
      <c r="O185" s="119"/>
      <c r="P185" s="119"/>
      <c r="Q185" s="119"/>
      <c r="R185" s="119"/>
      <c r="S185" s="119"/>
      <c r="T185" s="119"/>
      <c r="U185" s="119"/>
      <c r="V185" s="119"/>
    </row>
    <row r="186" spans="1:22" s="1" customFormat="1" ht="16.5" x14ac:dyDescent="0.3">
      <c r="A186" s="119"/>
      <c r="B186" s="119"/>
      <c r="C186" s="119"/>
      <c r="D186" s="119"/>
      <c r="E186" s="119"/>
      <c r="F186" s="119"/>
      <c r="G186" s="119"/>
      <c r="H186" s="119"/>
      <c r="I186" s="119"/>
      <c r="J186" s="119"/>
      <c r="K186" s="119"/>
      <c r="L186" s="119"/>
      <c r="M186" s="119"/>
      <c r="N186" s="119"/>
      <c r="O186" s="119"/>
      <c r="P186" s="119"/>
      <c r="Q186" s="119"/>
      <c r="R186" s="119"/>
      <c r="S186" s="119"/>
      <c r="T186" s="119"/>
      <c r="U186" s="119"/>
      <c r="V186" s="119"/>
    </row>
    <row r="187" spans="1:22" s="1" customFormat="1" ht="16.5" x14ac:dyDescent="0.3">
      <c r="A187" s="119"/>
      <c r="B187" s="119"/>
      <c r="C187" s="119"/>
      <c r="D187" s="119"/>
      <c r="E187" s="119"/>
      <c r="F187" s="119"/>
      <c r="G187" s="119"/>
      <c r="H187" s="119"/>
      <c r="I187" s="119"/>
      <c r="J187" s="119"/>
      <c r="K187" s="119"/>
      <c r="L187" s="119"/>
      <c r="M187" s="119"/>
      <c r="N187" s="119"/>
      <c r="O187" s="119"/>
      <c r="P187" s="119"/>
      <c r="Q187" s="119"/>
      <c r="R187" s="119"/>
      <c r="S187" s="119"/>
      <c r="T187" s="119"/>
      <c r="U187" s="119"/>
      <c r="V187" s="119"/>
    </row>
    <row r="188" spans="1:22" s="1" customFormat="1" ht="16.5" x14ac:dyDescent="0.3">
      <c r="A188" s="119"/>
      <c r="B188" s="119"/>
      <c r="C188" s="119"/>
      <c r="D188" s="119"/>
      <c r="E188" s="119"/>
      <c r="F188" s="119"/>
      <c r="G188" s="119"/>
      <c r="H188" s="119"/>
      <c r="I188" s="119"/>
      <c r="J188" s="119"/>
      <c r="K188" s="119"/>
      <c r="L188" s="119"/>
      <c r="M188" s="119"/>
      <c r="N188" s="119"/>
      <c r="O188" s="119"/>
      <c r="P188" s="119"/>
      <c r="Q188" s="119"/>
      <c r="R188" s="119"/>
      <c r="S188" s="119"/>
      <c r="T188" s="119"/>
      <c r="U188" s="119"/>
      <c r="V188" s="119"/>
    </row>
    <row r="189" spans="1:22" s="1" customFormat="1" ht="16.5" x14ac:dyDescent="0.3">
      <c r="A189" s="119"/>
      <c r="B189" s="119"/>
      <c r="C189" s="119"/>
      <c r="D189" s="119"/>
      <c r="E189" s="119"/>
      <c r="F189" s="119"/>
      <c r="G189" s="119"/>
      <c r="H189" s="119"/>
      <c r="I189" s="119"/>
      <c r="J189" s="119"/>
      <c r="K189" s="119"/>
      <c r="L189" s="119"/>
      <c r="M189" s="119"/>
      <c r="N189" s="119"/>
      <c r="O189" s="119"/>
      <c r="P189" s="119"/>
      <c r="Q189" s="119"/>
      <c r="R189" s="119"/>
      <c r="S189" s="119"/>
      <c r="T189" s="119"/>
      <c r="U189" s="119"/>
      <c r="V189" s="119"/>
    </row>
    <row r="190" spans="1:22" s="1" customFormat="1" ht="16.5" x14ac:dyDescent="0.3">
      <c r="A190" s="119"/>
      <c r="B190" s="119"/>
      <c r="C190" s="119"/>
      <c r="D190" s="119"/>
      <c r="E190" s="119"/>
      <c r="F190" s="119"/>
      <c r="G190" s="119"/>
      <c r="H190" s="119"/>
      <c r="I190" s="119"/>
      <c r="J190" s="119"/>
      <c r="K190" s="119"/>
      <c r="L190" s="119"/>
      <c r="M190" s="119"/>
      <c r="N190" s="119"/>
      <c r="O190" s="119"/>
      <c r="P190" s="119"/>
      <c r="Q190" s="119"/>
      <c r="R190" s="119"/>
      <c r="S190" s="119"/>
      <c r="T190" s="119"/>
      <c r="U190" s="119"/>
      <c r="V190" s="119"/>
    </row>
    <row r="191" spans="1:22" s="1" customFormat="1" ht="16.5" x14ac:dyDescent="0.3">
      <c r="A191" s="119"/>
      <c r="B191" s="119"/>
      <c r="C191" s="119"/>
      <c r="D191" s="119"/>
      <c r="E191" s="119"/>
      <c r="F191" s="119"/>
      <c r="G191" s="119"/>
      <c r="H191" s="119"/>
      <c r="I191" s="119"/>
      <c r="J191" s="119"/>
      <c r="K191" s="119"/>
      <c r="L191" s="119"/>
      <c r="M191" s="119"/>
      <c r="N191" s="119"/>
      <c r="O191" s="119"/>
      <c r="P191" s="119"/>
      <c r="Q191" s="119"/>
      <c r="R191" s="119"/>
      <c r="S191" s="119"/>
      <c r="T191" s="119"/>
      <c r="U191" s="119"/>
      <c r="V191" s="119"/>
    </row>
    <row r="192" spans="1:22" s="1" customFormat="1" ht="16.5" x14ac:dyDescent="0.3">
      <c r="A192" s="119"/>
      <c r="B192" s="119"/>
      <c r="C192" s="119"/>
      <c r="D192" s="119"/>
      <c r="E192" s="119"/>
      <c r="F192" s="119"/>
      <c r="G192" s="119"/>
      <c r="H192" s="119"/>
      <c r="I192" s="119"/>
      <c r="J192" s="119"/>
      <c r="K192" s="119"/>
      <c r="L192" s="119"/>
      <c r="M192" s="119"/>
      <c r="N192" s="119"/>
      <c r="O192" s="119"/>
      <c r="P192" s="119"/>
      <c r="Q192" s="119"/>
      <c r="R192" s="119"/>
      <c r="S192" s="119"/>
      <c r="T192" s="119"/>
      <c r="U192" s="119"/>
      <c r="V192" s="119"/>
    </row>
    <row r="193" spans="1:22" s="1" customFormat="1" ht="16.5" x14ac:dyDescent="0.3">
      <c r="A193" s="119"/>
      <c r="B193" s="119"/>
      <c r="C193" s="119"/>
      <c r="D193" s="119"/>
      <c r="E193" s="119"/>
      <c r="F193" s="119"/>
      <c r="G193" s="119"/>
      <c r="H193" s="119"/>
      <c r="I193" s="119"/>
      <c r="J193" s="119"/>
      <c r="K193" s="119"/>
      <c r="L193" s="119"/>
      <c r="M193" s="119"/>
      <c r="N193" s="119"/>
      <c r="O193" s="119"/>
      <c r="P193" s="119"/>
      <c r="Q193" s="119"/>
      <c r="R193" s="119"/>
      <c r="S193" s="119"/>
      <c r="T193" s="119"/>
      <c r="U193" s="119"/>
      <c r="V193" s="119"/>
    </row>
    <row r="194" spans="1:22" s="1" customFormat="1" ht="16.5" x14ac:dyDescent="0.3">
      <c r="A194" s="119"/>
      <c r="B194" s="119"/>
      <c r="C194" s="119"/>
      <c r="D194" s="119"/>
      <c r="E194" s="119"/>
      <c r="F194" s="119"/>
      <c r="G194" s="119"/>
      <c r="H194" s="119"/>
      <c r="I194" s="119"/>
      <c r="J194" s="119"/>
      <c r="K194" s="119"/>
      <c r="L194" s="119"/>
      <c r="M194" s="119"/>
      <c r="N194" s="119"/>
      <c r="O194" s="119"/>
      <c r="P194" s="119"/>
      <c r="Q194" s="119"/>
      <c r="R194" s="119"/>
      <c r="S194" s="119"/>
      <c r="T194" s="119"/>
      <c r="U194" s="119"/>
      <c r="V194" s="119"/>
    </row>
    <row r="195" spans="1:22" s="1" customFormat="1" ht="16.5" x14ac:dyDescent="0.3">
      <c r="A195" s="119"/>
      <c r="B195" s="119"/>
      <c r="C195" s="119"/>
      <c r="D195" s="119"/>
      <c r="E195" s="119"/>
      <c r="F195" s="119"/>
      <c r="G195" s="119"/>
      <c r="H195" s="119"/>
      <c r="I195" s="119"/>
      <c r="J195" s="119"/>
      <c r="K195" s="119"/>
      <c r="L195" s="119"/>
      <c r="M195" s="119"/>
      <c r="N195" s="119"/>
      <c r="O195" s="119"/>
      <c r="P195" s="119"/>
      <c r="Q195" s="119"/>
      <c r="R195" s="119"/>
      <c r="S195" s="119"/>
      <c r="T195" s="119"/>
      <c r="U195" s="119"/>
      <c r="V195" s="119"/>
    </row>
    <row r="196" spans="1:22" s="1" customFormat="1" ht="16.5" x14ac:dyDescent="0.3">
      <c r="A196" s="119"/>
      <c r="B196" s="119"/>
      <c r="C196" s="119"/>
      <c r="D196" s="119"/>
      <c r="E196" s="119"/>
      <c r="F196" s="119"/>
      <c r="G196" s="119"/>
      <c r="H196" s="119"/>
      <c r="I196" s="119"/>
      <c r="J196" s="119"/>
      <c r="K196" s="119"/>
      <c r="L196" s="119"/>
      <c r="M196" s="119"/>
      <c r="N196" s="119"/>
      <c r="O196" s="119"/>
      <c r="P196" s="119"/>
      <c r="Q196" s="119"/>
      <c r="R196" s="119"/>
      <c r="S196" s="119"/>
      <c r="T196" s="119"/>
      <c r="U196" s="119"/>
      <c r="V196" s="119"/>
    </row>
    <row r="197" spans="1:22" s="1" customFormat="1" ht="16.5" x14ac:dyDescent="0.3">
      <c r="A197" s="119"/>
      <c r="B197" s="119"/>
      <c r="C197" s="119"/>
      <c r="D197" s="119"/>
      <c r="E197" s="119"/>
      <c r="F197" s="119"/>
      <c r="G197" s="119"/>
      <c r="H197" s="119"/>
      <c r="I197" s="119"/>
      <c r="J197" s="119"/>
      <c r="K197" s="119"/>
      <c r="L197" s="119"/>
      <c r="M197" s="119"/>
      <c r="N197" s="119"/>
      <c r="O197" s="119"/>
      <c r="P197" s="119"/>
      <c r="Q197" s="119"/>
      <c r="R197" s="119"/>
      <c r="S197" s="119"/>
      <c r="T197" s="119"/>
      <c r="U197" s="119"/>
      <c r="V197" s="119"/>
    </row>
    <row r="198" spans="1:22" s="1" customFormat="1" ht="16.5" x14ac:dyDescent="0.3">
      <c r="A198" s="119"/>
      <c r="B198" s="119"/>
      <c r="C198" s="119"/>
      <c r="D198" s="119"/>
      <c r="E198" s="119"/>
      <c r="F198" s="119"/>
      <c r="G198" s="119"/>
      <c r="H198" s="119"/>
      <c r="I198" s="119"/>
      <c r="J198" s="119"/>
      <c r="K198" s="119"/>
      <c r="L198" s="119"/>
      <c r="M198" s="119"/>
      <c r="N198" s="119"/>
      <c r="O198" s="119"/>
      <c r="P198" s="119"/>
      <c r="Q198" s="119"/>
      <c r="R198" s="119"/>
      <c r="S198" s="119"/>
      <c r="T198" s="119"/>
      <c r="U198" s="119"/>
      <c r="V198" s="119"/>
    </row>
    <row r="199" spans="1:22" s="1" customFormat="1" ht="16.5" x14ac:dyDescent="0.3">
      <c r="A199" s="119"/>
      <c r="B199" s="119"/>
      <c r="C199" s="119"/>
      <c r="D199" s="119"/>
      <c r="E199" s="119"/>
      <c r="F199" s="119"/>
      <c r="G199" s="119"/>
      <c r="H199" s="119"/>
      <c r="I199" s="119"/>
      <c r="J199" s="119"/>
      <c r="K199" s="119"/>
      <c r="L199" s="119"/>
      <c r="M199" s="119"/>
      <c r="N199" s="119"/>
      <c r="O199" s="119"/>
      <c r="P199" s="119"/>
      <c r="Q199" s="119"/>
      <c r="R199" s="119"/>
      <c r="S199" s="119"/>
      <c r="T199" s="119"/>
      <c r="U199" s="119"/>
      <c r="V199" s="119"/>
    </row>
    <row r="200" spans="1:22" s="1" customFormat="1" ht="16.5" x14ac:dyDescent="0.3">
      <c r="A200" s="119"/>
      <c r="B200" s="119"/>
      <c r="C200" s="119"/>
      <c r="D200" s="119"/>
      <c r="E200" s="119"/>
      <c r="F200" s="119"/>
      <c r="G200" s="119"/>
      <c r="H200" s="119"/>
      <c r="I200" s="119"/>
      <c r="J200" s="119"/>
      <c r="K200" s="119"/>
      <c r="L200" s="119"/>
      <c r="M200" s="119"/>
      <c r="N200" s="119"/>
      <c r="O200" s="119"/>
      <c r="P200" s="119"/>
      <c r="Q200" s="119"/>
      <c r="R200" s="119"/>
      <c r="S200" s="119"/>
      <c r="T200" s="119"/>
      <c r="U200" s="119"/>
      <c r="V200" s="119"/>
    </row>
    <row r="201" spans="1:22" s="1" customFormat="1" ht="16.5" x14ac:dyDescent="0.3">
      <c r="A201" s="119"/>
      <c r="B201" s="119"/>
      <c r="C201" s="119"/>
      <c r="D201" s="119"/>
      <c r="E201" s="119"/>
      <c r="F201" s="119"/>
      <c r="G201" s="119"/>
      <c r="H201" s="119"/>
      <c r="I201" s="119"/>
      <c r="J201" s="119"/>
      <c r="K201" s="119"/>
      <c r="L201" s="119"/>
      <c r="M201" s="119"/>
      <c r="N201" s="119"/>
      <c r="O201" s="119"/>
      <c r="P201" s="119"/>
      <c r="Q201" s="119"/>
      <c r="R201" s="119"/>
      <c r="S201" s="119"/>
      <c r="T201" s="119"/>
      <c r="U201" s="119"/>
      <c r="V201" s="119"/>
    </row>
    <row r="202" spans="1:22" s="1" customFormat="1" ht="16.5" x14ac:dyDescent="0.3">
      <c r="A202" s="119"/>
      <c r="B202" s="119"/>
      <c r="C202" s="119"/>
      <c r="D202" s="119"/>
      <c r="E202" s="119"/>
      <c r="F202" s="119"/>
      <c r="G202" s="119"/>
      <c r="H202" s="119"/>
      <c r="I202" s="119"/>
      <c r="J202" s="119"/>
      <c r="K202" s="119"/>
      <c r="L202" s="119"/>
      <c r="M202" s="119"/>
      <c r="N202" s="119"/>
      <c r="O202" s="119"/>
      <c r="P202" s="119"/>
      <c r="Q202" s="119"/>
      <c r="R202" s="119"/>
      <c r="S202" s="119"/>
      <c r="T202" s="119"/>
      <c r="U202" s="119"/>
      <c r="V202" s="119"/>
    </row>
    <row r="203" spans="1:22" s="1" customFormat="1" ht="16.5" x14ac:dyDescent="0.3">
      <c r="A203" s="119"/>
      <c r="B203" s="119"/>
      <c r="C203" s="119"/>
      <c r="D203" s="119"/>
      <c r="E203" s="119"/>
      <c r="F203" s="119"/>
      <c r="G203" s="119"/>
      <c r="H203" s="119"/>
      <c r="I203" s="119"/>
      <c r="J203" s="119"/>
      <c r="K203" s="119"/>
      <c r="L203" s="119"/>
      <c r="M203" s="119"/>
      <c r="N203" s="119"/>
      <c r="O203" s="119"/>
      <c r="P203" s="119"/>
      <c r="Q203" s="119"/>
      <c r="R203" s="119"/>
      <c r="S203" s="119"/>
      <c r="T203" s="119"/>
      <c r="U203" s="119"/>
      <c r="V203" s="119"/>
    </row>
    <row r="204" spans="1:22" s="1" customFormat="1" ht="16.5" x14ac:dyDescent="0.3">
      <c r="A204" s="119"/>
      <c r="B204" s="119"/>
      <c r="C204" s="119"/>
      <c r="D204" s="119"/>
      <c r="E204" s="119"/>
      <c r="F204" s="119"/>
      <c r="G204" s="119"/>
      <c r="H204" s="119"/>
      <c r="I204" s="119"/>
      <c r="J204" s="119"/>
      <c r="K204" s="119"/>
      <c r="L204" s="119"/>
      <c r="M204" s="119"/>
      <c r="N204" s="119"/>
      <c r="O204" s="119"/>
      <c r="P204" s="119"/>
      <c r="Q204" s="119"/>
      <c r="R204" s="119"/>
      <c r="S204" s="119"/>
      <c r="T204" s="119"/>
      <c r="U204" s="119"/>
      <c r="V204" s="119"/>
    </row>
    <row r="205" spans="1:22" s="1" customFormat="1" ht="16.5" x14ac:dyDescent="0.3">
      <c r="A205" s="119"/>
      <c r="B205" s="119"/>
      <c r="C205" s="119"/>
      <c r="D205" s="119"/>
      <c r="E205" s="119"/>
      <c r="F205" s="119"/>
      <c r="G205" s="119"/>
      <c r="H205" s="119"/>
      <c r="I205" s="119"/>
      <c r="J205" s="119"/>
      <c r="K205" s="119"/>
      <c r="L205" s="119"/>
      <c r="M205" s="119"/>
      <c r="N205" s="119"/>
      <c r="O205" s="119"/>
      <c r="P205" s="119"/>
      <c r="Q205" s="119"/>
      <c r="R205" s="119"/>
      <c r="S205" s="119"/>
      <c r="T205" s="119"/>
      <c r="U205" s="119"/>
      <c r="V205" s="119"/>
    </row>
    <row r="206" spans="1:22" s="1" customFormat="1" ht="16.5" x14ac:dyDescent="0.3">
      <c r="A206" s="119"/>
      <c r="B206" s="119"/>
      <c r="C206" s="119"/>
      <c r="D206" s="119"/>
      <c r="E206" s="119"/>
      <c r="F206" s="119"/>
      <c r="G206" s="119"/>
      <c r="H206" s="119"/>
      <c r="I206" s="119"/>
      <c r="J206" s="119"/>
      <c r="K206" s="119"/>
      <c r="L206" s="119"/>
      <c r="M206" s="119"/>
      <c r="N206" s="119"/>
      <c r="O206" s="119"/>
      <c r="P206" s="119"/>
      <c r="Q206" s="119"/>
      <c r="R206" s="119"/>
      <c r="S206" s="119"/>
      <c r="T206" s="119"/>
      <c r="U206" s="119"/>
      <c r="V206" s="119"/>
    </row>
    <row r="207" spans="1:22" s="1" customFormat="1" ht="16.5" x14ac:dyDescent="0.3">
      <c r="A207" s="119"/>
      <c r="B207" s="119"/>
      <c r="C207" s="119"/>
      <c r="D207" s="119"/>
      <c r="E207" s="119"/>
      <c r="F207" s="119"/>
      <c r="G207" s="119"/>
      <c r="H207" s="119"/>
      <c r="I207" s="119"/>
      <c r="J207" s="119"/>
      <c r="K207" s="119"/>
      <c r="L207" s="119"/>
      <c r="M207" s="119"/>
      <c r="N207" s="119"/>
      <c r="O207" s="119"/>
      <c r="P207" s="119"/>
      <c r="Q207" s="119"/>
      <c r="R207" s="119"/>
      <c r="S207" s="119"/>
      <c r="T207" s="119"/>
      <c r="U207" s="119"/>
      <c r="V207" s="119"/>
    </row>
    <row r="208" spans="1:22" s="1" customFormat="1" ht="16.5" x14ac:dyDescent="0.3">
      <c r="A208" s="119"/>
      <c r="B208" s="119"/>
      <c r="C208" s="119"/>
      <c r="D208" s="119"/>
      <c r="E208" s="119"/>
      <c r="F208" s="119"/>
      <c r="G208" s="119"/>
      <c r="H208" s="119"/>
      <c r="I208" s="119"/>
      <c r="J208" s="119"/>
      <c r="K208" s="119"/>
      <c r="L208" s="119"/>
      <c r="M208" s="119"/>
      <c r="N208" s="119"/>
      <c r="O208" s="119"/>
      <c r="P208" s="119"/>
      <c r="Q208" s="119"/>
      <c r="R208" s="119"/>
      <c r="S208" s="119"/>
      <c r="T208" s="119"/>
      <c r="U208" s="119"/>
      <c r="V208" s="119"/>
    </row>
    <row r="209" spans="1:22" s="1" customFormat="1" ht="16.5" x14ac:dyDescent="0.3">
      <c r="A209" s="119"/>
      <c r="B209" s="119"/>
      <c r="C209" s="119"/>
      <c r="D209" s="119"/>
      <c r="E209" s="119"/>
      <c r="F209" s="119"/>
      <c r="G209" s="119"/>
      <c r="H209" s="119"/>
      <c r="I209" s="119"/>
      <c r="J209" s="119"/>
      <c r="K209" s="119"/>
      <c r="L209" s="119"/>
      <c r="M209" s="119"/>
      <c r="N209" s="119"/>
      <c r="O209" s="119"/>
      <c r="P209" s="119"/>
      <c r="Q209" s="119"/>
      <c r="R209" s="119"/>
      <c r="S209" s="119"/>
      <c r="T209" s="119"/>
      <c r="U209" s="119"/>
      <c r="V209" s="119"/>
    </row>
    <row r="210" spans="1:22" s="1" customFormat="1" ht="16.5" x14ac:dyDescent="0.3">
      <c r="A210" s="119"/>
      <c r="B210" s="119"/>
      <c r="C210" s="119"/>
      <c r="D210" s="119"/>
      <c r="E210" s="119"/>
      <c r="F210" s="119"/>
      <c r="G210" s="119"/>
      <c r="H210" s="119"/>
      <c r="I210" s="119"/>
      <c r="J210" s="119"/>
      <c r="K210" s="119"/>
      <c r="L210" s="119"/>
      <c r="M210" s="119"/>
      <c r="N210" s="119"/>
      <c r="O210" s="119"/>
      <c r="P210" s="119"/>
      <c r="Q210" s="119"/>
      <c r="R210" s="119"/>
      <c r="S210" s="119"/>
      <c r="T210" s="119"/>
      <c r="U210" s="119"/>
      <c r="V210" s="119"/>
    </row>
    <row r="211" spans="1:22" s="1" customFormat="1" ht="16.5" x14ac:dyDescent="0.3">
      <c r="A211" s="119"/>
      <c r="B211" s="119"/>
      <c r="C211" s="119"/>
      <c r="D211" s="119"/>
      <c r="E211" s="119"/>
      <c r="F211" s="119"/>
      <c r="G211" s="119"/>
      <c r="H211" s="119"/>
      <c r="I211" s="119"/>
      <c r="J211" s="119"/>
      <c r="K211" s="119"/>
      <c r="L211" s="119"/>
      <c r="M211" s="119"/>
      <c r="N211" s="119"/>
      <c r="O211" s="119"/>
      <c r="P211" s="119"/>
      <c r="Q211" s="119"/>
      <c r="R211" s="119"/>
      <c r="S211" s="119"/>
      <c r="T211" s="119"/>
      <c r="U211" s="119"/>
      <c r="V211" s="119"/>
    </row>
    <row r="212" spans="1:22" s="1" customFormat="1" ht="16.5" x14ac:dyDescent="0.3">
      <c r="A212" s="119"/>
      <c r="B212" s="119"/>
      <c r="C212" s="119"/>
      <c r="D212" s="119"/>
      <c r="E212" s="119"/>
      <c r="F212" s="119"/>
      <c r="G212" s="119"/>
      <c r="H212" s="119"/>
      <c r="I212" s="119"/>
      <c r="J212" s="119"/>
      <c r="K212" s="119"/>
      <c r="L212" s="119"/>
      <c r="M212" s="119"/>
      <c r="N212" s="119"/>
      <c r="O212" s="119"/>
      <c r="P212" s="119"/>
      <c r="Q212" s="119"/>
      <c r="R212" s="119"/>
      <c r="S212" s="119"/>
      <c r="T212" s="119"/>
      <c r="U212" s="119"/>
      <c r="V212" s="119"/>
    </row>
    <row r="213" spans="1:22" s="1" customFormat="1" ht="16.5" x14ac:dyDescent="0.3">
      <c r="A213" s="119"/>
      <c r="B213" s="119"/>
      <c r="C213" s="119"/>
      <c r="D213" s="119"/>
      <c r="E213" s="119"/>
      <c r="F213" s="119"/>
      <c r="G213" s="119"/>
      <c r="H213" s="119"/>
      <c r="I213" s="119"/>
      <c r="J213" s="119"/>
      <c r="K213" s="119"/>
      <c r="L213" s="119"/>
      <c r="M213" s="119"/>
      <c r="N213" s="119"/>
      <c r="O213" s="119"/>
      <c r="P213" s="119"/>
      <c r="Q213" s="119"/>
      <c r="R213" s="119"/>
      <c r="S213" s="119"/>
      <c r="T213" s="119"/>
      <c r="U213" s="119"/>
      <c r="V213" s="119"/>
    </row>
    <row r="214" spans="1:22" s="1" customFormat="1" ht="16.5" x14ac:dyDescent="0.3">
      <c r="A214" s="119"/>
      <c r="B214" s="119"/>
      <c r="C214" s="119"/>
      <c r="D214" s="119"/>
      <c r="E214" s="119"/>
      <c r="F214" s="119"/>
      <c r="G214" s="119"/>
      <c r="H214" s="119"/>
      <c r="I214" s="119"/>
      <c r="J214" s="119"/>
      <c r="K214" s="119"/>
      <c r="L214" s="119"/>
      <c r="M214" s="119"/>
      <c r="N214" s="119"/>
      <c r="O214" s="119"/>
      <c r="P214" s="119"/>
      <c r="Q214" s="119"/>
      <c r="R214" s="119"/>
      <c r="S214" s="119"/>
      <c r="T214" s="119"/>
      <c r="U214" s="119"/>
      <c r="V214" s="119"/>
    </row>
    <row r="215" spans="1:22" s="1" customFormat="1" ht="16.5" x14ac:dyDescent="0.3">
      <c r="A215" s="119"/>
      <c r="B215" s="119"/>
      <c r="C215" s="119"/>
      <c r="D215" s="119"/>
      <c r="E215" s="119"/>
      <c r="F215" s="119"/>
      <c r="G215" s="119"/>
      <c r="H215" s="119"/>
      <c r="I215" s="119"/>
      <c r="J215" s="119"/>
      <c r="K215" s="119"/>
      <c r="L215" s="119"/>
      <c r="M215" s="119"/>
      <c r="N215" s="119"/>
      <c r="O215" s="119"/>
      <c r="P215" s="119"/>
      <c r="Q215" s="119"/>
      <c r="R215" s="119"/>
      <c r="S215" s="119"/>
      <c r="T215" s="119"/>
      <c r="U215" s="119"/>
      <c r="V215" s="119"/>
    </row>
    <row r="216" spans="1:22" s="1" customFormat="1" ht="16.5" x14ac:dyDescent="0.3">
      <c r="A216" s="119"/>
      <c r="B216" s="119"/>
      <c r="C216" s="119"/>
      <c r="D216" s="119"/>
      <c r="E216" s="119"/>
      <c r="F216" s="119"/>
      <c r="G216" s="119"/>
      <c r="H216" s="119"/>
      <c r="I216" s="119"/>
      <c r="J216" s="119"/>
      <c r="K216" s="119"/>
      <c r="L216" s="119"/>
      <c r="M216" s="119"/>
      <c r="N216" s="119"/>
      <c r="O216" s="119"/>
      <c r="P216" s="119"/>
      <c r="Q216" s="119"/>
      <c r="R216" s="119"/>
      <c r="S216" s="119"/>
      <c r="T216" s="119"/>
      <c r="U216" s="119"/>
      <c r="V216" s="119"/>
    </row>
    <row r="217" spans="1:22" s="1" customFormat="1" ht="16.5" x14ac:dyDescent="0.3">
      <c r="A217" s="119"/>
      <c r="B217" s="119"/>
      <c r="C217" s="119"/>
      <c r="D217" s="119"/>
      <c r="E217" s="119"/>
      <c r="F217" s="119"/>
      <c r="G217" s="119"/>
      <c r="H217" s="119"/>
      <c r="I217" s="119"/>
      <c r="J217" s="119"/>
      <c r="K217" s="119"/>
      <c r="L217" s="119"/>
      <c r="M217" s="119"/>
      <c r="N217" s="119"/>
      <c r="O217" s="119"/>
      <c r="P217" s="119"/>
      <c r="Q217" s="119"/>
      <c r="R217" s="119"/>
      <c r="S217" s="119"/>
      <c r="T217" s="119"/>
      <c r="U217" s="119"/>
      <c r="V217" s="119"/>
    </row>
    <row r="218" spans="1:22" s="1" customFormat="1" ht="16.5" x14ac:dyDescent="0.3">
      <c r="A218" s="119"/>
      <c r="B218" s="119"/>
      <c r="C218" s="119"/>
      <c r="D218" s="119"/>
      <c r="E218" s="119"/>
      <c r="F218" s="119"/>
      <c r="G218" s="119"/>
      <c r="H218" s="119"/>
      <c r="I218" s="119"/>
      <c r="J218" s="119"/>
      <c r="K218" s="119"/>
      <c r="L218" s="119"/>
      <c r="M218" s="119"/>
      <c r="N218" s="119"/>
      <c r="O218" s="119"/>
      <c r="P218" s="119"/>
      <c r="Q218" s="119"/>
      <c r="R218" s="119"/>
      <c r="S218" s="119"/>
      <c r="T218" s="119"/>
      <c r="U218" s="119"/>
      <c r="V218" s="119"/>
    </row>
    <row r="219" spans="1:22" s="1" customFormat="1" ht="16.5" x14ac:dyDescent="0.3">
      <c r="A219" s="119"/>
      <c r="B219" s="119"/>
      <c r="C219" s="119"/>
      <c r="D219" s="119"/>
      <c r="E219" s="119"/>
      <c r="F219" s="119"/>
      <c r="G219" s="119"/>
      <c r="H219" s="119"/>
      <c r="I219" s="119"/>
      <c r="J219" s="119"/>
      <c r="K219" s="119"/>
      <c r="L219" s="119"/>
      <c r="M219" s="119"/>
      <c r="N219" s="119"/>
      <c r="O219" s="119"/>
      <c r="P219" s="119"/>
      <c r="Q219" s="119"/>
      <c r="R219" s="119"/>
      <c r="S219" s="119"/>
      <c r="T219" s="119"/>
      <c r="U219" s="119"/>
      <c r="V219" s="119"/>
    </row>
    <row r="220" spans="1:22" s="1" customFormat="1" ht="16.5" x14ac:dyDescent="0.3">
      <c r="A220" s="119"/>
      <c r="B220" s="119"/>
      <c r="C220" s="119"/>
      <c r="D220" s="119"/>
      <c r="E220" s="119"/>
      <c r="F220" s="119"/>
      <c r="G220" s="119"/>
      <c r="H220" s="119"/>
      <c r="I220" s="119"/>
      <c r="J220" s="119"/>
      <c r="K220" s="119"/>
      <c r="L220" s="119"/>
      <c r="M220" s="119"/>
      <c r="N220" s="119"/>
      <c r="O220" s="119"/>
      <c r="P220" s="119"/>
      <c r="Q220" s="119"/>
      <c r="R220" s="119"/>
      <c r="S220" s="119"/>
      <c r="T220" s="119"/>
      <c r="U220" s="119"/>
      <c r="V220" s="119"/>
    </row>
    <row r="221" spans="1:22" s="1" customFormat="1" ht="16.5" x14ac:dyDescent="0.3">
      <c r="A221" s="119"/>
      <c r="B221" s="119"/>
      <c r="C221" s="119"/>
      <c r="D221" s="119"/>
      <c r="E221" s="119"/>
      <c r="F221" s="119"/>
      <c r="G221" s="119"/>
      <c r="H221" s="119"/>
      <c r="I221" s="119"/>
      <c r="J221" s="119"/>
      <c r="K221" s="119"/>
      <c r="L221" s="119"/>
      <c r="M221" s="119"/>
      <c r="N221" s="119"/>
      <c r="O221" s="119"/>
      <c r="P221" s="119"/>
      <c r="Q221" s="119"/>
      <c r="R221" s="119"/>
      <c r="S221" s="119"/>
      <c r="T221" s="119"/>
      <c r="U221" s="119"/>
      <c r="V221" s="119"/>
    </row>
    <row r="222" spans="1:22" s="1" customFormat="1" ht="16.5" x14ac:dyDescent="0.3">
      <c r="A222" s="119"/>
      <c r="B222" s="119"/>
      <c r="C222" s="119"/>
      <c r="D222" s="119"/>
      <c r="E222" s="119"/>
      <c r="F222" s="119"/>
      <c r="G222" s="119"/>
      <c r="H222" s="119"/>
      <c r="I222" s="119"/>
      <c r="J222" s="119"/>
      <c r="K222" s="119"/>
      <c r="L222" s="119"/>
      <c r="M222" s="119"/>
      <c r="N222" s="119"/>
      <c r="O222" s="119"/>
      <c r="P222" s="119"/>
      <c r="Q222" s="119"/>
      <c r="R222" s="119"/>
      <c r="S222" s="119"/>
      <c r="T222" s="119"/>
      <c r="U222" s="119"/>
      <c r="V222" s="119"/>
    </row>
    <row r="223" spans="1:22" s="1" customFormat="1" ht="16.5" x14ac:dyDescent="0.3">
      <c r="A223" s="119"/>
      <c r="B223" s="119"/>
      <c r="C223" s="119"/>
      <c r="D223" s="119"/>
      <c r="E223" s="119"/>
      <c r="F223" s="119"/>
      <c r="G223" s="119"/>
      <c r="H223" s="119"/>
      <c r="I223" s="119"/>
      <c r="J223" s="119"/>
      <c r="K223" s="119"/>
      <c r="L223" s="119"/>
      <c r="M223" s="119"/>
      <c r="N223" s="119"/>
      <c r="O223" s="119"/>
      <c r="P223" s="119"/>
      <c r="Q223" s="119"/>
      <c r="R223" s="119"/>
      <c r="S223" s="119"/>
      <c r="T223" s="119"/>
      <c r="U223" s="119"/>
      <c r="V223" s="119"/>
    </row>
    <row r="224" spans="1:22" s="1" customFormat="1" ht="16.5" x14ac:dyDescent="0.3">
      <c r="A224" s="119"/>
      <c r="B224" s="119"/>
      <c r="C224" s="119"/>
      <c r="D224" s="119"/>
      <c r="E224" s="119"/>
      <c r="F224" s="119"/>
      <c r="G224" s="119"/>
      <c r="H224" s="119"/>
      <c r="I224" s="119"/>
      <c r="J224" s="119"/>
      <c r="K224" s="119"/>
      <c r="L224" s="119"/>
      <c r="M224" s="119"/>
      <c r="N224" s="119"/>
      <c r="O224" s="119"/>
      <c r="P224" s="119"/>
      <c r="Q224" s="119"/>
      <c r="R224" s="119"/>
      <c r="S224" s="119"/>
      <c r="T224" s="119"/>
      <c r="U224" s="119"/>
      <c r="V224" s="119"/>
    </row>
    <row r="225" spans="1:22" s="1" customFormat="1" ht="16.5" x14ac:dyDescent="0.3">
      <c r="A225" s="119"/>
      <c r="B225" s="119"/>
      <c r="C225" s="119"/>
      <c r="D225" s="119"/>
      <c r="E225" s="119"/>
      <c r="F225" s="119"/>
      <c r="G225" s="119"/>
      <c r="H225" s="119"/>
      <c r="I225" s="119"/>
      <c r="J225" s="119"/>
      <c r="K225" s="119"/>
      <c r="L225" s="119"/>
      <c r="M225" s="119"/>
      <c r="N225" s="119"/>
      <c r="O225" s="119"/>
      <c r="P225" s="119"/>
      <c r="Q225" s="119"/>
      <c r="R225" s="119"/>
      <c r="S225" s="119"/>
      <c r="T225" s="119"/>
      <c r="U225" s="119"/>
      <c r="V225" s="119"/>
    </row>
    <row r="226" spans="1:22" s="1" customFormat="1" ht="16.5" x14ac:dyDescent="0.3">
      <c r="A226" s="119"/>
      <c r="B226" s="119"/>
      <c r="C226" s="119"/>
      <c r="D226" s="119"/>
      <c r="E226" s="119"/>
      <c r="F226" s="119"/>
      <c r="G226" s="119"/>
      <c r="H226" s="119"/>
      <c r="I226" s="119"/>
      <c r="J226" s="119"/>
      <c r="K226" s="119"/>
      <c r="L226" s="119"/>
      <c r="M226" s="119"/>
      <c r="N226" s="119"/>
      <c r="O226" s="119"/>
      <c r="P226" s="119"/>
      <c r="Q226" s="119"/>
      <c r="R226" s="119"/>
      <c r="S226" s="119"/>
      <c r="T226" s="119"/>
      <c r="U226" s="119"/>
      <c r="V226" s="119"/>
    </row>
    <row r="227" spans="1:22" s="1" customFormat="1" ht="16.5" x14ac:dyDescent="0.3">
      <c r="A227" s="119"/>
      <c r="B227" s="119"/>
      <c r="C227" s="119"/>
      <c r="D227" s="119"/>
      <c r="E227" s="119"/>
      <c r="F227" s="119"/>
      <c r="G227" s="119"/>
      <c r="H227" s="119"/>
      <c r="I227" s="119"/>
      <c r="J227" s="119"/>
      <c r="K227" s="119"/>
      <c r="L227" s="119"/>
      <c r="M227" s="119"/>
      <c r="N227" s="119"/>
      <c r="O227" s="119"/>
      <c r="P227" s="119"/>
      <c r="Q227" s="119"/>
      <c r="R227" s="119"/>
      <c r="S227" s="119"/>
      <c r="T227" s="119"/>
      <c r="U227" s="119"/>
      <c r="V227" s="119"/>
    </row>
    <row r="228" spans="1:22" s="1" customFormat="1" ht="16.5" x14ac:dyDescent="0.3">
      <c r="A228" s="119"/>
      <c r="B228" s="119"/>
      <c r="C228" s="119"/>
      <c r="D228" s="119"/>
      <c r="E228" s="119"/>
      <c r="F228" s="119"/>
      <c r="G228" s="119"/>
      <c r="H228" s="119"/>
      <c r="I228" s="119"/>
      <c r="J228" s="119"/>
      <c r="K228" s="119"/>
      <c r="L228" s="119"/>
      <c r="M228" s="119"/>
      <c r="N228" s="119"/>
      <c r="O228" s="119"/>
      <c r="P228" s="119"/>
      <c r="Q228" s="119"/>
      <c r="R228" s="119"/>
      <c r="S228" s="119"/>
      <c r="T228" s="119"/>
      <c r="U228" s="119"/>
      <c r="V228" s="119"/>
    </row>
    <row r="229" spans="1:22" s="1" customFormat="1" ht="16.5" x14ac:dyDescent="0.3">
      <c r="A229" s="119"/>
      <c r="B229" s="119"/>
      <c r="C229" s="119"/>
      <c r="D229" s="119"/>
      <c r="E229" s="119"/>
      <c r="F229" s="119"/>
      <c r="G229" s="119"/>
      <c r="H229" s="119"/>
      <c r="I229" s="119"/>
      <c r="J229" s="119"/>
      <c r="K229" s="119"/>
      <c r="L229" s="119"/>
      <c r="M229" s="119"/>
      <c r="N229" s="119"/>
      <c r="O229" s="119"/>
      <c r="P229" s="119"/>
      <c r="Q229" s="119"/>
      <c r="R229" s="119"/>
      <c r="S229" s="119"/>
      <c r="T229" s="119"/>
      <c r="U229" s="119"/>
      <c r="V229" s="119"/>
    </row>
    <row r="230" spans="1:22" s="1" customFormat="1" ht="16.5" x14ac:dyDescent="0.3">
      <c r="A230" s="119"/>
      <c r="B230" s="119"/>
      <c r="C230" s="119"/>
      <c r="D230" s="119"/>
      <c r="E230" s="119"/>
      <c r="F230" s="119"/>
      <c r="G230" s="119"/>
      <c r="H230" s="119"/>
      <c r="I230" s="119"/>
      <c r="J230" s="119"/>
      <c r="K230" s="119"/>
      <c r="L230" s="119"/>
      <c r="M230" s="119"/>
      <c r="N230" s="119"/>
      <c r="O230" s="119"/>
      <c r="P230" s="119"/>
      <c r="Q230" s="119"/>
      <c r="R230" s="119"/>
      <c r="S230" s="119"/>
      <c r="T230" s="119"/>
      <c r="U230" s="119"/>
      <c r="V230" s="119"/>
    </row>
    <row r="231" spans="1:22" s="1" customFormat="1" ht="16.5" x14ac:dyDescent="0.3">
      <c r="A231" s="119"/>
      <c r="B231" s="119"/>
      <c r="C231" s="119"/>
      <c r="D231" s="119"/>
      <c r="E231" s="119"/>
      <c r="F231" s="119"/>
      <c r="G231" s="119"/>
      <c r="H231" s="119"/>
      <c r="I231" s="119"/>
      <c r="J231" s="119"/>
      <c r="K231" s="119"/>
      <c r="L231" s="119"/>
      <c r="M231" s="119"/>
      <c r="N231" s="119"/>
      <c r="O231" s="119"/>
      <c r="P231" s="119"/>
      <c r="Q231" s="119"/>
      <c r="R231" s="119"/>
      <c r="S231" s="119"/>
      <c r="T231" s="119"/>
      <c r="U231" s="119"/>
      <c r="V231" s="119"/>
    </row>
    <row r="232" spans="1:22" s="1" customFormat="1" ht="16.5" x14ac:dyDescent="0.3">
      <c r="A232" s="119"/>
      <c r="B232" s="119"/>
      <c r="C232" s="119"/>
      <c r="D232" s="119"/>
      <c r="E232" s="119"/>
      <c r="F232" s="119"/>
      <c r="G232" s="119"/>
      <c r="H232" s="119"/>
      <c r="I232" s="119"/>
      <c r="J232" s="119"/>
      <c r="K232" s="119"/>
      <c r="L232" s="119"/>
      <c r="M232" s="119"/>
      <c r="N232" s="119"/>
      <c r="O232" s="119"/>
      <c r="P232" s="119"/>
      <c r="Q232" s="119"/>
      <c r="R232" s="119"/>
      <c r="S232" s="119"/>
      <c r="T232" s="119"/>
      <c r="U232" s="119"/>
      <c r="V232" s="119"/>
    </row>
    <row r="233" spans="1:22" s="1" customFormat="1" ht="16.5" x14ac:dyDescent="0.3">
      <c r="A233" s="119"/>
      <c r="B233" s="119"/>
      <c r="C233" s="119"/>
      <c r="D233" s="119"/>
      <c r="E233" s="119"/>
      <c r="F233" s="119"/>
      <c r="G233" s="119"/>
      <c r="H233" s="119"/>
      <c r="I233" s="119"/>
      <c r="J233" s="119"/>
      <c r="K233" s="119"/>
      <c r="L233" s="119"/>
      <c r="M233" s="119"/>
      <c r="N233" s="119"/>
      <c r="O233" s="119"/>
      <c r="P233" s="119"/>
      <c r="Q233" s="119"/>
      <c r="R233" s="119"/>
      <c r="S233" s="119"/>
      <c r="T233" s="119"/>
      <c r="U233" s="119"/>
      <c r="V233" s="119"/>
    </row>
    <row r="234" spans="1:22" s="1" customFormat="1" ht="16.5" x14ac:dyDescent="0.3">
      <c r="A234" s="119"/>
      <c r="B234" s="119"/>
      <c r="C234" s="119"/>
      <c r="D234" s="119"/>
      <c r="E234" s="119"/>
      <c r="F234" s="119"/>
      <c r="G234" s="119"/>
      <c r="H234" s="119"/>
      <c r="I234" s="119"/>
      <c r="J234" s="119"/>
      <c r="K234" s="119"/>
      <c r="L234" s="119"/>
      <c r="M234" s="119"/>
      <c r="N234" s="119"/>
      <c r="O234" s="119"/>
      <c r="P234" s="119"/>
      <c r="Q234" s="119"/>
      <c r="R234" s="119"/>
      <c r="S234" s="119"/>
      <c r="T234" s="119"/>
      <c r="U234" s="119"/>
      <c r="V234" s="119"/>
    </row>
    <row r="235" spans="1:22" s="1" customFormat="1" ht="16.5" x14ac:dyDescent="0.3">
      <c r="A235" s="119"/>
      <c r="B235" s="119"/>
      <c r="C235" s="119"/>
      <c r="D235" s="119"/>
      <c r="E235" s="119"/>
      <c r="F235" s="119"/>
      <c r="G235" s="119"/>
      <c r="H235" s="119"/>
      <c r="I235" s="119"/>
      <c r="J235" s="119"/>
      <c r="K235" s="119"/>
      <c r="L235" s="119"/>
      <c r="M235" s="119"/>
      <c r="N235" s="119"/>
      <c r="O235" s="119"/>
      <c r="P235" s="119"/>
      <c r="Q235" s="119"/>
      <c r="R235" s="119"/>
      <c r="S235" s="119"/>
      <c r="T235" s="119"/>
      <c r="U235" s="119"/>
      <c r="V235" s="119"/>
    </row>
    <row r="236" spans="1:22" s="1" customFormat="1" ht="16.5" x14ac:dyDescent="0.3">
      <c r="A236" s="119"/>
      <c r="B236" s="119"/>
      <c r="C236" s="119"/>
      <c r="D236" s="119"/>
      <c r="E236" s="119"/>
      <c r="F236" s="119"/>
      <c r="G236" s="119"/>
      <c r="H236" s="119"/>
      <c r="I236" s="119"/>
      <c r="J236" s="119"/>
      <c r="K236" s="119"/>
      <c r="L236" s="119"/>
      <c r="M236" s="119"/>
      <c r="N236" s="119"/>
      <c r="O236" s="119"/>
      <c r="P236" s="119"/>
      <c r="Q236" s="119"/>
      <c r="R236" s="119"/>
      <c r="S236" s="119"/>
      <c r="T236" s="119"/>
      <c r="U236" s="119"/>
      <c r="V236" s="119"/>
    </row>
    <row r="237" spans="1:22" s="1" customFormat="1" ht="16.5" x14ac:dyDescent="0.3">
      <c r="A237" s="119"/>
      <c r="B237" s="119"/>
      <c r="C237" s="119"/>
      <c r="D237" s="119"/>
      <c r="E237" s="119"/>
      <c r="F237" s="119"/>
      <c r="G237" s="119"/>
      <c r="H237" s="119"/>
      <c r="I237" s="119"/>
      <c r="J237" s="119"/>
      <c r="K237" s="119"/>
      <c r="L237" s="119"/>
      <c r="M237" s="119"/>
      <c r="N237" s="119"/>
      <c r="O237" s="119"/>
      <c r="P237" s="119"/>
      <c r="Q237" s="119"/>
      <c r="R237" s="119"/>
      <c r="S237" s="119"/>
      <c r="T237" s="119"/>
      <c r="U237" s="119"/>
      <c r="V237" s="119"/>
    </row>
    <row r="238" spans="1:22" s="1" customFormat="1" ht="16.5" x14ac:dyDescent="0.3">
      <c r="A238" s="119"/>
      <c r="B238" s="119"/>
      <c r="C238" s="119"/>
      <c r="D238" s="119"/>
      <c r="E238" s="119"/>
      <c r="F238" s="119"/>
      <c r="G238" s="119"/>
      <c r="H238" s="119"/>
      <c r="I238" s="119"/>
      <c r="J238" s="119"/>
      <c r="K238" s="119"/>
      <c r="L238" s="119"/>
      <c r="M238" s="119"/>
      <c r="N238" s="119"/>
      <c r="O238" s="119"/>
      <c r="P238" s="119"/>
      <c r="Q238" s="119"/>
      <c r="R238" s="119"/>
      <c r="S238" s="119"/>
      <c r="T238" s="119"/>
      <c r="U238" s="119"/>
      <c r="V238" s="119"/>
    </row>
    <row r="239" spans="1:22" s="1" customFormat="1" ht="16.5" x14ac:dyDescent="0.3">
      <c r="A239" s="119"/>
      <c r="B239" s="119"/>
      <c r="C239" s="119"/>
      <c r="D239" s="119"/>
      <c r="E239" s="119"/>
      <c r="F239" s="119"/>
      <c r="G239" s="119"/>
      <c r="H239" s="119"/>
      <c r="I239" s="119"/>
      <c r="J239" s="119"/>
      <c r="K239" s="119"/>
      <c r="L239" s="119"/>
      <c r="M239" s="119"/>
      <c r="N239" s="119"/>
      <c r="O239" s="119"/>
      <c r="P239" s="119"/>
      <c r="Q239" s="119"/>
      <c r="R239" s="119"/>
      <c r="S239" s="119"/>
      <c r="T239" s="119"/>
      <c r="U239" s="119"/>
      <c r="V239" s="119"/>
    </row>
    <row r="240" spans="1:22" s="1" customFormat="1" ht="16.5" x14ac:dyDescent="0.3">
      <c r="A240" s="119"/>
      <c r="B240" s="119"/>
      <c r="C240" s="119"/>
      <c r="D240" s="119"/>
      <c r="E240" s="119"/>
      <c r="F240" s="119"/>
      <c r="G240" s="119"/>
      <c r="H240" s="119"/>
      <c r="I240" s="119"/>
      <c r="J240" s="119"/>
      <c r="K240" s="119"/>
      <c r="L240" s="119"/>
      <c r="M240" s="119"/>
      <c r="N240" s="119"/>
      <c r="O240" s="119"/>
      <c r="P240" s="119"/>
      <c r="Q240" s="119"/>
      <c r="R240" s="119"/>
      <c r="S240" s="119"/>
      <c r="T240" s="119"/>
      <c r="U240" s="119"/>
      <c r="V240" s="119"/>
    </row>
    <row r="241" spans="1:22" s="1" customFormat="1" ht="16.5" x14ac:dyDescent="0.3">
      <c r="A241" s="119"/>
      <c r="B241" s="119"/>
      <c r="C241" s="119"/>
      <c r="D241" s="119"/>
      <c r="E241" s="119"/>
      <c r="F241" s="119"/>
      <c r="G241" s="119"/>
      <c r="H241" s="119"/>
      <c r="I241" s="119"/>
      <c r="J241" s="119"/>
      <c r="K241" s="119"/>
      <c r="L241" s="119"/>
      <c r="M241" s="119"/>
      <c r="N241" s="119"/>
      <c r="O241" s="119"/>
      <c r="P241" s="119"/>
      <c r="Q241" s="119"/>
      <c r="R241" s="119"/>
      <c r="S241" s="119"/>
      <c r="T241" s="119"/>
      <c r="U241" s="119"/>
      <c r="V241" s="119"/>
    </row>
    <row r="242" spans="1:22" s="1" customFormat="1" ht="16.5" x14ac:dyDescent="0.3">
      <c r="A242" s="119"/>
      <c r="B242" s="119"/>
      <c r="C242" s="119"/>
      <c r="D242" s="119"/>
      <c r="E242" s="119"/>
      <c r="F242" s="119"/>
      <c r="G242" s="119"/>
      <c r="H242" s="119"/>
      <c r="I242" s="119"/>
      <c r="J242" s="119"/>
      <c r="K242" s="119"/>
      <c r="L242" s="119"/>
      <c r="M242" s="119"/>
      <c r="N242" s="119"/>
      <c r="O242" s="119"/>
      <c r="P242" s="119"/>
      <c r="Q242" s="119"/>
      <c r="R242" s="119"/>
      <c r="S242" s="119"/>
      <c r="T242" s="119"/>
      <c r="U242" s="119"/>
      <c r="V242" s="119"/>
    </row>
    <row r="243" spans="1:22" s="1" customFormat="1" ht="16.5" x14ac:dyDescent="0.3">
      <c r="A243" s="119"/>
      <c r="B243" s="119"/>
      <c r="C243" s="119"/>
      <c r="D243" s="119"/>
      <c r="E243" s="119"/>
      <c r="F243" s="119"/>
      <c r="G243" s="119"/>
      <c r="H243" s="119"/>
      <c r="I243" s="119"/>
      <c r="J243" s="119"/>
      <c r="K243" s="119"/>
      <c r="L243" s="119"/>
      <c r="M243" s="119"/>
      <c r="N243" s="119"/>
      <c r="O243" s="119"/>
      <c r="P243" s="119"/>
      <c r="Q243" s="119"/>
      <c r="R243" s="119"/>
      <c r="S243" s="119"/>
      <c r="T243" s="119"/>
      <c r="U243" s="119"/>
      <c r="V243" s="119"/>
    </row>
    <row r="244" spans="1:22" s="1" customFormat="1" ht="16.5" x14ac:dyDescent="0.3">
      <c r="A244" s="119"/>
      <c r="B244" s="119"/>
      <c r="C244" s="119"/>
      <c r="D244" s="119"/>
      <c r="E244" s="119"/>
      <c r="F244" s="119"/>
      <c r="G244" s="119"/>
      <c r="H244" s="119"/>
      <c r="I244" s="119"/>
      <c r="J244" s="119"/>
      <c r="K244" s="119"/>
      <c r="L244" s="119"/>
      <c r="M244" s="119"/>
      <c r="N244" s="119"/>
      <c r="O244" s="119"/>
      <c r="P244" s="119"/>
      <c r="Q244" s="119"/>
      <c r="R244" s="119"/>
      <c r="S244" s="119"/>
      <c r="T244" s="119"/>
      <c r="U244" s="119"/>
      <c r="V244" s="119"/>
    </row>
    <row r="245" spans="1:22" s="1" customFormat="1" ht="16.5" x14ac:dyDescent="0.3">
      <c r="A245" s="119"/>
      <c r="B245" s="119"/>
      <c r="C245" s="119"/>
      <c r="D245" s="119"/>
      <c r="E245" s="119"/>
      <c r="F245" s="119"/>
      <c r="G245" s="119"/>
      <c r="H245" s="119"/>
      <c r="I245" s="119"/>
      <c r="J245" s="119"/>
      <c r="K245" s="119"/>
      <c r="L245" s="119"/>
      <c r="M245" s="119"/>
      <c r="N245" s="119"/>
      <c r="O245" s="119"/>
      <c r="P245" s="119"/>
      <c r="Q245" s="119"/>
      <c r="R245" s="119"/>
      <c r="S245" s="119"/>
      <c r="T245" s="119"/>
      <c r="U245" s="119"/>
      <c r="V245" s="119"/>
    </row>
    <row r="246" spans="1:22" s="1" customFormat="1" ht="16.5" x14ac:dyDescent="0.3">
      <c r="A246" s="119"/>
      <c r="B246" s="119"/>
      <c r="C246" s="119"/>
      <c r="D246" s="119"/>
      <c r="E246" s="119"/>
      <c r="F246" s="119"/>
      <c r="G246" s="119"/>
      <c r="H246" s="119"/>
      <c r="I246" s="119"/>
      <c r="J246" s="119"/>
      <c r="K246" s="119"/>
      <c r="L246" s="119"/>
      <c r="M246" s="119"/>
      <c r="N246" s="119"/>
      <c r="O246" s="119"/>
      <c r="P246" s="119"/>
      <c r="Q246" s="119"/>
      <c r="R246" s="119"/>
      <c r="S246" s="119"/>
      <c r="T246" s="119"/>
      <c r="U246" s="119"/>
      <c r="V246" s="119"/>
    </row>
    <row r="247" spans="1:22" s="1" customFormat="1" ht="16.5" x14ac:dyDescent="0.3">
      <c r="A247" s="119"/>
      <c r="B247" s="119"/>
      <c r="C247" s="119"/>
      <c r="D247" s="119"/>
      <c r="E247" s="119"/>
      <c r="F247" s="119"/>
      <c r="G247" s="119"/>
      <c r="H247" s="119"/>
      <c r="I247" s="119"/>
      <c r="J247" s="119"/>
      <c r="K247" s="119"/>
      <c r="L247" s="119"/>
      <c r="M247" s="119"/>
      <c r="N247" s="119"/>
      <c r="O247" s="119"/>
      <c r="P247" s="119"/>
      <c r="Q247" s="119"/>
      <c r="R247" s="119"/>
      <c r="S247" s="119"/>
      <c r="T247" s="119"/>
      <c r="U247" s="119"/>
      <c r="V247" s="119"/>
    </row>
    <row r="248" spans="1:22" s="1" customFormat="1" ht="16.5" x14ac:dyDescent="0.3">
      <c r="A248" s="119"/>
      <c r="B248" s="119"/>
      <c r="C248" s="119"/>
      <c r="D248" s="119"/>
      <c r="E248" s="119"/>
      <c r="F248" s="119"/>
      <c r="G248" s="119"/>
      <c r="H248" s="119"/>
      <c r="I248" s="119"/>
      <c r="J248" s="119"/>
      <c r="K248" s="119"/>
      <c r="L248" s="119"/>
      <c r="M248" s="119"/>
      <c r="N248" s="119"/>
      <c r="O248" s="119"/>
      <c r="P248" s="119"/>
      <c r="Q248" s="119"/>
      <c r="R248" s="119"/>
      <c r="S248" s="119"/>
      <c r="T248" s="119"/>
      <c r="U248" s="119"/>
      <c r="V248" s="119"/>
    </row>
    <row r="249" spans="1:22" s="1" customFormat="1" ht="16.5" x14ac:dyDescent="0.3">
      <c r="A249" s="119"/>
      <c r="B249" s="119"/>
      <c r="C249" s="119"/>
      <c r="D249" s="119"/>
      <c r="E249" s="119"/>
      <c r="F249" s="119"/>
      <c r="G249" s="119"/>
      <c r="H249" s="119"/>
      <c r="I249" s="119"/>
      <c r="J249" s="119"/>
      <c r="K249" s="119"/>
      <c r="L249" s="119"/>
      <c r="M249" s="119"/>
      <c r="N249" s="119"/>
      <c r="O249" s="119"/>
      <c r="P249" s="119"/>
      <c r="Q249" s="119"/>
      <c r="R249" s="119"/>
      <c r="S249" s="119"/>
      <c r="T249" s="119"/>
      <c r="U249" s="119"/>
      <c r="V249" s="119"/>
    </row>
    <row r="250" spans="1:22" s="1" customFormat="1" ht="16.5" x14ac:dyDescent="0.3">
      <c r="A250" s="119"/>
      <c r="B250" s="119"/>
      <c r="C250" s="119"/>
      <c r="D250" s="119"/>
      <c r="E250" s="119"/>
      <c r="F250" s="119"/>
      <c r="G250" s="119"/>
      <c r="H250" s="119"/>
      <c r="I250" s="119"/>
      <c r="J250" s="119"/>
      <c r="K250" s="119"/>
      <c r="L250" s="119"/>
      <c r="M250" s="119"/>
      <c r="N250" s="119"/>
      <c r="O250" s="119"/>
      <c r="P250" s="119"/>
      <c r="Q250" s="119"/>
      <c r="R250" s="119"/>
      <c r="S250" s="119"/>
      <c r="T250" s="119"/>
      <c r="U250" s="119"/>
      <c r="V250" s="119"/>
    </row>
    <row r="251" spans="1:22" s="1" customFormat="1" ht="16.5" x14ac:dyDescent="0.3">
      <c r="A251" s="119"/>
      <c r="B251" s="119"/>
      <c r="C251" s="119"/>
      <c r="D251" s="119"/>
      <c r="E251" s="119"/>
      <c r="F251" s="119"/>
      <c r="G251" s="119"/>
      <c r="H251" s="119"/>
      <c r="I251" s="119"/>
      <c r="J251" s="119"/>
      <c r="K251" s="119"/>
      <c r="L251" s="119"/>
      <c r="M251" s="119"/>
      <c r="N251" s="119"/>
      <c r="O251" s="119"/>
      <c r="P251" s="119"/>
      <c r="Q251" s="119"/>
      <c r="R251" s="119"/>
      <c r="S251" s="119"/>
      <c r="T251" s="119"/>
      <c r="U251" s="119"/>
      <c r="V251" s="119"/>
    </row>
    <row r="252" spans="1:22" s="1" customFormat="1" ht="16.5" x14ac:dyDescent="0.3">
      <c r="A252" s="119"/>
      <c r="B252" s="119"/>
      <c r="C252" s="119"/>
      <c r="D252" s="119"/>
      <c r="E252" s="119"/>
      <c r="F252" s="119"/>
      <c r="G252" s="119"/>
      <c r="H252" s="119"/>
      <c r="I252" s="119"/>
      <c r="J252" s="119"/>
      <c r="K252" s="119"/>
      <c r="L252" s="119"/>
      <c r="M252" s="119"/>
      <c r="N252" s="119"/>
      <c r="O252" s="119"/>
      <c r="P252" s="119"/>
      <c r="Q252" s="119"/>
      <c r="R252" s="119"/>
      <c r="S252" s="119"/>
      <c r="T252" s="119"/>
      <c r="U252" s="119"/>
      <c r="V252" s="119"/>
    </row>
    <row r="253" spans="1:22" s="1" customFormat="1" ht="16.5" x14ac:dyDescent="0.3">
      <c r="A253" s="119"/>
      <c r="B253" s="119"/>
      <c r="C253" s="119"/>
      <c r="D253" s="119"/>
      <c r="E253" s="119"/>
      <c r="F253" s="119"/>
      <c r="G253" s="119"/>
      <c r="H253" s="119"/>
      <c r="I253" s="119"/>
      <c r="J253" s="119"/>
      <c r="K253" s="119"/>
      <c r="L253" s="119"/>
      <c r="M253" s="119"/>
      <c r="N253" s="119"/>
      <c r="O253" s="119"/>
      <c r="P253" s="119"/>
      <c r="Q253" s="119"/>
      <c r="R253" s="119"/>
      <c r="S253" s="119"/>
      <c r="T253" s="119"/>
      <c r="U253" s="119"/>
      <c r="V253" s="119"/>
    </row>
    <row r="254" spans="1:22" s="1" customFormat="1" ht="16.5" x14ac:dyDescent="0.3">
      <c r="A254" s="119"/>
      <c r="B254" s="119"/>
      <c r="C254" s="119"/>
      <c r="D254" s="119"/>
      <c r="E254" s="119"/>
      <c r="F254" s="119"/>
      <c r="G254" s="119"/>
      <c r="H254" s="119"/>
      <c r="I254" s="119"/>
      <c r="J254" s="119"/>
      <c r="K254" s="119"/>
      <c r="L254" s="119"/>
      <c r="M254" s="119"/>
      <c r="N254" s="119"/>
      <c r="O254" s="119"/>
      <c r="P254" s="119"/>
      <c r="Q254" s="119"/>
      <c r="R254" s="119"/>
      <c r="S254" s="119"/>
      <c r="T254" s="119"/>
      <c r="U254" s="119"/>
      <c r="V254" s="119"/>
    </row>
    <row r="255" spans="1:22" s="1" customFormat="1" ht="16.5" x14ac:dyDescent="0.3">
      <c r="A255" s="119"/>
      <c r="B255" s="119"/>
      <c r="C255" s="119"/>
      <c r="D255" s="119"/>
      <c r="E255" s="119"/>
      <c r="F255" s="119"/>
      <c r="G255" s="119"/>
      <c r="H255" s="119"/>
      <c r="I255" s="119"/>
      <c r="J255" s="119"/>
      <c r="K255" s="119"/>
      <c r="L255" s="119"/>
      <c r="M255" s="119"/>
      <c r="N255" s="119"/>
      <c r="O255" s="119"/>
      <c r="P255" s="119"/>
      <c r="Q255" s="119"/>
      <c r="R255" s="119"/>
      <c r="S255" s="119"/>
      <c r="T255" s="119"/>
      <c r="U255" s="119"/>
      <c r="V255" s="119"/>
    </row>
    <row r="256" spans="1:22" s="1" customFormat="1" ht="16.5" x14ac:dyDescent="0.3">
      <c r="A256" s="119"/>
      <c r="B256" s="119"/>
      <c r="C256" s="119"/>
      <c r="D256" s="119"/>
      <c r="E256" s="119"/>
      <c r="F256" s="119"/>
      <c r="G256" s="119"/>
      <c r="H256" s="119"/>
      <c r="I256" s="119"/>
      <c r="J256" s="119"/>
      <c r="K256" s="119"/>
      <c r="L256" s="119"/>
      <c r="M256" s="119"/>
      <c r="N256" s="119"/>
      <c r="O256" s="119"/>
      <c r="P256" s="119"/>
      <c r="Q256" s="119"/>
      <c r="R256" s="119"/>
      <c r="S256" s="119"/>
      <c r="T256" s="119"/>
      <c r="U256" s="119"/>
      <c r="V256" s="119"/>
    </row>
    <row r="257" spans="1:22" s="1" customFormat="1" ht="16.5" x14ac:dyDescent="0.3">
      <c r="A257" s="119"/>
      <c r="B257" s="119"/>
      <c r="C257" s="119"/>
      <c r="D257" s="119"/>
      <c r="E257" s="119"/>
      <c r="F257" s="119"/>
      <c r="G257" s="119"/>
      <c r="H257" s="119"/>
      <c r="I257" s="119"/>
      <c r="J257" s="119"/>
      <c r="K257" s="119"/>
      <c r="L257" s="119"/>
      <c r="M257" s="119"/>
      <c r="N257" s="119"/>
      <c r="O257" s="119"/>
      <c r="P257" s="119"/>
      <c r="Q257" s="119"/>
      <c r="R257" s="119"/>
      <c r="S257" s="119"/>
      <c r="T257" s="119"/>
      <c r="U257" s="119"/>
      <c r="V257" s="119"/>
    </row>
    <row r="258" spans="1:22" s="1" customFormat="1" ht="16.5" x14ac:dyDescent="0.3">
      <c r="A258" s="119"/>
      <c r="B258" s="119"/>
      <c r="C258" s="119"/>
      <c r="D258" s="119"/>
      <c r="E258" s="119"/>
      <c r="F258" s="119"/>
      <c r="G258" s="119"/>
      <c r="H258" s="119"/>
      <c r="I258" s="119"/>
      <c r="J258" s="119"/>
      <c r="K258" s="119"/>
      <c r="L258" s="119"/>
      <c r="M258" s="119"/>
      <c r="N258" s="119"/>
      <c r="O258" s="119"/>
      <c r="P258" s="119"/>
      <c r="Q258" s="119"/>
      <c r="R258" s="119"/>
      <c r="S258" s="119"/>
      <c r="T258" s="119"/>
      <c r="U258" s="119"/>
      <c r="V258" s="119"/>
    </row>
    <row r="259" spans="1:22" s="1" customFormat="1" ht="16.5" x14ac:dyDescent="0.3">
      <c r="A259" s="119"/>
      <c r="B259" s="119"/>
      <c r="C259" s="119"/>
      <c r="D259" s="119"/>
      <c r="E259" s="119"/>
      <c r="F259" s="119"/>
      <c r="G259" s="119"/>
      <c r="H259" s="119"/>
      <c r="I259" s="119"/>
      <c r="J259" s="119"/>
      <c r="K259" s="119"/>
      <c r="L259" s="119"/>
      <c r="M259" s="119"/>
      <c r="N259" s="119"/>
      <c r="O259" s="119"/>
      <c r="P259" s="119"/>
      <c r="Q259" s="119"/>
      <c r="R259" s="119"/>
      <c r="S259" s="119"/>
      <c r="T259" s="119"/>
      <c r="U259" s="119"/>
      <c r="V259" s="119"/>
    </row>
    <row r="260" spans="1:22" s="1" customFormat="1" ht="16.5" x14ac:dyDescent="0.3">
      <c r="A260" s="119"/>
      <c r="B260" s="119"/>
      <c r="C260" s="119"/>
      <c r="D260" s="119"/>
      <c r="E260" s="119"/>
      <c r="F260" s="119"/>
      <c r="G260" s="119"/>
      <c r="H260" s="119"/>
      <c r="I260" s="119"/>
      <c r="J260" s="119"/>
      <c r="K260" s="119"/>
      <c r="L260" s="119"/>
      <c r="M260" s="119"/>
      <c r="N260" s="119"/>
      <c r="O260" s="119"/>
      <c r="P260" s="119"/>
      <c r="Q260" s="119"/>
      <c r="R260" s="119"/>
      <c r="S260" s="119"/>
      <c r="T260" s="119"/>
      <c r="U260" s="119"/>
      <c r="V260" s="119"/>
    </row>
    <row r="261" spans="1:22" s="1" customFormat="1" ht="16.5" x14ac:dyDescent="0.3">
      <c r="A261" s="119"/>
      <c r="B261" s="119"/>
      <c r="C261" s="119"/>
      <c r="D261" s="119"/>
      <c r="E261" s="119"/>
      <c r="F261" s="119"/>
      <c r="G261" s="119"/>
      <c r="H261" s="119"/>
      <c r="I261" s="119"/>
      <c r="J261" s="119"/>
      <c r="K261" s="119"/>
      <c r="L261" s="119"/>
      <c r="M261" s="119"/>
      <c r="N261" s="119"/>
      <c r="O261" s="119"/>
      <c r="P261" s="119"/>
      <c r="Q261" s="119"/>
      <c r="R261" s="119"/>
      <c r="S261" s="119"/>
      <c r="T261" s="119"/>
      <c r="U261" s="119"/>
      <c r="V261" s="119"/>
    </row>
    <row r="262" spans="1:22" s="1" customFormat="1" ht="16.5" x14ac:dyDescent="0.3">
      <c r="A262" s="119"/>
      <c r="B262" s="119"/>
      <c r="C262" s="119"/>
      <c r="D262" s="119"/>
      <c r="E262" s="119"/>
      <c r="F262" s="119"/>
      <c r="G262" s="119"/>
      <c r="H262" s="119"/>
      <c r="I262" s="119"/>
      <c r="J262" s="119"/>
      <c r="K262" s="119"/>
      <c r="L262" s="119"/>
      <c r="M262" s="119"/>
      <c r="N262" s="119"/>
      <c r="O262" s="119"/>
      <c r="P262" s="119"/>
      <c r="Q262" s="119"/>
      <c r="R262" s="119"/>
      <c r="S262" s="119"/>
      <c r="T262" s="119"/>
      <c r="U262" s="119"/>
      <c r="V262" s="119"/>
    </row>
    <row r="263" spans="1:22" s="1" customFormat="1" ht="16.5" x14ac:dyDescent="0.3">
      <c r="A263" s="119"/>
      <c r="B263" s="119"/>
      <c r="C263" s="119"/>
      <c r="D263" s="119"/>
      <c r="E263" s="119"/>
      <c r="F263" s="119"/>
      <c r="G263" s="119"/>
      <c r="H263" s="119"/>
      <c r="I263" s="119"/>
      <c r="J263" s="119"/>
      <c r="K263" s="119"/>
      <c r="L263" s="119"/>
      <c r="M263" s="119"/>
      <c r="N263" s="119"/>
      <c r="O263" s="119"/>
      <c r="P263" s="119"/>
      <c r="Q263" s="119"/>
      <c r="R263" s="119"/>
      <c r="S263" s="119"/>
      <c r="T263" s="119"/>
      <c r="U263" s="119"/>
      <c r="V263" s="119"/>
    </row>
    <row r="264" spans="1:22" s="1" customFormat="1" ht="16.5" x14ac:dyDescent="0.3">
      <c r="A264" s="119"/>
      <c r="B264" s="119"/>
      <c r="C264" s="119"/>
      <c r="D264" s="119"/>
      <c r="E264" s="119"/>
      <c r="F264" s="119"/>
      <c r="G264" s="119"/>
      <c r="H264" s="119"/>
      <c r="I264" s="119"/>
      <c r="J264" s="119"/>
      <c r="K264" s="119"/>
      <c r="L264" s="119"/>
      <c r="M264" s="119"/>
      <c r="N264" s="119"/>
      <c r="O264" s="119"/>
      <c r="P264" s="119"/>
      <c r="Q264" s="119"/>
      <c r="R264" s="119"/>
      <c r="S264" s="119"/>
      <c r="T264" s="119"/>
      <c r="U264" s="119"/>
      <c r="V264" s="119"/>
    </row>
    <row r="265" spans="1:22" s="1" customFormat="1" ht="16.5" x14ac:dyDescent="0.3">
      <c r="A265" s="119"/>
      <c r="B265" s="119"/>
      <c r="C265" s="119"/>
      <c r="D265" s="119"/>
      <c r="E265" s="119"/>
      <c r="F265" s="119"/>
      <c r="G265" s="119"/>
      <c r="H265" s="119"/>
      <c r="I265" s="119"/>
      <c r="J265" s="119"/>
      <c r="K265" s="119"/>
      <c r="L265" s="119"/>
      <c r="M265" s="119"/>
      <c r="N265" s="119"/>
      <c r="O265" s="119"/>
      <c r="P265" s="119"/>
      <c r="Q265" s="119"/>
      <c r="R265" s="119"/>
      <c r="S265" s="119"/>
      <c r="T265" s="119"/>
      <c r="U265" s="119"/>
      <c r="V265" s="119"/>
    </row>
    <row r="266" spans="1:22" s="1" customFormat="1" ht="16.5" x14ac:dyDescent="0.3">
      <c r="A266" s="119"/>
      <c r="B266" s="119"/>
      <c r="C266" s="119"/>
      <c r="D266" s="119"/>
      <c r="E266" s="119"/>
      <c r="F266" s="119"/>
      <c r="G266" s="119"/>
      <c r="H266" s="119"/>
      <c r="I266" s="119"/>
      <c r="J266" s="119"/>
      <c r="K266" s="119"/>
      <c r="L266" s="119"/>
      <c r="M266" s="119"/>
      <c r="N266" s="119"/>
      <c r="O266" s="119"/>
      <c r="P266" s="119"/>
      <c r="Q266" s="119"/>
      <c r="R266" s="119"/>
      <c r="S266" s="119"/>
      <c r="T266" s="119"/>
      <c r="U266" s="119"/>
      <c r="V266" s="119"/>
    </row>
    <row r="267" spans="1:22" s="1" customFormat="1" ht="16.5" x14ac:dyDescent="0.3">
      <c r="A267" s="119"/>
      <c r="B267" s="119"/>
      <c r="C267" s="119"/>
      <c r="D267" s="119"/>
      <c r="E267" s="119"/>
      <c r="F267" s="119"/>
      <c r="G267" s="119"/>
      <c r="H267" s="119"/>
      <c r="I267" s="119"/>
      <c r="J267" s="119"/>
      <c r="K267" s="119"/>
      <c r="L267" s="119"/>
      <c r="M267" s="119"/>
      <c r="N267" s="119"/>
      <c r="O267" s="119"/>
      <c r="P267" s="119"/>
      <c r="Q267" s="119"/>
      <c r="R267" s="119"/>
      <c r="S267" s="119"/>
      <c r="T267" s="119"/>
      <c r="U267" s="119"/>
      <c r="V267" s="119"/>
    </row>
    <row r="268" spans="1:22" s="1" customFormat="1" ht="16.5" x14ac:dyDescent="0.3">
      <c r="A268" s="119"/>
      <c r="B268" s="119"/>
      <c r="C268" s="119"/>
      <c r="D268" s="119"/>
      <c r="E268" s="119"/>
      <c r="F268" s="119"/>
      <c r="G268" s="119"/>
      <c r="H268" s="119"/>
      <c r="I268" s="119"/>
      <c r="J268" s="119"/>
      <c r="K268" s="119"/>
      <c r="L268" s="119"/>
      <c r="M268" s="119"/>
      <c r="N268" s="119"/>
      <c r="O268" s="119"/>
      <c r="P268" s="119"/>
      <c r="Q268" s="119"/>
      <c r="R268" s="119"/>
      <c r="S268" s="119"/>
      <c r="T268" s="119"/>
      <c r="U268" s="119"/>
      <c r="V268" s="119"/>
    </row>
    <row r="269" spans="1:22" s="1" customFormat="1" ht="16.5" x14ac:dyDescent="0.3">
      <c r="A269" s="119"/>
      <c r="B269" s="119"/>
      <c r="C269" s="119"/>
      <c r="D269" s="119"/>
      <c r="E269" s="119"/>
      <c r="F269" s="119"/>
      <c r="G269" s="119"/>
      <c r="H269" s="119"/>
      <c r="I269" s="119"/>
      <c r="J269" s="119"/>
      <c r="K269" s="119"/>
      <c r="L269" s="119"/>
      <c r="M269" s="119"/>
      <c r="N269" s="119"/>
      <c r="O269" s="119"/>
      <c r="P269" s="119"/>
      <c r="Q269" s="119"/>
      <c r="R269" s="119"/>
      <c r="S269" s="119"/>
      <c r="T269" s="119"/>
      <c r="U269" s="119"/>
      <c r="V269" s="119"/>
    </row>
    <row r="270" spans="1:22" s="1" customFormat="1" ht="16.5" x14ac:dyDescent="0.3">
      <c r="A270" s="119"/>
      <c r="B270" s="119"/>
      <c r="C270" s="119"/>
      <c r="D270" s="119"/>
      <c r="E270" s="119"/>
      <c r="F270" s="119"/>
      <c r="G270" s="119"/>
      <c r="H270" s="119"/>
      <c r="I270" s="119"/>
      <c r="J270" s="119"/>
      <c r="K270" s="119"/>
      <c r="L270" s="119"/>
      <c r="M270" s="119"/>
      <c r="N270" s="119"/>
      <c r="O270" s="119"/>
      <c r="P270" s="119"/>
      <c r="Q270" s="119"/>
      <c r="R270" s="119"/>
      <c r="S270" s="119"/>
      <c r="T270" s="119"/>
      <c r="U270" s="119"/>
      <c r="V270" s="119"/>
    </row>
    <row r="271" spans="1:22" s="1" customFormat="1" ht="16.5" x14ac:dyDescent="0.3">
      <c r="A271" s="119"/>
      <c r="B271" s="119"/>
      <c r="C271" s="119"/>
      <c r="D271" s="119"/>
      <c r="E271" s="119"/>
      <c r="F271" s="119"/>
      <c r="G271" s="119"/>
      <c r="H271" s="119"/>
      <c r="I271" s="119"/>
      <c r="J271" s="119"/>
      <c r="K271" s="119"/>
      <c r="L271" s="119"/>
      <c r="M271" s="119"/>
      <c r="N271" s="119"/>
      <c r="O271" s="119"/>
      <c r="P271" s="119"/>
      <c r="Q271" s="119"/>
      <c r="R271" s="119"/>
      <c r="S271" s="119"/>
      <c r="T271" s="119"/>
      <c r="U271" s="119"/>
      <c r="V271" s="119"/>
    </row>
    <row r="272" spans="1:22" s="1" customFormat="1" ht="16.5" x14ac:dyDescent="0.3">
      <c r="A272" s="119"/>
      <c r="B272" s="119"/>
      <c r="C272" s="119"/>
      <c r="D272" s="119"/>
      <c r="E272" s="119"/>
      <c r="F272" s="119"/>
      <c r="G272" s="119"/>
      <c r="H272" s="119"/>
      <c r="I272" s="119"/>
      <c r="J272" s="119"/>
      <c r="K272" s="119"/>
      <c r="L272" s="119"/>
      <c r="M272" s="119"/>
      <c r="N272" s="119"/>
      <c r="O272" s="119"/>
      <c r="P272" s="119"/>
      <c r="Q272" s="119"/>
      <c r="R272" s="119"/>
      <c r="S272" s="119"/>
      <c r="T272" s="119"/>
      <c r="U272" s="119"/>
      <c r="V272" s="119"/>
    </row>
    <row r="273" spans="1:22" s="1" customFormat="1" ht="16.5" x14ac:dyDescent="0.3">
      <c r="A273" s="119"/>
      <c r="B273" s="119"/>
      <c r="C273" s="119"/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  <c r="O273" s="119"/>
      <c r="P273" s="119"/>
      <c r="Q273" s="119"/>
      <c r="R273" s="119"/>
      <c r="S273" s="119"/>
      <c r="T273" s="119"/>
      <c r="U273" s="119"/>
      <c r="V273" s="119"/>
    </row>
    <row r="274" spans="1:22" s="1" customFormat="1" ht="16.5" x14ac:dyDescent="0.3">
      <c r="A274" s="119"/>
      <c r="B274" s="119"/>
      <c r="C274" s="119"/>
      <c r="D274" s="119"/>
      <c r="E274" s="119"/>
      <c r="F274" s="119"/>
      <c r="G274" s="119"/>
      <c r="H274" s="119"/>
      <c r="I274" s="119"/>
      <c r="J274" s="119"/>
      <c r="K274" s="119"/>
      <c r="L274" s="119"/>
      <c r="M274" s="119"/>
      <c r="N274" s="119"/>
      <c r="O274" s="119"/>
      <c r="P274" s="119"/>
      <c r="Q274" s="119"/>
      <c r="R274" s="119"/>
      <c r="S274" s="119"/>
      <c r="T274" s="119"/>
      <c r="U274" s="119"/>
      <c r="V274" s="119"/>
    </row>
    <row r="275" spans="1:22" s="1" customFormat="1" ht="16.5" x14ac:dyDescent="0.3">
      <c r="A275" s="119"/>
      <c r="B275" s="119"/>
      <c r="C275" s="119"/>
      <c r="D275" s="119"/>
      <c r="E275" s="119"/>
      <c r="F275" s="119"/>
      <c r="G275" s="119"/>
      <c r="H275" s="119"/>
      <c r="I275" s="119"/>
      <c r="J275" s="119"/>
      <c r="K275" s="119"/>
      <c r="L275" s="119"/>
      <c r="M275" s="119"/>
      <c r="N275" s="119"/>
      <c r="O275" s="119"/>
      <c r="P275" s="119"/>
      <c r="Q275" s="119"/>
      <c r="R275" s="119"/>
      <c r="S275" s="119"/>
      <c r="T275" s="119"/>
      <c r="U275" s="119"/>
      <c r="V275" s="119"/>
    </row>
    <row r="276" spans="1:22" s="1" customFormat="1" ht="16.5" x14ac:dyDescent="0.3">
      <c r="A276" s="119"/>
      <c r="B276" s="119"/>
      <c r="C276" s="119"/>
      <c r="D276" s="119"/>
      <c r="E276" s="119"/>
      <c r="F276" s="119"/>
      <c r="G276" s="119"/>
      <c r="H276" s="119"/>
      <c r="I276" s="119"/>
      <c r="J276" s="119"/>
      <c r="K276" s="119"/>
      <c r="L276" s="119"/>
      <c r="M276" s="119"/>
      <c r="N276" s="119"/>
      <c r="O276" s="119"/>
      <c r="P276" s="119"/>
      <c r="Q276" s="119"/>
      <c r="R276" s="119"/>
      <c r="S276" s="119"/>
      <c r="T276" s="119"/>
      <c r="U276" s="119"/>
      <c r="V276" s="119"/>
    </row>
    <row r="277" spans="1:22" s="1" customFormat="1" ht="16.5" x14ac:dyDescent="0.3">
      <c r="A277" s="119"/>
      <c r="B277" s="119"/>
      <c r="C277" s="119"/>
      <c r="D277" s="119"/>
      <c r="E277" s="119"/>
      <c r="F277" s="119"/>
      <c r="G277" s="119"/>
      <c r="H277" s="119"/>
      <c r="I277" s="119"/>
      <c r="J277" s="119"/>
      <c r="K277" s="119"/>
      <c r="L277" s="119"/>
      <c r="M277" s="119"/>
      <c r="N277" s="119"/>
      <c r="O277" s="119"/>
      <c r="P277" s="119"/>
      <c r="Q277" s="119"/>
      <c r="R277" s="119"/>
      <c r="S277" s="119"/>
      <c r="T277" s="119"/>
      <c r="U277" s="119"/>
      <c r="V277" s="119"/>
    </row>
    <row r="278" spans="1:22" s="1" customFormat="1" ht="16.5" x14ac:dyDescent="0.3">
      <c r="A278" s="119"/>
      <c r="B278" s="119"/>
      <c r="C278" s="119"/>
      <c r="D278" s="119"/>
      <c r="E278" s="119"/>
      <c r="F278" s="119"/>
      <c r="G278" s="119"/>
      <c r="H278" s="119"/>
      <c r="I278" s="119"/>
      <c r="J278" s="119"/>
      <c r="K278" s="119"/>
      <c r="L278" s="119"/>
      <c r="M278" s="119"/>
      <c r="N278" s="119"/>
      <c r="O278" s="119"/>
      <c r="P278" s="119"/>
      <c r="Q278" s="119"/>
      <c r="R278" s="119"/>
      <c r="S278" s="119"/>
      <c r="T278" s="119"/>
      <c r="U278" s="119"/>
      <c r="V278" s="119"/>
    </row>
    <row r="279" spans="1:22" s="1" customFormat="1" ht="16.5" x14ac:dyDescent="0.3">
      <c r="A279" s="119"/>
      <c r="B279" s="119"/>
      <c r="C279" s="119"/>
      <c r="D279" s="119"/>
      <c r="E279" s="119"/>
      <c r="F279" s="119"/>
      <c r="G279" s="119"/>
      <c r="H279" s="119"/>
      <c r="I279" s="119"/>
      <c r="J279" s="119"/>
      <c r="K279" s="119"/>
      <c r="L279" s="119"/>
      <c r="M279" s="119"/>
      <c r="N279" s="119"/>
      <c r="O279" s="119"/>
      <c r="P279" s="119"/>
      <c r="Q279" s="119"/>
      <c r="R279" s="119"/>
      <c r="S279" s="119"/>
      <c r="T279" s="119"/>
      <c r="U279" s="119"/>
      <c r="V279" s="119"/>
    </row>
    <row r="280" spans="1:22" s="1" customFormat="1" ht="16.5" x14ac:dyDescent="0.3">
      <c r="A280" s="119"/>
      <c r="B280" s="119"/>
      <c r="C280" s="119"/>
      <c r="D280" s="119"/>
      <c r="E280" s="119"/>
      <c r="F280" s="119"/>
      <c r="G280" s="119"/>
      <c r="H280" s="119"/>
      <c r="I280" s="119"/>
      <c r="J280" s="119"/>
      <c r="K280" s="119"/>
      <c r="L280" s="119"/>
      <c r="M280" s="119"/>
      <c r="N280" s="119"/>
      <c r="O280" s="119"/>
      <c r="P280" s="119"/>
      <c r="Q280" s="119"/>
      <c r="R280" s="119"/>
      <c r="S280" s="119"/>
      <c r="T280" s="119"/>
      <c r="U280" s="119"/>
      <c r="V280" s="119"/>
    </row>
    <row r="281" spans="1:22" s="1" customFormat="1" ht="16.5" x14ac:dyDescent="0.3">
      <c r="A281" s="119"/>
      <c r="B281" s="119"/>
      <c r="C281" s="119"/>
      <c r="D281" s="119"/>
      <c r="E281" s="119"/>
      <c r="F281" s="119"/>
      <c r="G281" s="119"/>
      <c r="H281" s="119"/>
      <c r="I281" s="119"/>
      <c r="J281" s="119"/>
      <c r="K281" s="119"/>
      <c r="L281" s="119"/>
      <c r="M281" s="119"/>
      <c r="N281" s="119"/>
      <c r="O281" s="119"/>
      <c r="P281" s="119"/>
      <c r="Q281" s="119"/>
      <c r="R281" s="119"/>
      <c r="S281" s="119"/>
      <c r="T281" s="119"/>
      <c r="U281" s="119"/>
      <c r="V281" s="119"/>
    </row>
    <row r="282" spans="1:22" s="1" customFormat="1" ht="16.5" x14ac:dyDescent="0.3">
      <c r="A282" s="119"/>
      <c r="B282" s="119"/>
      <c r="C282" s="119"/>
      <c r="D282" s="119"/>
      <c r="E282" s="119"/>
      <c r="F282" s="119"/>
      <c r="G282" s="119"/>
      <c r="H282" s="119"/>
      <c r="I282" s="119"/>
      <c r="J282" s="119"/>
      <c r="K282" s="119"/>
      <c r="L282" s="119"/>
      <c r="M282" s="119"/>
      <c r="N282" s="119"/>
      <c r="O282" s="119"/>
      <c r="P282" s="119"/>
      <c r="Q282" s="119"/>
      <c r="R282" s="119"/>
      <c r="S282" s="119"/>
      <c r="T282" s="119"/>
      <c r="U282" s="119"/>
      <c r="V282" s="119"/>
    </row>
    <row r="283" spans="1:22" s="1" customFormat="1" ht="16.5" x14ac:dyDescent="0.3">
      <c r="A283" s="119"/>
      <c r="B283" s="119"/>
      <c r="C283" s="119"/>
      <c r="D283" s="119"/>
      <c r="E283" s="119"/>
      <c r="F283" s="119"/>
      <c r="G283" s="119"/>
      <c r="H283" s="119"/>
      <c r="I283" s="119"/>
      <c r="J283" s="119"/>
      <c r="K283" s="119"/>
      <c r="L283" s="119"/>
      <c r="M283" s="119"/>
      <c r="N283" s="119"/>
      <c r="O283" s="119"/>
      <c r="P283" s="119"/>
      <c r="Q283" s="119"/>
      <c r="R283" s="119"/>
      <c r="S283" s="119"/>
      <c r="T283" s="119"/>
      <c r="U283" s="119"/>
      <c r="V283" s="119"/>
    </row>
    <row r="284" spans="1:22" s="1" customFormat="1" ht="16.5" x14ac:dyDescent="0.3">
      <c r="A284" s="119"/>
      <c r="B284" s="119"/>
      <c r="C284" s="119"/>
      <c r="D284" s="119"/>
      <c r="E284" s="119"/>
      <c r="F284" s="119"/>
      <c r="G284" s="119"/>
      <c r="H284" s="119"/>
      <c r="I284" s="119"/>
      <c r="J284" s="119"/>
      <c r="K284" s="119"/>
      <c r="L284" s="119"/>
      <c r="M284" s="119"/>
      <c r="N284" s="119"/>
      <c r="O284" s="119"/>
      <c r="P284" s="119"/>
      <c r="Q284" s="119"/>
      <c r="R284" s="119"/>
      <c r="S284" s="119"/>
      <c r="T284" s="119"/>
      <c r="U284" s="119"/>
      <c r="V284" s="119"/>
    </row>
    <row r="285" spans="1:22" s="1" customFormat="1" ht="16.5" x14ac:dyDescent="0.3">
      <c r="A285" s="119"/>
      <c r="B285" s="119"/>
      <c r="C285" s="119"/>
      <c r="D285" s="119"/>
      <c r="E285" s="119"/>
      <c r="F285" s="119"/>
      <c r="G285" s="119"/>
      <c r="H285" s="119"/>
      <c r="I285" s="119"/>
      <c r="J285" s="119"/>
      <c r="K285" s="119"/>
      <c r="L285" s="119"/>
      <c r="M285" s="119"/>
      <c r="N285" s="119"/>
      <c r="O285" s="119"/>
      <c r="P285" s="119"/>
      <c r="Q285" s="119"/>
      <c r="R285" s="119"/>
      <c r="S285" s="119"/>
      <c r="T285" s="119"/>
      <c r="U285" s="119"/>
      <c r="V285" s="119"/>
    </row>
    <row r="286" spans="1:22" s="1" customFormat="1" ht="16.5" x14ac:dyDescent="0.3">
      <c r="A286" s="119"/>
      <c r="B286" s="119"/>
      <c r="C286" s="119"/>
      <c r="D286" s="119"/>
      <c r="E286" s="119"/>
      <c r="F286" s="119"/>
      <c r="G286" s="119"/>
      <c r="H286" s="119"/>
      <c r="I286" s="119"/>
      <c r="J286" s="119"/>
      <c r="K286" s="119"/>
      <c r="L286" s="119"/>
      <c r="M286" s="119"/>
      <c r="N286" s="119"/>
      <c r="O286" s="119"/>
      <c r="P286" s="119"/>
      <c r="Q286" s="119"/>
      <c r="R286" s="119"/>
      <c r="S286" s="119"/>
      <c r="T286" s="119"/>
      <c r="U286" s="119"/>
      <c r="V286" s="119"/>
    </row>
    <row r="287" spans="1:22" s="1" customFormat="1" ht="16.5" x14ac:dyDescent="0.3">
      <c r="A287" s="119"/>
      <c r="B287" s="119"/>
      <c r="C287" s="119"/>
      <c r="D287" s="119"/>
      <c r="E287" s="119"/>
      <c r="F287" s="119"/>
      <c r="G287" s="119"/>
      <c r="H287" s="119"/>
      <c r="I287" s="119"/>
      <c r="J287" s="119"/>
      <c r="K287" s="119"/>
      <c r="L287" s="119"/>
      <c r="M287" s="119"/>
      <c r="N287" s="119"/>
      <c r="O287" s="119"/>
      <c r="P287" s="119"/>
      <c r="Q287" s="119"/>
      <c r="R287" s="119"/>
      <c r="S287" s="119"/>
      <c r="T287" s="119"/>
      <c r="U287" s="119"/>
      <c r="V287" s="119"/>
    </row>
    <row r="288" spans="1:22" s="1" customFormat="1" ht="16.5" x14ac:dyDescent="0.3">
      <c r="A288" s="119"/>
      <c r="B288" s="119"/>
      <c r="C288" s="119"/>
      <c r="D288" s="119"/>
      <c r="E288" s="119"/>
      <c r="F288" s="119"/>
      <c r="G288" s="119"/>
      <c r="H288" s="119"/>
      <c r="I288" s="119"/>
      <c r="J288" s="119"/>
      <c r="K288" s="119"/>
      <c r="L288" s="119"/>
      <c r="M288" s="119"/>
      <c r="N288" s="119"/>
      <c r="O288" s="119"/>
      <c r="P288" s="119"/>
      <c r="Q288" s="119"/>
      <c r="R288" s="119"/>
      <c r="S288" s="119"/>
      <c r="T288" s="119"/>
      <c r="U288" s="119"/>
      <c r="V288" s="119"/>
    </row>
    <row r="289" spans="1:22" s="1" customFormat="1" ht="16.5" x14ac:dyDescent="0.3">
      <c r="A289" s="119"/>
      <c r="B289" s="119"/>
      <c r="C289" s="119"/>
      <c r="D289" s="119"/>
      <c r="E289" s="119"/>
      <c r="F289" s="119"/>
      <c r="G289" s="119"/>
      <c r="H289" s="119"/>
      <c r="I289" s="119"/>
      <c r="J289" s="119"/>
      <c r="K289" s="119"/>
      <c r="L289" s="119"/>
      <c r="M289" s="119"/>
      <c r="N289" s="119"/>
      <c r="O289" s="119"/>
      <c r="P289" s="119"/>
      <c r="Q289" s="119"/>
      <c r="R289" s="119"/>
      <c r="S289" s="119"/>
      <c r="T289" s="119"/>
      <c r="U289" s="119"/>
      <c r="V289" s="119"/>
    </row>
    <row r="290" spans="1:22" s="1" customFormat="1" ht="16.5" x14ac:dyDescent="0.3">
      <c r="A290" s="119"/>
      <c r="B290" s="119"/>
      <c r="C290" s="119"/>
      <c r="D290" s="119"/>
      <c r="E290" s="119"/>
      <c r="F290" s="119"/>
      <c r="G290" s="119"/>
      <c r="H290" s="119"/>
      <c r="I290" s="119"/>
      <c r="J290" s="119"/>
      <c r="K290" s="119"/>
      <c r="L290" s="119"/>
      <c r="M290" s="119"/>
      <c r="N290" s="119"/>
      <c r="O290" s="119"/>
      <c r="P290" s="119"/>
      <c r="Q290" s="119"/>
      <c r="R290" s="119"/>
      <c r="S290" s="119"/>
      <c r="T290" s="119"/>
      <c r="U290" s="119"/>
      <c r="V290" s="119"/>
    </row>
    <row r="291" spans="1:22" s="1" customFormat="1" ht="16.5" x14ac:dyDescent="0.3">
      <c r="A291" s="119"/>
      <c r="B291" s="119"/>
      <c r="C291" s="119"/>
      <c r="D291" s="119"/>
      <c r="E291" s="119"/>
      <c r="F291" s="119"/>
      <c r="G291" s="119"/>
      <c r="H291" s="119"/>
      <c r="I291" s="119"/>
      <c r="J291" s="119"/>
      <c r="K291" s="119"/>
      <c r="L291" s="119"/>
      <c r="M291" s="119"/>
      <c r="N291" s="119"/>
      <c r="O291" s="119"/>
      <c r="P291" s="119"/>
      <c r="Q291" s="119"/>
      <c r="R291" s="119"/>
      <c r="S291" s="119"/>
      <c r="T291" s="119"/>
      <c r="U291" s="119"/>
      <c r="V291" s="119"/>
    </row>
    <row r="292" spans="1:22" s="1" customFormat="1" ht="16.5" x14ac:dyDescent="0.3">
      <c r="A292" s="119"/>
      <c r="B292" s="119"/>
      <c r="C292" s="119"/>
      <c r="D292" s="119"/>
      <c r="E292" s="119"/>
      <c r="F292" s="119"/>
      <c r="G292" s="119"/>
      <c r="H292" s="119"/>
      <c r="I292" s="119"/>
      <c r="J292" s="119"/>
      <c r="K292" s="119"/>
      <c r="L292" s="119"/>
      <c r="M292" s="119"/>
      <c r="N292" s="119"/>
      <c r="O292" s="119"/>
      <c r="P292" s="119"/>
      <c r="Q292" s="119"/>
      <c r="R292" s="119"/>
      <c r="S292" s="119"/>
      <c r="T292" s="119"/>
      <c r="U292" s="119"/>
      <c r="V292" s="119"/>
    </row>
    <row r="293" spans="1:22" s="1" customFormat="1" ht="16.5" x14ac:dyDescent="0.3">
      <c r="A293" s="119"/>
      <c r="B293" s="119"/>
      <c r="C293" s="119"/>
      <c r="D293" s="119"/>
      <c r="E293" s="119"/>
      <c r="F293" s="119"/>
      <c r="G293" s="119"/>
      <c r="H293" s="119"/>
      <c r="I293" s="119"/>
      <c r="J293" s="119"/>
      <c r="K293" s="119"/>
      <c r="L293" s="119"/>
      <c r="M293" s="119"/>
      <c r="N293" s="119"/>
      <c r="O293" s="119"/>
      <c r="P293" s="119"/>
      <c r="Q293" s="119"/>
      <c r="R293" s="119"/>
      <c r="S293" s="119"/>
      <c r="T293" s="119"/>
      <c r="U293" s="119"/>
      <c r="V293" s="119"/>
    </row>
    <row r="294" spans="1:22" s="1" customFormat="1" ht="16.5" x14ac:dyDescent="0.3">
      <c r="A294" s="119"/>
      <c r="B294" s="119"/>
      <c r="C294" s="119"/>
      <c r="D294" s="119"/>
      <c r="E294" s="119"/>
      <c r="F294" s="119"/>
      <c r="G294" s="119"/>
      <c r="H294" s="119"/>
      <c r="I294" s="119"/>
      <c r="J294" s="119"/>
      <c r="K294" s="119"/>
      <c r="L294" s="119"/>
      <c r="M294" s="119"/>
      <c r="N294" s="119"/>
      <c r="O294" s="119"/>
      <c r="P294" s="119"/>
      <c r="Q294" s="119"/>
      <c r="R294" s="119"/>
      <c r="S294" s="119"/>
      <c r="T294" s="119"/>
      <c r="U294" s="119"/>
      <c r="V294" s="119"/>
    </row>
    <row r="295" spans="1:22" s="1" customFormat="1" ht="16.5" x14ac:dyDescent="0.3">
      <c r="A295" s="119"/>
      <c r="B295" s="119"/>
      <c r="C295" s="119"/>
      <c r="D295" s="119"/>
      <c r="E295" s="119"/>
      <c r="F295" s="119"/>
      <c r="G295" s="119"/>
      <c r="H295" s="119"/>
      <c r="I295" s="119"/>
      <c r="J295" s="119"/>
      <c r="K295" s="119"/>
      <c r="L295" s="119"/>
      <c r="M295" s="119"/>
      <c r="N295" s="119"/>
      <c r="O295" s="119"/>
      <c r="P295" s="119"/>
      <c r="Q295" s="119"/>
      <c r="R295" s="119"/>
      <c r="S295" s="119"/>
      <c r="T295" s="119"/>
      <c r="U295" s="119"/>
      <c r="V295" s="119"/>
    </row>
    <row r="296" spans="1:22" s="1" customFormat="1" ht="16.5" x14ac:dyDescent="0.3">
      <c r="A296" s="119"/>
      <c r="B296" s="119"/>
      <c r="C296" s="119"/>
      <c r="D296" s="119"/>
      <c r="E296" s="119"/>
      <c r="F296" s="119"/>
      <c r="G296" s="119"/>
      <c r="H296" s="119"/>
      <c r="I296" s="119"/>
      <c r="J296" s="119"/>
      <c r="K296" s="119"/>
      <c r="L296" s="119"/>
      <c r="M296" s="119"/>
      <c r="N296" s="119"/>
      <c r="O296" s="119"/>
      <c r="P296" s="119"/>
      <c r="Q296" s="119"/>
      <c r="R296" s="119"/>
      <c r="S296" s="119"/>
      <c r="T296" s="119"/>
      <c r="U296" s="119"/>
      <c r="V296" s="119"/>
    </row>
    <row r="297" spans="1:22" s="1" customFormat="1" ht="16.5" x14ac:dyDescent="0.3">
      <c r="A297" s="119"/>
      <c r="B297" s="119"/>
      <c r="C297" s="119"/>
      <c r="D297" s="119"/>
      <c r="E297" s="119"/>
      <c r="F297" s="119"/>
      <c r="G297" s="119"/>
      <c r="H297" s="119"/>
      <c r="I297" s="119"/>
      <c r="J297" s="119"/>
      <c r="K297" s="119"/>
      <c r="L297" s="119"/>
      <c r="M297" s="119"/>
      <c r="N297" s="119"/>
      <c r="O297" s="119"/>
      <c r="P297" s="119"/>
      <c r="Q297" s="119"/>
      <c r="R297" s="119"/>
      <c r="S297" s="119"/>
      <c r="T297" s="119"/>
      <c r="U297" s="119"/>
      <c r="V297" s="119"/>
    </row>
    <row r="298" spans="1:22" s="1" customFormat="1" ht="16.5" x14ac:dyDescent="0.3">
      <c r="A298" s="119"/>
      <c r="B298" s="119"/>
      <c r="C298" s="119"/>
      <c r="D298" s="119"/>
      <c r="E298" s="119"/>
      <c r="F298" s="119"/>
      <c r="G298" s="119"/>
      <c r="H298" s="119"/>
      <c r="I298" s="119"/>
      <c r="J298" s="119"/>
      <c r="K298" s="119"/>
      <c r="L298" s="119"/>
      <c r="M298" s="119"/>
      <c r="N298" s="119"/>
      <c r="O298" s="119"/>
      <c r="P298" s="119"/>
      <c r="Q298" s="119"/>
      <c r="R298" s="119"/>
      <c r="S298" s="119"/>
      <c r="T298" s="119"/>
      <c r="U298" s="119"/>
      <c r="V298" s="119"/>
    </row>
    <row r="299" spans="1:22" s="1" customFormat="1" ht="16.5" x14ac:dyDescent="0.3">
      <c r="A299" s="119"/>
      <c r="B299" s="119"/>
      <c r="C299" s="119"/>
      <c r="D299" s="119"/>
      <c r="E299" s="119"/>
      <c r="F299" s="119"/>
      <c r="G299" s="119"/>
      <c r="H299" s="119"/>
      <c r="I299" s="119"/>
      <c r="J299" s="119"/>
      <c r="K299" s="119"/>
      <c r="L299" s="119"/>
      <c r="M299" s="119"/>
      <c r="N299" s="119"/>
      <c r="O299" s="119"/>
      <c r="P299" s="119"/>
      <c r="Q299" s="119"/>
      <c r="R299" s="119"/>
      <c r="S299" s="119"/>
      <c r="T299" s="119"/>
      <c r="U299" s="119"/>
      <c r="V299" s="119"/>
    </row>
    <row r="300" spans="1:22" s="1" customFormat="1" ht="16.5" x14ac:dyDescent="0.3">
      <c r="A300" s="119"/>
      <c r="B300" s="119"/>
      <c r="C300" s="119"/>
      <c r="D300" s="119"/>
      <c r="E300" s="119"/>
      <c r="F300" s="119"/>
      <c r="G300" s="119"/>
      <c r="H300" s="119"/>
      <c r="I300" s="119"/>
      <c r="J300" s="119"/>
      <c r="K300" s="119"/>
      <c r="L300" s="119"/>
      <c r="M300" s="119"/>
      <c r="N300" s="119"/>
      <c r="O300" s="119"/>
      <c r="P300" s="119"/>
      <c r="Q300" s="119"/>
      <c r="R300" s="119"/>
      <c r="S300" s="119"/>
      <c r="T300" s="119"/>
      <c r="U300" s="119"/>
      <c r="V300" s="119"/>
    </row>
    <row r="301" spans="1:22" s="1" customFormat="1" ht="16.5" x14ac:dyDescent="0.3">
      <c r="A301" s="119"/>
      <c r="B301" s="119"/>
      <c r="C301" s="119"/>
      <c r="D301" s="119"/>
      <c r="E301" s="119"/>
      <c r="F301" s="119"/>
      <c r="G301" s="119"/>
      <c r="H301" s="119"/>
      <c r="I301" s="119"/>
      <c r="J301" s="119"/>
      <c r="K301" s="119"/>
      <c r="L301" s="119"/>
      <c r="M301" s="119"/>
      <c r="N301" s="119"/>
      <c r="O301" s="119"/>
      <c r="P301" s="119"/>
      <c r="Q301" s="119"/>
      <c r="R301" s="119"/>
      <c r="S301" s="119"/>
      <c r="T301" s="119"/>
      <c r="U301" s="119"/>
      <c r="V301" s="119"/>
    </row>
    <row r="302" spans="1:22" s="1" customFormat="1" ht="16.5" x14ac:dyDescent="0.3">
      <c r="A302" s="119"/>
      <c r="B302" s="119"/>
      <c r="C302" s="119"/>
      <c r="D302" s="119"/>
      <c r="E302" s="119"/>
      <c r="F302" s="119"/>
      <c r="G302" s="119"/>
      <c r="H302" s="119"/>
      <c r="I302" s="119"/>
      <c r="J302" s="119"/>
      <c r="K302" s="119"/>
      <c r="L302" s="119"/>
      <c r="M302" s="119"/>
      <c r="N302" s="119"/>
      <c r="O302" s="119"/>
      <c r="P302" s="119"/>
      <c r="Q302" s="119"/>
      <c r="R302" s="119"/>
      <c r="S302" s="119"/>
      <c r="T302" s="119"/>
      <c r="U302" s="119"/>
      <c r="V302" s="119"/>
    </row>
    <row r="303" spans="1:22" s="1" customFormat="1" ht="16.5" x14ac:dyDescent="0.3">
      <c r="A303" s="119"/>
      <c r="B303" s="119"/>
      <c r="C303" s="119"/>
      <c r="D303" s="119"/>
      <c r="E303" s="119"/>
      <c r="F303" s="119"/>
      <c r="G303" s="119"/>
      <c r="H303" s="119"/>
      <c r="I303" s="119"/>
      <c r="J303" s="119"/>
      <c r="K303" s="119"/>
      <c r="L303" s="119"/>
      <c r="M303" s="119"/>
      <c r="N303" s="119"/>
      <c r="O303" s="119"/>
      <c r="P303" s="119"/>
      <c r="Q303" s="119"/>
      <c r="R303" s="119"/>
      <c r="S303" s="119"/>
      <c r="T303" s="119"/>
      <c r="U303" s="119"/>
      <c r="V303" s="119"/>
    </row>
    <row r="304" spans="1:22" s="1" customFormat="1" ht="16.5" x14ac:dyDescent="0.3">
      <c r="A304" s="119"/>
      <c r="B304" s="119"/>
      <c r="C304" s="119"/>
      <c r="D304" s="119"/>
      <c r="E304" s="119"/>
      <c r="F304" s="119"/>
      <c r="G304" s="119"/>
      <c r="H304" s="119"/>
      <c r="I304" s="119"/>
      <c r="J304" s="119"/>
      <c r="K304" s="119"/>
      <c r="L304" s="119"/>
      <c r="M304" s="119"/>
      <c r="N304" s="119"/>
      <c r="O304" s="119"/>
      <c r="P304" s="119"/>
      <c r="Q304" s="119"/>
      <c r="R304" s="119"/>
      <c r="S304" s="119"/>
      <c r="T304" s="119"/>
      <c r="U304" s="119"/>
      <c r="V304" s="119"/>
    </row>
    <row r="305" spans="1:22" s="1" customFormat="1" ht="16.5" x14ac:dyDescent="0.3">
      <c r="A305" s="119"/>
      <c r="B305" s="119"/>
      <c r="C305" s="119"/>
      <c r="D305" s="119"/>
      <c r="E305" s="119"/>
      <c r="F305" s="119"/>
      <c r="G305" s="119"/>
      <c r="H305" s="119"/>
      <c r="I305" s="119"/>
      <c r="J305" s="119"/>
      <c r="K305" s="119"/>
      <c r="L305" s="119"/>
      <c r="M305" s="119"/>
      <c r="N305" s="119"/>
      <c r="O305" s="119"/>
      <c r="P305" s="119"/>
      <c r="Q305" s="119"/>
      <c r="R305" s="119"/>
      <c r="S305" s="119"/>
      <c r="T305" s="119"/>
      <c r="U305" s="119"/>
      <c r="V305" s="119"/>
    </row>
    <row r="306" spans="1:22" s="1" customFormat="1" ht="16.5" x14ac:dyDescent="0.3">
      <c r="A306" s="119"/>
      <c r="B306" s="119"/>
      <c r="C306" s="119"/>
      <c r="D306" s="119"/>
      <c r="E306" s="119"/>
      <c r="F306" s="119"/>
      <c r="G306" s="119"/>
      <c r="H306" s="119"/>
      <c r="I306" s="119"/>
      <c r="J306" s="119"/>
      <c r="K306" s="119"/>
      <c r="L306" s="119"/>
      <c r="M306" s="119"/>
      <c r="N306" s="119"/>
      <c r="O306" s="119"/>
      <c r="P306" s="119"/>
      <c r="Q306" s="119"/>
      <c r="R306" s="119"/>
      <c r="S306" s="119"/>
      <c r="T306" s="119"/>
      <c r="U306" s="119"/>
      <c r="V306" s="119"/>
    </row>
    <row r="307" spans="1:22" s="1" customFormat="1" ht="16.5" x14ac:dyDescent="0.3">
      <c r="A307" s="119"/>
      <c r="B307" s="119"/>
      <c r="C307" s="119"/>
      <c r="D307" s="119"/>
      <c r="E307" s="119"/>
      <c r="F307" s="119"/>
      <c r="G307" s="119"/>
      <c r="H307" s="119"/>
      <c r="I307" s="119"/>
      <c r="J307" s="119"/>
      <c r="K307" s="119"/>
      <c r="L307" s="119"/>
      <c r="M307" s="119"/>
      <c r="N307" s="119"/>
      <c r="O307" s="119"/>
      <c r="P307" s="119"/>
      <c r="Q307" s="119"/>
      <c r="R307" s="119"/>
      <c r="S307" s="119"/>
      <c r="T307" s="119"/>
      <c r="U307" s="119"/>
      <c r="V307" s="119"/>
    </row>
    <row r="308" spans="1:22" s="1" customFormat="1" ht="16.5" x14ac:dyDescent="0.3">
      <c r="A308" s="119"/>
      <c r="B308" s="119"/>
      <c r="C308" s="119"/>
      <c r="D308" s="119"/>
      <c r="E308" s="119"/>
      <c r="F308" s="119"/>
      <c r="G308" s="119"/>
      <c r="H308" s="119"/>
      <c r="I308" s="119"/>
      <c r="J308" s="119"/>
      <c r="K308" s="119"/>
      <c r="L308" s="119"/>
      <c r="M308" s="119"/>
      <c r="N308" s="119"/>
      <c r="O308" s="119"/>
      <c r="P308" s="119"/>
      <c r="Q308" s="119"/>
      <c r="R308" s="119"/>
      <c r="S308" s="119"/>
      <c r="T308" s="119"/>
      <c r="U308" s="119"/>
      <c r="V308" s="119"/>
    </row>
    <row r="309" spans="1:22" s="1" customFormat="1" ht="16.5" x14ac:dyDescent="0.3">
      <c r="A309" s="119"/>
      <c r="B309" s="119"/>
      <c r="C309" s="119"/>
      <c r="D309" s="119"/>
      <c r="E309" s="119"/>
      <c r="F309" s="119"/>
      <c r="G309" s="119"/>
      <c r="H309" s="119"/>
      <c r="I309" s="119"/>
      <c r="J309" s="119"/>
      <c r="K309" s="119"/>
      <c r="L309" s="119"/>
      <c r="M309" s="119"/>
      <c r="N309" s="119"/>
      <c r="O309" s="119"/>
      <c r="P309" s="119"/>
      <c r="Q309" s="119"/>
      <c r="R309" s="119"/>
      <c r="S309" s="119"/>
      <c r="T309" s="119"/>
      <c r="U309" s="119"/>
      <c r="V309" s="119"/>
    </row>
    <row r="310" spans="1:22" s="1" customFormat="1" ht="16.5" x14ac:dyDescent="0.3">
      <c r="A310" s="119"/>
      <c r="B310" s="119"/>
      <c r="C310" s="119"/>
      <c r="D310" s="119"/>
      <c r="E310" s="119"/>
      <c r="F310" s="119"/>
      <c r="G310" s="119"/>
      <c r="H310" s="119"/>
      <c r="I310" s="119"/>
      <c r="J310" s="119"/>
      <c r="K310" s="119"/>
      <c r="L310" s="119"/>
      <c r="M310" s="119"/>
      <c r="N310" s="119"/>
      <c r="O310" s="119"/>
      <c r="P310" s="119"/>
      <c r="Q310" s="119"/>
      <c r="R310" s="119"/>
      <c r="S310" s="119"/>
      <c r="T310" s="119"/>
      <c r="U310" s="119"/>
      <c r="V310" s="119"/>
    </row>
    <row r="311" spans="1:22" s="1" customFormat="1" ht="16.5" x14ac:dyDescent="0.3">
      <c r="A311" s="119"/>
      <c r="B311" s="119"/>
      <c r="C311" s="119"/>
      <c r="D311" s="119"/>
      <c r="E311" s="119"/>
      <c r="F311" s="119"/>
      <c r="G311" s="119"/>
      <c r="H311" s="119"/>
      <c r="I311" s="119"/>
      <c r="J311" s="119"/>
      <c r="K311" s="119"/>
      <c r="L311" s="119"/>
      <c r="M311" s="119"/>
      <c r="N311" s="119"/>
      <c r="O311" s="119"/>
      <c r="P311" s="119"/>
      <c r="Q311" s="119"/>
      <c r="R311" s="119"/>
      <c r="S311" s="119"/>
      <c r="T311" s="119"/>
      <c r="U311" s="119"/>
      <c r="V311" s="119"/>
    </row>
    <row r="312" spans="1:22" s="1" customFormat="1" ht="16.5" x14ac:dyDescent="0.3">
      <c r="A312" s="119"/>
      <c r="B312" s="119"/>
      <c r="C312" s="119"/>
      <c r="D312" s="119"/>
      <c r="E312" s="119"/>
      <c r="F312" s="119"/>
      <c r="G312" s="119"/>
      <c r="H312" s="119"/>
      <c r="I312" s="119"/>
      <c r="J312" s="119"/>
      <c r="K312" s="119"/>
      <c r="L312" s="119"/>
      <c r="M312" s="119"/>
      <c r="N312" s="119"/>
      <c r="O312" s="119"/>
      <c r="P312" s="119"/>
      <c r="Q312" s="119"/>
      <c r="R312" s="119"/>
      <c r="S312" s="119"/>
      <c r="T312" s="119"/>
      <c r="U312" s="119"/>
      <c r="V312" s="119"/>
    </row>
    <row r="313" spans="1:22" s="1" customFormat="1" ht="16.5" x14ac:dyDescent="0.3">
      <c r="A313" s="119"/>
      <c r="B313" s="119"/>
      <c r="C313" s="119"/>
      <c r="D313" s="119"/>
      <c r="E313" s="119"/>
      <c r="F313" s="119"/>
      <c r="G313" s="119"/>
      <c r="H313" s="119"/>
      <c r="I313" s="119"/>
      <c r="J313" s="119"/>
      <c r="K313" s="119"/>
      <c r="L313" s="119"/>
      <c r="M313" s="119"/>
      <c r="N313" s="119"/>
      <c r="O313" s="119"/>
      <c r="P313" s="119"/>
      <c r="Q313" s="119"/>
      <c r="R313" s="119"/>
      <c r="S313" s="119"/>
      <c r="T313" s="119"/>
      <c r="U313" s="119"/>
      <c r="V313" s="119"/>
    </row>
    <row r="314" spans="1:22" s="1" customFormat="1" ht="16.5" x14ac:dyDescent="0.3">
      <c r="A314" s="119"/>
      <c r="B314" s="119"/>
      <c r="C314" s="119"/>
      <c r="D314" s="119"/>
      <c r="E314" s="119"/>
      <c r="F314" s="119"/>
      <c r="G314" s="119"/>
      <c r="H314" s="119"/>
      <c r="I314" s="119"/>
      <c r="J314" s="119"/>
      <c r="K314" s="119"/>
      <c r="L314" s="119"/>
      <c r="M314" s="119"/>
      <c r="N314" s="119"/>
      <c r="O314" s="119"/>
      <c r="P314" s="119"/>
      <c r="Q314" s="119"/>
      <c r="R314" s="119"/>
      <c r="S314" s="119"/>
      <c r="T314" s="119"/>
      <c r="U314" s="119"/>
      <c r="V314" s="119"/>
    </row>
    <row r="315" spans="1:22" s="1" customFormat="1" ht="16.5" x14ac:dyDescent="0.3">
      <c r="A315" s="119"/>
      <c r="B315" s="119"/>
      <c r="C315" s="119"/>
      <c r="D315" s="119"/>
      <c r="E315" s="119"/>
      <c r="F315" s="119"/>
      <c r="G315" s="119"/>
      <c r="H315" s="119"/>
      <c r="I315" s="119"/>
      <c r="J315" s="119"/>
      <c r="K315" s="119"/>
      <c r="L315" s="119"/>
      <c r="M315" s="119"/>
      <c r="N315" s="119"/>
      <c r="O315" s="119"/>
      <c r="P315" s="119"/>
      <c r="Q315" s="119"/>
      <c r="R315" s="119"/>
      <c r="S315" s="119"/>
      <c r="T315" s="119"/>
      <c r="U315" s="119"/>
      <c r="V315" s="119"/>
    </row>
    <row r="316" spans="1:22" s="1" customFormat="1" ht="16.5" x14ac:dyDescent="0.3">
      <c r="A316" s="119"/>
      <c r="B316" s="119"/>
      <c r="C316" s="119"/>
      <c r="D316" s="119"/>
      <c r="E316" s="119"/>
      <c r="F316" s="119"/>
      <c r="G316" s="119"/>
      <c r="H316" s="119"/>
      <c r="I316" s="119"/>
      <c r="J316" s="119"/>
      <c r="K316" s="119"/>
      <c r="L316" s="119"/>
      <c r="M316" s="119"/>
      <c r="N316" s="119"/>
      <c r="O316" s="119"/>
      <c r="P316" s="119"/>
      <c r="Q316" s="119"/>
      <c r="R316" s="119"/>
      <c r="S316" s="119"/>
      <c r="T316" s="119"/>
      <c r="U316" s="119"/>
      <c r="V316" s="119"/>
    </row>
    <row r="317" spans="1:22" s="1" customFormat="1" ht="16.5" x14ac:dyDescent="0.3">
      <c r="A317" s="119"/>
      <c r="B317" s="119"/>
      <c r="C317" s="119"/>
      <c r="D317" s="119"/>
      <c r="E317" s="119"/>
      <c r="F317" s="119"/>
      <c r="G317" s="119"/>
      <c r="H317" s="119"/>
      <c r="I317" s="119"/>
      <c r="J317" s="119"/>
      <c r="K317" s="119"/>
      <c r="L317" s="119"/>
      <c r="M317" s="119"/>
      <c r="N317" s="119"/>
      <c r="O317" s="119"/>
      <c r="P317" s="119"/>
      <c r="Q317" s="119"/>
      <c r="R317" s="119"/>
      <c r="S317" s="119"/>
      <c r="T317" s="119"/>
      <c r="U317" s="119"/>
      <c r="V317" s="119"/>
    </row>
    <row r="318" spans="1:22" s="1" customFormat="1" ht="16.5" x14ac:dyDescent="0.3">
      <c r="A318" s="119"/>
      <c r="B318" s="119"/>
      <c r="C318" s="119"/>
      <c r="D318" s="119"/>
      <c r="E318" s="119"/>
      <c r="F318" s="119"/>
      <c r="G318" s="119"/>
      <c r="H318" s="119"/>
      <c r="I318" s="119"/>
      <c r="J318" s="119"/>
      <c r="K318" s="119"/>
      <c r="L318" s="119"/>
      <c r="M318" s="119"/>
      <c r="N318" s="119"/>
      <c r="O318" s="119"/>
      <c r="P318" s="119"/>
      <c r="Q318" s="119"/>
      <c r="R318" s="119"/>
      <c r="S318" s="119"/>
      <c r="T318" s="119"/>
      <c r="U318" s="119"/>
      <c r="V318" s="119"/>
    </row>
    <row r="319" spans="1:22" s="1" customFormat="1" ht="16.5" x14ac:dyDescent="0.3">
      <c r="A319" s="119"/>
      <c r="B319" s="119"/>
      <c r="C319" s="119"/>
      <c r="D319" s="119"/>
      <c r="E319" s="119"/>
      <c r="F319" s="119"/>
      <c r="G319" s="119"/>
      <c r="H319" s="119"/>
      <c r="I319" s="119"/>
      <c r="J319" s="119"/>
      <c r="K319" s="119"/>
      <c r="L319" s="119"/>
      <c r="M319" s="119"/>
      <c r="N319" s="119"/>
      <c r="O319" s="119"/>
      <c r="P319" s="119"/>
      <c r="Q319" s="119"/>
      <c r="R319" s="119"/>
      <c r="S319" s="119"/>
      <c r="T319" s="119"/>
      <c r="U319" s="119"/>
      <c r="V319" s="119"/>
    </row>
    <row r="320" spans="1:22" s="1" customFormat="1" ht="16.5" x14ac:dyDescent="0.3">
      <c r="A320" s="119"/>
      <c r="B320" s="119"/>
      <c r="C320" s="119"/>
      <c r="D320" s="119"/>
      <c r="E320" s="119"/>
      <c r="F320" s="119"/>
      <c r="G320" s="119"/>
      <c r="H320" s="119"/>
      <c r="I320" s="119"/>
      <c r="J320" s="119"/>
      <c r="K320" s="119"/>
      <c r="L320" s="119"/>
      <c r="M320" s="119"/>
      <c r="N320" s="119"/>
      <c r="O320" s="119"/>
      <c r="P320" s="119"/>
      <c r="Q320" s="119"/>
      <c r="R320" s="119"/>
      <c r="S320" s="119"/>
      <c r="T320" s="119"/>
      <c r="U320" s="119"/>
      <c r="V320" s="119"/>
    </row>
    <row r="321" spans="1:22" s="1" customFormat="1" ht="16.5" x14ac:dyDescent="0.3">
      <c r="A321" s="119"/>
      <c r="B321" s="119"/>
      <c r="C321" s="119"/>
      <c r="D321" s="119"/>
      <c r="E321" s="119"/>
      <c r="F321" s="119"/>
      <c r="G321" s="119"/>
      <c r="H321" s="119"/>
      <c r="I321" s="119"/>
      <c r="J321" s="119"/>
      <c r="K321" s="119"/>
      <c r="L321" s="119"/>
      <c r="M321" s="119"/>
      <c r="N321" s="119"/>
      <c r="O321" s="119"/>
      <c r="P321" s="119"/>
      <c r="Q321" s="119"/>
      <c r="R321" s="119"/>
      <c r="S321" s="119"/>
      <c r="T321" s="119"/>
      <c r="U321" s="119"/>
      <c r="V321" s="119"/>
    </row>
    <row r="322" spans="1:22" s="1" customFormat="1" ht="16.5" x14ac:dyDescent="0.3">
      <c r="A322" s="119"/>
      <c r="B322" s="119"/>
      <c r="C322" s="119"/>
      <c r="D322" s="119"/>
      <c r="E322" s="119"/>
      <c r="F322" s="119"/>
      <c r="G322" s="119"/>
      <c r="H322" s="119"/>
      <c r="I322" s="119"/>
      <c r="J322" s="119"/>
      <c r="K322" s="119"/>
      <c r="L322" s="119"/>
      <c r="M322" s="119"/>
      <c r="N322" s="119"/>
      <c r="O322" s="119"/>
      <c r="P322" s="119"/>
      <c r="Q322" s="119"/>
      <c r="R322" s="119"/>
      <c r="S322" s="119"/>
      <c r="T322" s="119"/>
      <c r="U322" s="119"/>
      <c r="V322" s="119"/>
    </row>
    <row r="323" spans="1:22" s="1" customFormat="1" ht="16.5" x14ac:dyDescent="0.3">
      <c r="A323" s="119"/>
      <c r="B323" s="119"/>
      <c r="C323" s="119"/>
      <c r="D323" s="119"/>
      <c r="E323" s="119"/>
      <c r="F323" s="119"/>
      <c r="G323" s="119"/>
      <c r="H323" s="119"/>
      <c r="I323" s="119"/>
      <c r="J323" s="119"/>
      <c r="K323" s="119"/>
      <c r="L323" s="119"/>
      <c r="M323" s="119"/>
      <c r="N323" s="119"/>
      <c r="O323" s="119"/>
      <c r="P323" s="119"/>
      <c r="Q323" s="119"/>
      <c r="R323" s="119"/>
      <c r="S323" s="119"/>
      <c r="T323" s="119"/>
      <c r="U323" s="119"/>
      <c r="V323" s="119"/>
    </row>
    <row r="324" spans="1:22" s="1" customFormat="1" ht="16.5" x14ac:dyDescent="0.3">
      <c r="A324" s="119"/>
      <c r="B324" s="119"/>
      <c r="C324" s="119"/>
      <c r="D324" s="119"/>
      <c r="E324" s="119"/>
      <c r="F324" s="119"/>
      <c r="G324" s="119"/>
      <c r="H324" s="119"/>
      <c r="I324" s="119"/>
      <c r="J324" s="119"/>
      <c r="K324" s="119"/>
      <c r="L324" s="119"/>
      <c r="M324" s="119"/>
      <c r="N324" s="119"/>
      <c r="O324" s="119"/>
      <c r="P324" s="119"/>
      <c r="Q324" s="119"/>
      <c r="R324" s="119"/>
      <c r="S324" s="119"/>
      <c r="T324" s="119"/>
      <c r="U324" s="119"/>
      <c r="V324" s="119"/>
    </row>
    <row r="325" spans="1:22" s="1" customFormat="1" ht="16.5" x14ac:dyDescent="0.3">
      <c r="A325" s="119"/>
      <c r="B325" s="119"/>
      <c r="C325" s="119"/>
      <c r="D325" s="119"/>
      <c r="E325" s="119"/>
      <c r="F325" s="119"/>
      <c r="G325" s="119"/>
      <c r="H325" s="119"/>
      <c r="I325" s="119"/>
      <c r="J325" s="119"/>
      <c r="K325" s="119"/>
      <c r="L325" s="119"/>
      <c r="M325" s="119"/>
      <c r="N325" s="119"/>
      <c r="O325" s="119"/>
      <c r="P325" s="119"/>
      <c r="Q325" s="119"/>
      <c r="R325" s="119"/>
      <c r="S325" s="119"/>
      <c r="T325" s="119"/>
      <c r="U325" s="119"/>
      <c r="V325" s="119"/>
    </row>
    <row r="326" spans="1:22" s="1" customFormat="1" ht="16.5" x14ac:dyDescent="0.3">
      <c r="A326" s="119"/>
      <c r="B326" s="119"/>
      <c r="C326" s="119"/>
      <c r="D326" s="119"/>
      <c r="E326" s="119"/>
      <c r="F326" s="119"/>
      <c r="G326" s="119"/>
      <c r="H326" s="119"/>
      <c r="I326" s="119"/>
      <c r="J326" s="119"/>
      <c r="K326" s="119"/>
      <c r="L326" s="119"/>
      <c r="M326" s="119"/>
      <c r="N326" s="119"/>
      <c r="O326" s="119"/>
      <c r="P326" s="119"/>
      <c r="Q326" s="119"/>
      <c r="R326" s="119"/>
      <c r="S326" s="119"/>
      <c r="T326" s="119"/>
      <c r="U326" s="119"/>
      <c r="V326" s="119"/>
    </row>
    <row r="327" spans="1:22" s="1" customFormat="1" ht="16.5" x14ac:dyDescent="0.3">
      <c r="A327" s="119"/>
      <c r="B327" s="119"/>
      <c r="C327" s="119"/>
      <c r="D327" s="119"/>
      <c r="E327" s="119"/>
      <c r="F327" s="119"/>
      <c r="G327" s="119"/>
      <c r="H327" s="119"/>
      <c r="I327" s="119"/>
      <c r="J327" s="119"/>
      <c r="K327" s="119"/>
      <c r="L327" s="119"/>
      <c r="M327" s="119"/>
      <c r="N327" s="119"/>
      <c r="O327" s="119"/>
      <c r="P327" s="119"/>
      <c r="Q327" s="119"/>
      <c r="R327" s="119"/>
      <c r="S327" s="119"/>
      <c r="T327" s="119"/>
      <c r="U327" s="119"/>
      <c r="V327" s="119"/>
    </row>
    <row r="328" spans="1:22" s="1" customFormat="1" ht="16.5" x14ac:dyDescent="0.3">
      <c r="A328" s="119"/>
      <c r="B328" s="119"/>
      <c r="C328" s="119"/>
      <c r="D328" s="119"/>
      <c r="E328" s="119"/>
      <c r="F328" s="119"/>
      <c r="G328" s="119"/>
      <c r="H328" s="119"/>
      <c r="I328" s="119"/>
      <c r="J328" s="119"/>
      <c r="K328" s="119"/>
      <c r="L328" s="119"/>
      <c r="M328" s="119"/>
      <c r="N328" s="119"/>
      <c r="O328" s="119"/>
      <c r="P328" s="119"/>
      <c r="Q328" s="119"/>
      <c r="R328" s="119"/>
      <c r="S328" s="119"/>
      <c r="T328" s="119"/>
      <c r="U328" s="119"/>
      <c r="V328" s="119"/>
    </row>
    <row r="329" spans="1:22" s="1" customFormat="1" ht="16.5" x14ac:dyDescent="0.3">
      <c r="A329" s="119"/>
      <c r="B329" s="119"/>
      <c r="C329" s="119"/>
      <c r="D329" s="119"/>
      <c r="E329" s="119"/>
      <c r="F329" s="119"/>
      <c r="G329" s="119"/>
      <c r="H329" s="119"/>
      <c r="I329" s="119"/>
      <c r="J329" s="119"/>
      <c r="K329" s="119"/>
      <c r="L329" s="119"/>
      <c r="M329" s="119"/>
      <c r="N329" s="119"/>
      <c r="O329" s="119"/>
      <c r="P329" s="119"/>
      <c r="Q329" s="119"/>
      <c r="R329" s="119"/>
      <c r="S329" s="119"/>
      <c r="T329" s="119"/>
      <c r="U329" s="119"/>
      <c r="V329" s="119"/>
    </row>
    <row r="330" spans="1:22" s="1" customFormat="1" ht="16.5" x14ac:dyDescent="0.3">
      <c r="A330" s="119"/>
      <c r="B330" s="119"/>
      <c r="C330" s="119"/>
      <c r="D330" s="119"/>
      <c r="E330" s="119"/>
      <c r="F330" s="119"/>
      <c r="G330" s="119"/>
      <c r="H330" s="119"/>
      <c r="I330" s="119"/>
      <c r="J330" s="119"/>
      <c r="K330" s="119"/>
      <c r="L330" s="119"/>
      <c r="M330" s="119"/>
      <c r="N330" s="119"/>
      <c r="O330" s="119"/>
      <c r="P330" s="119"/>
      <c r="Q330" s="119"/>
      <c r="R330" s="119"/>
      <c r="S330" s="119"/>
      <c r="T330" s="119"/>
      <c r="U330" s="119"/>
      <c r="V330" s="119"/>
    </row>
    <row r="331" spans="1:22" s="1" customFormat="1" ht="16.5" x14ac:dyDescent="0.3">
      <c r="A331" s="119"/>
      <c r="B331" s="119"/>
      <c r="C331" s="119"/>
      <c r="D331" s="119"/>
      <c r="E331" s="119"/>
      <c r="F331" s="119"/>
      <c r="G331" s="119"/>
      <c r="H331" s="119"/>
      <c r="I331" s="119"/>
      <c r="J331" s="119"/>
      <c r="K331" s="119"/>
      <c r="L331" s="119"/>
      <c r="M331" s="119"/>
      <c r="N331" s="119"/>
      <c r="O331" s="119"/>
      <c r="P331" s="119"/>
      <c r="Q331" s="119"/>
      <c r="R331" s="119"/>
      <c r="S331" s="119"/>
      <c r="T331" s="119"/>
      <c r="U331" s="119"/>
      <c r="V331" s="119"/>
    </row>
    <row r="332" spans="1:22" s="1" customFormat="1" ht="16.5" x14ac:dyDescent="0.3">
      <c r="A332" s="119"/>
      <c r="B332" s="119"/>
      <c r="C332" s="119"/>
      <c r="D332" s="119"/>
      <c r="E332" s="119"/>
      <c r="F332" s="119"/>
      <c r="G332" s="119"/>
      <c r="H332" s="119"/>
      <c r="I332" s="119"/>
      <c r="J332" s="119"/>
      <c r="K332" s="119"/>
      <c r="L332" s="119"/>
      <c r="M332" s="119"/>
      <c r="N332" s="119"/>
      <c r="O332" s="119"/>
      <c r="P332" s="119"/>
      <c r="Q332" s="119"/>
      <c r="R332" s="119"/>
      <c r="S332" s="119"/>
      <c r="T332" s="119"/>
      <c r="U332" s="119"/>
      <c r="V332" s="119"/>
    </row>
    <row r="333" spans="1:22" s="1" customFormat="1" ht="16.5" x14ac:dyDescent="0.3">
      <c r="A333" s="119"/>
      <c r="B333" s="119"/>
      <c r="C333" s="119"/>
      <c r="D333" s="119"/>
      <c r="E333" s="119"/>
      <c r="F333" s="119"/>
      <c r="G333" s="119"/>
      <c r="H333" s="119"/>
      <c r="I333" s="119"/>
      <c r="J333" s="119"/>
      <c r="K333" s="119"/>
      <c r="L333" s="119"/>
      <c r="M333" s="119"/>
      <c r="N333" s="119"/>
      <c r="O333" s="119"/>
      <c r="P333" s="119"/>
      <c r="Q333" s="119"/>
      <c r="R333" s="119"/>
      <c r="S333" s="119"/>
      <c r="T333" s="119"/>
      <c r="U333" s="119"/>
      <c r="V333" s="119"/>
    </row>
    <row r="334" spans="1:22" s="1" customFormat="1" ht="16.5" x14ac:dyDescent="0.3">
      <c r="A334" s="119"/>
      <c r="B334" s="119"/>
      <c r="C334" s="119"/>
      <c r="D334" s="119"/>
      <c r="E334" s="119"/>
      <c r="F334" s="119"/>
      <c r="G334" s="119"/>
      <c r="H334" s="119"/>
      <c r="I334" s="119"/>
      <c r="J334" s="119"/>
      <c r="K334" s="119"/>
      <c r="L334" s="119"/>
      <c r="M334" s="119"/>
      <c r="N334" s="119"/>
      <c r="O334" s="119"/>
      <c r="P334" s="119"/>
      <c r="Q334" s="119"/>
      <c r="R334" s="119"/>
      <c r="S334" s="119"/>
      <c r="T334" s="119"/>
      <c r="U334" s="119"/>
      <c r="V334" s="119"/>
    </row>
    <row r="335" spans="1:22" s="1" customFormat="1" ht="16.5" x14ac:dyDescent="0.3">
      <c r="A335" s="119"/>
      <c r="B335" s="119"/>
      <c r="C335" s="119"/>
      <c r="D335" s="119"/>
      <c r="E335" s="119"/>
      <c r="F335" s="119"/>
      <c r="G335" s="119"/>
      <c r="H335" s="119"/>
      <c r="I335" s="119"/>
      <c r="J335" s="119"/>
      <c r="K335" s="119"/>
      <c r="L335" s="119"/>
      <c r="M335" s="119"/>
      <c r="N335" s="119"/>
      <c r="O335" s="119"/>
      <c r="P335" s="119"/>
      <c r="Q335" s="119"/>
      <c r="R335" s="119"/>
      <c r="S335" s="119"/>
      <c r="T335" s="119"/>
      <c r="U335" s="119"/>
      <c r="V335" s="119"/>
    </row>
    <row r="336" spans="1:22" s="1" customFormat="1" ht="16.5" x14ac:dyDescent="0.3">
      <c r="A336" s="119"/>
      <c r="B336" s="119"/>
      <c r="C336" s="119"/>
      <c r="D336" s="119"/>
      <c r="E336" s="119"/>
      <c r="F336" s="119"/>
      <c r="G336" s="119"/>
      <c r="H336" s="119"/>
      <c r="I336" s="119"/>
      <c r="J336" s="119"/>
      <c r="K336" s="119"/>
      <c r="L336" s="119"/>
      <c r="M336" s="119"/>
      <c r="N336" s="119"/>
      <c r="O336" s="119"/>
      <c r="P336" s="119"/>
      <c r="Q336" s="119"/>
      <c r="R336" s="119"/>
      <c r="S336" s="119"/>
      <c r="T336" s="119"/>
      <c r="U336" s="119"/>
      <c r="V336" s="119"/>
    </row>
    <row r="337" spans="1:22" s="1" customFormat="1" ht="16.5" x14ac:dyDescent="0.3">
      <c r="A337" s="119"/>
      <c r="B337" s="119"/>
      <c r="C337" s="119"/>
      <c r="D337" s="119"/>
      <c r="E337" s="119"/>
      <c r="F337" s="119"/>
      <c r="G337" s="119"/>
      <c r="H337" s="119"/>
      <c r="I337" s="119"/>
      <c r="J337" s="119"/>
      <c r="K337" s="119"/>
      <c r="L337" s="119"/>
      <c r="M337" s="119"/>
      <c r="N337" s="119"/>
      <c r="O337" s="119"/>
      <c r="P337" s="119"/>
      <c r="Q337" s="119"/>
      <c r="R337" s="119"/>
      <c r="S337" s="119"/>
      <c r="T337" s="119"/>
      <c r="U337" s="119"/>
      <c r="V337" s="119"/>
    </row>
    <row r="338" spans="1:22" s="1" customFormat="1" ht="16.5" x14ac:dyDescent="0.3">
      <c r="A338" s="119"/>
      <c r="B338" s="119"/>
      <c r="C338" s="119"/>
      <c r="D338" s="119"/>
      <c r="E338" s="119"/>
      <c r="F338" s="119"/>
      <c r="G338" s="119"/>
      <c r="H338" s="119"/>
      <c r="I338" s="119"/>
      <c r="J338" s="119"/>
      <c r="K338" s="119"/>
      <c r="L338" s="119"/>
      <c r="M338" s="119"/>
      <c r="N338" s="119"/>
      <c r="O338" s="119"/>
      <c r="P338" s="119"/>
      <c r="Q338" s="119"/>
      <c r="R338" s="119"/>
      <c r="S338" s="119"/>
      <c r="T338" s="119"/>
      <c r="U338" s="119"/>
      <c r="V338" s="119"/>
    </row>
    <row r="339" spans="1:22" s="1" customFormat="1" ht="16.5" x14ac:dyDescent="0.3">
      <c r="A339" s="119"/>
      <c r="B339" s="119"/>
      <c r="C339" s="119"/>
      <c r="D339" s="119"/>
      <c r="E339" s="119"/>
      <c r="F339" s="119"/>
      <c r="G339" s="119"/>
      <c r="H339" s="119"/>
      <c r="I339" s="119"/>
      <c r="J339" s="119"/>
      <c r="K339" s="119"/>
      <c r="L339" s="119"/>
      <c r="M339" s="119"/>
      <c r="N339" s="119"/>
      <c r="O339" s="119"/>
      <c r="P339" s="119"/>
      <c r="Q339" s="119"/>
      <c r="R339" s="119"/>
      <c r="S339" s="119"/>
      <c r="T339" s="119"/>
      <c r="U339" s="119"/>
      <c r="V339" s="119"/>
    </row>
    <row r="340" spans="1:22" s="1" customFormat="1" ht="16.5" x14ac:dyDescent="0.3">
      <c r="A340" s="119"/>
      <c r="B340" s="119"/>
      <c r="C340" s="119"/>
      <c r="D340" s="119"/>
      <c r="E340" s="119"/>
      <c r="F340" s="119"/>
      <c r="G340" s="119"/>
      <c r="H340" s="119"/>
      <c r="I340" s="119"/>
      <c r="J340" s="119"/>
      <c r="K340" s="119"/>
      <c r="L340" s="119"/>
      <c r="M340" s="119"/>
      <c r="N340" s="119"/>
      <c r="O340" s="119"/>
      <c r="P340" s="119"/>
      <c r="Q340" s="119"/>
      <c r="R340" s="119"/>
      <c r="S340" s="119"/>
      <c r="T340" s="119"/>
      <c r="U340" s="119"/>
      <c r="V340" s="119"/>
    </row>
    <row r="341" spans="1:22" s="1" customFormat="1" ht="16.5" x14ac:dyDescent="0.3">
      <c r="A341" s="119"/>
      <c r="B341" s="119"/>
      <c r="C341" s="119"/>
      <c r="D341" s="119"/>
      <c r="E341" s="119"/>
      <c r="F341" s="119"/>
      <c r="G341" s="119"/>
      <c r="H341" s="119"/>
      <c r="I341" s="119"/>
      <c r="J341" s="119"/>
      <c r="K341" s="119"/>
      <c r="L341" s="119"/>
      <c r="M341" s="119"/>
      <c r="N341" s="119"/>
      <c r="O341" s="119"/>
      <c r="P341" s="119"/>
      <c r="Q341" s="119"/>
      <c r="R341" s="119"/>
      <c r="S341" s="119"/>
      <c r="T341" s="119"/>
      <c r="U341" s="119"/>
      <c r="V341" s="119"/>
    </row>
    <row r="342" spans="1:22" s="1" customFormat="1" ht="16.5" x14ac:dyDescent="0.3">
      <c r="A342" s="119"/>
      <c r="B342" s="119"/>
      <c r="C342" s="119"/>
      <c r="D342" s="119"/>
      <c r="E342" s="119"/>
      <c r="F342" s="119"/>
      <c r="G342" s="119"/>
      <c r="H342" s="119"/>
      <c r="I342" s="119"/>
      <c r="J342" s="119"/>
      <c r="K342" s="119"/>
      <c r="L342" s="119"/>
      <c r="M342" s="119"/>
      <c r="N342" s="119"/>
      <c r="O342" s="119"/>
      <c r="P342" s="119"/>
      <c r="Q342" s="119"/>
      <c r="R342" s="119"/>
      <c r="S342" s="119"/>
      <c r="T342" s="119"/>
      <c r="U342" s="119"/>
      <c r="V342" s="119"/>
    </row>
    <row r="343" spans="1:22" s="1" customFormat="1" ht="16.5" x14ac:dyDescent="0.3">
      <c r="A343" s="119"/>
      <c r="B343" s="119"/>
      <c r="C343" s="119"/>
      <c r="D343" s="119"/>
      <c r="E343" s="119"/>
      <c r="F343" s="119"/>
      <c r="G343" s="119"/>
      <c r="H343" s="119"/>
      <c r="I343" s="119"/>
      <c r="J343" s="119"/>
      <c r="K343" s="119"/>
      <c r="L343" s="119"/>
      <c r="M343" s="119"/>
      <c r="N343" s="119"/>
      <c r="O343" s="119"/>
      <c r="P343" s="119"/>
      <c r="Q343" s="119"/>
      <c r="R343" s="119"/>
      <c r="S343" s="119"/>
      <c r="T343" s="119"/>
      <c r="U343" s="119"/>
      <c r="V343" s="119"/>
    </row>
    <row r="344" spans="1:22" s="1" customFormat="1" ht="16.5" x14ac:dyDescent="0.3">
      <c r="A344" s="119"/>
      <c r="B344" s="119"/>
      <c r="C344" s="119"/>
      <c r="D344" s="119"/>
      <c r="E344" s="119"/>
      <c r="F344" s="119"/>
      <c r="G344" s="119"/>
      <c r="H344" s="119"/>
      <c r="I344" s="119"/>
      <c r="J344" s="119"/>
      <c r="K344" s="119"/>
      <c r="L344" s="119"/>
      <c r="M344" s="119"/>
      <c r="N344" s="119"/>
      <c r="O344" s="119"/>
      <c r="P344" s="119"/>
      <c r="Q344" s="119"/>
      <c r="R344" s="119"/>
      <c r="S344" s="119"/>
      <c r="T344" s="119"/>
      <c r="U344" s="119"/>
      <c r="V344" s="119"/>
    </row>
    <row r="345" spans="1:22" s="1" customFormat="1" ht="16.5" x14ac:dyDescent="0.3">
      <c r="A345" s="119"/>
      <c r="B345" s="119"/>
      <c r="C345" s="119"/>
      <c r="D345" s="119"/>
      <c r="E345" s="119"/>
      <c r="F345" s="119"/>
      <c r="G345" s="119"/>
      <c r="H345" s="119"/>
      <c r="I345" s="119"/>
      <c r="J345" s="119"/>
      <c r="K345" s="119"/>
      <c r="L345" s="119"/>
      <c r="M345" s="119"/>
      <c r="N345" s="119"/>
      <c r="O345" s="119"/>
      <c r="P345" s="119"/>
      <c r="Q345" s="119"/>
      <c r="R345" s="119"/>
      <c r="S345" s="119"/>
      <c r="T345" s="119"/>
      <c r="U345" s="119"/>
      <c r="V345" s="119"/>
    </row>
    <row r="346" spans="1:22" s="1" customFormat="1" ht="16.5" x14ac:dyDescent="0.3">
      <c r="A346" s="119"/>
      <c r="B346" s="119"/>
      <c r="C346" s="119"/>
      <c r="D346" s="119"/>
      <c r="E346" s="119"/>
      <c r="F346" s="119"/>
      <c r="G346" s="119"/>
      <c r="H346" s="119"/>
      <c r="I346" s="119"/>
      <c r="J346" s="119"/>
      <c r="K346" s="119"/>
      <c r="L346" s="119"/>
      <c r="M346" s="119"/>
      <c r="N346" s="119"/>
      <c r="O346" s="119"/>
      <c r="P346" s="119"/>
      <c r="Q346" s="119"/>
      <c r="R346" s="119"/>
      <c r="S346" s="119"/>
      <c r="T346" s="119"/>
      <c r="U346" s="119"/>
      <c r="V346" s="119"/>
    </row>
    <row r="347" spans="1:22" s="1" customFormat="1" ht="16.5" x14ac:dyDescent="0.3">
      <c r="A347" s="119"/>
      <c r="B347" s="119"/>
      <c r="C347" s="119"/>
      <c r="D347" s="119"/>
      <c r="E347" s="119"/>
      <c r="F347" s="119"/>
      <c r="G347" s="119"/>
      <c r="H347" s="119"/>
      <c r="I347" s="119"/>
      <c r="J347" s="119"/>
      <c r="K347" s="119"/>
      <c r="L347" s="119"/>
      <c r="M347" s="119"/>
      <c r="N347" s="119"/>
      <c r="O347" s="119"/>
      <c r="P347" s="119"/>
      <c r="Q347" s="119"/>
      <c r="R347" s="119"/>
      <c r="S347" s="119"/>
      <c r="T347" s="119"/>
      <c r="U347" s="119"/>
      <c r="V347" s="119"/>
    </row>
    <row r="348" spans="1:22" s="1" customFormat="1" ht="16.5" x14ac:dyDescent="0.3">
      <c r="A348" s="119"/>
      <c r="B348" s="119"/>
      <c r="C348" s="119"/>
      <c r="D348" s="119"/>
      <c r="E348" s="119"/>
      <c r="F348" s="119"/>
      <c r="G348" s="119"/>
      <c r="H348" s="119"/>
      <c r="I348" s="119"/>
      <c r="J348" s="119"/>
      <c r="K348" s="119"/>
      <c r="L348" s="119"/>
      <c r="M348" s="119"/>
      <c r="N348" s="119"/>
      <c r="O348" s="119"/>
      <c r="P348" s="119"/>
      <c r="Q348" s="119"/>
      <c r="R348" s="119"/>
      <c r="S348" s="119"/>
      <c r="T348" s="119"/>
      <c r="U348" s="119"/>
      <c r="V348" s="119"/>
    </row>
    <row r="349" spans="1:22" s="1" customFormat="1" ht="16.5" x14ac:dyDescent="0.3">
      <c r="A349" s="119"/>
      <c r="B349" s="119"/>
      <c r="C349" s="119"/>
      <c r="D349" s="119"/>
      <c r="E349" s="119"/>
      <c r="F349" s="119"/>
      <c r="G349" s="119"/>
      <c r="H349" s="119"/>
      <c r="I349" s="119"/>
      <c r="J349" s="119"/>
      <c r="K349" s="119"/>
      <c r="L349" s="119"/>
      <c r="M349" s="119"/>
      <c r="N349" s="119"/>
      <c r="O349" s="119"/>
      <c r="P349" s="119"/>
      <c r="Q349" s="119"/>
      <c r="R349" s="119"/>
      <c r="S349" s="119"/>
      <c r="T349" s="119"/>
      <c r="U349" s="119"/>
      <c r="V349" s="119"/>
    </row>
    <row r="350" spans="1:22" s="1" customFormat="1" ht="16.5" x14ac:dyDescent="0.3">
      <c r="A350" s="119"/>
      <c r="B350" s="119"/>
      <c r="C350" s="119"/>
      <c r="D350" s="119"/>
      <c r="E350" s="119"/>
      <c r="F350" s="119"/>
      <c r="G350" s="119"/>
      <c r="H350" s="119"/>
      <c r="I350" s="119"/>
      <c r="J350" s="119"/>
      <c r="K350" s="119"/>
      <c r="L350" s="119"/>
      <c r="M350" s="119"/>
      <c r="N350" s="119"/>
      <c r="O350" s="119"/>
      <c r="P350" s="119"/>
      <c r="Q350" s="119"/>
      <c r="R350" s="119"/>
      <c r="S350" s="119"/>
      <c r="T350" s="119"/>
      <c r="U350" s="119"/>
      <c r="V350" s="119"/>
    </row>
    <row r="351" spans="1:22" s="1" customFormat="1" ht="16.5" x14ac:dyDescent="0.3">
      <c r="A351" s="119"/>
      <c r="B351" s="119"/>
      <c r="C351" s="119"/>
      <c r="D351" s="119"/>
      <c r="E351" s="119"/>
      <c r="F351" s="119"/>
      <c r="G351" s="119"/>
      <c r="H351" s="119"/>
      <c r="I351" s="119"/>
      <c r="J351" s="119"/>
      <c r="K351" s="119"/>
      <c r="L351" s="119"/>
      <c r="M351" s="119"/>
      <c r="N351" s="119"/>
      <c r="O351" s="119"/>
      <c r="P351" s="119"/>
      <c r="Q351" s="119"/>
      <c r="R351" s="119"/>
      <c r="S351" s="119"/>
      <c r="T351" s="119"/>
      <c r="U351" s="119"/>
      <c r="V351" s="119"/>
    </row>
    <row r="352" spans="1:22" s="1" customFormat="1" ht="16.5" x14ac:dyDescent="0.3">
      <c r="A352" s="119"/>
      <c r="B352" s="119"/>
      <c r="C352" s="119"/>
      <c r="D352" s="119"/>
      <c r="E352" s="119"/>
      <c r="F352" s="119"/>
      <c r="G352" s="119"/>
      <c r="H352" s="119"/>
      <c r="I352" s="119"/>
      <c r="J352" s="119"/>
      <c r="K352" s="119"/>
      <c r="L352" s="119"/>
      <c r="M352" s="119"/>
      <c r="N352" s="119"/>
      <c r="O352" s="119"/>
      <c r="P352" s="119"/>
      <c r="Q352" s="119"/>
      <c r="R352" s="119"/>
      <c r="S352" s="119"/>
      <c r="T352" s="119"/>
      <c r="U352" s="119"/>
      <c r="V352" s="119"/>
    </row>
    <row r="353" spans="1:22" s="1" customFormat="1" ht="16.5" x14ac:dyDescent="0.3">
      <c r="A353" s="119"/>
      <c r="B353" s="119"/>
      <c r="C353" s="119"/>
      <c r="D353" s="119"/>
      <c r="E353" s="119"/>
      <c r="F353" s="119"/>
      <c r="G353" s="119"/>
      <c r="H353" s="119"/>
      <c r="I353" s="119"/>
      <c r="J353" s="119"/>
      <c r="K353" s="119"/>
      <c r="L353" s="119"/>
      <c r="M353" s="119"/>
      <c r="N353" s="119"/>
      <c r="O353" s="119"/>
      <c r="P353" s="119"/>
      <c r="Q353" s="119"/>
      <c r="R353" s="119"/>
      <c r="S353" s="119"/>
      <c r="T353" s="119"/>
      <c r="U353" s="119"/>
      <c r="V353" s="119"/>
    </row>
    <row r="354" spans="1:22" s="1" customFormat="1" ht="16.5" x14ac:dyDescent="0.3">
      <c r="A354" s="119"/>
      <c r="B354" s="119"/>
      <c r="C354" s="119"/>
      <c r="D354" s="119"/>
      <c r="E354" s="119"/>
      <c r="F354" s="119"/>
      <c r="G354" s="119"/>
      <c r="H354" s="119"/>
      <c r="I354" s="119"/>
      <c r="J354" s="119"/>
      <c r="K354" s="119"/>
      <c r="L354" s="119"/>
      <c r="M354" s="119"/>
      <c r="N354" s="119"/>
      <c r="O354" s="119"/>
      <c r="P354" s="119"/>
      <c r="Q354" s="119"/>
      <c r="R354" s="119"/>
      <c r="S354" s="119"/>
      <c r="T354" s="119"/>
      <c r="U354" s="119"/>
      <c r="V354" s="119"/>
    </row>
    <row r="355" spans="1:22" s="1" customFormat="1" ht="16.5" x14ac:dyDescent="0.3">
      <c r="A355" s="119"/>
      <c r="B355" s="119"/>
      <c r="C355" s="119"/>
      <c r="D355" s="119"/>
      <c r="E355" s="119"/>
      <c r="F355" s="119"/>
      <c r="G355" s="119"/>
      <c r="H355" s="119"/>
      <c r="I355" s="119"/>
      <c r="J355" s="119"/>
      <c r="K355" s="119"/>
      <c r="L355" s="119"/>
      <c r="M355" s="119"/>
      <c r="N355" s="119"/>
      <c r="O355" s="119"/>
      <c r="P355" s="119"/>
      <c r="Q355" s="119"/>
      <c r="R355" s="119"/>
      <c r="S355" s="119"/>
      <c r="T355" s="119"/>
      <c r="U355" s="119"/>
      <c r="V355" s="119"/>
    </row>
    <row r="356" spans="1:22" s="1" customFormat="1" ht="16.5" x14ac:dyDescent="0.3">
      <c r="A356" s="119"/>
      <c r="B356" s="119"/>
      <c r="C356" s="119"/>
      <c r="D356" s="119"/>
      <c r="E356" s="119"/>
      <c r="F356" s="119"/>
      <c r="G356" s="119"/>
      <c r="H356" s="119"/>
      <c r="I356" s="119"/>
      <c r="J356" s="119"/>
      <c r="K356" s="119"/>
      <c r="L356" s="119"/>
      <c r="M356" s="119"/>
      <c r="N356" s="119"/>
      <c r="O356" s="119"/>
      <c r="P356" s="119"/>
      <c r="Q356" s="119"/>
      <c r="R356" s="119"/>
      <c r="S356" s="119"/>
      <c r="T356" s="119"/>
      <c r="U356" s="119"/>
      <c r="V356" s="119"/>
    </row>
    <row r="357" spans="1:22" s="1" customFormat="1" ht="16.5" x14ac:dyDescent="0.3">
      <c r="A357" s="119"/>
      <c r="B357" s="119"/>
      <c r="C357" s="119"/>
      <c r="D357" s="119"/>
      <c r="E357" s="119"/>
      <c r="F357" s="119"/>
      <c r="G357" s="119"/>
      <c r="H357" s="119"/>
      <c r="I357" s="119"/>
      <c r="J357" s="119"/>
      <c r="K357" s="119"/>
      <c r="L357" s="119"/>
      <c r="M357" s="119"/>
      <c r="N357" s="119"/>
      <c r="O357" s="119"/>
      <c r="P357" s="119"/>
      <c r="Q357" s="119"/>
      <c r="R357" s="119"/>
      <c r="S357" s="119"/>
      <c r="T357" s="119"/>
      <c r="U357" s="119"/>
      <c r="V357" s="119"/>
    </row>
    <row r="358" spans="1:22" s="1" customFormat="1" ht="16.5" x14ac:dyDescent="0.3">
      <c r="A358" s="119"/>
      <c r="B358" s="119"/>
      <c r="C358" s="119"/>
      <c r="D358" s="119"/>
      <c r="E358" s="119"/>
      <c r="F358" s="119"/>
      <c r="G358" s="119"/>
      <c r="H358" s="119"/>
      <c r="I358" s="119"/>
      <c r="J358" s="119"/>
      <c r="K358" s="119"/>
      <c r="L358" s="119"/>
      <c r="M358" s="119"/>
      <c r="N358" s="119"/>
      <c r="O358" s="119"/>
      <c r="P358" s="119"/>
      <c r="Q358" s="119"/>
      <c r="R358" s="119"/>
      <c r="S358" s="119"/>
      <c r="T358" s="119"/>
      <c r="U358" s="119"/>
      <c r="V358" s="119"/>
    </row>
    <row r="359" spans="1:22" s="1" customFormat="1" ht="16.5" x14ac:dyDescent="0.3">
      <c r="A359" s="119"/>
      <c r="B359" s="119"/>
      <c r="C359" s="119"/>
      <c r="D359" s="119"/>
      <c r="E359" s="119"/>
      <c r="F359" s="119"/>
      <c r="G359" s="119"/>
      <c r="H359" s="119"/>
      <c r="I359" s="119"/>
      <c r="J359" s="119"/>
      <c r="K359" s="119"/>
      <c r="L359" s="119"/>
      <c r="M359" s="119"/>
      <c r="N359" s="119"/>
      <c r="O359" s="119"/>
      <c r="P359" s="119"/>
      <c r="Q359" s="119"/>
      <c r="R359" s="119"/>
      <c r="S359" s="119"/>
      <c r="T359" s="119"/>
      <c r="U359" s="119"/>
      <c r="V359" s="119"/>
    </row>
    <row r="360" spans="1:22" s="1" customFormat="1" ht="16.5" x14ac:dyDescent="0.3">
      <c r="A360" s="119"/>
      <c r="B360" s="119"/>
      <c r="C360" s="119"/>
      <c r="D360" s="119"/>
      <c r="E360" s="119"/>
      <c r="F360" s="119"/>
      <c r="G360" s="119"/>
      <c r="H360" s="119"/>
      <c r="I360" s="119"/>
      <c r="J360" s="119"/>
      <c r="K360" s="119"/>
      <c r="L360" s="119"/>
      <c r="M360" s="119"/>
      <c r="N360" s="119"/>
      <c r="O360" s="119"/>
      <c r="P360" s="119"/>
      <c r="Q360" s="119"/>
      <c r="R360" s="119"/>
      <c r="S360" s="119"/>
      <c r="T360" s="119"/>
      <c r="U360" s="119"/>
      <c r="V360" s="119"/>
    </row>
    <row r="361" spans="1:22" s="1" customFormat="1" ht="16.5" x14ac:dyDescent="0.3">
      <c r="A361" s="119"/>
      <c r="B361" s="119"/>
      <c r="C361" s="119"/>
      <c r="D361" s="119"/>
      <c r="E361" s="119"/>
      <c r="F361" s="119"/>
      <c r="G361" s="119"/>
      <c r="H361" s="119"/>
      <c r="I361" s="119"/>
      <c r="J361" s="119"/>
      <c r="K361" s="119"/>
      <c r="L361" s="119"/>
      <c r="M361" s="119"/>
      <c r="N361" s="119"/>
      <c r="O361" s="119"/>
      <c r="P361" s="119"/>
      <c r="Q361" s="119"/>
      <c r="R361" s="119"/>
      <c r="S361" s="119"/>
      <c r="T361" s="119"/>
      <c r="U361" s="119"/>
      <c r="V361" s="119"/>
    </row>
    <row r="362" spans="1:22" s="1" customFormat="1" ht="16.5" x14ac:dyDescent="0.3">
      <c r="A362" s="119"/>
      <c r="B362" s="119"/>
      <c r="C362" s="119"/>
      <c r="D362" s="119"/>
      <c r="E362" s="119"/>
      <c r="F362" s="119"/>
      <c r="G362" s="119"/>
      <c r="H362" s="119"/>
      <c r="I362" s="119"/>
      <c r="J362" s="119"/>
      <c r="K362" s="119"/>
      <c r="L362" s="119"/>
      <c r="M362" s="119"/>
      <c r="N362" s="119"/>
      <c r="O362" s="119"/>
      <c r="P362" s="119"/>
      <c r="Q362" s="119"/>
      <c r="R362" s="119"/>
      <c r="S362" s="119"/>
      <c r="T362" s="119"/>
      <c r="U362" s="119"/>
      <c r="V362" s="119"/>
    </row>
    <row r="363" spans="1:22" s="1" customFormat="1" ht="16.5" x14ac:dyDescent="0.3">
      <c r="A363" s="119"/>
      <c r="B363" s="119"/>
      <c r="C363" s="119"/>
      <c r="D363" s="119"/>
      <c r="E363" s="119"/>
      <c r="F363" s="119"/>
      <c r="G363" s="119"/>
      <c r="H363" s="119"/>
      <c r="I363" s="119"/>
      <c r="J363" s="119"/>
      <c r="K363" s="119"/>
      <c r="L363" s="119"/>
      <c r="M363" s="119"/>
      <c r="N363" s="119"/>
      <c r="O363" s="119"/>
      <c r="P363" s="119"/>
      <c r="Q363" s="119"/>
      <c r="R363" s="119"/>
      <c r="S363" s="119"/>
      <c r="T363" s="119"/>
      <c r="U363" s="119"/>
      <c r="V363" s="119"/>
    </row>
    <row r="364" spans="1:22" s="1" customFormat="1" ht="16.5" x14ac:dyDescent="0.3">
      <c r="A364" s="119"/>
      <c r="B364" s="119"/>
      <c r="C364" s="119"/>
      <c r="D364" s="119"/>
      <c r="E364" s="119"/>
      <c r="F364" s="119"/>
      <c r="G364" s="119"/>
      <c r="H364" s="119"/>
      <c r="I364" s="119"/>
      <c r="J364" s="119"/>
      <c r="K364" s="119"/>
      <c r="L364" s="119"/>
      <c r="M364" s="119"/>
      <c r="N364" s="119"/>
      <c r="O364" s="119"/>
      <c r="P364" s="119"/>
      <c r="Q364" s="119"/>
      <c r="R364" s="119"/>
      <c r="S364" s="119"/>
      <c r="T364" s="119"/>
      <c r="U364" s="119"/>
      <c r="V364" s="119"/>
    </row>
    <row r="365" spans="1:22" s="1" customFormat="1" ht="16.5" x14ac:dyDescent="0.3">
      <c r="A365" s="119"/>
      <c r="B365" s="119"/>
      <c r="C365" s="119"/>
      <c r="D365" s="119"/>
      <c r="E365" s="119"/>
      <c r="F365" s="119"/>
      <c r="G365" s="119"/>
      <c r="H365" s="119"/>
      <c r="I365" s="119"/>
      <c r="J365" s="119"/>
      <c r="K365" s="119"/>
      <c r="L365" s="119"/>
      <c r="M365" s="119"/>
      <c r="N365" s="119"/>
      <c r="O365" s="119"/>
      <c r="P365" s="119"/>
      <c r="Q365" s="119"/>
      <c r="R365" s="119"/>
      <c r="S365" s="119"/>
      <c r="T365" s="119"/>
      <c r="U365" s="119"/>
      <c r="V365" s="119"/>
    </row>
    <row r="366" spans="1:22" s="1" customFormat="1" ht="16.5" x14ac:dyDescent="0.3">
      <c r="A366" s="119"/>
      <c r="B366" s="119"/>
      <c r="C366" s="119"/>
      <c r="D366" s="119"/>
      <c r="E366" s="119"/>
      <c r="F366" s="119"/>
      <c r="G366" s="119"/>
      <c r="H366" s="119"/>
      <c r="I366" s="119"/>
      <c r="J366" s="119"/>
      <c r="K366" s="119"/>
      <c r="L366" s="119"/>
      <c r="M366" s="119"/>
      <c r="N366" s="119"/>
      <c r="O366" s="119"/>
      <c r="P366" s="119"/>
      <c r="Q366" s="119"/>
      <c r="R366" s="119"/>
      <c r="S366" s="119"/>
      <c r="T366" s="119"/>
      <c r="U366" s="119"/>
      <c r="V366" s="119"/>
    </row>
    <row r="367" spans="1:22" s="1" customFormat="1" ht="16.5" x14ac:dyDescent="0.3">
      <c r="A367" s="119"/>
      <c r="B367" s="119"/>
      <c r="C367" s="119"/>
      <c r="D367" s="119"/>
      <c r="E367" s="119"/>
      <c r="F367" s="119"/>
      <c r="G367" s="119"/>
      <c r="H367" s="119"/>
      <c r="I367" s="119"/>
      <c r="J367" s="119"/>
      <c r="K367" s="119"/>
      <c r="L367" s="119"/>
      <c r="M367" s="119"/>
      <c r="N367" s="119"/>
      <c r="O367" s="119"/>
      <c r="P367" s="119"/>
      <c r="Q367" s="119"/>
      <c r="R367" s="119"/>
      <c r="S367" s="119"/>
      <c r="T367" s="119"/>
      <c r="U367" s="119"/>
      <c r="V367" s="119"/>
    </row>
    <row r="368" spans="1:22" s="1" customFormat="1" ht="16.5" x14ac:dyDescent="0.3">
      <c r="A368" s="119"/>
      <c r="B368" s="119"/>
      <c r="C368" s="119"/>
      <c r="D368" s="119"/>
      <c r="E368" s="119"/>
      <c r="F368" s="119"/>
      <c r="G368" s="119"/>
      <c r="H368" s="119"/>
      <c r="I368" s="119"/>
      <c r="J368" s="119"/>
      <c r="K368" s="119"/>
      <c r="L368" s="119"/>
      <c r="M368" s="119"/>
      <c r="N368" s="119"/>
      <c r="O368" s="119"/>
      <c r="P368" s="119"/>
      <c r="Q368" s="119"/>
      <c r="R368" s="119"/>
      <c r="S368" s="119"/>
      <c r="T368" s="119"/>
      <c r="U368" s="119"/>
      <c r="V368" s="119"/>
    </row>
    <row r="369" spans="1:22" s="1" customFormat="1" ht="16.5" x14ac:dyDescent="0.3">
      <c r="A369" s="119"/>
      <c r="B369" s="119"/>
      <c r="C369" s="119"/>
      <c r="D369" s="119"/>
      <c r="E369" s="119"/>
      <c r="F369" s="119"/>
      <c r="G369" s="119"/>
      <c r="H369" s="119"/>
      <c r="I369" s="119"/>
      <c r="J369" s="119"/>
      <c r="K369" s="119"/>
      <c r="L369" s="119"/>
      <c r="M369" s="119"/>
      <c r="N369" s="119"/>
      <c r="O369" s="119"/>
      <c r="P369" s="119"/>
      <c r="Q369" s="119"/>
      <c r="R369" s="119"/>
      <c r="S369" s="119"/>
      <c r="T369" s="119"/>
      <c r="U369" s="119"/>
      <c r="V369" s="119"/>
    </row>
    <row r="370" spans="1:22" s="1" customFormat="1" ht="16.5" x14ac:dyDescent="0.3">
      <c r="A370" s="119"/>
      <c r="B370" s="119"/>
      <c r="C370" s="119"/>
      <c r="D370" s="119"/>
      <c r="E370" s="119"/>
      <c r="F370" s="119"/>
      <c r="G370" s="119"/>
      <c r="H370" s="119"/>
      <c r="I370" s="119"/>
      <c r="J370" s="119"/>
      <c r="K370" s="119"/>
      <c r="L370" s="119"/>
      <c r="M370" s="119"/>
      <c r="N370" s="119"/>
      <c r="O370" s="119"/>
      <c r="P370" s="119"/>
      <c r="Q370" s="119"/>
      <c r="R370" s="119"/>
      <c r="S370" s="119"/>
      <c r="T370" s="119"/>
      <c r="U370" s="119"/>
      <c r="V370" s="119"/>
    </row>
    <row r="371" spans="1:22" s="1" customFormat="1" ht="16.5" x14ac:dyDescent="0.3">
      <c r="A371" s="119"/>
      <c r="B371" s="119"/>
      <c r="C371" s="119"/>
      <c r="D371" s="119"/>
      <c r="E371" s="119"/>
      <c r="F371" s="119"/>
      <c r="G371" s="119"/>
      <c r="H371" s="119"/>
      <c r="I371" s="119"/>
      <c r="J371" s="119"/>
      <c r="K371" s="119"/>
      <c r="L371" s="119"/>
      <c r="M371" s="119"/>
      <c r="N371" s="119"/>
      <c r="O371" s="119"/>
      <c r="P371" s="119"/>
      <c r="Q371" s="119"/>
      <c r="R371" s="119"/>
      <c r="S371" s="119"/>
      <c r="T371" s="119"/>
      <c r="U371" s="119"/>
      <c r="V371" s="119"/>
    </row>
    <row r="372" spans="1:22" s="1" customFormat="1" ht="16.5" x14ac:dyDescent="0.3">
      <c r="A372" s="119"/>
      <c r="B372" s="119"/>
      <c r="C372" s="119"/>
      <c r="D372" s="119"/>
      <c r="E372" s="119"/>
      <c r="F372" s="119"/>
      <c r="G372" s="119"/>
      <c r="H372" s="119"/>
      <c r="I372" s="119"/>
      <c r="J372" s="119"/>
      <c r="K372" s="119"/>
      <c r="L372" s="119"/>
      <c r="M372" s="119"/>
      <c r="N372" s="119"/>
      <c r="O372" s="119"/>
      <c r="P372" s="119"/>
      <c r="Q372" s="119"/>
      <c r="R372" s="119"/>
      <c r="S372" s="119"/>
      <c r="T372" s="119"/>
      <c r="U372" s="119"/>
      <c r="V372" s="119"/>
    </row>
    <row r="373" spans="1:22" s="1" customFormat="1" ht="16.5" x14ac:dyDescent="0.3">
      <c r="A373" s="119"/>
      <c r="B373" s="119"/>
      <c r="C373" s="119"/>
      <c r="D373" s="119"/>
      <c r="E373" s="119"/>
      <c r="F373" s="119"/>
      <c r="G373" s="119"/>
      <c r="H373" s="119"/>
      <c r="I373" s="119"/>
      <c r="J373" s="119"/>
      <c r="K373" s="119"/>
      <c r="L373" s="119"/>
      <c r="M373" s="119"/>
      <c r="N373" s="119"/>
      <c r="O373" s="119"/>
      <c r="P373" s="119"/>
      <c r="Q373" s="119"/>
      <c r="R373" s="119"/>
      <c r="S373" s="119"/>
      <c r="T373" s="119"/>
      <c r="U373" s="119"/>
      <c r="V373" s="119"/>
    </row>
    <row r="374" spans="1:22" s="1" customFormat="1" ht="16.5" x14ac:dyDescent="0.3">
      <c r="A374" s="119"/>
      <c r="B374" s="119"/>
      <c r="C374" s="119"/>
      <c r="D374" s="119"/>
      <c r="E374" s="119"/>
      <c r="F374" s="119"/>
      <c r="G374" s="119"/>
      <c r="H374" s="119"/>
      <c r="I374" s="119"/>
      <c r="J374" s="119"/>
      <c r="K374" s="119"/>
      <c r="L374" s="119"/>
      <c r="M374" s="119"/>
      <c r="N374" s="119"/>
      <c r="O374" s="119"/>
      <c r="P374" s="119"/>
      <c r="Q374" s="119"/>
      <c r="R374" s="119"/>
      <c r="S374" s="119"/>
      <c r="T374" s="119"/>
      <c r="U374" s="119"/>
      <c r="V374" s="119"/>
    </row>
    <row r="375" spans="1:22" s="1" customFormat="1" ht="16.5" x14ac:dyDescent="0.3">
      <c r="A375" s="119"/>
      <c r="B375" s="119"/>
      <c r="C375" s="119"/>
      <c r="D375" s="119"/>
      <c r="E375" s="119"/>
      <c r="F375" s="119"/>
      <c r="G375" s="119"/>
      <c r="H375" s="119"/>
      <c r="I375" s="119"/>
      <c r="J375" s="119"/>
      <c r="K375" s="119"/>
      <c r="L375" s="119"/>
      <c r="M375" s="119"/>
      <c r="N375" s="119"/>
      <c r="O375" s="119"/>
      <c r="P375" s="119"/>
      <c r="Q375" s="119"/>
      <c r="R375" s="119"/>
      <c r="S375" s="119"/>
      <c r="T375" s="119"/>
      <c r="U375" s="119"/>
      <c r="V375" s="119"/>
    </row>
    <row r="376" spans="1:22" s="1" customFormat="1" ht="16.5" x14ac:dyDescent="0.3">
      <c r="A376" s="119"/>
      <c r="B376" s="119"/>
      <c r="C376" s="119"/>
      <c r="D376" s="119"/>
      <c r="E376" s="119"/>
      <c r="F376" s="119"/>
      <c r="G376" s="119"/>
      <c r="H376" s="119"/>
      <c r="I376" s="119"/>
      <c r="J376" s="119"/>
      <c r="K376" s="119"/>
      <c r="L376" s="119"/>
      <c r="M376" s="119"/>
      <c r="N376" s="119"/>
      <c r="O376" s="119"/>
      <c r="P376" s="119"/>
      <c r="Q376" s="119"/>
      <c r="R376" s="119"/>
      <c r="S376" s="119"/>
      <c r="T376" s="119"/>
      <c r="U376" s="119"/>
      <c r="V376" s="119"/>
    </row>
    <row r="377" spans="1:22" s="1" customFormat="1" ht="16.5" x14ac:dyDescent="0.3">
      <c r="A377" s="119"/>
      <c r="B377" s="119"/>
      <c r="C377" s="119"/>
      <c r="D377" s="119"/>
      <c r="E377" s="119"/>
      <c r="F377" s="119"/>
      <c r="G377" s="119"/>
      <c r="H377" s="119"/>
      <c r="I377" s="119"/>
      <c r="J377" s="119"/>
      <c r="K377" s="119"/>
      <c r="L377" s="119"/>
      <c r="M377" s="119"/>
      <c r="N377" s="119"/>
      <c r="O377" s="119"/>
      <c r="P377" s="119"/>
      <c r="Q377" s="119"/>
      <c r="R377" s="119"/>
      <c r="S377" s="119"/>
      <c r="T377" s="119"/>
      <c r="U377" s="119"/>
      <c r="V377" s="119"/>
    </row>
    <row r="378" spans="1:22" s="1" customFormat="1" ht="16.5" x14ac:dyDescent="0.3">
      <c r="A378" s="119"/>
      <c r="B378" s="119"/>
      <c r="C378" s="119"/>
      <c r="D378" s="119"/>
      <c r="E378" s="119"/>
      <c r="F378" s="119"/>
      <c r="G378" s="119"/>
      <c r="H378" s="119"/>
      <c r="I378" s="119"/>
      <c r="J378" s="119"/>
      <c r="K378" s="119"/>
      <c r="L378" s="119"/>
      <c r="M378" s="119"/>
      <c r="N378" s="119"/>
      <c r="O378" s="119"/>
      <c r="P378" s="119"/>
      <c r="Q378" s="119"/>
      <c r="R378" s="119"/>
      <c r="S378" s="119"/>
      <c r="T378" s="119"/>
      <c r="U378" s="119"/>
      <c r="V378" s="119"/>
    </row>
    <row r="379" spans="1:22" s="1" customFormat="1" ht="16.5" x14ac:dyDescent="0.3">
      <c r="A379" s="119"/>
      <c r="B379" s="119"/>
      <c r="C379" s="119"/>
      <c r="D379" s="119"/>
      <c r="E379" s="119"/>
      <c r="F379" s="119"/>
      <c r="G379" s="119"/>
      <c r="H379" s="119"/>
      <c r="I379" s="119"/>
      <c r="J379" s="119"/>
      <c r="K379" s="119"/>
      <c r="L379" s="119"/>
      <c r="M379" s="119"/>
      <c r="N379" s="119"/>
      <c r="O379" s="119"/>
      <c r="P379" s="119"/>
      <c r="Q379" s="119"/>
      <c r="R379" s="119"/>
      <c r="S379" s="119"/>
      <c r="T379" s="119"/>
      <c r="U379" s="119"/>
      <c r="V379" s="119"/>
    </row>
    <row r="380" spans="1:22" s="1" customFormat="1" ht="16.5" x14ac:dyDescent="0.3">
      <c r="A380" s="119"/>
      <c r="B380" s="119"/>
      <c r="C380" s="119"/>
      <c r="D380" s="119"/>
      <c r="E380" s="119"/>
      <c r="F380" s="119"/>
      <c r="G380" s="119"/>
      <c r="H380" s="119"/>
      <c r="I380" s="119"/>
      <c r="J380" s="119"/>
      <c r="K380" s="119"/>
      <c r="L380" s="119"/>
      <c r="M380" s="119"/>
      <c r="N380" s="119"/>
      <c r="O380" s="119"/>
      <c r="P380" s="119"/>
      <c r="Q380" s="119"/>
      <c r="R380" s="119"/>
      <c r="S380" s="119"/>
      <c r="T380" s="119"/>
      <c r="U380" s="119"/>
      <c r="V380" s="119"/>
    </row>
    <row r="381" spans="1:22" s="1" customFormat="1" ht="16.5" x14ac:dyDescent="0.3">
      <c r="A381" s="119"/>
      <c r="B381" s="119"/>
      <c r="C381" s="119"/>
      <c r="D381" s="119"/>
      <c r="E381" s="119"/>
      <c r="F381" s="119"/>
      <c r="G381" s="119"/>
      <c r="H381" s="119"/>
      <c r="I381" s="119"/>
      <c r="J381" s="119"/>
      <c r="K381" s="119"/>
      <c r="L381" s="119"/>
      <c r="M381" s="119"/>
      <c r="N381" s="119"/>
      <c r="O381" s="119"/>
      <c r="P381" s="119"/>
      <c r="Q381" s="119"/>
      <c r="R381" s="119"/>
      <c r="S381" s="119"/>
      <c r="T381" s="119"/>
      <c r="U381" s="119"/>
      <c r="V381" s="119"/>
    </row>
    <row r="382" spans="1:22" s="1" customFormat="1" ht="16.5" x14ac:dyDescent="0.3">
      <c r="A382" s="119"/>
      <c r="B382" s="119"/>
      <c r="C382" s="119"/>
      <c r="D382" s="119"/>
      <c r="E382" s="119"/>
      <c r="F382" s="119"/>
      <c r="G382" s="119"/>
      <c r="H382" s="119"/>
      <c r="I382" s="119"/>
      <c r="J382" s="119"/>
      <c r="K382" s="119"/>
      <c r="L382" s="119"/>
      <c r="M382" s="119"/>
      <c r="N382" s="119"/>
      <c r="O382" s="119"/>
      <c r="P382" s="119"/>
      <c r="Q382" s="119"/>
      <c r="R382" s="119"/>
      <c r="S382" s="119"/>
      <c r="T382" s="119"/>
      <c r="U382" s="119"/>
      <c r="V382" s="119"/>
    </row>
    <row r="383" spans="1:22" s="1" customFormat="1" ht="16.5" x14ac:dyDescent="0.3">
      <c r="A383" s="119"/>
      <c r="B383" s="119"/>
      <c r="C383" s="119"/>
      <c r="D383" s="119"/>
      <c r="E383" s="119"/>
      <c r="F383" s="119"/>
      <c r="G383" s="119"/>
      <c r="H383" s="119"/>
      <c r="I383" s="119"/>
      <c r="J383" s="119"/>
      <c r="K383" s="119"/>
      <c r="L383" s="119"/>
      <c r="M383" s="119"/>
      <c r="N383" s="119"/>
      <c r="O383" s="119"/>
      <c r="P383" s="119"/>
      <c r="Q383" s="119"/>
      <c r="R383" s="119"/>
      <c r="S383" s="119"/>
      <c r="T383" s="119"/>
      <c r="U383" s="119"/>
      <c r="V383" s="119"/>
    </row>
    <row r="384" spans="1:22" s="1" customFormat="1" ht="16.5" x14ac:dyDescent="0.3">
      <c r="A384" s="119"/>
      <c r="B384" s="119"/>
      <c r="C384" s="119"/>
      <c r="D384" s="119"/>
      <c r="E384" s="119"/>
      <c r="F384" s="119"/>
      <c r="G384" s="119"/>
      <c r="H384" s="119"/>
      <c r="I384" s="119"/>
      <c r="J384" s="119"/>
      <c r="K384" s="119"/>
      <c r="L384" s="119"/>
      <c r="M384" s="119"/>
      <c r="N384" s="119"/>
      <c r="O384" s="119"/>
      <c r="P384" s="119"/>
      <c r="Q384" s="119"/>
      <c r="R384" s="119"/>
      <c r="S384" s="119"/>
      <c r="T384" s="119"/>
      <c r="U384" s="119"/>
      <c r="V384" s="119"/>
    </row>
    <row r="385" spans="1:22" s="1" customFormat="1" ht="16.5" x14ac:dyDescent="0.3">
      <c r="A385" s="119"/>
      <c r="B385" s="119"/>
      <c r="C385" s="119"/>
      <c r="D385" s="119"/>
      <c r="E385" s="119"/>
      <c r="F385" s="119"/>
      <c r="G385" s="119"/>
      <c r="H385" s="119"/>
      <c r="I385" s="119"/>
      <c r="J385" s="119"/>
      <c r="K385" s="119"/>
      <c r="L385" s="119"/>
      <c r="M385" s="119"/>
      <c r="N385" s="119"/>
      <c r="O385" s="119"/>
      <c r="P385" s="119"/>
      <c r="Q385" s="119"/>
      <c r="R385" s="119"/>
      <c r="S385" s="119"/>
      <c r="T385" s="119"/>
      <c r="U385" s="119"/>
      <c r="V385" s="119"/>
    </row>
    <row r="386" spans="1:22" s="1" customFormat="1" ht="16.5" x14ac:dyDescent="0.3">
      <c r="A386" s="119"/>
      <c r="B386" s="119"/>
      <c r="C386" s="119"/>
      <c r="D386" s="119"/>
      <c r="E386" s="119"/>
      <c r="F386" s="119"/>
      <c r="G386" s="119"/>
      <c r="H386" s="119"/>
      <c r="I386" s="119"/>
      <c r="J386" s="119"/>
      <c r="K386" s="119"/>
      <c r="L386" s="119"/>
      <c r="M386" s="119"/>
      <c r="N386" s="119"/>
      <c r="O386" s="119"/>
      <c r="P386" s="119"/>
      <c r="Q386" s="119"/>
      <c r="R386" s="119"/>
      <c r="S386" s="119"/>
      <c r="T386" s="119"/>
      <c r="U386" s="119"/>
      <c r="V386" s="119"/>
    </row>
    <row r="387" spans="1:22" s="1" customFormat="1" ht="16.5" x14ac:dyDescent="0.3">
      <c r="A387" s="119"/>
      <c r="B387" s="119"/>
      <c r="C387" s="119"/>
      <c r="D387" s="119"/>
      <c r="E387" s="119"/>
      <c r="F387" s="119"/>
      <c r="G387" s="119"/>
      <c r="H387" s="119"/>
      <c r="I387" s="119"/>
      <c r="J387" s="119"/>
      <c r="K387" s="119"/>
      <c r="L387" s="119"/>
      <c r="M387" s="119"/>
      <c r="N387" s="119"/>
      <c r="O387" s="119"/>
      <c r="P387" s="119"/>
      <c r="Q387" s="119"/>
      <c r="R387" s="119"/>
      <c r="S387" s="119"/>
      <c r="T387" s="119"/>
      <c r="U387" s="119"/>
      <c r="V387" s="119"/>
    </row>
    <row r="388" spans="1:22" s="1" customFormat="1" ht="16.5" x14ac:dyDescent="0.3">
      <c r="A388" s="119"/>
      <c r="B388" s="119"/>
      <c r="C388" s="119"/>
      <c r="D388" s="119"/>
      <c r="E388" s="119"/>
      <c r="F388" s="119"/>
      <c r="G388" s="119"/>
      <c r="H388" s="119"/>
      <c r="I388" s="119"/>
      <c r="J388" s="119"/>
      <c r="K388" s="119"/>
      <c r="L388" s="119"/>
      <c r="M388" s="119"/>
      <c r="N388" s="119"/>
      <c r="O388" s="119"/>
      <c r="P388" s="119"/>
      <c r="Q388" s="119"/>
      <c r="R388" s="119"/>
      <c r="S388" s="119"/>
      <c r="T388" s="119"/>
      <c r="U388" s="119"/>
      <c r="V388" s="119"/>
    </row>
    <row r="389" spans="1:22" s="1" customFormat="1" ht="16.5" x14ac:dyDescent="0.3">
      <c r="A389" s="119"/>
      <c r="B389" s="119"/>
      <c r="C389" s="119"/>
      <c r="D389" s="119"/>
      <c r="E389" s="119"/>
      <c r="F389" s="119"/>
      <c r="G389" s="119"/>
      <c r="H389" s="119"/>
      <c r="I389" s="119"/>
      <c r="J389" s="119"/>
      <c r="K389" s="119"/>
      <c r="L389" s="119"/>
      <c r="M389" s="119"/>
      <c r="N389" s="119"/>
      <c r="O389" s="119"/>
      <c r="P389" s="119"/>
      <c r="Q389" s="119"/>
      <c r="R389" s="119"/>
      <c r="S389" s="119"/>
      <c r="T389" s="119"/>
      <c r="U389" s="119"/>
      <c r="V389" s="119"/>
    </row>
    <row r="390" spans="1:22" s="1" customFormat="1" ht="16.5" x14ac:dyDescent="0.3">
      <c r="A390" s="119"/>
      <c r="B390" s="119"/>
      <c r="C390" s="119"/>
      <c r="D390" s="119"/>
      <c r="E390" s="119"/>
      <c r="F390" s="119"/>
      <c r="G390" s="119"/>
      <c r="H390" s="119"/>
      <c r="I390" s="119"/>
      <c r="J390" s="119"/>
      <c r="K390" s="119"/>
      <c r="L390" s="119"/>
      <c r="M390" s="119"/>
      <c r="N390" s="119"/>
      <c r="O390" s="119"/>
      <c r="P390" s="119"/>
      <c r="Q390" s="119"/>
      <c r="R390" s="119"/>
      <c r="S390" s="119"/>
      <c r="T390" s="119"/>
      <c r="U390" s="119"/>
      <c r="V390" s="119"/>
    </row>
    <row r="391" spans="1:22" s="1" customFormat="1" ht="16.5" x14ac:dyDescent="0.3">
      <c r="A391" s="119"/>
      <c r="B391" s="119"/>
      <c r="C391" s="119"/>
      <c r="D391" s="119"/>
      <c r="E391" s="119"/>
      <c r="F391" s="119"/>
      <c r="G391" s="119"/>
      <c r="H391" s="119"/>
      <c r="I391" s="119"/>
      <c r="J391" s="119"/>
      <c r="K391" s="119"/>
      <c r="L391" s="119"/>
      <c r="M391" s="119"/>
      <c r="N391" s="119"/>
      <c r="O391" s="119"/>
      <c r="P391" s="119"/>
      <c r="Q391" s="119"/>
      <c r="R391" s="119"/>
      <c r="S391" s="119"/>
      <c r="T391" s="119"/>
      <c r="U391" s="119"/>
      <c r="V391" s="119"/>
    </row>
    <row r="392" spans="1:22" s="1" customFormat="1" ht="16.5" x14ac:dyDescent="0.3">
      <c r="A392" s="119"/>
      <c r="B392" s="119"/>
      <c r="C392" s="119"/>
      <c r="D392" s="119"/>
      <c r="E392" s="119"/>
      <c r="F392" s="119"/>
      <c r="G392" s="119"/>
      <c r="H392" s="119"/>
      <c r="I392" s="119"/>
      <c r="J392" s="119"/>
      <c r="K392" s="119"/>
      <c r="L392" s="119"/>
      <c r="M392" s="119"/>
      <c r="N392" s="119"/>
      <c r="O392" s="119"/>
      <c r="P392" s="119"/>
      <c r="Q392" s="119"/>
      <c r="R392" s="119"/>
      <c r="S392" s="119"/>
      <c r="T392" s="119"/>
      <c r="U392" s="119"/>
      <c r="V392" s="119"/>
    </row>
    <row r="393" spans="1:22" s="1" customFormat="1" ht="16.5" x14ac:dyDescent="0.3">
      <c r="A393" s="119"/>
      <c r="B393" s="119"/>
      <c r="C393" s="119"/>
      <c r="D393" s="119"/>
      <c r="E393" s="119"/>
      <c r="F393" s="119"/>
      <c r="G393" s="119"/>
      <c r="H393" s="119"/>
      <c r="I393" s="119"/>
      <c r="J393" s="119"/>
      <c r="K393" s="119"/>
      <c r="L393" s="119"/>
      <c r="M393" s="119"/>
      <c r="N393" s="119"/>
      <c r="O393" s="119"/>
      <c r="P393" s="119"/>
      <c r="Q393" s="119"/>
      <c r="R393" s="119"/>
      <c r="S393" s="119"/>
      <c r="T393" s="119"/>
      <c r="U393" s="119"/>
      <c r="V393" s="119"/>
    </row>
    <row r="394" spans="1:22" s="1" customFormat="1" ht="16.5" x14ac:dyDescent="0.3">
      <c r="A394" s="119"/>
      <c r="B394" s="119"/>
      <c r="C394" s="119"/>
      <c r="D394" s="119"/>
      <c r="E394" s="119"/>
      <c r="F394" s="119"/>
      <c r="G394" s="119"/>
      <c r="H394" s="119"/>
      <c r="I394" s="119"/>
      <c r="J394" s="119"/>
      <c r="K394" s="119"/>
      <c r="L394" s="119"/>
      <c r="M394" s="119"/>
      <c r="N394" s="119"/>
      <c r="O394" s="119"/>
      <c r="P394" s="119"/>
      <c r="Q394" s="119"/>
      <c r="R394" s="119"/>
      <c r="S394" s="119"/>
      <c r="T394" s="119"/>
      <c r="U394" s="119"/>
      <c r="V394" s="119"/>
    </row>
    <row r="395" spans="1:22" s="1" customFormat="1" ht="16.5" x14ac:dyDescent="0.3">
      <c r="A395" s="119"/>
      <c r="B395" s="119"/>
      <c r="C395" s="119"/>
      <c r="D395" s="119"/>
      <c r="E395" s="119"/>
      <c r="F395" s="119"/>
      <c r="G395" s="119"/>
      <c r="H395" s="119"/>
      <c r="I395" s="119"/>
      <c r="J395" s="119"/>
      <c r="K395" s="119"/>
      <c r="L395" s="119"/>
      <c r="M395" s="119"/>
      <c r="N395" s="119"/>
      <c r="O395" s="119"/>
      <c r="P395" s="119"/>
      <c r="Q395" s="119"/>
      <c r="R395" s="119"/>
      <c r="S395" s="119"/>
      <c r="T395" s="119"/>
      <c r="U395" s="119"/>
      <c r="V395" s="119"/>
    </row>
    <row r="396" spans="1:22" s="1" customFormat="1" ht="16.5" x14ac:dyDescent="0.3">
      <c r="A396" s="119"/>
      <c r="B396" s="119"/>
      <c r="C396" s="119"/>
      <c r="D396" s="119"/>
      <c r="E396" s="119"/>
      <c r="F396" s="119"/>
      <c r="G396" s="119"/>
      <c r="H396" s="119"/>
      <c r="I396" s="119"/>
      <c r="J396" s="119"/>
      <c r="K396" s="119"/>
      <c r="L396" s="119"/>
      <c r="M396" s="119"/>
      <c r="N396" s="119"/>
      <c r="O396" s="119"/>
      <c r="P396" s="119"/>
      <c r="Q396" s="119"/>
      <c r="R396" s="119"/>
      <c r="S396" s="119"/>
      <c r="T396" s="119"/>
      <c r="U396" s="119"/>
      <c r="V396" s="119"/>
    </row>
    <row r="397" spans="1:22" s="1" customFormat="1" ht="16.5" x14ac:dyDescent="0.3">
      <c r="A397" s="119"/>
      <c r="B397" s="119"/>
      <c r="C397" s="119"/>
      <c r="D397" s="119"/>
      <c r="E397" s="119"/>
      <c r="F397" s="119"/>
      <c r="G397" s="119"/>
      <c r="H397" s="119"/>
      <c r="I397" s="119"/>
      <c r="J397" s="119"/>
      <c r="K397" s="119"/>
      <c r="L397" s="119"/>
      <c r="M397" s="119"/>
      <c r="N397" s="119"/>
      <c r="O397" s="119"/>
      <c r="P397" s="119"/>
      <c r="Q397" s="119"/>
      <c r="R397" s="119"/>
      <c r="S397" s="119"/>
      <c r="T397" s="119"/>
      <c r="U397" s="119"/>
      <c r="V397" s="119"/>
    </row>
    <row r="398" spans="1:22" s="1" customFormat="1" ht="16.5" x14ac:dyDescent="0.3">
      <c r="A398" s="119"/>
      <c r="B398" s="119"/>
      <c r="C398" s="119"/>
      <c r="D398" s="119"/>
      <c r="E398" s="119"/>
      <c r="F398" s="119"/>
      <c r="G398" s="119"/>
      <c r="H398" s="119"/>
      <c r="I398" s="119"/>
      <c r="J398" s="119"/>
      <c r="K398" s="119"/>
      <c r="L398" s="119"/>
      <c r="M398" s="119"/>
      <c r="N398" s="119"/>
      <c r="O398" s="119"/>
      <c r="P398" s="119"/>
      <c r="Q398" s="119"/>
      <c r="R398" s="119"/>
      <c r="S398" s="119"/>
      <c r="T398" s="119"/>
      <c r="U398" s="119"/>
      <c r="V398" s="119"/>
    </row>
    <row r="399" spans="1:22" s="1" customFormat="1" ht="16.5" x14ac:dyDescent="0.3">
      <c r="A399" s="119"/>
      <c r="B399" s="119"/>
      <c r="C399" s="119"/>
      <c r="D399" s="119"/>
      <c r="E399" s="119"/>
      <c r="F399" s="119"/>
      <c r="G399" s="119"/>
      <c r="H399" s="119"/>
      <c r="I399" s="119"/>
      <c r="J399" s="119"/>
      <c r="K399" s="119"/>
      <c r="L399" s="119"/>
      <c r="M399" s="119"/>
      <c r="N399" s="119"/>
      <c r="O399" s="119"/>
      <c r="P399" s="119"/>
      <c r="Q399" s="119"/>
      <c r="R399" s="119"/>
      <c r="S399" s="119"/>
      <c r="T399" s="119"/>
      <c r="U399" s="119"/>
      <c r="V399" s="119"/>
    </row>
    <row r="400" spans="1:22" s="1" customFormat="1" ht="16.5" x14ac:dyDescent="0.3">
      <c r="A400" s="119"/>
      <c r="B400" s="119"/>
      <c r="C400" s="119"/>
      <c r="D400" s="119"/>
      <c r="E400" s="119"/>
      <c r="F400" s="119"/>
      <c r="G400" s="119"/>
      <c r="H400" s="119"/>
      <c r="I400" s="119"/>
      <c r="J400" s="119"/>
      <c r="K400" s="119"/>
      <c r="L400" s="119"/>
      <c r="M400" s="119"/>
      <c r="N400" s="119"/>
      <c r="O400" s="119"/>
      <c r="P400" s="119"/>
      <c r="Q400" s="119"/>
      <c r="R400" s="119"/>
      <c r="S400" s="119"/>
      <c r="T400" s="119"/>
      <c r="U400" s="119"/>
      <c r="V400" s="119"/>
    </row>
    <row r="401" spans="1:22" s="1" customFormat="1" ht="16.5" x14ac:dyDescent="0.3">
      <c r="A401" s="119"/>
      <c r="B401" s="119"/>
      <c r="C401" s="119"/>
      <c r="D401" s="119"/>
      <c r="E401" s="119"/>
      <c r="F401" s="119"/>
      <c r="G401" s="119"/>
      <c r="H401" s="119"/>
      <c r="I401" s="119"/>
      <c r="J401" s="119"/>
      <c r="K401" s="119"/>
      <c r="L401" s="119"/>
      <c r="M401" s="119"/>
      <c r="N401" s="119"/>
      <c r="O401" s="119"/>
      <c r="P401" s="119"/>
      <c r="Q401" s="119"/>
      <c r="R401" s="119"/>
      <c r="S401" s="119"/>
      <c r="T401" s="119"/>
      <c r="U401" s="119"/>
      <c r="V401" s="119"/>
    </row>
    <row r="402" spans="1:22" s="1" customFormat="1" ht="16.5" x14ac:dyDescent="0.3">
      <c r="A402" s="119"/>
      <c r="B402" s="119"/>
      <c r="C402" s="119"/>
      <c r="D402" s="119"/>
      <c r="E402" s="119"/>
      <c r="F402" s="119"/>
      <c r="G402" s="119"/>
      <c r="H402" s="119"/>
      <c r="I402" s="119"/>
      <c r="J402" s="119"/>
      <c r="K402" s="119"/>
      <c r="L402" s="119"/>
      <c r="M402" s="119"/>
      <c r="N402" s="119"/>
      <c r="O402" s="119"/>
      <c r="P402" s="119"/>
      <c r="Q402" s="119"/>
      <c r="R402" s="119"/>
      <c r="S402" s="119"/>
      <c r="T402" s="119"/>
      <c r="U402" s="119"/>
      <c r="V402" s="119"/>
    </row>
    <row r="403" spans="1:22" s="1" customFormat="1" ht="16.5" x14ac:dyDescent="0.3">
      <c r="A403" s="119"/>
      <c r="B403" s="119"/>
      <c r="C403" s="119"/>
      <c r="D403" s="119"/>
      <c r="E403" s="119"/>
      <c r="F403" s="119"/>
      <c r="G403" s="119"/>
      <c r="H403" s="119"/>
      <c r="I403" s="119"/>
      <c r="J403" s="119"/>
      <c r="K403" s="119"/>
      <c r="L403" s="119"/>
      <c r="M403" s="119"/>
      <c r="N403" s="119"/>
      <c r="O403" s="119"/>
      <c r="P403" s="119"/>
      <c r="Q403" s="119"/>
      <c r="R403" s="119"/>
      <c r="S403" s="119"/>
      <c r="T403" s="119"/>
      <c r="U403" s="119"/>
      <c r="V403" s="119"/>
    </row>
    <row r="404" spans="1:22" s="1" customFormat="1" ht="16.5" x14ac:dyDescent="0.3">
      <c r="A404" s="119"/>
      <c r="B404" s="119"/>
      <c r="C404" s="119"/>
      <c r="D404" s="119"/>
      <c r="E404" s="119"/>
      <c r="F404" s="119"/>
      <c r="G404" s="119"/>
      <c r="H404" s="119"/>
      <c r="I404" s="119"/>
      <c r="J404" s="119"/>
      <c r="K404" s="119"/>
      <c r="L404" s="119"/>
      <c r="M404" s="119"/>
      <c r="N404" s="119"/>
      <c r="O404" s="119"/>
      <c r="P404" s="119"/>
      <c r="Q404" s="119"/>
      <c r="R404" s="119"/>
      <c r="S404" s="119"/>
      <c r="T404" s="119"/>
      <c r="U404" s="119"/>
      <c r="V404" s="119"/>
    </row>
    <row r="405" spans="1:22" s="1" customFormat="1" ht="16.5" x14ac:dyDescent="0.3">
      <c r="A405" s="119"/>
      <c r="B405" s="119"/>
      <c r="C405" s="119"/>
      <c r="D405" s="119"/>
      <c r="E405" s="119"/>
      <c r="F405" s="119"/>
      <c r="G405" s="119"/>
      <c r="H405" s="119"/>
      <c r="I405" s="119"/>
      <c r="J405" s="119"/>
      <c r="K405" s="119"/>
      <c r="L405" s="119"/>
      <c r="M405" s="119"/>
      <c r="N405" s="119"/>
      <c r="O405" s="119"/>
      <c r="P405" s="119"/>
      <c r="Q405" s="119"/>
      <c r="R405" s="119"/>
      <c r="S405" s="119"/>
      <c r="T405" s="119"/>
      <c r="U405" s="119"/>
      <c r="V405" s="119"/>
    </row>
    <row r="406" spans="1:22" s="1" customFormat="1" ht="16.5" x14ac:dyDescent="0.3">
      <c r="A406" s="119"/>
      <c r="B406" s="119"/>
      <c r="C406" s="119"/>
      <c r="D406" s="119"/>
      <c r="E406" s="119"/>
      <c r="F406" s="119"/>
      <c r="G406" s="119"/>
      <c r="H406" s="119"/>
      <c r="I406" s="119"/>
      <c r="J406" s="119"/>
      <c r="K406" s="119"/>
      <c r="L406" s="119"/>
      <c r="M406" s="119"/>
      <c r="N406" s="119"/>
      <c r="O406" s="119"/>
      <c r="P406" s="119"/>
      <c r="Q406" s="119"/>
      <c r="R406" s="119"/>
      <c r="S406" s="119"/>
      <c r="T406" s="119"/>
      <c r="U406" s="119"/>
      <c r="V406" s="119"/>
    </row>
    <row r="407" spans="1:22" s="1" customFormat="1" ht="16.5" x14ac:dyDescent="0.3">
      <c r="A407" s="119"/>
      <c r="B407" s="119"/>
      <c r="C407" s="119"/>
      <c r="D407" s="119"/>
      <c r="E407" s="119"/>
      <c r="F407" s="119"/>
      <c r="G407" s="119"/>
      <c r="H407" s="119"/>
      <c r="I407" s="119"/>
      <c r="J407" s="119"/>
      <c r="K407" s="119"/>
      <c r="L407" s="119"/>
      <c r="M407" s="119"/>
      <c r="N407" s="119"/>
      <c r="O407" s="119"/>
      <c r="P407" s="119"/>
      <c r="Q407" s="119"/>
      <c r="R407" s="119"/>
      <c r="S407" s="119"/>
      <c r="T407" s="119"/>
      <c r="U407" s="119"/>
      <c r="V407" s="119"/>
    </row>
    <row r="408" spans="1:22" s="1" customFormat="1" ht="16.5" x14ac:dyDescent="0.3">
      <c r="A408" s="119"/>
      <c r="B408" s="119"/>
      <c r="C408" s="119"/>
      <c r="D408" s="119"/>
      <c r="E408" s="119"/>
      <c r="F408" s="119"/>
      <c r="G408" s="119"/>
      <c r="H408" s="119"/>
      <c r="I408" s="119"/>
      <c r="J408" s="119"/>
      <c r="K408" s="119"/>
      <c r="L408" s="119"/>
      <c r="M408" s="119"/>
      <c r="N408" s="119"/>
      <c r="O408" s="119"/>
      <c r="P408" s="119"/>
      <c r="Q408" s="119"/>
      <c r="R408" s="119"/>
      <c r="S408" s="119"/>
      <c r="T408" s="119"/>
      <c r="U408" s="119"/>
      <c r="V408" s="119"/>
    </row>
    <row r="409" spans="1:22" s="1" customFormat="1" ht="16.5" x14ac:dyDescent="0.3">
      <c r="A409" s="119"/>
      <c r="B409" s="119"/>
      <c r="C409" s="119"/>
      <c r="D409" s="119"/>
      <c r="E409" s="119"/>
      <c r="F409" s="119"/>
      <c r="G409" s="119"/>
      <c r="H409" s="119"/>
      <c r="I409" s="119"/>
      <c r="J409" s="119"/>
      <c r="K409" s="119"/>
      <c r="L409" s="119"/>
      <c r="M409" s="119"/>
      <c r="N409" s="119"/>
      <c r="O409" s="119"/>
      <c r="P409" s="119"/>
      <c r="Q409" s="119"/>
      <c r="R409" s="119"/>
      <c r="S409" s="119"/>
      <c r="T409" s="119"/>
      <c r="U409" s="119"/>
      <c r="V409" s="119"/>
    </row>
    <row r="410" spans="1:22" s="1" customFormat="1" ht="16.5" x14ac:dyDescent="0.3">
      <c r="A410" s="119"/>
      <c r="B410" s="119"/>
      <c r="C410" s="119"/>
      <c r="D410" s="119"/>
      <c r="E410" s="119"/>
      <c r="F410" s="119"/>
      <c r="G410" s="119"/>
      <c r="H410" s="119"/>
      <c r="I410" s="119"/>
      <c r="J410" s="119"/>
      <c r="K410" s="119"/>
      <c r="L410" s="119"/>
      <c r="M410" s="119"/>
      <c r="N410" s="119"/>
      <c r="O410" s="119"/>
      <c r="P410" s="119"/>
      <c r="Q410" s="119"/>
      <c r="R410" s="119"/>
      <c r="S410" s="119"/>
      <c r="T410" s="119"/>
      <c r="U410" s="119"/>
      <c r="V410" s="119"/>
    </row>
    <row r="411" spans="1:22" s="1" customFormat="1" ht="16.5" x14ac:dyDescent="0.3">
      <c r="A411" s="119"/>
      <c r="B411" s="119"/>
      <c r="C411" s="119"/>
      <c r="D411" s="119"/>
      <c r="E411" s="119"/>
      <c r="F411" s="119"/>
      <c r="G411" s="119"/>
      <c r="H411" s="119"/>
      <c r="I411" s="119"/>
      <c r="J411" s="119"/>
      <c r="K411" s="119"/>
      <c r="L411" s="119"/>
      <c r="M411" s="119"/>
      <c r="N411" s="119"/>
      <c r="O411" s="119"/>
      <c r="P411" s="119"/>
      <c r="Q411" s="119"/>
      <c r="R411" s="119"/>
      <c r="S411" s="119"/>
      <c r="T411" s="119"/>
      <c r="U411" s="119"/>
      <c r="V411" s="119"/>
    </row>
    <row r="412" spans="1:22" s="1" customFormat="1" ht="16.5" x14ac:dyDescent="0.3">
      <c r="A412" s="119"/>
      <c r="B412" s="119"/>
      <c r="C412" s="119"/>
      <c r="D412" s="119"/>
      <c r="E412" s="119"/>
      <c r="F412" s="119"/>
      <c r="G412" s="119"/>
      <c r="H412" s="119"/>
      <c r="I412" s="119"/>
      <c r="J412" s="119"/>
      <c r="K412" s="119"/>
      <c r="L412" s="119"/>
      <c r="M412" s="119"/>
      <c r="N412" s="119"/>
      <c r="O412" s="119"/>
      <c r="P412" s="119"/>
      <c r="Q412" s="119"/>
      <c r="R412" s="119"/>
      <c r="S412" s="119"/>
      <c r="T412" s="119"/>
      <c r="U412" s="119"/>
      <c r="V412" s="119"/>
    </row>
    <row r="413" spans="1:22" s="1" customFormat="1" ht="16.5" x14ac:dyDescent="0.3">
      <c r="A413" s="119"/>
      <c r="B413" s="119"/>
      <c r="C413" s="119"/>
      <c r="D413" s="119"/>
      <c r="E413" s="119"/>
      <c r="F413" s="119"/>
      <c r="G413" s="119"/>
      <c r="H413" s="119"/>
      <c r="I413" s="119"/>
      <c r="J413" s="119"/>
      <c r="K413" s="119"/>
      <c r="L413" s="119"/>
      <c r="M413" s="119"/>
      <c r="N413" s="119"/>
      <c r="O413" s="119"/>
      <c r="P413" s="119"/>
      <c r="Q413" s="119"/>
      <c r="R413" s="119"/>
      <c r="S413" s="119"/>
      <c r="T413" s="119"/>
      <c r="U413" s="119"/>
      <c r="V413" s="119"/>
    </row>
    <row r="414" spans="1:22" s="1" customFormat="1" ht="16.5" x14ac:dyDescent="0.3">
      <c r="A414" s="119"/>
      <c r="B414" s="119"/>
      <c r="C414" s="119"/>
      <c r="D414" s="119"/>
      <c r="E414" s="119"/>
      <c r="F414" s="119"/>
      <c r="G414" s="119"/>
      <c r="H414" s="119"/>
      <c r="I414" s="119"/>
      <c r="J414" s="119"/>
      <c r="K414" s="119"/>
      <c r="L414" s="119"/>
      <c r="M414" s="119"/>
      <c r="N414" s="119"/>
      <c r="O414" s="119"/>
      <c r="P414" s="119"/>
      <c r="Q414" s="119"/>
      <c r="R414" s="119"/>
      <c r="S414" s="119"/>
      <c r="T414" s="119"/>
      <c r="U414" s="119"/>
      <c r="V414" s="119"/>
    </row>
    <row r="415" spans="1:22" s="1" customFormat="1" ht="16.5" x14ac:dyDescent="0.3">
      <c r="A415" s="119"/>
      <c r="B415" s="119"/>
      <c r="C415" s="119"/>
      <c r="D415" s="119"/>
      <c r="E415" s="119"/>
      <c r="F415" s="119"/>
      <c r="G415" s="119"/>
      <c r="H415" s="119"/>
      <c r="I415" s="119"/>
      <c r="J415" s="119"/>
      <c r="K415" s="119"/>
      <c r="L415" s="119"/>
      <c r="M415" s="119"/>
      <c r="N415" s="119"/>
      <c r="O415" s="119"/>
      <c r="P415" s="119"/>
      <c r="Q415" s="119"/>
      <c r="R415" s="119"/>
      <c r="S415" s="119"/>
      <c r="T415" s="119"/>
      <c r="U415" s="119"/>
      <c r="V415" s="119"/>
    </row>
    <row r="416" spans="1:22" s="1" customFormat="1" ht="16.5" x14ac:dyDescent="0.3">
      <c r="A416" s="119"/>
      <c r="B416" s="119"/>
      <c r="C416" s="119"/>
      <c r="D416" s="119"/>
      <c r="E416" s="119"/>
      <c r="F416" s="119"/>
      <c r="G416" s="119"/>
      <c r="H416" s="119"/>
      <c r="I416" s="119"/>
      <c r="J416" s="119"/>
      <c r="K416" s="119"/>
      <c r="L416" s="119"/>
      <c r="M416" s="119"/>
      <c r="N416" s="119"/>
      <c r="O416" s="119"/>
      <c r="P416" s="119"/>
      <c r="Q416" s="119"/>
      <c r="R416" s="119"/>
      <c r="S416" s="119"/>
      <c r="T416" s="119"/>
      <c r="U416" s="119"/>
      <c r="V416" s="119"/>
    </row>
    <row r="417" spans="1:22" s="1" customFormat="1" ht="16.5" x14ac:dyDescent="0.3">
      <c r="A417" s="119"/>
      <c r="B417" s="119"/>
      <c r="C417" s="119"/>
      <c r="D417" s="119"/>
      <c r="E417" s="119"/>
      <c r="F417" s="119"/>
      <c r="G417" s="119"/>
      <c r="H417" s="119"/>
      <c r="I417" s="119"/>
      <c r="J417" s="119"/>
      <c r="K417" s="119"/>
      <c r="L417" s="119"/>
      <c r="M417" s="119"/>
      <c r="N417" s="119"/>
      <c r="O417" s="119"/>
      <c r="P417" s="119"/>
      <c r="Q417" s="119"/>
      <c r="R417" s="119"/>
      <c r="S417" s="119"/>
      <c r="T417" s="119"/>
      <c r="U417" s="119"/>
      <c r="V417" s="119"/>
    </row>
    <row r="418" spans="1:22" s="1" customFormat="1" ht="16.5" x14ac:dyDescent="0.3">
      <c r="A418" s="119"/>
      <c r="B418" s="119"/>
      <c r="C418" s="119"/>
      <c r="D418" s="119"/>
      <c r="E418" s="119"/>
      <c r="F418" s="119"/>
      <c r="G418" s="119"/>
      <c r="H418" s="119"/>
      <c r="I418" s="119"/>
      <c r="J418" s="119"/>
      <c r="K418" s="119"/>
      <c r="L418" s="119"/>
      <c r="M418" s="119"/>
      <c r="N418" s="119"/>
      <c r="O418" s="119"/>
      <c r="P418" s="119"/>
      <c r="Q418" s="119"/>
      <c r="R418" s="119"/>
      <c r="S418" s="119"/>
      <c r="T418" s="119"/>
      <c r="U418" s="119"/>
      <c r="V418" s="119"/>
    </row>
    <row r="419" spans="1:22" s="1" customFormat="1" ht="16.5" x14ac:dyDescent="0.3">
      <c r="A419" s="119"/>
      <c r="B419" s="119"/>
      <c r="C419" s="119"/>
      <c r="D419" s="119"/>
      <c r="E419" s="119"/>
      <c r="F419" s="119"/>
      <c r="G419" s="119"/>
      <c r="H419" s="119"/>
      <c r="I419" s="119"/>
      <c r="J419" s="119"/>
      <c r="K419" s="119"/>
      <c r="L419" s="119"/>
      <c r="M419" s="119"/>
      <c r="N419" s="119"/>
      <c r="O419" s="119"/>
      <c r="P419" s="119"/>
      <c r="Q419" s="119"/>
      <c r="R419" s="119"/>
      <c r="S419" s="119"/>
      <c r="T419" s="119"/>
      <c r="U419" s="119"/>
      <c r="V419" s="119"/>
    </row>
    <row r="420" spans="1:22" s="1" customFormat="1" ht="16.5" x14ac:dyDescent="0.3">
      <c r="A420" s="119"/>
      <c r="B420" s="119"/>
      <c r="C420" s="119"/>
      <c r="D420" s="119"/>
      <c r="E420" s="119"/>
      <c r="F420" s="119"/>
      <c r="G420" s="119"/>
      <c r="H420" s="119"/>
      <c r="I420" s="119"/>
      <c r="J420" s="119"/>
      <c r="K420" s="119"/>
      <c r="L420" s="119"/>
      <c r="M420" s="119"/>
      <c r="N420" s="119"/>
      <c r="O420" s="119"/>
      <c r="P420" s="119"/>
      <c r="Q420" s="119"/>
      <c r="R420" s="119"/>
      <c r="S420" s="119"/>
      <c r="T420" s="119"/>
      <c r="U420" s="119"/>
      <c r="V420" s="119"/>
    </row>
    <row r="421" spans="1:22" s="1" customFormat="1" ht="16.5" x14ac:dyDescent="0.3">
      <c r="A421" s="119"/>
      <c r="B421" s="119"/>
      <c r="C421" s="119"/>
      <c r="D421" s="119"/>
      <c r="E421" s="119"/>
      <c r="F421" s="119"/>
      <c r="G421" s="119"/>
      <c r="H421" s="119"/>
      <c r="I421" s="119"/>
      <c r="J421" s="119"/>
      <c r="K421" s="119"/>
      <c r="L421" s="119"/>
      <c r="M421" s="119"/>
      <c r="N421" s="119"/>
      <c r="O421" s="119"/>
      <c r="P421" s="119"/>
      <c r="Q421" s="119"/>
      <c r="R421" s="119"/>
      <c r="S421" s="119"/>
      <c r="T421" s="119"/>
      <c r="U421" s="119"/>
      <c r="V421" s="119"/>
    </row>
    <row r="422" spans="1:22" s="1" customFormat="1" ht="16.5" x14ac:dyDescent="0.3">
      <c r="A422" s="119"/>
      <c r="B422" s="119"/>
      <c r="C422" s="119"/>
      <c r="D422" s="119"/>
      <c r="E422" s="119"/>
      <c r="F422" s="119"/>
      <c r="G422" s="119"/>
      <c r="H422" s="119"/>
      <c r="I422" s="119"/>
      <c r="J422" s="119"/>
      <c r="K422" s="119"/>
      <c r="L422" s="119"/>
      <c r="M422" s="119"/>
      <c r="N422" s="119"/>
      <c r="O422" s="119"/>
      <c r="P422" s="119"/>
      <c r="Q422" s="119"/>
      <c r="R422" s="119"/>
      <c r="S422" s="119"/>
      <c r="T422" s="119"/>
      <c r="U422" s="119"/>
      <c r="V422" s="119"/>
    </row>
    <row r="423" spans="1:22" s="1" customFormat="1" ht="16.5" x14ac:dyDescent="0.3">
      <c r="A423" s="119"/>
      <c r="B423" s="119"/>
      <c r="C423" s="119"/>
      <c r="D423" s="119"/>
      <c r="E423" s="119"/>
      <c r="F423" s="119"/>
      <c r="G423" s="119"/>
      <c r="H423" s="119"/>
      <c r="I423" s="119"/>
      <c r="J423" s="119"/>
      <c r="K423" s="119"/>
      <c r="L423" s="119"/>
      <c r="M423" s="119"/>
      <c r="N423" s="119"/>
      <c r="O423" s="119"/>
      <c r="P423" s="119"/>
      <c r="Q423" s="119"/>
      <c r="R423" s="119"/>
      <c r="S423" s="119"/>
      <c r="T423" s="119"/>
      <c r="U423" s="119"/>
      <c r="V423" s="119"/>
    </row>
    <row r="424" spans="1:22" s="1" customFormat="1" ht="16.5" x14ac:dyDescent="0.3">
      <c r="A424" s="119"/>
      <c r="B424" s="119"/>
      <c r="C424" s="119"/>
      <c r="D424" s="119"/>
      <c r="E424" s="119"/>
      <c r="F424" s="119"/>
      <c r="G424" s="119"/>
      <c r="H424" s="119"/>
      <c r="I424" s="119"/>
      <c r="J424" s="119"/>
      <c r="K424" s="119"/>
      <c r="L424" s="119"/>
      <c r="M424" s="119"/>
      <c r="N424" s="119"/>
      <c r="O424" s="119"/>
      <c r="P424" s="119"/>
      <c r="Q424" s="119"/>
      <c r="R424" s="119"/>
      <c r="S424" s="119"/>
      <c r="T424" s="119"/>
      <c r="U424" s="119"/>
      <c r="V424" s="119"/>
    </row>
    <row r="425" spans="1:22" s="1" customFormat="1" ht="16.5" x14ac:dyDescent="0.3">
      <c r="A425" s="119"/>
      <c r="B425" s="119"/>
      <c r="C425" s="119"/>
      <c r="D425" s="119"/>
      <c r="E425" s="119"/>
      <c r="F425" s="119"/>
      <c r="G425" s="119"/>
      <c r="H425" s="119"/>
      <c r="I425" s="119"/>
      <c r="J425" s="119"/>
      <c r="K425" s="119"/>
      <c r="L425" s="119"/>
      <c r="M425" s="119"/>
      <c r="N425" s="119"/>
      <c r="O425" s="119"/>
      <c r="P425" s="119"/>
      <c r="Q425" s="119"/>
      <c r="R425" s="119"/>
      <c r="S425" s="119"/>
      <c r="T425" s="119"/>
      <c r="U425" s="119"/>
      <c r="V425" s="119"/>
    </row>
    <row r="426" spans="1:22" s="1" customFormat="1" ht="16.5" x14ac:dyDescent="0.3">
      <c r="A426" s="119"/>
      <c r="B426" s="119"/>
      <c r="C426" s="119"/>
      <c r="D426" s="119"/>
      <c r="E426" s="119"/>
      <c r="F426" s="119"/>
      <c r="G426" s="119"/>
      <c r="H426" s="119"/>
      <c r="I426" s="119"/>
      <c r="J426" s="119"/>
      <c r="K426" s="119"/>
      <c r="L426" s="119"/>
      <c r="M426" s="119"/>
      <c r="N426" s="119"/>
      <c r="O426" s="119"/>
      <c r="P426" s="119"/>
      <c r="Q426" s="119"/>
      <c r="R426" s="119"/>
      <c r="S426" s="119"/>
      <c r="T426" s="119"/>
      <c r="U426" s="119"/>
      <c r="V426" s="119"/>
    </row>
    <row r="427" spans="1:22" s="1" customFormat="1" ht="16.5" x14ac:dyDescent="0.3">
      <c r="A427" s="119"/>
      <c r="B427" s="119"/>
      <c r="C427" s="119"/>
      <c r="D427" s="119"/>
      <c r="E427" s="119"/>
      <c r="F427" s="119"/>
      <c r="G427" s="119"/>
      <c r="H427" s="119"/>
      <c r="I427" s="119"/>
      <c r="J427" s="119"/>
      <c r="K427" s="119"/>
      <c r="L427" s="119"/>
      <c r="M427" s="119"/>
      <c r="N427" s="119"/>
      <c r="O427" s="119"/>
      <c r="P427" s="119"/>
      <c r="Q427" s="119"/>
      <c r="R427" s="119"/>
      <c r="S427" s="119"/>
      <c r="T427" s="119"/>
      <c r="U427" s="119"/>
      <c r="V427" s="119"/>
    </row>
    <row r="428" spans="1:22" s="1" customFormat="1" ht="16.5" x14ac:dyDescent="0.3">
      <c r="A428" s="119"/>
      <c r="B428" s="119"/>
      <c r="C428" s="119"/>
      <c r="D428" s="119"/>
      <c r="E428" s="119"/>
      <c r="F428" s="119"/>
      <c r="G428" s="119"/>
      <c r="H428" s="119"/>
      <c r="I428" s="119"/>
      <c r="J428" s="119"/>
      <c r="K428" s="119"/>
      <c r="L428" s="119"/>
      <c r="M428" s="119"/>
      <c r="N428" s="119"/>
      <c r="O428" s="119"/>
      <c r="P428" s="119"/>
      <c r="Q428" s="119"/>
      <c r="R428" s="119"/>
      <c r="S428" s="119"/>
      <c r="T428" s="119"/>
      <c r="U428" s="119"/>
      <c r="V428" s="119"/>
    </row>
    <row r="429" spans="1:22" s="1" customFormat="1" ht="16.5" x14ac:dyDescent="0.3">
      <c r="A429" s="119"/>
      <c r="B429" s="119"/>
      <c r="C429" s="119"/>
      <c r="D429" s="119"/>
      <c r="E429" s="119"/>
      <c r="F429" s="119"/>
      <c r="G429" s="119"/>
      <c r="H429" s="119"/>
      <c r="I429" s="119"/>
      <c r="J429" s="119"/>
      <c r="K429" s="119"/>
      <c r="L429" s="119"/>
      <c r="M429" s="119"/>
      <c r="N429" s="119"/>
      <c r="O429" s="119"/>
      <c r="P429" s="119"/>
      <c r="Q429" s="119"/>
      <c r="R429" s="119"/>
      <c r="S429" s="119"/>
      <c r="T429" s="119"/>
      <c r="U429" s="119"/>
      <c r="V429" s="119"/>
    </row>
    <row r="430" spans="1:22" s="1" customFormat="1" ht="16.5" x14ac:dyDescent="0.3">
      <c r="A430" s="119"/>
      <c r="B430" s="119"/>
      <c r="C430" s="119"/>
      <c r="D430" s="119"/>
      <c r="E430" s="119"/>
      <c r="F430" s="119"/>
      <c r="G430" s="119"/>
      <c r="H430" s="119"/>
      <c r="I430" s="119"/>
      <c r="J430" s="119"/>
      <c r="K430" s="119"/>
      <c r="L430" s="119"/>
      <c r="M430" s="119"/>
      <c r="N430" s="119"/>
      <c r="O430" s="119"/>
      <c r="P430" s="119"/>
      <c r="Q430" s="119"/>
      <c r="R430" s="119"/>
      <c r="S430" s="119"/>
      <c r="T430" s="119"/>
      <c r="U430" s="119"/>
      <c r="V430" s="119"/>
    </row>
    <row r="431" spans="1:22" s="1" customFormat="1" ht="16.5" x14ac:dyDescent="0.3">
      <c r="A431" s="119"/>
      <c r="B431" s="119"/>
      <c r="C431" s="119"/>
      <c r="D431" s="119"/>
      <c r="E431" s="119"/>
      <c r="F431" s="119"/>
      <c r="G431" s="119"/>
      <c r="H431" s="119"/>
      <c r="I431" s="119"/>
      <c r="J431" s="119"/>
      <c r="K431" s="119"/>
      <c r="L431" s="119"/>
      <c r="M431" s="119"/>
      <c r="N431" s="119"/>
      <c r="O431" s="119"/>
      <c r="P431" s="119"/>
      <c r="Q431" s="119"/>
      <c r="R431" s="119"/>
      <c r="S431" s="119"/>
      <c r="T431" s="119"/>
      <c r="U431" s="119"/>
      <c r="V431" s="119"/>
    </row>
    <row r="432" spans="1:22" s="1" customFormat="1" ht="16.5" x14ac:dyDescent="0.3">
      <c r="A432" s="119"/>
      <c r="B432" s="119"/>
      <c r="C432" s="119"/>
      <c r="D432" s="119"/>
      <c r="E432" s="119"/>
      <c r="F432" s="119"/>
      <c r="G432" s="119"/>
      <c r="H432" s="119"/>
      <c r="I432" s="119"/>
      <c r="J432" s="119"/>
      <c r="K432" s="119"/>
      <c r="L432" s="119"/>
      <c r="M432" s="119"/>
      <c r="N432" s="119"/>
      <c r="O432" s="119"/>
      <c r="P432" s="119"/>
      <c r="Q432" s="119"/>
      <c r="R432" s="119"/>
      <c r="S432" s="119"/>
      <c r="T432" s="119"/>
      <c r="U432" s="119"/>
      <c r="V432" s="119"/>
    </row>
    <row r="433" spans="1:22" s="1" customFormat="1" ht="16.5" x14ac:dyDescent="0.3">
      <c r="A433" s="119"/>
      <c r="B433" s="119"/>
      <c r="C433" s="119"/>
      <c r="D433" s="119"/>
      <c r="E433" s="119"/>
      <c r="F433" s="119"/>
      <c r="G433" s="119"/>
      <c r="H433" s="119"/>
      <c r="I433" s="119"/>
      <c r="J433" s="119"/>
      <c r="K433" s="119"/>
      <c r="L433" s="119"/>
      <c r="M433" s="119"/>
      <c r="N433" s="119"/>
      <c r="O433" s="119"/>
      <c r="P433" s="119"/>
      <c r="Q433" s="119"/>
      <c r="R433" s="119"/>
      <c r="S433" s="119"/>
      <c r="T433" s="119"/>
      <c r="U433" s="119"/>
      <c r="V433" s="119"/>
    </row>
    <row r="434" spans="1:22" s="1" customFormat="1" ht="16.5" x14ac:dyDescent="0.3">
      <c r="A434" s="119"/>
      <c r="B434" s="119"/>
      <c r="C434" s="119"/>
      <c r="D434" s="119"/>
      <c r="E434" s="119"/>
      <c r="F434" s="119"/>
      <c r="G434" s="119"/>
      <c r="H434" s="119"/>
      <c r="I434" s="119"/>
      <c r="J434" s="119"/>
      <c r="K434" s="119"/>
      <c r="L434" s="119"/>
      <c r="M434" s="119"/>
      <c r="N434" s="119"/>
      <c r="O434" s="119"/>
      <c r="P434" s="119"/>
      <c r="Q434" s="119"/>
      <c r="R434" s="119"/>
      <c r="S434" s="119"/>
      <c r="T434" s="119"/>
      <c r="U434" s="119"/>
      <c r="V434" s="119"/>
    </row>
    <row r="435" spans="1:22" s="1" customFormat="1" ht="16.5" x14ac:dyDescent="0.3">
      <c r="A435" s="119"/>
      <c r="B435" s="119"/>
      <c r="C435" s="119"/>
      <c r="D435" s="119"/>
      <c r="E435" s="119"/>
      <c r="F435" s="119"/>
      <c r="G435" s="119"/>
      <c r="H435" s="119"/>
      <c r="I435" s="119"/>
      <c r="J435" s="119"/>
      <c r="K435" s="119"/>
      <c r="L435" s="119"/>
      <c r="M435" s="119"/>
      <c r="N435" s="119"/>
      <c r="O435" s="119"/>
      <c r="P435" s="119"/>
      <c r="Q435" s="119"/>
      <c r="R435" s="119"/>
      <c r="S435" s="119"/>
      <c r="T435" s="119"/>
      <c r="U435" s="119"/>
      <c r="V435" s="119"/>
    </row>
    <row r="436" spans="1:22" s="1" customFormat="1" ht="16.5" x14ac:dyDescent="0.3">
      <c r="A436" s="119"/>
      <c r="B436" s="119"/>
      <c r="C436" s="119"/>
      <c r="D436" s="119"/>
      <c r="E436" s="119"/>
      <c r="F436" s="119"/>
      <c r="G436" s="119"/>
      <c r="H436" s="119"/>
      <c r="I436" s="119"/>
      <c r="J436" s="119"/>
      <c r="K436" s="119"/>
      <c r="L436" s="119"/>
      <c r="M436" s="119"/>
      <c r="N436" s="119"/>
      <c r="O436" s="119"/>
      <c r="P436" s="119"/>
      <c r="Q436" s="119"/>
      <c r="R436" s="119"/>
      <c r="S436" s="119"/>
      <c r="T436" s="119"/>
      <c r="U436" s="119"/>
      <c r="V436" s="119"/>
    </row>
    <row r="437" spans="1:22" s="1" customFormat="1" ht="16.5" x14ac:dyDescent="0.3">
      <c r="A437" s="119"/>
      <c r="B437" s="119"/>
      <c r="C437" s="119"/>
      <c r="D437" s="119"/>
      <c r="E437" s="119"/>
      <c r="F437" s="119"/>
      <c r="G437" s="119"/>
      <c r="H437" s="119"/>
      <c r="I437" s="119"/>
      <c r="J437" s="119"/>
      <c r="K437" s="119"/>
      <c r="L437" s="119"/>
      <c r="M437" s="119"/>
      <c r="N437" s="119"/>
      <c r="O437" s="119"/>
      <c r="P437" s="119"/>
      <c r="Q437" s="119"/>
      <c r="R437" s="119"/>
      <c r="S437" s="119"/>
      <c r="T437" s="119"/>
      <c r="U437" s="119"/>
      <c r="V437" s="119"/>
    </row>
    <row r="438" spans="1:22" s="1" customFormat="1" ht="16.5" x14ac:dyDescent="0.3">
      <c r="A438" s="119"/>
      <c r="B438" s="119"/>
      <c r="C438" s="119"/>
      <c r="D438" s="119"/>
      <c r="E438" s="119"/>
      <c r="F438" s="119"/>
      <c r="G438" s="119"/>
      <c r="H438" s="119"/>
      <c r="I438" s="119"/>
      <c r="J438" s="119"/>
      <c r="K438" s="119"/>
      <c r="L438" s="119"/>
      <c r="M438" s="119"/>
      <c r="N438" s="119"/>
      <c r="O438" s="119"/>
      <c r="P438" s="119"/>
      <c r="Q438" s="119"/>
      <c r="R438" s="119"/>
      <c r="S438" s="119"/>
      <c r="T438" s="119"/>
      <c r="U438" s="119"/>
      <c r="V438" s="119"/>
    </row>
    <row r="439" spans="1:22" s="1" customFormat="1" ht="16.5" x14ac:dyDescent="0.3">
      <c r="A439" s="119"/>
      <c r="B439" s="119"/>
      <c r="C439" s="119"/>
      <c r="D439" s="119"/>
      <c r="E439" s="119"/>
      <c r="F439" s="119"/>
      <c r="G439" s="119"/>
      <c r="H439" s="119"/>
      <c r="I439" s="119"/>
      <c r="J439" s="119"/>
      <c r="K439" s="119"/>
      <c r="L439" s="119"/>
      <c r="M439" s="119"/>
      <c r="N439" s="119"/>
      <c r="O439" s="119"/>
      <c r="P439" s="119"/>
      <c r="Q439" s="119"/>
      <c r="R439" s="119"/>
      <c r="S439" s="119"/>
      <c r="T439" s="119"/>
      <c r="U439" s="119"/>
      <c r="V439" s="119"/>
    </row>
    <row r="440" spans="1:22" s="1" customFormat="1" ht="16.5" x14ac:dyDescent="0.3">
      <c r="A440" s="119"/>
      <c r="B440" s="119"/>
      <c r="C440" s="119"/>
      <c r="D440" s="119"/>
      <c r="E440" s="119"/>
      <c r="F440" s="119"/>
      <c r="G440" s="119"/>
      <c r="H440" s="119"/>
      <c r="I440" s="119"/>
      <c r="J440" s="119"/>
      <c r="K440" s="119"/>
      <c r="L440" s="119"/>
      <c r="M440" s="119"/>
      <c r="N440" s="119"/>
      <c r="O440" s="119"/>
      <c r="P440" s="119"/>
      <c r="Q440" s="119"/>
      <c r="R440" s="119"/>
      <c r="S440" s="119"/>
      <c r="T440" s="119"/>
      <c r="U440" s="119"/>
      <c r="V440" s="119"/>
    </row>
    <row r="441" spans="1:22" s="1" customFormat="1" ht="16.5" x14ac:dyDescent="0.3">
      <c r="A441" s="119"/>
      <c r="B441" s="119"/>
      <c r="C441" s="119"/>
      <c r="D441" s="119"/>
      <c r="E441" s="119"/>
      <c r="F441" s="119"/>
      <c r="G441" s="119"/>
      <c r="H441" s="119"/>
      <c r="I441" s="119"/>
      <c r="J441" s="119"/>
      <c r="K441" s="119"/>
      <c r="L441" s="119"/>
      <c r="M441" s="119"/>
      <c r="N441" s="119"/>
      <c r="O441" s="119"/>
      <c r="P441" s="119"/>
      <c r="Q441" s="119"/>
      <c r="R441" s="119"/>
      <c r="S441" s="119"/>
      <c r="T441" s="119"/>
      <c r="U441" s="119"/>
      <c r="V441" s="119"/>
    </row>
    <row r="442" spans="1:22" s="1" customFormat="1" ht="16.5" x14ac:dyDescent="0.3">
      <c r="A442" s="119"/>
      <c r="B442" s="119"/>
      <c r="C442" s="119"/>
      <c r="D442" s="119"/>
      <c r="E442" s="119"/>
      <c r="F442" s="119"/>
      <c r="G442" s="119"/>
      <c r="H442" s="119"/>
      <c r="I442" s="119"/>
      <c r="J442" s="119"/>
      <c r="K442" s="119"/>
      <c r="L442" s="119"/>
      <c r="M442" s="119"/>
      <c r="N442" s="119"/>
      <c r="O442" s="119"/>
      <c r="P442" s="119"/>
      <c r="Q442" s="119"/>
      <c r="R442" s="119"/>
      <c r="S442" s="119"/>
      <c r="T442" s="119"/>
      <c r="U442" s="119"/>
      <c r="V442" s="119"/>
    </row>
    <row r="443" spans="1:22" s="1" customFormat="1" ht="16.5" x14ac:dyDescent="0.3">
      <c r="A443" s="119"/>
      <c r="B443" s="119"/>
      <c r="C443" s="119"/>
      <c r="D443" s="119"/>
      <c r="E443" s="119"/>
      <c r="F443" s="119"/>
      <c r="G443" s="119"/>
      <c r="H443" s="119"/>
      <c r="I443" s="119"/>
      <c r="J443" s="119"/>
      <c r="K443" s="119"/>
      <c r="L443" s="119"/>
      <c r="M443" s="119"/>
      <c r="N443" s="119"/>
      <c r="O443" s="119"/>
      <c r="P443" s="119"/>
      <c r="Q443" s="119"/>
      <c r="R443" s="119"/>
      <c r="S443" s="119"/>
      <c r="T443" s="119"/>
      <c r="U443" s="119"/>
      <c r="V443" s="119"/>
    </row>
    <row r="444" spans="1:22" s="1" customFormat="1" ht="16.5" x14ac:dyDescent="0.3">
      <c r="A444" s="119"/>
      <c r="B444" s="119"/>
      <c r="C444" s="119"/>
      <c r="D444" s="119"/>
      <c r="E444" s="119"/>
      <c r="F444" s="119"/>
      <c r="G444" s="119"/>
      <c r="H444" s="119"/>
      <c r="I444" s="119"/>
      <c r="J444" s="119"/>
      <c r="K444" s="119"/>
      <c r="L444" s="119"/>
      <c r="M444" s="119"/>
      <c r="N444" s="119"/>
      <c r="O444" s="119"/>
      <c r="P444" s="119"/>
      <c r="Q444" s="119"/>
      <c r="R444" s="119"/>
      <c r="S444" s="119"/>
      <c r="T444" s="119"/>
      <c r="U444" s="119"/>
      <c r="V444" s="119"/>
    </row>
    <row r="445" spans="1:22" s="1" customFormat="1" ht="16.5" x14ac:dyDescent="0.3">
      <c r="A445" s="119"/>
      <c r="B445" s="119"/>
      <c r="C445" s="119"/>
      <c r="D445" s="119"/>
      <c r="E445" s="119"/>
      <c r="F445" s="119"/>
      <c r="G445" s="119"/>
      <c r="H445" s="119"/>
      <c r="I445" s="119"/>
      <c r="J445" s="119"/>
      <c r="K445" s="119"/>
      <c r="L445" s="119"/>
      <c r="M445" s="119"/>
      <c r="N445" s="119"/>
      <c r="O445" s="119"/>
      <c r="P445" s="119"/>
      <c r="Q445" s="119"/>
      <c r="R445" s="119"/>
      <c r="S445" s="119"/>
      <c r="T445" s="119"/>
      <c r="U445" s="119"/>
      <c r="V445" s="119"/>
    </row>
    <row r="446" spans="1:22" s="1" customFormat="1" ht="16.5" x14ac:dyDescent="0.3">
      <c r="A446" s="119"/>
      <c r="B446" s="119"/>
      <c r="C446" s="119"/>
      <c r="D446" s="119"/>
      <c r="E446" s="119"/>
      <c r="F446" s="119"/>
      <c r="G446" s="119"/>
      <c r="H446" s="119"/>
      <c r="I446" s="119"/>
      <c r="J446" s="119"/>
      <c r="K446" s="119"/>
      <c r="L446" s="119"/>
      <c r="M446" s="119"/>
      <c r="N446" s="119"/>
      <c r="O446" s="119"/>
      <c r="P446" s="119"/>
      <c r="Q446" s="119"/>
      <c r="R446" s="119"/>
      <c r="S446" s="119"/>
      <c r="T446" s="119"/>
      <c r="U446" s="119"/>
      <c r="V446" s="119"/>
    </row>
    <row r="447" spans="1:22" s="1" customFormat="1" ht="16.5" x14ac:dyDescent="0.3">
      <c r="A447" s="119"/>
      <c r="B447" s="119"/>
      <c r="C447" s="119"/>
      <c r="D447" s="119"/>
      <c r="E447" s="119"/>
      <c r="F447" s="119"/>
      <c r="G447" s="119"/>
      <c r="H447" s="119"/>
      <c r="I447" s="119"/>
      <c r="J447" s="119"/>
      <c r="K447" s="119"/>
      <c r="L447" s="119"/>
      <c r="M447" s="119"/>
      <c r="N447" s="119"/>
      <c r="O447" s="119"/>
      <c r="P447" s="119"/>
      <c r="Q447" s="119"/>
      <c r="R447" s="119"/>
      <c r="S447" s="119"/>
      <c r="T447" s="119"/>
      <c r="U447" s="119"/>
      <c r="V447" s="119"/>
    </row>
    <row r="448" spans="1:22" s="1" customFormat="1" ht="16.5" x14ac:dyDescent="0.3">
      <c r="A448" s="119"/>
      <c r="B448" s="119"/>
      <c r="C448" s="119"/>
      <c r="D448" s="119"/>
      <c r="E448" s="119"/>
      <c r="F448" s="119"/>
      <c r="G448" s="119"/>
      <c r="H448" s="119"/>
      <c r="I448" s="119"/>
      <c r="J448" s="119"/>
      <c r="K448" s="119"/>
      <c r="L448" s="119"/>
      <c r="M448" s="119"/>
      <c r="N448" s="119"/>
      <c r="O448" s="119"/>
      <c r="P448" s="119"/>
      <c r="Q448" s="119"/>
      <c r="R448" s="119"/>
      <c r="S448" s="119"/>
      <c r="T448" s="119"/>
      <c r="U448" s="119"/>
      <c r="V448" s="119"/>
    </row>
    <row r="449" spans="1:22" s="1" customFormat="1" ht="16.5" x14ac:dyDescent="0.3">
      <c r="A449" s="119"/>
      <c r="B449" s="119"/>
      <c r="C449" s="119"/>
      <c r="D449" s="119"/>
      <c r="E449" s="119"/>
      <c r="F449" s="119"/>
      <c r="G449" s="119"/>
      <c r="H449" s="119"/>
      <c r="I449" s="119"/>
      <c r="J449" s="119"/>
      <c r="K449" s="119"/>
      <c r="L449" s="119"/>
      <c r="M449" s="119"/>
      <c r="N449" s="119"/>
      <c r="O449" s="119"/>
      <c r="P449" s="119"/>
      <c r="Q449" s="119"/>
      <c r="R449" s="119"/>
      <c r="S449" s="119"/>
      <c r="T449" s="119"/>
      <c r="U449" s="119"/>
      <c r="V449" s="119"/>
    </row>
    <row r="450" spans="1:22" s="1" customFormat="1" ht="16.5" x14ac:dyDescent="0.3">
      <c r="A450" s="119"/>
      <c r="B450" s="119"/>
      <c r="C450" s="119"/>
      <c r="D450" s="119"/>
      <c r="E450" s="119"/>
      <c r="F450" s="119"/>
      <c r="G450" s="119"/>
      <c r="H450" s="119"/>
      <c r="I450" s="119"/>
      <c r="J450" s="119"/>
      <c r="K450" s="119"/>
      <c r="L450" s="119"/>
      <c r="M450" s="119"/>
      <c r="N450" s="119"/>
      <c r="O450" s="119"/>
      <c r="P450" s="119"/>
      <c r="Q450" s="119"/>
      <c r="R450" s="119"/>
      <c r="S450" s="119"/>
      <c r="T450" s="119"/>
      <c r="U450" s="119"/>
      <c r="V450" s="119"/>
    </row>
  </sheetData>
  <mergeCells count="3">
    <mergeCell ref="J1:K1"/>
    <mergeCell ref="N1:O1"/>
    <mergeCell ref="Q1:S1"/>
  </mergeCells>
  <phoneticPr fontId="2" type="noConversion"/>
  <conditionalFormatting sqref="N2">
    <cfRule type="cellIs" dxfId="3549" priority="34334" operator="greaterThan">
      <formula>0.9</formula>
    </cfRule>
    <cfRule type="cellIs" dxfId="3548" priority="34335" operator="greaterThan">
      <formula>0.85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ignoredErrors>
    <ignoredError sqref="A1:A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4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/>
  </sheetViews>
  <sheetFormatPr defaultColWidth="17.5" defaultRowHeight="13.5" x14ac:dyDescent="0.3"/>
  <cols>
    <col min="1" max="1" width="4.625" style="74" bestFit="1" customWidth="1"/>
    <col min="2" max="2" width="3.375" style="74" customWidth="1"/>
    <col min="3" max="3" width="4.625" style="74" bestFit="1" customWidth="1"/>
    <col min="4" max="9" width="29.125" style="75" customWidth="1"/>
    <col min="10" max="23" width="25" style="75" customWidth="1"/>
    <col min="24" max="48" width="17.5" style="75"/>
    <col min="49" max="16384" width="17.5" style="74"/>
  </cols>
  <sheetData>
    <row r="1" spans="1:48" x14ac:dyDescent="0.3"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</row>
    <row r="2" spans="1:48" x14ac:dyDescent="0.3"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</row>
    <row r="3" spans="1:48" x14ac:dyDescent="0.3"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</row>
    <row r="4" spans="1:48" x14ac:dyDescent="0.3">
      <c r="A4" s="127" t="s">
        <v>67</v>
      </c>
      <c r="B4" s="127"/>
      <c r="C4" s="127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127" t="s">
        <v>68</v>
      </c>
      <c r="B5" s="127"/>
      <c r="C5" s="127"/>
    </row>
    <row r="6" spans="1:48" x14ac:dyDescent="0.3">
      <c r="A6" s="127" t="s">
        <v>69</v>
      </c>
      <c r="B6" s="127"/>
      <c r="C6" s="127"/>
    </row>
    <row r="7" spans="1:48" x14ac:dyDescent="0.3">
      <c r="A7" s="76" t="s">
        <v>70</v>
      </c>
      <c r="B7" s="77"/>
      <c r="C7" s="78"/>
      <c r="D7" s="79" t="str">
        <f>D4&amp;IF(D5="","",","&amp;D5)&amp;IF(D6="","",","&amp;D6)</f>
        <v/>
      </c>
      <c r="E7" s="79" t="str">
        <f t="shared" ref="E7:W7" si="0">E4&amp;IF(E5="","",","&amp;E5)&amp;IF(E6="","",","&amp;E6)</f>
        <v/>
      </c>
      <c r="F7" s="79" t="str">
        <f t="shared" si="0"/>
        <v/>
      </c>
      <c r="G7" s="79" t="str">
        <f t="shared" si="0"/>
        <v/>
      </c>
      <c r="H7" s="79" t="str">
        <f t="shared" si="0"/>
        <v/>
      </c>
      <c r="I7" s="79" t="str">
        <f t="shared" si="0"/>
        <v/>
      </c>
      <c r="J7" s="79" t="str">
        <f t="shared" si="0"/>
        <v/>
      </c>
      <c r="K7" s="79" t="str">
        <f t="shared" si="0"/>
        <v/>
      </c>
      <c r="L7" s="79" t="str">
        <f t="shared" si="0"/>
        <v/>
      </c>
      <c r="M7" s="79" t="str">
        <f t="shared" si="0"/>
        <v/>
      </c>
      <c r="N7" s="79" t="str">
        <f t="shared" si="0"/>
        <v/>
      </c>
      <c r="O7" s="79" t="str">
        <f t="shared" si="0"/>
        <v/>
      </c>
      <c r="P7" s="79" t="str">
        <f t="shared" si="0"/>
        <v/>
      </c>
      <c r="Q7" s="79" t="str">
        <f t="shared" si="0"/>
        <v/>
      </c>
      <c r="R7" s="79" t="str">
        <f t="shared" si="0"/>
        <v/>
      </c>
      <c r="S7" s="79" t="str">
        <f t="shared" si="0"/>
        <v/>
      </c>
      <c r="T7" s="79" t="str">
        <f t="shared" si="0"/>
        <v/>
      </c>
      <c r="U7" s="79" t="str">
        <f t="shared" si="0"/>
        <v/>
      </c>
      <c r="V7" s="79" t="str">
        <f t="shared" si="0"/>
        <v/>
      </c>
      <c r="W7" s="79" t="str">
        <f t="shared" si="0"/>
        <v/>
      </c>
    </row>
    <row r="8" spans="1:48" x14ac:dyDescent="0.3">
      <c r="A8" s="89">
        <v>8</v>
      </c>
      <c r="B8" s="82" t="s">
        <v>71</v>
      </c>
      <c r="C8" s="9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</row>
    <row r="9" spans="1:48" x14ac:dyDescent="0.3">
      <c r="A9" s="97">
        <v>7</v>
      </c>
      <c r="B9" s="84" t="s">
        <v>71</v>
      </c>
      <c r="C9" s="90">
        <v>8</v>
      </c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</row>
    <row r="10" spans="1:48" x14ac:dyDescent="0.3">
      <c r="A10" s="98">
        <v>6</v>
      </c>
      <c r="B10" s="80" t="s">
        <v>71</v>
      </c>
      <c r="C10" s="94">
        <v>7</v>
      </c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</row>
    <row r="11" spans="1:48" x14ac:dyDescent="0.3">
      <c r="A11" s="98">
        <v>5</v>
      </c>
      <c r="B11" s="80" t="s">
        <v>71</v>
      </c>
      <c r="C11" s="94">
        <v>6</v>
      </c>
      <c r="D11" s="81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</row>
    <row r="12" spans="1:48" x14ac:dyDescent="0.3">
      <c r="A12" s="98">
        <v>4</v>
      </c>
      <c r="B12" s="80" t="s">
        <v>71</v>
      </c>
      <c r="C12" s="94">
        <v>5</v>
      </c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</row>
    <row r="13" spans="1:48" x14ac:dyDescent="0.3">
      <c r="A13" s="99">
        <v>3</v>
      </c>
      <c r="B13" s="85" t="s">
        <v>71</v>
      </c>
      <c r="C13" s="95">
        <v>4</v>
      </c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</row>
    <row r="14" spans="1:48" x14ac:dyDescent="0.3">
      <c r="A14" s="99">
        <v>2.5</v>
      </c>
      <c r="B14" s="85" t="s">
        <v>71</v>
      </c>
      <c r="C14" s="95">
        <v>3</v>
      </c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</row>
    <row r="15" spans="1:48" x14ac:dyDescent="0.3">
      <c r="A15" s="99">
        <v>2</v>
      </c>
      <c r="B15" s="85" t="s">
        <v>71</v>
      </c>
      <c r="C15" s="95">
        <v>2.5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</row>
    <row r="16" spans="1:48" x14ac:dyDescent="0.3">
      <c r="A16" s="100">
        <v>1.5</v>
      </c>
      <c r="B16" s="87" t="s">
        <v>71</v>
      </c>
      <c r="C16" s="96">
        <v>2</v>
      </c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</row>
    <row r="17" spans="1:23" x14ac:dyDescent="0.3">
      <c r="A17" s="100">
        <v>1</v>
      </c>
      <c r="B17" s="87" t="s">
        <v>71</v>
      </c>
      <c r="C17" s="96">
        <v>1.5</v>
      </c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</row>
    <row r="20" spans="1:23" x14ac:dyDescent="0.3">
      <c r="A20" s="76" t="s">
        <v>49</v>
      </c>
      <c r="B20" s="77"/>
      <c r="C20" s="78"/>
      <c r="D20" s="79" t="str">
        <f>D7</f>
        <v/>
      </c>
      <c r="E20" s="79" t="str">
        <f t="shared" ref="E20:W20" si="1">E7</f>
        <v/>
      </c>
      <c r="F20" s="79" t="str">
        <f t="shared" si="1"/>
        <v/>
      </c>
      <c r="G20" s="79" t="str">
        <f t="shared" si="1"/>
        <v/>
      </c>
      <c r="H20" s="79" t="str">
        <f t="shared" si="1"/>
        <v/>
      </c>
      <c r="I20" s="79" t="str">
        <f t="shared" si="1"/>
        <v/>
      </c>
      <c r="J20" s="79" t="str">
        <f t="shared" si="1"/>
        <v/>
      </c>
      <c r="K20" s="79" t="str">
        <f t="shared" si="1"/>
        <v/>
      </c>
      <c r="L20" s="79" t="str">
        <f t="shared" si="1"/>
        <v/>
      </c>
      <c r="M20" s="79" t="str">
        <f t="shared" si="1"/>
        <v/>
      </c>
      <c r="N20" s="79" t="str">
        <f t="shared" si="1"/>
        <v/>
      </c>
      <c r="O20" s="79" t="str">
        <f t="shared" si="1"/>
        <v/>
      </c>
      <c r="P20" s="79" t="str">
        <f t="shared" si="1"/>
        <v/>
      </c>
      <c r="Q20" s="79" t="str">
        <f t="shared" si="1"/>
        <v/>
      </c>
      <c r="R20" s="79" t="str">
        <f t="shared" si="1"/>
        <v/>
      </c>
      <c r="S20" s="79" t="str">
        <f t="shared" si="1"/>
        <v/>
      </c>
      <c r="T20" s="79" t="str">
        <f t="shared" si="1"/>
        <v/>
      </c>
      <c r="U20" s="79" t="str">
        <f t="shared" si="1"/>
        <v/>
      </c>
      <c r="V20" s="79" t="str">
        <f t="shared" si="1"/>
        <v/>
      </c>
      <c r="W20" s="79" t="str">
        <f t="shared" si="1"/>
        <v/>
      </c>
    </row>
    <row r="21" spans="1:23" x14ac:dyDescent="0.3">
      <c r="A21" s="89">
        <f>IF(A8="","",A8)</f>
        <v>8</v>
      </c>
      <c r="B21" s="82" t="str">
        <f>IF(B8="","",B8)</f>
        <v>~</v>
      </c>
      <c r="C21" s="93" t="str">
        <f>IF(C8="","",C8)</f>
        <v/>
      </c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</row>
    <row r="22" spans="1:23" x14ac:dyDescent="0.3">
      <c r="A22" s="97">
        <f t="shared" ref="A22:C30" si="2">IF(A9="","",A9)</f>
        <v>7</v>
      </c>
      <c r="B22" s="84" t="str">
        <f t="shared" si="2"/>
        <v>~</v>
      </c>
      <c r="C22" s="90">
        <f t="shared" si="2"/>
        <v>8</v>
      </c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3"/>
    </row>
    <row r="23" spans="1:23" x14ac:dyDescent="0.3">
      <c r="A23" s="98">
        <f t="shared" si="2"/>
        <v>6</v>
      </c>
      <c r="B23" s="80" t="str">
        <f t="shared" si="2"/>
        <v>~</v>
      </c>
      <c r="C23" s="94">
        <f t="shared" si="2"/>
        <v>7</v>
      </c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</row>
    <row r="24" spans="1:23" x14ac:dyDescent="0.3">
      <c r="A24" s="98">
        <f t="shared" si="2"/>
        <v>5</v>
      </c>
      <c r="B24" s="80" t="str">
        <f t="shared" si="2"/>
        <v>~</v>
      </c>
      <c r="C24" s="94">
        <f t="shared" si="2"/>
        <v>6</v>
      </c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</row>
    <row r="25" spans="1:23" x14ac:dyDescent="0.3">
      <c r="A25" s="98">
        <f t="shared" si="2"/>
        <v>4</v>
      </c>
      <c r="B25" s="80" t="str">
        <f t="shared" si="2"/>
        <v>~</v>
      </c>
      <c r="C25" s="94">
        <f t="shared" si="2"/>
        <v>5</v>
      </c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1"/>
    </row>
    <row r="26" spans="1:23" x14ac:dyDescent="0.3">
      <c r="A26" s="99">
        <f t="shared" si="2"/>
        <v>3</v>
      </c>
      <c r="B26" s="85" t="str">
        <f t="shared" si="2"/>
        <v>~</v>
      </c>
      <c r="C26" s="95">
        <f t="shared" si="2"/>
        <v>4</v>
      </c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</row>
    <row r="27" spans="1:23" x14ac:dyDescent="0.3">
      <c r="A27" s="99">
        <f t="shared" si="2"/>
        <v>2.5</v>
      </c>
      <c r="B27" s="85" t="str">
        <f t="shared" si="2"/>
        <v>~</v>
      </c>
      <c r="C27" s="95">
        <f t="shared" si="2"/>
        <v>3</v>
      </c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</row>
    <row r="28" spans="1:23" x14ac:dyDescent="0.3">
      <c r="A28" s="99">
        <f t="shared" si="2"/>
        <v>2</v>
      </c>
      <c r="B28" s="85" t="str">
        <f t="shared" si="2"/>
        <v>~</v>
      </c>
      <c r="C28" s="95">
        <f t="shared" si="2"/>
        <v>2.5</v>
      </c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</row>
    <row r="29" spans="1:23" x14ac:dyDescent="0.3">
      <c r="A29" s="100">
        <f t="shared" si="2"/>
        <v>1.5</v>
      </c>
      <c r="B29" s="87" t="str">
        <f t="shared" si="2"/>
        <v>~</v>
      </c>
      <c r="C29" s="96">
        <f t="shared" si="2"/>
        <v>2</v>
      </c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</row>
    <row r="30" spans="1:23" x14ac:dyDescent="0.3">
      <c r="A30" s="100">
        <f t="shared" si="2"/>
        <v>1</v>
      </c>
      <c r="B30" s="87" t="str">
        <f t="shared" si="2"/>
        <v>~</v>
      </c>
      <c r="C30" s="96">
        <f t="shared" si="2"/>
        <v>1.5</v>
      </c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</row>
    <row r="33" spans="1:23" x14ac:dyDescent="0.3">
      <c r="A33" s="76" t="s">
        <v>72</v>
      </c>
      <c r="B33" s="77"/>
      <c r="C33" s="78"/>
      <c r="D33" s="79" t="str">
        <f>D20</f>
        <v/>
      </c>
      <c r="E33" s="79" t="str">
        <f t="shared" ref="E33:W33" si="3">E20</f>
        <v/>
      </c>
      <c r="F33" s="79" t="str">
        <f t="shared" si="3"/>
        <v/>
      </c>
      <c r="G33" s="79" t="str">
        <f t="shared" si="3"/>
        <v/>
      </c>
      <c r="H33" s="79" t="str">
        <f t="shared" si="3"/>
        <v/>
      </c>
      <c r="I33" s="79" t="str">
        <f t="shared" si="3"/>
        <v/>
      </c>
      <c r="J33" s="79" t="str">
        <f t="shared" si="3"/>
        <v/>
      </c>
      <c r="K33" s="79" t="str">
        <f t="shared" si="3"/>
        <v/>
      </c>
      <c r="L33" s="79" t="str">
        <f t="shared" si="3"/>
        <v/>
      </c>
      <c r="M33" s="79" t="str">
        <f t="shared" si="3"/>
        <v/>
      </c>
      <c r="N33" s="79" t="str">
        <f t="shared" si="3"/>
        <v/>
      </c>
      <c r="O33" s="79" t="str">
        <f t="shared" si="3"/>
        <v/>
      </c>
      <c r="P33" s="79" t="str">
        <f t="shared" si="3"/>
        <v/>
      </c>
      <c r="Q33" s="79" t="str">
        <f t="shared" si="3"/>
        <v/>
      </c>
      <c r="R33" s="79" t="str">
        <f t="shared" si="3"/>
        <v/>
      </c>
      <c r="S33" s="79" t="str">
        <f t="shared" si="3"/>
        <v/>
      </c>
      <c r="T33" s="79" t="str">
        <f t="shared" si="3"/>
        <v/>
      </c>
      <c r="U33" s="79" t="str">
        <f t="shared" si="3"/>
        <v/>
      </c>
      <c r="V33" s="79" t="str">
        <f t="shared" si="3"/>
        <v/>
      </c>
      <c r="W33" s="79" t="str">
        <f t="shared" si="3"/>
        <v/>
      </c>
    </row>
    <row r="34" spans="1:23" x14ac:dyDescent="0.3">
      <c r="A34" s="89">
        <f>IF(A21="","",A21)</f>
        <v>8</v>
      </c>
      <c r="B34" s="82" t="str">
        <f>IF(B21="","",B21)</f>
        <v>~</v>
      </c>
      <c r="C34" s="93" t="str">
        <f>IF(C21="","",C21)</f>
        <v/>
      </c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</row>
    <row r="35" spans="1:23" x14ac:dyDescent="0.3">
      <c r="A35" s="97">
        <f t="shared" ref="A35:C43" si="4">IF(A22="","",A22)</f>
        <v>7</v>
      </c>
      <c r="B35" s="84" t="str">
        <f t="shared" si="4"/>
        <v>~</v>
      </c>
      <c r="C35" s="90">
        <f t="shared" si="4"/>
        <v>8</v>
      </c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3"/>
    </row>
    <row r="36" spans="1:23" x14ac:dyDescent="0.3">
      <c r="A36" s="98">
        <f t="shared" si="4"/>
        <v>6</v>
      </c>
      <c r="B36" s="80" t="str">
        <f t="shared" si="4"/>
        <v>~</v>
      </c>
      <c r="C36" s="94">
        <f t="shared" si="4"/>
        <v>7</v>
      </c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</row>
    <row r="37" spans="1:23" x14ac:dyDescent="0.3">
      <c r="A37" s="98">
        <f t="shared" si="4"/>
        <v>5</v>
      </c>
      <c r="B37" s="80" t="str">
        <f t="shared" si="4"/>
        <v>~</v>
      </c>
      <c r="C37" s="94">
        <f t="shared" si="4"/>
        <v>6</v>
      </c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</row>
    <row r="38" spans="1:23" x14ac:dyDescent="0.3">
      <c r="A38" s="98">
        <f t="shared" si="4"/>
        <v>4</v>
      </c>
      <c r="B38" s="80" t="str">
        <f t="shared" si="4"/>
        <v>~</v>
      </c>
      <c r="C38" s="94">
        <f t="shared" si="4"/>
        <v>5</v>
      </c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</row>
    <row r="39" spans="1:23" x14ac:dyDescent="0.3">
      <c r="A39" s="99">
        <f t="shared" si="4"/>
        <v>3</v>
      </c>
      <c r="B39" s="85" t="str">
        <f t="shared" si="4"/>
        <v>~</v>
      </c>
      <c r="C39" s="95">
        <f t="shared" si="4"/>
        <v>4</v>
      </c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</row>
    <row r="40" spans="1:23" x14ac:dyDescent="0.3">
      <c r="A40" s="99">
        <f t="shared" si="4"/>
        <v>2.5</v>
      </c>
      <c r="B40" s="85" t="str">
        <f t="shared" si="4"/>
        <v>~</v>
      </c>
      <c r="C40" s="95">
        <f t="shared" si="4"/>
        <v>3</v>
      </c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</row>
    <row r="41" spans="1:23" x14ac:dyDescent="0.3">
      <c r="A41" s="99">
        <f t="shared" si="4"/>
        <v>2</v>
      </c>
      <c r="B41" s="85" t="str">
        <f t="shared" si="4"/>
        <v>~</v>
      </c>
      <c r="C41" s="95">
        <f t="shared" si="4"/>
        <v>2.5</v>
      </c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6"/>
      <c r="W41" s="86"/>
    </row>
    <row r="42" spans="1:23" x14ac:dyDescent="0.3">
      <c r="A42" s="100">
        <f t="shared" si="4"/>
        <v>1.5</v>
      </c>
      <c r="B42" s="87" t="str">
        <f t="shared" si="4"/>
        <v>~</v>
      </c>
      <c r="C42" s="96">
        <f t="shared" si="4"/>
        <v>2</v>
      </c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</row>
    <row r="43" spans="1:23" x14ac:dyDescent="0.3">
      <c r="A43" s="100">
        <f t="shared" si="4"/>
        <v>1</v>
      </c>
      <c r="B43" s="87" t="str">
        <f t="shared" si="4"/>
        <v>~</v>
      </c>
      <c r="C43" s="96">
        <f t="shared" si="4"/>
        <v>1.5</v>
      </c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</row>
    <row r="46" spans="1:23" x14ac:dyDescent="0.3">
      <c r="A46" s="76" t="s">
        <v>73</v>
      </c>
      <c r="B46" s="77"/>
      <c r="C46" s="78"/>
      <c r="D46" s="79" t="str">
        <f>D33</f>
        <v/>
      </c>
      <c r="E46" s="79" t="str">
        <f t="shared" ref="E46:W46" si="5">E33</f>
        <v/>
      </c>
      <c r="F46" s="79" t="str">
        <f t="shared" si="5"/>
        <v/>
      </c>
      <c r="G46" s="79" t="str">
        <f t="shared" si="5"/>
        <v/>
      </c>
      <c r="H46" s="79" t="str">
        <f t="shared" si="5"/>
        <v/>
      </c>
      <c r="I46" s="79" t="str">
        <f t="shared" si="5"/>
        <v/>
      </c>
      <c r="J46" s="79" t="str">
        <f t="shared" si="5"/>
        <v/>
      </c>
      <c r="K46" s="79" t="str">
        <f t="shared" si="5"/>
        <v/>
      </c>
      <c r="L46" s="79" t="str">
        <f t="shared" si="5"/>
        <v/>
      </c>
      <c r="M46" s="79" t="str">
        <f t="shared" si="5"/>
        <v/>
      </c>
      <c r="N46" s="79" t="str">
        <f t="shared" si="5"/>
        <v/>
      </c>
      <c r="O46" s="79" t="str">
        <f t="shared" si="5"/>
        <v/>
      </c>
      <c r="P46" s="79" t="str">
        <f t="shared" si="5"/>
        <v/>
      </c>
      <c r="Q46" s="79" t="str">
        <f t="shared" si="5"/>
        <v/>
      </c>
      <c r="R46" s="79" t="str">
        <f t="shared" si="5"/>
        <v/>
      </c>
      <c r="S46" s="79" t="str">
        <f t="shared" si="5"/>
        <v/>
      </c>
      <c r="T46" s="79" t="str">
        <f t="shared" si="5"/>
        <v/>
      </c>
      <c r="U46" s="79" t="str">
        <f t="shared" si="5"/>
        <v/>
      </c>
      <c r="V46" s="79" t="str">
        <f t="shared" si="5"/>
        <v/>
      </c>
      <c r="W46" s="79" t="str">
        <f t="shared" si="5"/>
        <v/>
      </c>
    </row>
    <row r="47" spans="1:23" x14ac:dyDescent="0.3">
      <c r="A47" s="89">
        <f>IF(A34="","",A34)</f>
        <v>8</v>
      </c>
      <c r="B47" s="82" t="str">
        <f>IF(B34="","",B34)</f>
        <v>~</v>
      </c>
      <c r="C47" s="93" t="str">
        <f>IF(C34="","",C34)</f>
        <v/>
      </c>
      <c r="D47" s="83"/>
      <c r="E47" s="83"/>
      <c r="F47" s="83"/>
      <c r="G47" s="83"/>
      <c r="H47" s="83"/>
      <c r="I47" s="83"/>
      <c r="J47" s="83"/>
      <c r="K47" s="83"/>
      <c r="L47" s="83"/>
      <c r="M47" s="83"/>
      <c r="N47" s="83"/>
      <c r="O47" s="83"/>
      <c r="P47" s="83"/>
      <c r="Q47" s="83"/>
      <c r="R47" s="83"/>
      <c r="S47" s="83"/>
      <c r="T47" s="83"/>
      <c r="U47" s="83"/>
      <c r="V47" s="83"/>
      <c r="W47" s="83"/>
    </row>
    <row r="48" spans="1:23" x14ac:dyDescent="0.3">
      <c r="A48" s="97">
        <f t="shared" ref="A48:C56" si="6">IF(A35="","",A35)</f>
        <v>7</v>
      </c>
      <c r="B48" s="84" t="str">
        <f t="shared" si="6"/>
        <v>~</v>
      </c>
      <c r="C48" s="90">
        <f t="shared" si="6"/>
        <v>8</v>
      </c>
      <c r="D48" s="83"/>
      <c r="E48" s="83"/>
      <c r="F48" s="83"/>
      <c r="G48" s="83"/>
      <c r="H48" s="83"/>
      <c r="I48" s="83"/>
      <c r="J48" s="83"/>
      <c r="K48" s="83"/>
      <c r="L48" s="83"/>
      <c r="M48" s="83"/>
      <c r="N48" s="83"/>
      <c r="O48" s="83"/>
      <c r="P48" s="83"/>
      <c r="Q48" s="83"/>
      <c r="R48" s="83"/>
      <c r="S48" s="83"/>
      <c r="T48" s="83"/>
      <c r="U48" s="83"/>
      <c r="V48" s="83"/>
      <c r="W48" s="83"/>
    </row>
    <row r="49" spans="1:23" x14ac:dyDescent="0.3">
      <c r="A49" s="98">
        <f t="shared" si="6"/>
        <v>6</v>
      </c>
      <c r="B49" s="80" t="str">
        <f t="shared" si="6"/>
        <v>~</v>
      </c>
      <c r="C49" s="94">
        <f t="shared" si="6"/>
        <v>7</v>
      </c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</row>
    <row r="50" spans="1:23" x14ac:dyDescent="0.3">
      <c r="A50" s="98">
        <f t="shared" si="6"/>
        <v>5</v>
      </c>
      <c r="B50" s="80" t="str">
        <f t="shared" si="6"/>
        <v>~</v>
      </c>
      <c r="C50" s="94">
        <f t="shared" si="6"/>
        <v>6</v>
      </c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1"/>
      <c r="W50" s="81"/>
    </row>
    <row r="51" spans="1:23" x14ac:dyDescent="0.3">
      <c r="A51" s="98">
        <f t="shared" si="6"/>
        <v>4</v>
      </c>
      <c r="B51" s="80" t="str">
        <f t="shared" si="6"/>
        <v>~</v>
      </c>
      <c r="C51" s="94">
        <f t="shared" si="6"/>
        <v>5</v>
      </c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  <c r="W51" s="81"/>
    </row>
    <row r="52" spans="1:23" x14ac:dyDescent="0.3">
      <c r="A52" s="99">
        <f t="shared" si="6"/>
        <v>3</v>
      </c>
      <c r="B52" s="85" t="str">
        <f t="shared" si="6"/>
        <v>~</v>
      </c>
      <c r="C52" s="95">
        <f t="shared" si="6"/>
        <v>4</v>
      </c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6"/>
      <c r="W52" s="86"/>
    </row>
    <row r="53" spans="1:23" x14ac:dyDescent="0.3">
      <c r="A53" s="99">
        <f t="shared" si="6"/>
        <v>2.5</v>
      </c>
      <c r="B53" s="85" t="str">
        <f t="shared" si="6"/>
        <v>~</v>
      </c>
      <c r="C53" s="95">
        <f t="shared" si="6"/>
        <v>3</v>
      </c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6"/>
      <c r="R53" s="86"/>
      <c r="S53" s="86"/>
      <c r="T53" s="86"/>
      <c r="U53" s="86"/>
      <c r="V53" s="86"/>
      <c r="W53" s="86"/>
    </row>
    <row r="54" spans="1:23" x14ac:dyDescent="0.3">
      <c r="A54" s="99">
        <f t="shared" si="6"/>
        <v>2</v>
      </c>
      <c r="B54" s="85" t="str">
        <f t="shared" si="6"/>
        <v>~</v>
      </c>
      <c r="C54" s="95">
        <f t="shared" si="6"/>
        <v>2.5</v>
      </c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</row>
    <row r="55" spans="1:23" x14ac:dyDescent="0.3">
      <c r="A55" s="100">
        <f t="shared" si="6"/>
        <v>1.5</v>
      </c>
      <c r="B55" s="87" t="str">
        <f t="shared" si="6"/>
        <v>~</v>
      </c>
      <c r="C55" s="96">
        <f t="shared" si="6"/>
        <v>2</v>
      </c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</row>
    <row r="56" spans="1:23" x14ac:dyDescent="0.3">
      <c r="A56" s="100">
        <f t="shared" si="6"/>
        <v>1</v>
      </c>
      <c r="B56" s="87" t="str">
        <f t="shared" si="6"/>
        <v>~</v>
      </c>
      <c r="C56" s="96">
        <f t="shared" si="6"/>
        <v>1.5</v>
      </c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</row>
    <row r="59" spans="1:23" x14ac:dyDescent="0.3">
      <c r="A59" s="76" t="s">
        <v>47</v>
      </c>
      <c r="B59" s="77"/>
      <c r="C59" s="78"/>
      <c r="D59" s="79" t="str">
        <f>D46</f>
        <v/>
      </c>
      <c r="E59" s="79" t="str">
        <f t="shared" ref="E59:W59" si="7">E46</f>
        <v/>
      </c>
      <c r="F59" s="79" t="str">
        <f t="shared" si="7"/>
        <v/>
      </c>
      <c r="G59" s="79" t="str">
        <f t="shared" si="7"/>
        <v/>
      </c>
      <c r="H59" s="79" t="str">
        <f t="shared" si="7"/>
        <v/>
      </c>
      <c r="I59" s="79" t="str">
        <f t="shared" si="7"/>
        <v/>
      </c>
      <c r="J59" s="79" t="str">
        <f t="shared" si="7"/>
        <v/>
      </c>
      <c r="K59" s="79" t="str">
        <f t="shared" si="7"/>
        <v/>
      </c>
      <c r="L59" s="79" t="str">
        <f t="shared" si="7"/>
        <v/>
      </c>
      <c r="M59" s="79" t="str">
        <f t="shared" si="7"/>
        <v/>
      </c>
      <c r="N59" s="79" t="str">
        <f t="shared" si="7"/>
        <v/>
      </c>
      <c r="O59" s="79" t="str">
        <f t="shared" si="7"/>
        <v/>
      </c>
      <c r="P59" s="79" t="str">
        <f t="shared" si="7"/>
        <v/>
      </c>
      <c r="Q59" s="79" t="str">
        <f t="shared" si="7"/>
        <v/>
      </c>
      <c r="R59" s="79" t="str">
        <f t="shared" si="7"/>
        <v/>
      </c>
      <c r="S59" s="79" t="str">
        <f t="shared" si="7"/>
        <v/>
      </c>
      <c r="T59" s="79" t="str">
        <f t="shared" si="7"/>
        <v/>
      </c>
      <c r="U59" s="79" t="str">
        <f t="shared" si="7"/>
        <v/>
      </c>
      <c r="V59" s="79" t="str">
        <f t="shared" si="7"/>
        <v/>
      </c>
      <c r="W59" s="79" t="str">
        <f t="shared" si="7"/>
        <v/>
      </c>
    </row>
    <row r="60" spans="1:23" x14ac:dyDescent="0.3">
      <c r="A60" s="89">
        <f>IF(A47="","",A47)</f>
        <v>8</v>
      </c>
      <c r="B60" s="82" t="str">
        <f>IF(B47="","",B47)</f>
        <v>~</v>
      </c>
      <c r="C60" s="93" t="str">
        <f>IF(C47="","",C47)</f>
        <v/>
      </c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</row>
    <row r="61" spans="1:23" x14ac:dyDescent="0.3">
      <c r="A61" s="97">
        <f t="shared" ref="A61:C69" si="8">IF(A48="","",A48)</f>
        <v>7</v>
      </c>
      <c r="B61" s="84" t="str">
        <f t="shared" si="8"/>
        <v>~</v>
      </c>
      <c r="C61" s="90">
        <f t="shared" si="8"/>
        <v>8</v>
      </c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</row>
    <row r="62" spans="1:23" x14ac:dyDescent="0.3">
      <c r="A62" s="98">
        <f t="shared" si="8"/>
        <v>6</v>
      </c>
      <c r="B62" s="80" t="str">
        <f t="shared" si="8"/>
        <v>~</v>
      </c>
      <c r="C62" s="94">
        <f t="shared" si="8"/>
        <v>7</v>
      </c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</row>
    <row r="63" spans="1:23" x14ac:dyDescent="0.3">
      <c r="A63" s="98">
        <f t="shared" si="8"/>
        <v>5</v>
      </c>
      <c r="B63" s="80" t="str">
        <f t="shared" si="8"/>
        <v>~</v>
      </c>
      <c r="C63" s="94">
        <f t="shared" si="8"/>
        <v>6</v>
      </c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</row>
    <row r="64" spans="1:23" x14ac:dyDescent="0.3">
      <c r="A64" s="98">
        <f t="shared" si="8"/>
        <v>4</v>
      </c>
      <c r="B64" s="80" t="str">
        <f t="shared" si="8"/>
        <v>~</v>
      </c>
      <c r="C64" s="94">
        <f t="shared" si="8"/>
        <v>5</v>
      </c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</row>
    <row r="65" spans="1:23" x14ac:dyDescent="0.3">
      <c r="A65" s="99">
        <f t="shared" si="8"/>
        <v>3</v>
      </c>
      <c r="B65" s="85" t="str">
        <f t="shared" si="8"/>
        <v>~</v>
      </c>
      <c r="C65" s="95">
        <f t="shared" si="8"/>
        <v>4</v>
      </c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86"/>
      <c r="W65" s="86"/>
    </row>
    <row r="66" spans="1:23" x14ac:dyDescent="0.3">
      <c r="A66" s="99">
        <f t="shared" si="8"/>
        <v>2.5</v>
      </c>
      <c r="B66" s="85" t="str">
        <f t="shared" si="8"/>
        <v>~</v>
      </c>
      <c r="C66" s="95">
        <f t="shared" si="8"/>
        <v>3</v>
      </c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</row>
    <row r="67" spans="1:23" x14ac:dyDescent="0.3">
      <c r="A67" s="99">
        <f t="shared" si="8"/>
        <v>2</v>
      </c>
      <c r="B67" s="85" t="str">
        <f t="shared" si="8"/>
        <v>~</v>
      </c>
      <c r="C67" s="95">
        <f t="shared" si="8"/>
        <v>2.5</v>
      </c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</row>
    <row r="68" spans="1:23" x14ac:dyDescent="0.3">
      <c r="A68" s="100">
        <f t="shared" si="8"/>
        <v>1.5</v>
      </c>
      <c r="B68" s="87" t="str">
        <f t="shared" si="8"/>
        <v>~</v>
      </c>
      <c r="C68" s="96">
        <f t="shared" si="8"/>
        <v>2</v>
      </c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</row>
    <row r="69" spans="1:23" x14ac:dyDescent="0.3">
      <c r="A69" s="100">
        <f t="shared" si="8"/>
        <v>1</v>
      </c>
      <c r="B69" s="87" t="str">
        <f t="shared" si="8"/>
        <v>~</v>
      </c>
      <c r="C69" s="96">
        <f t="shared" si="8"/>
        <v>1.5</v>
      </c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4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111" t="s">
        <v>88</v>
      </c>
      <c r="B1" s="112"/>
    </row>
    <row r="2" spans="1:2" x14ac:dyDescent="0.3">
      <c r="A2" t="s">
        <v>89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4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5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734"/>
  <sheetViews>
    <sheetView zoomScaleNormal="100" workbookViewId="0">
      <selection activeCell="L11" sqref="L11"/>
    </sheetView>
  </sheetViews>
  <sheetFormatPr defaultRowHeight="16.5" x14ac:dyDescent="0.3"/>
  <sheetData>
    <row r="1" spans="1:38" x14ac:dyDescent="0.3">
      <c r="A1" t="s">
        <v>90</v>
      </c>
      <c r="B1">
        <v>101541</v>
      </c>
      <c r="C1">
        <v>1</v>
      </c>
      <c r="D1" t="s">
        <v>91</v>
      </c>
      <c r="E1" t="s">
        <v>92</v>
      </c>
      <c r="F1">
        <v>18</v>
      </c>
      <c r="G1">
        <v>18.39</v>
      </c>
      <c r="H1">
        <v>60.82</v>
      </c>
      <c r="I1">
        <v>16.48</v>
      </c>
      <c r="J1">
        <v>54.5</v>
      </c>
      <c r="K1">
        <v>1</v>
      </c>
      <c r="T1">
        <v>2</v>
      </c>
      <c r="U1">
        <v>1</v>
      </c>
      <c r="V1" t="s">
        <v>93</v>
      </c>
      <c r="W1">
        <v>60</v>
      </c>
      <c r="X1">
        <v>10</v>
      </c>
      <c r="Y1">
        <v>10</v>
      </c>
      <c r="Z1" t="s">
        <v>94</v>
      </c>
      <c r="AA1" t="s">
        <v>95</v>
      </c>
      <c r="AB1" t="s">
        <v>96</v>
      </c>
      <c r="AC1" t="s">
        <v>97</v>
      </c>
      <c r="AD1" t="s">
        <v>98</v>
      </c>
      <c r="AE1" t="s">
        <v>99</v>
      </c>
      <c r="AG1" t="s">
        <v>100</v>
      </c>
      <c r="AH1">
        <v>0</v>
      </c>
      <c r="AI1">
        <v>229</v>
      </c>
      <c r="AJ1">
        <v>31</v>
      </c>
      <c r="AK1">
        <v>18</v>
      </c>
      <c r="AL1">
        <v>1</v>
      </c>
    </row>
    <row r="2" spans="1:38" x14ac:dyDescent="0.3">
      <c r="A2" t="s">
        <v>90</v>
      </c>
      <c r="B2">
        <v>101541</v>
      </c>
      <c r="C2">
        <v>2</v>
      </c>
      <c r="D2" t="s">
        <v>91</v>
      </c>
      <c r="E2" t="s">
        <v>92</v>
      </c>
      <c r="F2">
        <v>18</v>
      </c>
      <c r="G2">
        <v>24.95</v>
      </c>
      <c r="H2">
        <v>82.5</v>
      </c>
      <c r="I2">
        <v>22.36</v>
      </c>
      <c r="J2">
        <v>73.930000000000007</v>
      </c>
      <c r="K2">
        <v>14</v>
      </c>
      <c r="T2">
        <v>3</v>
      </c>
      <c r="U2">
        <v>2</v>
      </c>
      <c r="V2" t="s">
        <v>93</v>
      </c>
      <c r="W2">
        <v>82</v>
      </c>
      <c r="X2">
        <v>10</v>
      </c>
      <c r="Y2">
        <v>10</v>
      </c>
      <c r="Z2" t="s">
        <v>94</v>
      </c>
      <c r="AA2" t="s">
        <v>95</v>
      </c>
      <c r="AB2" t="s">
        <v>96</v>
      </c>
      <c r="AC2" t="s">
        <v>97</v>
      </c>
      <c r="AD2" t="s">
        <v>98</v>
      </c>
      <c r="AE2" t="s">
        <v>99</v>
      </c>
      <c r="AG2" t="s">
        <v>100</v>
      </c>
      <c r="AH2">
        <v>0</v>
      </c>
      <c r="AI2">
        <v>229</v>
      </c>
      <c r="AJ2">
        <v>31</v>
      </c>
      <c r="AK2">
        <v>18</v>
      </c>
      <c r="AL2">
        <v>1</v>
      </c>
    </row>
    <row r="3" spans="1:38" x14ac:dyDescent="0.3">
      <c r="A3" t="s">
        <v>90</v>
      </c>
      <c r="B3">
        <v>101541</v>
      </c>
      <c r="C3">
        <v>3</v>
      </c>
      <c r="D3" t="s">
        <v>91</v>
      </c>
      <c r="E3" t="s">
        <v>92</v>
      </c>
      <c r="F3">
        <v>18</v>
      </c>
      <c r="G3">
        <v>25.21</v>
      </c>
      <c r="H3">
        <v>83.37</v>
      </c>
      <c r="I3">
        <v>22.59</v>
      </c>
      <c r="J3">
        <v>74.709999999999994</v>
      </c>
      <c r="K3">
        <v>2</v>
      </c>
      <c r="T3">
        <v>3</v>
      </c>
      <c r="U3">
        <v>2</v>
      </c>
      <c r="V3" t="s">
        <v>93</v>
      </c>
      <c r="W3">
        <v>83</v>
      </c>
      <c r="X3">
        <v>10</v>
      </c>
      <c r="Y3">
        <v>10</v>
      </c>
      <c r="Z3" t="s">
        <v>94</v>
      </c>
      <c r="AA3" t="s">
        <v>95</v>
      </c>
      <c r="AB3" t="s">
        <v>96</v>
      </c>
      <c r="AC3" t="s">
        <v>97</v>
      </c>
      <c r="AD3" t="s">
        <v>98</v>
      </c>
      <c r="AE3" t="s">
        <v>99</v>
      </c>
      <c r="AG3" t="s">
        <v>100</v>
      </c>
      <c r="AH3">
        <v>0</v>
      </c>
      <c r="AI3">
        <v>229</v>
      </c>
      <c r="AJ3">
        <v>31</v>
      </c>
      <c r="AK3">
        <v>18</v>
      </c>
      <c r="AL3">
        <v>1</v>
      </c>
    </row>
    <row r="4" spans="1:38" x14ac:dyDescent="0.3">
      <c r="A4" t="s">
        <v>90</v>
      </c>
      <c r="B4">
        <v>101541</v>
      </c>
      <c r="C4">
        <v>4</v>
      </c>
      <c r="D4" t="s">
        <v>91</v>
      </c>
      <c r="E4" t="s">
        <v>92</v>
      </c>
      <c r="F4">
        <v>18</v>
      </c>
      <c r="G4">
        <v>26.49</v>
      </c>
      <c r="H4">
        <v>87.59</v>
      </c>
      <c r="I4">
        <v>23.74</v>
      </c>
      <c r="J4">
        <v>78.489999999999995</v>
      </c>
      <c r="K4">
        <v>1</v>
      </c>
      <c r="T4">
        <v>3</v>
      </c>
      <c r="U4">
        <v>2</v>
      </c>
      <c r="V4" t="s">
        <v>93</v>
      </c>
      <c r="W4">
        <v>87</v>
      </c>
      <c r="X4">
        <v>10</v>
      </c>
      <c r="Y4">
        <v>10</v>
      </c>
      <c r="Z4" t="s">
        <v>94</v>
      </c>
      <c r="AA4" t="s">
        <v>95</v>
      </c>
      <c r="AB4" t="s">
        <v>96</v>
      </c>
      <c r="AC4" t="s">
        <v>97</v>
      </c>
      <c r="AD4" t="s">
        <v>98</v>
      </c>
      <c r="AE4" t="s">
        <v>99</v>
      </c>
      <c r="AG4" t="s">
        <v>100</v>
      </c>
      <c r="AH4">
        <v>0</v>
      </c>
      <c r="AI4">
        <v>229</v>
      </c>
      <c r="AJ4">
        <v>31</v>
      </c>
      <c r="AK4">
        <v>18</v>
      </c>
      <c r="AL4">
        <v>1</v>
      </c>
    </row>
    <row r="5" spans="1:38" x14ac:dyDescent="0.3">
      <c r="A5" t="s">
        <v>90</v>
      </c>
      <c r="B5">
        <v>124237</v>
      </c>
      <c r="C5">
        <v>1</v>
      </c>
      <c r="D5" t="s">
        <v>101</v>
      </c>
      <c r="E5" t="s">
        <v>102</v>
      </c>
      <c r="F5">
        <v>4086</v>
      </c>
      <c r="G5">
        <v>24.66</v>
      </c>
      <c r="H5">
        <v>81.53</v>
      </c>
      <c r="I5">
        <v>18.14</v>
      </c>
      <c r="J5">
        <v>59.99</v>
      </c>
      <c r="K5">
        <v>525</v>
      </c>
      <c r="T5">
        <v>3</v>
      </c>
      <c r="U5">
        <v>2</v>
      </c>
      <c r="V5" t="s">
        <v>93</v>
      </c>
      <c r="W5" t="s">
        <v>103</v>
      </c>
      <c r="X5">
        <v>20</v>
      </c>
      <c r="Y5">
        <v>10</v>
      </c>
      <c r="Z5" t="s">
        <v>104</v>
      </c>
      <c r="AA5" t="s">
        <v>105</v>
      </c>
      <c r="AB5" t="s">
        <v>96</v>
      </c>
      <c r="AC5" t="s">
        <v>97</v>
      </c>
      <c r="AD5" t="s">
        <v>98</v>
      </c>
      <c r="AE5" t="s">
        <v>99</v>
      </c>
      <c r="AG5" t="s">
        <v>106</v>
      </c>
      <c r="AH5">
        <v>614</v>
      </c>
      <c r="AI5">
        <v>0</v>
      </c>
      <c r="AJ5">
        <v>0</v>
      </c>
      <c r="AK5">
        <v>0</v>
      </c>
      <c r="AL5">
        <v>0</v>
      </c>
    </row>
    <row r="6" spans="1:38" x14ac:dyDescent="0.3">
      <c r="A6" t="s">
        <v>90</v>
      </c>
      <c r="B6">
        <v>124237</v>
      </c>
      <c r="C6">
        <v>2</v>
      </c>
      <c r="D6" t="s">
        <v>101</v>
      </c>
      <c r="E6" t="s">
        <v>102</v>
      </c>
      <c r="F6">
        <v>4086</v>
      </c>
      <c r="G6">
        <v>24.97</v>
      </c>
      <c r="H6">
        <v>82.57</v>
      </c>
      <c r="I6">
        <v>18.14</v>
      </c>
      <c r="J6">
        <v>59.99</v>
      </c>
      <c r="K6">
        <v>109</v>
      </c>
      <c r="T6">
        <v>3</v>
      </c>
      <c r="U6">
        <v>2</v>
      </c>
      <c r="V6" t="s">
        <v>93</v>
      </c>
      <c r="W6" t="s">
        <v>107</v>
      </c>
      <c r="X6">
        <v>20</v>
      </c>
      <c r="Y6">
        <v>10</v>
      </c>
      <c r="Z6" t="s">
        <v>104</v>
      </c>
      <c r="AA6" t="s">
        <v>105</v>
      </c>
      <c r="AB6" t="s">
        <v>96</v>
      </c>
      <c r="AC6" t="s">
        <v>97</v>
      </c>
      <c r="AD6" t="s">
        <v>98</v>
      </c>
      <c r="AE6" t="s">
        <v>99</v>
      </c>
      <c r="AG6" t="s">
        <v>106</v>
      </c>
      <c r="AH6">
        <v>614</v>
      </c>
      <c r="AI6">
        <v>0</v>
      </c>
      <c r="AJ6">
        <v>0</v>
      </c>
      <c r="AK6">
        <v>0</v>
      </c>
      <c r="AL6">
        <v>0</v>
      </c>
    </row>
    <row r="7" spans="1:38" x14ac:dyDescent="0.3">
      <c r="A7" t="s">
        <v>90</v>
      </c>
      <c r="B7">
        <v>124237</v>
      </c>
      <c r="C7">
        <v>3</v>
      </c>
      <c r="D7" t="s">
        <v>101</v>
      </c>
      <c r="E7" t="s">
        <v>102</v>
      </c>
      <c r="F7">
        <v>4086</v>
      </c>
      <c r="G7">
        <v>24.97</v>
      </c>
      <c r="H7">
        <v>82.55</v>
      </c>
      <c r="I7">
        <v>18.14</v>
      </c>
      <c r="J7">
        <v>59.99</v>
      </c>
      <c r="K7">
        <v>18</v>
      </c>
      <c r="T7">
        <v>3</v>
      </c>
      <c r="U7">
        <v>2</v>
      </c>
      <c r="V7" t="s">
        <v>93</v>
      </c>
      <c r="W7" t="s">
        <v>108</v>
      </c>
      <c r="X7">
        <v>20</v>
      </c>
      <c r="Y7">
        <v>10</v>
      </c>
      <c r="Z7" t="s">
        <v>104</v>
      </c>
      <c r="AA7" t="s">
        <v>105</v>
      </c>
      <c r="AB7" t="s">
        <v>96</v>
      </c>
      <c r="AC7" t="s">
        <v>97</v>
      </c>
      <c r="AD7" t="s">
        <v>98</v>
      </c>
      <c r="AE7" t="s">
        <v>99</v>
      </c>
      <c r="AG7" t="s">
        <v>106</v>
      </c>
      <c r="AH7">
        <v>614</v>
      </c>
      <c r="AI7">
        <v>0</v>
      </c>
      <c r="AJ7">
        <v>0</v>
      </c>
      <c r="AK7">
        <v>0</v>
      </c>
      <c r="AL7">
        <v>0</v>
      </c>
    </row>
    <row r="8" spans="1:38" x14ac:dyDescent="0.3">
      <c r="A8" t="s">
        <v>90</v>
      </c>
      <c r="B8">
        <v>124237</v>
      </c>
      <c r="C8">
        <v>4</v>
      </c>
      <c r="D8" t="s">
        <v>101</v>
      </c>
      <c r="E8" t="s">
        <v>102</v>
      </c>
      <c r="F8">
        <v>4086</v>
      </c>
      <c r="G8">
        <v>30.51</v>
      </c>
      <c r="H8">
        <v>100.86</v>
      </c>
      <c r="I8">
        <v>22.68</v>
      </c>
      <c r="J8">
        <v>74.98</v>
      </c>
      <c r="K8">
        <v>1294</v>
      </c>
      <c r="T8">
        <v>3</v>
      </c>
      <c r="U8">
        <v>2</v>
      </c>
      <c r="V8" t="s">
        <v>93</v>
      </c>
      <c r="W8" t="s">
        <v>109</v>
      </c>
      <c r="X8">
        <v>20</v>
      </c>
      <c r="Y8">
        <v>10</v>
      </c>
      <c r="Z8" t="s">
        <v>104</v>
      </c>
      <c r="AA8" t="s">
        <v>105</v>
      </c>
      <c r="AB8" t="s">
        <v>96</v>
      </c>
      <c r="AC8" t="s">
        <v>97</v>
      </c>
      <c r="AD8" t="s">
        <v>98</v>
      </c>
      <c r="AE8" t="s">
        <v>99</v>
      </c>
      <c r="AG8" t="s">
        <v>106</v>
      </c>
      <c r="AH8">
        <v>614</v>
      </c>
      <c r="AI8">
        <v>0</v>
      </c>
      <c r="AJ8">
        <v>0</v>
      </c>
      <c r="AK8">
        <v>0</v>
      </c>
      <c r="AL8">
        <v>0</v>
      </c>
    </row>
    <row r="9" spans="1:38" x14ac:dyDescent="0.3">
      <c r="A9" t="s">
        <v>90</v>
      </c>
      <c r="B9">
        <v>124237</v>
      </c>
      <c r="C9">
        <v>5</v>
      </c>
      <c r="D9" t="s">
        <v>101</v>
      </c>
      <c r="E9" t="s">
        <v>102</v>
      </c>
      <c r="F9">
        <v>4086</v>
      </c>
      <c r="G9">
        <v>30.8</v>
      </c>
      <c r="H9">
        <v>101.82</v>
      </c>
      <c r="I9">
        <v>22.68</v>
      </c>
      <c r="J9">
        <v>74.989999999999995</v>
      </c>
      <c r="K9">
        <v>288</v>
      </c>
      <c r="T9">
        <v>3</v>
      </c>
      <c r="U9">
        <v>2</v>
      </c>
      <c r="V9" t="s">
        <v>93</v>
      </c>
      <c r="W9" t="s">
        <v>110</v>
      </c>
      <c r="X9">
        <v>20</v>
      </c>
      <c r="Y9">
        <v>10</v>
      </c>
      <c r="Z9" t="s">
        <v>104</v>
      </c>
      <c r="AA9" t="s">
        <v>105</v>
      </c>
      <c r="AB9" t="s">
        <v>96</v>
      </c>
      <c r="AC9" t="s">
        <v>97</v>
      </c>
      <c r="AD9" t="s">
        <v>98</v>
      </c>
      <c r="AE9" t="s">
        <v>99</v>
      </c>
      <c r="AG9" t="s">
        <v>106</v>
      </c>
      <c r="AH9">
        <v>614</v>
      </c>
      <c r="AI9">
        <v>0</v>
      </c>
      <c r="AJ9">
        <v>0</v>
      </c>
      <c r="AK9">
        <v>0</v>
      </c>
      <c r="AL9">
        <v>0</v>
      </c>
    </row>
    <row r="10" spans="1:38" x14ac:dyDescent="0.3">
      <c r="A10" t="s">
        <v>90</v>
      </c>
      <c r="B10">
        <v>124237</v>
      </c>
      <c r="C10">
        <v>6</v>
      </c>
      <c r="D10" t="s">
        <v>101</v>
      </c>
      <c r="E10" t="s">
        <v>102</v>
      </c>
      <c r="F10">
        <v>4086</v>
      </c>
      <c r="G10">
        <v>30.74</v>
      </c>
      <c r="H10">
        <v>101.65</v>
      </c>
      <c r="I10">
        <v>22.68</v>
      </c>
      <c r="J10">
        <v>74.989999999999995</v>
      </c>
      <c r="K10">
        <v>49</v>
      </c>
      <c r="T10">
        <v>3</v>
      </c>
      <c r="U10">
        <v>2</v>
      </c>
      <c r="V10" t="s">
        <v>93</v>
      </c>
      <c r="W10" t="s">
        <v>111</v>
      </c>
      <c r="X10">
        <v>20</v>
      </c>
      <c r="Y10">
        <v>10</v>
      </c>
      <c r="Z10" t="s">
        <v>104</v>
      </c>
      <c r="AA10" t="s">
        <v>105</v>
      </c>
      <c r="AB10" t="s">
        <v>96</v>
      </c>
      <c r="AC10" t="s">
        <v>97</v>
      </c>
      <c r="AD10" t="s">
        <v>98</v>
      </c>
      <c r="AE10" t="s">
        <v>99</v>
      </c>
      <c r="AG10" t="s">
        <v>106</v>
      </c>
      <c r="AH10">
        <v>614</v>
      </c>
      <c r="AI10">
        <v>0</v>
      </c>
      <c r="AJ10">
        <v>0</v>
      </c>
      <c r="AK10">
        <v>0</v>
      </c>
      <c r="AL10">
        <v>0</v>
      </c>
    </row>
    <row r="11" spans="1:38" x14ac:dyDescent="0.3">
      <c r="A11" t="s">
        <v>90</v>
      </c>
      <c r="B11">
        <v>124237</v>
      </c>
      <c r="C11">
        <v>7</v>
      </c>
      <c r="D11" t="s">
        <v>101</v>
      </c>
      <c r="E11" t="s">
        <v>102</v>
      </c>
      <c r="F11">
        <v>4086</v>
      </c>
      <c r="G11">
        <v>34.630000000000003</v>
      </c>
      <c r="H11">
        <v>114.48</v>
      </c>
      <c r="I11">
        <v>25.7</v>
      </c>
      <c r="J11">
        <v>84.99</v>
      </c>
      <c r="K11">
        <v>448</v>
      </c>
      <c r="T11">
        <v>3</v>
      </c>
      <c r="U11">
        <v>2</v>
      </c>
      <c r="V11" t="s">
        <v>93</v>
      </c>
      <c r="W11" t="s">
        <v>112</v>
      </c>
      <c r="X11">
        <v>20</v>
      </c>
      <c r="Y11">
        <v>10</v>
      </c>
      <c r="Z11" t="s">
        <v>104</v>
      </c>
      <c r="AA11" t="s">
        <v>105</v>
      </c>
      <c r="AB11" t="s">
        <v>96</v>
      </c>
      <c r="AC11" t="s">
        <v>97</v>
      </c>
      <c r="AD11" t="s">
        <v>98</v>
      </c>
      <c r="AE11" t="s">
        <v>99</v>
      </c>
      <c r="AG11" t="s">
        <v>106</v>
      </c>
      <c r="AH11">
        <v>614</v>
      </c>
      <c r="AI11">
        <v>0</v>
      </c>
      <c r="AJ11">
        <v>0</v>
      </c>
      <c r="AK11">
        <v>0</v>
      </c>
      <c r="AL11">
        <v>0</v>
      </c>
    </row>
    <row r="12" spans="1:38" x14ac:dyDescent="0.3">
      <c r="A12" t="s">
        <v>90</v>
      </c>
      <c r="B12">
        <v>124237</v>
      </c>
      <c r="C12">
        <v>8</v>
      </c>
      <c r="D12" t="s">
        <v>101</v>
      </c>
      <c r="E12" t="s">
        <v>102</v>
      </c>
      <c r="F12">
        <v>4086</v>
      </c>
      <c r="G12">
        <v>34.68</v>
      </c>
      <c r="H12">
        <v>114.65</v>
      </c>
      <c r="I12">
        <v>25.7</v>
      </c>
      <c r="J12">
        <v>84.99</v>
      </c>
      <c r="K12">
        <v>436</v>
      </c>
      <c r="T12">
        <v>3</v>
      </c>
      <c r="U12">
        <v>2</v>
      </c>
      <c r="V12" t="s">
        <v>93</v>
      </c>
      <c r="W12" t="s">
        <v>113</v>
      </c>
      <c r="X12">
        <v>20</v>
      </c>
      <c r="Y12">
        <v>10</v>
      </c>
      <c r="Z12" t="s">
        <v>104</v>
      </c>
      <c r="AA12" t="s">
        <v>105</v>
      </c>
      <c r="AB12" t="s">
        <v>96</v>
      </c>
      <c r="AC12" t="s">
        <v>97</v>
      </c>
      <c r="AD12" t="s">
        <v>98</v>
      </c>
      <c r="AE12" t="s">
        <v>99</v>
      </c>
      <c r="AG12" t="s">
        <v>106</v>
      </c>
      <c r="AH12">
        <v>614</v>
      </c>
      <c r="AI12">
        <v>0</v>
      </c>
      <c r="AJ12">
        <v>0</v>
      </c>
      <c r="AK12">
        <v>0</v>
      </c>
      <c r="AL12">
        <v>0</v>
      </c>
    </row>
    <row r="13" spans="1:38" x14ac:dyDescent="0.3">
      <c r="A13" t="s">
        <v>90</v>
      </c>
      <c r="B13">
        <v>124237</v>
      </c>
      <c r="C13">
        <v>9</v>
      </c>
      <c r="D13" t="s">
        <v>101</v>
      </c>
      <c r="E13" t="s">
        <v>102</v>
      </c>
      <c r="F13">
        <v>4086</v>
      </c>
      <c r="G13">
        <v>34.659999999999997</v>
      </c>
      <c r="H13">
        <v>114.58</v>
      </c>
      <c r="I13">
        <v>25.7</v>
      </c>
      <c r="J13">
        <v>84.98</v>
      </c>
      <c r="K13">
        <v>272</v>
      </c>
      <c r="T13">
        <v>4</v>
      </c>
      <c r="U13">
        <v>2</v>
      </c>
      <c r="V13" t="s">
        <v>93</v>
      </c>
      <c r="W13" t="s">
        <v>114</v>
      </c>
      <c r="X13">
        <v>20</v>
      </c>
      <c r="Y13">
        <v>10</v>
      </c>
      <c r="Z13" t="s">
        <v>104</v>
      </c>
      <c r="AA13" t="s">
        <v>105</v>
      </c>
      <c r="AB13" t="s">
        <v>96</v>
      </c>
      <c r="AC13" t="s">
        <v>97</v>
      </c>
      <c r="AD13" t="s">
        <v>98</v>
      </c>
      <c r="AE13" t="s">
        <v>99</v>
      </c>
      <c r="AG13" t="s">
        <v>106</v>
      </c>
      <c r="AH13">
        <v>614</v>
      </c>
      <c r="AI13">
        <v>0</v>
      </c>
      <c r="AJ13">
        <v>0</v>
      </c>
      <c r="AK13">
        <v>0</v>
      </c>
      <c r="AL13">
        <v>0</v>
      </c>
    </row>
    <row r="14" spans="1:38" x14ac:dyDescent="0.3">
      <c r="A14" t="s">
        <v>90</v>
      </c>
      <c r="B14">
        <v>124237</v>
      </c>
      <c r="C14">
        <v>10</v>
      </c>
      <c r="D14" t="s">
        <v>101</v>
      </c>
      <c r="E14" t="s">
        <v>102</v>
      </c>
      <c r="F14">
        <v>4086</v>
      </c>
      <c r="G14">
        <v>34.729999999999997</v>
      </c>
      <c r="H14">
        <v>114.81</v>
      </c>
      <c r="I14">
        <v>25.7</v>
      </c>
      <c r="J14">
        <v>84.99</v>
      </c>
      <c r="K14">
        <v>33</v>
      </c>
      <c r="T14">
        <v>3</v>
      </c>
      <c r="U14">
        <v>2</v>
      </c>
      <c r="V14" t="s">
        <v>93</v>
      </c>
      <c r="W14" t="s">
        <v>115</v>
      </c>
      <c r="X14">
        <v>20</v>
      </c>
      <c r="Y14">
        <v>10</v>
      </c>
      <c r="Z14" t="s">
        <v>104</v>
      </c>
      <c r="AA14" t="s">
        <v>105</v>
      </c>
      <c r="AB14" t="s">
        <v>96</v>
      </c>
      <c r="AC14" t="s">
        <v>97</v>
      </c>
      <c r="AD14" t="s">
        <v>98</v>
      </c>
      <c r="AE14" t="s">
        <v>99</v>
      </c>
      <c r="AG14" t="s">
        <v>106</v>
      </c>
      <c r="AH14">
        <v>614</v>
      </c>
      <c r="AI14">
        <v>0</v>
      </c>
      <c r="AJ14">
        <v>0</v>
      </c>
      <c r="AK14">
        <v>0</v>
      </c>
      <c r="AL14">
        <v>0</v>
      </c>
    </row>
    <row r="15" spans="1:38" x14ac:dyDescent="0.3">
      <c r="A15" t="s">
        <v>90</v>
      </c>
      <c r="B15">
        <v>129013</v>
      </c>
      <c r="C15">
        <v>1</v>
      </c>
      <c r="D15" t="s">
        <v>116</v>
      </c>
      <c r="E15" t="s">
        <v>117</v>
      </c>
      <c r="F15">
        <v>126</v>
      </c>
      <c r="G15">
        <v>12.73</v>
      </c>
      <c r="H15">
        <v>42.1</v>
      </c>
      <c r="I15">
        <v>6.21</v>
      </c>
      <c r="J15">
        <v>20.54</v>
      </c>
      <c r="K15">
        <v>9</v>
      </c>
      <c r="T15">
        <v>1</v>
      </c>
      <c r="U15">
        <v>1</v>
      </c>
      <c r="V15" t="s">
        <v>118</v>
      </c>
      <c r="W15" t="s">
        <v>119</v>
      </c>
      <c r="X15">
        <v>13</v>
      </c>
      <c r="Y15">
        <v>13</v>
      </c>
      <c r="Z15" t="s">
        <v>120</v>
      </c>
      <c r="AA15" t="s">
        <v>121</v>
      </c>
      <c r="AB15" t="s">
        <v>96</v>
      </c>
      <c r="AC15" t="s">
        <v>97</v>
      </c>
      <c r="AD15" t="s">
        <v>98</v>
      </c>
      <c r="AE15" t="s">
        <v>99</v>
      </c>
      <c r="AG15" t="s">
        <v>122</v>
      </c>
      <c r="AH15">
        <v>0</v>
      </c>
      <c r="AI15">
        <v>498</v>
      </c>
      <c r="AJ15">
        <v>69</v>
      </c>
      <c r="AK15">
        <v>100</v>
      </c>
      <c r="AL15">
        <v>0.79</v>
      </c>
    </row>
    <row r="16" spans="1:38" x14ac:dyDescent="0.3">
      <c r="A16" t="s">
        <v>90</v>
      </c>
      <c r="B16">
        <v>129013</v>
      </c>
      <c r="C16">
        <v>2</v>
      </c>
      <c r="D16" t="s">
        <v>116</v>
      </c>
      <c r="E16" t="s">
        <v>117</v>
      </c>
      <c r="F16">
        <v>126</v>
      </c>
      <c r="G16">
        <v>14.08</v>
      </c>
      <c r="H16">
        <v>46.57</v>
      </c>
      <c r="I16">
        <v>6.87</v>
      </c>
      <c r="J16">
        <v>22.72</v>
      </c>
      <c r="K16">
        <v>18</v>
      </c>
      <c r="T16">
        <v>1</v>
      </c>
      <c r="U16">
        <v>1</v>
      </c>
      <c r="V16" t="s">
        <v>118</v>
      </c>
      <c r="W16" t="s">
        <v>123</v>
      </c>
      <c r="X16">
        <v>13</v>
      </c>
      <c r="Y16">
        <v>13</v>
      </c>
      <c r="Z16" t="s">
        <v>120</v>
      </c>
      <c r="AA16" t="s">
        <v>121</v>
      </c>
      <c r="AB16" t="s">
        <v>96</v>
      </c>
      <c r="AC16" t="s">
        <v>97</v>
      </c>
      <c r="AD16" t="s">
        <v>98</v>
      </c>
      <c r="AE16" t="s">
        <v>99</v>
      </c>
      <c r="AG16" t="s">
        <v>122</v>
      </c>
      <c r="AH16">
        <v>0</v>
      </c>
      <c r="AI16">
        <v>498</v>
      </c>
      <c r="AJ16">
        <v>69</v>
      </c>
      <c r="AK16">
        <v>100</v>
      </c>
      <c r="AL16">
        <v>0.79</v>
      </c>
    </row>
    <row r="17" spans="1:38" x14ac:dyDescent="0.3">
      <c r="A17" t="s">
        <v>90</v>
      </c>
      <c r="B17">
        <v>129013</v>
      </c>
      <c r="C17">
        <v>3</v>
      </c>
      <c r="D17" t="s">
        <v>116</v>
      </c>
      <c r="E17" t="s">
        <v>117</v>
      </c>
      <c r="F17">
        <v>126</v>
      </c>
      <c r="G17">
        <v>15.69</v>
      </c>
      <c r="H17">
        <v>51.87</v>
      </c>
      <c r="I17">
        <v>7.65</v>
      </c>
      <c r="J17">
        <v>25.31</v>
      </c>
      <c r="K17">
        <v>29</v>
      </c>
      <c r="T17">
        <v>1</v>
      </c>
      <c r="U17">
        <v>1</v>
      </c>
      <c r="V17" t="s">
        <v>118</v>
      </c>
      <c r="W17" t="s">
        <v>124</v>
      </c>
      <c r="X17">
        <v>13</v>
      </c>
      <c r="Y17">
        <v>13</v>
      </c>
      <c r="Z17" t="s">
        <v>120</v>
      </c>
      <c r="AA17" t="s">
        <v>121</v>
      </c>
      <c r="AB17" t="s">
        <v>96</v>
      </c>
      <c r="AC17" t="s">
        <v>97</v>
      </c>
      <c r="AD17" t="s">
        <v>98</v>
      </c>
      <c r="AE17" t="s">
        <v>99</v>
      </c>
      <c r="AG17" t="s">
        <v>122</v>
      </c>
      <c r="AH17">
        <v>0</v>
      </c>
      <c r="AI17">
        <v>498</v>
      </c>
      <c r="AJ17">
        <v>69</v>
      </c>
      <c r="AK17">
        <v>100</v>
      </c>
      <c r="AL17">
        <v>0.79</v>
      </c>
    </row>
    <row r="18" spans="1:38" x14ac:dyDescent="0.3">
      <c r="A18" t="s">
        <v>90</v>
      </c>
      <c r="B18">
        <v>129013</v>
      </c>
      <c r="C18">
        <v>4</v>
      </c>
      <c r="D18" t="s">
        <v>116</v>
      </c>
      <c r="E18" t="s">
        <v>117</v>
      </c>
      <c r="F18">
        <v>126</v>
      </c>
      <c r="G18">
        <v>16.22</v>
      </c>
      <c r="H18">
        <v>53.62</v>
      </c>
      <c r="I18">
        <v>7.91</v>
      </c>
      <c r="J18">
        <v>26.15</v>
      </c>
      <c r="K18">
        <v>7</v>
      </c>
      <c r="T18">
        <v>1</v>
      </c>
      <c r="U18">
        <v>1</v>
      </c>
      <c r="V18" t="s">
        <v>118</v>
      </c>
      <c r="W18" t="s">
        <v>125</v>
      </c>
      <c r="X18">
        <v>13</v>
      </c>
      <c r="Y18">
        <v>13</v>
      </c>
      <c r="Z18" t="s">
        <v>120</v>
      </c>
      <c r="AA18" t="s">
        <v>121</v>
      </c>
      <c r="AB18" t="s">
        <v>96</v>
      </c>
      <c r="AC18" t="s">
        <v>97</v>
      </c>
      <c r="AD18" t="s">
        <v>98</v>
      </c>
      <c r="AE18" t="s">
        <v>99</v>
      </c>
      <c r="AG18" t="s">
        <v>122</v>
      </c>
      <c r="AH18">
        <v>0</v>
      </c>
      <c r="AI18">
        <v>498</v>
      </c>
      <c r="AJ18">
        <v>69</v>
      </c>
      <c r="AK18">
        <v>100</v>
      </c>
      <c r="AL18">
        <v>0.79</v>
      </c>
    </row>
    <row r="19" spans="1:38" x14ac:dyDescent="0.3">
      <c r="A19" t="s">
        <v>90</v>
      </c>
      <c r="B19">
        <v>129013</v>
      </c>
      <c r="C19">
        <v>5</v>
      </c>
      <c r="D19" t="s">
        <v>116</v>
      </c>
      <c r="E19" t="s">
        <v>117</v>
      </c>
      <c r="F19">
        <v>126</v>
      </c>
      <c r="G19">
        <v>17.86</v>
      </c>
      <c r="H19">
        <v>59.07</v>
      </c>
      <c r="I19">
        <v>8.7100000000000009</v>
      </c>
      <c r="J19">
        <v>28.82</v>
      </c>
      <c r="K19">
        <v>27</v>
      </c>
      <c r="T19">
        <v>1</v>
      </c>
      <c r="U19">
        <v>1</v>
      </c>
      <c r="V19" t="s">
        <v>118</v>
      </c>
      <c r="W19" t="s">
        <v>126</v>
      </c>
      <c r="X19">
        <v>13</v>
      </c>
      <c r="Y19">
        <v>13</v>
      </c>
      <c r="Z19" t="s">
        <v>120</v>
      </c>
      <c r="AA19" t="s">
        <v>121</v>
      </c>
      <c r="AB19" t="s">
        <v>96</v>
      </c>
      <c r="AC19" t="s">
        <v>97</v>
      </c>
      <c r="AD19" t="s">
        <v>98</v>
      </c>
      <c r="AE19" t="s">
        <v>99</v>
      </c>
      <c r="AG19" t="s">
        <v>122</v>
      </c>
      <c r="AH19">
        <v>0</v>
      </c>
      <c r="AI19">
        <v>498</v>
      </c>
      <c r="AJ19">
        <v>69</v>
      </c>
      <c r="AK19">
        <v>100</v>
      </c>
      <c r="AL19">
        <v>0.79</v>
      </c>
    </row>
    <row r="20" spans="1:38" x14ac:dyDescent="0.3">
      <c r="A20" t="s">
        <v>90</v>
      </c>
      <c r="B20">
        <v>129013</v>
      </c>
      <c r="C20">
        <v>6</v>
      </c>
      <c r="D20" t="s">
        <v>116</v>
      </c>
      <c r="E20" t="s">
        <v>117</v>
      </c>
      <c r="F20">
        <v>126</v>
      </c>
      <c r="G20">
        <v>20.6</v>
      </c>
      <c r="H20">
        <v>68.11</v>
      </c>
      <c r="I20">
        <v>10.050000000000001</v>
      </c>
      <c r="J20">
        <v>33.229999999999997</v>
      </c>
      <c r="K20">
        <v>18</v>
      </c>
      <c r="T20">
        <v>2</v>
      </c>
      <c r="U20">
        <v>1</v>
      </c>
      <c r="V20" t="s">
        <v>118</v>
      </c>
      <c r="W20" t="s">
        <v>127</v>
      </c>
      <c r="X20">
        <v>13</v>
      </c>
      <c r="Y20">
        <v>13</v>
      </c>
      <c r="Z20" t="s">
        <v>120</v>
      </c>
      <c r="AA20" t="s">
        <v>121</v>
      </c>
      <c r="AB20" t="s">
        <v>96</v>
      </c>
      <c r="AC20" t="s">
        <v>97</v>
      </c>
      <c r="AD20" t="s">
        <v>98</v>
      </c>
      <c r="AE20" t="s">
        <v>99</v>
      </c>
      <c r="AG20" t="s">
        <v>122</v>
      </c>
      <c r="AH20">
        <v>0</v>
      </c>
      <c r="AI20">
        <v>498</v>
      </c>
      <c r="AJ20">
        <v>69</v>
      </c>
      <c r="AK20">
        <v>100</v>
      </c>
      <c r="AL20">
        <v>0.79</v>
      </c>
    </row>
    <row r="21" spans="1:38" x14ac:dyDescent="0.3">
      <c r="A21" t="s">
        <v>90</v>
      </c>
      <c r="B21">
        <v>129013</v>
      </c>
      <c r="C21">
        <v>7</v>
      </c>
      <c r="D21" t="s">
        <v>116</v>
      </c>
      <c r="E21" t="s">
        <v>117</v>
      </c>
      <c r="F21">
        <v>126</v>
      </c>
      <c r="G21">
        <v>23.64</v>
      </c>
      <c r="H21">
        <v>78.150000000000006</v>
      </c>
      <c r="I21">
        <v>11.53</v>
      </c>
      <c r="J21">
        <v>38.130000000000003</v>
      </c>
      <c r="K21">
        <v>9</v>
      </c>
      <c r="T21">
        <v>2</v>
      </c>
      <c r="U21">
        <v>1</v>
      </c>
      <c r="V21" t="s">
        <v>118</v>
      </c>
      <c r="W21" t="s">
        <v>128</v>
      </c>
      <c r="X21">
        <v>13</v>
      </c>
      <c r="Y21">
        <v>13</v>
      </c>
      <c r="Z21" t="s">
        <v>120</v>
      </c>
      <c r="AA21" t="s">
        <v>121</v>
      </c>
      <c r="AB21" t="s">
        <v>96</v>
      </c>
      <c r="AC21" t="s">
        <v>97</v>
      </c>
      <c r="AD21" t="s">
        <v>98</v>
      </c>
      <c r="AE21" t="s">
        <v>99</v>
      </c>
      <c r="AG21" t="s">
        <v>122</v>
      </c>
      <c r="AH21">
        <v>0</v>
      </c>
      <c r="AI21">
        <v>498</v>
      </c>
      <c r="AJ21">
        <v>69</v>
      </c>
      <c r="AK21">
        <v>100</v>
      </c>
      <c r="AL21">
        <v>0.79</v>
      </c>
    </row>
    <row r="22" spans="1:38" x14ac:dyDescent="0.3">
      <c r="A22" t="s">
        <v>90</v>
      </c>
      <c r="B22">
        <v>129013</v>
      </c>
      <c r="C22">
        <v>8</v>
      </c>
      <c r="D22" t="s">
        <v>116</v>
      </c>
      <c r="E22" t="s">
        <v>117</v>
      </c>
      <c r="F22">
        <v>126</v>
      </c>
      <c r="G22">
        <v>24.77</v>
      </c>
      <c r="H22">
        <v>81.89</v>
      </c>
      <c r="I22">
        <v>12.08</v>
      </c>
      <c r="J22">
        <v>39.950000000000003</v>
      </c>
      <c r="K22">
        <v>9</v>
      </c>
      <c r="T22">
        <v>2</v>
      </c>
      <c r="U22">
        <v>1</v>
      </c>
      <c r="V22" t="s">
        <v>118</v>
      </c>
      <c r="W22" t="s">
        <v>129</v>
      </c>
      <c r="X22">
        <v>13</v>
      </c>
      <c r="Y22">
        <v>13</v>
      </c>
      <c r="Z22" t="s">
        <v>120</v>
      </c>
      <c r="AA22" t="s">
        <v>121</v>
      </c>
      <c r="AB22" t="s">
        <v>96</v>
      </c>
      <c r="AC22" t="s">
        <v>97</v>
      </c>
      <c r="AD22" t="s">
        <v>98</v>
      </c>
      <c r="AE22" t="s">
        <v>99</v>
      </c>
      <c r="AG22" t="s">
        <v>122</v>
      </c>
      <c r="AH22">
        <v>0</v>
      </c>
      <c r="AI22">
        <v>498</v>
      </c>
      <c r="AJ22">
        <v>69</v>
      </c>
      <c r="AK22">
        <v>100</v>
      </c>
      <c r="AL22">
        <v>0.79</v>
      </c>
    </row>
    <row r="23" spans="1:38" x14ac:dyDescent="0.3">
      <c r="A23" t="s">
        <v>90</v>
      </c>
      <c r="B23">
        <v>104968</v>
      </c>
      <c r="C23">
        <v>1</v>
      </c>
      <c r="D23" t="s">
        <v>130</v>
      </c>
      <c r="E23" t="s">
        <v>131</v>
      </c>
      <c r="F23">
        <v>24</v>
      </c>
      <c r="G23">
        <v>32.86</v>
      </c>
      <c r="H23">
        <v>108.65</v>
      </c>
      <c r="I23">
        <v>25.55</v>
      </c>
      <c r="J23">
        <v>84.47</v>
      </c>
      <c r="K23">
        <v>8</v>
      </c>
      <c r="T23">
        <v>3</v>
      </c>
      <c r="U23">
        <v>2</v>
      </c>
      <c r="V23" t="s">
        <v>118</v>
      </c>
      <c r="W23" t="s">
        <v>132</v>
      </c>
      <c r="X23">
        <v>10</v>
      </c>
      <c r="Y23">
        <v>10</v>
      </c>
      <c r="Z23" t="s">
        <v>133</v>
      </c>
      <c r="AA23" t="s">
        <v>134</v>
      </c>
      <c r="AB23" t="s">
        <v>96</v>
      </c>
      <c r="AC23" t="s">
        <v>97</v>
      </c>
      <c r="AD23" t="s">
        <v>98</v>
      </c>
      <c r="AE23" t="s">
        <v>99</v>
      </c>
      <c r="AG23" t="s">
        <v>135</v>
      </c>
      <c r="AH23">
        <v>0</v>
      </c>
      <c r="AI23">
        <v>351</v>
      </c>
      <c r="AJ23">
        <v>63</v>
      </c>
      <c r="AK23">
        <v>27</v>
      </c>
      <c r="AL23">
        <v>1.1200000000000001</v>
      </c>
    </row>
    <row r="24" spans="1:38" x14ac:dyDescent="0.3">
      <c r="A24" t="s">
        <v>90</v>
      </c>
      <c r="B24">
        <v>104968</v>
      </c>
      <c r="C24">
        <v>2</v>
      </c>
      <c r="D24" t="s">
        <v>130</v>
      </c>
      <c r="E24" t="s">
        <v>131</v>
      </c>
      <c r="F24">
        <v>24</v>
      </c>
      <c r="G24">
        <v>32.92</v>
      </c>
      <c r="H24">
        <v>108.85</v>
      </c>
      <c r="I24">
        <v>25.64</v>
      </c>
      <c r="J24">
        <v>84.79</v>
      </c>
      <c r="K24">
        <v>8</v>
      </c>
      <c r="T24">
        <v>4</v>
      </c>
      <c r="U24">
        <v>2</v>
      </c>
      <c r="V24" t="s">
        <v>93</v>
      </c>
      <c r="W24" t="s">
        <v>136</v>
      </c>
      <c r="X24">
        <v>10</v>
      </c>
      <c r="Y24">
        <v>10</v>
      </c>
      <c r="Z24" t="s">
        <v>133</v>
      </c>
      <c r="AA24" t="s">
        <v>134</v>
      </c>
      <c r="AB24" t="s">
        <v>96</v>
      </c>
      <c r="AC24" t="s">
        <v>97</v>
      </c>
      <c r="AD24" t="s">
        <v>98</v>
      </c>
      <c r="AE24" t="s">
        <v>99</v>
      </c>
      <c r="AG24" t="s">
        <v>135</v>
      </c>
      <c r="AH24">
        <v>0</v>
      </c>
      <c r="AI24">
        <v>351</v>
      </c>
      <c r="AJ24">
        <v>63</v>
      </c>
      <c r="AK24">
        <v>27</v>
      </c>
      <c r="AL24">
        <v>1.1200000000000001</v>
      </c>
    </row>
    <row r="25" spans="1:38" x14ac:dyDescent="0.3">
      <c r="A25" t="s">
        <v>90</v>
      </c>
      <c r="B25">
        <v>104968</v>
      </c>
      <c r="C25">
        <v>3</v>
      </c>
      <c r="D25" t="s">
        <v>130</v>
      </c>
      <c r="E25" t="s">
        <v>131</v>
      </c>
      <c r="F25">
        <v>24</v>
      </c>
      <c r="G25">
        <v>32.93</v>
      </c>
      <c r="H25">
        <v>108.89</v>
      </c>
      <c r="I25">
        <v>25.62</v>
      </c>
      <c r="J25">
        <v>84.71</v>
      </c>
      <c r="K25">
        <v>7</v>
      </c>
      <c r="T25">
        <v>3</v>
      </c>
      <c r="U25">
        <v>2</v>
      </c>
      <c r="V25" t="s">
        <v>118</v>
      </c>
      <c r="W25" t="s">
        <v>137</v>
      </c>
      <c r="X25">
        <v>10</v>
      </c>
      <c r="Y25">
        <v>10</v>
      </c>
      <c r="Z25" t="s">
        <v>133</v>
      </c>
      <c r="AA25" t="s">
        <v>134</v>
      </c>
      <c r="AB25" t="s">
        <v>96</v>
      </c>
      <c r="AC25" t="s">
        <v>97</v>
      </c>
      <c r="AD25" t="s">
        <v>98</v>
      </c>
      <c r="AE25" t="s">
        <v>99</v>
      </c>
      <c r="AG25" t="s">
        <v>135</v>
      </c>
      <c r="AH25">
        <v>0</v>
      </c>
      <c r="AI25">
        <v>351</v>
      </c>
      <c r="AJ25">
        <v>63</v>
      </c>
      <c r="AK25">
        <v>27</v>
      </c>
      <c r="AL25">
        <v>1.1200000000000001</v>
      </c>
    </row>
    <row r="26" spans="1:38" x14ac:dyDescent="0.3">
      <c r="A26" t="s">
        <v>90</v>
      </c>
      <c r="B26">
        <v>104968</v>
      </c>
      <c r="C26">
        <v>4</v>
      </c>
      <c r="D26" t="s">
        <v>130</v>
      </c>
      <c r="E26" t="s">
        <v>131</v>
      </c>
      <c r="F26">
        <v>24</v>
      </c>
      <c r="G26">
        <v>32.94</v>
      </c>
      <c r="H26">
        <v>108.9</v>
      </c>
      <c r="I26">
        <v>25.59</v>
      </c>
      <c r="J26">
        <v>84.61</v>
      </c>
      <c r="K26">
        <v>1</v>
      </c>
      <c r="T26">
        <v>3</v>
      </c>
      <c r="U26">
        <v>2</v>
      </c>
      <c r="V26" t="s">
        <v>118</v>
      </c>
      <c r="W26" t="s">
        <v>138</v>
      </c>
      <c r="X26">
        <v>10</v>
      </c>
      <c r="Y26">
        <v>10</v>
      </c>
      <c r="Z26" t="s">
        <v>133</v>
      </c>
      <c r="AA26" t="s">
        <v>134</v>
      </c>
      <c r="AB26" t="s">
        <v>96</v>
      </c>
      <c r="AC26" t="s">
        <v>97</v>
      </c>
      <c r="AD26" t="s">
        <v>98</v>
      </c>
      <c r="AE26" t="s">
        <v>99</v>
      </c>
      <c r="AG26" t="s">
        <v>135</v>
      </c>
      <c r="AH26">
        <v>0</v>
      </c>
      <c r="AI26">
        <v>351</v>
      </c>
      <c r="AJ26">
        <v>63</v>
      </c>
      <c r="AK26">
        <v>27</v>
      </c>
      <c r="AL26">
        <v>1.1200000000000001</v>
      </c>
    </row>
    <row r="27" spans="1:38" x14ac:dyDescent="0.3">
      <c r="A27" t="s">
        <v>90</v>
      </c>
      <c r="B27">
        <v>1750</v>
      </c>
      <c r="C27">
        <v>1</v>
      </c>
      <c r="D27" t="s">
        <v>139</v>
      </c>
      <c r="E27" t="s">
        <v>140</v>
      </c>
      <c r="F27">
        <v>190</v>
      </c>
      <c r="G27">
        <v>18.59</v>
      </c>
      <c r="H27">
        <v>61.46</v>
      </c>
      <c r="I27">
        <v>16.41</v>
      </c>
      <c r="J27">
        <v>54.25</v>
      </c>
      <c r="K27">
        <v>58</v>
      </c>
      <c r="T27">
        <v>3</v>
      </c>
      <c r="U27">
        <v>1</v>
      </c>
      <c r="V27" t="s">
        <v>93</v>
      </c>
      <c r="W27" t="s">
        <v>141</v>
      </c>
      <c r="X27">
        <v>5</v>
      </c>
      <c r="Y27">
        <v>5</v>
      </c>
      <c r="Z27" t="s">
        <v>142</v>
      </c>
      <c r="AA27" t="s">
        <v>143</v>
      </c>
      <c r="AB27" t="s">
        <v>96</v>
      </c>
      <c r="AC27" t="s">
        <v>97</v>
      </c>
      <c r="AD27" t="s">
        <v>98</v>
      </c>
      <c r="AE27" t="s">
        <v>99</v>
      </c>
      <c r="AG27" t="s">
        <v>144</v>
      </c>
      <c r="AH27">
        <v>0</v>
      </c>
      <c r="AI27">
        <v>119</v>
      </c>
      <c r="AJ27">
        <v>24</v>
      </c>
      <c r="AK27">
        <v>0</v>
      </c>
      <c r="AL27">
        <v>0</v>
      </c>
    </row>
    <row r="28" spans="1:38" x14ac:dyDescent="0.3">
      <c r="A28" t="s">
        <v>90</v>
      </c>
      <c r="B28">
        <v>1750</v>
      </c>
      <c r="C28">
        <v>2</v>
      </c>
      <c r="D28" t="s">
        <v>139</v>
      </c>
      <c r="E28" t="s">
        <v>140</v>
      </c>
      <c r="F28">
        <v>190</v>
      </c>
      <c r="G28">
        <v>18.66</v>
      </c>
      <c r="H28">
        <v>61.69</v>
      </c>
      <c r="I28">
        <v>16.48</v>
      </c>
      <c r="J28">
        <v>54.48</v>
      </c>
      <c r="K28">
        <v>1</v>
      </c>
      <c r="T28">
        <v>3</v>
      </c>
      <c r="U28">
        <v>1</v>
      </c>
      <c r="V28" t="s">
        <v>93</v>
      </c>
      <c r="W28" t="s">
        <v>145</v>
      </c>
      <c r="X28">
        <v>5</v>
      </c>
      <c r="Y28">
        <v>5</v>
      </c>
      <c r="Z28" t="s">
        <v>142</v>
      </c>
      <c r="AA28" t="s">
        <v>143</v>
      </c>
      <c r="AB28" t="s">
        <v>96</v>
      </c>
      <c r="AC28" t="s">
        <v>97</v>
      </c>
      <c r="AD28" t="s">
        <v>98</v>
      </c>
      <c r="AE28" t="s">
        <v>99</v>
      </c>
      <c r="AG28" t="s">
        <v>144</v>
      </c>
      <c r="AH28">
        <v>0</v>
      </c>
      <c r="AI28">
        <v>119</v>
      </c>
      <c r="AJ28">
        <v>24</v>
      </c>
      <c r="AK28">
        <v>0</v>
      </c>
      <c r="AL28">
        <v>0</v>
      </c>
    </row>
    <row r="29" spans="1:38" x14ac:dyDescent="0.3">
      <c r="A29" t="s">
        <v>90</v>
      </c>
      <c r="B29">
        <v>1750</v>
      </c>
      <c r="C29">
        <v>3</v>
      </c>
      <c r="D29" t="s">
        <v>139</v>
      </c>
      <c r="E29" t="s">
        <v>140</v>
      </c>
      <c r="F29">
        <v>190</v>
      </c>
      <c r="G29">
        <v>18.7</v>
      </c>
      <c r="H29">
        <v>61.82</v>
      </c>
      <c r="I29">
        <v>16.55</v>
      </c>
      <c r="J29">
        <v>54.74</v>
      </c>
      <c r="K29">
        <v>1</v>
      </c>
      <c r="T29">
        <v>3</v>
      </c>
      <c r="U29">
        <v>1</v>
      </c>
      <c r="V29" t="s">
        <v>93</v>
      </c>
      <c r="W29" t="s">
        <v>146</v>
      </c>
      <c r="X29">
        <v>5</v>
      </c>
      <c r="Y29">
        <v>5</v>
      </c>
      <c r="Z29" t="s">
        <v>142</v>
      </c>
      <c r="AA29" t="s">
        <v>143</v>
      </c>
      <c r="AB29" t="s">
        <v>96</v>
      </c>
      <c r="AC29" t="s">
        <v>97</v>
      </c>
      <c r="AD29" t="s">
        <v>98</v>
      </c>
      <c r="AE29" t="s">
        <v>99</v>
      </c>
      <c r="AG29" t="s">
        <v>144</v>
      </c>
      <c r="AH29">
        <v>0</v>
      </c>
      <c r="AI29">
        <v>119</v>
      </c>
      <c r="AJ29">
        <v>24</v>
      </c>
      <c r="AK29">
        <v>0</v>
      </c>
      <c r="AL29">
        <v>0</v>
      </c>
    </row>
    <row r="30" spans="1:38" x14ac:dyDescent="0.3">
      <c r="A30" t="s">
        <v>90</v>
      </c>
      <c r="B30">
        <v>1750</v>
      </c>
      <c r="C30">
        <v>4</v>
      </c>
      <c r="D30" t="s">
        <v>139</v>
      </c>
      <c r="E30" t="s">
        <v>140</v>
      </c>
      <c r="F30">
        <v>190</v>
      </c>
      <c r="G30">
        <v>22.61</v>
      </c>
      <c r="H30">
        <v>74.75</v>
      </c>
      <c r="I30">
        <v>19.77</v>
      </c>
      <c r="J30">
        <v>65.36</v>
      </c>
      <c r="K30">
        <v>67</v>
      </c>
      <c r="T30">
        <v>3</v>
      </c>
      <c r="U30">
        <v>1</v>
      </c>
      <c r="V30" t="s">
        <v>93</v>
      </c>
      <c r="W30" t="s">
        <v>147</v>
      </c>
      <c r="X30">
        <v>5</v>
      </c>
      <c r="Y30">
        <v>5</v>
      </c>
      <c r="Z30" t="s">
        <v>142</v>
      </c>
      <c r="AA30" t="s">
        <v>143</v>
      </c>
      <c r="AB30" t="s">
        <v>96</v>
      </c>
      <c r="AC30" t="s">
        <v>97</v>
      </c>
      <c r="AD30" t="s">
        <v>98</v>
      </c>
      <c r="AE30" t="s">
        <v>99</v>
      </c>
      <c r="AG30" t="s">
        <v>144</v>
      </c>
      <c r="AH30">
        <v>0</v>
      </c>
      <c r="AI30">
        <v>119</v>
      </c>
      <c r="AJ30">
        <v>24</v>
      </c>
      <c r="AK30">
        <v>0</v>
      </c>
      <c r="AL30">
        <v>0</v>
      </c>
    </row>
    <row r="31" spans="1:38" x14ac:dyDescent="0.3">
      <c r="A31" t="s">
        <v>90</v>
      </c>
      <c r="B31">
        <v>1750</v>
      </c>
      <c r="C31">
        <v>5</v>
      </c>
      <c r="D31" t="s">
        <v>139</v>
      </c>
      <c r="E31" t="s">
        <v>140</v>
      </c>
      <c r="F31">
        <v>190</v>
      </c>
      <c r="G31">
        <v>22.42</v>
      </c>
      <c r="H31">
        <v>74.12</v>
      </c>
      <c r="I31">
        <v>19.579999999999998</v>
      </c>
      <c r="J31">
        <v>64.73</v>
      </c>
      <c r="K31">
        <v>1</v>
      </c>
      <c r="T31">
        <v>3</v>
      </c>
      <c r="U31">
        <v>1</v>
      </c>
      <c r="V31" t="s">
        <v>93</v>
      </c>
      <c r="W31" t="s">
        <v>148</v>
      </c>
      <c r="X31">
        <v>5</v>
      </c>
      <c r="Y31">
        <v>5</v>
      </c>
      <c r="Z31" t="s">
        <v>142</v>
      </c>
      <c r="AA31" t="s">
        <v>143</v>
      </c>
      <c r="AB31" t="s">
        <v>96</v>
      </c>
      <c r="AC31" t="s">
        <v>97</v>
      </c>
      <c r="AD31" t="s">
        <v>98</v>
      </c>
      <c r="AE31" t="s">
        <v>99</v>
      </c>
      <c r="AG31" t="s">
        <v>144</v>
      </c>
      <c r="AH31">
        <v>0</v>
      </c>
      <c r="AI31">
        <v>119</v>
      </c>
      <c r="AJ31">
        <v>24</v>
      </c>
      <c r="AK31">
        <v>0</v>
      </c>
      <c r="AL31">
        <v>0</v>
      </c>
    </row>
    <row r="32" spans="1:38" x14ac:dyDescent="0.3">
      <c r="A32" t="s">
        <v>90</v>
      </c>
      <c r="B32">
        <v>1750</v>
      </c>
      <c r="C32">
        <v>6</v>
      </c>
      <c r="D32" t="s">
        <v>139</v>
      </c>
      <c r="E32" t="s">
        <v>140</v>
      </c>
      <c r="F32">
        <v>190</v>
      </c>
      <c r="G32">
        <v>22.6</v>
      </c>
      <c r="H32">
        <v>74.739999999999995</v>
      </c>
      <c r="I32">
        <v>19.760000000000002</v>
      </c>
      <c r="J32">
        <v>65.349999999999994</v>
      </c>
      <c r="K32">
        <v>1</v>
      </c>
      <c r="T32">
        <v>3</v>
      </c>
      <c r="U32">
        <v>1</v>
      </c>
      <c r="V32" t="s">
        <v>93</v>
      </c>
      <c r="W32" t="s">
        <v>148</v>
      </c>
      <c r="X32">
        <v>5</v>
      </c>
      <c r="Y32">
        <v>5</v>
      </c>
      <c r="Z32" t="s">
        <v>142</v>
      </c>
      <c r="AA32" t="s">
        <v>143</v>
      </c>
      <c r="AB32" t="s">
        <v>96</v>
      </c>
      <c r="AC32" t="s">
        <v>97</v>
      </c>
      <c r="AD32" t="s">
        <v>98</v>
      </c>
      <c r="AE32" t="s">
        <v>99</v>
      </c>
      <c r="AG32" t="s">
        <v>144</v>
      </c>
      <c r="AH32">
        <v>0</v>
      </c>
      <c r="AI32">
        <v>119</v>
      </c>
      <c r="AJ32">
        <v>24</v>
      </c>
      <c r="AK32">
        <v>0</v>
      </c>
      <c r="AL32">
        <v>0</v>
      </c>
    </row>
    <row r="33" spans="1:38" x14ac:dyDescent="0.3">
      <c r="A33" t="s">
        <v>90</v>
      </c>
      <c r="B33">
        <v>1750</v>
      </c>
      <c r="C33">
        <v>7</v>
      </c>
      <c r="D33" t="s">
        <v>139</v>
      </c>
      <c r="E33" t="s">
        <v>140</v>
      </c>
      <c r="F33">
        <v>190</v>
      </c>
      <c r="G33">
        <v>22.43</v>
      </c>
      <c r="H33">
        <v>74.180000000000007</v>
      </c>
      <c r="I33">
        <v>19.62</v>
      </c>
      <c r="J33">
        <v>64.89</v>
      </c>
      <c r="K33">
        <v>1</v>
      </c>
      <c r="T33">
        <v>3</v>
      </c>
      <c r="U33">
        <v>1</v>
      </c>
      <c r="V33" t="s">
        <v>93</v>
      </c>
      <c r="W33" t="s">
        <v>147</v>
      </c>
      <c r="X33">
        <v>5</v>
      </c>
      <c r="Y33">
        <v>5</v>
      </c>
      <c r="Z33" t="s">
        <v>142</v>
      </c>
      <c r="AA33" t="s">
        <v>143</v>
      </c>
      <c r="AB33" t="s">
        <v>96</v>
      </c>
      <c r="AC33" t="s">
        <v>97</v>
      </c>
      <c r="AD33" t="s">
        <v>98</v>
      </c>
      <c r="AE33" t="s">
        <v>99</v>
      </c>
      <c r="AG33" t="s">
        <v>144</v>
      </c>
      <c r="AH33">
        <v>0</v>
      </c>
      <c r="AI33">
        <v>119</v>
      </c>
      <c r="AJ33">
        <v>24</v>
      </c>
      <c r="AK33">
        <v>0</v>
      </c>
      <c r="AL33">
        <v>0</v>
      </c>
    </row>
    <row r="34" spans="1:38" x14ac:dyDescent="0.3">
      <c r="A34" t="s">
        <v>90</v>
      </c>
      <c r="B34">
        <v>1750</v>
      </c>
      <c r="C34">
        <v>8</v>
      </c>
      <c r="D34" t="s">
        <v>139</v>
      </c>
      <c r="E34" t="s">
        <v>140</v>
      </c>
      <c r="F34">
        <v>190</v>
      </c>
      <c r="G34">
        <v>26.55</v>
      </c>
      <c r="H34">
        <v>87.77</v>
      </c>
      <c r="I34">
        <v>23.05</v>
      </c>
      <c r="J34">
        <v>76.2</v>
      </c>
      <c r="K34">
        <v>57</v>
      </c>
      <c r="T34">
        <v>3</v>
      </c>
      <c r="U34">
        <v>1</v>
      </c>
      <c r="V34" t="s">
        <v>93</v>
      </c>
      <c r="W34" t="s">
        <v>149</v>
      </c>
      <c r="X34">
        <v>5</v>
      </c>
      <c r="Y34">
        <v>5</v>
      </c>
      <c r="Z34" t="s">
        <v>142</v>
      </c>
      <c r="AA34" t="s">
        <v>143</v>
      </c>
      <c r="AB34" t="s">
        <v>96</v>
      </c>
      <c r="AC34" t="s">
        <v>97</v>
      </c>
      <c r="AD34" t="s">
        <v>98</v>
      </c>
      <c r="AE34" t="s">
        <v>99</v>
      </c>
      <c r="AG34" t="s">
        <v>144</v>
      </c>
      <c r="AH34">
        <v>0</v>
      </c>
      <c r="AI34">
        <v>119</v>
      </c>
      <c r="AJ34">
        <v>24</v>
      </c>
      <c r="AK34">
        <v>0</v>
      </c>
      <c r="AL34">
        <v>0</v>
      </c>
    </row>
    <row r="35" spans="1:38" x14ac:dyDescent="0.3">
      <c r="A35" t="s">
        <v>90</v>
      </c>
      <c r="B35">
        <v>1750</v>
      </c>
      <c r="C35">
        <v>9</v>
      </c>
      <c r="D35" t="s">
        <v>139</v>
      </c>
      <c r="E35" t="s">
        <v>140</v>
      </c>
      <c r="F35">
        <v>190</v>
      </c>
      <c r="G35">
        <v>26.42</v>
      </c>
      <c r="H35">
        <v>87.37</v>
      </c>
      <c r="I35">
        <v>23.05</v>
      </c>
      <c r="J35">
        <v>76.23</v>
      </c>
      <c r="K35">
        <v>1</v>
      </c>
      <c r="T35">
        <v>3</v>
      </c>
      <c r="U35">
        <v>1</v>
      </c>
      <c r="V35" t="s">
        <v>118</v>
      </c>
      <c r="W35">
        <v>87</v>
      </c>
      <c r="X35">
        <v>5</v>
      </c>
      <c r="Y35">
        <v>5</v>
      </c>
      <c r="Z35" t="s">
        <v>142</v>
      </c>
      <c r="AA35" t="s">
        <v>143</v>
      </c>
      <c r="AB35" t="s">
        <v>96</v>
      </c>
      <c r="AC35" t="s">
        <v>97</v>
      </c>
      <c r="AD35" t="s">
        <v>98</v>
      </c>
      <c r="AE35" t="s">
        <v>99</v>
      </c>
      <c r="AG35" t="s">
        <v>144</v>
      </c>
      <c r="AH35">
        <v>0</v>
      </c>
      <c r="AI35">
        <v>119</v>
      </c>
      <c r="AJ35">
        <v>24</v>
      </c>
      <c r="AK35">
        <v>0</v>
      </c>
      <c r="AL35">
        <v>0</v>
      </c>
    </row>
    <row r="36" spans="1:38" x14ac:dyDescent="0.3">
      <c r="A36" t="s">
        <v>90</v>
      </c>
      <c r="B36">
        <v>1750</v>
      </c>
      <c r="C36">
        <v>10</v>
      </c>
      <c r="D36" t="s">
        <v>139</v>
      </c>
      <c r="E36" t="s">
        <v>140</v>
      </c>
      <c r="F36">
        <v>190</v>
      </c>
      <c r="G36">
        <v>26.49</v>
      </c>
      <c r="H36">
        <v>87.59</v>
      </c>
      <c r="I36">
        <v>22.99</v>
      </c>
      <c r="J36">
        <v>76.02</v>
      </c>
      <c r="K36">
        <v>1</v>
      </c>
      <c r="T36">
        <v>3</v>
      </c>
      <c r="U36">
        <v>1</v>
      </c>
      <c r="V36" t="s">
        <v>93</v>
      </c>
      <c r="W36" t="s">
        <v>150</v>
      </c>
      <c r="X36">
        <v>5</v>
      </c>
      <c r="Y36">
        <v>5</v>
      </c>
      <c r="Z36" t="s">
        <v>142</v>
      </c>
      <c r="AA36" t="s">
        <v>143</v>
      </c>
      <c r="AB36" t="s">
        <v>96</v>
      </c>
      <c r="AC36" t="s">
        <v>97</v>
      </c>
      <c r="AD36" t="s">
        <v>98</v>
      </c>
      <c r="AE36" t="s">
        <v>99</v>
      </c>
      <c r="AG36" t="s">
        <v>144</v>
      </c>
      <c r="AH36">
        <v>0</v>
      </c>
      <c r="AI36">
        <v>119</v>
      </c>
      <c r="AJ36">
        <v>24</v>
      </c>
      <c r="AK36">
        <v>0</v>
      </c>
      <c r="AL36">
        <v>0</v>
      </c>
    </row>
    <row r="37" spans="1:38" x14ac:dyDescent="0.3">
      <c r="A37" t="s">
        <v>90</v>
      </c>
      <c r="B37">
        <v>1750</v>
      </c>
      <c r="C37">
        <v>11</v>
      </c>
      <c r="D37" t="s">
        <v>139</v>
      </c>
      <c r="E37" t="s">
        <v>140</v>
      </c>
      <c r="F37">
        <v>190</v>
      </c>
      <c r="G37">
        <v>26.62</v>
      </c>
      <c r="H37">
        <v>88</v>
      </c>
      <c r="I37">
        <v>23.06</v>
      </c>
      <c r="J37">
        <v>76.260000000000005</v>
      </c>
      <c r="K37">
        <v>1</v>
      </c>
      <c r="T37">
        <v>3</v>
      </c>
      <c r="U37">
        <v>1</v>
      </c>
      <c r="V37" t="s">
        <v>93</v>
      </c>
      <c r="W37" t="s">
        <v>151</v>
      </c>
      <c r="X37">
        <v>5</v>
      </c>
      <c r="Y37">
        <v>5</v>
      </c>
      <c r="Z37" t="s">
        <v>142</v>
      </c>
      <c r="AA37" t="s">
        <v>143</v>
      </c>
      <c r="AB37" t="s">
        <v>96</v>
      </c>
      <c r="AC37" t="s">
        <v>97</v>
      </c>
      <c r="AD37" t="s">
        <v>98</v>
      </c>
      <c r="AE37" t="s">
        <v>99</v>
      </c>
      <c r="AG37" t="s">
        <v>144</v>
      </c>
      <c r="AH37">
        <v>0</v>
      </c>
      <c r="AI37">
        <v>119</v>
      </c>
      <c r="AJ37">
        <v>24</v>
      </c>
      <c r="AK37">
        <v>0</v>
      </c>
      <c r="AL37">
        <v>0</v>
      </c>
    </row>
    <row r="38" spans="1:38" x14ac:dyDescent="0.3">
      <c r="A38" t="s">
        <v>90</v>
      </c>
      <c r="B38">
        <v>134723</v>
      </c>
      <c r="C38">
        <v>1</v>
      </c>
      <c r="D38" t="s">
        <v>152</v>
      </c>
      <c r="E38" t="s">
        <v>153</v>
      </c>
      <c r="F38">
        <v>275</v>
      </c>
      <c r="G38">
        <v>7.36</v>
      </c>
      <c r="H38">
        <v>24.36</v>
      </c>
      <c r="I38">
        <v>4.5</v>
      </c>
      <c r="J38">
        <v>14.89</v>
      </c>
      <c r="K38">
        <v>231</v>
      </c>
      <c r="T38">
        <v>1</v>
      </c>
      <c r="U38">
        <v>1</v>
      </c>
      <c r="V38" t="s">
        <v>93</v>
      </c>
      <c r="W38" t="s">
        <v>154</v>
      </c>
      <c r="X38">
        <v>13</v>
      </c>
      <c r="Y38">
        <v>13</v>
      </c>
      <c r="Z38" t="s">
        <v>155</v>
      </c>
      <c r="AA38" t="s">
        <v>156</v>
      </c>
      <c r="AB38" t="s">
        <v>96</v>
      </c>
      <c r="AC38" t="s">
        <v>97</v>
      </c>
      <c r="AD38" t="s">
        <v>98</v>
      </c>
      <c r="AE38" t="s">
        <v>99</v>
      </c>
      <c r="AG38" t="s">
        <v>157</v>
      </c>
      <c r="AH38">
        <v>0</v>
      </c>
      <c r="AI38">
        <v>466</v>
      </c>
      <c r="AJ38">
        <v>59</v>
      </c>
      <c r="AK38">
        <v>220</v>
      </c>
      <c r="AL38">
        <v>0.8</v>
      </c>
    </row>
    <row r="39" spans="1:38" x14ac:dyDescent="0.3">
      <c r="A39" t="s">
        <v>90</v>
      </c>
      <c r="B39">
        <v>134723</v>
      </c>
      <c r="C39">
        <v>2</v>
      </c>
      <c r="D39" t="s">
        <v>152</v>
      </c>
      <c r="E39" t="s">
        <v>153</v>
      </c>
      <c r="F39">
        <v>275</v>
      </c>
      <c r="G39">
        <v>11.12</v>
      </c>
      <c r="H39">
        <v>36.770000000000003</v>
      </c>
      <c r="I39">
        <v>6.95</v>
      </c>
      <c r="J39">
        <v>23</v>
      </c>
      <c r="K39">
        <v>44</v>
      </c>
      <c r="T39">
        <v>1</v>
      </c>
      <c r="U39">
        <v>1</v>
      </c>
      <c r="V39" t="s">
        <v>93</v>
      </c>
      <c r="W39" t="s">
        <v>158</v>
      </c>
      <c r="X39">
        <v>13</v>
      </c>
      <c r="Y39">
        <v>13</v>
      </c>
      <c r="Z39" t="s">
        <v>155</v>
      </c>
      <c r="AA39" t="s">
        <v>156</v>
      </c>
      <c r="AB39" t="s">
        <v>96</v>
      </c>
      <c r="AC39" t="s">
        <v>97</v>
      </c>
      <c r="AD39" t="s">
        <v>98</v>
      </c>
      <c r="AE39" t="s">
        <v>99</v>
      </c>
      <c r="AG39" t="s">
        <v>157</v>
      </c>
      <c r="AH39">
        <v>0</v>
      </c>
      <c r="AI39">
        <v>466</v>
      </c>
      <c r="AJ39">
        <v>59</v>
      </c>
      <c r="AK39">
        <v>220</v>
      </c>
      <c r="AL39">
        <v>0.8</v>
      </c>
    </row>
    <row r="40" spans="1:38" x14ac:dyDescent="0.3">
      <c r="A40" t="s">
        <v>159</v>
      </c>
      <c r="B40">
        <v>113561</v>
      </c>
      <c r="C40">
        <v>1</v>
      </c>
      <c r="D40" t="s">
        <v>160</v>
      </c>
      <c r="E40" t="s">
        <v>161</v>
      </c>
      <c r="F40">
        <v>8</v>
      </c>
      <c r="G40">
        <v>26.82</v>
      </c>
      <c r="H40">
        <v>88.68</v>
      </c>
      <c r="I40">
        <v>21.02</v>
      </c>
      <c r="J40">
        <v>69.5</v>
      </c>
      <c r="K40">
        <v>4</v>
      </c>
      <c r="T40">
        <v>3</v>
      </c>
      <c r="U40">
        <v>2</v>
      </c>
      <c r="V40" t="s">
        <v>93</v>
      </c>
      <c r="W40">
        <v>88</v>
      </c>
      <c r="X40">
        <v>6</v>
      </c>
      <c r="Y40">
        <v>6</v>
      </c>
      <c r="Z40" t="s">
        <v>162</v>
      </c>
      <c r="AA40" t="s">
        <v>163</v>
      </c>
      <c r="AB40" t="s">
        <v>96</v>
      </c>
      <c r="AC40" t="s">
        <v>97</v>
      </c>
      <c r="AD40" t="s">
        <v>98</v>
      </c>
      <c r="AE40" t="s">
        <v>164</v>
      </c>
      <c r="AG40" t="s">
        <v>165</v>
      </c>
      <c r="AH40">
        <v>0</v>
      </c>
      <c r="AI40">
        <v>396</v>
      </c>
      <c r="AJ40">
        <v>64</v>
      </c>
      <c r="AK40">
        <v>12</v>
      </c>
      <c r="AL40">
        <v>1.5</v>
      </c>
    </row>
    <row r="41" spans="1:38" x14ac:dyDescent="0.3">
      <c r="A41" t="s">
        <v>159</v>
      </c>
      <c r="B41">
        <v>113561</v>
      </c>
      <c r="C41">
        <v>2</v>
      </c>
      <c r="D41" t="s">
        <v>160</v>
      </c>
      <c r="E41" t="s">
        <v>161</v>
      </c>
      <c r="F41">
        <v>8</v>
      </c>
      <c r="G41">
        <v>29.4</v>
      </c>
      <c r="H41">
        <v>97.21</v>
      </c>
      <c r="I41">
        <v>23.04</v>
      </c>
      <c r="J41">
        <v>76.180000000000007</v>
      </c>
      <c r="K41">
        <v>4</v>
      </c>
      <c r="T41">
        <v>3</v>
      </c>
      <c r="U41">
        <v>2</v>
      </c>
      <c r="V41" t="s">
        <v>93</v>
      </c>
      <c r="W41">
        <v>97</v>
      </c>
      <c r="X41">
        <v>6</v>
      </c>
      <c r="Y41">
        <v>6</v>
      </c>
      <c r="Z41" t="s">
        <v>162</v>
      </c>
      <c r="AA41" t="s">
        <v>163</v>
      </c>
      <c r="AB41" t="s">
        <v>96</v>
      </c>
      <c r="AC41" t="s">
        <v>97</v>
      </c>
      <c r="AD41" t="s">
        <v>98</v>
      </c>
      <c r="AE41" t="s">
        <v>164</v>
      </c>
      <c r="AG41" t="s">
        <v>165</v>
      </c>
      <c r="AH41">
        <v>0</v>
      </c>
      <c r="AI41">
        <v>396</v>
      </c>
      <c r="AJ41">
        <v>64</v>
      </c>
      <c r="AK41">
        <v>12</v>
      </c>
      <c r="AL41">
        <v>1.5</v>
      </c>
    </row>
    <row r="42" spans="1:38" x14ac:dyDescent="0.3">
      <c r="A42" t="s">
        <v>159</v>
      </c>
      <c r="B42">
        <v>134437</v>
      </c>
      <c r="C42">
        <v>1</v>
      </c>
      <c r="D42" t="s">
        <v>166</v>
      </c>
      <c r="E42" t="s">
        <v>167</v>
      </c>
      <c r="F42">
        <v>24</v>
      </c>
      <c r="G42">
        <v>32.33</v>
      </c>
      <c r="H42">
        <v>106.89</v>
      </c>
      <c r="I42">
        <v>23.97</v>
      </c>
      <c r="J42">
        <v>79.25</v>
      </c>
      <c r="K42">
        <v>4</v>
      </c>
      <c r="T42">
        <v>3</v>
      </c>
      <c r="U42">
        <v>2</v>
      </c>
      <c r="V42" t="s">
        <v>93</v>
      </c>
      <c r="W42">
        <v>106</v>
      </c>
      <c r="X42">
        <v>5</v>
      </c>
      <c r="Y42">
        <v>5</v>
      </c>
      <c r="Z42" t="s">
        <v>168</v>
      </c>
      <c r="AA42" t="s">
        <v>169</v>
      </c>
      <c r="AB42" t="s">
        <v>96</v>
      </c>
      <c r="AC42" t="s">
        <v>97</v>
      </c>
      <c r="AD42" t="s">
        <v>98</v>
      </c>
      <c r="AE42" t="s">
        <v>164</v>
      </c>
      <c r="AG42" t="s">
        <v>170</v>
      </c>
      <c r="AH42">
        <v>0</v>
      </c>
      <c r="AI42">
        <v>0</v>
      </c>
      <c r="AJ42">
        <v>0</v>
      </c>
      <c r="AK42">
        <v>24</v>
      </c>
      <c r="AL42">
        <v>1</v>
      </c>
    </row>
    <row r="43" spans="1:38" x14ac:dyDescent="0.3">
      <c r="A43" t="s">
        <v>159</v>
      </c>
      <c r="B43">
        <v>134437</v>
      </c>
      <c r="C43">
        <v>2</v>
      </c>
      <c r="D43" t="s">
        <v>166</v>
      </c>
      <c r="E43" t="s">
        <v>167</v>
      </c>
      <c r="F43">
        <v>24</v>
      </c>
      <c r="G43">
        <v>32.86</v>
      </c>
      <c r="H43">
        <v>108.65</v>
      </c>
      <c r="I43">
        <v>24.36</v>
      </c>
      <c r="J43">
        <v>80.55</v>
      </c>
      <c r="K43">
        <v>4</v>
      </c>
      <c r="T43">
        <v>3</v>
      </c>
      <c r="U43">
        <v>2</v>
      </c>
      <c r="V43" t="s">
        <v>93</v>
      </c>
      <c r="W43" t="s">
        <v>132</v>
      </c>
      <c r="X43">
        <v>5</v>
      </c>
      <c r="Y43">
        <v>5</v>
      </c>
      <c r="Z43" t="s">
        <v>168</v>
      </c>
      <c r="AA43" t="s">
        <v>169</v>
      </c>
      <c r="AB43" t="s">
        <v>96</v>
      </c>
      <c r="AC43" t="s">
        <v>97</v>
      </c>
      <c r="AD43" t="s">
        <v>98</v>
      </c>
      <c r="AE43" t="s">
        <v>164</v>
      </c>
      <c r="AG43" t="s">
        <v>170</v>
      </c>
      <c r="AH43">
        <v>0</v>
      </c>
      <c r="AI43">
        <v>0</v>
      </c>
      <c r="AJ43">
        <v>0</v>
      </c>
      <c r="AK43">
        <v>24</v>
      </c>
      <c r="AL43">
        <v>1</v>
      </c>
    </row>
    <row r="44" spans="1:38" x14ac:dyDescent="0.3">
      <c r="A44" t="s">
        <v>159</v>
      </c>
      <c r="B44">
        <v>134437</v>
      </c>
      <c r="C44">
        <v>3</v>
      </c>
      <c r="D44" t="s">
        <v>166</v>
      </c>
      <c r="E44" t="s">
        <v>167</v>
      </c>
      <c r="F44">
        <v>24</v>
      </c>
      <c r="G44">
        <v>32.97</v>
      </c>
      <c r="H44">
        <v>109.01</v>
      </c>
      <c r="I44">
        <v>24.44</v>
      </c>
      <c r="J44">
        <v>80.819999999999993</v>
      </c>
      <c r="K44">
        <v>4</v>
      </c>
      <c r="T44">
        <v>3</v>
      </c>
      <c r="U44">
        <v>2</v>
      </c>
      <c r="V44" t="s">
        <v>93</v>
      </c>
      <c r="W44" t="s">
        <v>171</v>
      </c>
      <c r="X44">
        <v>5</v>
      </c>
      <c r="Y44">
        <v>5</v>
      </c>
      <c r="Z44" t="s">
        <v>168</v>
      </c>
      <c r="AA44" t="s">
        <v>169</v>
      </c>
      <c r="AB44" t="s">
        <v>96</v>
      </c>
      <c r="AC44" t="s">
        <v>97</v>
      </c>
      <c r="AD44" t="s">
        <v>98</v>
      </c>
      <c r="AE44" t="s">
        <v>164</v>
      </c>
      <c r="AG44" t="s">
        <v>170</v>
      </c>
      <c r="AH44">
        <v>0</v>
      </c>
      <c r="AI44">
        <v>0</v>
      </c>
      <c r="AJ44">
        <v>0</v>
      </c>
      <c r="AK44">
        <v>24</v>
      </c>
      <c r="AL44">
        <v>1</v>
      </c>
    </row>
    <row r="45" spans="1:38" x14ac:dyDescent="0.3">
      <c r="A45" t="s">
        <v>159</v>
      </c>
      <c r="B45">
        <v>134437</v>
      </c>
      <c r="C45">
        <v>4</v>
      </c>
      <c r="D45" t="s">
        <v>166</v>
      </c>
      <c r="E45" t="s">
        <v>167</v>
      </c>
      <c r="F45">
        <v>24</v>
      </c>
      <c r="G45">
        <v>34.24</v>
      </c>
      <c r="H45">
        <v>113.21</v>
      </c>
      <c r="I45">
        <v>24.83</v>
      </c>
      <c r="J45">
        <v>82.1</v>
      </c>
      <c r="K45">
        <v>4</v>
      </c>
      <c r="T45">
        <v>3</v>
      </c>
      <c r="U45">
        <v>2</v>
      </c>
      <c r="V45" t="s">
        <v>93</v>
      </c>
      <c r="W45">
        <v>113</v>
      </c>
      <c r="X45">
        <v>5</v>
      </c>
      <c r="Y45">
        <v>5</v>
      </c>
      <c r="Z45" t="s">
        <v>168</v>
      </c>
      <c r="AA45" t="s">
        <v>169</v>
      </c>
      <c r="AB45" t="s">
        <v>96</v>
      </c>
      <c r="AC45" t="s">
        <v>97</v>
      </c>
      <c r="AD45" t="s">
        <v>98</v>
      </c>
      <c r="AE45" t="s">
        <v>164</v>
      </c>
      <c r="AG45" t="s">
        <v>170</v>
      </c>
      <c r="AH45">
        <v>0</v>
      </c>
      <c r="AI45">
        <v>0</v>
      </c>
      <c r="AJ45">
        <v>0</v>
      </c>
      <c r="AK45">
        <v>24</v>
      </c>
      <c r="AL45">
        <v>1</v>
      </c>
    </row>
    <row r="46" spans="1:38" x14ac:dyDescent="0.3">
      <c r="A46" t="s">
        <v>159</v>
      </c>
      <c r="B46">
        <v>134437</v>
      </c>
      <c r="C46">
        <v>5</v>
      </c>
      <c r="D46" t="s">
        <v>166</v>
      </c>
      <c r="E46" t="s">
        <v>167</v>
      </c>
      <c r="F46">
        <v>24</v>
      </c>
      <c r="G46">
        <v>34.89</v>
      </c>
      <c r="H46">
        <v>115.36</v>
      </c>
      <c r="I46">
        <v>25.3</v>
      </c>
      <c r="J46">
        <v>83.66</v>
      </c>
      <c r="K46">
        <v>4</v>
      </c>
      <c r="T46">
        <v>3</v>
      </c>
      <c r="U46">
        <v>2</v>
      </c>
      <c r="V46" t="s">
        <v>93</v>
      </c>
      <c r="W46" t="s">
        <v>172</v>
      </c>
      <c r="X46">
        <v>5</v>
      </c>
      <c r="Y46">
        <v>5</v>
      </c>
      <c r="Z46" t="s">
        <v>168</v>
      </c>
      <c r="AA46" t="s">
        <v>169</v>
      </c>
      <c r="AB46" t="s">
        <v>96</v>
      </c>
      <c r="AC46" t="s">
        <v>97</v>
      </c>
      <c r="AD46" t="s">
        <v>98</v>
      </c>
      <c r="AE46" t="s">
        <v>164</v>
      </c>
      <c r="AG46" t="s">
        <v>170</v>
      </c>
      <c r="AH46">
        <v>0</v>
      </c>
      <c r="AI46">
        <v>0</v>
      </c>
      <c r="AJ46">
        <v>0</v>
      </c>
      <c r="AK46">
        <v>24</v>
      </c>
      <c r="AL46">
        <v>1</v>
      </c>
    </row>
    <row r="47" spans="1:38" x14ac:dyDescent="0.3">
      <c r="A47" t="s">
        <v>159</v>
      </c>
      <c r="B47">
        <v>134437</v>
      </c>
      <c r="C47">
        <v>6</v>
      </c>
      <c r="D47" t="s">
        <v>166</v>
      </c>
      <c r="E47" t="s">
        <v>167</v>
      </c>
      <c r="F47">
        <v>24</v>
      </c>
      <c r="G47">
        <v>35.06</v>
      </c>
      <c r="H47">
        <v>115.93</v>
      </c>
      <c r="I47">
        <v>25.43</v>
      </c>
      <c r="J47">
        <v>84.07</v>
      </c>
      <c r="K47">
        <v>4</v>
      </c>
      <c r="T47">
        <v>3</v>
      </c>
      <c r="U47">
        <v>2</v>
      </c>
      <c r="V47" t="s">
        <v>93</v>
      </c>
      <c r="W47" t="s">
        <v>173</v>
      </c>
      <c r="X47">
        <v>5</v>
      </c>
      <c r="Y47">
        <v>5</v>
      </c>
      <c r="Z47" t="s">
        <v>168</v>
      </c>
      <c r="AA47" t="s">
        <v>169</v>
      </c>
      <c r="AB47" t="s">
        <v>96</v>
      </c>
      <c r="AC47" t="s">
        <v>97</v>
      </c>
      <c r="AD47" t="s">
        <v>98</v>
      </c>
      <c r="AE47" t="s">
        <v>164</v>
      </c>
      <c r="AG47" t="s">
        <v>170</v>
      </c>
      <c r="AH47">
        <v>0</v>
      </c>
      <c r="AI47">
        <v>0</v>
      </c>
      <c r="AJ47">
        <v>0</v>
      </c>
      <c r="AK47">
        <v>24</v>
      </c>
      <c r="AL47">
        <v>1</v>
      </c>
    </row>
    <row r="48" spans="1:38" x14ac:dyDescent="0.3">
      <c r="A48" t="s">
        <v>159</v>
      </c>
      <c r="B48">
        <v>113562</v>
      </c>
      <c r="C48">
        <v>1</v>
      </c>
      <c r="D48" t="s">
        <v>174</v>
      </c>
      <c r="E48" t="s">
        <v>175</v>
      </c>
      <c r="F48">
        <v>15</v>
      </c>
      <c r="G48">
        <v>23.61</v>
      </c>
      <c r="H48">
        <v>78.06</v>
      </c>
      <c r="I48">
        <v>20.260000000000002</v>
      </c>
      <c r="J48">
        <v>67</v>
      </c>
      <c r="K48">
        <v>4</v>
      </c>
      <c r="T48">
        <v>3</v>
      </c>
      <c r="U48">
        <v>2</v>
      </c>
      <c r="V48" t="s">
        <v>93</v>
      </c>
      <c r="W48" t="s">
        <v>128</v>
      </c>
      <c r="X48">
        <v>7</v>
      </c>
      <c r="Y48">
        <v>6</v>
      </c>
      <c r="Z48" t="s">
        <v>176</v>
      </c>
      <c r="AA48" t="s">
        <v>177</v>
      </c>
      <c r="AB48" t="s">
        <v>96</v>
      </c>
      <c r="AC48" t="s">
        <v>97</v>
      </c>
      <c r="AD48" t="s">
        <v>98</v>
      </c>
      <c r="AE48" t="s">
        <v>164</v>
      </c>
      <c r="AG48" t="s">
        <v>178</v>
      </c>
      <c r="AH48">
        <v>0</v>
      </c>
      <c r="AI48">
        <v>0</v>
      </c>
      <c r="AJ48">
        <v>0</v>
      </c>
      <c r="AK48">
        <v>15</v>
      </c>
      <c r="AL48">
        <v>1</v>
      </c>
    </row>
    <row r="49" spans="1:38" x14ac:dyDescent="0.3">
      <c r="A49" t="s">
        <v>159</v>
      </c>
      <c r="B49">
        <v>113562</v>
      </c>
      <c r="C49">
        <v>2</v>
      </c>
      <c r="D49" t="s">
        <v>174</v>
      </c>
      <c r="E49" t="s">
        <v>175</v>
      </c>
      <c r="F49">
        <v>15</v>
      </c>
      <c r="G49">
        <v>23.76</v>
      </c>
      <c r="H49">
        <v>78.56</v>
      </c>
      <c r="I49">
        <v>20.39</v>
      </c>
      <c r="J49">
        <v>67.42</v>
      </c>
      <c r="K49">
        <v>4</v>
      </c>
      <c r="T49">
        <v>3</v>
      </c>
      <c r="U49">
        <v>2</v>
      </c>
      <c r="V49" t="s">
        <v>93</v>
      </c>
      <c r="W49" t="s">
        <v>179</v>
      </c>
      <c r="X49">
        <v>7</v>
      </c>
      <c r="Y49">
        <v>6</v>
      </c>
      <c r="Z49" t="s">
        <v>176</v>
      </c>
      <c r="AA49" t="s">
        <v>177</v>
      </c>
      <c r="AB49" t="s">
        <v>96</v>
      </c>
      <c r="AC49" t="s">
        <v>97</v>
      </c>
      <c r="AD49" t="s">
        <v>98</v>
      </c>
      <c r="AE49" t="s">
        <v>164</v>
      </c>
      <c r="AG49" t="s">
        <v>178</v>
      </c>
      <c r="AH49">
        <v>0</v>
      </c>
      <c r="AI49">
        <v>0</v>
      </c>
      <c r="AJ49">
        <v>0</v>
      </c>
      <c r="AK49">
        <v>15</v>
      </c>
      <c r="AL49">
        <v>1</v>
      </c>
    </row>
    <row r="50" spans="1:38" x14ac:dyDescent="0.3">
      <c r="A50" t="s">
        <v>159</v>
      </c>
      <c r="B50">
        <v>113562</v>
      </c>
      <c r="C50">
        <v>3</v>
      </c>
      <c r="D50" t="s">
        <v>174</v>
      </c>
      <c r="E50" t="s">
        <v>175</v>
      </c>
      <c r="F50">
        <v>15</v>
      </c>
      <c r="G50">
        <v>25.71</v>
      </c>
      <c r="H50">
        <v>85.01</v>
      </c>
      <c r="I50">
        <v>22.04</v>
      </c>
      <c r="J50">
        <v>72.86</v>
      </c>
      <c r="K50">
        <v>3</v>
      </c>
      <c r="T50">
        <v>3</v>
      </c>
      <c r="U50">
        <v>2</v>
      </c>
      <c r="V50" t="s">
        <v>93</v>
      </c>
      <c r="W50" t="s">
        <v>180</v>
      </c>
      <c r="X50">
        <v>7</v>
      </c>
      <c r="Y50">
        <v>6</v>
      </c>
      <c r="Z50" t="s">
        <v>176</v>
      </c>
      <c r="AA50" t="s">
        <v>177</v>
      </c>
      <c r="AB50" t="s">
        <v>96</v>
      </c>
      <c r="AC50" t="s">
        <v>97</v>
      </c>
      <c r="AD50" t="s">
        <v>98</v>
      </c>
      <c r="AE50" t="s">
        <v>164</v>
      </c>
      <c r="AG50" t="s">
        <v>178</v>
      </c>
      <c r="AH50">
        <v>0</v>
      </c>
      <c r="AI50">
        <v>0</v>
      </c>
      <c r="AJ50">
        <v>0</v>
      </c>
      <c r="AK50">
        <v>15</v>
      </c>
      <c r="AL50">
        <v>1</v>
      </c>
    </row>
    <row r="51" spans="1:38" x14ac:dyDescent="0.3">
      <c r="A51" t="s">
        <v>159</v>
      </c>
      <c r="B51">
        <v>113562</v>
      </c>
      <c r="C51">
        <v>4</v>
      </c>
      <c r="D51" t="s">
        <v>174</v>
      </c>
      <c r="E51" t="s">
        <v>175</v>
      </c>
      <c r="F51">
        <v>15</v>
      </c>
      <c r="G51">
        <v>26.38</v>
      </c>
      <c r="H51">
        <v>87.23</v>
      </c>
      <c r="I51">
        <v>22.61</v>
      </c>
      <c r="J51">
        <v>74.77</v>
      </c>
      <c r="K51">
        <v>3</v>
      </c>
      <c r="T51">
        <v>3</v>
      </c>
      <c r="U51">
        <v>2</v>
      </c>
      <c r="V51" t="s">
        <v>93</v>
      </c>
      <c r="W51" t="s">
        <v>149</v>
      </c>
      <c r="X51">
        <v>7</v>
      </c>
      <c r="Y51">
        <v>6</v>
      </c>
      <c r="Z51" t="s">
        <v>176</v>
      </c>
      <c r="AA51" t="s">
        <v>177</v>
      </c>
      <c r="AB51" t="s">
        <v>96</v>
      </c>
      <c r="AC51" t="s">
        <v>97</v>
      </c>
      <c r="AD51" t="s">
        <v>98</v>
      </c>
      <c r="AE51" t="s">
        <v>164</v>
      </c>
      <c r="AG51" t="s">
        <v>178</v>
      </c>
      <c r="AH51">
        <v>0</v>
      </c>
      <c r="AI51">
        <v>0</v>
      </c>
      <c r="AJ51">
        <v>0</v>
      </c>
      <c r="AK51">
        <v>15</v>
      </c>
      <c r="AL51">
        <v>1</v>
      </c>
    </row>
    <row r="52" spans="1:38" x14ac:dyDescent="0.3">
      <c r="A52" t="s">
        <v>159</v>
      </c>
      <c r="B52">
        <v>113562</v>
      </c>
      <c r="C52">
        <v>5</v>
      </c>
      <c r="D52" t="s">
        <v>174</v>
      </c>
      <c r="E52" t="s">
        <v>175</v>
      </c>
      <c r="F52">
        <v>15</v>
      </c>
      <c r="G52">
        <v>29.92</v>
      </c>
      <c r="H52">
        <v>98.94</v>
      </c>
      <c r="I52">
        <v>25.65</v>
      </c>
      <c r="J52">
        <v>84.8</v>
      </c>
      <c r="K52">
        <v>1</v>
      </c>
      <c r="T52">
        <v>3</v>
      </c>
      <c r="U52">
        <v>2</v>
      </c>
      <c r="V52" t="s">
        <v>93</v>
      </c>
      <c r="W52">
        <v>98</v>
      </c>
      <c r="X52">
        <v>7</v>
      </c>
      <c r="Y52">
        <v>6</v>
      </c>
      <c r="Z52" t="s">
        <v>176</v>
      </c>
      <c r="AA52" t="s">
        <v>177</v>
      </c>
      <c r="AB52" t="s">
        <v>96</v>
      </c>
      <c r="AC52" t="s">
        <v>97</v>
      </c>
      <c r="AD52" t="s">
        <v>98</v>
      </c>
      <c r="AE52" t="s">
        <v>164</v>
      </c>
      <c r="AG52" t="s">
        <v>178</v>
      </c>
      <c r="AH52">
        <v>0</v>
      </c>
      <c r="AI52">
        <v>0</v>
      </c>
      <c r="AJ52">
        <v>0</v>
      </c>
      <c r="AK52">
        <v>15</v>
      </c>
      <c r="AL52">
        <v>1</v>
      </c>
    </row>
    <row r="53" spans="1:38" x14ac:dyDescent="0.3">
      <c r="A53" t="s">
        <v>159</v>
      </c>
      <c r="B53">
        <v>126564</v>
      </c>
      <c r="C53">
        <v>1</v>
      </c>
      <c r="D53" t="s">
        <v>181</v>
      </c>
      <c r="E53" t="s">
        <v>182</v>
      </c>
      <c r="F53">
        <v>8</v>
      </c>
      <c r="G53">
        <v>23.83</v>
      </c>
      <c r="H53">
        <v>78.78</v>
      </c>
      <c r="I53">
        <v>21.15</v>
      </c>
      <c r="J53">
        <v>69.92</v>
      </c>
      <c r="K53">
        <v>8</v>
      </c>
      <c r="T53">
        <v>3</v>
      </c>
      <c r="U53">
        <v>1</v>
      </c>
      <c r="V53" t="s">
        <v>93</v>
      </c>
      <c r="W53">
        <v>78</v>
      </c>
      <c r="X53">
        <v>5</v>
      </c>
      <c r="Y53">
        <v>5</v>
      </c>
      <c r="Z53" t="s">
        <v>183</v>
      </c>
      <c r="AA53" t="s">
        <v>184</v>
      </c>
      <c r="AB53" t="s">
        <v>96</v>
      </c>
      <c r="AC53" t="s">
        <v>97</v>
      </c>
      <c r="AD53" t="s">
        <v>98</v>
      </c>
      <c r="AE53" t="s">
        <v>164</v>
      </c>
      <c r="AG53" t="s">
        <v>185</v>
      </c>
      <c r="AH53">
        <v>0</v>
      </c>
      <c r="AI53">
        <v>355</v>
      </c>
      <c r="AJ53">
        <v>60</v>
      </c>
      <c r="AK53">
        <v>8</v>
      </c>
      <c r="AL53">
        <v>1</v>
      </c>
    </row>
    <row r="54" spans="1:38" x14ac:dyDescent="0.3">
      <c r="A54" t="s">
        <v>159</v>
      </c>
      <c r="B54">
        <v>128305</v>
      </c>
      <c r="C54">
        <v>1</v>
      </c>
      <c r="D54" t="s">
        <v>186</v>
      </c>
      <c r="E54" t="s">
        <v>187</v>
      </c>
      <c r="F54">
        <v>2586</v>
      </c>
      <c r="G54">
        <v>17.61</v>
      </c>
      <c r="H54">
        <v>58.23</v>
      </c>
      <c r="I54">
        <v>12.02</v>
      </c>
      <c r="J54">
        <v>39.74</v>
      </c>
      <c r="K54">
        <v>166</v>
      </c>
      <c r="T54">
        <v>1</v>
      </c>
      <c r="U54">
        <v>1</v>
      </c>
      <c r="V54" t="s">
        <v>93</v>
      </c>
      <c r="W54">
        <v>58</v>
      </c>
      <c r="X54">
        <v>15</v>
      </c>
      <c r="Y54">
        <v>15</v>
      </c>
      <c r="Z54" t="s">
        <v>188</v>
      </c>
      <c r="AA54" t="s">
        <v>189</v>
      </c>
      <c r="AB54" t="s">
        <v>96</v>
      </c>
      <c r="AC54" t="s">
        <v>97</v>
      </c>
      <c r="AD54" t="s">
        <v>98</v>
      </c>
      <c r="AE54" t="s">
        <v>164</v>
      </c>
      <c r="AG54" t="s">
        <v>190</v>
      </c>
      <c r="AH54">
        <v>182</v>
      </c>
      <c r="AI54">
        <v>218</v>
      </c>
      <c r="AJ54">
        <v>21</v>
      </c>
      <c r="AK54">
        <v>3316</v>
      </c>
      <c r="AL54">
        <v>1.28</v>
      </c>
    </row>
    <row r="55" spans="1:38" x14ac:dyDescent="0.3">
      <c r="A55" t="s">
        <v>159</v>
      </c>
      <c r="B55">
        <v>128305</v>
      </c>
      <c r="C55">
        <v>2</v>
      </c>
      <c r="D55" t="s">
        <v>186</v>
      </c>
      <c r="E55" t="s">
        <v>187</v>
      </c>
      <c r="F55">
        <v>2586</v>
      </c>
      <c r="G55">
        <v>19.2</v>
      </c>
      <c r="H55">
        <v>63.49</v>
      </c>
      <c r="I55">
        <v>13.14</v>
      </c>
      <c r="J55">
        <v>43.46</v>
      </c>
      <c r="K55">
        <v>273</v>
      </c>
      <c r="T55">
        <v>1</v>
      </c>
      <c r="U55">
        <v>1</v>
      </c>
      <c r="V55" t="s">
        <v>93</v>
      </c>
      <c r="W55">
        <v>63</v>
      </c>
      <c r="X55">
        <v>15</v>
      </c>
      <c r="Y55">
        <v>15</v>
      </c>
      <c r="Z55" t="s">
        <v>188</v>
      </c>
      <c r="AA55" t="s">
        <v>189</v>
      </c>
      <c r="AB55" t="s">
        <v>96</v>
      </c>
      <c r="AC55" t="s">
        <v>97</v>
      </c>
      <c r="AD55" t="s">
        <v>98</v>
      </c>
      <c r="AE55" t="s">
        <v>164</v>
      </c>
      <c r="AG55" t="s">
        <v>190</v>
      </c>
      <c r="AH55">
        <v>182</v>
      </c>
      <c r="AI55">
        <v>218</v>
      </c>
      <c r="AJ55">
        <v>21</v>
      </c>
      <c r="AK55">
        <v>3316</v>
      </c>
      <c r="AL55">
        <v>1.28</v>
      </c>
    </row>
    <row r="56" spans="1:38" x14ac:dyDescent="0.3">
      <c r="A56" t="s">
        <v>159</v>
      </c>
      <c r="B56">
        <v>128305</v>
      </c>
      <c r="C56">
        <v>3</v>
      </c>
      <c r="D56" t="s">
        <v>186</v>
      </c>
      <c r="E56" t="s">
        <v>187</v>
      </c>
      <c r="F56">
        <v>2586</v>
      </c>
      <c r="G56">
        <v>22.4</v>
      </c>
      <c r="H56">
        <v>74.05</v>
      </c>
      <c r="I56">
        <v>15.1</v>
      </c>
      <c r="J56">
        <v>49.92</v>
      </c>
      <c r="K56">
        <v>197</v>
      </c>
      <c r="T56">
        <v>3</v>
      </c>
      <c r="U56">
        <v>1</v>
      </c>
      <c r="V56" t="s">
        <v>93</v>
      </c>
      <c r="W56">
        <v>74</v>
      </c>
      <c r="X56">
        <v>15</v>
      </c>
      <c r="Y56">
        <v>15</v>
      </c>
      <c r="Z56" t="s">
        <v>188</v>
      </c>
      <c r="AA56" t="s">
        <v>189</v>
      </c>
      <c r="AB56" t="s">
        <v>96</v>
      </c>
      <c r="AC56" t="s">
        <v>97</v>
      </c>
      <c r="AD56" t="s">
        <v>98</v>
      </c>
      <c r="AE56" t="s">
        <v>164</v>
      </c>
      <c r="AG56" t="s">
        <v>190</v>
      </c>
      <c r="AH56">
        <v>182</v>
      </c>
      <c r="AI56">
        <v>218</v>
      </c>
      <c r="AJ56">
        <v>21</v>
      </c>
      <c r="AK56">
        <v>3316</v>
      </c>
      <c r="AL56">
        <v>1.28</v>
      </c>
    </row>
    <row r="57" spans="1:38" x14ac:dyDescent="0.3">
      <c r="A57" t="s">
        <v>159</v>
      </c>
      <c r="B57">
        <v>128305</v>
      </c>
      <c r="C57">
        <v>4</v>
      </c>
      <c r="D57" t="s">
        <v>186</v>
      </c>
      <c r="E57" t="s">
        <v>187</v>
      </c>
      <c r="F57">
        <v>2586</v>
      </c>
      <c r="G57">
        <v>26.55</v>
      </c>
      <c r="H57">
        <v>87.79</v>
      </c>
      <c r="I57">
        <v>18.13</v>
      </c>
      <c r="J57">
        <v>59.95</v>
      </c>
      <c r="K57">
        <v>503</v>
      </c>
      <c r="T57">
        <v>3</v>
      </c>
      <c r="U57">
        <v>2</v>
      </c>
      <c r="V57" t="s">
        <v>93</v>
      </c>
      <c r="W57" t="s">
        <v>150</v>
      </c>
      <c r="X57">
        <v>15</v>
      </c>
      <c r="Y57">
        <v>15</v>
      </c>
      <c r="Z57" t="s">
        <v>188</v>
      </c>
      <c r="AA57" t="s">
        <v>189</v>
      </c>
      <c r="AB57" t="s">
        <v>96</v>
      </c>
      <c r="AC57" t="s">
        <v>97</v>
      </c>
      <c r="AD57" t="s">
        <v>98</v>
      </c>
      <c r="AE57" t="s">
        <v>164</v>
      </c>
      <c r="AG57" t="s">
        <v>190</v>
      </c>
      <c r="AH57">
        <v>182</v>
      </c>
      <c r="AI57">
        <v>218</v>
      </c>
      <c r="AJ57">
        <v>21</v>
      </c>
      <c r="AK57">
        <v>3316</v>
      </c>
      <c r="AL57">
        <v>1.28</v>
      </c>
    </row>
    <row r="58" spans="1:38" x14ac:dyDescent="0.3">
      <c r="A58" t="s">
        <v>159</v>
      </c>
      <c r="B58">
        <v>128305</v>
      </c>
      <c r="C58">
        <v>5</v>
      </c>
      <c r="D58" t="s">
        <v>186</v>
      </c>
      <c r="E58" t="s">
        <v>187</v>
      </c>
      <c r="F58">
        <v>2586</v>
      </c>
      <c r="G58">
        <v>26.78</v>
      </c>
      <c r="H58">
        <v>88.55</v>
      </c>
      <c r="I58">
        <v>18.11</v>
      </c>
      <c r="J58">
        <v>59.88</v>
      </c>
      <c r="K58">
        <v>512</v>
      </c>
      <c r="T58">
        <v>3</v>
      </c>
      <c r="U58">
        <v>2</v>
      </c>
      <c r="V58" t="s">
        <v>93</v>
      </c>
      <c r="W58" t="s">
        <v>191</v>
      </c>
      <c r="X58">
        <v>15</v>
      </c>
      <c r="Y58">
        <v>15</v>
      </c>
      <c r="Z58" t="s">
        <v>188</v>
      </c>
      <c r="AA58" t="s">
        <v>189</v>
      </c>
      <c r="AB58" t="s">
        <v>96</v>
      </c>
      <c r="AC58" t="s">
        <v>97</v>
      </c>
      <c r="AD58" t="s">
        <v>98</v>
      </c>
      <c r="AE58" t="s">
        <v>164</v>
      </c>
      <c r="AG58" t="s">
        <v>190</v>
      </c>
      <c r="AH58">
        <v>182</v>
      </c>
      <c r="AI58">
        <v>218</v>
      </c>
      <c r="AJ58">
        <v>21</v>
      </c>
      <c r="AK58">
        <v>3316</v>
      </c>
      <c r="AL58">
        <v>1.28</v>
      </c>
    </row>
    <row r="59" spans="1:38" x14ac:dyDescent="0.3">
      <c r="A59" t="s">
        <v>159</v>
      </c>
      <c r="B59">
        <v>128305</v>
      </c>
      <c r="C59">
        <v>6</v>
      </c>
      <c r="D59" t="s">
        <v>186</v>
      </c>
      <c r="E59" t="s">
        <v>187</v>
      </c>
      <c r="F59">
        <v>2586</v>
      </c>
      <c r="G59">
        <v>30.62</v>
      </c>
      <c r="H59">
        <v>101.25</v>
      </c>
      <c r="I59">
        <v>22.67</v>
      </c>
      <c r="J59">
        <v>74.959999999999994</v>
      </c>
      <c r="K59">
        <v>356</v>
      </c>
      <c r="T59">
        <v>3</v>
      </c>
      <c r="U59">
        <v>2</v>
      </c>
      <c r="V59" t="s">
        <v>93</v>
      </c>
      <c r="W59">
        <v>101</v>
      </c>
      <c r="X59">
        <v>15</v>
      </c>
      <c r="Y59">
        <v>15</v>
      </c>
      <c r="Z59" t="s">
        <v>188</v>
      </c>
      <c r="AA59" t="s">
        <v>189</v>
      </c>
      <c r="AB59" t="s">
        <v>96</v>
      </c>
      <c r="AC59" t="s">
        <v>97</v>
      </c>
      <c r="AD59" t="s">
        <v>98</v>
      </c>
      <c r="AE59" t="s">
        <v>164</v>
      </c>
      <c r="AG59" t="s">
        <v>190</v>
      </c>
      <c r="AH59">
        <v>182</v>
      </c>
      <c r="AI59">
        <v>218</v>
      </c>
      <c r="AJ59">
        <v>21</v>
      </c>
      <c r="AK59">
        <v>3316</v>
      </c>
      <c r="AL59">
        <v>1.28</v>
      </c>
    </row>
    <row r="60" spans="1:38" x14ac:dyDescent="0.3">
      <c r="A60" t="s">
        <v>159</v>
      </c>
      <c r="B60">
        <v>128305</v>
      </c>
      <c r="C60">
        <v>7</v>
      </c>
      <c r="D60" t="s">
        <v>186</v>
      </c>
      <c r="E60" t="s">
        <v>187</v>
      </c>
      <c r="F60">
        <v>2586</v>
      </c>
      <c r="G60">
        <v>33.770000000000003</v>
      </c>
      <c r="H60">
        <v>111.66</v>
      </c>
      <c r="I60">
        <v>25.68</v>
      </c>
      <c r="J60">
        <v>84.91</v>
      </c>
      <c r="K60">
        <v>552</v>
      </c>
      <c r="T60">
        <v>3</v>
      </c>
      <c r="U60">
        <v>2</v>
      </c>
      <c r="V60" t="s">
        <v>93</v>
      </c>
      <c r="W60">
        <v>111</v>
      </c>
      <c r="X60">
        <v>15</v>
      </c>
      <c r="Y60">
        <v>15</v>
      </c>
      <c r="Z60" t="s">
        <v>188</v>
      </c>
      <c r="AA60" t="s">
        <v>189</v>
      </c>
      <c r="AB60" t="s">
        <v>96</v>
      </c>
      <c r="AC60" t="s">
        <v>97</v>
      </c>
      <c r="AD60" t="s">
        <v>98</v>
      </c>
      <c r="AE60" t="s">
        <v>164</v>
      </c>
      <c r="AG60" t="s">
        <v>190</v>
      </c>
      <c r="AH60">
        <v>182</v>
      </c>
      <c r="AI60">
        <v>218</v>
      </c>
      <c r="AJ60">
        <v>21</v>
      </c>
      <c r="AK60">
        <v>3316</v>
      </c>
      <c r="AL60">
        <v>1.28</v>
      </c>
    </row>
    <row r="61" spans="1:38" x14ac:dyDescent="0.3">
      <c r="A61" t="s">
        <v>159</v>
      </c>
      <c r="B61">
        <v>128305</v>
      </c>
      <c r="C61">
        <v>8</v>
      </c>
      <c r="D61" t="s">
        <v>186</v>
      </c>
      <c r="E61" t="s">
        <v>187</v>
      </c>
      <c r="F61">
        <v>2586</v>
      </c>
      <c r="G61">
        <v>38.96</v>
      </c>
      <c r="H61">
        <v>128.81</v>
      </c>
      <c r="I61">
        <v>29.94</v>
      </c>
      <c r="J61">
        <v>98.99</v>
      </c>
      <c r="K61">
        <v>28</v>
      </c>
      <c r="T61">
        <v>4</v>
      </c>
      <c r="U61">
        <v>2</v>
      </c>
      <c r="V61" t="s">
        <v>93</v>
      </c>
      <c r="W61">
        <v>128</v>
      </c>
      <c r="X61">
        <v>15</v>
      </c>
      <c r="Y61">
        <v>15</v>
      </c>
      <c r="Z61" t="s">
        <v>188</v>
      </c>
      <c r="AA61" t="s">
        <v>189</v>
      </c>
      <c r="AB61" t="s">
        <v>96</v>
      </c>
      <c r="AC61" t="s">
        <v>97</v>
      </c>
      <c r="AD61" t="s">
        <v>98</v>
      </c>
      <c r="AE61" t="s">
        <v>164</v>
      </c>
      <c r="AG61" t="s">
        <v>190</v>
      </c>
      <c r="AH61">
        <v>182</v>
      </c>
      <c r="AI61">
        <v>218</v>
      </c>
      <c r="AJ61">
        <v>21</v>
      </c>
      <c r="AK61">
        <v>3316</v>
      </c>
      <c r="AL61">
        <v>1.28</v>
      </c>
    </row>
    <row r="62" spans="1:38" x14ac:dyDescent="0.3">
      <c r="A62" t="s">
        <v>159</v>
      </c>
      <c r="B62">
        <v>101504</v>
      </c>
      <c r="C62">
        <v>1</v>
      </c>
      <c r="D62" t="s">
        <v>192</v>
      </c>
      <c r="E62" t="s">
        <v>193</v>
      </c>
      <c r="F62">
        <v>34</v>
      </c>
      <c r="G62">
        <v>18.43</v>
      </c>
      <c r="H62">
        <v>60.94</v>
      </c>
      <c r="I62">
        <v>14.46</v>
      </c>
      <c r="J62">
        <v>47.83</v>
      </c>
      <c r="K62">
        <v>2</v>
      </c>
      <c r="T62">
        <v>2</v>
      </c>
      <c r="U62">
        <v>1</v>
      </c>
      <c r="V62" t="s">
        <v>118</v>
      </c>
      <c r="W62">
        <v>60</v>
      </c>
      <c r="X62">
        <v>6</v>
      </c>
      <c r="Y62">
        <v>6</v>
      </c>
      <c r="Z62" t="s">
        <v>194</v>
      </c>
      <c r="AA62" t="s">
        <v>195</v>
      </c>
      <c r="AB62" t="s">
        <v>96</v>
      </c>
      <c r="AC62" t="s">
        <v>97</v>
      </c>
      <c r="AD62" t="s">
        <v>98</v>
      </c>
      <c r="AE62" t="s">
        <v>164</v>
      </c>
      <c r="AG62" t="s">
        <v>196</v>
      </c>
      <c r="AH62">
        <v>0</v>
      </c>
      <c r="AI62">
        <v>364</v>
      </c>
      <c r="AJ62">
        <v>79</v>
      </c>
      <c r="AK62">
        <v>45</v>
      </c>
      <c r="AL62">
        <v>1.32</v>
      </c>
    </row>
    <row r="63" spans="1:38" x14ac:dyDescent="0.3">
      <c r="A63" t="s">
        <v>159</v>
      </c>
      <c r="B63">
        <v>101504</v>
      </c>
      <c r="C63">
        <v>2</v>
      </c>
      <c r="D63" t="s">
        <v>192</v>
      </c>
      <c r="E63" t="s">
        <v>193</v>
      </c>
      <c r="F63">
        <v>34</v>
      </c>
      <c r="G63">
        <v>27.65</v>
      </c>
      <c r="H63">
        <v>91.41</v>
      </c>
      <c r="I63">
        <v>22.34</v>
      </c>
      <c r="J63">
        <v>73.87</v>
      </c>
      <c r="K63">
        <v>3</v>
      </c>
      <c r="T63">
        <v>3</v>
      </c>
      <c r="U63">
        <v>2</v>
      </c>
      <c r="V63" t="s">
        <v>118</v>
      </c>
      <c r="W63">
        <v>91</v>
      </c>
      <c r="X63">
        <v>6</v>
      </c>
      <c r="Y63">
        <v>6</v>
      </c>
      <c r="Z63" t="s">
        <v>194</v>
      </c>
      <c r="AA63" t="s">
        <v>195</v>
      </c>
      <c r="AB63" t="s">
        <v>96</v>
      </c>
      <c r="AC63" t="s">
        <v>97</v>
      </c>
      <c r="AD63" t="s">
        <v>98</v>
      </c>
      <c r="AE63" t="s">
        <v>164</v>
      </c>
      <c r="AG63" t="s">
        <v>196</v>
      </c>
      <c r="AH63">
        <v>0</v>
      </c>
      <c r="AI63">
        <v>364</v>
      </c>
      <c r="AJ63">
        <v>79</v>
      </c>
      <c r="AK63">
        <v>45</v>
      </c>
      <c r="AL63">
        <v>1.32</v>
      </c>
    </row>
    <row r="64" spans="1:38" x14ac:dyDescent="0.3">
      <c r="A64" t="s">
        <v>159</v>
      </c>
      <c r="B64">
        <v>101504</v>
      </c>
      <c r="C64">
        <v>3</v>
      </c>
      <c r="D64" t="s">
        <v>192</v>
      </c>
      <c r="E64" t="s">
        <v>193</v>
      </c>
      <c r="F64">
        <v>34</v>
      </c>
      <c r="G64">
        <v>29.82</v>
      </c>
      <c r="H64">
        <v>98.58</v>
      </c>
      <c r="I64">
        <v>24.1</v>
      </c>
      <c r="J64">
        <v>79.67</v>
      </c>
      <c r="K64">
        <v>1</v>
      </c>
      <c r="T64">
        <v>3</v>
      </c>
      <c r="U64">
        <v>2</v>
      </c>
      <c r="V64" t="s">
        <v>118</v>
      </c>
      <c r="W64">
        <v>98</v>
      </c>
      <c r="X64">
        <v>6</v>
      </c>
      <c r="Y64">
        <v>6</v>
      </c>
      <c r="Z64" t="s">
        <v>194</v>
      </c>
      <c r="AA64" t="s">
        <v>195</v>
      </c>
      <c r="AB64" t="s">
        <v>96</v>
      </c>
      <c r="AC64" t="s">
        <v>97</v>
      </c>
      <c r="AD64" t="s">
        <v>98</v>
      </c>
      <c r="AE64" t="s">
        <v>164</v>
      </c>
      <c r="AG64" t="s">
        <v>196</v>
      </c>
      <c r="AH64">
        <v>0</v>
      </c>
      <c r="AI64">
        <v>364</v>
      </c>
      <c r="AJ64">
        <v>79</v>
      </c>
      <c r="AK64">
        <v>45</v>
      </c>
      <c r="AL64">
        <v>1.32</v>
      </c>
    </row>
    <row r="65" spans="1:38" x14ac:dyDescent="0.3">
      <c r="A65" t="s">
        <v>159</v>
      </c>
      <c r="B65">
        <v>101504</v>
      </c>
      <c r="C65">
        <v>4</v>
      </c>
      <c r="D65" t="s">
        <v>192</v>
      </c>
      <c r="E65" t="s">
        <v>193</v>
      </c>
      <c r="F65">
        <v>34</v>
      </c>
      <c r="G65">
        <v>31.64</v>
      </c>
      <c r="H65">
        <v>104.62</v>
      </c>
      <c r="I65">
        <v>25.57</v>
      </c>
      <c r="J65">
        <v>84.55</v>
      </c>
      <c r="K65">
        <v>20</v>
      </c>
      <c r="T65">
        <v>3</v>
      </c>
      <c r="U65">
        <v>2</v>
      </c>
      <c r="V65" t="s">
        <v>118</v>
      </c>
      <c r="W65" t="s">
        <v>197</v>
      </c>
      <c r="X65">
        <v>6</v>
      </c>
      <c r="Y65">
        <v>6</v>
      </c>
      <c r="Z65" t="s">
        <v>194</v>
      </c>
      <c r="AA65" t="s">
        <v>195</v>
      </c>
      <c r="AB65" t="s">
        <v>96</v>
      </c>
      <c r="AC65" t="s">
        <v>97</v>
      </c>
      <c r="AD65" t="s">
        <v>98</v>
      </c>
      <c r="AE65" t="s">
        <v>164</v>
      </c>
      <c r="AG65" t="s">
        <v>196</v>
      </c>
      <c r="AH65">
        <v>0</v>
      </c>
      <c r="AI65">
        <v>364</v>
      </c>
      <c r="AJ65">
        <v>79</v>
      </c>
      <c r="AK65">
        <v>45</v>
      </c>
      <c r="AL65">
        <v>1.32</v>
      </c>
    </row>
    <row r="66" spans="1:38" x14ac:dyDescent="0.3">
      <c r="A66" t="s">
        <v>159</v>
      </c>
      <c r="B66">
        <v>101504</v>
      </c>
      <c r="C66">
        <v>5</v>
      </c>
      <c r="D66" t="s">
        <v>192</v>
      </c>
      <c r="E66" t="s">
        <v>193</v>
      </c>
      <c r="F66">
        <v>34</v>
      </c>
      <c r="G66">
        <v>31.51</v>
      </c>
      <c r="H66">
        <v>104.18</v>
      </c>
      <c r="I66">
        <v>25.46</v>
      </c>
      <c r="J66">
        <v>84.19</v>
      </c>
      <c r="K66">
        <v>4</v>
      </c>
      <c r="T66">
        <v>3</v>
      </c>
      <c r="U66">
        <v>2</v>
      </c>
      <c r="V66" t="s">
        <v>118</v>
      </c>
      <c r="W66" t="s">
        <v>198</v>
      </c>
      <c r="X66">
        <v>6</v>
      </c>
      <c r="Y66">
        <v>6</v>
      </c>
      <c r="Z66" t="s">
        <v>194</v>
      </c>
      <c r="AA66" t="s">
        <v>195</v>
      </c>
      <c r="AB66" t="s">
        <v>96</v>
      </c>
      <c r="AC66" t="s">
        <v>97</v>
      </c>
      <c r="AD66" t="s">
        <v>98</v>
      </c>
      <c r="AE66" t="s">
        <v>164</v>
      </c>
      <c r="AG66" t="s">
        <v>196</v>
      </c>
      <c r="AH66">
        <v>0</v>
      </c>
      <c r="AI66">
        <v>364</v>
      </c>
      <c r="AJ66">
        <v>79</v>
      </c>
      <c r="AK66">
        <v>45</v>
      </c>
      <c r="AL66">
        <v>1.32</v>
      </c>
    </row>
    <row r="67" spans="1:38" x14ac:dyDescent="0.3">
      <c r="A67" t="s">
        <v>159</v>
      </c>
      <c r="B67">
        <v>101504</v>
      </c>
      <c r="C67">
        <v>6</v>
      </c>
      <c r="D67" t="s">
        <v>192</v>
      </c>
      <c r="E67" t="s">
        <v>193</v>
      </c>
      <c r="F67">
        <v>34</v>
      </c>
      <c r="G67">
        <v>31.56</v>
      </c>
      <c r="H67">
        <v>104.36</v>
      </c>
      <c r="I67">
        <v>25.51</v>
      </c>
      <c r="J67">
        <v>84.34</v>
      </c>
      <c r="K67">
        <v>1</v>
      </c>
      <c r="T67">
        <v>3</v>
      </c>
      <c r="U67">
        <v>2</v>
      </c>
      <c r="V67" t="s">
        <v>118</v>
      </c>
      <c r="W67" t="s">
        <v>199</v>
      </c>
      <c r="X67">
        <v>6</v>
      </c>
      <c r="Y67">
        <v>6</v>
      </c>
      <c r="Z67" t="s">
        <v>194</v>
      </c>
      <c r="AA67" t="s">
        <v>195</v>
      </c>
      <c r="AB67" t="s">
        <v>96</v>
      </c>
      <c r="AC67" t="s">
        <v>97</v>
      </c>
      <c r="AD67" t="s">
        <v>98</v>
      </c>
      <c r="AE67" t="s">
        <v>164</v>
      </c>
      <c r="AG67" t="s">
        <v>196</v>
      </c>
      <c r="AH67">
        <v>0</v>
      </c>
      <c r="AI67">
        <v>364</v>
      </c>
      <c r="AJ67">
        <v>79</v>
      </c>
      <c r="AK67">
        <v>45</v>
      </c>
      <c r="AL67">
        <v>1.32</v>
      </c>
    </row>
    <row r="68" spans="1:38" x14ac:dyDescent="0.3">
      <c r="A68" t="s">
        <v>159</v>
      </c>
      <c r="B68">
        <v>101504</v>
      </c>
      <c r="C68">
        <v>7</v>
      </c>
      <c r="D68" t="s">
        <v>192</v>
      </c>
      <c r="E68" t="s">
        <v>193</v>
      </c>
      <c r="F68">
        <v>34</v>
      </c>
      <c r="G68">
        <v>32.270000000000003</v>
      </c>
      <c r="H68">
        <v>106.68</v>
      </c>
      <c r="I68">
        <v>25.69</v>
      </c>
      <c r="J68">
        <v>84.95</v>
      </c>
      <c r="K68">
        <v>3</v>
      </c>
      <c r="T68">
        <v>3</v>
      </c>
      <c r="U68">
        <v>2</v>
      </c>
      <c r="V68" t="s">
        <v>118</v>
      </c>
      <c r="W68">
        <v>106</v>
      </c>
      <c r="X68">
        <v>6</v>
      </c>
      <c r="Y68">
        <v>6</v>
      </c>
      <c r="Z68" t="s">
        <v>194</v>
      </c>
      <c r="AA68" t="s">
        <v>195</v>
      </c>
      <c r="AB68" t="s">
        <v>96</v>
      </c>
      <c r="AC68" t="s">
        <v>97</v>
      </c>
      <c r="AD68" t="s">
        <v>98</v>
      </c>
      <c r="AE68" t="s">
        <v>164</v>
      </c>
      <c r="AG68" t="s">
        <v>196</v>
      </c>
      <c r="AH68">
        <v>0</v>
      </c>
      <c r="AI68">
        <v>364</v>
      </c>
      <c r="AJ68">
        <v>79</v>
      </c>
      <c r="AK68">
        <v>45</v>
      </c>
      <c r="AL68">
        <v>1.32</v>
      </c>
    </row>
    <row r="69" spans="1:38" x14ac:dyDescent="0.3">
      <c r="A69" t="s">
        <v>159</v>
      </c>
      <c r="B69">
        <v>23258</v>
      </c>
      <c r="C69">
        <v>1</v>
      </c>
      <c r="D69" t="s">
        <v>200</v>
      </c>
      <c r="E69" t="s">
        <v>201</v>
      </c>
      <c r="F69">
        <v>156</v>
      </c>
      <c r="G69">
        <v>16.940000000000001</v>
      </c>
      <c r="H69">
        <v>56</v>
      </c>
      <c r="I69">
        <v>12.09</v>
      </c>
      <c r="J69">
        <v>39.99</v>
      </c>
      <c r="K69">
        <v>9</v>
      </c>
      <c r="T69">
        <v>1</v>
      </c>
      <c r="U69">
        <v>1</v>
      </c>
      <c r="V69" t="s">
        <v>118</v>
      </c>
      <c r="W69">
        <v>56</v>
      </c>
      <c r="X69">
        <v>10</v>
      </c>
      <c r="Y69">
        <v>10</v>
      </c>
      <c r="Z69" t="s">
        <v>202</v>
      </c>
      <c r="AA69" t="s">
        <v>203</v>
      </c>
      <c r="AB69" t="s">
        <v>96</v>
      </c>
      <c r="AC69" t="s">
        <v>97</v>
      </c>
      <c r="AD69" t="s">
        <v>98</v>
      </c>
      <c r="AE69" t="s">
        <v>164</v>
      </c>
      <c r="AG69" t="s">
        <v>204</v>
      </c>
      <c r="AH69">
        <v>0</v>
      </c>
      <c r="AI69">
        <v>343</v>
      </c>
      <c r="AJ69">
        <v>43</v>
      </c>
      <c r="AK69">
        <v>200</v>
      </c>
      <c r="AL69">
        <v>1.28</v>
      </c>
    </row>
    <row r="70" spans="1:38" x14ac:dyDescent="0.3">
      <c r="A70" t="s">
        <v>159</v>
      </c>
      <c r="B70">
        <v>23258</v>
      </c>
      <c r="C70">
        <v>2</v>
      </c>
      <c r="D70" t="s">
        <v>200</v>
      </c>
      <c r="E70" t="s">
        <v>201</v>
      </c>
      <c r="F70">
        <v>156</v>
      </c>
      <c r="G70">
        <v>22.31</v>
      </c>
      <c r="H70">
        <v>73.760000000000005</v>
      </c>
      <c r="I70">
        <v>16.329999999999998</v>
      </c>
      <c r="J70">
        <v>53.99</v>
      </c>
      <c r="K70">
        <v>19</v>
      </c>
      <c r="T70">
        <v>3</v>
      </c>
      <c r="U70">
        <v>2</v>
      </c>
      <c r="V70" t="s">
        <v>118</v>
      </c>
      <c r="W70" t="s">
        <v>205</v>
      </c>
      <c r="X70">
        <v>10</v>
      </c>
      <c r="Y70">
        <v>10</v>
      </c>
      <c r="Z70" t="s">
        <v>202</v>
      </c>
      <c r="AA70" t="s">
        <v>203</v>
      </c>
      <c r="AB70" t="s">
        <v>96</v>
      </c>
      <c r="AC70" t="s">
        <v>97</v>
      </c>
      <c r="AD70" t="s">
        <v>98</v>
      </c>
      <c r="AE70" t="s">
        <v>164</v>
      </c>
      <c r="AG70" t="s">
        <v>204</v>
      </c>
      <c r="AH70">
        <v>0</v>
      </c>
      <c r="AI70">
        <v>343</v>
      </c>
      <c r="AJ70">
        <v>43</v>
      </c>
      <c r="AK70">
        <v>200</v>
      </c>
      <c r="AL70">
        <v>1.28</v>
      </c>
    </row>
    <row r="71" spans="1:38" x14ac:dyDescent="0.3">
      <c r="A71" t="s">
        <v>159</v>
      </c>
      <c r="B71">
        <v>23258</v>
      </c>
      <c r="C71">
        <v>3</v>
      </c>
      <c r="D71" t="s">
        <v>200</v>
      </c>
      <c r="E71" t="s">
        <v>201</v>
      </c>
      <c r="F71">
        <v>156</v>
      </c>
      <c r="G71">
        <v>22.31</v>
      </c>
      <c r="H71">
        <v>73.77</v>
      </c>
      <c r="I71">
        <v>16.29</v>
      </c>
      <c r="J71">
        <v>53.86</v>
      </c>
      <c r="K71">
        <v>1</v>
      </c>
      <c r="T71">
        <v>3</v>
      </c>
      <c r="U71">
        <v>1</v>
      </c>
      <c r="V71" t="s">
        <v>93</v>
      </c>
      <c r="W71" t="s">
        <v>206</v>
      </c>
      <c r="X71">
        <v>10</v>
      </c>
      <c r="Y71">
        <v>10</v>
      </c>
      <c r="Z71" t="s">
        <v>202</v>
      </c>
      <c r="AA71" t="s">
        <v>203</v>
      </c>
      <c r="AB71" t="s">
        <v>96</v>
      </c>
      <c r="AC71" t="s">
        <v>97</v>
      </c>
      <c r="AD71" t="s">
        <v>98</v>
      </c>
      <c r="AE71" t="s">
        <v>164</v>
      </c>
      <c r="AG71" t="s">
        <v>204</v>
      </c>
      <c r="AH71">
        <v>0</v>
      </c>
      <c r="AI71">
        <v>343</v>
      </c>
      <c r="AJ71">
        <v>43</v>
      </c>
      <c r="AK71">
        <v>200</v>
      </c>
      <c r="AL71">
        <v>1.28</v>
      </c>
    </row>
    <row r="72" spans="1:38" x14ac:dyDescent="0.3">
      <c r="A72" t="s">
        <v>159</v>
      </c>
      <c r="B72">
        <v>23258</v>
      </c>
      <c r="C72">
        <v>4</v>
      </c>
      <c r="D72" t="s">
        <v>200</v>
      </c>
      <c r="E72" t="s">
        <v>201</v>
      </c>
      <c r="F72">
        <v>156</v>
      </c>
      <c r="G72">
        <v>23.23</v>
      </c>
      <c r="H72">
        <v>76.8</v>
      </c>
      <c r="I72">
        <v>17.059999999999999</v>
      </c>
      <c r="J72">
        <v>56.42</v>
      </c>
      <c r="K72">
        <v>9</v>
      </c>
      <c r="T72">
        <v>3</v>
      </c>
      <c r="U72">
        <v>1</v>
      </c>
      <c r="V72" t="s">
        <v>118</v>
      </c>
      <c r="W72" t="s">
        <v>207</v>
      </c>
      <c r="X72">
        <v>10</v>
      </c>
      <c r="Y72">
        <v>10</v>
      </c>
      <c r="Z72" t="s">
        <v>202</v>
      </c>
      <c r="AA72" t="s">
        <v>203</v>
      </c>
      <c r="AB72" t="s">
        <v>96</v>
      </c>
      <c r="AC72" t="s">
        <v>97</v>
      </c>
      <c r="AD72" t="s">
        <v>98</v>
      </c>
      <c r="AE72" t="s">
        <v>164</v>
      </c>
      <c r="AG72" t="s">
        <v>204</v>
      </c>
      <c r="AH72">
        <v>0</v>
      </c>
      <c r="AI72">
        <v>343</v>
      </c>
      <c r="AJ72">
        <v>43</v>
      </c>
      <c r="AK72">
        <v>200</v>
      </c>
      <c r="AL72">
        <v>1.28</v>
      </c>
    </row>
    <row r="73" spans="1:38" x14ac:dyDescent="0.3">
      <c r="A73" t="s">
        <v>159</v>
      </c>
      <c r="B73">
        <v>23258</v>
      </c>
      <c r="C73">
        <v>5</v>
      </c>
      <c r="D73" t="s">
        <v>200</v>
      </c>
      <c r="E73" t="s">
        <v>201</v>
      </c>
      <c r="F73">
        <v>156</v>
      </c>
      <c r="G73">
        <v>23.21</v>
      </c>
      <c r="H73">
        <v>76.760000000000005</v>
      </c>
      <c r="I73">
        <v>17.04</v>
      </c>
      <c r="J73">
        <v>56.36</v>
      </c>
      <c r="K73">
        <v>1</v>
      </c>
      <c r="T73">
        <v>3</v>
      </c>
      <c r="U73">
        <v>1</v>
      </c>
      <c r="V73" t="s">
        <v>118</v>
      </c>
      <c r="W73">
        <v>76</v>
      </c>
      <c r="X73">
        <v>10</v>
      </c>
      <c r="Y73">
        <v>10</v>
      </c>
      <c r="Z73" t="s">
        <v>202</v>
      </c>
      <c r="AA73" t="s">
        <v>203</v>
      </c>
      <c r="AB73" t="s">
        <v>96</v>
      </c>
      <c r="AC73" t="s">
        <v>97</v>
      </c>
      <c r="AD73" t="s">
        <v>98</v>
      </c>
      <c r="AE73" t="s">
        <v>164</v>
      </c>
      <c r="AG73" t="s">
        <v>204</v>
      </c>
      <c r="AH73">
        <v>0</v>
      </c>
      <c r="AI73">
        <v>343</v>
      </c>
      <c r="AJ73">
        <v>43</v>
      </c>
      <c r="AK73">
        <v>200</v>
      </c>
      <c r="AL73">
        <v>1.28</v>
      </c>
    </row>
    <row r="74" spans="1:38" x14ac:dyDescent="0.3">
      <c r="A74" t="s">
        <v>159</v>
      </c>
      <c r="B74">
        <v>23258</v>
      </c>
      <c r="C74">
        <v>6</v>
      </c>
      <c r="D74" t="s">
        <v>200</v>
      </c>
      <c r="E74" t="s">
        <v>201</v>
      </c>
      <c r="F74">
        <v>156</v>
      </c>
      <c r="G74">
        <v>23.99</v>
      </c>
      <c r="H74">
        <v>79.319999999999993</v>
      </c>
      <c r="I74">
        <v>17.059999999999999</v>
      </c>
      <c r="J74">
        <v>56.42</v>
      </c>
      <c r="K74">
        <v>10</v>
      </c>
      <c r="T74">
        <v>3</v>
      </c>
      <c r="U74">
        <v>2</v>
      </c>
      <c r="V74" t="s">
        <v>118</v>
      </c>
      <c r="W74">
        <v>79</v>
      </c>
      <c r="X74">
        <v>10</v>
      </c>
      <c r="Y74">
        <v>10</v>
      </c>
      <c r="Z74" t="s">
        <v>202</v>
      </c>
      <c r="AA74" t="s">
        <v>203</v>
      </c>
      <c r="AB74" t="s">
        <v>96</v>
      </c>
      <c r="AC74" t="s">
        <v>97</v>
      </c>
      <c r="AD74" t="s">
        <v>98</v>
      </c>
      <c r="AE74" t="s">
        <v>164</v>
      </c>
      <c r="AG74" t="s">
        <v>204</v>
      </c>
      <c r="AH74">
        <v>0</v>
      </c>
      <c r="AI74">
        <v>343</v>
      </c>
      <c r="AJ74">
        <v>43</v>
      </c>
      <c r="AK74">
        <v>200</v>
      </c>
      <c r="AL74">
        <v>1.28</v>
      </c>
    </row>
    <row r="75" spans="1:38" x14ac:dyDescent="0.3">
      <c r="A75" t="s">
        <v>159</v>
      </c>
      <c r="B75">
        <v>23258</v>
      </c>
      <c r="C75">
        <v>7</v>
      </c>
      <c r="D75" t="s">
        <v>200</v>
      </c>
      <c r="E75" t="s">
        <v>201</v>
      </c>
      <c r="F75">
        <v>156</v>
      </c>
      <c r="G75">
        <v>26.35</v>
      </c>
      <c r="H75">
        <v>87.14</v>
      </c>
      <c r="I75">
        <v>19.309999999999999</v>
      </c>
      <c r="J75">
        <v>63.85</v>
      </c>
      <c r="K75">
        <v>10</v>
      </c>
      <c r="T75">
        <v>3</v>
      </c>
      <c r="U75">
        <v>2</v>
      </c>
      <c r="V75" t="s">
        <v>118</v>
      </c>
      <c r="W75">
        <v>87</v>
      </c>
      <c r="X75">
        <v>10</v>
      </c>
      <c r="Y75">
        <v>10</v>
      </c>
      <c r="Z75" t="s">
        <v>202</v>
      </c>
      <c r="AA75" t="s">
        <v>203</v>
      </c>
      <c r="AB75" t="s">
        <v>96</v>
      </c>
      <c r="AC75" t="s">
        <v>97</v>
      </c>
      <c r="AD75" t="s">
        <v>98</v>
      </c>
      <c r="AE75" t="s">
        <v>164</v>
      </c>
      <c r="AG75" t="s">
        <v>204</v>
      </c>
      <c r="AH75">
        <v>0</v>
      </c>
      <c r="AI75">
        <v>343</v>
      </c>
      <c r="AJ75">
        <v>43</v>
      </c>
      <c r="AK75">
        <v>200</v>
      </c>
      <c r="AL75">
        <v>1.28</v>
      </c>
    </row>
    <row r="76" spans="1:38" x14ac:dyDescent="0.3">
      <c r="A76" t="s">
        <v>159</v>
      </c>
      <c r="B76">
        <v>23258</v>
      </c>
      <c r="C76">
        <v>8</v>
      </c>
      <c r="D76" t="s">
        <v>200</v>
      </c>
      <c r="E76" t="s">
        <v>201</v>
      </c>
      <c r="F76">
        <v>156</v>
      </c>
      <c r="G76">
        <v>27.28</v>
      </c>
      <c r="H76">
        <v>90.2</v>
      </c>
      <c r="I76">
        <v>20.13</v>
      </c>
      <c r="J76">
        <v>66.55</v>
      </c>
      <c r="K76">
        <v>30</v>
      </c>
      <c r="T76">
        <v>3</v>
      </c>
      <c r="U76">
        <v>2</v>
      </c>
      <c r="V76" t="s">
        <v>118</v>
      </c>
      <c r="W76">
        <v>90</v>
      </c>
      <c r="X76">
        <v>10</v>
      </c>
      <c r="Y76">
        <v>10</v>
      </c>
      <c r="Z76" t="s">
        <v>202</v>
      </c>
      <c r="AA76" t="s">
        <v>203</v>
      </c>
      <c r="AB76" t="s">
        <v>96</v>
      </c>
      <c r="AC76" t="s">
        <v>97</v>
      </c>
      <c r="AD76" t="s">
        <v>98</v>
      </c>
      <c r="AE76" t="s">
        <v>164</v>
      </c>
      <c r="AG76" t="s">
        <v>204</v>
      </c>
      <c r="AH76">
        <v>0</v>
      </c>
      <c r="AI76">
        <v>343</v>
      </c>
      <c r="AJ76">
        <v>43</v>
      </c>
      <c r="AK76">
        <v>200</v>
      </c>
      <c r="AL76">
        <v>1.28</v>
      </c>
    </row>
    <row r="77" spans="1:38" x14ac:dyDescent="0.3">
      <c r="A77" t="s">
        <v>159</v>
      </c>
      <c r="B77">
        <v>23258</v>
      </c>
      <c r="C77">
        <v>9</v>
      </c>
      <c r="D77" t="s">
        <v>200</v>
      </c>
      <c r="E77" t="s">
        <v>201</v>
      </c>
      <c r="F77">
        <v>156</v>
      </c>
      <c r="G77">
        <v>29.92</v>
      </c>
      <c r="H77">
        <v>98.91</v>
      </c>
      <c r="I77">
        <v>21.96</v>
      </c>
      <c r="J77">
        <v>72.61</v>
      </c>
      <c r="K77">
        <v>9</v>
      </c>
      <c r="T77">
        <v>3</v>
      </c>
      <c r="U77">
        <v>2</v>
      </c>
      <c r="V77" t="s">
        <v>118</v>
      </c>
      <c r="W77" t="s">
        <v>208</v>
      </c>
      <c r="X77">
        <v>10</v>
      </c>
      <c r="Y77">
        <v>10</v>
      </c>
      <c r="Z77" t="s">
        <v>202</v>
      </c>
      <c r="AA77" t="s">
        <v>203</v>
      </c>
      <c r="AB77" t="s">
        <v>96</v>
      </c>
      <c r="AC77" t="s">
        <v>97</v>
      </c>
      <c r="AD77" t="s">
        <v>98</v>
      </c>
      <c r="AE77" t="s">
        <v>164</v>
      </c>
      <c r="AG77" t="s">
        <v>204</v>
      </c>
      <c r="AH77">
        <v>0</v>
      </c>
      <c r="AI77">
        <v>343</v>
      </c>
      <c r="AJ77">
        <v>43</v>
      </c>
      <c r="AK77">
        <v>200</v>
      </c>
      <c r="AL77">
        <v>1.28</v>
      </c>
    </row>
    <row r="78" spans="1:38" x14ac:dyDescent="0.3">
      <c r="A78" t="s">
        <v>159</v>
      </c>
      <c r="B78">
        <v>23258</v>
      </c>
      <c r="C78">
        <v>10</v>
      </c>
      <c r="D78" t="s">
        <v>200</v>
      </c>
      <c r="E78" t="s">
        <v>201</v>
      </c>
      <c r="F78">
        <v>156</v>
      </c>
      <c r="G78">
        <v>30.03</v>
      </c>
      <c r="H78">
        <v>99.29</v>
      </c>
      <c r="I78">
        <v>22.05</v>
      </c>
      <c r="J78">
        <v>72.900000000000006</v>
      </c>
      <c r="K78">
        <v>9</v>
      </c>
      <c r="T78">
        <v>3</v>
      </c>
      <c r="U78">
        <v>2</v>
      </c>
      <c r="V78" t="s">
        <v>118</v>
      </c>
      <c r="W78" t="s">
        <v>209</v>
      </c>
      <c r="X78">
        <v>10</v>
      </c>
      <c r="Y78">
        <v>10</v>
      </c>
      <c r="Z78" t="s">
        <v>202</v>
      </c>
      <c r="AA78" t="s">
        <v>203</v>
      </c>
      <c r="AB78" t="s">
        <v>96</v>
      </c>
      <c r="AC78" t="s">
        <v>97</v>
      </c>
      <c r="AD78" t="s">
        <v>98</v>
      </c>
      <c r="AE78" t="s">
        <v>164</v>
      </c>
      <c r="AG78" t="s">
        <v>204</v>
      </c>
      <c r="AH78">
        <v>0</v>
      </c>
      <c r="AI78">
        <v>343</v>
      </c>
      <c r="AJ78">
        <v>43</v>
      </c>
      <c r="AK78">
        <v>200</v>
      </c>
      <c r="AL78">
        <v>1.28</v>
      </c>
    </row>
    <row r="79" spans="1:38" x14ac:dyDescent="0.3">
      <c r="A79" t="s">
        <v>159</v>
      </c>
      <c r="B79">
        <v>23258</v>
      </c>
      <c r="C79">
        <v>11</v>
      </c>
      <c r="D79" t="s">
        <v>200</v>
      </c>
      <c r="E79" t="s">
        <v>201</v>
      </c>
      <c r="F79">
        <v>156</v>
      </c>
      <c r="G79">
        <v>32.44</v>
      </c>
      <c r="H79">
        <v>107.24</v>
      </c>
      <c r="I79">
        <v>23.87</v>
      </c>
      <c r="J79">
        <v>78.92</v>
      </c>
      <c r="K79">
        <v>10</v>
      </c>
      <c r="T79">
        <v>3</v>
      </c>
      <c r="U79">
        <v>2</v>
      </c>
      <c r="V79" t="s">
        <v>118</v>
      </c>
      <c r="W79">
        <v>107</v>
      </c>
      <c r="X79">
        <v>10</v>
      </c>
      <c r="Y79">
        <v>10</v>
      </c>
      <c r="Z79" t="s">
        <v>202</v>
      </c>
      <c r="AA79" t="s">
        <v>203</v>
      </c>
      <c r="AB79" t="s">
        <v>96</v>
      </c>
      <c r="AC79" t="s">
        <v>97</v>
      </c>
      <c r="AD79" t="s">
        <v>98</v>
      </c>
      <c r="AE79" t="s">
        <v>164</v>
      </c>
      <c r="AG79" t="s">
        <v>204</v>
      </c>
      <c r="AH79">
        <v>0</v>
      </c>
      <c r="AI79">
        <v>343</v>
      </c>
      <c r="AJ79">
        <v>43</v>
      </c>
      <c r="AK79">
        <v>200</v>
      </c>
      <c r="AL79">
        <v>1.28</v>
      </c>
    </row>
    <row r="80" spans="1:38" x14ac:dyDescent="0.3">
      <c r="A80" t="s">
        <v>159</v>
      </c>
      <c r="B80">
        <v>23258</v>
      </c>
      <c r="C80">
        <v>12</v>
      </c>
      <c r="D80" t="s">
        <v>200</v>
      </c>
      <c r="E80" t="s">
        <v>201</v>
      </c>
      <c r="F80">
        <v>156</v>
      </c>
      <c r="G80">
        <v>33.35</v>
      </c>
      <c r="H80">
        <v>110.25</v>
      </c>
      <c r="I80">
        <v>24.67</v>
      </c>
      <c r="J80">
        <v>81.56</v>
      </c>
      <c r="K80">
        <v>30</v>
      </c>
      <c r="T80">
        <v>3</v>
      </c>
      <c r="U80">
        <v>2</v>
      </c>
      <c r="V80" t="s">
        <v>118</v>
      </c>
      <c r="W80">
        <v>110</v>
      </c>
      <c r="X80">
        <v>10</v>
      </c>
      <c r="Y80">
        <v>10</v>
      </c>
      <c r="Z80" t="s">
        <v>202</v>
      </c>
      <c r="AA80" t="s">
        <v>203</v>
      </c>
      <c r="AB80" t="s">
        <v>96</v>
      </c>
      <c r="AC80" t="s">
        <v>97</v>
      </c>
      <c r="AD80" t="s">
        <v>98</v>
      </c>
      <c r="AE80" t="s">
        <v>164</v>
      </c>
      <c r="AG80" t="s">
        <v>204</v>
      </c>
      <c r="AH80">
        <v>0</v>
      </c>
      <c r="AI80">
        <v>343</v>
      </c>
      <c r="AJ80">
        <v>43</v>
      </c>
      <c r="AK80">
        <v>200</v>
      </c>
      <c r="AL80">
        <v>1.28</v>
      </c>
    </row>
    <row r="81" spans="1:38" x14ac:dyDescent="0.3">
      <c r="A81" t="s">
        <v>159</v>
      </c>
      <c r="B81">
        <v>23258</v>
      </c>
      <c r="C81">
        <v>13</v>
      </c>
      <c r="D81" t="s">
        <v>200</v>
      </c>
      <c r="E81" t="s">
        <v>201</v>
      </c>
      <c r="F81">
        <v>156</v>
      </c>
      <c r="G81">
        <v>34.950000000000003</v>
      </c>
      <c r="H81">
        <v>115.55</v>
      </c>
      <c r="I81">
        <v>25.69</v>
      </c>
      <c r="J81">
        <v>84.94</v>
      </c>
      <c r="K81">
        <v>9</v>
      </c>
      <c r="T81">
        <v>3</v>
      </c>
      <c r="U81">
        <v>2</v>
      </c>
      <c r="V81" t="s">
        <v>118</v>
      </c>
      <c r="W81">
        <v>115</v>
      </c>
      <c r="X81">
        <v>10</v>
      </c>
      <c r="Y81">
        <v>10</v>
      </c>
      <c r="Z81" t="s">
        <v>202</v>
      </c>
      <c r="AA81" t="s">
        <v>203</v>
      </c>
      <c r="AB81" t="s">
        <v>96</v>
      </c>
      <c r="AC81" t="s">
        <v>97</v>
      </c>
      <c r="AD81" t="s">
        <v>98</v>
      </c>
      <c r="AE81" t="s">
        <v>164</v>
      </c>
      <c r="AG81" t="s">
        <v>204</v>
      </c>
      <c r="AH81">
        <v>0</v>
      </c>
      <c r="AI81">
        <v>343</v>
      </c>
      <c r="AJ81">
        <v>43</v>
      </c>
      <c r="AK81">
        <v>200</v>
      </c>
      <c r="AL81">
        <v>1.28</v>
      </c>
    </row>
    <row r="82" spans="1:38" x14ac:dyDescent="0.3">
      <c r="A82" t="s">
        <v>159</v>
      </c>
      <c r="B82">
        <v>144781</v>
      </c>
      <c r="C82">
        <v>1</v>
      </c>
      <c r="D82" t="s">
        <v>210</v>
      </c>
      <c r="E82" t="s">
        <v>211</v>
      </c>
      <c r="F82">
        <v>12</v>
      </c>
      <c r="G82">
        <v>15.42</v>
      </c>
      <c r="H82">
        <v>51</v>
      </c>
      <c r="I82">
        <v>14.03</v>
      </c>
      <c r="J82">
        <v>46.39</v>
      </c>
      <c r="K82">
        <v>4</v>
      </c>
      <c r="T82">
        <v>2</v>
      </c>
      <c r="U82">
        <v>1</v>
      </c>
      <c r="V82" t="s">
        <v>93</v>
      </c>
      <c r="W82">
        <v>51</v>
      </c>
      <c r="X82">
        <v>5</v>
      </c>
      <c r="Y82">
        <v>5</v>
      </c>
      <c r="Z82" t="s">
        <v>212</v>
      </c>
      <c r="AA82" t="s">
        <v>213</v>
      </c>
      <c r="AB82" t="s">
        <v>96</v>
      </c>
      <c r="AC82" t="s">
        <v>97</v>
      </c>
      <c r="AD82" t="s">
        <v>98</v>
      </c>
      <c r="AE82" t="s">
        <v>164</v>
      </c>
      <c r="AG82" t="s">
        <v>214</v>
      </c>
      <c r="AH82">
        <v>0</v>
      </c>
      <c r="AI82">
        <v>201</v>
      </c>
      <c r="AJ82">
        <v>61</v>
      </c>
      <c r="AK82">
        <v>11</v>
      </c>
      <c r="AL82">
        <v>0.92</v>
      </c>
    </row>
    <row r="83" spans="1:38" x14ac:dyDescent="0.3">
      <c r="A83" t="s">
        <v>159</v>
      </c>
      <c r="B83">
        <v>144781</v>
      </c>
      <c r="C83">
        <v>2</v>
      </c>
      <c r="D83" t="s">
        <v>210</v>
      </c>
      <c r="E83" t="s">
        <v>211</v>
      </c>
      <c r="F83">
        <v>12</v>
      </c>
      <c r="G83">
        <v>16.93</v>
      </c>
      <c r="H83">
        <v>55.98</v>
      </c>
      <c r="I83">
        <v>15.4</v>
      </c>
      <c r="J83">
        <v>50.92</v>
      </c>
      <c r="K83">
        <v>4</v>
      </c>
      <c r="T83">
        <v>2</v>
      </c>
      <c r="U83">
        <v>1</v>
      </c>
      <c r="V83" t="s">
        <v>93</v>
      </c>
      <c r="W83" t="s">
        <v>215</v>
      </c>
      <c r="X83">
        <v>5</v>
      </c>
      <c r="Y83">
        <v>5</v>
      </c>
      <c r="Z83" t="s">
        <v>212</v>
      </c>
      <c r="AA83" t="s">
        <v>213</v>
      </c>
      <c r="AB83" t="s">
        <v>96</v>
      </c>
      <c r="AC83" t="s">
        <v>97</v>
      </c>
      <c r="AD83" t="s">
        <v>98</v>
      </c>
      <c r="AE83" t="s">
        <v>164</v>
      </c>
      <c r="AG83" t="s">
        <v>214</v>
      </c>
      <c r="AH83">
        <v>0</v>
      </c>
      <c r="AI83">
        <v>201</v>
      </c>
      <c r="AJ83">
        <v>61</v>
      </c>
      <c r="AK83">
        <v>11</v>
      </c>
      <c r="AL83">
        <v>0.92</v>
      </c>
    </row>
    <row r="84" spans="1:38" x14ac:dyDescent="0.3">
      <c r="A84" t="s">
        <v>159</v>
      </c>
      <c r="B84">
        <v>144781</v>
      </c>
      <c r="C84">
        <v>3</v>
      </c>
      <c r="D84" t="s">
        <v>210</v>
      </c>
      <c r="E84" t="s">
        <v>211</v>
      </c>
      <c r="F84">
        <v>12</v>
      </c>
      <c r="G84">
        <v>17.22</v>
      </c>
      <c r="H84">
        <v>56.95</v>
      </c>
      <c r="I84">
        <v>15.67</v>
      </c>
      <c r="J84">
        <v>51.81</v>
      </c>
      <c r="K84">
        <v>4</v>
      </c>
      <c r="T84">
        <v>2</v>
      </c>
      <c r="U84">
        <v>1</v>
      </c>
      <c r="V84" t="s">
        <v>93</v>
      </c>
      <c r="W84" t="s">
        <v>216</v>
      </c>
      <c r="X84">
        <v>5</v>
      </c>
      <c r="Y84">
        <v>5</v>
      </c>
      <c r="Z84" t="s">
        <v>212</v>
      </c>
      <c r="AA84" t="s">
        <v>213</v>
      </c>
      <c r="AB84" t="s">
        <v>96</v>
      </c>
      <c r="AC84" t="s">
        <v>97</v>
      </c>
      <c r="AD84" t="s">
        <v>98</v>
      </c>
      <c r="AE84" t="s">
        <v>164</v>
      </c>
      <c r="AG84" t="s">
        <v>214</v>
      </c>
      <c r="AH84">
        <v>0</v>
      </c>
      <c r="AI84">
        <v>201</v>
      </c>
      <c r="AJ84">
        <v>61</v>
      </c>
      <c r="AK84">
        <v>11</v>
      </c>
      <c r="AL84">
        <v>0.92</v>
      </c>
    </row>
    <row r="85" spans="1:38" x14ac:dyDescent="0.3">
      <c r="A85" t="s">
        <v>159</v>
      </c>
      <c r="B85">
        <v>122735</v>
      </c>
      <c r="C85">
        <v>1</v>
      </c>
      <c r="D85" t="s">
        <v>217</v>
      </c>
      <c r="E85" t="s">
        <v>218</v>
      </c>
      <c r="F85">
        <v>9</v>
      </c>
      <c r="G85">
        <v>18.399999999999999</v>
      </c>
      <c r="H85">
        <v>60.85</v>
      </c>
      <c r="I85">
        <v>15.84</v>
      </c>
      <c r="J85">
        <v>52.39</v>
      </c>
      <c r="K85">
        <v>3</v>
      </c>
      <c r="T85">
        <v>2</v>
      </c>
      <c r="U85">
        <v>1</v>
      </c>
      <c r="V85" t="s">
        <v>93</v>
      </c>
      <c r="W85">
        <v>60</v>
      </c>
      <c r="X85">
        <v>8</v>
      </c>
      <c r="Y85">
        <v>8</v>
      </c>
      <c r="Z85" t="s">
        <v>219</v>
      </c>
      <c r="AA85" t="s">
        <v>220</v>
      </c>
      <c r="AB85" t="s">
        <v>96</v>
      </c>
      <c r="AC85" t="s">
        <v>97</v>
      </c>
      <c r="AD85" t="s">
        <v>98</v>
      </c>
      <c r="AE85" t="s">
        <v>164</v>
      </c>
      <c r="AG85" t="s">
        <v>221</v>
      </c>
      <c r="AH85">
        <v>0</v>
      </c>
      <c r="AI85">
        <v>432</v>
      </c>
      <c r="AJ85">
        <v>67</v>
      </c>
      <c r="AK85">
        <v>9</v>
      </c>
      <c r="AL85">
        <v>1</v>
      </c>
    </row>
    <row r="86" spans="1:38" x14ac:dyDescent="0.3">
      <c r="A86" t="s">
        <v>159</v>
      </c>
      <c r="B86">
        <v>122735</v>
      </c>
      <c r="C86">
        <v>2</v>
      </c>
      <c r="D86" t="s">
        <v>217</v>
      </c>
      <c r="E86" t="s">
        <v>218</v>
      </c>
      <c r="F86">
        <v>9</v>
      </c>
      <c r="G86">
        <v>22.38</v>
      </c>
      <c r="H86">
        <v>74</v>
      </c>
      <c r="I86">
        <v>19.27</v>
      </c>
      <c r="J86">
        <v>63.71</v>
      </c>
      <c r="K86">
        <v>3</v>
      </c>
      <c r="T86">
        <v>3</v>
      </c>
      <c r="U86">
        <v>1</v>
      </c>
      <c r="V86" t="s">
        <v>93</v>
      </c>
      <c r="W86">
        <v>74</v>
      </c>
      <c r="X86">
        <v>8</v>
      </c>
      <c r="Y86">
        <v>8</v>
      </c>
      <c r="Z86" t="s">
        <v>219</v>
      </c>
      <c r="AA86" t="s">
        <v>220</v>
      </c>
      <c r="AB86" t="s">
        <v>96</v>
      </c>
      <c r="AC86" t="s">
        <v>97</v>
      </c>
      <c r="AD86" t="s">
        <v>98</v>
      </c>
      <c r="AE86" t="s">
        <v>164</v>
      </c>
      <c r="AG86" t="s">
        <v>221</v>
      </c>
      <c r="AH86">
        <v>0</v>
      </c>
      <c r="AI86">
        <v>432</v>
      </c>
      <c r="AJ86">
        <v>67</v>
      </c>
      <c r="AK86">
        <v>9</v>
      </c>
      <c r="AL86">
        <v>1</v>
      </c>
    </row>
    <row r="87" spans="1:38" x14ac:dyDescent="0.3">
      <c r="A87" t="s">
        <v>159</v>
      </c>
      <c r="B87">
        <v>122735</v>
      </c>
      <c r="C87">
        <v>3</v>
      </c>
      <c r="D87" t="s">
        <v>217</v>
      </c>
      <c r="E87" t="s">
        <v>218</v>
      </c>
      <c r="F87">
        <v>9</v>
      </c>
      <c r="G87">
        <v>25.36</v>
      </c>
      <c r="H87">
        <v>83.85</v>
      </c>
      <c r="I87">
        <v>21.83</v>
      </c>
      <c r="J87">
        <v>72.19</v>
      </c>
      <c r="K87">
        <v>3</v>
      </c>
      <c r="T87">
        <v>3</v>
      </c>
      <c r="U87">
        <v>2</v>
      </c>
      <c r="V87" t="s">
        <v>93</v>
      </c>
      <c r="W87">
        <v>83</v>
      </c>
      <c r="X87">
        <v>8</v>
      </c>
      <c r="Y87">
        <v>8</v>
      </c>
      <c r="Z87" t="s">
        <v>219</v>
      </c>
      <c r="AA87" t="s">
        <v>220</v>
      </c>
      <c r="AB87" t="s">
        <v>96</v>
      </c>
      <c r="AC87" t="s">
        <v>97</v>
      </c>
      <c r="AD87" t="s">
        <v>98</v>
      </c>
      <c r="AE87" t="s">
        <v>164</v>
      </c>
      <c r="AG87" t="s">
        <v>221</v>
      </c>
      <c r="AH87">
        <v>0</v>
      </c>
      <c r="AI87">
        <v>432</v>
      </c>
      <c r="AJ87">
        <v>67</v>
      </c>
      <c r="AK87">
        <v>9</v>
      </c>
      <c r="AL87">
        <v>1</v>
      </c>
    </row>
    <row r="88" spans="1:38" x14ac:dyDescent="0.3">
      <c r="A88" t="s">
        <v>222</v>
      </c>
      <c r="B88">
        <v>122438</v>
      </c>
      <c r="C88">
        <v>1</v>
      </c>
      <c r="D88" t="s">
        <v>223</v>
      </c>
      <c r="E88" t="s">
        <v>224</v>
      </c>
      <c r="F88">
        <v>24</v>
      </c>
      <c r="G88">
        <v>6.87</v>
      </c>
      <c r="H88">
        <v>22.74</v>
      </c>
      <c r="I88">
        <v>4.3600000000000003</v>
      </c>
      <c r="J88">
        <v>14.44</v>
      </c>
      <c r="K88">
        <v>8</v>
      </c>
      <c r="T88">
        <v>1</v>
      </c>
      <c r="U88">
        <v>1</v>
      </c>
      <c r="V88" t="s">
        <v>93</v>
      </c>
      <c r="W88" t="s">
        <v>225</v>
      </c>
      <c r="X88">
        <v>6</v>
      </c>
      <c r="Y88">
        <v>6</v>
      </c>
      <c r="Z88" t="s">
        <v>226</v>
      </c>
      <c r="AA88" t="s">
        <v>227</v>
      </c>
      <c r="AB88" t="s">
        <v>96</v>
      </c>
      <c r="AC88" t="s">
        <v>97</v>
      </c>
      <c r="AD88" t="s">
        <v>98</v>
      </c>
      <c r="AE88" t="s">
        <v>228</v>
      </c>
      <c r="AG88" t="s">
        <v>229</v>
      </c>
      <c r="AH88">
        <v>0</v>
      </c>
      <c r="AI88">
        <v>302</v>
      </c>
      <c r="AJ88">
        <v>67</v>
      </c>
      <c r="AK88">
        <v>6</v>
      </c>
      <c r="AL88">
        <v>0.25</v>
      </c>
    </row>
    <row r="89" spans="1:38" x14ac:dyDescent="0.3">
      <c r="A89" t="s">
        <v>222</v>
      </c>
      <c r="B89">
        <v>122438</v>
      </c>
      <c r="C89">
        <v>2</v>
      </c>
      <c r="D89" t="s">
        <v>223</v>
      </c>
      <c r="E89" t="s">
        <v>224</v>
      </c>
      <c r="F89">
        <v>24</v>
      </c>
      <c r="G89">
        <v>7.14</v>
      </c>
      <c r="H89">
        <v>23.63</v>
      </c>
      <c r="I89">
        <v>4.53</v>
      </c>
      <c r="J89">
        <v>15</v>
      </c>
      <c r="K89">
        <v>8</v>
      </c>
      <c r="T89">
        <v>1</v>
      </c>
      <c r="U89">
        <v>1</v>
      </c>
      <c r="V89" t="s">
        <v>93</v>
      </c>
      <c r="W89" t="s">
        <v>230</v>
      </c>
      <c r="X89">
        <v>6</v>
      </c>
      <c r="Y89">
        <v>6</v>
      </c>
      <c r="Z89" t="s">
        <v>226</v>
      </c>
      <c r="AA89" t="s">
        <v>227</v>
      </c>
      <c r="AB89" t="s">
        <v>96</v>
      </c>
      <c r="AC89" t="s">
        <v>97</v>
      </c>
      <c r="AD89" t="s">
        <v>98</v>
      </c>
      <c r="AE89" t="s">
        <v>228</v>
      </c>
      <c r="AG89" t="s">
        <v>229</v>
      </c>
      <c r="AH89">
        <v>0</v>
      </c>
      <c r="AI89">
        <v>302</v>
      </c>
      <c r="AJ89">
        <v>67</v>
      </c>
      <c r="AK89">
        <v>6</v>
      </c>
      <c r="AL89">
        <v>0.25</v>
      </c>
    </row>
    <row r="90" spans="1:38" x14ac:dyDescent="0.3">
      <c r="A90" t="s">
        <v>222</v>
      </c>
      <c r="B90">
        <v>122438</v>
      </c>
      <c r="C90">
        <v>3</v>
      </c>
      <c r="D90" t="s">
        <v>223</v>
      </c>
      <c r="E90" t="s">
        <v>224</v>
      </c>
      <c r="F90">
        <v>24</v>
      </c>
      <c r="G90">
        <v>7.11</v>
      </c>
      <c r="H90">
        <v>23.53</v>
      </c>
      <c r="I90">
        <v>4.51</v>
      </c>
      <c r="J90">
        <v>14.94</v>
      </c>
      <c r="K90">
        <v>4</v>
      </c>
      <c r="T90">
        <v>1</v>
      </c>
      <c r="U90">
        <v>1</v>
      </c>
      <c r="V90" t="s">
        <v>93</v>
      </c>
      <c r="W90" t="s">
        <v>231</v>
      </c>
      <c r="X90">
        <v>6</v>
      </c>
      <c r="Y90">
        <v>6</v>
      </c>
      <c r="Z90" t="s">
        <v>226</v>
      </c>
      <c r="AA90" t="s">
        <v>227</v>
      </c>
      <c r="AB90" t="s">
        <v>96</v>
      </c>
      <c r="AC90" t="s">
        <v>97</v>
      </c>
      <c r="AD90" t="s">
        <v>98</v>
      </c>
      <c r="AE90" t="s">
        <v>228</v>
      </c>
      <c r="AG90" t="s">
        <v>229</v>
      </c>
      <c r="AH90">
        <v>0</v>
      </c>
      <c r="AI90">
        <v>302</v>
      </c>
      <c r="AJ90">
        <v>67</v>
      </c>
      <c r="AK90">
        <v>6</v>
      </c>
      <c r="AL90">
        <v>0.25</v>
      </c>
    </row>
    <row r="91" spans="1:38" x14ac:dyDescent="0.3">
      <c r="A91" t="s">
        <v>222</v>
      </c>
      <c r="B91">
        <v>122438</v>
      </c>
      <c r="C91">
        <v>4</v>
      </c>
      <c r="D91" t="s">
        <v>223</v>
      </c>
      <c r="E91" t="s">
        <v>224</v>
      </c>
      <c r="F91">
        <v>24</v>
      </c>
      <c r="G91">
        <v>7.31</v>
      </c>
      <c r="H91">
        <v>24.18</v>
      </c>
      <c r="I91">
        <v>4.6399999999999997</v>
      </c>
      <c r="J91">
        <v>15.35</v>
      </c>
      <c r="K91">
        <v>4</v>
      </c>
      <c r="T91">
        <v>1</v>
      </c>
      <c r="U91">
        <v>1</v>
      </c>
      <c r="V91" t="s">
        <v>93</v>
      </c>
      <c r="W91" t="s">
        <v>232</v>
      </c>
      <c r="X91">
        <v>6</v>
      </c>
      <c r="Y91">
        <v>6</v>
      </c>
      <c r="Z91" t="s">
        <v>226</v>
      </c>
      <c r="AA91" t="s">
        <v>227</v>
      </c>
      <c r="AB91" t="s">
        <v>96</v>
      </c>
      <c r="AC91" t="s">
        <v>97</v>
      </c>
      <c r="AD91" t="s">
        <v>98</v>
      </c>
      <c r="AE91" t="s">
        <v>228</v>
      </c>
      <c r="AG91" t="s">
        <v>229</v>
      </c>
      <c r="AH91">
        <v>0</v>
      </c>
      <c r="AI91">
        <v>302</v>
      </c>
      <c r="AJ91">
        <v>67</v>
      </c>
      <c r="AK91">
        <v>6</v>
      </c>
      <c r="AL91">
        <v>0.25</v>
      </c>
    </row>
    <row r="92" spans="1:38" x14ac:dyDescent="0.3">
      <c r="A92" t="s">
        <v>222</v>
      </c>
      <c r="B92">
        <v>142446</v>
      </c>
      <c r="C92">
        <v>1</v>
      </c>
      <c r="D92" t="s">
        <v>233</v>
      </c>
      <c r="E92" t="s">
        <v>234</v>
      </c>
      <c r="F92">
        <v>10</v>
      </c>
      <c r="G92">
        <v>16.88</v>
      </c>
      <c r="H92">
        <v>55.82</v>
      </c>
      <c r="I92">
        <v>13.57</v>
      </c>
      <c r="J92">
        <v>44.87</v>
      </c>
      <c r="K92">
        <v>3</v>
      </c>
      <c r="T92">
        <v>2</v>
      </c>
      <c r="U92">
        <v>1</v>
      </c>
      <c r="V92" t="s">
        <v>93</v>
      </c>
      <c r="W92" t="s">
        <v>215</v>
      </c>
      <c r="X92">
        <v>5</v>
      </c>
      <c r="Y92">
        <v>4</v>
      </c>
      <c r="Z92" t="s">
        <v>235</v>
      </c>
      <c r="AA92" t="s">
        <v>236</v>
      </c>
      <c r="AB92" t="s">
        <v>96</v>
      </c>
      <c r="AC92" t="s">
        <v>97</v>
      </c>
      <c r="AD92" t="s">
        <v>98</v>
      </c>
      <c r="AE92" t="s">
        <v>228</v>
      </c>
      <c r="AG92" t="s">
        <v>237</v>
      </c>
      <c r="AH92">
        <v>0</v>
      </c>
      <c r="AI92">
        <v>244</v>
      </c>
      <c r="AJ92">
        <v>59</v>
      </c>
      <c r="AK92">
        <v>10</v>
      </c>
      <c r="AL92">
        <v>1</v>
      </c>
    </row>
    <row r="93" spans="1:38" x14ac:dyDescent="0.3">
      <c r="A93" t="s">
        <v>222</v>
      </c>
      <c r="B93">
        <v>142446</v>
      </c>
      <c r="C93">
        <v>2</v>
      </c>
      <c r="D93" t="s">
        <v>233</v>
      </c>
      <c r="E93" t="s">
        <v>234</v>
      </c>
      <c r="F93">
        <v>10</v>
      </c>
      <c r="G93">
        <v>17.100000000000001</v>
      </c>
      <c r="H93">
        <v>56.54</v>
      </c>
      <c r="I93">
        <v>14.6</v>
      </c>
      <c r="J93">
        <v>48.28</v>
      </c>
      <c r="K93">
        <v>1</v>
      </c>
      <c r="T93">
        <v>2</v>
      </c>
      <c r="U93">
        <v>1</v>
      </c>
      <c r="V93" t="s">
        <v>93</v>
      </c>
      <c r="W93" t="s">
        <v>216</v>
      </c>
      <c r="X93">
        <v>5</v>
      </c>
      <c r="Y93">
        <v>4</v>
      </c>
      <c r="Z93" t="s">
        <v>235</v>
      </c>
      <c r="AA93" t="s">
        <v>236</v>
      </c>
      <c r="AB93" t="s">
        <v>96</v>
      </c>
      <c r="AC93" t="s">
        <v>97</v>
      </c>
      <c r="AD93" t="s">
        <v>98</v>
      </c>
      <c r="AE93" t="s">
        <v>228</v>
      </c>
      <c r="AG93" t="s">
        <v>237</v>
      </c>
      <c r="AH93">
        <v>0</v>
      </c>
      <c r="AI93">
        <v>244</v>
      </c>
      <c r="AJ93">
        <v>59</v>
      </c>
      <c r="AK93">
        <v>10</v>
      </c>
      <c r="AL93">
        <v>1</v>
      </c>
    </row>
    <row r="94" spans="1:38" x14ac:dyDescent="0.3">
      <c r="A94" t="s">
        <v>222</v>
      </c>
      <c r="B94">
        <v>142446</v>
      </c>
      <c r="C94">
        <v>3</v>
      </c>
      <c r="D94" t="s">
        <v>233</v>
      </c>
      <c r="E94" t="s">
        <v>234</v>
      </c>
      <c r="F94">
        <v>10</v>
      </c>
      <c r="G94">
        <v>18.100000000000001</v>
      </c>
      <c r="H94">
        <v>59.86</v>
      </c>
      <c r="I94">
        <v>14.56</v>
      </c>
      <c r="J94">
        <v>48.14</v>
      </c>
      <c r="K94">
        <v>3</v>
      </c>
      <c r="T94">
        <v>2</v>
      </c>
      <c r="U94">
        <v>1</v>
      </c>
      <c r="V94" t="s">
        <v>93</v>
      </c>
      <c r="W94">
        <v>59</v>
      </c>
      <c r="X94">
        <v>5</v>
      </c>
      <c r="Y94">
        <v>4</v>
      </c>
      <c r="Z94" t="s">
        <v>235</v>
      </c>
      <c r="AA94" t="s">
        <v>236</v>
      </c>
      <c r="AB94" t="s">
        <v>96</v>
      </c>
      <c r="AC94" t="s">
        <v>97</v>
      </c>
      <c r="AD94" t="s">
        <v>98</v>
      </c>
      <c r="AE94" t="s">
        <v>228</v>
      </c>
      <c r="AG94" t="s">
        <v>237</v>
      </c>
      <c r="AH94">
        <v>0</v>
      </c>
      <c r="AI94">
        <v>244</v>
      </c>
      <c r="AJ94">
        <v>59</v>
      </c>
      <c r="AK94">
        <v>10</v>
      </c>
      <c r="AL94">
        <v>1</v>
      </c>
    </row>
    <row r="95" spans="1:38" x14ac:dyDescent="0.3">
      <c r="A95" t="s">
        <v>222</v>
      </c>
      <c r="B95">
        <v>142446</v>
      </c>
      <c r="C95">
        <v>4</v>
      </c>
      <c r="D95" t="s">
        <v>233</v>
      </c>
      <c r="E95" t="s">
        <v>234</v>
      </c>
      <c r="F95">
        <v>10</v>
      </c>
      <c r="G95">
        <v>24.16</v>
      </c>
      <c r="H95">
        <v>79.88</v>
      </c>
      <c r="I95">
        <v>20.58</v>
      </c>
      <c r="J95">
        <v>68.05</v>
      </c>
      <c r="K95">
        <v>1</v>
      </c>
      <c r="T95">
        <v>3</v>
      </c>
      <c r="U95">
        <v>1</v>
      </c>
      <c r="V95" t="s">
        <v>93</v>
      </c>
      <c r="W95">
        <v>79</v>
      </c>
      <c r="X95">
        <v>5</v>
      </c>
      <c r="Y95">
        <v>4</v>
      </c>
      <c r="Z95" t="s">
        <v>235</v>
      </c>
      <c r="AA95" t="s">
        <v>236</v>
      </c>
      <c r="AB95" t="s">
        <v>96</v>
      </c>
      <c r="AC95" t="s">
        <v>97</v>
      </c>
      <c r="AD95" t="s">
        <v>98</v>
      </c>
      <c r="AE95" t="s">
        <v>228</v>
      </c>
      <c r="AG95" t="s">
        <v>237</v>
      </c>
      <c r="AH95">
        <v>0</v>
      </c>
      <c r="AI95">
        <v>244</v>
      </c>
      <c r="AJ95">
        <v>59</v>
      </c>
      <c r="AK95">
        <v>10</v>
      </c>
      <c r="AL95">
        <v>1</v>
      </c>
    </row>
    <row r="96" spans="1:38" x14ac:dyDescent="0.3">
      <c r="A96" t="s">
        <v>222</v>
      </c>
      <c r="B96">
        <v>142446</v>
      </c>
      <c r="C96">
        <v>5</v>
      </c>
      <c r="D96" t="s">
        <v>233</v>
      </c>
      <c r="E96" t="s">
        <v>234</v>
      </c>
      <c r="F96">
        <v>10</v>
      </c>
      <c r="G96">
        <v>25.3</v>
      </c>
      <c r="H96">
        <v>83.66</v>
      </c>
      <c r="I96">
        <v>21.57</v>
      </c>
      <c r="J96">
        <v>71.33</v>
      </c>
      <c r="K96">
        <v>1</v>
      </c>
      <c r="T96">
        <v>3</v>
      </c>
      <c r="U96">
        <v>2</v>
      </c>
      <c r="V96" t="s">
        <v>93</v>
      </c>
      <c r="W96">
        <v>83</v>
      </c>
      <c r="X96">
        <v>5</v>
      </c>
      <c r="Y96">
        <v>4</v>
      </c>
      <c r="Z96" t="s">
        <v>235</v>
      </c>
      <c r="AA96" t="s">
        <v>236</v>
      </c>
      <c r="AB96" t="s">
        <v>96</v>
      </c>
      <c r="AC96" t="s">
        <v>97</v>
      </c>
      <c r="AD96" t="s">
        <v>98</v>
      </c>
      <c r="AE96" t="s">
        <v>228</v>
      </c>
      <c r="AG96" t="s">
        <v>237</v>
      </c>
      <c r="AH96">
        <v>0</v>
      </c>
      <c r="AI96">
        <v>244</v>
      </c>
      <c r="AJ96">
        <v>59</v>
      </c>
      <c r="AK96">
        <v>10</v>
      </c>
      <c r="AL96">
        <v>1</v>
      </c>
    </row>
    <row r="97" spans="1:38" x14ac:dyDescent="0.3">
      <c r="A97" t="s">
        <v>222</v>
      </c>
      <c r="B97">
        <v>142446</v>
      </c>
      <c r="C97">
        <v>6</v>
      </c>
      <c r="D97" t="s">
        <v>233</v>
      </c>
      <c r="E97" t="s">
        <v>234</v>
      </c>
      <c r="F97">
        <v>10</v>
      </c>
      <c r="G97">
        <v>33.18</v>
      </c>
      <c r="H97">
        <v>109.69</v>
      </c>
      <c r="I97">
        <v>29.2</v>
      </c>
      <c r="J97">
        <v>96.56</v>
      </c>
      <c r="K97">
        <v>1</v>
      </c>
      <c r="T97">
        <v>3</v>
      </c>
      <c r="U97">
        <v>2</v>
      </c>
      <c r="V97" t="s">
        <v>93</v>
      </c>
      <c r="W97">
        <v>109</v>
      </c>
      <c r="X97">
        <v>5</v>
      </c>
      <c r="Y97">
        <v>4</v>
      </c>
      <c r="Z97" t="s">
        <v>235</v>
      </c>
      <c r="AA97" t="s">
        <v>236</v>
      </c>
      <c r="AB97" t="s">
        <v>96</v>
      </c>
      <c r="AC97" t="s">
        <v>97</v>
      </c>
      <c r="AD97" t="s">
        <v>98</v>
      </c>
      <c r="AE97" t="s">
        <v>228</v>
      </c>
      <c r="AG97" t="s">
        <v>237</v>
      </c>
      <c r="AH97">
        <v>0</v>
      </c>
      <c r="AI97">
        <v>244</v>
      </c>
      <c r="AJ97">
        <v>59</v>
      </c>
      <c r="AK97">
        <v>10</v>
      </c>
      <c r="AL97">
        <v>1</v>
      </c>
    </row>
    <row r="98" spans="1:38" x14ac:dyDescent="0.3">
      <c r="A98" t="s">
        <v>222</v>
      </c>
      <c r="B98">
        <v>135354</v>
      </c>
      <c r="C98">
        <v>1</v>
      </c>
      <c r="D98" t="s">
        <v>238</v>
      </c>
      <c r="E98" t="s">
        <v>239</v>
      </c>
      <c r="F98">
        <v>8</v>
      </c>
      <c r="G98">
        <v>22.33</v>
      </c>
      <c r="H98">
        <v>73.83</v>
      </c>
      <c r="I98">
        <v>19.61</v>
      </c>
      <c r="J98">
        <v>64.84</v>
      </c>
      <c r="K98">
        <v>2</v>
      </c>
      <c r="T98">
        <v>3</v>
      </c>
      <c r="U98">
        <v>2</v>
      </c>
      <c r="V98" t="s">
        <v>93</v>
      </c>
      <c r="W98">
        <v>73</v>
      </c>
      <c r="X98">
        <v>5</v>
      </c>
      <c r="Y98">
        <v>5</v>
      </c>
      <c r="Z98" t="s">
        <v>240</v>
      </c>
      <c r="AA98" t="s">
        <v>241</v>
      </c>
      <c r="AB98" t="s">
        <v>96</v>
      </c>
      <c r="AC98" t="s">
        <v>97</v>
      </c>
      <c r="AD98" t="s">
        <v>98</v>
      </c>
      <c r="AE98" t="s">
        <v>228</v>
      </c>
      <c r="AG98" t="s">
        <v>242</v>
      </c>
      <c r="AH98">
        <v>0</v>
      </c>
      <c r="AI98">
        <v>421</v>
      </c>
      <c r="AJ98">
        <v>65</v>
      </c>
      <c r="AK98">
        <v>8</v>
      </c>
      <c r="AL98">
        <v>1</v>
      </c>
    </row>
    <row r="99" spans="1:38" x14ac:dyDescent="0.3">
      <c r="A99" t="s">
        <v>222</v>
      </c>
      <c r="B99">
        <v>135354</v>
      </c>
      <c r="C99">
        <v>2</v>
      </c>
      <c r="D99" t="s">
        <v>238</v>
      </c>
      <c r="E99" t="s">
        <v>239</v>
      </c>
      <c r="F99">
        <v>8</v>
      </c>
      <c r="G99">
        <v>23.82</v>
      </c>
      <c r="H99">
        <v>78.75</v>
      </c>
      <c r="I99">
        <v>20.92</v>
      </c>
      <c r="J99">
        <v>69.16</v>
      </c>
      <c r="K99">
        <v>2</v>
      </c>
      <c r="T99">
        <v>3</v>
      </c>
      <c r="U99">
        <v>2</v>
      </c>
      <c r="V99" t="s">
        <v>93</v>
      </c>
      <c r="W99" t="s">
        <v>128</v>
      </c>
      <c r="X99">
        <v>5</v>
      </c>
      <c r="Y99">
        <v>5</v>
      </c>
      <c r="Z99" t="s">
        <v>240</v>
      </c>
      <c r="AA99" t="s">
        <v>241</v>
      </c>
      <c r="AB99" t="s">
        <v>96</v>
      </c>
      <c r="AC99" t="s">
        <v>97</v>
      </c>
      <c r="AD99" t="s">
        <v>98</v>
      </c>
      <c r="AE99" t="s">
        <v>228</v>
      </c>
      <c r="AG99" t="s">
        <v>242</v>
      </c>
      <c r="AH99">
        <v>0</v>
      </c>
      <c r="AI99">
        <v>421</v>
      </c>
      <c r="AJ99">
        <v>65</v>
      </c>
      <c r="AK99">
        <v>8</v>
      </c>
      <c r="AL99">
        <v>1</v>
      </c>
    </row>
    <row r="100" spans="1:38" x14ac:dyDescent="0.3">
      <c r="A100" t="s">
        <v>222</v>
      </c>
      <c r="B100">
        <v>135354</v>
      </c>
      <c r="C100">
        <v>3</v>
      </c>
      <c r="D100" t="s">
        <v>238</v>
      </c>
      <c r="E100" t="s">
        <v>239</v>
      </c>
      <c r="F100">
        <v>8</v>
      </c>
      <c r="G100">
        <v>24.46</v>
      </c>
      <c r="H100">
        <v>80.87</v>
      </c>
      <c r="I100">
        <v>21.48</v>
      </c>
      <c r="J100">
        <v>71.02</v>
      </c>
      <c r="K100">
        <v>2</v>
      </c>
      <c r="T100">
        <v>3</v>
      </c>
      <c r="U100">
        <v>2</v>
      </c>
      <c r="V100" t="s">
        <v>93</v>
      </c>
      <c r="W100" t="s">
        <v>243</v>
      </c>
      <c r="X100">
        <v>5</v>
      </c>
      <c r="Y100">
        <v>5</v>
      </c>
      <c r="Z100" t="s">
        <v>240</v>
      </c>
      <c r="AA100" t="s">
        <v>241</v>
      </c>
      <c r="AB100" t="s">
        <v>96</v>
      </c>
      <c r="AC100" t="s">
        <v>97</v>
      </c>
      <c r="AD100" t="s">
        <v>98</v>
      </c>
      <c r="AE100" t="s">
        <v>228</v>
      </c>
      <c r="AG100" t="s">
        <v>242</v>
      </c>
      <c r="AH100">
        <v>0</v>
      </c>
      <c r="AI100">
        <v>421</v>
      </c>
      <c r="AJ100">
        <v>65</v>
      </c>
      <c r="AK100">
        <v>8</v>
      </c>
      <c r="AL100">
        <v>1</v>
      </c>
    </row>
    <row r="101" spans="1:38" x14ac:dyDescent="0.3">
      <c r="A101" t="s">
        <v>222</v>
      </c>
      <c r="B101">
        <v>135354</v>
      </c>
      <c r="C101">
        <v>4</v>
      </c>
      <c r="D101" t="s">
        <v>238</v>
      </c>
      <c r="E101" t="s">
        <v>239</v>
      </c>
      <c r="F101">
        <v>8</v>
      </c>
      <c r="G101">
        <v>26.5</v>
      </c>
      <c r="H101">
        <v>87.61</v>
      </c>
      <c r="I101">
        <v>23.27</v>
      </c>
      <c r="J101">
        <v>76.94</v>
      </c>
      <c r="K101">
        <v>2</v>
      </c>
      <c r="T101">
        <v>3</v>
      </c>
      <c r="U101">
        <v>2</v>
      </c>
      <c r="V101" t="s">
        <v>93</v>
      </c>
      <c r="W101">
        <v>87</v>
      </c>
      <c r="X101">
        <v>5</v>
      </c>
      <c r="Y101">
        <v>5</v>
      </c>
      <c r="Z101" t="s">
        <v>240</v>
      </c>
      <c r="AA101" t="s">
        <v>241</v>
      </c>
      <c r="AB101" t="s">
        <v>96</v>
      </c>
      <c r="AC101" t="s">
        <v>97</v>
      </c>
      <c r="AD101" t="s">
        <v>98</v>
      </c>
      <c r="AE101" t="s">
        <v>228</v>
      </c>
      <c r="AG101" t="s">
        <v>242</v>
      </c>
      <c r="AH101">
        <v>0</v>
      </c>
      <c r="AI101">
        <v>421</v>
      </c>
      <c r="AJ101">
        <v>65</v>
      </c>
      <c r="AK101">
        <v>8</v>
      </c>
      <c r="AL101">
        <v>1</v>
      </c>
    </row>
    <row r="102" spans="1:38" x14ac:dyDescent="0.3">
      <c r="A102" t="s">
        <v>244</v>
      </c>
      <c r="B102">
        <v>103444</v>
      </c>
      <c r="C102">
        <v>1</v>
      </c>
      <c r="D102" t="s">
        <v>245</v>
      </c>
      <c r="E102" t="s">
        <v>246</v>
      </c>
      <c r="F102">
        <v>33</v>
      </c>
      <c r="G102">
        <v>9.43</v>
      </c>
      <c r="H102">
        <v>31.2</v>
      </c>
      <c r="I102">
        <v>7.39</v>
      </c>
      <c r="J102">
        <v>24.46</v>
      </c>
      <c r="K102">
        <v>1</v>
      </c>
      <c r="T102">
        <v>1</v>
      </c>
      <c r="U102">
        <v>1</v>
      </c>
      <c r="V102" t="s">
        <v>118</v>
      </c>
      <c r="W102">
        <v>31</v>
      </c>
      <c r="X102">
        <v>6</v>
      </c>
      <c r="Y102">
        <v>3</v>
      </c>
      <c r="Z102" t="s">
        <v>247</v>
      </c>
      <c r="AA102" t="s">
        <v>248</v>
      </c>
      <c r="AB102" t="s">
        <v>96</v>
      </c>
      <c r="AC102" t="s">
        <v>97</v>
      </c>
      <c r="AD102" t="s">
        <v>98</v>
      </c>
      <c r="AE102" t="s">
        <v>249</v>
      </c>
      <c r="AG102" t="s">
        <v>250</v>
      </c>
      <c r="AH102">
        <v>0</v>
      </c>
      <c r="AI102">
        <v>0</v>
      </c>
      <c r="AJ102">
        <v>0</v>
      </c>
      <c r="AK102">
        <v>0</v>
      </c>
      <c r="AL102">
        <v>0</v>
      </c>
    </row>
    <row r="103" spans="1:38" x14ac:dyDescent="0.3">
      <c r="A103" t="s">
        <v>244</v>
      </c>
      <c r="B103">
        <v>103444</v>
      </c>
      <c r="C103">
        <v>2</v>
      </c>
      <c r="D103" t="s">
        <v>245</v>
      </c>
      <c r="E103" t="s">
        <v>246</v>
      </c>
      <c r="F103">
        <v>33</v>
      </c>
      <c r="G103">
        <v>17.559999999999999</v>
      </c>
      <c r="H103">
        <v>58.08</v>
      </c>
      <c r="I103">
        <v>13.77</v>
      </c>
      <c r="J103">
        <v>45.55</v>
      </c>
      <c r="K103">
        <v>1</v>
      </c>
      <c r="T103">
        <v>1</v>
      </c>
      <c r="U103">
        <v>1</v>
      </c>
      <c r="V103" t="s">
        <v>118</v>
      </c>
      <c r="W103">
        <v>58</v>
      </c>
      <c r="X103">
        <v>6</v>
      </c>
      <c r="Y103">
        <v>3</v>
      </c>
      <c r="Z103" t="s">
        <v>247</v>
      </c>
      <c r="AA103" t="s">
        <v>248</v>
      </c>
      <c r="AB103" t="s">
        <v>96</v>
      </c>
      <c r="AC103" t="s">
        <v>97</v>
      </c>
      <c r="AD103" t="s">
        <v>98</v>
      </c>
      <c r="AE103" t="s">
        <v>249</v>
      </c>
      <c r="AG103" t="s">
        <v>250</v>
      </c>
      <c r="AH103">
        <v>0</v>
      </c>
      <c r="AI103">
        <v>0</v>
      </c>
      <c r="AJ103">
        <v>0</v>
      </c>
      <c r="AK103">
        <v>0</v>
      </c>
      <c r="AL103">
        <v>0</v>
      </c>
    </row>
    <row r="104" spans="1:38" x14ac:dyDescent="0.3">
      <c r="A104" t="s">
        <v>244</v>
      </c>
      <c r="B104">
        <v>103444</v>
      </c>
      <c r="C104">
        <v>3</v>
      </c>
      <c r="D104" t="s">
        <v>245</v>
      </c>
      <c r="E104" t="s">
        <v>246</v>
      </c>
      <c r="F104">
        <v>33</v>
      </c>
      <c r="G104">
        <v>21.39</v>
      </c>
      <c r="H104">
        <v>70.739999999999995</v>
      </c>
      <c r="I104">
        <v>16.77</v>
      </c>
      <c r="J104">
        <v>55.47</v>
      </c>
      <c r="K104">
        <v>2</v>
      </c>
      <c r="T104">
        <v>2</v>
      </c>
      <c r="U104">
        <v>1</v>
      </c>
      <c r="V104" t="s">
        <v>118</v>
      </c>
      <c r="W104">
        <v>70</v>
      </c>
      <c r="X104">
        <v>6</v>
      </c>
      <c r="Y104">
        <v>3</v>
      </c>
      <c r="Z104" t="s">
        <v>247</v>
      </c>
      <c r="AA104" t="s">
        <v>248</v>
      </c>
      <c r="AB104" t="s">
        <v>96</v>
      </c>
      <c r="AC104" t="s">
        <v>97</v>
      </c>
      <c r="AD104" t="s">
        <v>98</v>
      </c>
      <c r="AE104" t="s">
        <v>249</v>
      </c>
      <c r="AG104" t="s">
        <v>250</v>
      </c>
      <c r="AH104">
        <v>0</v>
      </c>
      <c r="AI104">
        <v>0</v>
      </c>
      <c r="AJ104">
        <v>0</v>
      </c>
      <c r="AK104">
        <v>0</v>
      </c>
      <c r="AL104">
        <v>0</v>
      </c>
    </row>
    <row r="105" spans="1:38" x14ac:dyDescent="0.3">
      <c r="A105" t="s">
        <v>244</v>
      </c>
      <c r="B105">
        <v>103444</v>
      </c>
      <c r="C105">
        <v>4</v>
      </c>
      <c r="D105" t="s">
        <v>245</v>
      </c>
      <c r="E105" t="s">
        <v>246</v>
      </c>
      <c r="F105">
        <v>33</v>
      </c>
      <c r="G105">
        <v>23.22</v>
      </c>
      <c r="H105">
        <v>76.790000000000006</v>
      </c>
      <c r="I105">
        <v>18.21</v>
      </c>
      <c r="J105">
        <v>60.23</v>
      </c>
      <c r="K105">
        <v>1</v>
      </c>
      <c r="T105">
        <v>2</v>
      </c>
      <c r="U105">
        <v>1</v>
      </c>
      <c r="V105" t="s">
        <v>118</v>
      </c>
      <c r="W105">
        <v>76</v>
      </c>
      <c r="X105">
        <v>6</v>
      </c>
      <c r="Y105">
        <v>3</v>
      </c>
      <c r="Z105" t="s">
        <v>247</v>
      </c>
      <c r="AA105" t="s">
        <v>248</v>
      </c>
      <c r="AB105" t="s">
        <v>96</v>
      </c>
      <c r="AC105" t="s">
        <v>97</v>
      </c>
      <c r="AD105" t="s">
        <v>98</v>
      </c>
      <c r="AE105" t="s">
        <v>249</v>
      </c>
      <c r="AG105" t="s">
        <v>250</v>
      </c>
      <c r="AH105">
        <v>0</v>
      </c>
      <c r="AI105">
        <v>0</v>
      </c>
      <c r="AJ105">
        <v>0</v>
      </c>
      <c r="AK105">
        <v>0</v>
      </c>
      <c r="AL105">
        <v>0</v>
      </c>
    </row>
    <row r="106" spans="1:38" x14ac:dyDescent="0.3">
      <c r="A106" t="s">
        <v>244</v>
      </c>
      <c r="B106">
        <v>103444</v>
      </c>
      <c r="C106">
        <v>5</v>
      </c>
      <c r="D106" t="s">
        <v>245</v>
      </c>
      <c r="E106" t="s">
        <v>246</v>
      </c>
      <c r="F106">
        <v>33</v>
      </c>
      <c r="G106">
        <v>24.33</v>
      </c>
      <c r="H106">
        <v>80.459999999999994</v>
      </c>
      <c r="I106">
        <v>19.07</v>
      </c>
      <c r="J106">
        <v>63.07</v>
      </c>
      <c r="K106">
        <v>2</v>
      </c>
      <c r="T106">
        <v>2</v>
      </c>
      <c r="U106">
        <v>1</v>
      </c>
      <c r="V106" t="s">
        <v>118</v>
      </c>
      <c r="W106">
        <v>80</v>
      </c>
      <c r="X106">
        <v>6</v>
      </c>
      <c r="Y106">
        <v>3</v>
      </c>
      <c r="Z106" t="s">
        <v>247</v>
      </c>
      <c r="AA106" t="s">
        <v>248</v>
      </c>
      <c r="AB106" t="s">
        <v>96</v>
      </c>
      <c r="AC106" t="s">
        <v>97</v>
      </c>
      <c r="AD106" t="s">
        <v>98</v>
      </c>
      <c r="AE106" t="s">
        <v>249</v>
      </c>
      <c r="AG106" t="s">
        <v>250</v>
      </c>
      <c r="AH106">
        <v>0</v>
      </c>
      <c r="AI106">
        <v>0</v>
      </c>
      <c r="AJ106">
        <v>0</v>
      </c>
      <c r="AK106">
        <v>0</v>
      </c>
      <c r="AL106">
        <v>0</v>
      </c>
    </row>
    <row r="107" spans="1:38" x14ac:dyDescent="0.3">
      <c r="A107" t="s">
        <v>244</v>
      </c>
      <c r="B107">
        <v>103444</v>
      </c>
      <c r="C107">
        <v>6</v>
      </c>
      <c r="D107" t="s">
        <v>245</v>
      </c>
      <c r="E107" t="s">
        <v>246</v>
      </c>
      <c r="F107">
        <v>33</v>
      </c>
      <c r="G107">
        <v>26.23</v>
      </c>
      <c r="H107">
        <v>86.74</v>
      </c>
      <c r="I107">
        <v>20.57</v>
      </c>
      <c r="J107">
        <v>68</v>
      </c>
      <c r="K107">
        <v>4</v>
      </c>
      <c r="T107">
        <v>3</v>
      </c>
      <c r="U107">
        <v>1</v>
      </c>
      <c r="V107" t="s">
        <v>118</v>
      </c>
      <c r="W107">
        <v>86</v>
      </c>
      <c r="X107">
        <v>6</v>
      </c>
      <c r="Y107">
        <v>3</v>
      </c>
      <c r="Z107" t="s">
        <v>247</v>
      </c>
      <c r="AA107" t="s">
        <v>248</v>
      </c>
      <c r="AB107" t="s">
        <v>96</v>
      </c>
      <c r="AC107" t="s">
        <v>97</v>
      </c>
      <c r="AD107" t="s">
        <v>98</v>
      </c>
      <c r="AE107" t="s">
        <v>249</v>
      </c>
      <c r="AG107" t="s">
        <v>250</v>
      </c>
      <c r="AH107">
        <v>0</v>
      </c>
      <c r="AI107">
        <v>0</v>
      </c>
      <c r="AJ107">
        <v>0</v>
      </c>
      <c r="AK107">
        <v>0</v>
      </c>
      <c r="AL107">
        <v>0</v>
      </c>
    </row>
    <row r="108" spans="1:38" x14ac:dyDescent="0.3">
      <c r="A108" t="s">
        <v>244</v>
      </c>
      <c r="B108">
        <v>103444</v>
      </c>
      <c r="C108">
        <v>7</v>
      </c>
      <c r="D108" t="s">
        <v>245</v>
      </c>
      <c r="E108" t="s">
        <v>246</v>
      </c>
      <c r="F108">
        <v>33</v>
      </c>
      <c r="G108">
        <v>26.55</v>
      </c>
      <c r="H108">
        <v>87.8</v>
      </c>
      <c r="I108">
        <v>20.83</v>
      </c>
      <c r="J108">
        <v>68.86</v>
      </c>
      <c r="K108">
        <v>3</v>
      </c>
      <c r="T108">
        <v>3</v>
      </c>
      <c r="U108">
        <v>1</v>
      </c>
      <c r="V108" t="s">
        <v>118</v>
      </c>
      <c r="W108" t="s">
        <v>150</v>
      </c>
      <c r="X108">
        <v>6</v>
      </c>
      <c r="Y108">
        <v>3</v>
      </c>
      <c r="Z108" t="s">
        <v>247</v>
      </c>
      <c r="AA108" t="s">
        <v>248</v>
      </c>
      <c r="AB108" t="s">
        <v>96</v>
      </c>
      <c r="AC108" t="s">
        <v>97</v>
      </c>
      <c r="AD108" t="s">
        <v>98</v>
      </c>
      <c r="AE108" t="s">
        <v>249</v>
      </c>
      <c r="AG108" t="s">
        <v>250</v>
      </c>
      <c r="AH108">
        <v>0</v>
      </c>
      <c r="AI108">
        <v>0</v>
      </c>
      <c r="AJ108">
        <v>0</v>
      </c>
      <c r="AK108">
        <v>0</v>
      </c>
      <c r="AL108">
        <v>0</v>
      </c>
    </row>
    <row r="109" spans="1:38" x14ac:dyDescent="0.3">
      <c r="A109" t="s">
        <v>244</v>
      </c>
      <c r="B109">
        <v>103444</v>
      </c>
      <c r="C109">
        <v>8</v>
      </c>
      <c r="D109" t="s">
        <v>245</v>
      </c>
      <c r="E109" t="s">
        <v>246</v>
      </c>
      <c r="F109">
        <v>33</v>
      </c>
      <c r="G109">
        <v>26.68</v>
      </c>
      <c r="H109">
        <v>88.23</v>
      </c>
      <c r="I109">
        <v>20.92</v>
      </c>
      <c r="J109">
        <v>69.19</v>
      </c>
      <c r="K109">
        <v>1</v>
      </c>
      <c r="T109">
        <v>3</v>
      </c>
      <c r="U109">
        <v>1</v>
      </c>
      <c r="V109" t="s">
        <v>118</v>
      </c>
      <c r="W109" t="s">
        <v>191</v>
      </c>
      <c r="X109">
        <v>6</v>
      </c>
      <c r="Y109">
        <v>3</v>
      </c>
      <c r="Z109" t="s">
        <v>247</v>
      </c>
      <c r="AA109" t="s">
        <v>248</v>
      </c>
      <c r="AB109" t="s">
        <v>96</v>
      </c>
      <c r="AC109" t="s">
        <v>97</v>
      </c>
      <c r="AD109" t="s">
        <v>98</v>
      </c>
      <c r="AE109" t="s">
        <v>249</v>
      </c>
      <c r="AG109" t="s">
        <v>250</v>
      </c>
      <c r="AH109">
        <v>0</v>
      </c>
      <c r="AI109">
        <v>0</v>
      </c>
      <c r="AJ109">
        <v>0</v>
      </c>
      <c r="AK109">
        <v>0</v>
      </c>
      <c r="AL109">
        <v>0</v>
      </c>
    </row>
    <row r="110" spans="1:38" x14ac:dyDescent="0.3">
      <c r="A110" t="s">
        <v>244</v>
      </c>
      <c r="B110">
        <v>103444</v>
      </c>
      <c r="C110">
        <v>9</v>
      </c>
      <c r="D110" t="s">
        <v>245</v>
      </c>
      <c r="E110" t="s">
        <v>246</v>
      </c>
      <c r="F110">
        <v>33</v>
      </c>
      <c r="G110">
        <v>27.54</v>
      </c>
      <c r="H110">
        <v>91.07</v>
      </c>
      <c r="I110">
        <v>21.59</v>
      </c>
      <c r="J110">
        <v>71.400000000000006</v>
      </c>
      <c r="K110">
        <v>4</v>
      </c>
      <c r="T110">
        <v>3</v>
      </c>
      <c r="U110">
        <v>1</v>
      </c>
      <c r="V110" t="s">
        <v>118</v>
      </c>
      <c r="W110" t="s">
        <v>251</v>
      </c>
      <c r="X110">
        <v>6</v>
      </c>
      <c r="Y110">
        <v>3</v>
      </c>
      <c r="Z110" t="s">
        <v>247</v>
      </c>
      <c r="AA110" t="s">
        <v>248</v>
      </c>
      <c r="AB110" t="s">
        <v>96</v>
      </c>
      <c r="AC110" t="s">
        <v>97</v>
      </c>
      <c r="AD110" t="s">
        <v>98</v>
      </c>
      <c r="AE110" t="s">
        <v>249</v>
      </c>
      <c r="AG110" t="s">
        <v>250</v>
      </c>
      <c r="AH110">
        <v>0</v>
      </c>
      <c r="AI110">
        <v>0</v>
      </c>
      <c r="AJ110">
        <v>0</v>
      </c>
      <c r="AK110">
        <v>0</v>
      </c>
      <c r="AL110">
        <v>0</v>
      </c>
    </row>
    <row r="111" spans="1:38" x14ac:dyDescent="0.3">
      <c r="A111" t="s">
        <v>244</v>
      </c>
      <c r="B111">
        <v>103444</v>
      </c>
      <c r="C111">
        <v>10</v>
      </c>
      <c r="D111" t="s">
        <v>245</v>
      </c>
      <c r="E111" t="s">
        <v>246</v>
      </c>
      <c r="F111">
        <v>33</v>
      </c>
      <c r="G111">
        <v>27.96</v>
      </c>
      <c r="H111">
        <v>92.43</v>
      </c>
      <c r="I111">
        <v>21.91</v>
      </c>
      <c r="J111">
        <v>72.459999999999994</v>
      </c>
      <c r="K111">
        <v>4</v>
      </c>
      <c r="T111">
        <v>3</v>
      </c>
      <c r="U111">
        <v>1</v>
      </c>
      <c r="V111" t="s">
        <v>118</v>
      </c>
      <c r="W111" t="s">
        <v>252</v>
      </c>
      <c r="X111">
        <v>6</v>
      </c>
      <c r="Y111">
        <v>3</v>
      </c>
      <c r="Z111" t="s">
        <v>247</v>
      </c>
      <c r="AA111" t="s">
        <v>248</v>
      </c>
      <c r="AB111" t="s">
        <v>96</v>
      </c>
      <c r="AC111" t="s">
        <v>97</v>
      </c>
      <c r="AD111" t="s">
        <v>98</v>
      </c>
      <c r="AE111" t="s">
        <v>249</v>
      </c>
      <c r="AG111" t="s">
        <v>250</v>
      </c>
      <c r="AH111">
        <v>0</v>
      </c>
      <c r="AI111">
        <v>0</v>
      </c>
      <c r="AJ111">
        <v>0</v>
      </c>
      <c r="AK111">
        <v>0</v>
      </c>
      <c r="AL111">
        <v>0</v>
      </c>
    </row>
    <row r="112" spans="1:38" x14ac:dyDescent="0.3">
      <c r="A112" t="s">
        <v>244</v>
      </c>
      <c r="B112">
        <v>103444</v>
      </c>
      <c r="C112">
        <v>11</v>
      </c>
      <c r="D112" t="s">
        <v>245</v>
      </c>
      <c r="E112" t="s">
        <v>246</v>
      </c>
      <c r="F112">
        <v>33</v>
      </c>
      <c r="G112">
        <v>28.43</v>
      </c>
      <c r="H112">
        <v>93.99</v>
      </c>
      <c r="I112">
        <v>22.29</v>
      </c>
      <c r="J112">
        <v>73.69</v>
      </c>
      <c r="K112">
        <v>1</v>
      </c>
      <c r="T112">
        <v>3</v>
      </c>
      <c r="U112">
        <v>1</v>
      </c>
      <c r="V112" t="s">
        <v>118</v>
      </c>
      <c r="W112" t="s">
        <v>253</v>
      </c>
      <c r="X112">
        <v>6</v>
      </c>
      <c r="Y112">
        <v>3</v>
      </c>
      <c r="Z112" t="s">
        <v>247</v>
      </c>
      <c r="AA112" t="s">
        <v>248</v>
      </c>
      <c r="AB112" t="s">
        <v>96</v>
      </c>
      <c r="AC112" t="s">
        <v>97</v>
      </c>
      <c r="AD112" t="s">
        <v>98</v>
      </c>
      <c r="AE112" t="s">
        <v>249</v>
      </c>
      <c r="AG112" t="s">
        <v>250</v>
      </c>
      <c r="AH112">
        <v>0</v>
      </c>
      <c r="AI112">
        <v>0</v>
      </c>
      <c r="AJ112">
        <v>0</v>
      </c>
      <c r="AK112">
        <v>0</v>
      </c>
      <c r="AL112">
        <v>0</v>
      </c>
    </row>
    <row r="113" spans="1:38" x14ac:dyDescent="0.3">
      <c r="A113" t="s">
        <v>244</v>
      </c>
      <c r="B113">
        <v>103444</v>
      </c>
      <c r="C113">
        <v>12</v>
      </c>
      <c r="D113" t="s">
        <v>245</v>
      </c>
      <c r="E113" t="s">
        <v>246</v>
      </c>
      <c r="F113">
        <v>33</v>
      </c>
      <c r="G113">
        <v>29.41</v>
      </c>
      <c r="H113">
        <v>97.25</v>
      </c>
      <c r="I113">
        <v>23.06</v>
      </c>
      <c r="J113">
        <v>76.260000000000005</v>
      </c>
      <c r="K113">
        <v>1</v>
      </c>
      <c r="T113">
        <v>3</v>
      </c>
      <c r="U113">
        <v>1</v>
      </c>
      <c r="V113" t="s">
        <v>118</v>
      </c>
      <c r="W113">
        <v>97</v>
      </c>
      <c r="X113">
        <v>6</v>
      </c>
      <c r="Y113">
        <v>3</v>
      </c>
      <c r="Z113" t="s">
        <v>247</v>
      </c>
      <c r="AA113" t="s">
        <v>248</v>
      </c>
      <c r="AB113" t="s">
        <v>96</v>
      </c>
      <c r="AC113" t="s">
        <v>97</v>
      </c>
      <c r="AD113" t="s">
        <v>98</v>
      </c>
      <c r="AE113" t="s">
        <v>249</v>
      </c>
      <c r="AG113" t="s">
        <v>250</v>
      </c>
      <c r="AH113">
        <v>0</v>
      </c>
      <c r="AI113">
        <v>0</v>
      </c>
      <c r="AJ113">
        <v>0</v>
      </c>
      <c r="AK113">
        <v>0</v>
      </c>
      <c r="AL113">
        <v>0</v>
      </c>
    </row>
    <row r="114" spans="1:38" x14ac:dyDescent="0.3">
      <c r="A114" t="s">
        <v>244</v>
      </c>
      <c r="B114">
        <v>103444</v>
      </c>
      <c r="C114">
        <v>13</v>
      </c>
      <c r="D114" t="s">
        <v>245</v>
      </c>
      <c r="E114" t="s">
        <v>246</v>
      </c>
      <c r="F114">
        <v>33</v>
      </c>
      <c r="G114">
        <v>29.56</v>
      </c>
      <c r="H114">
        <v>97.72</v>
      </c>
      <c r="I114">
        <v>23.18</v>
      </c>
      <c r="J114">
        <v>76.63</v>
      </c>
      <c r="K114">
        <v>1</v>
      </c>
      <c r="T114">
        <v>3</v>
      </c>
      <c r="U114">
        <v>1</v>
      </c>
      <c r="V114" t="s">
        <v>118</v>
      </c>
      <c r="W114" t="s">
        <v>254</v>
      </c>
      <c r="X114">
        <v>6</v>
      </c>
      <c r="Y114">
        <v>3</v>
      </c>
      <c r="Z114" t="s">
        <v>247</v>
      </c>
      <c r="AA114" t="s">
        <v>248</v>
      </c>
      <c r="AB114" t="s">
        <v>96</v>
      </c>
      <c r="AC114" t="s">
        <v>97</v>
      </c>
      <c r="AD114" t="s">
        <v>98</v>
      </c>
      <c r="AE114" t="s">
        <v>249</v>
      </c>
      <c r="AG114" t="s">
        <v>250</v>
      </c>
      <c r="AH114">
        <v>0</v>
      </c>
      <c r="AI114">
        <v>0</v>
      </c>
      <c r="AJ114">
        <v>0</v>
      </c>
      <c r="AK114">
        <v>0</v>
      </c>
      <c r="AL114">
        <v>0</v>
      </c>
    </row>
    <row r="115" spans="1:38" x14ac:dyDescent="0.3">
      <c r="A115" t="s">
        <v>244</v>
      </c>
      <c r="B115">
        <v>103444</v>
      </c>
      <c r="C115">
        <v>14</v>
      </c>
      <c r="D115" t="s">
        <v>245</v>
      </c>
      <c r="E115" t="s">
        <v>246</v>
      </c>
      <c r="F115">
        <v>33</v>
      </c>
      <c r="G115">
        <v>29.62</v>
      </c>
      <c r="H115">
        <v>97.95</v>
      </c>
      <c r="I115">
        <v>23.22</v>
      </c>
      <c r="J115">
        <v>76.790000000000006</v>
      </c>
      <c r="K115">
        <v>1</v>
      </c>
      <c r="T115">
        <v>3</v>
      </c>
      <c r="U115">
        <v>1</v>
      </c>
      <c r="V115" t="s">
        <v>118</v>
      </c>
      <c r="W115" t="s">
        <v>255</v>
      </c>
      <c r="X115">
        <v>6</v>
      </c>
      <c r="Y115">
        <v>3</v>
      </c>
      <c r="Z115" t="s">
        <v>247</v>
      </c>
      <c r="AA115" t="s">
        <v>248</v>
      </c>
      <c r="AB115" t="s">
        <v>96</v>
      </c>
      <c r="AC115" t="s">
        <v>97</v>
      </c>
      <c r="AD115" t="s">
        <v>98</v>
      </c>
      <c r="AE115" t="s">
        <v>249</v>
      </c>
      <c r="AG115" t="s">
        <v>250</v>
      </c>
      <c r="AH115">
        <v>0</v>
      </c>
      <c r="AI115">
        <v>0</v>
      </c>
      <c r="AJ115">
        <v>0</v>
      </c>
      <c r="AK115">
        <v>0</v>
      </c>
      <c r="AL115">
        <v>0</v>
      </c>
    </row>
    <row r="116" spans="1:38" x14ac:dyDescent="0.3">
      <c r="A116" t="s">
        <v>244</v>
      </c>
      <c r="B116">
        <v>103444</v>
      </c>
      <c r="C116">
        <v>15</v>
      </c>
      <c r="D116" t="s">
        <v>245</v>
      </c>
      <c r="E116" t="s">
        <v>246</v>
      </c>
      <c r="F116">
        <v>33</v>
      </c>
      <c r="G116">
        <v>29.86</v>
      </c>
      <c r="H116">
        <v>98.74</v>
      </c>
      <c r="I116">
        <v>23.41</v>
      </c>
      <c r="J116">
        <v>77.42</v>
      </c>
      <c r="K116">
        <v>1</v>
      </c>
      <c r="T116">
        <v>3</v>
      </c>
      <c r="U116">
        <v>1</v>
      </c>
      <c r="V116" t="s">
        <v>118</v>
      </c>
      <c r="W116" t="s">
        <v>256</v>
      </c>
      <c r="X116">
        <v>6</v>
      </c>
      <c r="Y116">
        <v>3</v>
      </c>
      <c r="Z116" t="s">
        <v>247</v>
      </c>
      <c r="AA116" t="s">
        <v>248</v>
      </c>
      <c r="AB116" t="s">
        <v>96</v>
      </c>
      <c r="AC116" t="s">
        <v>97</v>
      </c>
      <c r="AD116" t="s">
        <v>98</v>
      </c>
      <c r="AE116" t="s">
        <v>249</v>
      </c>
      <c r="AG116" t="s">
        <v>250</v>
      </c>
      <c r="AH116">
        <v>0</v>
      </c>
      <c r="AI116">
        <v>0</v>
      </c>
      <c r="AJ116">
        <v>0</v>
      </c>
      <c r="AK116">
        <v>0</v>
      </c>
      <c r="AL116">
        <v>0</v>
      </c>
    </row>
    <row r="117" spans="1:38" x14ac:dyDescent="0.3">
      <c r="A117" t="s">
        <v>244</v>
      </c>
      <c r="B117">
        <v>103444</v>
      </c>
      <c r="C117">
        <v>16</v>
      </c>
      <c r="D117" t="s">
        <v>245</v>
      </c>
      <c r="E117" t="s">
        <v>246</v>
      </c>
      <c r="F117">
        <v>33</v>
      </c>
      <c r="G117">
        <v>31</v>
      </c>
      <c r="H117">
        <v>102.48</v>
      </c>
      <c r="I117">
        <v>24.3</v>
      </c>
      <c r="J117">
        <v>80.36</v>
      </c>
      <c r="K117">
        <v>1</v>
      </c>
      <c r="T117">
        <v>3</v>
      </c>
      <c r="U117">
        <v>1</v>
      </c>
      <c r="V117" t="s">
        <v>118</v>
      </c>
      <c r="W117">
        <v>102</v>
      </c>
      <c r="X117">
        <v>6</v>
      </c>
      <c r="Y117">
        <v>3</v>
      </c>
      <c r="Z117" t="s">
        <v>247</v>
      </c>
      <c r="AA117" t="s">
        <v>248</v>
      </c>
      <c r="AB117" t="s">
        <v>96</v>
      </c>
      <c r="AC117" t="s">
        <v>97</v>
      </c>
      <c r="AD117" t="s">
        <v>98</v>
      </c>
      <c r="AE117" t="s">
        <v>249</v>
      </c>
      <c r="AG117" t="s">
        <v>250</v>
      </c>
      <c r="AH117">
        <v>0</v>
      </c>
      <c r="AI117">
        <v>0</v>
      </c>
      <c r="AJ117">
        <v>0</v>
      </c>
      <c r="AK117">
        <v>0</v>
      </c>
      <c r="AL117">
        <v>0</v>
      </c>
    </row>
    <row r="118" spans="1:38" x14ac:dyDescent="0.3">
      <c r="A118" t="s">
        <v>244</v>
      </c>
      <c r="B118">
        <v>103444</v>
      </c>
      <c r="C118">
        <v>17</v>
      </c>
      <c r="D118" t="s">
        <v>245</v>
      </c>
      <c r="E118" t="s">
        <v>246</v>
      </c>
      <c r="F118">
        <v>33</v>
      </c>
      <c r="G118">
        <v>31.85</v>
      </c>
      <c r="H118">
        <v>105.29</v>
      </c>
      <c r="I118">
        <v>24.97</v>
      </c>
      <c r="J118">
        <v>82.55</v>
      </c>
      <c r="K118">
        <v>1</v>
      </c>
      <c r="T118">
        <v>3</v>
      </c>
      <c r="U118">
        <v>2</v>
      </c>
      <c r="V118" t="s">
        <v>118</v>
      </c>
      <c r="W118">
        <v>105</v>
      </c>
      <c r="X118">
        <v>6</v>
      </c>
      <c r="Y118">
        <v>3</v>
      </c>
      <c r="Z118" t="s">
        <v>247</v>
      </c>
      <c r="AA118" t="s">
        <v>248</v>
      </c>
      <c r="AB118" t="s">
        <v>96</v>
      </c>
      <c r="AC118" t="s">
        <v>97</v>
      </c>
      <c r="AD118" t="s">
        <v>98</v>
      </c>
      <c r="AE118" t="s">
        <v>249</v>
      </c>
      <c r="AG118" t="s">
        <v>250</v>
      </c>
      <c r="AH118">
        <v>0</v>
      </c>
      <c r="AI118">
        <v>0</v>
      </c>
      <c r="AJ118">
        <v>0</v>
      </c>
      <c r="AK118">
        <v>0</v>
      </c>
      <c r="AL118">
        <v>0</v>
      </c>
    </row>
    <row r="119" spans="1:38" x14ac:dyDescent="0.3">
      <c r="A119" t="s">
        <v>244</v>
      </c>
      <c r="B119">
        <v>103444</v>
      </c>
      <c r="C119">
        <v>18</v>
      </c>
      <c r="D119" t="s">
        <v>245</v>
      </c>
      <c r="E119" t="s">
        <v>246</v>
      </c>
      <c r="F119">
        <v>33</v>
      </c>
      <c r="G119">
        <v>32.58</v>
      </c>
      <c r="H119">
        <v>107.73</v>
      </c>
      <c r="I119">
        <v>25.54</v>
      </c>
      <c r="J119">
        <v>84.46</v>
      </c>
      <c r="K119">
        <v>1</v>
      </c>
      <c r="T119">
        <v>3</v>
      </c>
      <c r="U119">
        <v>1</v>
      </c>
      <c r="V119" t="s">
        <v>118</v>
      </c>
      <c r="W119">
        <v>107</v>
      </c>
      <c r="X119">
        <v>6</v>
      </c>
      <c r="Y119">
        <v>3</v>
      </c>
      <c r="Z119" t="s">
        <v>247</v>
      </c>
      <c r="AA119" t="s">
        <v>248</v>
      </c>
      <c r="AB119" t="s">
        <v>96</v>
      </c>
      <c r="AC119" t="s">
        <v>97</v>
      </c>
      <c r="AD119" t="s">
        <v>98</v>
      </c>
      <c r="AE119" t="s">
        <v>249</v>
      </c>
      <c r="AG119" t="s">
        <v>250</v>
      </c>
      <c r="AH119">
        <v>0</v>
      </c>
      <c r="AI119">
        <v>0</v>
      </c>
      <c r="AJ119">
        <v>0</v>
      </c>
      <c r="AK119">
        <v>0</v>
      </c>
      <c r="AL119">
        <v>0</v>
      </c>
    </row>
    <row r="120" spans="1:38" x14ac:dyDescent="0.3">
      <c r="A120" t="s">
        <v>244</v>
      </c>
      <c r="B120">
        <v>103444</v>
      </c>
      <c r="C120">
        <v>19</v>
      </c>
      <c r="D120" t="s">
        <v>245</v>
      </c>
      <c r="E120" t="s">
        <v>246</v>
      </c>
      <c r="F120">
        <v>33</v>
      </c>
      <c r="G120">
        <v>33.659999999999997</v>
      </c>
      <c r="H120">
        <v>111.3</v>
      </c>
      <c r="I120">
        <v>26.39</v>
      </c>
      <c r="J120">
        <v>87.27</v>
      </c>
      <c r="K120">
        <v>1</v>
      </c>
      <c r="T120">
        <v>3</v>
      </c>
      <c r="U120">
        <v>2</v>
      </c>
      <c r="V120" t="s">
        <v>118</v>
      </c>
      <c r="W120">
        <v>111</v>
      </c>
      <c r="X120">
        <v>6</v>
      </c>
      <c r="Y120">
        <v>3</v>
      </c>
      <c r="Z120" t="s">
        <v>247</v>
      </c>
      <c r="AA120" t="s">
        <v>248</v>
      </c>
      <c r="AB120" t="s">
        <v>96</v>
      </c>
      <c r="AC120" t="s">
        <v>97</v>
      </c>
      <c r="AD120" t="s">
        <v>98</v>
      </c>
      <c r="AE120" t="s">
        <v>249</v>
      </c>
      <c r="AG120" t="s">
        <v>250</v>
      </c>
      <c r="AH120">
        <v>0</v>
      </c>
      <c r="AI120">
        <v>0</v>
      </c>
      <c r="AJ120">
        <v>0</v>
      </c>
      <c r="AK120">
        <v>0</v>
      </c>
      <c r="AL120">
        <v>0</v>
      </c>
    </row>
    <row r="121" spans="1:38" x14ac:dyDescent="0.3">
      <c r="A121" t="s">
        <v>244</v>
      </c>
      <c r="B121">
        <v>103444</v>
      </c>
      <c r="C121">
        <v>20</v>
      </c>
      <c r="D121" t="s">
        <v>245</v>
      </c>
      <c r="E121" t="s">
        <v>246</v>
      </c>
      <c r="F121">
        <v>33</v>
      </c>
      <c r="G121">
        <v>36.729999999999997</v>
      </c>
      <c r="H121">
        <v>121.45</v>
      </c>
      <c r="I121">
        <v>28.81</v>
      </c>
      <c r="J121">
        <v>95.24</v>
      </c>
      <c r="K121">
        <v>1</v>
      </c>
      <c r="T121">
        <v>3</v>
      </c>
      <c r="U121">
        <v>2</v>
      </c>
      <c r="V121" t="s">
        <v>118</v>
      </c>
      <c r="W121">
        <v>121</v>
      </c>
      <c r="X121">
        <v>6</v>
      </c>
      <c r="Y121">
        <v>3</v>
      </c>
      <c r="Z121" t="s">
        <v>247</v>
      </c>
      <c r="AA121" t="s">
        <v>248</v>
      </c>
      <c r="AB121" t="s">
        <v>96</v>
      </c>
      <c r="AC121" t="s">
        <v>97</v>
      </c>
      <c r="AD121" t="s">
        <v>98</v>
      </c>
      <c r="AE121" t="s">
        <v>249</v>
      </c>
      <c r="AG121" t="s">
        <v>250</v>
      </c>
      <c r="AH121">
        <v>0</v>
      </c>
      <c r="AI121">
        <v>0</v>
      </c>
      <c r="AJ121">
        <v>0</v>
      </c>
      <c r="AK121">
        <v>0</v>
      </c>
      <c r="AL121">
        <v>0</v>
      </c>
    </row>
    <row r="122" spans="1:38" x14ac:dyDescent="0.3">
      <c r="A122" t="s">
        <v>244</v>
      </c>
      <c r="B122">
        <v>140450</v>
      </c>
      <c r="C122">
        <v>1</v>
      </c>
      <c r="D122" t="s">
        <v>257</v>
      </c>
      <c r="E122" t="s">
        <v>258</v>
      </c>
      <c r="F122">
        <v>24</v>
      </c>
      <c r="G122">
        <v>17.690000000000001</v>
      </c>
      <c r="H122">
        <v>58.5</v>
      </c>
      <c r="I122">
        <v>15.78</v>
      </c>
      <c r="J122">
        <v>52.18</v>
      </c>
      <c r="K122">
        <v>3</v>
      </c>
      <c r="T122">
        <v>3</v>
      </c>
      <c r="U122">
        <v>2</v>
      </c>
      <c r="V122" t="s">
        <v>93</v>
      </c>
      <c r="W122">
        <v>58</v>
      </c>
      <c r="X122">
        <v>6</v>
      </c>
      <c r="Y122">
        <v>3</v>
      </c>
      <c r="Z122" t="s">
        <v>259</v>
      </c>
      <c r="AA122" t="s">
        <v>260</v>
      </c>
      <c r="AB122" t="s">
        <v>96</v>
      </c>
      <c r="AC122" t="s">
        <v>97</v>
      </c>
      <c r="AD122" t="s">
        <v>98</v>
      </c>
      <c r="AE122" t="s">
        <v>249</v>
      </c>
      <c r="AG122" t="s">
        <v>261</v>
      </c>
      <c r="AH122">
        <v>0</v>
      </c>
      <c r="AI122">
        <v>216</v>
      </c>
      <c r="AJ122">
        <v>70</v>
      </c>
      <c r="AK122">
        <v>24</v>
      </c>
      <c r="AL122">
        <v>1</v>
      </c>
    </row>
    <row r="123" spans="1:38" x14ac:dyDescent="0.3">
      <c r="A123" t="s">
        <v>244</v>
      </c>
      <c r="B123">
        <v>140450</v>
      </c>
      <c r="C123">
        <v>2</v>
      </c>
      <c r="D123" t="s">
        <v>257</v>
      </c>
      <c r="E123" t="s">
        <v>258</v>
      </c>
      <c r="F123">
        <v>24</v>
      </c>
      <c r="G123">
        <v>18.920000000000002</v>
      </c>
      <c r="H123">
        <v>62.57</v>
      </c>
      <c r="I123">
        <v>16.88</v>
      </c>
      <c r="J123">
        <v>55.81</v>
      </c>
      <c r="K123">
        <v>1</v>
      </c>
      <c r="T123">
        <v>3</v>
      </c>
      <c r="U123">
        <v>2</v>
      </c>
      <c r="V123" t="s">
        <v>93</v>
      </c>
      <c r="W123" t="s">
        <v>262</v>
      </c>
      <c r="X123">
        <v>6</v>
      </c>
      <c r="Y123">
        <v>3</v>
      </c>
      <c r="Z123" t="s">
        <v>259</v>
      </c>
      <c r="AA123" t="s">
        <v>260</v>
      </c>
      <c r="AB123" t="s">
        <v>96</v>
      </c>
      <c r="AC123" t="s">
        <v>97</v>
      </c>
      <c r="AD123" t="s">
        <v>98</v>
      </c>
      <c r="AE123" t="s">
        <v>249</v>
      </c>
      <c r="AG123" t="s">
        <v>261</v>
      </c>
      <c r="AH123">
        <v>0</v>
      </c>
      <c r="AI123">
        <v>216</v>
      </c>
      <c r="AJ123">
        <v>70</v>
      </c>
      <c r="AK123">
        <v>24</v>
      </c>
      <c r="AL123">
        <v>1</v>
      </c>
    </row>
    <row r="124" spans="1:38" x14ac:dyDescent="0.3">
      <c r="A124" t="s">
        <v>244</v>
      </c>
      <c r="B124">
        <v>140450</v>
      </c>
      <c r="C124">
        <v>3</v>
      </c>
      <c r="D124" t="s">
        <v>257</v>
      </c>
      <c r="E124" t="s">
        <v>258</v>
      </c>
      <c r="F124">
        <v>24</v>
      </c>
      <c r="G124">
        <v>19.36</v>
      </c>
      <c r="H124">
        <v>64.03</v>
      </c>
      <c r="I124">
        <v>17.75</v>
      </c>
      <c r="J124">
        <v>58.68</v>
      </c>
      <c r="K124">
        <v>2</v>
      </c>
      <c r="T124">
        <v>3</v>
      </c>
      <c r="U124">
        <v>2</v>
      </c>
      <c r="V124" t="s">
        <v>93</v>
      </c>
      <c r="W124" t="s">
        <v>263</v>
      </c>
      <c r="X124">
        <v>6</v>
      </c>
      <c r="Y124">
        <v>3</v>
      </c>
      <c r="Z124" t="s">
        <v>259</v>
      </c>
      <c r="AA124" t="s">
        <v>260</v>
      </c>
      <c r="AB124" t="s">
        <v>96</v>
      </c>
      <c r="AC124" t="s">
        <v>97</v>
      </c>
      <c r="AD124" t="s">
        <v>98</v>
      </c>
      <c r="AE124" t="s">
        <v>249</v>
      </c>
      <c r="AG124" t="s">
        <v>261</v>
      </c>
      <c r="AH124">
        <v>0</v>
      </c>
      <c r="AI124">
        <v>216</v>
      </c>
      <c r="AJ124">
        <v>70</v>
      </c>
      <c r="AK124">
        <v>24</v>
      </c>
      <c r="AL124">
        <v>1</v>
      </c>
    </row>
    <row r="125" spans="1:38" x14ac:dyDescent="0.3">
      <c r="A125" t="s">
        <v>244</v>
      </c>
      <c r="B125">
        <v>140450</v>
      </c>
      <c r="C125">
        <v>4</v>
      </c>
      <c r="D125" t="s">
        <v>257</v>
      </c>
      <c r="E125" t="s">
        <v>258</v>
      </c>
      <c r="F125">
        <v>24</v>
      </c>
      <c r="G125">
        <v>21.38</v>
      </c>
      <c r="H125">
        <v>70.680000000000007</v>
      </c>
      <c r="I125">
        <v>19.07</v>
      </c>
      <c r="J125">
        <v>63.05</v>
      </c>
      <c r="K125">
        <v>4</v>
      </c>
      <c r="T125">
        <v>3</v>
      </c>
      <c r="U125">
        <v>2</v>
      </c>
      <c r="V125" t="s">
        <v>93</v>
      </c>
      <c r="W125" t="s">
        <v>264</v>
      </c>
      <c r="X125">
        <v>6</v>
      </c>
      <c r="Y125">
        <v>3</v>
      </c>
      <c r="Z125" t="s">
        <v>259</v>
      </c>
      <c r="AA125" t="s">
        <v>260</v>
      </c>
      <c r="AB125" t="s">
        <v>96</v>
      </c>
      <c r="AC125" t="s">
        <v>97</v>
      </c>
      <c r="AD125" t="s">
        <v>98</v>
      </c>
      <c r="AE125" t="s">
        <v>249</v>
      </c>
      <c r="AG125" t="s">
        <v>261</v>
      </c>
      <c r="AH125">
        <v>0</v>
      </c>
      <c r="AI125">
        <v>216</v>
      </c>
      <c r="AJ125">
        <v>70</v>
      </c>
      <c r="AK125">
        <v>24</v>
      </c>
      <c r="AL125">
        <v>1</v>
      </c>
    </row>
    <row r="126" spans="1:38" x14ac:dyDescent="0.3">
      <c r="A126" t="s">
        <v>244</v>
      </c>
      <c r="B126">
        <v>140450</v>
      </c>
      <c r="C126">
        <v>5</v>
      </c>
      <c r="D126" t="s">
        <v>257</v>
      </c>
      <c r="E126" t="s">
        <v>258</v>
      </c>
      <c r="F126">
        <v>24</v>
      </c>
      <c r="G126">
        <v>21.41</v>
      </c>
      <c r="H126">
        <v>70.78</v>
      </c>
      <c r="I126">
        <v>19.09</v>
      </c>
      <c r="J126">
        <v>63.14</v>
      </c>
      <c r="K126">
        <v>1</v>
      </c>
      <c r="T126">
        <v>3</v>
      </c>
      <c r="U126">
        <v>2</v>
      </c>
      <c r="V126" t="s">
        <v>93</v>
      </c>
      <c r="W126" t="s">
        <v>265</v>
      </c>
      <c r="X126">
        <v>6</v>
      </c>
      <c r="Y126">
        <v>3</v>
      </c>
      <c r="Z126" t="s">
        <v>259</v>
      </c>
      <c r="AA126" t="s">
        <v>260</v>
      </c>
      <c r="AB126" t="s">
        <v>96</v>
      </c>
      <c r="AC126" t="s">
        <v>97</v>
      </c>
      <c r="AD126" t="s">
        <v>98</v>
      </c>
      <c r="AE126" t="s">
        <v>249</v>
      </c>
      <c r="AG126" t="s">
        <v>261</v>
      </c>
      <c r="AH126">
        <v>0</v>
      </c>
      <c r="AI126">
        <v>216</v>
      </c>
      <c r="AJ126">
        <v>70</v>
      </c>
      <c r="AK126">
        <v>24</v>
      </c>
      <c r="AL126">
        <v>1</v>
      </c>
    </row>
    <row r="127" spans="1:38" x14ac:dyDescent="0.3">
      <c r="A127" t="s">
        <v>244</v>
      </c>
      <c r="B127">
        <v>140450</v>
      </c>
      <c r="C127">
        <v>6</v>
      </c>
      <c r="D127" t="s">
        <v>257</v>
      </c>
      <c r="E127" t="s">
        <v>258</v>
      </c>
      <c r="F127">
        <v>24</v>
      </c>
      <c r="G127">
        <v>21.7</v>
      </c>
      <c r="H127">
        <v>71.75</v>
      </c>
      <c r="I127">
        <v>19.88</v>
      </c>
      <c r="J127">
        <v>65.75</v>
      </c>
      <c r="K127">
        <v>2</v>
      </c>
      <c r="T127">
        <v>3</v>
      </c>
      <c r="U127">
        <v>2</v>
      </c>
      <c r="V127" t="s">
        <v>93</v>
      </c>
      <c r="W127" t="s">
        <v>266</v>
      </c>
      <c r="X127">
        <v>6</v>
      </c>
      <c r="Y127">
        <v>3</v>
      </c>
      <c r="Z127" t="s">
        <v>259</v>
      </c>
      <c r="AA127" t="s">
        <v>260</v>
      </c>
      <c r="AB127" t="s">
        <v>96</v>
      </c>
      <c r="AC127" t="s">
        <v>97</v>
      </c>
      <c r="AD127" t="s">
        <v>98</v>
      </c>
      <c r="AE127" t="s">
        <v>249</v>
      </c>
      <c r="AG127" t="s">
        <v>261</v>
      </c>
      <c r="AH127">
        <v>0</v>
      </c>
      <c r="AI127">
        <v>216</v>
      </c>
      <c r="AJ127">
        <v>70</v>
      </c>
      <c r="AK127">
        <v>24</v>
      </c>
      <c r="AL127">
        <v>1</v>
      </c>
    </row>
    <row r="128" spans="1:38" x14ac:dyDescent="0.3">
      <c r="A128" t="s">
        <v>244</v>
      </c>
      <c r="B128">
        <v>140450</v>
      </c>
      <c r="C128">
        <v>7</v>
      </c>
      <c r="D128" t="s">
        <v>257</v>
      </c>
      <c r="E128" t="s">
        <v>258</v>
      </c>
      <c r="F128">
        <v>24</v>
      </c>
      <c r="G128">
        <v>21.81</v>
      </c>
      <c r="H128">
        <v>72.11</v>
      </c>
      <c r="I128">
        <v>19.45</v>
      </c>
      <c r="J128">
        <v>64.319999999999993</v>
      </c>
      <c r="K128">
        <v>3</v>
      </c>
      <c r="T128">
        <v>3</v>
      </c>
      <c r="U128">
        <v>2</v>
      </c>
      <c r="V128" t="s">
        <v>93</v>
      </c>
      <c r="W128" t="s">
        <v>267</v>
      </c>
      <c r="X128">
        <v>6</v>
      </c>
      <c r="Y128">
        <v>3</v>
      </c>
      <c r="Z128" t="s">
        <v>259</v>
      </c>
      <c r="AA128" t="s">
        <v>260</v>
      </c>
      <c r="AB128" t="s">
        <v>96</v>
      </c>
      <c r="AC128" t="s">
        <v>97</v>
      </c>
      <c r="AD128" t="s">
        <v>98</v>
      </c>
      <c r="AE128" t="s">
        <v>249</v>
      </c>
      <c r="AG128" t="s">
        <v>261</v>
      </c>
      <c r="AH128">
        <v>0</v>
      </c>
      <c r="AI128">
        <v>216</v>
      </c>
      <c r="AJ128">
        <v>70</v>
      </c>
      <c r="AK128">
        <v>24</v>
      </c>
      <c r="AL128">
        <v>1</v>
      </c>
    </row>
    <row r="129" spans="1:38" x14ac:dyDescent="0.3">
      <c r="A129" t="s">
        <v>244</v>
      </c>
      <c r="B129">
        <v>140450</v>
      </c>
      <c r="C129">
        <v>8</v>
      </c>
      <c r="D129" t="s">
        <v>257</v>
      </c>
      <c r="E129" t="s">
        <v>258</v>
      </c>
      <c r="F129">
        <v>24</v>
      </c>
      <c r="G129">
        <v>21.87</v>
      </c>
      <c r="H129">
        <v>72.31</v>
      </c>
      <c r="I129">
        <v>20.04</v>
      </c>
      <c r="J129">
        <v>66.27</v>
      </c>
      <c r="K129">
        <v>2</v>
      </c>
      <c r="T129">
        <v>3</v>
      </c>
      <c r="U129">
        <v>2</v>
      </c>
      <c r="V129" t="s">
        <v>93</v>
      </c>
      <c r="W129" t="s">
        <v>268</v>
      </c>
      <c r="X129">
        <v>6</v>
      </c>
      <c r="Y129">
        <v>3</v>
      </c>
      <c r="Z129" t="s">
        <v>259</v>
      </c>
      <c r="AA129" t="s">
        <v>260</v>
      </c>
      <c r="AB129" t="s">
        <v>96</v>
      </c>
      <c r="AC129" t="s">
        <v>97</v>
      </c>
      <c r="AD129" t="s">
        <v>98</v>
      </c>
      <c r="AE129" t="s">
        <v>249</v>
      </c>
      <c r="AG129" t="s">
        <v>261</v>
      </c>
      <c r="AH129">
        <v>0</v>
      </c>
      <c r="AI129">
        <v>216</v>
      </c>
      <c r="AJ129">
        <v>70</v>
      </c>
      <c r="AK129">
        <v>24</v>
      </c>
      <c r="AL129">
        <v>1</v>
      </c>
    </row>
    <row r="130" spans="1:38" x14ac:dyDescent="0.3">
      <c r="A130" t="s">
        <v>244</v>
      </c>
      <c r="B130">
        <v>140450</v>
      </c>
      <c r="C130">
        <v>9</v>
      </c>
      <c r="D130" t="s">
        <v>257</v>
      </c>
      <c r="E130" t="s">
        <v>258</v>
      </c>
      <c r="F130">
        <v>24</v>
      </c>
      <c r="G130">
        <v>22.89</v>
      </c>
      <c r="H130">
        <v>75.680000000000007</v>
      </c>
      <c r="I130">
        <v>20.420000000000002</v>
      </c>
      <c r="J130">
        <v>67.510000000000005</v>
      </c>
      <c r="K130">
        <v>4</v>
      </c>
      <c r="T130">
        <v>3</v>
      </c>
      <c r="U130">
        <v>2</v>
      </c>
      <c r="V130" t="s">
        <v>93</v>
      </c>
      <c r="W130">
        <v>75</v>
      </c>
      <c r="X130">
        <v>6</v>
      </c>
      <c r="Y130">
        <v>3</v>
      </c>
      <c r="Z130" t="s">
        <v>259</v>
      </c>
      <c r="AA130" t="s">
        <v>260</v>
      </c>
      <c r="AB130" t="s">
        <v>96</v>
      </c>
      <c r="AC130" t="s">
        <v>97</v>
      </c>
      <c r="AD130" t="s">
        <v>98</v>
      </c>
      <c r="AE130" t="s">
        <v>249</v>
      </c>
      <c r="AG130" t="s">
        <v>261</v>
      </c>
      <c r="AH130">
        <v>0</v>
      </c>
      <c r="AI130">
        <v>216</v>
      </c>
      <c r="AJ130">
        <v>70</v>
      </c>
      <c r="AK130">
        <v>24</v>
      </c>
      <c r="AL130">
        <v>1</v>
      </c>
    </row>
    <row r="131" spans="1:38" x14ac:dyDescent="0.3">
      <c r="A131" t="s">
        <v>269</v>
      </c>
      <c r="B131">
        <v>9601</v>
      </c>
      <c r="C131">
        <v>1</v>
      </c>
      <c r="D131" t="s">
        <v>270</v>
      </c>
      <c r="E131" t="s">
        <v>271</v>
      </c>
      <c r="F131">
        <v>129</v>
      </c>
      <c r="G131">
        <v>25.42</v>
      </c>
      <c r="H131">
        <v>84.05</v>
      </c>
      <c r="I131">
        <v>18.25</v>
      </c>
      <c r="J131">
        <v>60.36</v>
      </c>
      <c r="K131">
        <v>14</v>
      </c>
      <c r="T131">
        <v>3</v>
      </c>
      <c r="U131">
        <v>2</v>
      </c>
      <c r="V131" t="s">
        <v>118</v>
      </c>
      <c r="W131">
        <v>84</v>
      </c>
      <c r="X131">
        <v>15</v>
      </c>
      <c r="Y131">
        <v>7</v>
      </c>
      <c r="Z131" t="s">
        <v>272</v>
      </c>
      <c r="AA131" t="s">
        <v>273</v>
      </c>
      <c r="AB131" t="s">
        <v>96</v>
      </c>
      <c r="AC131" t="s">
        <v>97</v>
      </c>
      <c r="AD131" t="s">
        <v>98</v>
      </c>
      <c r="AE131" t="s">
        <v>274</v>
      </c>
      <c r="AG131" t="s">
        <v>275</v>
      </c>
      <c r="AH131">
        <v>0</v>
      </c>
      <c r="AI131">
        <v>332</v>
      </c>
      <c r="AJ131">
        <v>55</v>
      </c>
      <c r="AK131">
        <v>200</v>
      </c>
      <c r="AL131">
        <v>1.55</v>
      </c>
    </row>
    <row r="132" spans="1:38" x14ac:dyDescent="0.3">
      <c r="A132" t="s">
        <v>269</v>
      </c>
      <c r="B132">
        <v>9601</v>
      </c>
      <c r="C132">
        <v>2</v>
      </c>
      <c r="D132" t="s">
        <v>270</v>
      </c>
      <c r="E132" t="s">
        <v>271</v>
      </c>
      <c r="F132">
        <v>129</v>
      </c>
      <c r="G132">
        <v>34.81</v>
      </c>
      <c r="H132">
        <v>115.08</v>
      </c>
      <c r="I132">
        <v>24.99</v>
      </c>
      <c r="J132">
        <v>82.64</v>
      </c>
      <c r="K132">
        <v>115</v>
      </c>
      <c r="T132">
        <v>3</v>
      </c>
      <c r="U132">
        <v>2</v>
      </c>
      <c r="V132" t="s">
        <v>118</v>
      </c>
      <c r="W132">
        <v>115</v>
      </c>
      <c r="X132">
        <v>15</v>
      </c>
      <c r="Y132">
        <v>7</v>
      </c>
      <c r="Z132" t="s">
        <v>272</v>
      </c>
      <c r="AA132" t="s">
        <v>273</v>
      </c>
      <c r="AB132" t="s">
        <v>96</v>
      </c>
      <c r="AC132" t="s">
        <v>97</v>
      </c>
      <c r="AD132" t="s">
        <v>98</v>
      </c>
      <c r="AE132" t="s">
        <v>274</v>
      </c>
      <c r="AG132" t="s">
        <v>275</v>
      </c>
      <c r="AH132">
        <v>0</v>
      </c>
      <c r="AI132">
        <v>332</v>
      </c>
      <c r="AJ132">
        <v>55</v>
      </c>
      <c r="AK132">
        <v>200</v>
      </c>
      <c r="AL132">
        <v>1.55</v>
      </c>
    </row>
    <row r="133" spans="1:38" x14ac:dyDescent="0.3">
      <c r="A133" t="s">
        <v>269</v>
      </c>
      <c r="B133">
        <v>111066</v>
      </c>
      <c r="C133">
        <v>1</v>
      </c>
      <c r="D133" t="s">
        <v>276</v>
      </c>
      <c r="E133" t="s">
        <v>277</v>
      </c>
      <c r="F133">
        <v>20</v>
      </c>
      <c r="G133">
        <v>23.2</v>
      </c>
      <c r="H133">
        <v>76.72</v>
      </c>
      <c r="I133">
        <v>20.239999999999998</v>
      </c>
      <c r="J133">
        <v>66.92</v>
      </c>
      <c r="K133">
        <v>6</v>
      </c>
      <c r="T133">
        <v>3</v>
      </c>
      <c r="U133">
        <v>1</v>
      </c>
      <c r="V133" t="s">
        <v>93</v>
      </c>
      <c r="W133">
        <v>76</v>
      </c>
      <c r="X133">
        <v>7</v>
      </c>
      <c r="Y133">
        <v>5</v>
      </c>
      <c r="Z133" t="s">
        <v>278</v>
      </c>
      <c r="AA133" t="s">
        <v>279</v>
      </c>
      <c r="AB133" t="s">
        <v>96</v>
      </c>
      <c r="AC133" t="s">
        <v>97</v>
      </c>
      <c r="AD133" t="s">
        <v>98</v>
      </c>
      <c r="AE133" t="s">
        <v>274</v>
      </c>
      <c r="AG133" t="s">
        <v>280</v>
      </c>
      <c r="AH133">
        <v>0</v>
      </c>
      <c r="AI133">
        <v>356</v>
      </c>
      <c r="AJ133">
        <v>69</v>
      </c>
      <c r="AK133">
        <v>20</v>
      </c>
      <c r="AL133">
        <v>1</v>
      </c>
    </row>
    <row r="134" spans="1:38" x14ac:dyDescent="0.3">
      <c r="A134" t="s">
        <v>269</v>
      </c>
      <c r="B134">
        <v>111066</v>
      </c>
      <c r="C134">
        <v>2</v>
      </c>
      <c r="D134" t="s">
        <v>276</v>
      </c>
      <c r="E134" t="s">
        <v>277</v>
      </c>
      <c r="F134">
        <v>20</v>
      </c>
      <c r="G134">
        <v>26.78</v>
      </c>
      <c r="H134">
        <v>88.53</v>
      </c>
      <c r="I134">
        <v>23.81</v>
      </c>
      <c r="J134">
        <v>78.73</v>
      </c>
      <c r="K134">
        <v>8</v>
      </c>
      <c r="T134">
        <v>3</v>
      </c>
      <c r="U134">
        <v>2</v>
      </c>
      <c r="V134" t="s">
        <v>93</v>
      </c>
      <c r="W134" t="s">
        <v>281</v>
      </c>
      <c r="X134">
        <v>7</v>
      </c>
      <c r="Y134">
        <v>5</v>
      </c>
      <c r="Z134" t="s">
        <v>278</v>
      </c>
      <c r="AA134" t="s">
        <v>279</v>
      </c>
      <c r="AB134" t="s">
        <v>96</v>
      </c>
      <c r="AC134" t="s">
        <v>97</v>
      </c>
      <c r="AD134" t="s">
        <v>98</v>
      </c>
      <c r="AE134" t="s">
        <v>274</v>
      </c>
      <c r="AG134" t="s">
        <v>280</v>
      </c>
      <c r="AH134">
        <v>0</v>
      </c>
      <c r="AI134">
        <v>356</v>
      </c>
      <c r="AJ134">
        <v>69</v>
      </c>
      <c r="AK134">
        <v>20</v>
      </c>
      <c r="AL134">
        <v>1</v>
      </c>
    </row>
    <row r="135" spans="1:38" x14ac:dyDescent="0.3">
      <c r="A135" t="s">
        <v>269</v>
      </c>
      <c r="B135">
        <v>111066</v>
      </c>
      <c r="C135">
        <v>3</v>
      </c>
      <c r="D135" t="s">
        <v>276</v>
      </c>
      <c r="E135" t="s">
        <v>277</v>
      </c>
      <c r="F135">
        <v>20</v>
      </c>
      <c r="G135">
        <v>26.99</v>
      </c>
      <c r="H135">
        <v>89.24</v>
      </c>
      <c r="I135">
        <v>24.03</v>
      </c>
      <c r="J135">
        <v>79.44</v>
      </c>
      <c r="K135">
        <v>6</v>
      </c>
      <c r="T135">
        <v>3</v>
      </c>
      <c r="U135">
        <v>2</v>
      </c>
      <c r="V135" t="s">
        <v>93</v>
      </c>
      <c r="W135" t="s">
        <v>282</v>
      </c>
      <c r="X135">
        <v>7</v>
      </c>
      <c r="Y135">
        <v>5</v>
      </c>
      <c r="Z135" t="s">
        <v>278</v>
      </c>
      <c r="AA135" t="s">
        <v>279</v>
      </c>
      <c r="AB135" t="s">
        <v>96</v>
      </c>
      <c r="AC135" t="s">
        <v>97</v>
      </c>
      <c r="AD135" t="s">
        <v>98</v>
      </c>
      <c r="AE135" t="s">
        <v>274</v>
      </c>
      <c r="AG135" t="s">
        <v>280</v>
      </c>
      <c r="AH135">
        <v>0</v>
      </c>
      <c r="AI135">
        <v>356</v>
      </c>
      <c r="AJ135">
        <v>69</v>
      </c>
      <c r="AK135">
        <v>20</v>
      </c>
      <c r="AL135">
        <v>1</v>
      </c>
    </row>
    <row r="136" spans="1:38" x14ac:dyDescent="0.3">
      <c r="A136" t="s">
        <v>269</v>
      </c>
      <c r="B136">
        <v>133025</v>
      </c>
      <c r="C136">
        <v>1</v>
      </c>
      <c r="D136" t="s">
        <v>283</v>
      </c>
      <c r="E136" t="s">
        <v>284</v>
      </c>
      <c r="F136">
        <v>6</v>
      </c>
      <c r="G136">
        <v>28.02</v>
      </c>
      <c r="H136">
        <v>92.65</v>
      </c>
      <c r="I136">
        <v>21.49</v>
      </c>
      <c r="J136">
        <v>71.06</v>
      </c>
      <c r="K136">
        <v>2</v>
      </c>
      <c r="T136">
        <v>3</v>
      </c>
      <c r="U136">
        <v>2</v>
      </c>
      <c r="V136" t="s">
        <v>93</v>
      </c>
      <c r="W136">
        <v>92</v>
      </c>
      <c r="X136">
        <v>3</v>
      </c>
      <c r="Y136">
        <v>3</v>
      </c>
      <c r="Z136" t="s">
        <v>285</v>
      </c>
      <c r="AA136" t="s">
        <v>286</v>
      </c>
      <c r="AB136" t="s">
        <v>96</v>
      </c>
      <c r="AC136" t="s">
        <v>97</v>
      </c>
      <c r="AD136" t="s">
        <v>98</v>
      </c>
      <c r="AE136" t="s">
        <v>274</v>
      </c>
      <c r="AG136" t="s">
        <v>287</v>
      </c>
      <c r="AH136">
        <v>0</v>
      </c>
      <c r="AI136">
        <v>368</v>
      </c>
      <c r="AJ136">
        <v>68</v>
      </c>
      <c r="AK136">
        <v>6</v>
      </c>
      <c r="AL136">
        <v>1</v>
      </c>
    </row>
    <row r="137" spans="1:38" x14ac:dyDescent="0.3">
      <c r="A137" t="s">
        <v>269</v>
      </c>
      <c r="B137">
        <v>133025</v>
      </c>
      <c r="C137">
        <v>2</v>
      </c>
      <c r="D137" t="s">
        <v>283</v>
      </c>
      <c r="E137" t="s">
        <v>284</v>
      </c>
      <c r="F137">
        <v>6</v>
      </c>
      <c r="G137">
        <v>29.31</v>
      </c>
      <c r="H137">
        <v>96.92</v>
      </c>
      <c r="I137">
        <v>22.13</v>
      </c>
      <c r="J137">
        <v>73.16</v>
      </c>
      <c r="K137">
        <v>2</v>
      </c>
      <c r="T137">
        <v>3</v>
      </c>
      <c r="U137">
        <v>2</v>
      </c>
      <c r="V137" t="s">
        <v>93</v>
      </c>
      <c r="W137">
        <v>96</v>
      </c>
      <c r="X137">
        <v>3</v>
      </c>
      <c r="Y137">
        <v>3</v>
      </c>
      <c r="Z137" t="s">
        <v>285</v>
      </c>
      <c r="AA137" t="s">
        <v>286</v>
      </c>
      <c r="AB137" t="s">
        <v>96</v>
      </c>
      <c r="AC137" t="s">
        <v>97</v>
      </c>
      <c r="AD137" t="s">
        <v>98</v>
      </c>
      <c r="AE137" t="s">
        <v>274</v>
      </c>
      <c r="AG137" t="s">
        <v>287</v>
      </c>
      <c r="AH137">
        <v>0</v>
      </c>
      <c r="AI137">
        <v>368</v>
      </c>
      <c r="AJ137">
        <v>68</v>
      </c>
      <c r="AK137">
        <v>6</v>
      </c>
      <c r="AL137">
        <v>1</v>
      </c>
    </row>
    <row r="138" spans="1:38" x14ac:dyDescent="0.3">
      <c r="A138" t="s">
        <v>269</v>
      </c>
      <c r="B138">
        <v>133025</v>
      </c>
      <c r="C138">
        <v>3</v>
      </c>
      <c r="D138" t="s">
        <v>283</v>
      </c>
      <c r="E138" t="s">
        <v>284</v>
      </c>
      <c r="F138">
        <v>6</v>
      </c>
      <c r="G138">
        <v>30.77</v>
      </c>
      <c r="H138">
        <v>101.75</v>
      </c>
      <c r="I138">
        <v>23.2</v>
      </c>
      <c r="J138">
        <v>76.72</v>
      </c>
      <c r="K138">
        <v>2</v>
      </c>
      <c r="T138">
        <v>3</v>
      </c>
      <c r="U138">
        <v>2</v>
      </c>
      <c r="V138" t="s">
        <v>93</v>
      </c>
      <c r="W138">
        <v>101</v>
      </c>
      <c r="X138">
        <v>3</v>
      </c>
      <c r="Y138">
        <v>3</v>
      </c>
      <c r="Z138" t="s">
        <v>285</v>
      </c>
      <c r="AA138" t="s">
        <v>286</v>
      </c>
      <c r="AB138" t="s">
        <v>96</v>
      </c>
      <c r="AC138" t="s">
        <v>97</v>
      </c>
      <c r="AD138" t="s">
        <v>98</v>
      </c>
      <c r="AE138" t="s">
        <v>274</v>
      </c>
      <c r="AG138" t="s">
        <v>287</v>
      </c>
      <c r="AH138">
        <v>0</v>
      </c>
      <c r="AI138">
        <v>368</v>
      </c>
      <c r="AJ138">
        <v>68</v>
      </c>
      <c r="AK138">
        <v>6</v>
      </c>
      <c r="AL138">
        <v>1</v>
      </c>
    </row>
    <row r="139" spans="1:38" x14ac:dyDescent="0.3">
      <c r="A139" t="s">
        <v>269</v>
      </c>
      <c r="B139">
        <v>11238</v>
      </c>
      <c r="C139">
        <v>1</v>
      </c>
      <c r="D139" t="s">
        <v>288</v>
      </c>
      <c r="E139" t="s">
        <v>289</v>
      </c>
      <c r="F139">
        <v>112</v>
      </c>
      <c r="G139">
        <v>25.24</v>
      </c>
      <c r="H139">
        <v>83.45</v>
      </c>
      <c r="I139">
        <v>17.940000000000001</v>
      </c>
      <c r="J139">
        <v>59.33</v>
      </c>
      <c r="K139">
        <v>98</v>
      </c>
      <c r="T139">
        <v>3</v>
      </c>
      <c r="U139">
        <v>2</v>
      </c>
      <c r="V139" t="s">
        <v>118</v>
      </c>
      <c r="W139" t="s">
        <v>290</v>
      </c>
      <c r="X139">
        <v>15</v>
      </c>
      <c r="Y139">
        <v>15</v>
      </c>
      <c r="Z139" t="s">
        <v>291</v>
      </c>
      <c r="AA139" t="s">
        <v>292</v>
      </c>
      <c r="AB139" t="s">
        <v>96</v>
      </c>
      <c r="AC139" t="s">
        <v>97</v>
      </c>
      <c r="AD139" t="s">
        <v>98</v>
      </c>
      <c r="AE139" t="s">
        <v>274</v>
      </c>
      <c r="AG139" t="s">
        <v>293</v>
      </c>
      <c r="AH139">
        <v>0</v>
      </c>
      <c r="AI139">
        <v>487</v>
      </c>
      <c r="AJ139">
        <v>35</v>
      </c>
      <c r="AK139">
        <v>0</v>
      </c>
      <c r="AL139">
        <v>0</v>
      </c>
    </row>
    <row r="140" spans="1:38" x14ac:dyDescent="0.3">
      <c r="A140" t="s">
        <v>269</v>
      </c>
      <c r="B140">
        <v>11238</v>
      </c>
      <c r="C140">
        <v>2</v>
      </c>
      <c r="D140" t="s">
        <v>288</v>
      </c>
      <c r="E140" t="s">
        <v>289</v>
      </c>
      <c r="F140">
        <v>112</v>
      </c>
      <c r="G140">
        <v>25.16</v>
      </c>
      <c r="H140">
        <v>83.2</v>
      </c>
      <c r="I140">
        <v>17.89</v>
      </c>
      <c r="J140">
        <v>59.15</v>
      </c>
      <c r="K140">
        <v>14</v>
      </c>
      <c r="T140">
        <v>3</v>
      </c>
      <c r="U140">
        <v>2</v>
      </c>
      <c r="V140" t="s">
        <v>118</v>
      </c>
      <c r="W140" t="s">
        <v>294</v>
      </c>
      <c r="X140">
        <v>15</v>
      </c>
      <c r="Y140">
        <v>15</v>
      </c>
      <c r="Z140" t="s">
        <v>291</v>
      </c>
      <c r="AA140" t="s">
        <v>292</v>
      </c>
      <c r="AB140" t="s">
        <v>96</v>
      </c>
      <c r="AC140" t="s">
        <v>97</v>
      </c>
      <c r="AD140" t="s">
        <v>98</v>
      </c>
      <c r="AE140" t="s">
        <v>274</v>
      </c>
      <c r="AG140" t="s">
        <v>293</v>
      </c>
      <c r="AH140">
        <v>0</v>
      </c>
      <c r="AI140">
        <v>487</v>
      </c>
      <c r="AJ140">
        <v>35</v>
      </c>
      <c r="AK140">
        <v>0</v>
      </c>
      <c r="AL140">
        <v>0</v>
      </c>
    </row>
    <row r="141" spans="1:38" x14ac:dyDescent="0.3">
      <c r="A141" t="s">
        <v>269</v>
      </c>
      <c r="B141">
        <v>2685</v>
      </c>
      <c r="C141">
        <v>1</v>
      </c>
      <c r="D141" t="s">
        <v>295</v>
      </c>
      <c r="E141" t="s">
        <v>140</v>
      </c>
      <c r="F141">
        <v>175</v>
      </c>
      <c r="G141">
        <v>27</v>
      </c>
      <c r="H141">
        <v>89.26</v>
      </c>
      <c r="I141">
        <v>19.39</v>
      </c>
      <c r="J141">
        <v>64.099999999999994</v>
      </c>
      <c r="K141">
        <v>102</v>
      </c>
      <c r="T141">
        <v>3</v>
      </c>
      <c r="U141">
        <v>1</v>
      </c>
      <c r="V141" t="s">
        <v>118</v>
      </c>
      <c r="W141" t="s">
        <v>282</v>
      </c>
      <c r="X141">
        <v>12</v>
      </c>
      <c r="Y141">
        <v>12</v>
      </c>
      <c r="Z141" t="s">
        <v>296</v>
      </c>
      <c r="AA141" t="s">
        <v>297</v>
      </c>
      <c r="AB141" t="s">
        <v>96</v>
      </c>
      <c r="AC141" t="s">
        <v>97</v>
      </c>
      <c r="AD141" t="s">
        <v>98</v>
      </c>
      <c r="AE141" t="s">
        <v>274</v>
      </c>
      <c r="AG141" t="s">
        <v>298</v>
      </c>
      <c r="AH141">
        <v>0</v>
      </c>
      <c r="AI141">
        <v>0</v>
      </c>
      <c r="AJ141">
        <v>0</v>
      </c>
      <c r="AK141">
        <v>0</v>
      </c>
      <c r="AL141">
        <v>0</v>
      </c>
    </row>
    <row r="142" spans="1:38" x14ac:dyDescent="0.3">
      <c r="A142" t="s">
        <v>269</v>
      </c>
      <c r="B142">
        <v>2685</v>
      </c>
      <c r="C142">
        <v>2</v>
      </c>
      <c r="D142" t="s">
        <v>295</v>
      </c>
      <c r="E142" t="s">
        <v>140</v>
      </c>
      <c r="F142">
        <v>175</v>
      </c>
      <c r="G142">
        <v>26.99</v>
      </c>
      <c r="H142">
        <v>89.25</v>
      </c>
      <c r="I142">
        <v>19.38</v>
      </c>
      <c r="J142">
        <v>64.09</v>
      </c>
      <c r="K142">
        <v>1</v>
      </c>
      <c r="T142">
        <v>3</v>
      </c>
      <c r="U142">
        <v>1</v>
      </c>
      <c r="V142" t="s">
        <v>118</v>
      </c>
      <c r="W142" t="s">
        <v>299</v>
      </c>
      <c r="X142">
        <v>12</v>
      </c>
      <c r="Y142">
        <v>12</v>
      </c>
      <c r="Z142" t="s">
        <v>296</v>
      </c>
      <c r="AA142" t="s">
        <v>297</v>
      </c>
      <c r="AB142" t="s">
        <v>96</v>
      </c>
      <c r="AC142" t="s">
        <v>97</v>
      </c>
      <c r="AD142" t="s">
        <v>98</v>
      </c>
      <c r="AE142" t="s">
        <v>274</v>
      </c>
      <c r="AG142" t="s">
        <v>298</v>
      </c>
      <c r="AH142">
        <v>0</v>
      </c>
      <c r="AI142">
        <v>0</v>
      </c>
      <c r="AJ142">
        <v>0</v>
      </c>
      <c r="AK142">
        <v>0</v>
      </c>
      <c r="AL142">
        <v>0</v>
      </c>
    </row>
    <row r="143" spans="1:38" x14ac:dyDescent="0.3">
      <c r="A143" t="s">
        <v>269</v>
      </c>
      <c r="B143">
        <v>2685</v>
      </c>
      <c r="C143">
        <v>3</v>
      </c>
      <c r="D143" t="s">
        <v>295</v>
      </c>
      <c r="E143" t="s">
        <v>140</v>
      </c>
      <c r="F143">
        <v>175</v>
      </c>
      <c r="G143">
        <v>29.99</v>
      </c>
      <c r="H143">
        <v>99.17</v>
      </c>
      <c r="I143">
        <v>21.87</v>
      </c>
      <c r="J143">
        <v>72.33</v>
      </c>
      <c r="K143">
        <v>48</v>
      </c>
      <c r="T143">
        <v>3</v>
      </c>
      <c r="U143">
        <v>1</v>
      </c>
      <c r="V143" t="s">
        <v>118</v>
      </c>
      <c r="W143">
        <v>99</v>
      </c>
      <c r="X143">
        <v>12</v>
      </c>
      <c r="Y143">
        <v>12</v>
      </c>
      <c r="Z143" t="s">
        <v>296</v>
      </c>
      <c r="AA143" t="s">
        <v>297</v>
      </c>
      <c r="AB143" t="s">
        <v>96</v>
      </c>
      <c r="AC143" t="s">
        <v>97</v>
      </c>
      <c r="AD143" t="s">
        <v>98</v>
      </c>
      <c r="AE143" t="s">
        <v>274</v>
      </c>
      <c r="AG143" t="s">
        <v>298</v>
      </c>
      <c r="AH143">
        <v>0</v>
      </c>
      <c r="AI143">
        <v>0</v>
      </c>
      <c r="AJ143">
        <v>0</v>
      </c>
      <c r="AK143">
        <v>0</v>
      </c>
      <c r="AL143">
        <v>0</v>
      </c>
    </row>
    <row r="144" spans="1:38" x14ac:dyDescent="0.3">
      <c r="A144" t="s">
        <v>269</v>
      </c>
      <c r="B144">
        <v>2685</v>
      </c>
      <c r="C144">
        <v>4</v>
      </c>
      <c r="D144" t="s">
        <v>295</v>
      </c>
      <c r="E144" t="s">
        <v>140</v>
      </c>
      <c r="F144">
        <v>175</v>
      </c>
      <c r="G144">
        <v>34</v>
      </c>
      <c r="H144">
        <v>112.4</v>
      </c>
      <c r="I144">
        <v>24.91</v>
      </c>
      <c r="J144">
        <v>82.38</v>
      </c>
      <c r="K144">
        <v>12</v>
      </c>
      <c r="T144">
        <v>3</v>
      </c>
      <c r="U144">
        <v>1</v>
      </c>
      <c r="V144" t="s">
        <v>118</v>
      </c>
      <c r="W144">
        <v>112</v>
      </c>
      <c r="X144">
        <v>12</v>
      </c>
      <c r="Y144">
        <v>12</v>
      </c>
      <c r="Z144" t="s">
        <v>296</v>
      </c>
      <c r="AA144" t="s">
        <v>297</v>
      </c>
      <c r="AB144" t="s">
        <v>96</v>
      </c>
      <c r="AC144" t="s">
        <v>97</v>
      </c>
      <c r="AD144" t="s">
        <v>98</v>
      </c>
      <c r="AE144" t="s">
        <v>274</v>
      </c>
      <c r="AG144" t="s">
        <v>298</v>
      </c>
      <c r="AH144">
        <v>0</v>
      </c>
      <c r="AI144">
        <v>0</v>
      </c>
      <c r="AJ144">
        <v>0</v>
      </c>
      <c r="AK144">
        <v>0</v>
      </c>
      <c r="AL144">
        <v>0</v>
      </c>
    </row>
    <row r="145" spans="1:38" x14ac:dyDescent="0.3">
      <c r="A145" t="s">
        <v>269</v>
      </c>
      <c r="B145">
        <v>2685</v>
      </c>
      <c r="C145">
        <v>5</v>
      </c>
      <c r="D145" t="s">
        <v>295</v>
      </c>
      <c r="E145" t="s">
        <v>140</v>
      </c>
      <c r="F145">
        <v>175</v>
      </c>
      <c r="G145">
        <v>38</v>
      </c>
      <c r="H145">
        <v>125.62</v>
      </c>
      <c r="I145">
        <v>27.56</v>
      </c>
      <c r="J145">
        <v>91.14</v>
      </c>
      <c r="K145">
        <v>12</v>
      </c>
      <c r="T145">
        <v>4</v>
      </c>
      <c r="U145">
        <v>1</v>
      </c>
      <c r="V145" t="s">
        <v>118</v>
      </c>
      <c r="W145">
        <v>125</v>
      </c>
      <c r="X145">
        <v>12</v>
      </c>
      <c r="Y145">
        <v>12</v>
      </c>
      <c r="Z145" t="s">
        <v>296</v>
      </c>
      <c r="AA145" t="s">
        <v>297</v>
      </c>
      <c r="AB145" t="s">
        <v>96</v>
      </c>
      <c r="AC145" t="s">
        <v>97</v>
      </c>
      <c r="AD145" t="s">
        <v>98</v>
      </c>
      <c r="AE145" t="s">
        <v>274</v>
      </c>
      <c r="AG145" t="s">
        <v>298</v>
      </c>
      <c r="AH145">
        <v>0</v>
      </c>
      <c r="AI145">
        <v>0</v>
      </c>
      <c r="AJ145">
        <v>0</v>
      </c>
      <c r="AK145">
        <v>0</v>
      </c>
      <c r="AL145">
        <v>0</v>
      </c>
    </row>
    <row r="146" spans="1:38" x14ac:dyDescent="0.3">
      <c r="A146" t="s">
        <v>269</v>
      </c>
      <c r="B146">
        <v>133727</v>
      </c>
      <c r="C146">
        <v>1</v>
      </c>
      <c r="D146" t="s">
        <v>300</v>
      </c>
      <c r="E146" t="s">
        <v>284</v>
      </c>
      <c r="F146">
        <v>12</v>
      </c>
      <c r="G146">
        <v>16.5</v>
      </c>
      <c r="H146">
        <v>54.55</v>
      </c>
      <c r="I146">
        <v>13.13</v>
      </c>
      <c r="J146">
        <v>43.41</v>
      </c>
      <c r="K146">
        <v>4</v>
      </c>
      <c r="T146">
        <v>2</v>
      </c>
      <c r="U146">
        <v>1</v>
      </c>
      <c r="V146" t="s">
        <v>93</v>
      </c>
      <c r="W146" t="s">
        <v>301</v>
      </c>
      <c r="X146">
        <v>9</v>
      </c>
      <c r="Y146">
        <v>9</v>
      </c>
      <c r="Z146" t="s">
        <v>302</v>
      </c>
      <c r="AA146" t="s">
        <v>303</v>
      </c>
      <c r="AB146" t="s">
        <v>96</v>
      </c>
      <c r="AC146" t="s">
        <v>97</v>
      </c>
      <c r="AD146" t="s">
        <v>98</v>
      </c>
      <c r="AE146" t="s">
        <v>274</v>
      </c>
      <c r="AG146" t="s">
        <v>304</v>
      </c>
      <c r="AH146">
        <v>0</v>
      </c>
      <c r="AI146">
        <v>444</v>
      </c>
      <c r="AJ146">
        <v>68</v>
      </c>
      <c r="AK146">
        <v>10</v>
      </c>
      <c r="AL146">
        <v>0.83</v>
      </c>
    </row>
    <row r="147" spans="1:38" x14ac:dyDescent="0.3">
      <c r="A147" t="s">
        <v>269</v>
      </c>
      <c r="B147">
        <v>133727</v>
      </c>
      <c r="C147">
        <v>2</v>
      </c>
      <c r="D147" t="s">
        <v>300</v>
      </c>
      <c r="E147" t="s">
        <v>284</v>
      </c>
      <c r="F147">
        <v>12</v>
      </c>
      <c r="G147">
        <v>16.87</v>
      </c>
      <c r="H147">
        <v>55.79</v>
      </c>
      <c r="I147">
        <v>13.43</v>
      </c>
      <c r="J147">
        <v>44.4</v>
      </c>
      <c r="K147">
        <v>4</v>
      </c>
      <c r="T147">
        <v>2</v>
      </c>
      <c r="U147">
        <v>1</v>
      </c>
      <c r="V147" t="s">
        <v>93</v>
      </c>
      <c r="W147" t="s">
        <v>305</v>
      </c>
      <c r="X147">
        <v>9</v>
      </c>
      <c r="Y147">
        <v>9</v>
      </c>
      <c r="Z147" t="s">
        <v>302</v>
      </c>
      <c r="AA147" t="s">
        <v>303</v>
      </c>
      <c r="AB147" t="s">
        <v>96</v>
      </c>
      <c r="AC147" t="s">
        <v>97</v>
      </c>
      <c r="AD147" t="s">
        <v>98</v>
      </c>
      <c r="AE147" t="s">
        <v>274</v>
      </c>
      <c r="AG147" t="s">
        <v>304</v>
      </c>
      <c r="AH147">
        <v>0</v>
      </c>
      <c r="AI147">
        <v>444</v>
      </c>
      <c r="AJ147">
        <v>68</v>
      </c>
      <c r="AK147">
        <v>10</v>
      </c>
      <c r="AL147">
        <v>0.83</v>
      </c>
    </row>
    <row r="148" spans="1:38" x14ac:dyDescent="0.3">
      <c r="A148" t="s">
        <v>269</v>
      </c>
      <c r="B148">
        <v>133727</v>
      </c>
      <c r="C148">
        <v>3</v>
      </c>
      <c r="D148" t="s">
        <v>300</v>
      </c>
      <c r="E148" t="s">
        <v>284</v>
      </c>
      <c r="F148">
        <v>12</v>
      </c>
      <c r="G148">
        <v>17.82</v>
      </c>
      <c r="H148">
        <v>58.92</v>
      </c>
      <c r="I148">
        <v>14.18</v>
      </c>
      <c r="J148">
        <v>46.89</v>
      </c>
      <c r="K148">
        <v>4</v>
      </c>
      <c r="T148">
        <v>2</v>
      </c>
      <c r="U148">
        <v>1</v>
      </c>
      <c r="V148" t="s">
        <v>93</v>
      </c>
      <c r="W148">
        <v>58</v>
      </c>
      <c r="X148">
        <v>9</v>
      </c>
      <c r="Y148">
        <v>9</v>
      </c>
      <c r="Z148" t="s">
        <v>302</v>
      </c>
      <c r="AA148" t="s">
        <v>303</v>
      </c>
      <c r="AB148" t="s">
        <v>96</v>
      </c>
      <c r="AC148" t="s">
        <v>97</v>
      </c>
      <c r="AD148" t="s">
        <v>98</v>
      </c>
      <c r="AE148" t="s">
        <v>274</v>
      </c>
      <c r="AG148" t="s">
        <v>304</v>
      </c>
      <c r="AH148">
        <v>0</v>
      </c>
      <c r="AI148">
        <v>444</v>
      </c>
      <c r="AJ148">
        <v>68</v>
      </c>
      <c r="AK148">
        <v>10</v>
      </c>
      <c r="AL148">
        <v>0.83</v>
      </c>
    </row>
    <row r="149" spans="1:38" x14ac:dyDescent="0.3">
      <c r="A149" t="s">
        <v>269</v>
      </c>
      <c r="B149">
        <v>110775</v>
      </c>
      <c r="C149">
        <v>1</v>
      </c>
      <c r="D149" t="s">
        <v>306</v>
      </c>
      <c r="E149" t="s">
        <v>307</v>
      </c>
      <c r="F149">
        <v>8</v>
      </c>
      <c r="G149">
        <v>24.17</v>
      </c>
      <c r="H149">
        <v>79.91</v>
      </c>
      <c r="I149">
        <v>20.11</v>
      </c>
      <c r="J149">
        <v>66.5</v>
      </c>
      <c r="K149">
        <v>4</v>
      </c>
      <c r="T149">
        <v>3</v>
      </c>
      <c r="U149">
        <v>2</v>
      </c>
      <c r="V149" t="s">
        <v>93</v>
      </c>
      <c r="W149">
        <v>79</v>
      </c>
      <c r="X149">
        <v>5</v>
      </c>
      <c r="Y149">
        <v>5</v>
      </c>
      <c r="Z149" t="s">
        <v>308</v>
      </c>
      <c r="AA149" t="s">
        <v>309</v>
      </c>
      <c r="AB149" t="s">
        <v>96</v>
      </c>
      <c r="AC149" t="s">
        <v>97</v>
      </c>
      <c r="AD149" t="s">
        <v>98</v>
      </c>
      <c r="AE149" t="s">
        <v>274</v>
      </c>
      <c r="AG149" t="s">
        <v>310</v>
      </c>
      <c r="AH149">
        <v>0</v>
      </c>
      <c r="AI149">
        <v>315</v>
      </c>
      <c r="AJ149">
        <v>59</v>
      </c>
      <c r="AK149">
        <v>7</v>
      </c>
      <c r="AL149">
        <v>0.88</v>
      </c>
    </row>
    <row r="150" spans="1:38" x14ac:dyDescent="0.3">
      <c r="A150" t="s">
        <v>269</v>
      </c>
      <c r="B150">
        <v>110775</v>
      </c>
      <c r="C150">
        <v>2</v>
      </c>
      <c r="D150" t="s">
        <v>306</v>
      </c>
      <c r="E150" t="s">
        <v>307</v>
      </c>
      <c r="F150">
        <v>8</v>
      </c>
      <c r="G150">
        <v>25.57</v>
      </c>
      <c r="H150">
        <v>84.55</v>
      </c>
      <c r="I150">
        <v>21.28</v>
      </c>
      <c r="J150">
        <v>70.36</v>
      </c>
      <c r="K150">
        <v>4</v>
      </c>
      <c r="T150">
        <v>3</v>
      </c>
      <c r="U150">
        <v>2</v>
      </c>
      <c r="V150" t="s">
        <v>93</v>
      </c>
      <c r="W150">
        <v>84</v>
      </c>
      <c r="X150">
        <v>5</v>
      </c>
      <c r="Y150">
        <v>5</v>
      </c>
      <c r="Z150" t="s">
        <v>308</v>
      </c>
      <c r="AA150" t="s">
        <v>309</v>
      </c>
      <c r="AB150" t="s">
        <v>96</v>
      </c>
      <c r="AC150" t="s">
        <v>97</v>
      </c>
      <c r="AD150" t="s">
        <v>98</v>
      </c>
      <c r="AE150" t="s">
        <v>274</v>
      </c>
      <c r="AG150" t="s">
        <v>310</v>
      </c>
      <c r="AH150">
        <v>0</v>
      </c>
      <c r="AI150">
        <v>315</v>
      </c>
      <c r="AJ150">
        <v>59</v>
      </c>
      <c r="AK150">
        <v>7</v>
      </c>
      <c r="AL150">
        <v>0.88</v>
      </c>
    </row>
    <row r="151" spans="1:38" x14ac:dyDescent="0.3">
      <c r="A151" t="s">
        <v>269</v>
      </c>
      <c r="B151">
        <v>124047</v>
      </c>
      <c r="C151">
        <v>1</v>
      </c>
      <c r="D151" t="s">
        <v>311</v>
      </c>
      <c r="E151" t="s">
        <v>312</v>
      </c>
      <c r="F151">
        <v>30</v>
      </c>
      <c r="G151">
        <v>19.84</v>
      </c>
      <c r="H151">
        <v>65.59</v>
      </c>
      <c r="I151">
        <v>17.739999999999998</v>
      </c>
      <c r="J151">
        <v>58.66</v>
      </c>
      <c r="K151">
        <v>10</v>
      </c>
      <c r="T151">
        <v>3</v>
      </c>
      <c r="U151">
        <v>2</v>
      </c>
      <c r="V151" t="s">
        <v>93</v>
      </c>
      <c r="W151" t="s">
        <v>313</v>
      </c>
      <c r="X151">
        <v>12</v>
      </c>
      <c r="Y151">
        <v>12</v>
      </c>
      <c r="Z151" t="s">
        <v>314</v>
      </c>
      <c r="AA151" t="s">
        <v>315</v>
      </c>
      <c r="AB151" t="s">
        <v>96</v>
      </c>
      <c r="AC151" t="s">
        <v>97</v>
      </c>
      <c r="AD151" t="s">
        <v>98</v>
      </c>
      <c r="AE151" t="s">
        <v>274</v>
      </c>
      <c r="AG151" t="s">
        <v>316</v>
      </c>
      <c r="AH151">
        <v>0</v>
      </c>
      <c r="AI151">
        <v>499</v>
      </c>
      <c r="AJ151">
        <v>56</v>
      </c>
      <c r="AK151">
        <v>28</v>
      </c>
      <c r="AL151">
        <v>0.93</v>
      </c>
    </row>
    <row r="152" spans="1:38" x14ac:dyDescent="0.3">
      <c r="A152" t="s">
        <v>269</v>
      </c>
      <c r="B152">
        <v>124047</v>
      </c>
      <c r="C152">
        <v>2</v>
      </c>
      <c r="D152" t="s">
        <v>311</v>
      </c>
      <c r="E152" t="s">
        <v>312</v>
      </c>
      <c r="F152">
        <v>30</v>
      </c>
      <c r="G152">
        <v>20.260000000000002</v>
      </c>
      <c r="H152">
        <v>66.98</v>
      </c>
      <c r="I152">
        <v>18.11</v>
      </c>
      <c r="J152">
        <v>59.9</v>
      </c>
      <c r="K152">
        <v>10</v>
      </c>
      <c r="T152">
        <v>3</v>
      </c>
      <c r="U152">
        <v>2</v>
      </c>
      <c r="V152" t="s">
        <v>93</v>
      </c>
      <c r="W152" t="s">
        <v>317</v>
      </c>
      <c r="X152">
        <v>12</v>
      </c>
      <c r="Y152">
        <v>12</v>
      </c>
      <c r="Z152" t="s">
        <v>314</v>
      </c>
      <c r="AA152" t="s">
        <v>315</v>
      </c>
      <c r="AB152" t="s">
        <v>96</v>
      </c>
      <c r="AC152" t="s">
        <v>97</v>
      </c>
      <c r="AD152" t="s">
        <v>98</v>
      </c>
      <c r="AE152" t="s">
        <v>274</v>
      </c>
      <c r="AG152" t="s">
        <v>316</v>
      </c>
      <c r="AH152">
        <v>0</v>
      </c>
      <c r="AI152">
        <v>499</v>
      </c>
      <c r="AJ152">
        <v>56</v>
      </c>
      <c r="AK152">
        <v>28</v>
      </c>
      <c r="AL152">
        <v>0.93</v>
      </c>
    </row>
    <row r="153" spans="1:38" x14ac:dyDescent="0.3">
      <c r="A153" t="s">
        <v>269</v>
      </c>
      <c r="B153">
        <v>124047</v>
      </c>
      <c r="C153">
        <v>3</v>
      </c>
      <c r="D153" t="s">
        <v>311</v>
      </c>
      <c r="E153" t="s">
        <v>312</v>
      </c>
      <c r="F153">
        <v>30</v>
      </c>
      <c r="G153">
        <v>20.27</v>
      </c>
      <c r="H153">
        <v>67.040000000000006</v>
      </c>
      <c r="I153">
        <v>18.13</v>
      </c>
      <c r="J153">
        <v>59.95</v>
      </c>
      <c r="K153">
        <v>10</v>
      </c>
      <c r="T153">
        <v>3</v>
      </c>
      <c r="U153">
        <v>2</v>
      </c>
      <c r="V153" t="s">
        <v>93</v>
      </c>
      <c r="W153" t="s">
        <v>318</v>
      </c>
      <c r="X153">
        <v>12</v>
      </c>
      <c r="Y153">
        <v>12</v>
      </c>
      <c r="Z153" t="s">
        <v>314</v>
      </c>
      <c r="AA153" t="s">
        <v>315</v>
      </c>
      <c r="AB153" t="s">
        <v>96</v>
      </c>
      <c r="AC153" t="s">
        <v>97</v>
      </c>
      <c r="AD153" t="s">
        <v>98</v>
      </c>
      <c r="AE153" t="s">
        <v>274</v>
      </c>
      <c r="AG153" t="s">
        <v>316</v>
      </c>
      <c r="AH153">
        <v>0</v>
      </c>
      <c r="AI153">
        <v>499</v>
      </c>
      <c r="AJ153">
        <v>56</v>
      </c>
      <c r="AK153">
        <v>28</v>
      </c>
      <c r="AL153">
        <v>0.93</v>
      </c>
    </row>
    <row r="154" spans="1:38" x14ac:dyDescent="0.3">
      <c r="A154" t="s">
        <v>269</v>
      </c>
      <c r="B154">
        <v>107434</v>
      </c>
      <c r="C154">
        <v>1</v>
      </c>
      <c r="D154" t="s">
        <v>130</v>
      </c>
      <c r="E154" t="s">
        <v>319</v>
      </c>
      <c r="F154">
        <v>16</v>
      </c>
      <c r="G154">
        <v>29.23</v>
      </c>
      <c r="H154">
        <v>96.65</v>
      </c>
      <c r="I154">
        <v>25.14</v>
      </c>
      <c r="J154">
        <v>83.12</v>
      </c>
      <c r="K154">
        <v>1</v>
      </c>
      <c r="T154">
        <v>3</v>
      </c>
      <c r="U154">
        <v>2</v>
      </c>
      <c r="V154" t="s">
        <v>118</v>
      </c>
      <c r="W154">
        <v>96</v>
      </c>
      <c r="X154">
        <v>10</v>
      </c>
      <c r="Y154">
        <v>10</v>
      </c>
      <c r="Z154" t="s">
        <v>320</v>
      </c>
      <c r="AA154" t="s">
        <v>321</v>
      </c>
      <c r="AB154" t="s">
        <v>96</v>
      </c>
      <c r="AC154" t="s">
        <v>97</v>
      </c>
      <c r="AD154" t="s">
        <v>98</v>
      </c>
      <c r="AE154" t="s">
        <v>274</v>
      </c>
      <c r="AG154" t="s">
        <v>322</v>
      </c>
      <c r="AH154">
        <v>0</v>
      </c>
      <c r="AI154">
        <v>314</v>
      </c>
      <c r="AJ154">
        <v>43</v>
      </c>
      <c r="AK154">
        <v>16</v>
      </c>
      <c r="AL154">
        <v>1</v>
      </c>
    </row>
    <row r="155" spans="1:38" x14ac:dyDescent="0.3">
      <c r="A155" t="s">
        <v>269</v>
      </c>
      <c r="B155">
        <v>107434</v>
      </c>
      <c r="C155">
        <v>2</v>
      </c>
      <c r="D155" t="s">
        <v>130</v>
      </c>
      <c r="E155" t="s">
        <v>319</v>
      </c>
      <c r="F155">
        <v>16</v>
      </c>
      <c r="G155">
        <v>29.57</v>
      </c>
      <c r="H155">
        <v>97.77</v>
      </c>
      <c r="I155">
        <v>25.43</v>
      </c>
      <c r="J155">
        <v>84.09</v>
      </c>
      <c r="K155">
        <v>8</v>
      </c>
      <c r="T155">
        <v>3</v>
      </c>
      <c r="U155">
        <v>2</v>
      </c>
      <c r="V155" t="s">
        <v>118</v>
      </c>
      <c r="W155" t="s">
        <v>255</v>
      </c>
      <c r="X155">
        <v>10</v>
      </c>
      <c r="Y155">
        <v>10</v>
      </c>
      <c r="Z155" t="s">
        <v>320</v>
      </c>
      <c r="AA155" t="s">
        <v>321</v>
      </c>
      <c r="AB155" t="s">
        <v>96</v>
      </c>
      <c r="AC155" t="s">
        <v>97</v>
      </c>
      <c r="AD155" t="s">
        <v>98</v>
      </c>
      <c r="AE155" t="s">
        <v>274</v>
      </c>
      <c r="AG155" t="s">
        <v>322</v>
      </c>
      <c r="AH155">
        <v>0</v>
      </c>
      <c r="AI155">
        <v>314</v>
      </c>
      <c r="AJ155">
        <v>43</v>
      </c>
      <c r="AK155">
        <v>16</v>
      </c>
      <c r="AL155">
        <v>1</v>
      </c>
    </row>
    <row r="156" spans="1:38" x14ac:dyDescent="0.3">
      <c r="A156" t="s">
        <v>269</v>
      </c>
      <c r="B156">
        <v>107434</v>
      </c>
      <c r="C156">
        <v>3</v>
      </c>
      <c r="D156" t="s">
        <v>130</v>
      </c>
      <c r="E156" t="s">
        <v>319</v>
      </c>
      <c r="F156">
        <v>16</v>
      </c>
      <c r="G156">
        <v>29.5</v>
      </c>
      <c r="H156">
        <v>97.54</v>
      </c>
      <c r="I156">
        <v>25.38</v>
      </c>
      <c r="J156">
        <v>83.91</v>
      </c>
      <c r="K156">
        <v>1</v>
      </c>
      <c r="T156">
        <v>3</v>
      </c>
      <c r="U156">
        <v>2</v>
      </c>
      <c r="V156" t="s">
        <v>118</v>
      </c>
      <c r="W156" t="s">
        <v>254</v>
      </c>
      <c r="X156">
        <v>10</v>
      </c>
      <c r="Y156">
        <v>10</v>
      </c>
      <c r="Z156" t="s">
        <v>320</v>
      </c>
      <c r="AA156" t="s">
        <v>321</v>
      </c>
      <c r="AB156" t="s">
        <v>96</v>
      </c>
      <c r="AC156" t="s">
        <v>97</v>
      </c>
      <c r="AD156" t="s">
        <v>98</v>
      </c>
      <c r="AE156" t="s">
        <v>274</v>
      </c>
      <c r="AG156" t="s">
        <v>322</v>
      </c>
      <c r="AH156">
        <v>0</v>
      </c>
      <c r="AI156">
        <v>314</v>
      </c>
      <c r="AJ156">
        <v>43</v>
      </c>
      <c r="AK156">
        <v>16</v>
      </c>
      <c r="AL156">
        <v>1</v>
      </c>
    </row>
    <row r="157" spans="1:38" x14ac:dyDescent="0.3">
      <c r="A157" t="s">
        <v>269</v>
      </c>
      <c r="B157">
        <v>107434</v>
      </c>
      <c r="C157">
        <v>4</v>
      </c>
      <c r="D157" t="s">
        <v>130</v>
      </c>
      <c r="E157" t="s">
        <v>319</v>
      </c>
      <c r="F157">
        <v>16</v>
      </c>
      <c r="G157">
        <v>29.87</v>
      </c>
      <c r="H157">
        <v>98.75</v>
      </c>
      <c r="I157">
        <v>25.68</v>
      </c>
      <c r="J157">
        <v>84.91</v>
      </c>
      <c r="K157">
        <v>6</v>
      </c>
      <c r="T157">
        <v>3</v>
      </c>
      <c r="U157">
        <v>2</v>
      </c>
      <c r="V157" t="s">
        <v>118</v>
      </c>
      <c r="W157" t="s">
        <v>256</v>
      </c>
      <c r="X157">
        <v>10</v>
      </c>
      <c r="Y157">
        <v>10</v>
      </c>
      <c r="Z157" t="s">
        <v>320</v>
      </c>
      <c r="AA157" t="s">
        <v>321</v>
      </c>
      <c r="AB157" t="s">
        <v>96</v>
      </c>
      <c r="AC157" t="s">
        <v>97</v>
      </c>
      <c r="AD157" t="s">
        <v>98</v>
      </c>
      <c r="AE157" t="s">
        <v>274</v>
      </c>
      <c r="AG157" t="s">
        <v>322</v>
      </c>
      <c r="AH157">
        <v>0</v>
      </c>
      <c r="AI157">
        <v>314</v>
      </c>
      <c r="AJ157">
        <v>43</v>
      </c>
      <c r="AK157">
        <v>16</v>
      </c>
      <c r="AL157">
        <v>1</v>
      </c>
    </row>
    <row r="158" spans="1:38" x14ac:dyDescent="0.3">
      <c r="A158" t="s">
        <v>269</v>
      </c>
      <c r="B158">
        <v>141437</v>
      </c>
      <c r="C158">
        <v>1</v>
      </c>
      <c r="D158" t="s">
        <v>323</v>
      </c>
      <c r="E158" t="s">
        <v>324</v>
      </c>
      <c r="F158">
        <v>48</v>
      </c>
      <c r="G158">
        <v>22.24</v>
      </c>
      <c r="H158">
        <v>73.53</v>
      </c>
      <c r="I158">
        <v>19.62</v>
      </c>
      <c r="J158">
        <v>64.88</v>
      </c>
      <c r="K158">
        <v>12</v>
      </c>
      <c r="T158">
        <v>3</v>
      </c>
      <c r="U158">
        <v>2</v>
      </c>
      <c r="V158" t="s">
        <v>93</v>
      </c>
      <c r="W158">
        <v>73</v>
      </c>
      <c r="X158">
        <v>13</v>
      </c>
      <c r="Y158">
        <v>13</v>
      </c>
      <c r="Z158" t="s">
        <v>325</v>
      </c>
      <c r="AA158" t="s">
        <v>326</v>
      </c>
      <c r="AB158" t="s">
        <v>96</v>
      </c>
      <c r="AC158" t="s">
        <v>97</v>
      </c>
      <c r="AD158" t="s">
        <v>98</v>
      </c>
      <c r="AE158" t="s">
        <v>274</v>
      </c>
      <c r="AG158" t="s">
        <v>327</v>
      </c>
      <c r="AH158">
        <v>0</v>
      </c>
      <c r="AI158">
        <v>497</v>
      </c>
      <c r="AJ158">
        <v>62</v>
      </c>
      <c r="AK158">
        <v>52</v>
      </c>
      <c r="AL158">
        <v>1.08</v>
      </c>
    </row>
    <row r="159" spans="1:38" x14ac:dyDescent="0.3">
      <c r="A159" t="s">
        <v>269</v>
      </c>
      <c r="B159">
        <v>141437</v>
      </c>
      <c r="C159">
        <v>2</v>
      </c>
      <c r="D159" t="s">
        <v>323</v>
      </c>
      <c r="E159" t="s">
        <v>324</v>
      </c>
      <c r="F159">
        <v>48</v>
      </c>
      <c r="G159">
        <v>22.79</v>
      </c>
      <c r="H159">
        <v>75.34</v>
      </c>
      <c r="I159">
        <v>20.11</v>
      </c>
      <c r="J159">
        <v>66.48</v>
      </c>
      <c r="K159">
        <v>12</v>
      </c>
      <c r="T159">
        <v>3</v>
      </c>
      <c r="U159">
        <v>2</v>
      </c>
      <c r="V159" t="s">
        <v>93</v>
      </c>
      <c r="W159" t="s">
        <v>328</v>
      </c>
      <c r="X159">
        <v>13</v>
      </c>
      <c r="Y159">
        <v>13</v>
      </c>
      <c r="Z159" t="s">
        <v>325</v>
      </c>
      <c r="AA159" t="s">
        <v>326</v>
      </c>
      <c r="AB159" t="s">
        <v>96</v>
      </c>
      <c r="AC159" t="s">
        <v>97</v>
      </c>
      <c r="AD159" t="s">
        <v>98</v>
      </c>
      <c r="AE159" t="s">
        <v>274</v>
      </c>
      <c r="AG159" t="s">
        <v>327</v>
      </c>
      <c r="AH159">
        <v>0</v>
      </c>
      <c r="AI159">
        <v>497</v>
      </c>
      <c r="AJ159">
        <v>62</v>
      </c>
      <c r="AK159">
        <v>52</v>
      </c>
      <c r="AL159">
        <v>1.08</v>
      </c>
    </row>
    <row r="160" spans="1:38" x14ac:dyDescent="0.3">
      <c r="A160" t="s">
        <v>269</v>
      </c>
      <c r="B160">
        <v>141437</v>
      </c>
      <c r="C160">
        <v>3</v>
      </c>
      <c r="D160" t="s">
        <v>323</v>
      </c>
      <c r="E160" t="s">
        <v>324</v>
      </c>
      <c r="F160">
        <v>48</v>
      </c>
      <c r="G160">
        <v>22.79</v>
      </c>
      <c r="H160">
        <v>75.34</v>
      </c>
      <c r="I160">
        <v>20.11</v>
      </c>
      <c r="J160">
        <v>66.48</v>
      </c>
      <c r="K160">
        <v>12</v>
      </c>
      <c r="T160">
        <v>3</v>
      </c>
      <c r="U160">
        <v>2</v>
      </c>
      <c r="V160" t="s">
        <v>93</v>
      </c>
      <c r="W160" t="s">
        <v>329</v>
      </c>
      <c r="X160">
        <v>13</v>
      </c>
      <c r="Y160">
        <v>13</v>
      </c>
      <c r="Z160" t="s">
        <v>325</v>
      </c>
      <c r="AA160" t="s">
        <v>326</v>
      </c>
      <c r="AB160" t="s">
        <v>96</v>
      </c>
      <c r="AC160" t="s">
        <v>97</v>
      </c>
      <c r="AD160" t="s">
        <v>98</v>
      </c>
      <c r="AE160" t="s">
        <v>274</v>
      </c>
      <c r="AG160" t="s">
        <v>327</v>
      </c>
      <c r="AH160">
        <v>0</v>
      </c>
      <c r="AI160">
        <v>497</v>
      </c>
      <c r="AJ160">
        <v>62</v>
      </c>
      <c r="AK160">
        <v>52</v>
      </c>
      <c r="AL160">
        <v>1.08</v>
      </c>
    </row>
    <row r="161" spans="1:38" x14ac:dyDescent="0.3">
      <c r="A161" t="s">
        <v>269</v>
      </c>
      <c r="B161">
        <v>141437</v>
      </c>
      <c r="C161">
        <v>4</v>
      </c>
      <c r="D161" t="s">
        <v>323</v>
      </c>
      <c r="E161" t="s">
        <v>324</v>
      </c>
      <c r="F161">
        <v>48</v>
      </c>
      <c r="G161">
        <v>23.79</v>
      </c>
      <c r="H161">
        <v>78.67</v>
      </c>
      <c r="I161">
        <v>20.99</v>
      </c>
      <c r="J161">
        <v>69.42</v>
      </c>
      <c r="K161">
        <v>12</v>
      </c>
      <c r="T161">
        <v>3</v>
      </c>
      <c r="U161">
        <v>2</v>
      </c>
      <c r="V161" t="s">
        <v>93</v>
      </c>
      <c r="W161">
        <v>78</v>
      </c>
      <c r="X161">
        <v>13</v>
      </c>
      <c r="Y161">
        <v>13</v>
      </c>
      <c r="Z161" t="s">
        <v>325</v>
      </c>
      <c r="AA161" t="s">
        <v>326</v>
      </c>
      <c r="AB161" t="s">
        <v>96</v>
      </c>
      <c r="AC161" t="s">
        <v>97</v>
      </c>
      <c r="AD161" t="s">
        <v>98</v>
      </c>
      <c r="AE161" t="s">
        <v>274</v>
      </c>
      <c r="AG161" t="s">
        <v>327</v>
      </c>
      <c r="AH161">
        <v>0</v>
      </c>
      <c r="AI161">
        <v>497</v>
      </c>
      <c r="AJ161">
        <v>62</v>
      </c>
      <c r="AK161">
        <v>52</v>
      </c>
      <c r="AL161">
        <v>1.08</v>
      </c>
    </row>
    <row r="162" spans="1:38" x14ac:dyDescent="0.3">
      <c r="A162" t="s">
        <v>269</v>
      </c>
      <c r="B162">
        <v>129264</v>
      </c>
      <c r="C162">
        <v>1</v>
      </c>
      <c r="D162" t="s">
        <v>330</v>
      </c>
      <c r="E162" t="s">
        <v>331</v>
      </c>
      <c r="F162">
        <v>3603</v>
      </c>
      <c r="G162">
        <v>24.77</v>
      </c>
      <c r="H162">
        <v>81.91</v>
      </c>
      <c r="I162">
        <v>18.13</v>
      </c>
      <c r="J162">
        <v>59.94</v>
      </c>
      <c r="K162">
        <v>854</v>
      </c>
      <c r="T162" t="s">
        <v>332</v>
      </c>
      <c r="U162" t="s">
        <v>332</v>
      </c>
      <c r="V162" t="s">
        <v>93</v>
      </c>
      <c r="W162" t="s">
        <v>103</v>
      </c>
      <c r="X162">
        <v>20</v>
      </c>
      <c r="Y162">
        <v>7</v>
      </c>
      <c r="Z162" t="s">
        <v>333</v>
      </c>
      <c r="AA162" t="s">
        <v>334</v>
      </c>
      <c r="AB162" t="s">
        <v>96</v>
      </c>
      <c r="AC162" t="s">
        <v>97</v>
      </c>
      <c r="AD162" t="s">
        <v>98</v>
      </c>
      <c r="AE162" t="s">
        <v>274</v>
      </c>
      <c r="AG162" t="s">
        <v>190</v>
      </c>
      <c r="AH162">
        <v>121</v>
      </c>
      <c r="AI162">
        <v>0</v>
      </c>
      <c r="AJ162">
        <v>0</v>
      </c>
      <c r="AK162">
        <v>4743</v>
      </c>
      <c r="AL162">
        <v>1.32</v>
      </c>
    </row>
    <row r="163" spans="1:38" x14ac:dyDescent="0.3">
      <c r="A163" t="s">
        <v>269</v>
      </c>
      <c r="B163">
        <v>129264</v>
      </c>
      <c r="C163">
        <v>2</v>
      </c>
      <c r="D163" t="s">
        <v>330</v>
      </c>
      <c r="E163" t="s">
        <v>331</v>
      </c>
      <c r="F163">
        <v>3603</v>
      </c>
      <c r="G163">
        <v>24.75</v>
      </c>
      <c r="H163">
        <v>81.84</v>
      </c>
      <c r="I163">
        <v>18.079999999999998</v>
      </c>
      <c r="J163">
        <v>59.78</v>
      </c>
      <c r="K163">
        <v>85</v>
      </c>
      <c r="T163" t="s">
        <v>332</v>
      </c>
      <c r="U163" t="s">
        <v>332</v>
      </c>
      <c r="V163" t="s">
        <v>93</v>
      </c>
      <c r="W163" t="s">
        <v>335</v>
      </c>
      <c r="X163">
        <v>20</v>
      </c>
      <c r="Y163">
        <v>7</v>
      </c>
      <c r="Z163" t="s">
        <v>333</v>
      </c>
      <c r="AA163" t="s">
        <v>334</v>
      </c>
      <c r="AB163" t="s">
        <v>96</v>
      </c>
      <c r="AC163" t="s">
        <v>97</v>
      </c>
      <c r="AD163" t="s">
        <v>98</v>
      </c>
      <c r="AE163" t="s">
        <v>274</v>
      </c>
      <c r="AG163" t="s">
        <v>190</v>
      </c>
      <c r="AH163">
        <v>121</v>
      </c>
      <c r="AI163">
        <v>0</v>
      </c>
      <c r="AJ163">
        <v>0</v>
      </c>
      <c r="AK163">
        <v>4743</v>
      </c>
      <c r="AL163">
        <v>1.32</v>
      </c>
    </row>
    <row r="164" spans="1:38" x14ac:dyDescent="0.3">
      <c r="A164" t="s">
        <v>269</v>
      </c>
      <c r="B164">
        <v>129264</v>
      </c>
      <c r="C164">
        <v>3</v>
      </c>
      <c r="D164" t="s">
        <v>330</v>
      </c>
      <c r="E164" t="s">
        <v>331</v>
      </c>
      <c r="F164">
        <v>3603</v>
      </c>
      <c r="G164">
        <v>24.98</v>
      </c>
      <c r="H164">
        <v>82.6</v>
      </c>
      <c r="I164">
        <v>18.11</v>
      </c>
      <c r="J164">
        <v>59.88</v>
      </c>
      <c r="K164">
        <v>369</v>
      </c>
      <c r="T164" t="s">
        <v>332</v>
      </c>
      <c r="U164" t="s">
        <v>332</v>
      </c>
      <c r="V164" t="s">
        <v>93</v>
      </c>
      <c r="W164" t="s">
        <v>107</v>
      </c>
      <c r="X164">
        <v>20</v>
      </c>
      <c r="Y164">
        <v>7</v>
      </c>
      <c r="Z164" t="s">
        <v>333</v>
      </c>
      <c r="AA164" t="s">
        <v>334</v>
      </c>
      <c r="AB164" t="s">
        <v>96</v>
      </c>
      <c r="AC164" t="s">
        <v>97</v>
      </c>
      <c r="AD164" t="s">
        <v>98</v>
      </c>
      <c r="AE164" t="s">
        <v>274</v>
      </c>
      <c r="AG164" t="s">
        <v>190</v>
      </c>
      <c r="AH164">
        <v>121</v>
      </c>
      <c r="AI164">
        <v>0</v>
      </c>
      <c r="AJ164">
        <v>0</v>
      </c>
      <c r="AK164">
        <v>4743</v>
      </c>
      <c r="AL164">
        <v>1.32</v>
      </c>
    </row>
    <row r="165" spans="1:38" x14ac:dyDescent="0.3">
      <c r="A165" t="s">
        <v>269</v>
      </c>
      <c r="B165">
        <v>129264</v>
      </c>
      <c r="C165">
        <v>4</v>
      </c>
      <c r="D165" t="s">
        <v>330</v>
      </c>
      <c r="E165" t="s">
        <v>331</v>
      </c>
      <c r="F165">
        <v>3603</v>
      </c>
      <c r="G165">
        <v>30.62</v>
      </c>
      <c r="H165">
        <v>101.23</v>
      </c>
      <c r="I165">
        <v>22.59</v>
      </c>
      <c r="J165">
        <v>74.69</v>
      </c>
      <c r="K165">
        <v>381</v>
      </c>
      <c r="T165" t="s">
        <v>332</v>
      </c>
      <c r="U165" t="s">
        <v>332</v>
      </c>
      <c r="V165" t="s">
        <v>93</v>
      </c>
      <c r="W165" t="s">
        <v>336</v>
      </c>
      <c r="X165">
        <v>20</v>
      </c>
      <c r="Y165">
        <v>7</v>
      </c>
      <c r="Z165" t="s">
        <v>333</v>
      </c>
      <c r="AA165" t="s">
        <v>334</v>
      </c>
      <c r="AB165" t="s">
        <v>96</v>
      </c>
      <c r="AC165" t="s">
        <v>97</v>
      </c>
      <c r="AD165" t="s">
        <v>98</v>
      </c>
      <c r="AE165" t="s">
        <v>274</v>
      </c>
      <c r="AG165" t="s">
        <v>190</v>
      </c>
      <c r="AH165">
        <v>121</v>
      </c>
      <c r="AI165">
        <v>0</v>
      </c>
      <c r="AJ165">
        <v>0</v>
      </c>
      <c r="AK165">
        <v>4743</v>
      </c>
      <c r="AL165">
        <v>1.32</v>
      </c>
    </row>
    <row r="166" spans="1:38" x14ac:dyDescent="0.3">
      <c r="A166" t="s">
        <v>269</v>
      </c>
      <c r="B166">
        <v>129264</v>
      </c>
      <c r="C166">
        <v>5</v>
      </c>
      <c r="D166" t="s">
        <v>330</v>
      </c>
      <c r="E166" t="s">
        <v>331</v>
      </c>
      <c r="F166">
        <v>3603</v>
      </c>
      <c r="G166">
        <v>30.95</v>
      </c>
      <c r="H166">
        <v>102.34</v>
      </c>
      <c r="I166">
        <v>22.66</v>
      </c>
      <c r="J166">
        <v>74.94</v>
      </c>
      <c r="K166">
        <v>434</v>
      </c>
      <c r="T166" t="s">
        <v>332</v>
      </c>
      <c r="U166" t="s">
        <v>332</v>
      </c>
      <c r="V166" t="s">
        <v>93</v>
      </c>
      <c r="W166" t="s">
        <v>337</v>
      </c>
      <c r="X166">
        <v>20</v>
      </c>
      <c r="Y166">
        <v>7</v>
      </c>
      <c r="Z166" t="s">
        <v>333</v>
      </c>
      <c r="AA166" t="s">
        <v>334</v>
      </c>
      <c r="AB166" t="s">
        <v>96</v>
      </c>
      <c r="AC166" t="s">
        <v>97</v>
      </c>
      <c r="AD166" t="s">
        <v>98</v>
      </c>
      <c r="AE166" t="s">
        <v>274</v>
      </c>
      <c r="AG166" t="s">
        <v>190</v>
      </c>
      <c r="AH166">
        <v>121</v>
      </c>
      <c r="AI166">
        <v>0</v>
      </c>
      <c r="AJ166">
        <v>0</v>
      </c>
      <c r="AK166">
        <v>4743</v>
      </c>
      <c r="AL166">
        <v>1.32</v>
      </c>
    </row>
    <row r="167" spans="1:38" x14ac:dyDescent="0.3">
      <c r="A167" t="s">
        <v>269</v>
      </c>
      <c r="B167">
        <v>129264</v>
      </c>
      <c r="C167">
        <v>6</v>
      </c>
      <c r="D167" t="s">
        <v>330</v>
      </c>
      <c r="E167" t="s">
        <v>331</v>
      </c>
      <c r="F167">
        <v>3603</v>
      </c>
      <c r="G167">
        <v>35.04</v>
      </c>
      <c r="H167">
        <v>115.84</v>
      </c>
      <c r="I167">
        <v>25.7</v>
      </c>
      <c r="J167">
        <v>84.97</v>
      </c>
      <c r="K167">
        <v>1181</v>
      </c>
      <c r="T167" t="s">
        <v>332</v>
      </c>
      <c r="U167" t="s">
        <v>332</v>
      </c>
      <c r="V167" t="s">
        <v>93</v>
      </c>
      <c r="W167">
        <v>115</v>
      </c>
      <c r="X167">
        <v>20</v>
      </c>
      <c r="Y167">
        <v>7</v>
      </c>
      <c r="Z167" t="s">
        <v>333</v>
      </c>
      <c r="AA167" t="s">
        <v>334</v>
      </c>
      <c r="AB167" t="s">
        <v>96</v>
      </c>
      <c r="AC167" t="s">
        <v>97</v>
      </c>
      <c r="AD167" t="s">
        <v>98</v>
      </c>
      <c r="AE167" t="s">
        <v>274</v>
      </c>
      <c r="AG167" t="s">
        <v>190</v>
      </c>
      <c r="AH167">
        <v>121</v>
      </c>
      <c r="AI167">
        <v>0</v>
      </c>
      <c r="AJ167">
        <v>0</v>
      </c>
      <c r="AK167">
        <v>4743</v>
      </c>
      <c r="AL167">
        <v>1.32</v>
      </c>
    </row>
    <row r="168" spans="1:38" x14ac:dyDescent="0.3">
      <c r="A168" t="s">
        <v>269</v>
      </c>
      <c r="B168">
        <v>129264</v>
      </c>
      <c r="C168">
        <v>7</v>
      </c>
      <c r="D168" t="s">
        <v>330</v>
      </c>
      <c r="E168" t="s">
        <v>331</v>
      </c>
      <c r="F168">
        <v>3603</v>
      </c>
      <c r="G168">
        <v>40.630000000000003</v>
      </c>
      <c r="H168">
        <v>134.33000000000001</v>
      </c>
      <c r="I168">
        <v>30.21</v>
      </c>
      <c r="J168">
        <v>99.9</v>
      </c>
      <c r="K168">
        <v>140</v>
      </c>
      <c r="T168" t="s">
        <v>332</v>
      </c>
      <c r="U168" t="s">
        <v>332</v>
      </c>
      <c r="V168" t="s">
        <v>93</v>
      </c>
      <c r="W168">
        <v>134</v>
      </c>
      <c r="X168">
        <v>20</v>
      </c>
      <c r="Y168">
        <v>7</v>
      </c>
      <c r="Z168" t="s">
        <v>333</v>
      </c>
      <c r="AA168" t="s">
        <v>334</v>
      </c>
      <c r="AB168" t="s">
        <v>96</v>
      </c>
      <c r="AC168" t="s">
        <v>97</v>
      </c>
      <c r="AD168" t="s">
        <v>98</v>
      </c>
      <c r="AE168" t="s">
        <v>274</v>
      </c>
      <c r="AG168" t="s">
        <v>190</v>
      </c>
      <c r="AH168">
        <v>121</v>
      </c>
      <c r="AI168">
        <v>0</v>
      </c>
      <c r="AJ168">
        <v>0</v>
      </c>
      <c r="AK168">
        <v>4743</v>
      </c>
      <c r="AL168">
        <v>1.32</v>
      </c>
    </row>
    <row r="169" spans="1:38" x14ac:dyDescent="0.3">
      <c r="A169" t="s">
        <v>269</v>
      </c>
      <c r="B169">
        <v>129264</v>
      </c>
      <c r="C169">
        <v>8</v>
      </c>
      <c r="D169" t="s">
        <v>330</v>
      </c>
      <c r="E169" t="s">
        <v>331</v>
      </c>
      <c r="F169">
        <v>3603</v>
      </c>
      <c r="G169">
        <v>45.32</v>
      </c>
      <c r="H169">
        <v>149.85</v>
      </c>
      <c r="I169">
        <v>33.32</v>
      </c>
      <c r="J169">
        <v>110.15</v>
      </c>
      <c r="K169">
        <v>38</v>
      </c>
      <c r="T169" t="s">
        <v>332</v>
      </c>
      <c r="U169" t="s">
        <v>332</v>
      </c>
      <c r="V169" t="s">
        <v>93</v>
      </c>
      <c r="W169">
        <v>149</v>
      </c>
      <c r="X169">
        <v>20</v>
      </c>
      <c r="Y169">
        <v>7</v>
      </c>
      <c r="Z169" t="s">
        <v>333</v>
      </c>
      <c r="AA169" t="s">
        <v>334</v>
      </c>
      <c r="AB169" t="s">
        <v>96</v>
      </c>
      <c r="AC169" t="s">
        <v>97</v>
      </c>
      <c r="AD169" t="s">
        <v>98</v>
      </c>
      <c r="AE169" t="s">
        <v>274</v>
      </c>
      <c r="AG169" t="s">
        <v>190</v>
      </c>
      <c r="AH169">
        <v>121</v>
      </c>
      <c r="AI169">
        <v>0</v>
      </c>
      <c r="AJ169">
        <v>0</v>
      </c>
      <c r="AK169">
        <v>4743</v>
      </c>
      <c r="AL169">
        <v>1.32</v>
      </c>
    </row>
    <row r="170" spans="1:38" x14ac:dyDescent="0.3">
      <c r="A170" t="s">
        <v>269</v>
      </c>
      <c r="B170">
        <v>139276</v>
      </c>
      <c r="C170">
        <v>1</v>
      </c>
      <c r="D170" t="s">
        <v>338</v>
      </c>
      <c r="E170" t="s">
        <v>339</v>
      </c>
      <c r="F170">
        <v>8</v>
      </c>
      <c r="G170">
        <v>24.6</v>
      </c>
      <c r="H170">
        <v>81.349999999999994</v>
      </c>
      <c r="I170">
        <v>20.89</v>
      </c>
      <c r="J170">
        <v>69.08</v>
      </c>
      <c r="K170">
        <v>4</v>
      </c>
      <c r="T170">
        <v>3</v>
      </c>
      <c r="U170">
        <v>1</v>
      </c>
      <c r="V170" t="s">
        <v>93</v>
      </c>
      <c r="W170" t="s">
        <v>103</v>
      </c>
      <c r="X170">
        <v>5</v>
      </c>
      <c r="Y170">
        <v>5</v>
      </c>
      <c r="Z170" t="s">
        <v>340</v>
      </c>
      <c r="AA170" t="s">
        <v>341</v>
      </c>
      <c r="AB170" t="s">
        <v>96</v>
      </c>
      <c r="AC170" t="s">
        <v>97</v>
      </c>
      <c r="AD170" t="s">
        <v>98</v>
      </c>
      <c r="AE170" t="s">
        <v>274</v>
      </c>
      <c r="AG170" t="s">
        <v>342</v>
      </c>
      <c r="AH170">
        <v>0</v>
      </c>
      <c r="AI170">
        <v>250</v>
      </c>
      <c r="AJ170">
        <v>54</v>
      </c>
      <c r="AK170">
        <v>8</v>
      </c>
      <c r="AL170">
        <v>1</v>
      </c>
    </row>
    <row r="171" spans="1:38" x14ac:dyDescent="0.3">
      <c r="A171" t="s">
        <v>269</v>
      </c>
      <c r="B171">
        <v>139276</v>
      </c>
      <c r="C171">
        <v>2</v>
      </c>
      <c r="D171" t="s">
        <v>338</v>
      </c>
      <c r="E171" t="s">
        <v>339</v>
      </c>
      <c r="F171">
        <v>8</v>
      </c>
      <c r="G171">
        <v>25.28</v>
      </c>
      <c r="H171">
        <v>83.6</v>
      </c>
      <c r="I171">
        <v>21.47</v>
      </c>
      <c r="J171">
        <v>70.98</v>
      </c>
      <c r="K171">
        <v>4</v>
      </c>
      <c r="T171">
        <v>3</v>
      </c>
      <c r="U171">
        <v>2</v>
      </c>
      <c r="V171" t="s">
        <v>93</v>
      </c>
      <c r="W171" t="s">
        <v>290</v>
      </c>
      <c r="X171">
        <v>5</v>
      </c>
      <c r="Y171">
        <v>5</v>
      </c>
      <c r="Z171" t="s">
        <v>340</v>
      </c>
      <c r="AA171" t="s">
        <v>341</v>
      </c>
      <c r="AB171" t="s">
        <v>96</v>
      </c>
      <c r="AC171" t="s">
        <v>97</v>
      </c>
      <c r="AD171" t="s">
        <v>98</v>
      </c>
      <c r="AE171" t="s">
        <v>274</v>
      </c>
      <c r="AG171" t="s">
        <v>342</v>
      </c>
      <c r="AH171">
        <v>0</v>
      </c>
      <c r="AI171">
        <v>250</v>
      </c>
      <c r="AJ171">
        <v>54</v>
      </c>
      <c r="AK171">
        <v>8</v>
      </c>
      <c r="AL171">
        <v>1</v>
      </c>
    </row>
    <row r="172" spans="1:38" x14ac:dyDescent="0.3">
      <c r="A172" t="s">
        <v>343</v>
      </c>
      <c r="B172">
        <v>113615</v>
      </c>
      <c r="C172">
        <v>1</v>
      </c>
      <c r="D172" t="s">
        <v>344</v>
      </c>
      <c r="E172" t="s">
        <v>345</v>
      </c>
      <c r="F172">
        <v>94</v>
      </c>
      <c r="G172">
        <v>16.54</v>
      </c>
      <c r="H172">
        <v>54.68</v>
      </c>
      <c r="I172">
        <v>14.94</v>
      </c>
      <c r="J172">
        <v>49.39</v>
      </c>
      <c r="K172">
        <v>40</v>
      </c>
      <c r="T172">
        <v>2</v>
      </c>
      <c r="U172">
        <v>1</v>
      </c>
      <c r="V172" t="s">
        <v>93</v>
      </c>
      <c r="W172" t="s">
        <v>301</v>
      </c>
      <c r="X172">
        <v>4</v>
      </c>
      <c r="Y172">
        <v>4</v>
      </c>
      <c r="Z172" t="s">
        <v>346</v>
      </c>
      <c r="AA172" t="s">
        <v>347</v>
      </c>
      <c r="AB172" t="s">
        <v>96</v>
      </c>
      <c r="AC172" t="s">
        <v>97</v>
      </c>
      <c r="AD172" t="s">
        <v>98</v>
      </c>
      <c r="AE172" t="s">
        <v>348</v>
      </c>
      <c r="AG172" t="s">
        <v>349</v>
      </c>
      <c r="AH172">
        <v>0</v>
      </c>
      <c r="AI172">
        <v>0</v>
      </c>
      <c r="AJ172">
        <v>0</v>
      </c>
      <c r="AK172">
        <v>0</v>
      </c>
      <c r="AL172">
        <v>0</v>
      </c>
    </row>
    <row r="173" spans="1:38" x14ac:dyDescent="0.3">
      <c r="A173" t="s">
        <v>343</v>
      </c>
      <c r="B173">
        <v>113615</v>
      </c>
      <c r="C173">
        <v>2</v>
      </c>
      <c r="D173" t="s">
        <v>344</v>
      </c>
      <c r="E173" t="s">
        <v>345</v>
      </c>
      <c r="F173">
        <v>94</v>
      </c>
      <c r="G173">
        <v>16.68</v>
      </c>
      <c r="H173">
        <v>55.17</v>
      </c>
      <c r="I173">
        <v>15.14</v>
      </c>
      <c r="J173">
        <v>50.05</v>
      </c>
      <c r="K173">
        <v>24</v>
      </c>
      <c r="T173">
        <v>2</v>
      </c>
      <c r="U173">
        <v>1</v>
      </c>
      <c r="V173" t="s">
        <v>93</v>
      </c>
      <c r="W173" t="s">
        <v>305</v>
      </c>
      <c r="X173">
        <v>4</v>
      </c>
      <c r="Y173">
        <v>4</v>
      </c>
      <c r="Z173" t="s">
        <v>346</v>
      </c>
      <c r="AA173" t="s">
        <v>347</v>
      </c>
      <c r="AB173" t="s">
        <v>96</v>
      </c>
      <c r="AC173" t="s">
        <v>97</v>
      </c>
      <c r="AD173" t="s">
        <v>98</v>
      </c>
      <c r="AE173" t="s">
        <v>348</v>
      </c>
      <c r="AG173" t="s">
        <v>349</v>
      </c>
      <c r="AH173">
        <v>0</v>
      </c>
      <c r="AI173">
        <v>0</v>
      </c>
      <c r="AJ173">
        <v>0</v>
      </c>
      <c r="AK173">
        <v>0</v>
      </c>
      <c r="AL173">
        <v>0</v>
      </c>
    </row>
    <row r="174" spans="1:38" x14ac:dyDescent="0.3">
      <c r="A174" t="s">
        <v>343</v>
      </c>
      <c r="B174">
        <v>113615</v>
      </c>
      <c r="C174">
        <v>3</v>
      </c>
      <c r="D174" t="s">
        <v>344</v>
      </c>
      <c r="E174" t="s">
        <v>345</v>
      </c>
      <c r="F174">
        <v>94</v>
      </c>
      <c r="G174">
        <v>26.4</v>
      </c>
      <c r="H174">
        <v>87.3</v>
      </c>
      <c r="I174">
        <v>20.96</v>
      </c>
      <c r="J174">
        <v>69.290000000000006</v>
      </c>
      <c r="K174">
        <v>30</v>
      </c>
      <c r="T174">
        <v>3</v>
      </c>
      <c r="U174">
        <v>1</v>
      </c>
      <c r="V174" t="s">
        <v>93</v>
      </c>
      <c r="W174">
        <v>87</v>
      </c>
      <c r="X174">
        <v>4</v>
      </c>
      <c r="Y174">
        <v>4</v>
      </c>
      <c r="Z174" t="s">
        <v>346</v>
      </c>
      <c r="AA174" t="s">
        <v>347</v>
      </c>
      <c r="AB174" t="s">
        <v>96</v>
      </c>
      <c r="AC174" t="s">
        <v>97</v>
      </c>
      <c r="AD174" t="s">
        <v>98</v>
      </c>
      <c r="AE174" t="s">
        <v>348</v>
      </c>
      <c r="AG174" t="s">
        <v>349</v>
      </c>
      <c r="AH174">
        <v>0</v>
      </c>
      <c r="AI174">
        <v>0</v>
      </c>
      <c r="AJ174">
        <v>0</v>
      </c>
      <c r="AK174">
        <v>0</v>
      </c>
      <c r="AL174">
        <v>0</v>
      </c>
    </row>
    <row r="175" spans="1:38" x14ac:dyDescent="0.3">
      <c r="A175" t="s">
        <v>343</v>
      </c>
      <c r="B175">
        <v>112470</v>
      </c>
      <c r="C175">
        <v>1</v>
      </c>
      <c r="D175" t="s">
        <v>350</v>
      </c>
      <c r="E175" t="s">
        <v>351</v>
      </c>
      <c r="F175">
        <v>93</v>
      </c>
      <c r="G175">
        <v>7.46</v>
      </c>
      <c r="H175">
        <v>24.67</v>
      </c>
      <c r="I175">
        <v>4.7699999999999996</v>
      </c>
      <c r="J175">
        <v>15.79</v>
      </c>
      <c r="K175">
        <v>23</v>
      </c>
      <c r="T175">
        <v>1</v>
      </c>
      <c r="U175">
        <v>1</v>
      </c>
      <c r="V175" t="s">
        <v>118</v>
      </c>
      <c r="W175" t="s">
        <v>352</v>
      </c>
      <c r="X175">
        <v>14</v>
      </c>
      <c r="Y175">
        <v>14</v>
      </c>
      <c r="Z175" t="s">
        <v>353</v>
      </c>
      <c r="AA175" t="s">
        <v>354</v>
      </c>
      <c r="AB175" t="s">
        <v>96</v>
      </c>
      <c r="AC175" t="s">
        <v>97</v>
      </c>
      <c r="AD175" t="s">
        <v>98</v>
      </c>
      <c r="AE175" t="s">
        <v>348</v>
      </c>
      <c r="AG175" t="s">
        <v>355</v>
      </c>
      <c r="AH175">
        <v>0</v>
      </c>
      <c r="AI175">
        <v>498</v>
      </c>
      <c r="AJ175">
        <v>52</v>
      </c>
      <c r="AK175">
        <v>50</v>
      </c>
      <c r="AL175">
        <v>0.54</v>
      </c>
    </row>
    <row r="176" spans="1:38" x14ac:dyDescent="0.3">
      <c r="A176" t="s">
        <v>343</v>
      </c>
      <c r="B176">
        <v>112470</v>
      </c>
      <c r="C176">
        <v>2</v>
      </c>
      <c r="D176" t="s">
        <v>350</v>
      </c>
      <c r="E176" t="s">
        <v>351</v>
      </c>
      <c r="F176">
        <v>93</v>
      </c>
      <c r="G176">
        <v>7.55</v>
      </c>
      <c r="H176">
        <v>24.98</v>
      </c>
      <c r="I176">
        <v>4.79</v>
      </c>
      <c r="J176">
        <v>15.84</v>
      </c>
      <c r="K176">
        <v>12</v>
      </c>
      <c r="T176">
        <v>1</v>
      </c>
      <c r="U176">
        <v>1</v>
      </c>
      <c r="V176" t="s">
        <v>118</v>
      </c>
      <c r="W176">
        <v>24</v>
      </c>
      <c r="X176">
        <v>14</v>
      </c>
      <c r="Y176">
        <v>14</v>
      </c>
      <c r="Z176" t="s">
        <v>353</v>
      </c>
      <c r="AA176" t="s">
        <v>354</v>
      </c>
      <c r="AB176" t="s">
        <v>96</v>
      </c>
      <c r="AC176" t="s">
        <v>97</v>
      </c>
      <c r="AD176" t="s">
        <v>98</v>
      </c>
      <c r="AE176" t="s">
        <v>348</v>
      </c>
      <c r="AG176" t="s">
        <v>355</v>
      </c>
      <c r="AH176">
        <v>0</v>
      </c>
      <c r="AI176">
        <v>498</v>
      </c>
      <c r="AJ176">
        <v>52</v>
      </c>
      <c r="AK176">
        <v>50</v>
      </c>
      <c r="AL176">
        <v>0.54</v>
      </c>
    </row>
    <row r="177" spans="1:38" x14ac:dyDescent="0.3">
      <c r="A177" t="s">
        <v>343</v>
      </c>
      <c r="B177">
        <v>112470</v>
      </c>
      <c r="C177">
        <v>3</v>
      </c>
      <c r="D177" t="s">
        <v>350</v>
      </c>
      <c r="E177" t="s">
        <v>351</v>
      </c>
      <c r="F177">
        <v>93</v>
      </c>
      <c r="G177">
        <v>7.35</v>
      </c>
      <c r="H177">
        <v>24.31</v>
      </c>
      <c r="I177">
        <v>4.8</v>
      </c>
      <c r="J177">
        <v>15.9</v>
      </c>
      <c r="K177">
        <v>12</v>
      </c>
      <c r="T177">
        <v>1</v>
      </c>
      <c r="U177">
        <v>1</v>
      </c>
      <c r="V177" t="s">
        <v>118</v>
      </c>
      <c r="W177" t="s">
        <v>154</v>
      </c>
      <c r="X177">
        <v>14</v>
      </c>
      <c r="Y177">
        <v>14</v>
      </c>
      <c r="Z177" t="s">
        <v>353</v>
      </c>
      <c r="AA177" t="s">
        <v>354</v>
      </c>
      <c r="AB177" t="s">
        <v>96</v>
      </c>
      <c r="AC177" t="s">
        <v>97</v>
      </c>
      <c r="AD177" t="s">
        <v>98</v>
      </c>
      <c r="AE177" t="s">
        <v>348</v>
      </c>
      <c r="AG177" t="s">
        <v>355</v>
      </c>
      <c r="AH177">
        <v>0</v>
      </c>
      <c r="AI177">
        <v>498</v>
      </c>
      <c r="AJ177">
        <v>52</v>
      </c>
      <c r="AK177">
        <v>50</v>
      </c>
      <c r="AL177">
        <v>0.54</v>
      </c>
    </row>
    <row r="178" spans="1:38" x14ac:dyDescent="0.3">
      <c r="A178" t="s">
        <v>343</v>
      </c>
      <c r="B178">
        <v>112470</v>
      </c>
      <c r="C178">
        <v>4</v>
      </c>
      <c r="D178" t="s">
        <v>350</v>
      </c>
      <c r="E178" t="s">
        <v>351</v>
      </c>
      <c r="F178">
        <v>93</v>
      </c>
      <c r="G178">
        <v>7.34</v>
      </c>
      <c r="H178">
        <v>24.27</v>
      </c>
      <c r="I178">
        <v>4.78</v>
      </c>
      <c r="J178">
        <v>15.81</v>
      </c>
      <c r="K178">
        <v>11</v>
      </c>
      <c r="T178">
        <v>1</v>
      </c>
      <c r="U178">
        <v>1</v>
      </c>
      <c r="V178" t="s">
        <v>118</v>
      </c>
      <c r="W178" t="s">
        <v>356</v>
      </c>
      <c r="X178">
        <v>14</v>
      </c>
      <c r="Y178">
        <v>14</v>
      </c>
      <c r="Z178" t="s">
        <v>353</v>
      </c>
      <c r="AA178" t="s">
        <v>354</v>
      </c>
      <c r="AB178" t="s">
        <v>96</v>
      </c>
      <c r="AC178" t="s">
        <v>97</v>
      </c>
      <c r="AD178" t="s">
        <v>98</v>
      </c>
      <c r="AE178" t="s">
        <v>348</v>
      </c>
      <c r="AG178" t="s">
        <v>355</v>
      </c>
      <c r="AH178">
        <v>0</v>
      </c>
      <c r="AI178">
        <v>498</v>
      </c>
      <c r="AJ178">
        <v>52</v>
      </c>
      <c r="AK178">
        <v>50</v>
      </c>
      <c r="AL178">
        <v>0.54</v>
      </c>
    </row>
    <row r="179" spans="1:38" x14ac:dyDescent="0.3">
      <c r="A179" t="s">
        <v>343</v>
      </c>
      <c r="B179">
        <v>112470</v>
      </c>
      <c r="C179">
        <v>5</v>
      </c>
      <c r="D179" t="s">
        <v>350</v>
      </c>
      <c r="E179" t="s">
        <v>351</v>
      </c>
      <c r="F179">
        <v>93</v>
      </c>
      <c r="G179">
        <v>7.35</v>
      </c>
      <c r="H179">
        <v>24.33</v>
      </c>
      <c r="I179">
        <v>4.82</v>
      </c>
      <c r="J179">
        <v>15.95</v>
      </c>
      <c r="K179">
        <v>11</v>
      </c>
      <c r="T179">
        <v>1</v>
      </c>
      <c r="U179">
        <v>1</v>
      </c>
      <c r="V179" t="s">
        <v>118</v>
      </c>
      <c r="W179" t="s">
        <v>232</v>
      </c>
      <c r="X179">
        <v>14</v>
      </c>
      <c r="Y179">
        <v>14</v>
      </c>
      <c r="Z179" t="s">
        <v>353</v>
      </c>
      <c r="AA179" t="s">
        <v>354</v>
      </c>
      <c r="AB179" t="s">
        <v>96</v>
      </c>
      <c r="AC179" t="s">
        <v>97</v>
      </c>
      <c r="AD179" t="s">
        <v>98</v>
      </c>
      <c r="AE179" t="s">
        <v>348</v>
      </c>
      <c r="AG179" t="s">
        <v>355</v>
      </c>
      <c r="AH179">
        <v>0</v>
      </c>
      <c r="AI179">
        <v>498</v>
      </c>
      <c r="AJ179">
        <v>52</v>
      </c>
      <c r="AK179">
        <v>50</v>
      </c>
      <c r="AL179">
        <v>0.54</v>
      </c>
    </row>
    <row r="180" spans="1:38" x14ac:dyDescent="0.3">
      <c r="A180" t="s">
        <v>343</v>
      </c>
      <c r="B180">
        <v>112470</v>
      </c>
      <c r="C180">
        <v>6</v>
      </c>
      <c r="D180" t="s">
        <v>350</v>
      </c>
      <c r="E180" t="s">
        <v>351</v>
      </c>
      <c r="F180">
        <v>93</v>
      </c>
      <c r="G180">
        <v>14.76</v>
      </c>
      <c r="H180">
        <v>48.81</v>
      </c>
      <c r="I180">
        <v>9.82</v>
      </c>
      <c r="J180">
        <v>32.47</v>
      </c>
      <c r="K180">
        <v>12</v>
      </c>
      <c r="T180">
        <v>1</v>
      </c>
      <c r="U180">
        <v>1</v>
      </c>
      <c r="V180" t="s">
        <v>118</v>
      </c>
      <c r="W180" t="s">
        <v>357</v>
      </c>
      <c r="X180">
        <v>14</v>
      </c>
      <c r="Y180">
        <v>14</v>
      </c>
      <c r="Z180" t="s">
        <v>353</v>
      </c>
      <c r="AA180" t="s">
        <v>354</v>
      </c>
      <c r="AB180" t="s">
        <v>96</v>
      </c>
      <c r="AC180" t="s">
        <v>97</v>
      </c>
      <c r="AD180" t="s">
        <v>98</v>
      </c>
      <c r="AE180" t="s">
        <v>348</v>
      </c>
      <c r="AG180" t="s">
        <v>355</v>
      </c>
      <c r="AH180">
        <v>0</v>
      </c>
      <c r="AI180">
        <v>498</v>
      </c>
      <c r="AJ180">
        <v>52</v>
      </c>
      <c r="AK180">
        <v>50</v>
      </c>
      <c r="AL180">
        <v>0.54</v>
      </c>
    </row>
    <row r="181" spans="1:38" x14ac:dyDescent="0.3">
      <c r="A181" t="s">
        <v>343</v>
      </c>
      <c r="B181">
        <v>112470</v>
      </c>
      <c r="C181">
        <v>7</v>
      </c>
      <c r="D181" t="s">
        <v>350</v>
      </c>
      <c r="E181" t="s">
        <v>351</v>
      </c>
      <c r="F181">
        <v>93</v>
      </c>
      <c r="G181">
        <v>14.94</v>
      </c>
      <c r="H181">
        <v>49.39</v>
      </c>
      <c r="I181">
        <v>9.74</v>
      </c>
      <c r="J181">
        <v>32.21</v>
      </c>
      <c r="K181">
        <v>12</v>
      </c>
      <c r="T181">
        <v>1</v>
      </c>
      <c r="U181">
        <v>1</v>
      </c>
      <c r="V181" t="s">
        <v>118</v>
      </c>
      <c r="W181" t="s">
        <v>358</v>
      </c>
      <c r="X181">
        <v>14</v>
      </c>
      <c r="Y181">
        <v>14</v>
      </c>
      <c r="Z181" t="s">
        <v>353</v>
      </c>
      <c r="AA181" t="s">
        <v>354</v>
      </c>
      <c r="AB181" t="s">
        <v>96</v>
      </c>
      <c r="AC181" t="s">
        <v>97</v>
      </c>
      <c r="AD181" t="s">
        <v>98</v>
      </c>
      <c r="AE181" t="s">
        <v>348</v>
      </c>
      <c r="AG181" t="s">
        <v>355</v>
      </c>
      <c r="AH181">
        <v>0</v>
      </c>
      <c r="AI181">
        <v>498</v>
      </c>
      <c r="AJ181">
        <v>52</v>
      </c>
      <c r="AK181">
        <v>50</v>
      </c>
      <c r="AL181">
        <v>0.54</v>
      </c>
    </row>
    <row r="182" spans="1:38" x14ac:dyDescent="0.3">
      <c r="A182" t="s">
        <v>359</v>
      </c>
      <c r="B182">
        <v>10390</v>
      </c>
      <c r="C182">
        <v>1</v>
      </c>
      <c r="D182" t="s">
        <v>360</v>
      </c>
      <c r="E182" t="s">
        <v>361</v>
      </c>
      <c r="F182">
        <v>1293</v>
      </c>
      <c r="G182">
        <v>23.71</v>
      </c>
      <c r="H182">
        <v>78.39</v>
      </c>
      <c r="I182">
        <v>18.100000000000001</v>
      </c>
      <c r="J182">
        <v>59.84</v>
      </c>
      <c r="K182">
        <v>132</v>
      </c>
      <c r="T182">
        <v>3</v>
      </c>
      <c r="U182">
        <v>1</v>
      </c>
      <c r="V182" t="s">
        <v>93</v>
      </c>
      <c r="W182" t="s">
        <v>128</v>
      </c>
      <c r="X182">
        <v>12</v>
      </c>
      <c r="Y182">
        <v>10</v>
      </c>
      <c r="Z182" t="s">
        <v>362</v>
      </c>
      <c r="AA182" t="s">
        <v>363</v>
      </c>
      <c r="AB182" t="s">
        <v>96</v>
      </c>
      <c r="AC182" t="s">
        <v>97</v>
      </c>
      <c r="AD182" t="s">
        <v>98</v>
      </c>
      <c r="AE182" t="s">
        <v>364</v>
      </c>
      <c r="AG182" t="s">
        <v>365</v>
      </c>
      <c r="AH182">
        <v>0</v>
      </c>
      <c r="AI182">
        <v>201</v>
      </c>
      <c r="AJ182">
        <v>26</v>
      </c>
      <c r="AK182">
        <v>1852</v>
      </c>
      <c r="AL182">
        <v>1.43</v>
      </c>
    </row>
    <row r="183" spans="1:38" x14ac:dyDescent="0.3">
      <c r="A183" t="s">
        <v>359</v>
      </c>
      <c r="B183">
        <v>10390</v>
      </c>
      <c r="C183">
        <v>2</v>
      </c>
      <c r="D183" t="s">
        <v>360</v>
      </c>
      <c r="E183" t="s">
        <v>361</v>
      </c>
      <c r="F183">
        <v>1293</v>
      </c>
      <c r="G183">
        <v>23.75</v>
      </c>
      <c r="H183">
        <v>78.53</v>
      </c>
      <c r="I183">
        <v>18.13</v>
      </c>
      <c r="J183">
        <v>59.95</v>
      </c>
      <c r="K183">
        <v>120</v>
      </c>
      <c r="T183">
        <v>2</v>
      </c>
      <c r="U183">
        <v>1</v>
      </c>
      <c r="V183" t="s">
        <v>93</v>
      </c>
      <c r="W183" t="s">
        <v>179</v>
      </c>
      <c r="X183">
        <v>12</v>
      </c>
      <c r="Y183">
        <v>10</v>
      </c>
      <c r="Z183" t="s">
        <v>362</v>
      </c>
      <c r="AA183" t="s">
        <v>363</v>
      </c>
      <c r="AB183" t="s">
        <v>96</v>
      </c>
      <c r="AC183" t="s">
        <v>97</v>
      </c>
      <c r="AD183" t="s">
        <v>98</v>
      </c>
      <c r="AE183" t="s">
        <v>364</v>
      </c>
      <c r="AG183" t="s">
        <v>365</v>
      </c>
      <c r="AH183">
        <v>0</v>
      </c>
      <c r="AI183">
        <v>201</v>
      </c>
      <c r="AJ183">
        <v>26</v>
      </c>
      <c r="AK183">
        <v>1852</v>
      </c>
      <c r="AL183">
        <v>1.43</v>
      </c>
    </row>
    <row r="184" spans="1:38" x14ac:dyDescent="0.3">
      <c r="A184" t="s">
        <v>359</v>
      </c>
      <c r="B184">
        <v>10390</v>
      </c>
      <c r="C184">
        <v>3</v>
      </c>
      <c r="D184" t="s">
        <v>360</v>
      </c>
      <c r="E184" t="s">
        <v>361</v>
      </c>
      <c r="F184">
        <v>1293</v>
      </c>
      <c r="G184">
        <v>23.74</v>
      </c>
      <c r="H184">
        <v>78.48</v>
      </c>
      <c r="I184">
        <v>18.12</v>
      </c>
      <c r="J184">
        <v>59.91</v>
      </c>
      <c r="K184">
        <v>12</v>
      </c>
      <c r="T184">
        <v>3</v>
      </c>
      <c r="U184">
        <v>1</v>
      </c>
      <c r="V184" t="s">
        <v>93</v>
      </c>
      <c r="W184" t="s">
        <v>366</v>
      </c>
      <c r="X184">
        <v>12</v>
      </c>
      <c r="Y184">
        <v>10</v>
      </c>
      <c r="Z184" t="s">
        <v>362</v>
      </c>
      <c r="AA184" t="s">
        <v>363</v>
      </c>
      <c r="AB184" t="s">
        <v>96</v>
      </c>
      <c r="AC184" t="s">
        <v>97</v>
      </c>
      <c r="AD184" t="s">
        <v>98</v>
      </c>
      <c r="AE184" t="s">
        <v>364</v>
      </c>
      <c r="AG184" t="s">
        <v>365</v>
      </c>
      <c r="AH184">
        <v>0</v>
      </c>
      <c r="AI184">
        <v>201</v>
      </c>
      <c r="AJ184">
        <v>26</v>
      </c>
      <c r="AK184">
        <v>1852</v>
      </c>
      <c r="AL184">
        <v>1.43</v>
      </c>
    </row>
    <row r="185" spans="1:38" x14ac:dyDescent="0.3">
      <c r="A185" t="s">
        <v>359</v>
      </c>
      <c r="B185">
        <v>10390</v>
      </c>
      <c r="C185">
        <v>4</v>
      </c>
      <c r="D185" t="s">
        <v>360</v>
      </c>
      <c r="E185" t="s">
        <v>361</v>
      </c>
      <c r="F185">
        <v>1293</v>
      </c>
      <c r="G185">
        <v>31.97</v>
      </c>
      <c r="H185">
        <v>105.69</v>
      </c>
      <c r="I185">
        <v>25.7</v>
      </c>
      <c r="J185">
        <v>84.97</v>
      </c>
      <c r="K185">
        <v>321</v>
      </c>
      <c r="T185">
        <v>3</v>
      </c>
      <c r="U185">
        <v>2</v>
      </c>
      <c r="V185" t="s">
        <v>93</v>
      </c>
      <c r="W185" t="s">
        <v>367</v>
      </c>
      <c r="X185">
        <v>12</v>
      </c>
      <c r="Y185">
        <v>10</v>
      </c>
      <c r="Z185" t="s">
        <v>362</v>
      </c>
      <c r="AA185" t="s">
        <v>363</v>
      </c>
      <c r="AB185" t="s">
        <v>96</v>
      </c>
      <c r="AC185" t="s">
        <v>97</v>
      </c>
      <c r="AD185" t="s">
        <v>98</v>
      </c>
      <c r="AE185" t="s">
        <v>364</v>
      </c>
      <c r="AG185" t="s">
        <v>365</v>
      </c>
      <c r="AH185">
        <v>0</v>
      </c>
      <c r="AI185">
        <v>201</v>
      </c>
      <c r="AJ185">
        <v>26</v>
      </c>
      <c r="AK185">
        <v>1852</v>
      </c>
      <c r="AL185">
        <v>1.43</v>
      </c>
    </row>
    <row r="186" spans="1:38" x14ac:dyDescent="0.3">
      <c r="A186" t="s">
        <v>359</v>
      </c>
      <c r="B186">
        <v>10390</v>
      </c>
      <c r="C186">
        <v>5</v>
      </c>
      <c r="D186" t="s">
        <v>360</v>
      </c>
      <c r="E186" t="s">
        <v>361</v>
      </c>
      <c r="F186">
        <v>1293</v>
      </c>
      <c r="G186">
        <v>31.98</v>
      </c>
      <c r="H186">
        <v>105.72</v>
      </c>
      <c r="I186">
        <v>25.7</v>
      </c>
      <c r="J186">
        <v>84.99</v>
      </c>
      <c r="K186">
        <v>212</v>
      </c>
      <c r="T186">
        <v>3</v>
      </c>
      <c r="U186">
        <v>2</v>
      </c>
      <c r="V186" t="s">
        <v>93</v>
      </c>
      <c r="W186" t="s">
        <v>368</v>
      </c>
      <c r="X186">
        <v>12</v>
      </c>
      <c r="Y186">
        <v>10</v>
      </c>
      <c r="Z186" t="s">
        <v>362</v>
      </c>
      <c r="AA186" t="s">
        <v>363</v>
      </c>
      <c r="AB186" t="s">
        <v>96</v>
      </c>
      <c r="AC186" t="s">
        <v>97</v>
      </c>
      <c r="AD186" t="s">
        <v>98</v>
      </c>
      <c r="AE186" t="s">
        <v>364</v>
      </c>
      <c r="AG186" t="s">
        <v>365</v>
      </c>
      <c r="AH186">
        <v>0</v>
      </c>
      <c r="AI186">
        <v>201</v>
      </c>
      <c r="AJ186">
        <v>26</v>
      </c>
      <c r="AK186">
        <v>1852</v>
      </c>
      <c r="AL186">
        <v>1.43</v>
      </c>
    </row>
    <row r="187" spans="1:38" x14ac:dyDescent="0.3">
      <c r="A187" t="s">
        <v>359</v>
      </c>
      <c r="B187">
        <v>10390</v>
      </c>
      <c r="C187">
        <v>6</v>
      </c>
      <c r="D187" t="s">
        <v>360</v>
      </c>
      <c r="E187" t="s">
        <v>361</v>
      </c>
      <c r="F187">
        <v>1293</v>
      </c>
      <c r="G187">
        <v>48.65</v>
      </c>
      <c r="H187">
        <v>160.84</v>
      </c>
      <c r="I187">
        <v>40.81</v>
      </c>
      <c r="J187">
        <v>134.94</v>
      </c>
      <c r="K187">
        <v>352</v>
      </c>
      <c r="T187">
        <v>4</v>
      </c>
      <c r="U187">
        <v>2</v>
      </c>
      <c r="V187" t="s">
        <v>93</v>
      </c>
      <c r="W187">
        <v>160</v>
      </c>
      <c r="X187">
        <v>12</v>
      </c>
      <c r="Y187">
        <v>10</v>
      </c>
      <c r="Z187" t="s">
        <v>362</v>
      </c>
      <c r="AA187" t="s">
        <v>363</v>
      </c>
      <c r="AB187" t="s">
        <v>96</v>
      </c>
      <c r="AC187" t="s">
        <v>97</v>
      </c>
      <c r="AD187" t="s">
        <v>98</v>
      </c>
      <c r="AE187" t="s">
        <v>364</v>
      </c>
      <c r="AG187" t="s">
        <v>365</v>
      </c>
      <c r="AH187">
        <v>0</v>
      </c>
      <c r="AI187">
        <v>201</v>
      </c>
      <c r="AJ187">
        <v>26</v>
      </c>
      <c r="AK187">
        <v>1852</v>
      </c>
      <c r="AL187">
        <v>1.43</v>
      </c>
    </row>
    <row r="188" spans="1:38" x14ac:dyDescent="0.3">
      <c r="A188" t="s">
        <v>359</v>
      </c>
      <c r="B188">
        <v>10390</v>
      </c>
      <c r="C188">
        <v>7</v>
      </c>
      <c r="D188" t="s">
        <v>360</v>
      </c>
      <c r="E188" t="s">
        <v>361</v>
      </c>
      <c r="F188">
        <v>1293</v>
      </c>
      <c r="G188">
        <v>54.99</v>
      </c>
      <c r="H188">
        <v>181.81</v>
      </c>
      <c r="I188">
        <v>46.61</v>
      </c>
      <c r="J188">
        <v>154.11000000000001</v>
      </c>
      <c r="K188">
        <v>144</v>
      </c>
      <c r="T188">
        <v>4</v>
      </c>
      <c r="U188">
        <v>2</v>
      </c>
      <c r="V188" t="s">
        <v>93</v>
      </c>
      <c r="W188">
        <v>181</v>
      </c>
      <c r="X188">
        <v>12</v>
      </c>
      <c r="Y188">
        <v>10</v>
      </c>
      <c r="Z188" t="s">
        <v>362</v>
      </c>
      <c r="AA188" t="s">
        <v>363</v>
      </c>
      <c r="AB188" t="s">
        <v>96</v>
      </c>
      <c r="AC188" t="s">
        <v>97</v>
      </c>
      <c r="AD188" t="s">
        <v>98</v>
      </c>
      <c r="AE188" t="s">
        <v>364</v>
      </c>
      <c r="AG188" t="s">
        <v>365</v>
      </c>
      <c r="AH188">
        <v>0</v>
      </c>
      <c r="AI188">
        <v>201</v>
      </c>
      <c r="AJ188">
        <v>26</v>
      </c>
      <c r="AK188">
        <v>1852</v>
      </c>
      <c r="AL188">
        <v>1.43</v>
      </c>
    </row>
    <row r="189" spans="1:38" x14ac:dyDescent="0.3">
      <c r="A189" t="s">
        <v>359</v>
      </c>
      <c r="B189">
        <v>110166</v>
      </c>
      <c r="C189">
        <v>1</v>
      </c>
      <c r="D189" t="s">
        <v>91</v>
      </c>
      <c r="E189" t="s">
        <v>369</v>
      </c>
      <c r="F189">
        <v>42</v>
      </c>
      <c r="G189">
        <v>27.75</v>
      </c>
      <c r="H189">
        <v>91.74</v>
      </c>
      <c r="I189">
        <v>22.21</v>
      </c>
      <c r="J189">
        <v>73.44</v>
      </c>
      <c r="K189">
        <v>1</v>
      </c>
      <c r="T189">
        <v>3</v>
      </c>
      <c r="U189">
        <v>2</v>
      </c>
      <c r="V189" t="s">
        <v>118</v>
      </c>
      <c r="W189">
        <v>91</v>
      </c>
      <c r="X189">
        <v>9</v>
      </c>
      <c r="Y189">
        <v>9</v>
      </c>
      <c r="Z189" t="s">
        <v>370</v>
      </c>
      <c r="AA189" t="s">
        <v>371</v>
      </c>
      <c r="AB189" t="s">
        <v>96</v>
      </c>
      <c r="AC189" t="s">
        <v>97</v>
      </c>
      <c r="AD189" t="s">
        <v>98</v>
      </c>
      <c r="AE189" t="s">
        <v>364</v>
      </c>
      <c r="AG189" t="s">
        <v>372</v>
      </c>
      <c r="AH189">
        <v>0</v>
      </c>
      <c r="AI189">
        <v>369</v>
      </c>
      <c r="AJ189">
        <v>44</v>
      </c>
      <c r="AK189">
        <v>40</v>
      </c>
      <c r="AL189">
        <v>0.95</v>
      </c>
    </row>
    <row r="190" spans="1:38" x14ac:dyDescent="0.3">
      <c r="A190" t="s">
        <v>359</v>
      </c>
      <c r="B190">
        <v>110166</v>
      </c>
      <c r="C190">
        <v>2</v>
      </c>
      <c r="D190" t="s">
        <v>91</v>
      </c>
      <c r="E190" t="s">
        <v>369</v>
      </c>
      <c r="F190">
        <v>42</v>
      </c>
      <c r="G190">
        <v>29.26</v>
      </c>
      <c r="H190">
        <v>96.74</v>
      </c>
      <c r="I190">
        <v>23.18</v>
      </c>
      <c r="J190">
        <v>76.650000000000006</v>
      </c>
      <c r="K190">
        <v>6</v>
      </c>
      <c r="T190">
        <v>3</v>
      </c>
      <c r="U190">
        <v>2</v>
      </c>
      <c r="V190" t="s">
        <v>118</v>
      </c>
      <c r="W190">
        <v>96</v>
      </c>
      <c r="X190">
        <v>9</v>
      </c>
      <c r="Y190">
        <v>9</v>
      </c>
      <c r="Z190" t="s">
        <v>370</v>
      </c>
      <c r="AA190" t="s">
        <v>371</v>
      </c>
      <c r="AB190" t="s">
        <v>96</v>
      </c>
      <c r="AC190" t="s">
        <v>97</v>
      </c>
      <c r="AD190" t="s">
        <v>98</v>
      </c>
      <c r="AE190" t="s">
        <v>364</v>
      </c>
      <c r="AG190" t="s">
        <v>372</v>
      </c>
      <c r="AH190">
        <v>0</v>
      </c>
      <c r="AI190">
        <v>369</v>
      </c>
      <c r="AJ190">
        <v>44</v>
      </c>
      <c r="AK190">
        <v>40</v>
      </c>
      <c r="AL190">
        <v>0.95</v>
      </c>
    </row>
    <row r="191" spans="1:38" x14ac:dyDescent="0.3">
      <c r="A191" t="s">
        <v>359</v>
      </c>
      <c r="B191">
        <v>110166</v>
      </c>
      <c r="C191">
        <v>3</v>
      </c>
      <c r="D191" t="s">
        <v>91</v>
      </c>
      <c r="E191" t="s">
        <v>369</v>
      </c>
      <c r="F191">
        <v>42</v>
      </c>
      <c r="G191">
        <v>29.92</v>
      </c>
      <c r="H191">
        <v>98.94</v>
      </c>
      <c r="I191">
        <v>23.99</v>
      </c>
      <c r="J191">
        <v>79.33</v>
      </c>
      <c r="K191">
        <v>6</v>
      </c>
      <c r="T191">
        <v>3</v>
      </c>
      <c r="U191">
        <v>2</v>
      </c>
      <c r="V191" t="s">
        <v>118</v>
      </c>
      <c r="W191" t="s">
        <v>208</v>
      </c>
      <c r="X191">
        <v>9</v>
      </c>
      <c r="Y191">
        <v>9</v>
      </c>
      <c r="Z191" t="s">
        <v>370</v>
      </c>
      <c r="AA191" t="s">
        <v>371</v>
      </c>
      <c r="AB191" t="s">
        <v>96</v>
      </c>
      <c r="AC191" t="s">
        <v>97</v>
      </c>
      <c r="AD191" t="s">
        <v>98</v>
      </c>
      <c r="AE191" t="s">
        <v>364</v>
      </c>
      <c r="AG191" t="s">
        <v>372</v>
      </c>
      <c r="AH191">
        <v>0</v>
      </c>
      <c r="AI191">
        <v>369</v>
      </c>
      <c r="AJ191">
        <v>44</v>
      </c>
      <c r="AK191">
        <v>40</v>
      </c>
      <c r="AL191">
        <v>0.95</v>
      </c>
    </row>
    <row r="192" spans="1:38" x14ac:dyDescent="0.3">
      <c r="A192" t="s">
        <v>359</v>
      </c>
      <c r="B192">
        <v>110166</v>
      </c>
      <c r="C192">
        <v>4</v>
      </c>
      <c r="D192" t="s">
        <v>91</v>
      </c>
      <c r="E192" t="s">
        <v>369</v>
      </c>
      <c r="F192">
        <v>42</v>
      </c>
      <c r="G192">
        <v>30.17</v>
      </c>
      <c r="H192">
        <v>99.76</v>
      </c>
      <c r="I192">
        <v>24.22</v>
      </c>
      <c r="J192">
        <v>80.09</v>
      </c>
      <c r="K192">
        <v>1</v>
      </c>
      <c r="T192">
        <v>3</v>
      </c>
      <c r="U192">
        <v>2</v>
      </c>
      <c r="V192" t="s">
        <v>118</v>
      </c>
      <c r="W192" t="s">
        <v>209</v>
      </c>
      <c r="X192">
        <v>9</v>
      </c>
      <c r="Y192">
        <v>9</v>
      </c>
      <c r="Z192" t="s">
        <v>370</v>
      </c>
      <c r="AA192" t="s">
        <v>371</v>
      </c>
      <c r="AB192" t="s">
        <v>96</v>
      </c>
      <c r="AC192" t="s">
        <v>97</v>
      </c>
      <c r="AD192" t="s">
        <v>98</v>
      </c>
      <c r="AE192" t="s">
        <v>364</v>
      </c>
      <c r="AG192" t="s">
        <v>372</v>
      </c>
      <c r="AH192">
        <v>0</v>
      </c>
      <c r="AI192">
        <v>369</v>
      </c>
      <c r="AJ192">
        <v>44</v>
      </c>
      <c r="AK192">
        <v>40</v>
      </c>
      <c r="AL192">
        <v>0.95</v>
      </c>
    </row>
    <row r="193" spans="1:38" x14ac:dyDescent="0.3">
      <c r="A193" t="s">
        <v>359</v>
      </c>
      <c r="B193">
        <v>110166</v>
      </c>
      <c r="C193">
        <v>5</v>
      </c>
      <c r="D193" t="s">
        <v>91</v>
      </c>
      <c r="E193" t="s">
        <v>369</v>
      </c>
      <c r="F193">
        <v>42</v>
      </c>
      <c r="G193">
        <v>30.97</v>
      </c>
      <c r="H193">
        <v>102.41</v>
      </c>
      <c r="I193">
        <v>24.74</v>
      </c>
      <c r="J193">
        <v>81.81</v>
      </c>
      <c r="K193">
        <v>1</v>
      </c>
      <c r="T193">
        <v>3</v>
      </c>
      <c r="U193">
        <v>2</v>
      </c>
      <c r="V193" t="s">
        <v>118</v>
      </c>
      <c r="W193" t="s">
        <v>373</v>
      </c>
      <c r="X193">
        <v>9</v>
      </c>
      <c r="Y193">
        <v>9</v>
      </c>
      <c r="Z193" t="s">
        <v>370</v>
      </c>
      <c r="AA193" t="s">
        <v>371</v>
      </c>
      <c r="AB193" t="s">
        <v>96</v>
      </c>
      <c r="AC193" t="s">
        <v>97</v>
      </c>
      <c r="AD193" t="s">
        <v>98</v>
      </c>
      <c r="AE193" t="s">
        <v>364</v>
      </c>
      <c r="AG193" t="s">
        <v>372</v>
      </c>
      <c r="AH193">
        <v>0</v>
      </c>
      <c r="AI193">
        <v>369</v>
      </c>
      <c r="AJ193">
        <v>44</v>
      </c>
      <c r="AK193">
        <v>40</v>
      </c>
      <c r="AL193">
        <v>0.95</v>
      </c>
    </row>
    <row r="194" spans="1:38" x14ac:dyDescent="0.3">
      <c r="A194" t="s">
        <v>359</v>
      </c>
      <c r="B194">
        <v>110166</v>
      </c>
      <c r="C194">
        <v>6</v>
      </c>
      <c r="D194" t="s">
        <v>91</v>
      </c>
      <c r="E194" t="s">
        <v>369</v>
      </c>
      <c r="F194">
        <v>42</v>
      </c>
      <c r="G194">
        <v>31.03</v>
      </c>
      <c r="H194">
        <v>102.59</v>
      </c>
      <c r="I194">
        <v>25.06</v>
      </c>
      <c r="J194">
        <v>82.87</v>
      </c>
      <c r="K194">
        <v>1</v>
      </c>
      <c r="T194">
        <v>3</v>
      </c>
      <c r="U194">
        <v>2</v>
      </c>
      <c r="V194" t="s">
        <v>118</v>
      </c>
      <c r="W194" t="s">
        <v>337</v>
      </c>
      <c r="X194">
        <v>9</v>
      </c>
      <c r="Y194">
        <v>9</v>
      </c>
      <c r="Z194" t="s">
        <v>370</v>
      </c>
      <c r="AA194" t="s">
        <v>371</v>
      </c>
      <c r="AB194" t="s">
        <v>96</v>
      </c>
      <c r="AC194" t="s">
        <v>97</v>
      </c>
      <c r="AD194" t="s">
        <v>98</v>
      </c>
      <c r="AE194" t="s">
        <v>364</v>
      </c>
      <c r="AG194" t="s">
        <v>372</v>
      </c>
      <c r="AH194">
        <v>0</v>
      </c>
      <c r="AI194">
        <v>369</v>
      </c>
      <c r="AJ194">
        <v>44</v>
      </c>
      <c r="AK194">
        <v>40</v>
      </c>
      <c r="AL194">
        <v>0.95</v>
      </c>
    </row>
    <row r="195" spans="1:38" x14ac:dyDescent="0.3">
      <c r="A195" t="s">
        <v>359</v>
      </c>
      <c r="B195">
        <v>110166</v>
      </c>
      <c r="C195">
        <v>7</v>
      </c>
      <c r="D195" t="s">
        <v>91</v>
      </c>
      <c r="E195" t="s">
        <v>369</v>
      </c>
      <c r="F195">
        <v>42</v>
      </c>
      <c r="G195">
        <v>31.53</v>
      </c>
      <c r="H195">
        <v>104.26</v>
      </c>
      <c r="I195">
        <v>24.66</v>
      </c>
      <c r="J195">
        <v>81.55</v>
      </c>
      <c r="K195">
        <v>6</v>
      </c>
      <c r="T195">
        <v>3</v>
      </c>
      <c r="U195">
        <v>2</v>
      </c>
      <c r="V195" t="s">
        <v>118</v>
      </c>
      <c r="W195" t="s">
        <v>198</v>
      </c>
      <c r="X195">
        <v>9</v>
      </c>
      <c r="Y195">
        <v>9</v>
      </c>
      <c r="Z195" t="s">
        <v>370</v>
      </c>
      <c r="AA195" t="s">
        <v>371</v>
      </c>
      <c r="AB195" t="s">
        <v>96</v>
      </c>
      <c r="AC195" t="s">
        <v>97</v>
      </c>
      <c r="AD195" t="s">
        <v>98</v>
      </c>
      <c r="AE195" t="s">
        <v>364</v>
      </c>
      <c r="AG195" t="s">
        <v>372</v>
      </c>
      <c r="AH195">
        <v>0</v>
      </c>
      <c r="AI195">
        <v>369</v>
      </c>
      <c r="AJ195">
        <v>44</v>
      </c>
      <c r="AK195">
        <v>40</v>
      </c>
      <c r="AL195">
        <v>0.95</v>
      </c>
    </row>
    <row r="196" spans="1:38" x14ac:dyDescent="0.3">
      <c r="A196" t="s">
        <v>359</v>
      </c>
      <c r="B196">
        <v>110166</v>
      </c>
      <c r="C196">
        <v>8</v>
      </c>
      <c r="D196" t="s">
        <v>91</v>
      </c>
      <c r="E196" t="s">
        <v>369</v>
      </c>
      <c r="F196">
        <v>42</v>
      </c>
      <c r="G196">
        <v>31.53</v>
      </c>
      <c r="H196">
        <v>104.25</v>
      </c>
      <c r="I196">
        <v>24.68</v>
      </c>
      <c r="J196">
        <v>81.59</v>
      </c>
      <c r="K196">
        <v>6</v>
      </c>
      <c r="T196">
        <v>3</v>
      </c>
      <c r="U196">
        <v>2</v>
      </c>
      <c r="V196" t="s">
        <v>118</v>
      </c>
      <c r="W196" t="s">
        <v>199</v>
      </c>
      <c r="X196">
        <v>9</v>
      </c>
      <c r="Y196">
        <v>9</v>
      </c>
      <c r="Z196" t="s">
        <v>370</v>
      </c>
      <c r="AA196" t="s">
        <v>371</v>
      </c>
      <c r="AB196" t="s">
        <v>96</v>
      </c>
      <c r="AC196" t="s">
        <v>97</v>
      </c>
      <c r="AD196" t="s">
        <v>98</v>
      </c>
      <c r="AE196" t="s">
        <v>364</v>
      </c>
      <c r="AG196" t="s">
        <v>372</v>
      </c>
      <c r="AH196">
        <v>0</v>
      </c>
      <c r="AI196">
        <v>369</v>
      </c>
      <c r="AJ196">
        <v>44</v>
      </c>
      <c r="AK196">
        <v>40</v>
      </c>
      <c r="AL196">
        <v>0.95</v>
      </c>
    </row>
    <row r="197" spans="1:38" x14ac:dyDescent="0.3">
      <c r="A197" t="s">
        <v>359</v>
      </c>
      <c r="B197">
        <v>110166</v>
      </c>
      <c r="C197">
        <v>9</v>
      </c>
      <c r="D197" t="s">
        <v>91</v>
      </c>
      <c r="E197" t="s">
        <v>369</v>
      </c>
      <c r="F197">
        <v>42</v>
      </c>
      <c r="G197">
        <v>31.62</v>
      </c>
      <c r="H197">
        <v>104.56</v>
      </c>
      <c r="I197">
        <v>25.16</v>
      </c>
      <c r="J197">
        <v>83.2</v>
      </c>
      <c r="K197">
        <v>6</v>
      </c>
      <c r="T197">
        <v>3</v>
      </c>
      <c r="U197">
        <v>2</v>
      </c>
      <c r="V197" t="s">
        <v>118</v>
      </c>
      <c r="W197" t="s">
        <v>374</v>
      </c>
      <c r="X197">
        <v>9</v>
      </c>
      <c r="Y197">
        <v>9</v>
      </c>
      <c r="Z197" t="s">
        <v>370</v>
      </c>
      <c r="AA197" t="s">
        <v>371</v>
      </c>
      <c r="AB197" t="s">
        <v>96</v>
      </c>
      <c r="AC197" t="s">
        <v>97</v>
      </c>
      <c r="AD197" t="s">
        <v>98</v>
      </c>
      <c r="AE197" t="s">
        <v>364</v>
      </c>
      <c r="AG197" t="s">
        <v>372</v>
      </c>
      <c r="AH197">
        <v>0</v>
      </c>
      <c r="AI197">
        <v>369</v>
      </c>
      <c r="AJ197">
        <v>44</v>
      </c>
      <c r="AK197">
        <v>40</v>
      </c>
      <c r="AL197">
        <v>0.95</v>
      </c>
    </row>
    <row r="198" spans="1:38" x14ac:dyDescent="0.3">
      <c r="A198" t="s">
        <v>359</v>
      </c>
      <c r="B198">
        <v>110166</v>
      </c>
      <c r="C198">
        <v>10</v>
      </c>
      <c r="D198" t="s">
        <v>91</v>
      </c>
      <c r="E198" t="s">
        <v>369</v>
      </c>
      <c r="F198">
        <v>42</v>
      </c>
      <c r="G198">
        <v>31.67</v>
      </c>
      <c r="H198">
        <v>104.7</v>
      </c>
      <c r="I198">
        <v>25.42</v>
      </c>
      <c r="J198">
        <v>84.04</v>
      </c>
      <c r="K198">
        <v>6</v>
      </c>
      <c r="T198">
        <v>3</v>
      </c>
      <c r="U198">
        <v>2</v>
      </c>
      <c r="V198" t="s">
        <v>118</v>
      </c>
      <c r="W198" t="s">
        <v>375</v>
      </c>
      <c r="X198">
        <v>9</v>
      </c>
      <c r="Y198">
        <v>9</v>
      </c>
      <c r="Z198" t="s">
        <v>370</v>
      </c>
      <c r="AA198" t="s">
        <v>371</v>
      </c>
      <c r="AB198" t="s">
        <v>96</v>
      </c>
      <c r="AC198" t="s">
        <v>97</v>
      </c>
      <c r="AD198" t="s">
        <v>98</v>
      </c>
      <c r="AE198" t="s">
        <v>364</v>
      </c>
      <c r="AG198" t="s">
        <v>372</v>
      </c>
      <c r="AH198">
        <v>0</v>
      </c>
      <c r="AI198">
        <v>369</v>
      </c>
      <c r="AJ198">
        <v>44</v>
      </c>
      <c r="AK198">
        <v>40</v>
      </c>
      <c r="AL198">
        <v>0.95</v>
      </c>
    </row>
    <row r="199" spans="1:38" x14ac:dyDescent="0.3">
      <c r="A199" t="s">
        <v>359</v>
      </c>
      <c r="B199">
        <v>110166</v>
      </c>
      <c r="C199">
        <v>11</v>
      </c>
      <c r="D199" t="s">
        <v>91</v>
      </c>
      <c r="E199" t="s">
        <v>369</v>
      </c>
      <c r="F199">
        <v>42</v>
      </c>
      <c r="G199">
        <v>31.88</v>
      </c>
      <c r="H199">
        <v>105.39</v>
      </c>
      <c r="I199">
        <v>25</v>
      </c>
      <c r="J199">
        <v>82.67</v>
      </c>
      <c r="K199">
        <v>1</v>
      </c>
      <c r="T199">
        <v>3</v>
      </c>
      <c r="U199">
        <v>2</v>
      </c>
      <c r="V199" t="s">
        <v>118</v>
      </c>
      <c r="W199" t="s">
        <v>376</v>
      </c>
      <c r="X199">
        <v>9</v>
      </c>
      <c r="Y199">
        <v>9</v>
      </c>
      <c r="Z199" t="s">
        <v>370</v>
      </c>
      <c r="AA199" t="s">
        <v>371</v>
      </c>
      <c r="AB199" t="s">
        <v>96</v>
      </c>
      <c r="AC199" t="s">
        <v>97</v>
      </c>
      <c r="AD199" t="s">
        <v>98</v>
      </c>
      <c r="AE199" t="s">
        <v>364</v>
      </c>
      <c r="AG199" t="s">
        <v>372</v>
      </c>
      <c r="AH199">
        <v>0</v>
      </c>
      <c r="AI199">
        <v>369</v>
      </c>
      <c r="AJ199">
        <v>44</v>
      </c>
      <c r="AK199">
        <v>40</v>
      </c>
      <c r="AL199">
        <v>0.95</v>
      </c>
    </row>
    <row r="200" spans="1:38" x14ac:dyDescent="0.3">
      <c r="A200" t="s">
        <v>359</v>
      </c>
      <c r="B200">
        <v>110166</v>
      </c>
      <c r="C200">
        <v>12</v>
      </c>
      <c r="D200" t="s">
        <v>91</v>
      </c>
      <c r="E200" t="s">
        <v>369</v>
      </c>
      <c r="F200">
        <v>42</v>
      </c>
      <c r="G200">
        <v>32.29</v>
      </c>
      <c r="H200">
        <v>106.76</v>
      </c>
      <c r="I200">
        <v>25.33</v>
      </c>
      <c r="J200">
        <v>83.75</v>
      </c>
      <c r="K200">
        <v>1</v>
      </c>
      <c r="T200">
        <v>3</v>
      </c>
      <c r="U200">
        <v>2</v>
      </c>
      <c r="V200" t="s">
        <v>118</v>
      </c>
      <c r="W200" t="s">
        <v>377</v>
      </c>
      <c r="X200">
        <v>9</v>
      </c>
      <c r="Y200">
        <v>9</v>
      </c>
      <c r="Z200" t="s">
        <v>370</v>
      </c>
      <c r="AA200" t="s">
        <v>371</v>
      </c>
      <c r="AB200" t="s">
        <v>96</v>
      </c>
      <c r="AC200" t="s">
        <v>97</v>
      </c>
      <c r="AD200" t="s">
        <v>98</v>
      </c>
      <c r="AE200" t="s">
        <v>364</v>
      </c>
      <c r="AG200" t="s">
        <v>372</v>
      </c>
      <c r="AH200">
        <v>0</v>
      </c>
      <c r="AI200">
        <v>369</v>
      </c>
      <c r="AJ200">
        <v>44</v>
      </c>
      <c r="AK200">
        <v>40</v>
      </c>
      <c r="AL200">
        <v>0.95</v>
      </c>
    </row>
    <row r="201" spans="1:38" x14ac:dyDescent="0.3">
      <c r="A201" t="s">
        <v>359</v>
      </c>
      <c r="B201">
        <v>113046</v>
      </c>
      <c r="C201">
        <v>1</v>
      </c>
      <c r="D201" t="s">
        <v>378</v>
      </c>
      <c r="E201" t="s">
        <v>379</v>
      </c>
      <c r="F201">
        <v>13</v>
      </c>
      <c r="G201">
        <v>30.47</v>
      </c>
      <c r="H201">
        <v>100.75</v>
      </c>
      <c r="I201">
        <v>25.52</v>
      </c>
      <c r="J201">
        <v>84.39</v>
      </c>
      <c r="K201">
        <v>7</v>
      </c>
      <c r="T201">
        <v>3</v>
      </c>
      <c r="U201">
        <v>2</v>
      </c>
      <c r="V201" t="s">
        <v>93</v>
      </c>
      <c r="W201" t="s">
        <v>380</v>
      </c>
      <c r="X201">
        <v>9</v>
      </c>
      <c r="Y201">
        <v>8</v>
      </c>
      <c r="Z201" t="s">
        <v>381</v>
      </c>
      <c r="AA201" t="s">
        <v>382</v>
      </c>
      <c r="AB201" t="s">
        <v>96</v>
      </c>
      <c r="AC201" t="s">
        <v>97</v>
      </c>
      <c r="AD201" t="s">
        <v>98</v>
      </c>
      <c r="AE201" t="s">
        <v>364</v>
      </c>
      <c r="AG201" t="s">
        <v>383</v>
      </c>
      <c r="AH201">
        <v>0</v>
      </c>
      <c r="AI201">
        <v>363</v>
      </c>
      <c r="AJ201">
        <v>52</v>
      </c>
      <c r="AK201">
        <v>12</v>
      </c>
      <c r="AL201">
        <v>0.92</v>
      </c>
    </row>
    <row r="202" spans="1:38" x14ac:dyDescent="0.3">
      <c r="A202" t="s">
        <v>359</v>
      </c>
      <c r="B202">
        <v>113046</v>
      </c>
      <c r="C202">
        <v>2</v>
      </c>
      <c r="D202" t="s">
        <v>378</v>
      </c>
      <c r="E202" t="s">
        <v>379</v>
      </c>
      <c r="F202">
        <v>13</v>
      </c>
      <c r="G202">
        <v>30.35</v>
      </c>
      <c r="H202">
        <v>100.36</v>
      </c>
      <c r="I202">
        <v>25.42</v>
      </c>
      <c r="J202">
        <v>84.06</v>
      </c>
      <c r="K202">
        <v>6</v>
      </c>
      <c r="T202">
        <v>3</v>
      </c>
      <c r="U202">
        <v>2</v>
      </c>
      <c r="V202" t="s">
        <v>93</v>
      </c>
      <c r="W202" t="s">
        <v>109</v>
      </c>
      <c r="X202">
        <v>9</v>
      </c>
      <c r="Y202">
        <v>8</v>
      </c>
      <c r="Z202" t="s">
        <v>381</v>
      </c>
      <c r="AA202" t="s">
        <v>382</v>
      </c>
      <c r="AB202" t="s">
        <v>96</v>
      </c>
      <c r="AC202" t="s">
        <v>97</v>
      </c>
      <c r="AD202" t="s">
        <v>98</v>
      </c>
      <c r="AE202" t="s">
        <v>364</v>
      </c>
      <c r="AG202" t="s">
        <v>383</v>
      </c>
      <c r="AH202">
        <v>0</v>
      </c>
      <c r="AI202">
        <v>363</v>
      </c>
      <c r="AJ202">
        <v>52</v>
      </c>
      <c r="AK202">
        <v>12</v>
      </c>
      <c r="AL202">
        <v>0.92</v>
      </c>
    </row>
    <row r="203" spans="1:38" x14ac:dyDescent="0.3">
      <c r="A203" t="s">
        <v>359</v>
      </c>
      <c r="B203">
        <v>107786</v>
      </c>
      <c r="C203">
        <v>1</v>
      </c>
      <c r="D203" t="s">
        <v>384</v>
      </c>
      <c r="E203" t="s">
        <v>385</v>
      </c>
      <c r="F203">
        <v>15</v>
      </c>
      <c r="G203">
        <v>25.74</v>
      </c>
      <c r="H203">
        <v>85.1</v>
      </c>
      <c r="I203">
        <v>19.690000000000001</v>
      </c>
      <c r="J203">
        <v>65.099999999999994</v>
      </c>
      <c r="K203">
        <v>1</v>
      </c>
      <c r="T203">
        <v>3</v>
      </c>
      <c r="U203">
        <v>2</v>
      </c>
      <c r="V203" t="s">
        <v>118</v>
      </c>
      <c r="W203">
        <v>85</v>
      </c>
      <c r="X203">
        <v>8</v>
      </c>
      <c r="Y203">
        <v>7</v>
      </c>
      <c r="Z203" t="s">
        <v>386</v>
      </c>
      <c r="AA203" t="s">
        <v>387</v>
      </c>
      <c r="AB203" t="s">
        <v>96</v>
      </c>
      <c r="AC203" t="s">
        <v>97</v>
      </c>
      <c r="AD203" t="s">
        <v>98</v>
      </c>
      <c r="AE203" t="s">
        <v>364</v>
      </c>
      <c r="AG203" t="s">
        <v>388</v>
      </c>
      <c r="AH203">
        <v>0</v>
      </c>
      <c r="AI203">
        <v>435</v>
      </c>
      <c r="AJ203">
        <v>67</v>
      </c>
      <c r="AK203">
        <v>22</v>
      </c>
      <c r="AL203">
        <v>1.47</v>
      </c>
    </row>
    <row r="204" spans="1:38" x14ac:dyDescent="0.3">
      <c r="A204" t="s">
        <v>359</v>
      </c>
      <c r="B204">
        <v>107786</v>
      </c>
      <c r="C204">
        <v>2</v>
      </c>
      <c r="D204" t="s">
        <v>384</v>
      </c>
      <c r="E204" t="s">
        <v>385</v>
      </c>
      <c r="F204">
        <v>15</v>
      </c>
      <c r="G204">
        <v>28.54</v>
      </c>
      <c r="H204">
        <v>94.35</v>
      </c>
      <c r="I204">
        <v>21.83</v>
      </c>
      <c r="J204">
        <v>72.180000000000007</v>
      </c>
      <c r="K204">
        <v>7</v>
      </c>
      <c r="T204">
        <v>3</v>
      </c>
      <c r="U204">
        <v>2</v>
      </c>
      <c r="V204" t="s">
        <v>118</v>
      </c>
      <c r="W204">
        <v>94</v>
      </c>
      <c r="X204">
        <v>8</v>
      </c>
      <c r="Y204">
        <v>7</v>
      </c>
      <c r="Z204" t="s">
        <v>386</v>
      </c>
      <c r="AA204" t="s">
        <v>387</v>
      </c>
      <c r="AB204" t="s">
        <v>96</v>
      </c>
      <c r="AC204" t="s">
        <v>97</v>
      </c>
      <c r="AD204" t="s">
        <v>98</v>
      </c>
      <c r="AE204" t="s">
        <v>364</v>
      </c>
      <c r="AG204" t="s">
        <v>388</v>
      </c>
      <c r="AH204">
        <v>0</v>
      </c>
      <c r="AI204">
        <v>435</v>
      </c>
      <c r="AJ204">
        <v>67</v>
      </c>
      <c r="AK204">
        <v>22</v>
      </c>
      <c r="AL204">
        <v>1.47</v>
      </c>
    </row>
    <row r="205" spans="1:38" x14ac:dyDescent="0.3">
      <c r="A205" t="s">
        <v>359</v>
      </c>
      <c r="B205">
        <v>107786</v>
      </c>
      <c r="C205">
        <v>3</v>
      </c>
      <c r="D205" t="s">
        <v>384</v>
      </c>
      <c r="E205" t="s">
        <v>385</v>
      </c>
      <c r="F205">
        <v>15</v>
      </c>
      <c r="G205">
        <v>30.08</v>
      </c>
      <c r="H205">
        <v>99.45</v>
      </c>
      <c r="I205">
        <v>23.01</v>
      </c>
      <c r="J205">
        <v>76.08</v>
      </c>
      <c r="K205">
        <v>6</v>
      </c>
      <c r="T205">
        <v>3</v>
      </c>
      <c r="U205">
        <v>2</v>
      </c>
      <c r="V205" t="s">
        <v>118</v>
      </c>
      <c r="W205" t="s">
        <v>389</v>
      </c>
      <c r="X205">
        <v>8</v>
      </c>
      <c r="Y205">
        <v>7</v>
      </c>
      <c r="Z205" t="s">
        <v>386</v>
      </c>
      <c r="AA205" t="s">
        <v>387</v>
      </c>
      <c r="AB205" t="s">
        <v>96</v>
      </c>
      <c r="AC205" t="s">
        <v>97</v>
      </c>
      <c r="AD205" t="s">
        <v>98</v>
      </c>
      <c r="AE205" t="s">
        <v>364</v>
      </c>
      <c r="AG205" t="s">
        <v>388</v>
      </c>
      <c r="AH205">
        <v>0</v>
      </c>
      <c r="AI205">
        <v>435</v>
      </c>
      <c r="AJ205">
        <v>67</v>
      </c>
      <c r="AK205">
        <v>22</v>
      </c>
      <c r="AL205">
        <v>1.47</v>
      </c>
    </row>
    <row r="206" spans="1:38" x14ac:dyDescent="0.3">
      <c r="A206" t="s">
        <v>359</v>
      </c>
      <c r="B206">
        <v>107786</v>
      </c>
      <c r="C206">
        <v>4</v>
      </c>
      <c r="D206" t="s">
        <v>384</v>
      </c>
      <c r="E206" t="s">
        <v>385</v>
      </c>
      <c r="F206">
        <v>15</v>
      </c>
      <c r="G206">
        <v>30.41</v>
      </c>
      <c r="H206">
        <v>100.55</v>
      </c>
      <c r="I206">
        <v>23.26</v>
      </c>
      <c r="J206">
        <v>76.92</v>
      </c>
      <c r="K206">
        <v>1</v>
      </c>
      <c r="T206">
        <v>3</v>
      </c>
      <c r="U206">
        <v>2</v>
      </c>
      <c r="V206" t="s">
        <v>118</v>
      </c>
      <c r="W206" t="s">
        <v>380</v>
      </c>
      <c r="X206">
        <v>8</v>
      </c>
      <c r="Y206">
        <v>7</v>
      </c>
      <c r="Z206" t="s">
        <v>386</v>
      </c>
      <c r="AA206" t="s">
        <v>387</v>
      </c>
      <c r="AB206" t="s">
        <v>96</v>
      </c>
      <c r="AC206" t="s">
        <v>97</v>
      </c>
      <c r="AD206" t="s">
        <v>98</v>
      </c>
      <c r="AE206" t="s">
        <v>364</v>
      </c>
      <c r="AG206" t="s">
        <v>388</v>
      </c>
      <c r="AH206">
        <v>0</v>
      </c>
      <c r="AI206">
        <v>435</v>
      </c>
      <c r="AJ206">
        <v>67</v>
      </c>
      <c r="AK206">
        <v>22</v>
      </c>
      <c r="AL206">
        <v>1.47</v>
      </c>
    </row>
    <row r="207" spans="1:38" x14ac:dyDescent="0.3">
      <c r="A207" t="s">
        <v>390</v>
      </c>
      <c r="B207">
        <v>137964</v>
      </c>
      <c r="C207">
        <v>1</v>
      </c>
      <c r="D207" t="s">
        <v>391</v>
      </c>
      <c r="E207" t="s">
        <v>392</v>
      </c>
      <c r="F207">
        <v>9</v>
      </c>
      <c r="G207">
        <v>17.52</v>
      </c>
      <c r="H207">
        <v>57.94</v>
      </c>
      <c r="I207">
        <v>15.28</v>
      </c>
      <c r="J207">
        <v>50.52</v>
      </c>
      <c r="K207">
        <v>3</v>
      </c>
      <c r="T207">
        <v>2</v>
      </c>
      <c r="U207">
        <v>1</v>
      </c>
      <c r="V207" t="s">
        <v>93</v>
      </c>
      <c r="W207">
        <v>57</v>
      </c>
      <c r="X207">
        <v>10</v>
      </c>
      <c r="Y207">
        <v>10</v>
      </c>
      <c r="Z207" t="s">
        <v>393</v>
      </c>
      <c r="AA207" t="s">
        <v>394</v>
      </c>
      <c r="AB207" t="s">
        <v>96</v>
      </c>
      <c r="AC207" t="s">
        <v>97</v>
      </c>
      <c r="AD207" t="s">
        <v>98</v>
      </c>
      <c r="AE207" t="s">
        <v>395</v>
      </c>
      <c r="AG207" t="s">
        <v>396</v>
      </c>
      <c r="AH207">
        <v>0</v>
      </c>
      <c r="AI207">
        <v>497</v>
      </c>
      <c r="AJ207">
        <v>69</v>
      </c>
      <c r="AK207">
        <v>9</v>
      </c>
      <c r="AL207">
        <v>1</v>
      </c>
    </row>
    <row r="208" spans="1:38" x14ac:dyDescent="0.3">
      <c r="A208" t="s">
        <v>390</v>
      </c>
      <c r="B208">
        <v>137964</v>
      </c>
      <c r="C208">
        <v>2</v>
      </c>
      <c r="D208" t="s">
        <v>391</v>
      </c>
      <c r="E208" t="s">
        <v>392</v>
      </c>
      <c r="F208">
        <v>9</v>
      </c>
      <c r="G208">
        <v>18.739999999999998</v>
      </c>
      <c r="H208">
        <v>61.96</v>
      </c>
      <c r="I208">
        <v>16.34</v>
      </c>
      <c r="J208">
        <v>54.03</v>
      </c>
      <c r="K208">
        <v>3</v>
      </c>
      <c r="T208">
        <v>3</v>
      </c>
      <c r="U208">
        <v>1</v>
      </c>
      <c r="V208" t="s">
        <v>93</v>
      </c>
      <c r="W208" t="s">
        <v>141</v>
      </c>
      <c r="X208">
        <v>10</v>
      </c>
      <c r="Y208">
        <v>10</v>
      </c>
      <c r="Z208" t="s">
        <v>393</v>
      </c>
      <c r="AA208" t="s">
        <v>394</v>
      </c>
      <c r="AB208" t="s">
        <v>96</v>
      </c>
      <c r="AC208" t="s">
        <v>97</v>
      </c>
      <c r="AD208" t="s">
        <v>98</v>
      </c>
      <c r="AE208" t="s">
        <v>395</v>
      </c>
      <c r="AG208" t="s">
        <v>396</v>
      </c>
      <c r="AH208">
        <v>0</v>
      </c>
      <c r="AI208">
        <v>497</v>
      </c>
      <c r="AJ208">
        <v>69</v>
      </c>
      <c r="AK208">
        <v>9</v>
      </c>
      <c r="AL208">
        <v>1</v>
      </c>
    </row>
    <row r="209" spans="1:38" x14ac:dyDescent="0.3">
      <c r="A209" t="s">
        <v>390</v>
      </c>
      <c r="B209">
        <v>137964</v>
      </c>
      <c r="C209">
        <v>3</v>
      </c>
      <c r="D209" t="s">
        <v>391</v>
      </c>
      <c r="E209" t="s">
        <v>392</v>
      </c>
      <c r="F209">
        <v>9</v>
      </c>
      <c r="G209">
        <v>19.190000000000001</v>
      </c>
      <c r="H209">
        <v>63.44</v>
      </c>
      <c r="I209">
        <v>16.73</v>
      </c>
      <c r="J209">
        <v>55.32</v>
      </c>
      <c r="K209">
        <v>3</v>
      </c>
      <c r="T209">
        <v>3</v>
      </c>
      <c r="U209">
        <v>1</v>
      </c>
      <c r="V209" t="s">
        <v>93</v>
      </c>
      <c r="W209" t="s">
        <v>397</v>
      </c>
      <c r="X209">
        <v>10</v>
      </c>
      <c r="Y209">
        <v>10</v>
      </c>
      <c r="Z209" t="s">
        <v>393</v>
      </c>
      <c r="AA209" t="s">
        <v>394</v>
      </c>
      <c r="AB209" t="s">
        <v>96</v>
      </c>
      <c r="AC209" t="s">
        <v>97</v>
      </c>
      <c r="AD209" t="s">
        <v>98</v>
      </c>
      <c r="AE209" t="s">
        <v>395</v>
      </c>
      <c r="AG209" t="s">
        <v>396</v>
      </c>
      <c r="AH209">
        <v>0</v>
      </c>
      <c r="AI209">
        <v>497</v>
      </c>
      <c r="AJ209">
        <v>69</v>
      </c>
      <c r="AK209">
        <v>9</v>
      </c>
      <c r="AL209">
        <v>1</v>
      </c>
    </row>
    <row r="210" spans="1:38" x14ac:dyDescent="0.3">
      <c r="A210" t="s">
        <v>390</v>
      </c>
      <c r="B210">
        <v>110774</v>
      </c>
      <c r="C210">
        <v>1</v>
      </c>
      <c r="D210" t="s">
        <v>398</v>
      </c>
      <c r="E210" t="s">
        <v>193</v>
      </c>
      <c r="F210">
        <v>19</v>
      </c>
      <c r="G210">
        <v>27.24</v>
      </c>
      <c r="H210">
        <v>90.06</v>
      </c>
      <c r="I210">
        <v>23.14</v>
      </c>
      <c r="J210">
        <v>76.5</v>
      </c>
      <c r="K210">
        <v>4</v>
      </c>
      <c r="T210">
        <v>3</v>
      </c>
      <c r="U210">
        <v>2</v>
      </c>
      <c r="V210" t="s">
        <v>93</v>
      </c>
      <c r="W210">
        <v>90</v>
      </c>
      <c r="X210">
        <v>6</v>
      </c>
      <c r="Y210">
        <v>5</v>
      </c>
      <c r="Z210" t="s">
        <v>399</v>
      </c>
      <c r="AA210" t="s">
        <v>400</v>
      </c>
      <c r="AB210" t="s">
        <v>96</v>
      </c>
      <c r="AC210" t="s">
        <v>97</v>
      </c>
      <c r="AD210" t="s">
        <v>98</v>
      </c>
      <c r="AE210" t="s">
        <v>395</v>
      </c>
      <c r="AG210" t="s">
        <v>401</v>
      </c>
      <c r="AH210">
        <v>0</v>
      </c>
      <c r="AI210">
        <v>263</v>
      </c>
      <c r="AJ210">
        <v>65</v>
      </c>
      <c r="AK210">
        <v>17</v>
      </c>
      <c r="AL210">
        <v>0.89</v>
      </c>
    </row>
    <row r="211" spans="1:38" x14ac:dyDescent="0.3">
      <c r="A211" t="s">
        <v>390</v>
      </c>
      <c r="B211">
        <v>110774</v>
      </c>
      <c r="C211">
        <v>2</v>
      </c>
      <c r="D211" t="s">
        <v>398</v>
      </c>
      <c r="E211" t="s">
        <v>193</v>
      </c>
      <c r="F211">
        <v>19</v>
      </c>
      <c r="G211">
        <v>28.01</v>
      </c>
      <c r="H211">
        <v>92.61</v>
      </c>
      <c r="I211">
        <v>23.79</v>
      </c>
      <c r="J211">
        <v>78.67</v>
      </c>
      <c r="K211">
        <v>5</v>
      </c>
      <c r="T211">
        <v>3</v>
      </c>
      <c r="U211">
        <v>2</v>
      </c>
      <c r="V211" t="s">
        <v>93</v>
      </c>
      <c r="W211">
        <v>92</v>
      </c>
      <c r="X211">
        <v>6</v>
      </c>
      <c r="Y211">
        <v>5</v>
      </c>
      <c r="Z211" t="s">
        <v>399</v>
      </c>
      <c r="AA211" t="s">
        <v>400</v>
      </c>
      <c r="AB211" t="s">
        <v>96</v>
      </c>
      <c r="AC211" t="s">
        <v>97</v>
      </c>
      <c r="AD211" t="s">
        <v>98</v>
      </c>
      <c r="AE211" t="s">
        <v>395</v>
      </c>
      <c r="AG211" t="s">
        <v>401</v>
      </c>
      <c r="AH211">
        <v>0</v>
      </c>
      <c r="AI211">
        <v>263</v>
      </c>
      <c r="AJ211">
        <v>65</v>
      </c>
      <c r="AK211">
        <v>17</v>
      </c>
      <c r="AL211">
        <v>0.89</v>
      </c>
    </row>
    <row r="212" spans="1:38" x14ac:dyDescent="0.3">
      <c r="A212" t="s">
        <v>390</v>
      </c>
      <c r="B212">
        <v>110774</v>
      </c>
      <c r="C212">
        <v>3</v>
      </c>
      <c r="D212" t="s">
        <v>398</v>
      </c>
      <c r="E212" t="s">
        <v>193</v>
      </c>
      <c r="F212">
        <v>19</v>
      </c>
      <c r="G212">
        <v>28.75</v>
      </c>
      <c r="H212">
        <v>95.07</v>
      </c>
      <c r="I212">
        <v>24.42</v>
      </c>
      <c r="J212">
        <v>80.760000000000005</v>
      </c>
      <c r="K212">
        <v>5</v>
      </c>
      <c r="T212">
        <v>3</v>
      </c>
      <c r="U212">
        <v>2</v>
      </c>
      <c r="V212" t="s">
        <v>93</v>
      </c>
      <c r="W212" t="s">
        <v>402</v>
      </c>
      <c r="X212">
        <v>6</v>
      </c>
      <c r="Y212">
        <v>5</v>
      </c>
      <c r="Z212" t="s">
        <v>399</v>
      </c>
      <c r="AA212" t="s">
        <v>400</v>
      </c>
      <c r="AB212" t="s">
        <v>96</v>
      </c>
      <c r="AC212" t="s">
        <v>97</v>
      </c>
      <c r="AD212" t="s">
        <v>98</v>
      </c>
      <c r="AE212" t="s">
        <v>395</v>
      </c>
      <c r="AG212" t="s">
        <v>401</v>
      </c>
      <c r="AH212">
        <v>0</v>
      </c>
      <c r="AI212">
        <v>263</v>
      </c>
      <c r="AJ212">
        <v>65</v>
      </c>
      <c r="AK212">
        <v>17</v>
      </c>
      <c r="AL212">
        <v>0.89</v>
      </c>
    </row>
    <row r="213" spans="1:38" x14ac:dyDescent="0.3">
      <c r="A213" t="s">
        <v>390</v>
      </c>
      <c r="B213">
        <v>110774</v>
      </c>
      <c r="C213">
        <v>4</v>
      </c>
      <c r="D213" t="s">
        <v>398</v>
      </c>
      <c r="E213" t="s">
        <v>193</v>
      </c>
      <c r="F213">
        <v>19</v>
      </c>
      <c r="G213">
        <v>28.74</v>
      </c>
      <c r="H213">
        <v>95.03</v>
      </c>
      <c r="I213">
        <v>24.41</v>
      </c>
      <c r="J213">
        <v>80.72</v>
      </c>
      <c r="K213">
        <v>4</v>
      </c>
      <c r="T213">
        <v>3</v>
      </c>
      <c r="U213">
        <v>2</v>
      </c>
      <c r="V213" t="s">
        <v>93</v>
      </c>
      <c r="W213" t="s">
        <v>403</v>
      </c>
      <c r="X213">
        <v>6</v>
      </c>
      <c r="Y213">
        <v>5</v>
      </c>
      <c r="Z213" t="s">
        <v>399</v>
      </c>
      <c r="AA213" t="s">
        <v>400</v>
      </c>
      <c r="AB213" t="s">
        <v>96</v>
      </c>
      <c r="AC213" t="s">
        <v>97</v>
      </c>
      <c r="AD213" t="s">
        <v>98</v>
      </c>
      <c r="AE213" t="s">
        <v>395</v>
      </c>
      <c r="AG213" t="s">
        <v>401</v>
      </c>
      <c r="AH213">
        <v>0</v>
      </c>
      <c r="AI213">
        <v>263</v>
      </c>
      <c r="AJ213">
        <v>65</v>
      </c>
      <c r="AK213">
        <v>17</v>
      </c>
      <c r="AL213">
        <v>0.89</v>
      </c>
    </row>
    <row r="214" spans="1:38" x14ac:dyDescent="0.3">
      <c r="A214" t="s">
        <v>390</v>
      </c>
      <c r="B214">
        <v>110774</v>
      </c>
      <c r="C214">
        <v>5</v>
      </c>
      <c r="D214" t="s">
        <v>398</v>
      </c>
      <c r="E214" t="s">
        <v>193</v>
      </c>
      <c r="F214">
        <v>19</v>
      </c>
      <c r="G214">
        <v>29.47</v>
      </c>
      <c r="H214">
        <v>97.43</v>
      </c>
      <c r="I214">
        <v>25.03</v>
      </c>
      <c r="J214">
        <v>82.76</v>
      </c>
      <c r="K214">
        <v>1</v>
      </c>
      <c r="T214">
        <v>3</v>
      </c>
      <c r="U214">
        <v>2</v>
      </c>
      <c r="V214" t="s">
        <v>93</v>
      </c>
      <c r="W214" t="s">
        <v>404</v>
      </c>
      <c r="X214">
        <v>6</v>
      </c>
      <c r="Y214">
        <v>5</v>
      </c>
      <c r="Z214" t="s">
        <v>399</v>
      </c>
      <c r="AA214" t="s">
        <v>400</v>
      </c>
      <c r="AB214" t="s">
        <v>96</v>
      </c>
      <c r="AC214" t="s">
        <v>97</v>
      </c>
      <c r="AD214" t="s">
        <v>98</v>
      </c>
      <c r="AE214" t="s">
        <v>395</v>
      </c>
      <c r="AG214" t="s">
        <v>401</v>
      </c>
      <c r="AH214">
        <v>0</v>
      </c>
      <c r="AI214">
        <v>263</v>
      </c>
      <c r="AJ214">
        <v>65</v>
      </c>
      <c r="AK214">
        <v>17</v>
      </c>
      <c r="AL214">
        <v>0.89</v>
      </c>
    </row>
    <row r="215" spans="1:38" x14ac:dyDescent="0.3">
      <c r="A215" t="s">
        <v>390</v>
      </c>
      <c r="B215">
        <v>14531</v>
      </c>
      <c r="C215">
        <v>1</v>
      </c>
      <c r="D215" t="s">
        <v>405</v>
      </c>
      <c r="E215" t="s">
        <v>406</v>
      </c>
      <c r="F215">
        <v>143</v>
      </c>
      <c r="G215">
        <v>17.79</v>
      </c>
      <c r="H215">
        <v>58.81</v>
      </c>
      <c r="I215">
        <v>14.66</v>
      </c>
      <c r="J215">
        <v>48.48</v>
      </c>
      <c r="K215">
        <v>6</v>
      </c>
      <c r="T215">
        <v>3</v>
      </c>
      <c r="U215">
        <v>1</v>
      </c>
      <c r="V215" t="s">
        <v>118</v>
      </c>
      <c r="W215">
        <v>58</v>
      </c>
      <c r="X215">
        <v>15</v>
      </c>
      <c r="Y215">
        <v>8</v>
      </c>
      <c r="Z215" t="s">
        <v>407</v>
      </c>
      <c r="AA215" t="s">
        <v>408</v>
      </c>
      <c r="AB215" t="s">
        <v>96</v>
      </c>
      <c r="AC215" t="s">
        <v>97</v>
      </c>
      <c r="AD215" t="s">
        <v>98</v>
      </c>
      <c r="AE215" t="s">
        <v>395</v>
      </c>
      <c r="AG215" t="s">
        <v>409</v>
      </c>
      <c r="AH215">
        <v>0</v>
      </c>
      <c r="AI215">
        <v>609</v>
      </c>
      <c r="AJ215">
        <v>55</v>
      </c>
      <c r="AK215">
        <v>127</v>
      </c>
      <c r="AL215">
        <v>0.89</v>
      </c>
    </row>
    <row r="216" spans="1:38" x14ac:dyDescent="0.3">
      <c r="A216" t="s">
        <v>390</v>
      </c>
      <c r="B216">
        <v>14531</v>
      </c>
      <c r="C216">
        <v>2</v>
      </c>
      <c r="D216" t="s">
        <v>405</v>
      </c>
      <c r="E216" t="s">
        <v>406</v>
      </c>
      <c r="F216">
        <v>143</v>
      </c>
      <c r="G216">
        <v>28.91</v>
      </c>
      <c r="H216">
        <v>95.59</v>
      </c>
      <c r="I216">
        <v>24.35</v>
      </c>
      <c r="J216">
        <v>80.52</v>
      </c>
      <c r="K216">
        <v>12</v>
      </c>
      <c r="T216">
        <v>3</v>
      </c>
      <c r="U216">
        <v>2</v>
      </c>
      <c r="V216" t="s">
        <v>118</v>
      </c>
      <c r="W216">
        <v>95</v>
      </c>
      <c r="X216">
        <v>15</v>
      </c>
      <c r="Y216">
        <v>8</v>
      </c>
      <c r="Z216" t="s">
        <v>407</v>
      </c>
      <c r="AA216" t="s">
        <v>408</v>
      </c>
      <c r="AB216" t="s">
        <v>96</v>
      </c>
      <c r="AC216" t="s">
        <v>97</v>
      </c>
      <c r="AD216" t="s">
        <v>98</v>
      </c>
      <c r="AE216" t="s">
        <v>395</v>
      </c>
      <c r="AG216" t="s">
        <v>409</v>
      </c>
      <c r="AH216">
        <v>0</v>
      </c>
      <c r="AI216">
        <v>609</v>
      </c>
      <c r="AJ216">
        <v>55</v>
      </c>
      <c r="AK216">
        <v>127</v>
      </c>
      <c r="AL216">
        <v>0.89</v>
      </c>
    </row>
    <row r="217" spans="1:38" x14ac:dyDescent="0.3">
      <c r="A217" t="s">
        <v>390</v>
      </c>
      <c r="B217">
        <v>14531</v>
      </c>
      <c r="C217">
        <v>3</v>
      </c>
      <c r="D217" t="s">
        <v>405</v>
      </c>
      <c r="E217" t="s">
        <v>406</v>
      </c>
      <c r="F217">
        <v>143</v>
      </c>
      <c r="G217">
        <v>30.42</v>
      </c>
      <c r="H217">
        <v>100.58</v>
      </c>
      <c r="I217">
        <v>25.39</v>
      </c>
      <c r="J217">
        <v>83.94</v>
      </c>
      <c r="K217">
        <v>14</v>
      </c>
      <c r="T217">
        <v>3</v>
      </c>
      <c r="U217">
        <v>2</v>
      </c>
      <c r="V217" t="s">
        <v>118</v>
      </c>
      <c r="W217">
        <v>100</v>
      </c>
      <c r="X217">
        <v>15</v>
      </c>
      <c r="Y217">
        <v>8</v>
      </c>
      <c r="Z217" t="s">
        <v>407</v>
      </c>
      <c r="AA217" t="s">
        <v>408</v>
      </c>
      <c r="AB217" t="s">
        <v>96</v>
      </c>
      <c r="AC217" t="s">
        <v>97</v>
      </c>
      <c r="AD217" t="s">
        <v>98</v>
      </c>
      <c r="AE217" t="s">
        <v>395</v>
      </c>
      <c r="AG217" t="s">
        <v>409</v>
      </c>
      <c r="AH217">
        <v>0</v>
      </c>
      <c r="AI217">
        <v>609</v>
      </c>
      <c r="AJ217">
        <v>55</v>
      </c>
      <c r="AK217">
        <v>127</v>
      </c>
      <c r="AL217">
        <v>0.89</v>
      </c>
    </row>
    <row r="218" spans="1:38" x14ac:dyDescent="0.3">
      <c r="A218" t="s">
        <v>390</v>
      </c>
      <c r="B218">
        <v>14531</v>
      </c>
      <c r="C218">
        <v>4</v>
      </c>
      <c r="D218" t="s">
        <v>405</v>
      </c>
      <c r="E218" t="s">
        <v>406</v>
      </c>
      <c r="F218">
        <v>143</v>
      </c>
      <c r="G218">
        <v>30.67</v>
      </c>
      <c r="H218">
        <v>101.41</v>
      </c>
      <c r="I218">
        <v>25.67</v>
      </c>
      <c r="J218">
        <v>84.87</v>
      </c>
      <c r="K218">
        <v>83</v>
      </c>
      <c r="T218">
        <v>3</v>
      </c>
      <c r="U218">
        <v>2</v>
      </c>
      <c r="V218" t="s">
        <v>118</v>
      </c>
      <c r="W218" t="s">
        <v>336</v>
      </c>
      <c r="X218">
        <v>15</v>
      </c>
      <c r="Y218">
        <v>8</v>
      </c>
      <c r="Z218" t="s">
        <v>407</v>
      </c>
      <c r="AA218" t="s">
        <v>408</v>
      </c>
      <c r="AB218" t="s">
        <v>96</v>
      </c>
      <c r="AC218" t="s">
        <v>97</v>
      </c>
      <c r="AD218" t="s">
        <v>98</v>
      </c>
      <c r="AE218" t="s">
        <v>395</v>
      </c>
      <c r="AG218" t="s">
        <v>409</v>
      </c>
      <c r="AH218">
        <v>0</v>
      </c>
      <c r="AI218">
        <v>609</v>
      </c>
      <c r="AJ218">
        <v>55</v>
      </c>
      <c r="AK218">
        <v>127</v>
      </c>
      <c r="AL218">
        <v>0.89</v>
      </c>
    </row>
    <row r="219" spans="1:38" x14ac:dyDescent="0.3">
      <c r="A219" t="s">
        <v>390</v>
      </c>
      <c r="B219">
        <v>14531</v>
      </c>
      <c r="C219">
        <v>5</v>
      </c>
      <c r="D219" t="s">
        <v>405</v>
      </c>
      <c r="E219" t="s">
        <v>406</v>
      </c>
      <c r="F219">
        <v>143</v>
      </c>
      <c r="G219">
        <v>30.69</v>
      </c>
      <c r="H219">
        <v>101.46</v>
      </c>
      <c r="I219">
        <v>25.68</v>
      </c>
      <c r="J219">
        <v>84.91</v>
      </c>
      <c r="K219">
        <v>14</v>
      </c>
      <c r="T219">
        <v>3</v>
      </c>
      <c r="U219">
        <v>2</v>
      </c>
      <c r="V219" t="s">
        <v>118</v>
      </c>
      <c r="W219" t="s">
        <v>111</v>
      </c>
      <c r="X219">
        <v>15</v>
      </c>
      <c r="Y219">
        <v>8</v>
      </c>
      <c r="Z219" t="s">
        <v>407</v>
      </c>
      <c r="AA219" t="s">
        <v>408</v>
      </c>
      <c r="AB219" t="s">
        <v>96</v>
      </c>
      <c r="AC219" t="s">
        <v>97</v>
      </c>
      <c r="AD219" t="s">
        <v>98</v>
      </c>
      <c r="AE219" t="s">
        <v>395</v>
      </c>
      <c r="AG219" t="s">
        <v>409</v>
      </c>
      <c r="AH219">
        <v>0</v>
      </c>
      <c r="AI219">
        <v>609</v>
      </c>
      <c r="AJ219">
        <v>55</v>
      </c>
      <c r="AK219">
        <v>127</v>
      </c>
      <c r="AL219">
        <v>0.89</v>
      </c>
    </row>
    <row r="220" spans="1:38" x14ac:dyDescent="0.3">
      <c r="A220" t="s">
        <v>390</v>
      </c>
      <c r="B220">
        <v>14531</v>
      </c>
      <c r="C220">
        <v>6</v>
      </c>
      <c r="D220" t="s">
        <v>405</v>
      </c>
      <c r="E220" t="s">
        <v>406</v>
      </c>
      <c r="F220">
        <v>143</v>
      </c>
      <c r="G220">
        <v>30.99</v>
      </c>
      <c r="H220">
        <v>102.46</v>
      </c>
      <c r="I220">
        <v>25.66</v>
      </c>
      <c r="J220">
        <v>84.83</v>
      </c>
      <c r="K220">
        <v>14</v>
      </c>
      <c r="T220">
        <v>3</v>
      </c>
      <c r="U220">
        <v>2</v>
      </c>
      <c r="V220" t="s">
        <v>118</v>
      </c>
      <c r="W220" t="s">
        <v>410</v>
      </c>
      <c r="X220">
        <v>15</v>
      </c>
      <c r="Y220">
        <v>8</v>
      </c>
      <c r="Z220" t="s">
        <v>407</v>
      </c>
      <c r="AA220" t="s">
        <v>408</v>
      </c>
      <c r="AB220" t="s">
        <v>96</v>
      </c>
      <c r="AC220" t="s">
        <v>97</v>
      </c>
      <c r="AD220" t="s">
        <v>98</v>
      </c>
      <c r="AE220" t="s">
        <v>395</v>
      </c>
      <c r="AG220" t="s">
        <v>409</v>
      </c>
      <c r="AH220">
        <v>0</v>
      </c>
      <c r="AI220">
        <v>609</v>
      </c>
      <c r="AJ220">
        <v>55</v>
      </c>
      <c r="AK220">
        <v>127</v>
      </c>
      <c r="AL220">
        <v>0.89</v>
      </c>
    </row>
    <row r="221" spans="1:38" x14ac:dyDescent="0.3">
      <c r="A221" t="s">
        <v>390</v>
      </c>
      <c r="B221">
        <v>124850</v>
      </c>
      <c r="C221">
        <v>1</v>
      </c>
      <c r="D221" t="s">
        <v>411</v>
      </c>
      <c r="E221" t="s">
        <v>182</v>
      </c>
      <c r="F221">
        <v>10</v>
      </c>
      <c r="G221">
        <v>5.28</v>
      </c>
      <c r="H221">
        <v>17.48</v>
      </c>
      <c r="I221">
        <v>4.1500000000000004</v>
      </c>
      <c r="J221">
        <v>13.73</v>
      </c>
      <c r="K221">
        <v>1</v>
      </c>
      <c r="T221">
        <v>1</v>
      </c>
      <c r="U221">
        <v>1</v>
      </c>
      <c r="V221" t="s">
        <v>93</v>
      </c>
      <c r="W221">
        <v>17</v>
      </c>
      <c r="X221">
        <v>5</v>
      </c>
      <c r="Y221">
        <v>4</v>
      </c>
      <c r="Z221" t="s">
        <v>412</v>
      </c>
      <c r="AA221" t="s">
        <v>413</v>
      </c>
      <c r="AB221" t="s">
        <v>96</v>
      </c>
      <c r="AC221" t="s">
        <v>97</v>
      </c>
      <c r="AD221" t="s">
        <v>98</v>
      </c>
      <c r="AE221" t="s">
        <v>395</v>
      </c>
      <c r="AG221" t="s">
        <v>414</v>
      </c>
      <c r="AH221">
        <v>0</v>
      </c>
      <c r="AI221">
        <v>199</v>
      </c>
      <c r="AJ221">
        <v>56</v>
      </c>
      <c r="AK221">
        <v>7</v>
      </c>
      <c r="AL221">
        <v>0.7</v>
      </c>
    </row>
    <row r="222" spans="1:38" x14ac:dyDescent="0.3">
      <c r="A222" t="s">
        <v>390</v>
      </c>
      <c r="B222">
        <v>124850</v>
      </c>
      <c r="C222">
        <v>2</v>
      </c>
      <c r="D222" t="s">
        <v>411</v>
      </c>
      <c r="E222" t="s">
        <v>182</v>
      </c>
      <c r="F222">
        <v>10</v>
      </c>
      <c r="G222">
        <v>11.66</v>
      </c>
      <c r="H222">
        <v>38.549999999999997</v>
      </c>
      <c r="I222">
        <v>9.15</v>
      </c>
      <c r="J222">
        <v>30.28</v>
      </c>
      <c r="K222">
        <v>2</v>
      </c>
      <c r="T222">
        <v>1</v>
      </c>
      <c r="U222">
        <v>1</v>
      </c>
      <c r="V222" t="s">
        <v>93</v>
      </c>
      <c r="W222" t="s">
        <v>415</v>
      </c>
      <c r="X222">
        <v>5</v>
      </c>
      <c r="Y222">
        <v>4</v>
      </c>
      <c r="Z222" t="s">
        <v>412</v>
      </c>
      <c r="AA222" t="s">
        <v>413</v>
      </c>
      <c r="AB222" t="s">
        <v>96</v>
      </c>
      <c r="AC222" t="s">
        <v>97</v>
      </c>
      <c r="AD222" t="s">
        <v>98</v>
      </c>
      <c r="AE222" t="s">
        <v>395</v>
      </c>
      <c r="AG222" t="s">
        <v>414</v>
      </c>
      <c r="AH222">
        <v>0</v>
      </c>
      <c r="AI222">
        <v>199</v>
      </c>
      <c r="AJ222">
        <v>56</v>
      </c>
      <c r="AK222">
        <v>7</v>
      </c>
      <c r="AL222">
        <v>0.7</v>
      </c>
    </row>
    <row r="223" spans="1:38" x14ac:dyDescent="0.3">
      <c r="A223" t="s">
        <v>390</v>
      </c>
      <c r="B223">
        <v>124850</v>
      </c>
      <c r="C223">
        <v>3</v>
      </c>
      <c r="D223" t="s">
        <v>411</v>
      </c>
      <c r="E223" t="s">
        <v>182</v>
      </c>
      <c r="F223">
        <v>10</v>
      </c>
      <c r="G223">
        <v>11.67</v>
      </c>
      <c r="H223">
        <v>38.6</v>
      </c>
      <c r="I223">
        <v>9.17</v>
      </c>
      <c r="J223">
        <v>30.32</v>
      </c>
      <c r="K223">
        <v>2</v>
      </c>
      <c r="T223">
        <v>2</v>
      </c>
      <c r="U223">
        <v>1</v>
      </c>
      <c r="V223" t="s">
        <v>93</v>
      </c>
      <c r="W223" t="s">
        <v>416</v>
      </c>
      <c r="X223">
        <v>5</v>
      </c>
      <c r="Y223">
        <v>4</v>
      </c>
      <c r="Z223" t="s">
        <v>412</v>
      </c>
      <c r="AA223" t="s">
        <v>413</v>
      </c>
      <c r="AB223" t="s">
        <v>96</v>
      </c>
      <c r="AC223" t="s">
        <v>97</v>
      </c>
      <c r="AD223" t="s">
        <v>98</v>
      </c>
      <c r="AE223" t="s">
        <v>395</v>
      </c>
      <c r="AG223" t="s">
        <v>414</v>
      </c>
      <c r="AH223">
        <v>0</v>
      </c>
      <c r="AI223">
        <v>199</v>
      </c>
      <c r="AJ223">
        <v>56</v>
      </c>
      <c r="AK223">
        <v>7</v>
      </c>
      <c r="AL223">
        <v>0.7</v>
      </c>
    </row>
    <row r="224" spans="1:38" x14ac:dyDescent="0.3">
      <c r="A224" t="s">
        <v>390</v>
      </c>
      <c r="B224">
        <v>124850</v>
      </c>
      <c r="C224">
        <v>4</v>
      </c>
      <c r="D224" t="s">
        <v>411</v>
      </c>
      <c r="E224" t="s">
        <v>182</v>
      </c>
      <c r="F224">
        <v>10</v>
      </c>
      <c r="G224">
        <v>11.58</v>
      </c>
      <c r="H224">
        <v>38.31</v>
      </c>
      <c r="I224">
        <v>9.1</v>
      </c>
      <c r="J224">
        <v>30.09</v>
      </c>
      <c r="K224">
        <v>1</v>
      </c>
      <c r="T224">
        <v>1</v>
      </c>
      <c r="U224">
        <v>1</v>
      </c>
      <c r="V224" t="s">
        <v>93</v>
      </c>
      <c r="W224" t="s">
        <v>417</v>
      </c>
      <c r="X224">
        <v>5</v>
      </c>
      <c r="Y224">
        <v>4</v>
      </c>
      <c r="Z224" t="s">
        <v>412</v>
      </c>
      <c r="AA224" t="s">
        <v>413</v>
      </c>
      <c r="AB224" t="s">
        <v>96</v>
      </c>
      <c r="AC224" t="s">
        <v>97</v>
      </c>
      <c r="AD224" t="s">
        <v>98</v>
      </c>
      <c r="AE224" t="s">
        <v>395</v>
      </c>
      <c r="AG224" t="s">
        <v>414</v>
      </c>
      <c r="AH224">
        <v>0</v>
      </c>
      <c r="AI224">
        <v>199</v>
      </c>
      <c r="AJ224">
        <v>56</v>
      </c>
      <c r="AK224">
        <v>7</v>
      </c>
      <c r="AL224">
        <v>0.7</v>
      </c>
    </row>
    <row r="225" spans="1:38" x14ac:dyDescent="0.3">
      <c r="A225" t="s">
        <v>390</v>
      </c>
      <c r="B225">
        <v>124850</v>
      </c>
      <c r="C225">
        <v>5</v>
      </c>
      <c r="D225" t="s">
        <v>411</v>
      </c>
      <c r="E225" t="s">
        <v>182</v>
      </c>
      <c r="F225">
        <v>10</v>
      </c>
      <c r="G225">
        <v>16.93</v>
      </c>
      <c r="H225">
        <v>55.99</v>
      </c>
      <c r="I225">
        <v>13.3</v>
      </c>
      <c r="J225">
        <v>43.98</v>
      </c>
      <c r="K225">
        <v>1</v>
      </c>
      <c r="T225">
        <v>2</v>
      </c>
      <c r="U225">
        <v>1</v>
      </c>
      <c r="V225" t="s">
        <v>93</v>
      </c>
      <c r="W225">
        <v>55</v>
      </c>
      <c r="X225">
        <v>5</v>
      </c>
      <c r="Y225">
        <v>4</v>
      </c>
      <c r="Z225" t="s">
        <v>412</v>
      </c>
      <c r="AA225" t="s">
        <v>413</v>
      </c>
      <c r="AB225" t="s">
        <v>96</v>
      </c>
      <c r="AC225" t="s">
        <v>97</v>
      </c>
      <c r="AD225" t="s">
        <v>98</v>
      </c>
      <c r="AE225" t="s">
        <v>395</v>
      </c>
      <c r="AG225" t="s">
        <v>414</v>
      </c>
      <c r="AH225">
        <v>0</v>
      </c>
      <c r="AI225">
        <v>199</v>
      </c>
      <c r="AJ225">
        <v>56</v>
      </c>
      <c r="AK225">
        <v>7</v>
      </c>
      <c r="AL225">
        <v>0.7</v>
      </c>
    </row>
    <row r="226" spans="1:38" x14ac:dyDescent="0.3">
      <c r="A226" t="s">
        <v>390</v>
      </c>
      <c r="B226">
        <v>124850</v>
      </c>
      <c r="C226">
        <v>6</v>
      </c>
      <c r="D226" t="s">
        <v>411</v>
      </c>
      <c r="E226" t="s">
        <v>182</v>
      </c>
      <c r="F226">
        <v>10</v>
      </c>
      <c r="G226">
        <v>18.329999999999998</v>
      </c>
      <c r="H226">
        <v>60.6</v>
      </c>
      <c r="I226">
        <v>9.16</v>
      </c>
      <c r="J226">
        <v>30.3</v>
      </c>
      <c r="K226">
        <v>3</v>
      </c>
      <c r="T226">
        <v>2</v>
      </c>
      <c r="U226">
        <v>1</v>
      </c>
      <c r="V226" t="s">
        <v>93</v>
      </c>
      <c r="W226">
        <v>60</v>
      </c>
      <c r="X226">
        <v>5</v>
      </c>
      <c r="Y226">
        <v>4</v>
      </c>
      <c r="Z226" t="s">
        <v>412</v>
      </c>
      <c r="AA226" t="s">
        <v>413</v>
      </c>
      <c r="AB226" t="s">
        <v>96</v>
      </c>
      <c r="AC226" t="s">
        <v>97</v>
      </c>
      <c r="AD226" t="s">
        <v>98</v>
      </c>
      <c r="AE226" t="s">
        <v>395</v>
      </c>
      <c r="AG226" t="s">
        <v>414</v>
      </c>
      <c r="AH226">
        <v>0</v>
      </c>
      <c r="AI226">
        <v>199</v>
      </c>
      <c r="AJ226">
        <v>56</v>
      </c>
      <c r="AK226">
        <v>7</v>
      </c>
      <c r="AL226">
        <v>0.7</v>
      </c>
    </row>
    <row r="227" spans="1:38" x14ac:dyDescent="0.3">
      <c r="A227" t="s">
        <v>390</v>
      </c>
      <c r="B227">
        <v>101560</v>
      </c>
      <c r="C227">
        <v>1</v>
      </c>
      <c r="D227" t="s">
        <v>418</v>
      </c>
      <c r="E227" t="s">
        <v>419</v>
      </c>
      <c r="F227">
        <v>25</v>
      </c>
      <c r="G227">
        <v>25.6</v>
      </c>
      <c r="H227">
        <v>84.64</v>
      </c>
      <c r="I227">
        <v>20.39</v>
      </c>
      <c r="J227">
        <v>67.42</v>
      </c>
      <c r="K227">
        <v>1</v>
      </c>
      <c r="T227">
        <v>3</v>
      </c>
      <c r="U227">
        <v>2</v>
      </c>
      <c r="V227" t="s">
        <v>93</v>
      </c>
      <c r="W227">
        <v>84</v>
      </c>
      <c r="X227">
        <v>10</v>
      </c>
      <c r="Y227">
        <v>10</v>
      </c>
      <c r="Z227" t="s">
        <v>420</v>
      </c>
      <c r="AA227" t="s">
        <v>421</v>
      </c>
      <c r="AB227" t="s">
        <v>96</v>
      </c>
      <c r="AC227" t="s">
        <v>97</v>
      </c>
      <c r="AD227" t="s">
        <v>98</v>
      </c>
      <c r="AE227" t="s">
        <v>395</v>
      </c>
      <c r="AG227" t="s">
        <v>422</v>
      </c>
      <c r="AH227">
        <v>0</v>
      </c>
      <c r="AI227">
        <v>325</v>
      </c>
      <c r="AJ227">
        <v>42</v>
      </c>
      <c r="AK227">
        <v>28</v>
      </c>
      <c r="AL227">
        <v>1.1200000000000001</v>
      </c>
    </row>
    <row r="228" spans="1:38" x14ac:dyDescent="0.3">
      <c r="A228" t="s">
        <v>390</v>
      </c>
      <c r="B228">
        <v>101560</v>
      </c>
      <c r="C228">
        <v>2</v>
      </c>
      <c r="D228" t="s">
        <v>418</v>
      </c>
      <c r="E228" t="s">
        <v>419</v>
      </c>
      <c r="F228">
        <v>25</v>
      </c>
      <c r="G228">
        <v>31.45</v>
      </c>
      <c r="H228">
        <v>103.99</v>
      </c>
      <c r="I228">
        <v>25.49</v>
      </c>
      <c r="J228">
        <v>84.29</v>
      </c>
      <c r="K228">
        <v>6</v>
      </c>
      <c r="T228">
        <v>3</v>
      </c>
      <c r="U228">
        <v>2</v>
      </c>
      <c r="V228" t="s">
        <v>93</v>
      </c>
      <c r="W228" t="s">
        <v>423</v>
      </c>
      <c r="X228">
        <v>10</v>
      </c>
      <c r="Y228">
        <v>10</v>
      </c>
      <c r="Z228" t="s">
        <v>420</v>
      </c>
      <c r="AA228" t="s">
        <v>421</v>
      </c>
      <c r="AB228" t="s">
        <v>96</v>
      </c>
      <c r="AC228" t="s">
        <v>97</v>
      </c>
      <c r="AD228" t="s">
        <v>98</v>
      </c>
      <c r="AE228" t="s">
        <v>395</v>
      </c>
      <c r="AG228" t="s">
        <v>422</v>
      </c>
      <c r="AH228">
        <v>0</v>
      </c>
      <c r="AI228">
        <v>325</v>
      </c>
      <c r="AJ228">
        <v>42</v>
      </c>
      <c r="AK228">
        <v>28</v>
      </c>
      <c r="AL228">
        <v>1.1200000000000001</v>
      </c>
    </row>
    <row r="229" spans="1:38" x14ac:dyDescent="0.3">
      <c r="A229" t="s">
        <v>390</v>
      </c>
      <c r="B229">
        <v>101560</v>
      </c>
      <c r="C229">
        <v>3</v>
      </c>
      <c r="D229" t="s">
        <v>418</v>
      </c>
      <c r="E229" t="s">
        <v>419</v>
      </c>
      <c r="F229">
        <v>25</v>
      </c>
      <c r="G229">
        <v>31.45</v>
      </c>
      <c r="H229">
        <v>103.97</v>
      </c>
      <c r="I229">
        <v>25.45</v>
      </c>
      <c r="J229">
        <v>84.15</v>
      </c>
      <c r="K229">
        <v>1</v>
      </c>
      <c r="T229">
        <v>3</v>
      </c>
      <c r="U229">
        <v>2</v>
      </c>
      <c r="V229" t="s">
        <v>93</v>
      </c>
      <c r="W229" t="s">
        <v>424</v>
      </c>
      <c r="X229">
        <v>10</v>
      </c>
      <c r="Y229">
        <v>10</v>
      </c>
      <c r="Z229" t="s">
        <v>420</v>
      </c>
      <c r="AA229" t="s">
        <v>421</v>
      </c>
      <c r="AB229" t="s">
        <v>96</v>
      </c>
      <c r="AC229" t="s">
        <v>97</v>
      </c>
      <c r="AD229" t="s">
        <v>98</v>
      </c>
      <c r="AE229" t="s">
        <v>395</v>
      </c>
      <c r="AG229" t="s">
        <v>422</v>
      </c>
      <c r="AH229">
        <v>0</v>
      </c>
      <c r="AI229">
        <v>325</v>
      </c>
      <c r="AJ229">
        <v>42</v>
      </c>
      <c r="AK229">
        <v>28</v>
      </c>
      <c r="AL229">
        <v>1.1200000000000001</v>
      </c>
    </row>
    <row r="230" spans="1:38" x14ac:dyDescent="0.3">
      <c r="A230" t="s">
        <v>390</v>
      </c>
      <c r="B230">
        <v>101560</v>
      </c>
      <c r="C230">
        <v>4</v>
      </c>
      <c r="D230" t="s">
        <v>418</v>
      </c>
      <c r="E230" t="s">
        <v>419</v>
      </c>
      <c r="F230">
        <v>25</v>
      </c>
      <c r="G230">
        <v>31.72</v>
      </c>
      <c r="H230">
        <v>104.88</v>
      </c>
      <c r="I230">
        <v>25.45</v>
      </c>
      <c r="J230">
        <v>84.14</v>
      </c>
      <c r="K230">
        <v>8</v>
      </c>
      <c r="T230">
        <v>3</v>
      </c>
      <c r="U230">
        <v>2</v>
      </c>
      <c r="V230" t="s">
        <v>93</v>
      </c>
      <c r="W230" t="s">
        <v>198</v>
      </c>
      <c r="X230">
        <v>10</v>
      </c>
      <c r="Y230">
        <v>10</v>
      </c>
      <c r="Z230" t="s">
        <v>420</v>
      </c>
      <c r="AA230" t="s">
        <v>421</v>
      </c>
      <c r="AB230" t="s">
        <v>96</v>
      </c>
      <c r="AC230" t="s">
        <v>97</v>
      </c>
      <c r="AD230" t="s">
        <v>98</v>
      </c>
      <c r="AE230" t="s">
        <v>395</v>
      </c>
      <c r="AG230" t="s">
        <v>422</v>
      </c>
      <c r="AH230">
        <v>0</v>
      </c>
      <c r="AI230">
        <v>325</v>
      </c>
      <c r="AJ230">
        <v>42</v>
      </c>
      <c r="AK230">
        <v>28</v>
      </c>
      <c r="AL230">
        <v>1.1200000000000001</v>
      </c>
    </row>
    <row r="231" spans="1:38" x14ac:dyDescent="0.3">
      <c r="A231" t="s">
        <v>390</v>
      </c>
      <c r="B231">
        <v>101560</v>
      </c>
      <c r="C231">
        <v>5</v>
      </c>
      <c r="D231" t="s">
        <v>418</v>
      </c>
      <c r="E231" t="s">
        <v>419</v>
      </c>
      <c r="F231">
        <v>25</v>
      </c>
      <c r="G231">
        <v>31.68</v>
      </c>
      <c r="H231">
        <v>104.75</v>
      </c>
      <c r="I231">
        <v>25.61</v>
      </c>
      <c r="J231">
        <v>84.68</v>
      </c>
      <c r="K231">
        <v>8</v>
      </c>
      <c r="T231">
        <v>3</v>
      </c>
      <c r="U231">
        <v>2</v>
      </c>
      <c r="V231" t="s">
        <v>93</v>
      </c>
      <c r="W231" t="s">
        <v>374</v>
      </c>
      <c r="X231">
        <v>10</v>
      </c>
      <c r="Y231">
        <v>10</v>
      </c>
      <c r="Z231" t="s">
        <v>420</v>
      </c>
      <c r="AA231" t="s">
        <v>421</v>
      </c>
      <c r="AB231" t="s">
        <v>96</v>
      </c>
      <c r="AC231" t="s">
        <v>97</v>
      </c>
      <c r="AD231" t="s">
        <v>98</v>
      </c>
      <c r="AE231" t="s">
        <v>395</v>
      </c>
      <c r="AG231" t="s">
        <v>422</v>
      </c>
      <c r="AH231">
        <v>0</v>
      </c>
      <c r="AI231">
        <v>325</v>
      </c>
      <c r="AJ231">
        <v>42</v>
      </c>
      <c r="AK231">
        <v>28</v>
      </c>
      <c r="AL231">
        <v>1.1200000000000001</v>
      </c>
    </row>
    <row r="232" spans="1:38" x14ac:dyDescent="0.3">
      <c r="A232" t="s">
        <v>390</v>
      </c>
      <c r="B232">
        <v>101560</v>
      </c>
      <c r="C232">
        <v>6</v>
      </c>
      <c r="D232" t="s">
        <v>418</v>
      </c>
      <c r="E232" t="s">
        <v>419</v>
      </c>
      <c r="F232">
        <v>25</v>
      </c>
      <c r="G232">
        <v>32.07</v>
      </c>
      <c r="H232">
        <v>106.04</v>
      </c>
      <c r="I232">
        <v>25.42</v>
      </c>
      <c r="J232">
        <v>84.04</v>
      </c>
      <c r="K232">
        <v>1</v>
      </c>
      <c r="T232">
        <v>3</v>
      </c>
      <c r="U232">
        <v>2</v>
      </c>
      <c r="V232" t="s">
        <v>93</v>
      </c>
      <c r="W232">
        <v>106</v>
      </c>
      <c r="X232">
        <v>10</v>
      </c>
      <c r="Y232">
        <v>10</v>
      </c>
      <c r="Z232" t="s">
        <v>420</v>
      </c>
      <c r="AA232" t="s">
        <v>421</v>
      </c>
      <c r="AB232" t="s">
        <v>96</v>
      </c>
      <c r="AC232" t="s">
        <v>97</v>
      </c>
      <c r="AD232" t="s">
        <v>98</v>
      </c>
      <c r="AE232" t="s">
        <v>395</v>
      </c>
      <c r="AG232" t="s">
        <v>422</v>
      </c>
      <c r="AH232">
        <v>0</v>
      </c>
      <c r="AI232">
        <v>325</v>
      </c>
      <c r="AJ232">
        <v>42</v>
      </c>
      <c r="AK232">
        <v>28</v>
      </c>
      <c r="AL232">
        <v>1.1200000000000001</v>
      </c>
    </row>
    <row r="233" spans="1:38" x14ac:dyDescent="0.3">
      <c r="A233" t="s">
        <v>425</v>
      </c>
      <c r="B233">
        <v>10171</v>
      </c>
      <c r="C233">
        <v>1</v>
      </c>
      <c r="D233" t="s">
        <v>426</v>
      </c>
      <c r="E233" t="s">
        <v>427</v>
      </c>
      <c r="F233">
        <v>272</v>
      </c>
      <c r="G233">
        <v>35.130000000000003</v>
      </c>
      <c r="H233">
        <v>116.14</v>
      </c>
      <c r="I233">
        <v>25.6</v>
      </c>
      <c r="J233">
        <v>84.65</v>
      </c>
      <c r="K233">
        <v>180</v>
      </c>
      <c r="T233">
        <v>3</v>
      </c>
      <c r="U233">
        <v>2</v>
      </c>
      <c r="V233" t="s">
        <v>93</v>
      </c>
      <c r="W233">
        <v>116</v>
      </c>
      <c r="X233">
        <v>25</v>
      </c>
      <c r="Y233">
        <v>18</v>
      </c>
      <c r="Z233" t="s">
        <v>428</v>
      </c>
      <c r="AA233" t="s">
        <v>429</v>
      </c>
      <c r="AB233" t="s">
        <v>96</v>
      </c>
      <c r="AC233" t="s">
        <v>97</v>
      </c>
      <c r="AD233" t="s">
        <v>98</v>
      </c>
      <c r="AE233" t="s">
        <v>430</v>
      </c>
      <c r="AG233" t="s">
        <v>431</v>
      </c>
      <c r="AH233">
        <v>0</v>
      </c>
      <c r="AI233">
        <v>293</v>
      </c>
      <c r="AJ233">
        <v>16</v>
      </c>
      <c r="AK233">
        <v>338</v>
      </c>
      <c r="AL233">
        <v>1.24</v>
      </c>
    </row>
    <row r="234" spans="1:38" x14ac:dyDescent="0.3">
      <c r="A234" t="s">
        <v>425</v>
      </c>
      <c r="B234">
        <v>10171</v>
      </c>
      <c r="C234">
        <v>2</v>
      </c>
      <c r="D234" t="s">
        <v>426</v>
      </c>
      <c r="E234" t="s">
        <v>427</v>
      </c>
      <c r="F234">
        <v>272</v>
      </c>
      <c r="G234">
        <v>46.22</v>
      </c>
      <c r="H234">
        <v>152.80000000000001</v>
      </c>
      <c r="I234">
        <v>35.86</v>
      </c>
      <c r="J234">
        <v>118.55</v>
      </c>
      <c r="K234">
        <v>92</v>
      </c>
      <c r="T234">
        <v>4</v>
      </c>
      <c r="U234">
        <v>2</v>
      </c>
      <c r="V234" t="s">
        <v>93</v>
      </c>
      <c r="W234">
        <v>152</v>
      </c>
      <c r="X234">
        <v>25</v>
      </c>
      <c r="Y234">
        <v>18</v>
      </c>
      <c r="Z234" t="s">
        <v>428</v>
      </c>
      <c r="AA234" t="s">
        <v>429</v>
      </c>
      <c r="AB234" t="s">
        <v>96</v>
      </c>
      <c r="AC234" t="s">
        <v>97</v>
      </c>
      <c r="AD234" t="s">
        <v>98</v>
      </c>
      <c r="AE234" t="s">
        <v>430</v>
      </c>
      <c r="AG234" t="s">
        <v>431</v>
      </c>
      <c r="AH234">
        <v>0</v>
      </c>
      <c r="AI234">
        <v>293</v>
      </c>
      <c r="AJ234">
        <v>16</v>
      </c>
      <c r="AK234">
        <v>338</v>
      </c>
      <c r="AL234">
        <v>1.24</v>
      </c>
    </row>
    <row r="235" spans="1:38" x14ac:dyDescent="0.3">
      <c r="A235" t="s">
        <v>425</v>
      </c>
      <c r="B235">
        <v>111938</v>
      </c>
      <c r="C235">
        <v>1</v>
      </c>
      <c r="D235" t="s">
        <v>432</v>
      </c>
      <c r="E235" t="s">
        <v>258</v>
      </c>
      <c r="F235">
        <v>16</v>
      </c>
      <c r="G235">
        <v>12.21</v>
      </c>
      <c r="H235">
        <v>40.380000000000003</v>
      </c>
      <c r="I235">
        <v>10.25</v>
      </c>
      <c r="J235">
        <v>33.89</v>
      </c>
      <c r="K235">
        <v>8</v>
      </c>
      <c r="T235">
        <v>3</v>
      </c>
      <c r="U235">
        <v>1</v>
      </c>
      <c r="V235" t="s">
        <v>93</v>
      </c>
      <c r="W235">
        <v>40</v>
      </c>
      <c r="X235">
        <v>5</v>
      </c>
      <c r="Y235">
        <v>5</v>
      </c>
      <c r="Z235" t="s">
        <v>433</v>
      </c>
      <c r="AA235" t="s">
        <v>434</v>
      </c>
      <c r="AB235" t="s">
        <v>96</v>
      </c>
      <c r="AC235" t="s">
        <v>97</v>
      </c>
      <c r="AD235" t="s">
        <v>98</v>
      </c>
      <c r="AE235" t="s">
        <v>430</v>
      </c>
      <c r="AG235" t="s">
        <v>435</v>
      </c>
      <c r="AH235">
        <v>0</v>
      </c>
      <c r="AI235">
        <v>145</v>
      </c>
      <c r="AJ235">
        <v>49</v>
      </c>
      <c r="AK235">
        <v>15</v>
      </c>
      <c r="AL235">
        <v>0.94</v>
      </c>
    </row>
    <row r="236" spans="1:38" x14ac:dyDescent="0.3">
      <c r="A236" t="s">
        <v>425</v>
      </c>
      <c r="B236">
        <v>111938</v>
      </c>
      <c r="C236">
        <v>2</v>
      </c>
      <c r="D236" t="s">
        <v>432</v>
      </c>
      <c r="E236" t="s">
        <v>258</v>
      </c>
      <c r="F236">
        <v>16</v>
      </c>
      <c r="G236">
        <v>12.73</v>
      </c>
      <c r="H236">
        <v>42.09</v>
      </c>
      <c r="I236">
        <v>10.68</v>
      </c>
      <c r="J236">
        <v>35.32</v>
      </c>
      <c r="K236">
        <v>8</v>
      </c>
      <c r="T236">
        <v>1</v>
      </c>
      <c r="U236">
        <v>1</v>
      </c>
      <c r="V236" t="s">
        <v>93</v>
      </c>
      <c r="W236">
        <v>42</v>
      </c>
      <c r="X236">
        <v>5</v>
      </c>
      <c r="Y236">
        <v>5</v>
      </c>
      <c r="Z236" t="s">
        <v>433</v>
      </c>
      <c r="AA236" t="s">
        <v>434</v>
      </c>
      <c r="AB236" t="s">
        <v>96</v>
      </c>
      <c r="AC236" t="s">
        <v>97</v>
      </c>
      <c r="AD236" t="s">
        <v>98</v>
      </c>
      <c r="AE236" t="s">
        <v>430</v>
      </c>
      <c r="AG236" t="s">
        <v>435</v>
      </c>
      <c r="AH236">
        <v>0</v>
      </c>
      <c r="AI236">
        <v>145</v>
      </c>
      <c r="AJ236">
        <v>49</v>
      </c>
      <c r="AK236">
        <v>15</v>
      </c>
      <c r="AL236">
        <v>0.94</v>
      </c>
    </row>
    <row r="237" spans="1:38" x14ac:dyDescent="0.3">
      <c r="A237" t="s">
        <v>425</v>
      </c>
      <c r="B237">
        <v>1816</v>
      </c>
      <c r="C237">
        <v>1</v>
      </c>
      <c r="D237" t="s">
        <v>436</v>
      </c>
      <c r="E237" t="s">
        <v>437</v>
      </c>
      <c r="F237">
        <v>372</v>
      </c>
      <c r="G237">
        <v>17.739999999999998</v>
      </c>
      <c r="H237">
        <v>58.67</v>
      </c>
      <c r="I237">
        <v>12.77</v>
      </c>
      <c r="J237">
        <v>42.24</v>
      </c>
      <c r="K237">
        <v>90</v>
      </c>
      <c r="T237">
        <v>2</v>
      </c>
      <c r="U237">
        <v>1</v>
      </c>
      <c r="V237" t="s">
        <v>118</v>
      </c>
      <c r="W237">
        <v>58</v>
      </c>
      <c r="X237">
        <v>18</v>
      </c>
      <c r="Y237">
        <v>17</v>
      </c>
      <c r="Z237" t="s">
        <v>438</v>
      </c>
      <c r="AA237" t="s">
        <v>439</v>
      </c>
      <c r="AB237" t="s">
        <v>96</v>
      </c>
      <c r="AC237" t="s">
        <v>97</v>
      </c>
      <c r="AD237" t="s">
        <v>98</v>
      </c>
      <c r="AE237" t="s">
        <v>430</v>
      </c>
      <c r="AG237" t="s">
        <v>440</v>
      </c>
      <c r="AH237">
        <v>0</v>
      </c>
      <c r="AI237">
        <v>236</v>
      </c>
      <c r="AJ237">
        <v>29</v>
      </c>
      <c r="AK237">
        <v>315</v>
      </c>
      <c r="AL237">
        <v>0.85</v>
      </c>
    </row>
    <row r="238" spans="1:38" x14ac:dyDescent="0.3">
      <c r="A238" t="s">
        <v>425</v>
      </c>
      <c r="B238">
        <v>1816</v>
      </c>
      <c r="C238">
        <v>2</v>
      </c>
      <c r="D238" t="s">
        <v>436</v>
      </c>
      <c r="E238" t="s">
        <v>437</v>
      </c>
      <c r="F238">
        <v>372</v>
      </c>
      <c r="G238">
        <v>24.93</v>
      </c>
      <c r="H238">
        <v>82.42</v>
      </c>
      <c r="I238">
        <v>17.940000000000001</v>
      </c>
      <c r="J238">
        <v>59.33</v>
      </c>
      <c r="K238">
        <v>144</v>
      </c>
      <c r="T238">
        <v>2</v>
      </c>
      <c r="U238">
        <v>1</v>
      </c>
      <c r="V238" t="s">
        <v>118</v>
      </c>
      <c r="W238">
        <v>82</v>
      </c>
      <c r="X238">
        <v>18</v>
      </c>
      <c r="Y238">
        <v>17</v>
      </c>
      <c r="Z238" t="s">
        <v>438</v>
      </c>
      <c r="AA238" t="s">
        <v>439</v>
      </c>
      <c r="AB238" t="s">
        <v>96</v>
      </c>
      <c r="AC238" t="s">
        <v>97</v>
      </c>
      <c r="AD238" t="s">
        <v>98</v>
      </c>
      <c r="AE238" t="s">
        <v>430</v>
      </c>
      <c r="AG238" t="s">
        <v>440</v>
      </c>
      <c r="AH238">
        <v>0</v>
      </c>
      <c r="AI238">
        <v>236</v>
      </c>
      <c r="AJ238">
        <v>29</v>
      </c>
      <c r="AK238">
        <v>315</v>
      </c>
      <c r="AL238">
        <v>0.85</v>
      </c>
    </row>
    <row r="239" spans="1:38" x14ac:dyDescent="0.3">
      <c r="A239" t="s">
        <v>425</v>
      </c>
      <c r="B239">
        <v>1816</v>
      </c>
      <c r="C239">
        <v>3</v>
      </c>
      <c r="D239" t="s">
        <v>436</v>
      </c>
      <c r="E239" t="s">
        <v>437</v>
      </c>
      <c r="F239">
        <v>372</v>
      </c>
      <c r="G239">
        <v>32.75</v>
      </c>
      <c r="H239">
        <v>108.29</v>
      </c>
      <c r="I239">
        <v>25.68</v>
      </c>
      <c r="J239">
        <v>84.92</v>
      </c>
      <c r="K239">
        <v>108</v>
      </c>
      <c r="T239">
        <v>3</v>
      </c>
      <c r="U239">
        <v>2</v>
      </c>
      <c r="V239" t="s">
        <v>93</v>
      </c>
      <c r="W239">
        <v>108</v>
      </c>
      <c r="X239">
        <v>18</v>
      </c>
      <c r="Y239">
        <v>17</v>
      </c>
      <c r="Z239" t="s">
        <v>438</v>
      </c>
      <c r="AA239" t="s">
        <v>439</v>
      </c>
      <c r="AB239" t="s">
        <v>96</v>
      </c>
      <c r="AC239" t="s">
        <v>97</v>
      </c>
      <c r="AD239" t="s">
        <v>98</v>
      </c>
      <c r="AE239" t="s">
        <v>430</v>
      </c>
      <c r="AG239" t="s">
        <v>440</v>
      </c>
      <c r="AH239">
        <v>0</v>
      </c>
      <c r="AI239">
        <v>236</v>
      </c>
      <c r="AJ239">
        <v>29</v>
      </c>
      <c r="AK239">
        <v>315</v>
      </c>
      <c r="AL239">
        <v>0.85</v>
      </c>
    </row>
    <row r="240" spans="1:38" x14ac:dyDescent="0.3">
      <c r="A240" t="s">
        <v>425</v>
      </c>
      <c r="B240">
        <v>1816</v>
      </c>
      <c r="C240">
        <v>4</v>
      </c>
      <c r="D240" t="s">
        <v>436</v>
      </c>
      <c r="E240" t="s">
        <v>437</v>
      </c>
      <c r="F240">
        <v>372</v>
      </c>
      <c r="G240">
        <v>49.87</v>
      </c>
      <c r="H240">
        <v>164.86</v>
      </c>
      <c r="I240">
        <v>40.549999999999997</v>
      </c>
      <c r="J240">
        <v>134.05000000000001</v>
      </c>
      <c r="K240">
        <v>30</v>
      </c>
      <c r="T240">
        <v>4</v>
      </c>
      <c r="U240">
        <v>2</v>
      </c>
      <c r="V240" t="s">
        <v>93</v>
      </c>
      <c r="W240">
        <v>164</v>
      </c>
      <c r="X240">
        <v>18</v>
      </c>
      <c r="Y240">
        <v>17</v>
      </c>
      <c r="Z240" t="s">
        <v>438</v>
      </c>
      <c r="AA240" t="s">
        <v>439</v>
      </c>
      <c r="AB240" t="s">
        <v>96</v>
      </c>
      <c r="AC240" t="s">
        <v>97</v>
      </c>
      <c r="AD240" t="s">
        <v>98</v>
      </c>
      <c r="AE240" t="s">
        <v>430</v>
      </c>
      <c r="AG240" t="s">
        <v>440</v>
      </c>
      <c r="AH240">
        <v>0</v>
      </c>
      <c r="AI240">
        <v>236</v>
      </c>
      <c r="AJ240">
        <v>29</v>
      </c>
      <c r="AK240">
        <v>315</v>
      </c>
      <c r="AL240">
        <v>0.85</v>
      </c>
    </row>
    <row r="241" spans="1:38" x14ac:dyDescent="0.3">
      <c r="A241" t="s">
        <v>425</v>
      </c>
      <c r="B241">
        <v>2491</v>
      </c>
      <c r="C241">
        <v>1</v>
      </c>
      <c r="D241" t="s">
        <v>441</v>
      </c>
      <c r="E241" t="s">
        <v>442</v>
      </c>
      <c r="F241">
        <v>390</v>
      </c>
      <c r="G241">
        <v>14.9</v>
      </c>
      <c r="H241">
        <v>49.28</v>
      </c>
      <c r="I241">
        <v>11.97</v>
      </c>
      <c r="J241">
        <v>39.6</v>
      </c>
      <c r="K241">
        <v>310</v>
      </c>
      <c r="T241">
        <v>2</v>
      </c>
      <c r="U241">
        <v>1</v>
      </c>
      <c r="V241" t="s">
        <v>93</v>
      </c>
      <c r="W241">
        <v>49</v>
      </c>
      <c r="X241">
        <v>5</v>
      </c>
      <c r="Y241">
        <v>5</v>
      </c>
      <c r="Z241" t="s">
        <v>443</v>
      </c>
      <c r="AA241" t="s">
        <v>444</v>
      </c>
      <c r="AB241" t="s">
        <v>96</v>
      </c>
      <c r="AC241" t="s">
        <v>97</v>
      </c>
      <c r="AD241" t="s">
        <v>98</v>
      </c>
      <c r="AE241" t="s">
        <v>430</v>
      </c>
      <c r="AG241" t="s">
        <v>445</v>
      </c>
      <c r="AH241">
        <v>0</v>
      </c>
      <c r="AI241">
        <v>117</v>
      </c>
      <c r="AJ241">
        <v>23</v>
      </c>
      <c r="AK241">
        <v>0</v>
      </c>
      <c r="AL241">
        <v>0</v>
      </c>
    </row>
    <row r="242" spans="1:38" x14ac:dyDescent="0.3">
      <c r="A242" t="s">
        <v>425</v>
      </c>
      <c r="B242">
        <v>2491</v>
      </c>
      <c r="C242">
        <v>2</v>
      </c>
      <c r="D242" t="s">
        <v>441</v>
      </c>
      <c r="E242" t="s">
        <v>442</v>
      </c>
      <c r="F242">
        <v>390</v>
      </c>
      <c r="G242">
        <v>18.36</v>
      </c>
      <c r="H242">
        <v>60.71</v>
      </c>
      <c r="I242">
        <v>15.05</v>
      </c>
      <c r="J242">
        <v>49.77</v>
      </c>
      <c r="K242">
        <v>80</v>
      </c>
      <c r="T242">
        <v>3</v>
      </c>
      <c r="U242">
        <v>1</v>
      </c>
      <c r="V242" t="s">
        <v>93</v>
      </c>
      <c r="W242">
        <v>60</v>
      </c>
      <c r="X242">
        <v>5</v>
      </c>
      <c r="Y242">
        <v>5</v>
      </c>
      <c r="Z242" t="s">
        <v>443</v>
      </c>
      <c r="AA242" t="s">
        <v>444</v>
      </c>
      <c r="AB242" t="s">
        <v>96</v>
      </c>
      <c r="AC242" t="s">
        <v>97</v>
      </c>
      <c r="AD242" t="s">
        <v>98</v>
      </c>
      <c r="AE242" t="s">
        <v>430</v>
      </c>
      <c r="AG242" t="s">
        <v>445</v>
      </c>
      <c r="AH242">
        <v>0</v>
      </c>
      <c r="AI242">
        <v>117</v>
      </c>
      <c r="AJ242">
        <v>23</v>
      </c>
      <c r="AK242">
        <v>0</v>
      </c>
      <c r="AL242">
        <v>0</v>
      </c>
    </row>
    <row r="243" spans="1:38" x14ac:dyDescent="0.3">
      <c r="A243" t="s">
        <v>425</v>
      </c>
      <c r="B243">
        <v>22283</v>
      </c>
      <c r="C243">
        <v>1</v>
      </c>
      <c r="D243" t="s">
        <v>446</v>
      </c>
      <c r="E243" t="s">
        <v>447</v>
      </c>
      <c r="F243">
        <v>200</v>
      </c>
      <c r="G243">
        <v>33.590000000000003</v>
      </c>
      <c r="H243">
        <v>111.05</v>
      </c>
      <c r="I243">
        <v>25.66</v>
      </c>
      <c r="J243">
        <v>84.85</v>
      </c>
      <c r="K243">
        <v>163</v>
      </c>
      <c r="T243">
        <v>3</v>
      </c>
      <c r="U243">
        <v>2</v>
      </c>
      <c r="V243" t="s">
        <v>93</v>
      </c>
      <c r="W243" t="s">
        <v>448</v>
      </c>
      <c r="X243">
        <v>15</v>
      </c>
      <c r="Y243">
        <v>10</v>
      </c>
      <c r="Z243" t="s">
        <v>449</v>
      </c>
      <c r="AA243" t="s">
        <v>450</v>
      </c>
      <c r="AB243" t="s">
        <v>96</v>
      </c>
      <c r="AC243" t="s">
        <v>97</v>
      </c>
      <c r="AD243" t="s">
        <v>98</v>
      </c>
      <c r="AE243" t="s">
        <v>430</v>
      </c>
      <c r="AG243" t="s">
        <v>451</v>
      </c>
      <c r="AH243">
        <v>0</v>
      </c>
      <c r="AI243">
        <v>226</v>
      </c>
      <c r="AJ243">
        <v>21</v>
      </c>
      <c r="AK243">
        <v>205</v>
      </c>
      <c r="AL243">
        <v>1.02</v>
      </c>
    </row>
    <row r="244" spans="1:38" x14ac:dyDescent="0.3">
      <c r="A244" t="s">
        <v>425</v>
      </c>
      <c r="B244">
        <v>22283</v>
      </c>
      <c r="C244">
        <v>2</v>
      </c>
      <c r="D244" t="s">
        <v>446</v>
      </c>
      <c r="E244" t="s">
        <v>447</v>
      </c>
      <c r="F244">
        <v>200</v>
      </c>
      <c r="G244">
        <v>33.909999999999997</v>
      </c>
      <c r="H244">
        <v>112.11</v>
      </c>
      <c r="I244">
        <v>25.62</v>
      </c>
      <c r="J244">
        <v>84.71</v>
      </c>
      <c r="K244">
        <v>37</v>
      </c>
      <c r="T244">
        <v>3</v>
      </c>
      <c r="U244">
        <v>2</v>
      </c>
      <c r="V244" t="s">
        <v>93</v>
      </c>
      <c r="W244" t="s">
        <v>452</v>
      </c>
      <c r="X244">
        <v>15</v>
      </c>
      <c r="Y244">
        <v>10</v>
      </c>
      <c r="Z244" t="s">
        <v>449</v>
      </c>
      <c r="AA244" t="s">
        <v>450</v>
      </c>
      <c r="AB244" t="s">
        <v>96</v>
      </c>
      <c r="AC244" t="s">
        <v>97</v>
      </c>
      <c r="AD244" t="s">
        <v>98</v>
      </c>
      <c r="AE244" t="s">
        <v>430</v>
      </c>
      <c r="AG244" t="s">
        <v>451</v>
      </c>
      <c r="AH244">
        <v>0</v>
      </c>
      <c r="AI244">
        <v>226</v>
      </c>
      <c r="AJ244">
        <v>21</v>
      </c>
      <c r="AK244">
        <v>205</v>
      </c>
      <c r="AL244">
        <v>1.02</v>
      </c>
    </row>
    <row r="245" spans="1:38" x14ac:dyDescent="0.3">
      <c r="A245" t="s">
        <v>425</v>
      </c>
      <c r="B245">
        <v>1820</v>
      </c>
      <c r="C245">
        <v>1</v>
      </c>
      <c r="D245" t="s">
        <v>453</v>
      </c>
      <c r="E245" t="s">
        <v>454</v>
      </c>
      <c r="F245">
        <v>144</v>
      </c>
      <c r="G245">
        <v>17.059999999999999</v>
      </c>
      <c r="H245">
        <v>56.42</v>
      </c>
      <c r="I245">
        <v>13.14</v>
      </c>
      <c r="J245">
        <v>43.47</v>
      </c>
      <c r="K245">
        <v>72</v>
      </c>
      <c r="T245">
        <v>2</v>
      </c>
      <c r="U245">
        <v>1</v>
      </c>
      <c r="V245" t="s">
        <v>93</v>
      </c>
      <c r="W245">
        <v>56</v>
      </c>
      <c r="X245">
        <v>6</v>
      </c>
      <c r="Y245">
        <v>6</v>
      </c>
      <c r="Z245" t="s">
        <v>455</v>
      </c>
      <c r="AA245" t="s">
        <v>456</v>
      </c>
      <c r="AB245" t="s">
        <v>96</v>
      </c>
      <c r="AC245" t="s">
        <v>97</v>
      </c>
      <c r="AD245" t="s">
        <v>98</v>
      </c>
      <c r="AE245" t="s">
        <v>430</v>
      </c>
      <c r="AG245" t="s">
        <v>457</v>
      </c>
      <c r="AH245">
        <v>0</v>
      </c>
      <c r="AI245">
        <v>198</v>
      </c>
      <c r="AJ245">
        <v>33</v>
      </c>
      <c r="AK245">
        <v>0</v>
      </c>
      <c r="AL245">
        <v>0</v>
      </c>
    </row>
    <row r="246" spans="1:38" x14ac:dyDescent="0.3">
      <c r="A246" t="s">
        <v>425</v>
      </c>
      <c r="B246">
        <v>1820</v>
      </c>
      <c r="C246">
        <v>2</v>
      </c>
      <c r="D246" t="s">
        <v>453</v>
      </c>
      <c r="E246" t="s">
        <v>454</v>
      </c>
      <c r="F246">
        <v>144</v>
      </c>
      <c r="G246">
        <v>23.33</v>
      </c>
      <c r="H246">
        <v>77.13</v>
      </c>
      <c r="I246">
        <v>18.559999999999999</v>
      </c>
      <c r="J246">
        <v>61.38</v>
      </c>
      <c r="K246">
        <v>72</v>
      </c>
      <c r="T246">
        <v>3</v>
      </c>
      <c r="U246">
        <v>1</v>
      </c>
      <c r="V246" t="s">
        <v>93</v>
      </c>
      <c r="W246">
        <v>77</v>
      </c>
      <c r="X246">
        <v>6</v>
      </c>
      <c r="Y246">
        <v>6</v>
      </c>
      <c r="Z246" t="s">
        <v>455</v>
      </c>
      <c r="AA246" t="s">
        <v>456</v>
      </c>
      <c r="AB246" t="s">
        <v>96</v>
      </c>
      <c r="AC246" t="s">
        <v>97</v>
      </c>
      <c r="AD246" t="s">
        <v>98</v>
      </c>
      <c r="AE246" t="s">
        <v>430</v>
      </c>
      <c r="AG246" t="s">
        <v>457</v>
      </c>
      <c r="AH246">
        <v>0</v>
      </c>
      <c r="AI246">
        <v>198</v>
      </c>
      <c r="AJ246">
        <v>33</v>
      </c>
      <c r="AK246">
        <v>0</v>
      </c>
      <c r="AL246">
        <v>0</v>
      </c>
    </row>
    <row r="247" spans="1:38" x14ac:dyDescent="0.3">
      <c r="A247" t="s">
        <v>425</v>
      </c>
      <c r="B247">
        <v>1819</v>
      </c>
      <c r="C247">
        <v>1</v>
      </c>
      <c r="D247" t="s">
        <v>458</v>
      </c>
      <c r="E247" t="s">
        <v>459</v>
      </c>
      <c r="F247">
        <v>500</v>
      </c>
      <c r="G247">
        <v>13.28</v>
      </c>
      <c r="H247">
        <v>43.92</v>
      </c>
      <c r="I247">
        <v>11.65</v>
      </c>
      <c r="J247">
        <v>38.520000000000003</v>
      </c>
      <c r="K247">
        <v>300</v>
      </c>
      <c r="T247">
        <v>2</v>
      </c>
      <c r="U247">
        <v>1</v>
      </c>
      <c r="V247" t="s">
        <v>93</v>
      </c>
      <c r="W247">
        <v>43</v>
      </c>
      <c r="X247">
        <v>5</v>
      </c>
      <c r="Y247">
        <v>5</v>
      </c>
      <c r="Z247" t="s">
        <v>460</v>
      </c>
      <c r="AA247" t="s">
        <v>461</v>
      </c>
      <c r="AB247" t="s">
        <v>96</v>
      </c>
      <c r="AC247" t="s">
        <v>97</v>
      </c>
      <c r="AD247" t="s">
        <v>98</v>
      </c>
      <c r="AE247" t="s">
        <v>430</v>
      </c>
      <c r="AG247" t="s">
        <v>462</v>
      </c>
      <c r="AH247">
        <v>0</v>
      </c>
      <c r="AI247">
        <v>0</v>
      </c>
      <c r="AJ247">
        <v>0</v>
      </c>
      <c r="AK247">
        <v>250</v>
      </c>
      <c r="AL247">
        <v>0.5</v>
      </c>
    </row>
    <row r="248" spans="1:38" x14ac:dyDescent="0.3">
      <c r="A248" t="s">
        <v>425</v>
      </c>
      <c r="B248">
        <v>1819</v>
      </c>
      <c r="C248">
        <v>2</v>
      </c>
      <c r="D248" t="s">
        <v>458</v>
      </c>
      <c r="E248" t="s">
        <v>459</v>
      </c>
      <c r="F248">
        <v>500</v>
      </c>
      <c r="G248">
        <v>15.92</v>
      </c>
      <c r="H248">
        <v>52.65</v>
      </c>
      <c r="I248">
        <v>14.29</v>
      </c>
      <c r="J248">
        <v>47.25</v>
      </c>
      <c r="K248">
        <v>200</v>
      </c>
      <c r="T248">
        <v>2</v>
      </c>
      <c r="U248">
        <v>1</v>
      </c>
      <c r="V248" t="s">
        <v>93</v>
      </c>
      <c r="W248">
        <v>52</v>
      </c>
      <c r="X248">
        <v>5</v>
      </c>
      <c r="Y248">
        <v>5</v>
      </c>
      <c r="Z248" t="s">
        <v>460</v>
      </c>
      <c r="AA248" t="s">
        <v>461</v>
      </c>
      <c r="AB248" t="s">
        <v>96</v>
      </c>
      <c r="AC248" t="s">
        <v>97</v>
      </c>
      <c r="AD248" t="s">
        <v>98</v>
      </c>
      <c r="AE248" t="s">
        <v>430</v>
      </c>
      <c r="AG248" t="s">
        <v>462</v>
      </c>
      <c r="AH248">
        <v>0</v>
      </c>
      <c r="AI248">
        <v>0</v>
      </c>
      <c r="AJ248">
        <v>0</v>
      </c>
      <c r="AK248">
        <v>250</v>
      </c>
      <c r="AL248">
        <v>0.5</v>
      </c>
    </row>
    <row r="249" spans="1:38" x14ac:dyDescent="0.3">
      <c r="A249" t="s">
        <v>425</v>
      </c>
      <c r="B249">
        <v>1815</v>
      </c>
      <c r="C249">
        <v>1</v>
      </c>
      <c r="D249" t="s">
        <v>463</v>
      </c>
      <c r="E249" t="s">
        <v>464</v>
      </c>
      <c r="F249">
        <v>984</v>
      </c>
      <c r="G249">
        <v>18.32</v>
      </c>
      <c r="H249">
        <v>60.57</v>
      </c>
      <c r="I249">
        <v>12.49</v>
      </c>
      <c r="J249">
        <v>41.3</v>
      </c>
      <c r="K249">
        <v>60</v>
      </c>
      <c r="T249">
        <v>2</v>
      </c>
      <c r="U249">
        <v>1</v>
      </c>
      <c r="V249" t="s">
        <v>118</v>
      </c>
      <c r="W249">
        <v>60</v>
      </c>
      <c r="X249">
        <v>15</v>
      </c>
      <c r="Y249">
        <v>15</v>
      </c>
      <c r="Z249" t="s">
        <v>465</v>
      </c>
      <c r="AA249" t="s">
        <v>461</v>
      </c>
      <c r="AB249" t="s">
        <v>96</v>
      </c>
      <c r="AC249" t="s">
        <v>97</v>
      </c>
      <c r="AD249" t="s">
        <v>98</v>
      </c>
      <c r="AE249" t="s">
        <v>430</v>
      </c>
      <c r="AG249" t="s">
        <v>466</v>
      </c>
      <c r="AH249">
        <v>0</v>
      </c>
      <c r="AI249">
        <v>0</v>
      </c>
      <c r="AJ249">
        <v>0</v>
      </c>
      <c r="AK249">
        <v>0</v>
      </c>
      <c r="AL249">
        <v>0</v>
      </c>
    </row>
    <row r="250" spans="1:38" x14ac:dyDescent="0.3">
      <c r="A250" t="s">
        <v>425</v>
      </c>
      <c r="B250">
        <v>1815</v>
      </c>
      <c r="C250">
        <v>2</v>
      </c>
      <c r="D250" t="s">
        <v>463</v>
      </c>
      <c r="E250" t="s">
        <v>464</v>
      </c>
      <c r="F250">
        <v>984</v>
      </c>
      <c r="G250">
        <v>19.25</v>
      </c>
      <c r="H250">
        <v>63.64</v>
      </c>
      <c r="I250">
        <v>13.84</v>
      </c>
      <c r="J250">
        <v>45.77</v>
      </c>
      <c r="K250">
        <v>60</v>
      </c>
      <c r="T250">
        <v>2</v>
      </c>
      <c r="U250">
        <v>1</v>
      </c>
      <c r="V250" t="s">
        <v>118</v>
      </c>
      <c r="W250">
        <v>63</v>
      </c>
      <c r="X250">
        <v>15</v>
      </c>
      <c r="Y250">
        <v>15</v>
      </c>
      <c r="Z250" t="s">
        <v>465</v>
      </c>
      <c r="AA250" t="s">
        <v>461</v>
      </c>
      <c r="AB250" t="s">
        <v>96</v>
      </c>
      <c r="AC250" t="s">
        <v>97</v>
      </c>
      <c r="AD250" t="s">
        <v>98</v>
      </c>
      <c r="AE250" t="s">
        <v>430</v>
      </c>
      <c r="AG250" t="s">
        <v>466</v>
      </c>
      <c r="AH250">
        <v>0</v>
      </c>
      <c r="AI250">
        <v>0</v>
      </c>
      <c r="AJ250">
        <v>0</v>
      </c>
      <c r="AK250">
        <v>0</v>
      </c>
      <c r="AL250">
        <v>0</v>
      </c>
    </row>
    <row r="251" spans="1:38" x14ac:dyDescent="0.3">
      <c r="A251" t="s">
        <v>425</v>
      </c>
      <c r="B251">
        <v>1815</v>
      </c>
      <c r="C251">
        <v>3</v>
      </c>
      <c r="D251" t="s">
        <v>463</v>
      </c>
      <c r="E251" t="s">
        <v>464</v>
      </c>
      <c r="F251">
        <v>984</v>
      </c>
      <c r="G251">
        <v>19.600000000000001</v>
      </c>
      <c r="H251">
        <v>64.8</v>
      </c>
      <c r="I251">
        <v>13.88</v>
      </c>
      <c r="J251">
        <v>45.9</v>
      </c>
      <c r="K251">
        <v>90</v>
      </c>
      <c r="T251">
        <v>2</v>
      </c>
      <c r="U251">
        <v>1</v>
      </c>
      <c r="V251" t="s">
        <v>118</v>
      </c>
      <c r="W251">
        <v>64</v>
      </c>
      <c r="X251">
        <v>15</v>
      </c>
      <c r="Y251">
        <v>15</v>
      </c>
      <c r="Z251" t="s">
        <v>465</v>
      </c>
      <c r="AA251" t="s">
        <v>461</v>
      </c>
      <c r="AB251" t="s">
        <v>96</v>
      </c>
      <c r="AC251" t="s">
        <v>97</v>
      </c>
      <c r="AD251" t="s">
        <v>98</v>
      </c>
      <c r="AE251" t="s">
        <v>430</v>
      </c>
      <c r="AG251" t="s">
        <v>466</v>
      </c>
      <c r="AH251">
        <v>0</v>
      </c>
      <c r="AI251">
        <v>0</v>
      </c>
      <c r="AJ251">
        <v>0</v>
      </c>
      <c r="AK251">
        <v>0</v>
      </c>
      <c r="AL251">
        <v>0</v>
      </c>
    </row>
    <row r="252" spans="1:38" x14ac:dyDescent="0.3">
      <c r="A252" t="s">
        <v>425</v>
      </c>
      <c r="B252">
        <v>1815</v>
      </c>
      <c r="C252">
        <v>4</v>
      </c>
      <c r="D252" t="s">
        <v>463</v>
      </c>
      <c r="E252" t="s">
        <v>464</v>
      </c>
      <c r="F252">
        <v>984</v>
      </c>
      <c r="G252">
        <v>22.15</v>
      </c>
      <c r="H252">
        <v>73.239999999999995</v>
      </c>
      <c r="I252">
        <v>15.1</v>
      </c>
      <c r="J252">
        <v>49.94</v>
      </c>
      <c r="K252">
        <v>300</v>
      </c>
      <c r="T252">
        <v>2</v>
      </c>
      <c r="U252">
        <v>1</v>
      </c>
      <c r="V252" t="s">
        <v>118</v>
      </c>
      <c r="W252">
        <v>73</v>
      </c>
      <c r="X252">
        <v>15</v>
      </c>
      <c r="Y252">
        <v>15</v>
      </c>
      <c r="Z252" t="s">
        <v>465</v>
      </c>
      <c r="AA252" t="s">
        <v>461</v>
      </c>
      <c r="AB252" t="s">
        <v>96</v>
      </c>
      <c r="AC252" t="s">
        <v>97</v>
      </c>
      <c r="AD252" t="s">
        <v>98</v>
      </c>
      <c r="AE252" t="s">
        <v>430</v>
      </c>
      <c r="AG252" t="s">
        <v>466</v>
      </c>
      <c r="AH252">
        <v>0</v>
      </c>
      <c r="AI252">
        <v>0</v>
      </c>
      <c r="AJ252">
        <v>0</v>
      </c>
      <c r="AK252">
        <v>0</v>
      </c>
      <c r="AL252">
        <v>0</v>
      </c>
    </row>
    <row r="253" spans="1:38" x14ac:dyDescent="0.3">
      <c r="A253" t="s">
        <v>425</v>
      </c>
      <c r="B253">
        <v>1815</v>
      </c>
      <c r="C253">
        <v>5</v>
      </c>
      <c r="D253" t="s">
        <v>463</v>
      </c>
      <c r="E253" t="s">
        <v>464</v>
      </c>
      <c r="F253">
        <v>984</v>
      </c>
      <c r="G253">
        <v>24.25</v>
      </c>
      <c r="H253">
        <v>80.17</v>
      </c>
      <c r="I253">
        <v>17.54</v>
      </c>
      <c r="J253">
        <v>58.01</v>
      </c>
      <c r="K253">
        <v>264</v>
      </c>
      <c r="T253">
        <v>2</v>
      </c>
      <c r="U253">
        <v>1</v>
      </c>
      <c r="V253" t="s">
        <v>118</v>
      </c>
      <c r="W253">
        <v>80</v>
      </c>
      <c r="X253">
        <v>15</v>
      </c>
      <c r="Y253">
        <v>15</v>
      </c>
      <c r="Z253" t="s">
        <v>465</v>
      </c>
      <c r="AA253" t="s">
        <v>461</v>
      </c>
      <c r="AB253" t="s">
        <v>96</v>
      </c>
      <c r="AC253" t="s">
        <v>97</v>
      </c>
      <c r="AD253" t="s">
        <v>98</v>
      </c>
      <c r="AE253" t="s">
        <v>430</v>
      </c>
      <c r="AG253" t="s">
        <v>466</v>
      </c>
      <c r="AH253">
        <v>0</v>
      </c>
      <c r="AI253">
        <v>0</v>
      </c>
      <c r="AJ253">
        <v>0</v>
      </c>
      <c r="AK253">
        <v>0</v>
      </c>
      <c r="AL253">
        <v>0</v>
      </c>
    </row>
    <row r="254" spans="1:38" x14ac:dyDescent="0.3">
      <c r="A254" t="s">
        <v>425</v>
      </c>
      <c r="B254">
        <v>1815</v>
      </c>
      <c r="C254">
        <v>6</v>
      </c>
      <c r="D254" t="s">
        <v>463</v>
      </c>
      <c r="E254" t="s">
        <v>464</v>
      </c>
      <c r="F254">
        <v>984</v>
      </c>
      <c r="G254">
        <v>24.97</v>
      </c>
      <c r="H254">
        <v>82.57</v>
      </c>
      <c r="I254">
        <v>17.96</v>
      </c>
      <c r="J254">
        <v>59.39</v>
      </c>
      <c r="K254">
        <v>90</v>
      </c>
      <c r="T254">
        <v>2</v>
      </c>
      <c r="U254">
        <v>1</v>
      </c>
      <c r="V254" t="s">
        <v>118</v>
      </c>
      <c r="W254">
        <v>82</v>
      </c>
      <c r="X254">
        <v>15</v>
      </c>
      <c r="Y254">
        <v>15</v>
      </c>
      <c r="Z254" t="s">
        <v>465</v>
      </c>
      <c r="AA254" t="s">
        <v>461</v>
      </c>
      <c r="AB254" t="s">
        <v>96</v>
      </c>
      <c r="AC254" t="s">
        <v>97</v>
      </c>
      <c r="AD254" t="s">
        <v>98</v>
      </c>
      <c r="AE254" t="s">
        <v>430</v>
      </c>
      <c r="AG254" t="s">
        <v>466</v>
      </c>
      <c r="AH254">
        <v>0</v>
      </c>
      <c r="AI254">
        <v>0</v>
      </c>
      <c r="AJ254">
        <v>0</v>
      </c>
      <c r="AK254">
        <v>0</v>
      </c>
      <c r="AL254">
        <v>0</v>
      </c>
    </row>
    <row r="255" spans="1:38" x14ac:dyDescent="0.3">
      <c r="A255" t="s">
        <v>425</v>
      </c>
      <c r="B255">
        <v>1815</v>
      </c>
      <c r="C255">
        <v>7</v>
      </c>
      <c r="D255" t="s">
        <v>463</v>
      </c>
      <c r="E255" t="s">
        <v>464</v>
      </c>
      <c r="F255">
        <v>984</v>
      </c>
      <c r="G255">
        <v>25.92</v>
      </c>
      <c r="H255">
        <v>85.69</v>
      </c>
      <c r="I255">
        <v>18.600000000000001</v>
      </c>
      <c r="J255">
        <v>61.52</v>
      </c>
      <c r="K255">
        <v>60</v>
      </c>
      <c r="T255">
        <v>2</v>
      </c>
      <c r="U255">
        <v>1</v>
      </c>
      <c r="V255" t="s">
        <v>118</v>
      </c>
      <c r="W255">
        <v>85</v>
      </c>
      <c r="X255">
        <v>15</v>
      </c>
      <c r="Y255">
        <v>15</v>
      </c>
      <c r="Z255" t="s">
        <v>465</v>
      </c>
      <c r="AA255" t="s">
        <v>461</v>
      </c>
      <c r="AB255" t="s">
        <v>96</v>
      </c>
      <c r="AC255" t="s">
        <v>97</v>
      </c>
      <c r="AD255" t="s">
        <v>98</v>
      </c>
      <c r="AE255" t="s">
        <v>430</v>
      </c>
      <c r="AG255" t="s">
        <v>466</v>
      </c>
      <c r="AH255">
        <v>0</v>
      </c>
      <c r="AI255">
        <v>0</v>
      </c>
      <c r="AJ255">
        <v>0</v>
      </c>
      <c r="AK255">
        <v>0</v>
      </c>
      <c r="AL255">
        <v>0</v>
      </c>
    </row>
    <row r="256" spans="1:38" x14ac:dyDescent="0.3">
      <c r="A256" t="s">
        <v>425</v>
      </c>
      <c r="B256">
        <v>1815</v>
      </c>
      <c r="C256">
        <v>8</v>
      </c>
      <c r="D256" t="s">
        <v>463</v>
      </c>
      <c r="E256" t="s">
        <v>464</v>
      </c>
      <c r="F256">
        <v>984</v>
      </c>
      <c r="G256">
        <v>28.04</v>
      </c>
      <c r="H256">
        <v>92.72</v>
      </c>
      <c r="I256">
        <v>20.13</v>
      </c>
      <c r="J256">
        <v>66.56</v>
      </c>
      <c r="K256">
        <v>60</v>
      </c>
      <c r="T256">
        <v>3</v>
      </c>
      <c r="U256">
        <v>1</v>
      </c>
      <c r="V256" t="s">
        <v>118</v>
      </c>
      <c r="W256">
        <v>92</v>
      </c>
      <c r="X256">
        <v>15</v>
      </c>
      <c r="Y256">
        <v>15</v>
      </c>
      <c r="Z256" t="s">
        <v>465</v>
      </c>
      <c r="AA256" t="s">
        <v>461</v>
      </c>
      <c r="AB256" t="s">
        <v>96</v>
      </c>
      <c r="AC256" t="s">
        <v>97</v>
      </c>
      <c r="AD256" t="s">
        <v>98</v>
      </c>
      <c r="AE256" t="s">
        <v>430</v>
      </c>
      <c r="AG256" t="s">
        <v>466</v>
      </c>
      <c r="AH256">
        <v>0</v>
      </c>
      <c r="AI256">
        <v>0</v>
      </c>
      <c r="AJ256">
        <v>0</v>
      </c>
      <c r="AK256">
        <v>0</v>
      </c>
      <c r="AL256">
        <v>0</v>
      </c>
    </row>
    <row r="257" spans="1:38" x14ac:dyDescent="0.3">
      <c r="A257" t="s">
        <v>425</v>
      </c>
      <c r="B257">
        <v>1814</v>
      </c>
      <c r="C257">
        <v>1</v>
      </c>
      <c r="D257" t="s">
        <v>467</v>
      </c>
      <c r="E257" t="s">
        <v>468</v>
      </c>
      <c r="F257">
        <v>110</v>
      </c>
      <c r="G257">
        <v>18.579999999999998</v>
      </c>
      <c r="H257">
        <v>61.45</v>
      </c>
      <c r="I257">
        <v>13.95</v>
      </c>
      <c r="J257">
        <v>46.12</v>
      </c>
      <c r="K257">
        <v>60</v>
      </c>
      <c r="T257">
        <v>2</v>
      </c>
      <c r="U257">
        <v>1</v>
      </c>
      <c r="V257" t="s">
        <v>93</v>
      </c>
      <c r="W257">
        <v>61</v>
      </c>
      <c r="X257">
        <v>5</v>
      </c>
      <c r="Y257">
        <v>5</v>
      </c>
      <c r="Z257" t="s">
        <v>469</v>
      </c>
      <c r="AA257" t="s">
        <v>470</v>
      </c>
      <c r="AB257" t="s">
        <v>96</v>
      </c>
      <c r="AC257" t="s">
        <v>97</v>
      </c>
      <c r="AD257" t="s">
        <v>98</v>
      </c>
      <c r="AE257" t="s">
        <v>430</v>
      </c>
      <c r="AG257" t="s">
        <v>471</v>
      </c>
      <c r="AH257">
        <v>0</v>
      </c>
      <c r="AI257">
        <v>186</v>
      </c>
      <c r="AJ257">
        <v>37</v>
      </c>
      <c r="AK257">
        <v>0</v>
      </c>
      <c r="AL257">
        <v>0</v>
      </c>
    </row>
    <row r="258" spans="1:38" x14ac:dyDescent="0.3">
      <c r="A258" t="s">
        <v>425</v>
      </c>
      <c r="B258">
        <v>1814</v>
      </c>
      <c r="C258">
        <v>2</v>
      </c>
      <c r="D258" t="s">
        <v>467</v>
      </c>
      <c r="E258" t="s">
        <v>468</v>
      </c>
      <c r="F258">
        <v>110</v>
      </c>
      <c r="G258">
        <v>22.68</v>
      </c>
      <c r="H258">
        <v>74.98</v>
      </c>
      <c r="I258">
        <v>17.329999999999998</v>
      </c>
      <c r="J258">
        <v>57.3</v>
      </c>
      <c r="K258">
        <v>50</v>
      </c>
      <c r="T258">
        <v>3</v>
      </c>
      <c r="U258">
        <v>1</v>
      </c>
      <c r="V258" t="s">
        <v>93</v>
      </c>
      <c r="W258">
        <v>74</v>
      </c>
      <c r="X258">
        <v>5</v>
      </c>
      <c r="Y258">
        <v>5</v>
      </c>
      <c r="Z258" t="s">
        <v>469</v>
      </c>
      <c r="AA258" t="s">
        <v>470</v>
      </c>
      <c r="AB258" t="s">
        <v>96</v>
      </c>
      <c r="AC258" t="s">
        <v>97</v>
      </c>
      <c r="AD258" t="s">
        <v>98</v>
      </c>
      <c r="AE258" t="s">
        <v>430</v>
      </c>
      <c r="AG258" t="s">
        <v>471</v>
      </c>
      <c r="AH258">
        <v>0</v>
      </c>
      <c r="AI258">
        <v>186</v>
      </c>
      <c r="AJ258">
        <v>37</v>
      </c>
      <c r="AK258">
        <v>0</v>
      </c>
      <c r="AL258">
        <v>0</v>
      </c>
    </row>
    <row r="259" spans="1:38" x14ac:dyDescent="0.3">
      <c r="A259" t="s">
        <v>425</v>
      </c>
      <c r="B259">
        <v>127743</v>
      </c>
      <c r="C259">
        <v>1</v>
      </c>
      <c r="D259" t="s">
        <v>472</v>
      </c>
      <c r="E259" t="s">
        <v>473</v>
      </c>
      <c r="F259">
        <v>202</v>
      </c>
      <c r="G259">
        <v>25.07</v>
      </c>
      <c r="H259">
        <v>82.9</v>
      </c>
      <c r="I259">
        <v>19.04</v>
      </c>
      <c r="J259">
        <v>62.95</v>
      </c>
      <c r="K259">
        <v>31</v>
      </c>
      <c r="T259">
        <v>3</v>
      </c>
      <c r="U259">
        <v>2</v>
      </c>
      <c r="V259" t="s">
        <v>93</v>
      </c>
      <c r="W259">
        <v>82</v>
      </c>
      <c r="X259">
        <v>36</v>
      </c>
      <c r="Y259">
        <v>33</v>
      </c>
      <c r="Z259" t="s">
        <v>474</v>
      </c>
      <c r="AA259" t="s">
        <v>475</v>
      </c>
      <c r="AB259" t="s">
        <v>96</v>
      </c>
      <c r="AC259" t="s">
        <v>97</v>
      </c>
      <c r="AD259" t="s">
        <v>98</v>
      </c>
      <c r="AE259" t="s">
        <v>430</v>
      </c>
      <c r="AG259" t="s">
        <v>190</v>
      </c>
      <c r="AH259">
        <v>0</v>
      </c>
      <c r="AI259">
        <v>479</v>
      </c>
      <c r="AJ259">
        <v>46</v>
      </c>
      <c r="AK259">
        <v>227</v>
      </c>
      <c r="AL259">
        <v>1.1200000000000001</v>
      </c>
    </row>
    <row r="260" spans="1:38" x14ac:dyDescent="0.3">
      <c r="A260" t="s">
        <v>425</v>
      </c>
      <c r="B260">
        <v>127743</v>
      </c>
      <c r="C260">
        <v>2</v>
      </c>
      <c r="D260" t="s">
        <v>472</v>
      </c>
      <c r="E260" t="s">
        <v>473</v>
      </c>
      <c r="F260">
        <v>202</v>
      </c>
      <c r="G260">
        <v>27.4</v>
      </c>
      <c r="H260">
        <v>90.6</v>
      </c>
      <c r="I260">
        <v>21.16</v>
      </c>
      <c r="J260">
        <v>69.98</v>
      </c>
      <c r="K260">
        <v>33</v>
      </c>
      <c r="T260">
        <v>3</v>
      </c>
      <c r="U260">
        <v>2</v>
      </c>
      <c r="V260" t="s">
        <v>93</v>
      </c>
      <c r="W260">
        <v>90</v>
      </c>
      <c r="X260">
        <v>36</v>
      </c>
      <c r="Y260">
        <v>33</v>
      </c>
      <c r="Z260" t="s">
        <v>474</v>
      </c>
      <c r="AA260" t="s">
        <v>475</v>
      </c>
      <c r="AB260" t="s">
        <v>96</v>
      </c>
      <c r="AC260" t="s">
        <v>97</v>
      </c>
      <c r="AD260" t="s">
        <v>98</v>
      </c>
      <c r="AE260" t="s">
        <v>430</v>
      </c>
      <c r="AG260" t="s">
        <v>190</v>
      </c>
      <c r="AH260">
        <v>0</v>
      </c>
      <c r="AI260">
        <v>479</v>
      </c>
      <c r="AJ260">
        <v>46</v>
      </c>
      <c r="AK260">
        <v>227</v>
      </c>
      <c r="AL260">
        <v>1.1200000000000001</v>
      </c>
    </row>
    <row r="261" spans="1:38" x14ac:dyDescent="0.3">
      <c r="A261" t="s">
        <v>425</v>
      </c>
      <c r="B261">
        <v>127743</v>
      </c>
      <c r="C261">
        <v>3</v>
      </c>
      <c r="D261" t="s">
        <v>472</v>
      </c>
      <c r="E261" t="s">
        <v>473</v>
      </c>
      <c r="F261">
        <v>202</v>
      </c>
      <c r="G261">
        <v>32.06</v>
      </c>
      <c r="H261">
        <v>106.01</v>
      </c>
      <c r="I261">
        <v>24.77</v>
      </c>
      <c r="J261">
        <v>81.900000000000006</v>
      </c>
      <c r="K261">
        <v>138</v>
      </c>
      <c r="T261">
        <v>3</v>
      </c>
      <c r="U261">
        <v>2</v>
      </c>
      <c r="V261" t="s">
        <v>93</v>
      </c>
      <c r="W261">
        <v>106</v>
      </c>
      <c r="X261">
        <v>36</v>
      </c>
      <c r="Y261">
        <v>33</v>
      </c>
      <c r="Z261" t="s">
        <v>474</v>
      </c>
      <c r="AA261" t="s">
        <v>475</v>
      </c>
      <c r="AB261" t="s">
        <v>96</v>
      </c>
      <c r="AC261" t="s">
        <v>97</v>
      </c>
      <c r="AD261" t="s">
        <v>98</v>
      </c>
      <c r="AE261" t="s">
        <v>430</v>
      </c>
      <c r="AG261" t="s">
        <v>190</v>
      </c>
      <c r="AH261">
        <v>0</v>
      </c>
      <c r="AI261">
        <v>479</v>
      </c>
      <c r="AJ261">
        <v>46</v>
      </c>
      <c r="AK261">
        <v>227</v>
      </c>
      <c r="AL261">
        <v>1.1200000000000001</v>
      </c>
    </row>
    <row r="262" spans="1:38" x14ac:dyDescent="0.3">
      <c r="A262" t="s">
        <v>425</v>
      </c>
      <c r="B262">
        <v>1813</v>
      </c>
      <c r="C262">
        <v>1</v>
      </c>
      <c r="D262" t="s">
        <v>476</v>
      </c>
      <c r="E262" t="s">
        <v>477</v>
      </c>
      <c r="F262">
        <v>173</v>
      </c>
      <c r="G262">
        <v>24.59</v>
      </c>
      <c r="H262">
        <v>81.3</v>
      </c>
      <c r="I262">
        <v>17.96</v>
      </c>
      <c r="J262">
        <v>59.4</v>
      </c>
      <c r="K262">
        <v>113</v>
      </c>
      <c r="T262">
        <v>3</v>
      </c>
      <c r="U262">
        <v>1</v>
      </c>
      <c r="V262" t="s">
        <v>118</v>
      </c>
      <c r="W262">
        <v>81</v>
      </c>
      <c r="X262">
        <v>15</v>
      </c>
      <c r="Y262">
        <v>10</v>
      </c>
      <c r="Z262" t="s">
        <v>478</v>
      </c>
      <c r="AA262" t="s">
        <v>479</v>
      </c>
      <c r="AB262" t="s">
        <v>96</v>
      </c>
      <c r="AC262" t="s">
        <v>97</v>
      </c>
      <c r="AD262" t="s">
        <v>98</v>
      </c>
      <c r="AE262" t="s">
        <v>430</v>
      </c>
      <c r="AG262" t="s">
        <v>480</v>
      </c>
      <c r="AH262">
        <v>0</v>
      </c>
      <c r="AI262">
        <v>320</v>
      </c>
      <c r="AJ262">
        <v>30</v>
      </c>
      <c r="AK262">
        <v>174</v>
      </c>
      <c r="AL262">
        <v>1.01</v>
      </c>
    </row>
    <row r="263" spans="1:38" x14ac:dyDescent="0.3">
      <c r="A263" t="s">
        <v>425</v>
      </c>
      <c r="B263">
        <v>1813</v>
      </c>
      <c r="C263">
        <v>2</v>
      </c>
      <c r="D263" t="s">
        <v>476</v>
      </c>
      <c r="E263" t="s">
        <v>477</v>
      </c>
      <c r="F263">
        <v>173</v>
      </c>
      <c r="G263">
        <v>32.049999999999997</v>
      </c>
      <c r="H263">
        <v>105.96</v>
      </c>
      <c r="I263">
        <v>25.63</v>
      </c>
      <c r="J263">
        <v>84.75</v>
      </c>
      <c r="K263">
        <v>60</v>
      </c>
      <c r="T263">
        <v>3</v>
      </c>
      <c r="U263">
        <v>2</v>
      </c>
      <c r="V263" t="s">
        <v>93</v>
      </c>
      <c r="W263">
        <v>105</v>
      </c>
      <c r="X263">
        <v>15</v>
      </c>
      <c r="Y263">
        <v>10</v>
      </c>
      <c r="Z263" t="s">
        <v>478</v>
      </c>
      <c r="AA263" t="s">
        <v>479</v>
      </c>
      <c r="AB263" t="s">
        <v>96</v>
      </c>
      <c r="AC263" t="s">
        <v>97</v>
      </c>
      <c r="AD263" t="s">
        <v>98</v>
      </c>
      <c r="AE263" t="s">
        <v>430</v>
      </c>
      <c r="AG263" t="s">
        <v>480</v>
      </c>
      <c r="AH263">
        <v>0</v>
      </c>
      <c r="AI263">
        <v>320</v>
      </c>
      <c r="AJ263">
        <v>30</v>
      </c>
      <c r="AK263">
        <v>174</v>
      </c>
      <c r="AL263">
        <v>1.01</v>
      </c>
    </row>
    <row r="264" spans="1:38" x14ac:dyDescent="0.3">
      <c r="A264" t="s">
        <v>425</v>
      </c>
      <c r="B264">
        <v>8177</v>
      </c>
      <c r="C264">
        <v>1</v>
      </c>
      <c r="D264" t="s">
        <v>481</v>
      </c>
      <c r="E264" t="s">
        <v>482</v>
      </c>
      <c r="F264">
        <v>2063</v>
      </c>
      <c r="G264">
        <v>31.92</v>
      </c>
      <c r="H264">
        <v>105.55</v>
      </c>
      <c r="I264">
        <v>23.25</v>
      </c>
      <c r="J264">
        <v>76.89</v>
      </c>
      <c r="K264">
        <v>345</v>
      </c>
      <c r="T264">
        <v>3</v>
      </c>
      <c r="U264">
        <v>2</v>
      </c>
      <c r="V264" t="s">
        <v>93</v>
      </c>
      <c r="W264">
        <v>105</v>
      </c>
      <c r="X264">
        <v>30</v>
      </c>
      <c r="Y264">
        <v>20</v>
      </c>
      <c r="Z264" t="s">
        <v>483</v>
      </c>
      <c r="AA264" t="s">
        <v>484</v>
      </c>
      <c r="AB264" t="s">
        <v>96</v>
      </c>
      <c r="AC264" t="s">
        <v>97</v>
      </c>
      <c r="AD264" t="s">
        <v>98</v>
      </c>
      <c r="AE264" t="s">
        <v>430</v>
      </c>
      <c r="AG264" t="s">
        <v>485</v>
      </c>
      <c r="AH264">
        <v>0</v>
      </c>
      <c r="AI264">
        <v>238</v>
      </c>
      <c r="AJ264">
        <v>12</v>
      </c>
      <c r="AK264">
        <v>2813</v>
      </c>
      <c r="AL264">
        <v>1.36</v>
      </c>
    </row>
    <row r="265" spans="1:38" x14ac:dyDescent="0.3">
      <c r="A265" t="s">
        <v>425</v>
      </c>
      <c r="B265">
        <v>8177</v>
      </c>
      <c r="C265">
        <v>2</v>
      </c>
      <c r="D265" t="s">
        <v>481</v>
      </c>
      <c r="E265" t="s">
        <v>482</v>
      </c>
      <c r="F265">
        <v>2063</v>
      </c>
      <c r="G265">
        <v>34.4</v>
      </c>
      <c r="H265">
        <v>113.73</v>
      </c>
      <c r="I265">
        <v>25.57</v>
      </c>
      <c r="J265">
        <v>84.55</v>
      </c>
      <c r="K265">
        <v>233</v>
      </c>
      <c r="T265">
        <v>3</v>
      </c>
      <c r="U265">
        <v>2</v>
      </c>
      <c r="V265" t="s">
        <v>93</v>
      </c>
      <c r="W265">
        <v>113</v>
      </c>
      <c r="X265">
        <v>30</v>
      </c>
      <c r="Y265">
        <v>20</v>
      </c>
      <c r="Z265" t="s">
        <v>483</v>
      </c>
      <c r="AA265" t="s">
        <v>484</v>
      </c>
      <c r="AB265" t="s">
        <v>96</v>
      </c>
      <c r="AC265" t="s">
        <v>97</v>
      </c>
      <c r="AD265" t="s">
        <v>98</v>
      </c>
      <c r="AE265" t="s">
        <v>430</v>
      </c>
      <c r="AG265" t="s">
        <v>485</v>
      </c>
      <c r="AH265">
        <v>0</v>
      </c>
      <c r="AI265">
        <v>238</v>
      </c>
      <c r="AJ265">
        <v>12</v>
      </c>
      <c r="AK265">
        <v>2813</v>
      </c>
      <c r="AL265">
        <v>1.36</v>
      </c>
    </row>
    <row r="266" spans="1:38" x14ac:dyDescent="0.3">
      <c r="A266" t="s">
        <v>425</v>
      </c>
      <c r="B266">
        <v>8177</v>
      </c>
      <c r="C266">
        <v>3</v>
      </c>
      <c r="D266" t="s">
        <v>481</v>
      </c>
      <c r="E266" t="s">
        <v>482</v>
      </c>
      <c r="F266">
        <v>2063</v>
      </c>
      <c r="G266">
        <v>35.799999999999997</v>
      </c>
      <c r="H266">
        <v>118.35</v>
      </c>
      <c r="I266">
        <v>25.47</v>
      </c>
      <c r="J266">
        <v>84.23</v>
      </c>
      <c r="K266">
        <v>569</v>
      </c>
      <c r="T266">
        <v>3</v>
      </c>
      <c r="U266">
        <v>2</v>
      </c>
      <c r="V266" t="s">
        <v>93</v>
      </c>
      <c r="W266">
        <v>118</v>
      </c>
      <c r="X266">
        <v>30</v>
      </c>
      <c r="Y266">
        <v>20</v>
      </c>
      <c r="Z266" t="s">
        <v>483</v>
      </c>
      <c r="AA266" t="s">
        <v>484</v>
      </c>
      <c r="AB266" t="s">
        <v>96</v>
      </c>
      <c r="AC266" t="s">
        <v>97</v>
      </c>
      <c r="AD266" t="s">
        <v>98</v>
      </c>
      <c r="AE266" t="s">
        <v>430</v>
      </c>
      <c r="AG266" t="s">
        <v>485</v>
      </c>
      <c r="AH266">
        <v>0</v>
      </c>
      <c r="AI266">
        <v>238</v>
      </c>
      <c r="AJ266">
        <v>12</v>
      </c>
      <c r="AK266">
        <v>2813</v>
      </c>
      <c r="AL266">
        <v>1.36</v>
      </c>
    </row>
    <row r="267" spans="1:38" x14ac:dyDescent="0.3">
      <c r="A267" t="s">
        <v>425</v>
      </c>
      <c r="B267">
        <v>8177</v>
      </c>
      <c r="C267">
        <v>4</v>
      </c>
      <c r="D267" t="s">
        <v>481</v>
      </c>
      <c r="E267" t="s">
        <v>482</v>
      </c>
      <c r="F267">
        <v>2063</v>
      </c>
      <c r="G267">
        <v>39.82</v>
      </c>
      <c r="H267">
        <v>131.66</v>
      </c>
      <c r="I267">
        <v>30.62</v>
      </c>
      <c r="J267">
        <v>101.25</v>
      </c>
      <c r="K267">
        <v>443</v>
      </c>
      <c r="T267">
        <v>4</v>
      </c>
      <c r="U267">
        <v>2</v>
      </c>
      <c r="V267" t="s">
        <v>93</v>
      </c>
      <c r="W267">
        <v>131</v>
      </c>
      <c r="X267">
        <v>30</v>
      </c>
      <c r="Y267">
        <v>20</v>
      </c>
      <c r="Z267" t="s">
        <v>483</v>
      </c>
      <c r="AA267" t="s">
        <v>484</v>
      </c>
      <c r="AB267" t="s">
        <v>96</v>
      </c>
      <c r="AC267" t="s">
        <v>97</v>
      </c>
      <c r="AD267" t="s">
        <v>98</v>
      </c>
      <c r="AE267" t="s">
        <v>430</v>
      </c>
      <c r="AG267" t="s">
        <v>485</v>
      </c>
      <c r="AH267">
        <v>0</v>
      </c>
      <c r="AI267">
        <v>238</v>
      </c>
      <c r="AJ267">
        <v>12</v>
      </c>
      <c r="AK267">
        <v>2813</v>
      </c>
      <c r="AL267">
        <v>1.36</v>
      </c>
    </row>
    <row r="268" spans="1:38" x14ac:dyDescent="0.3">
      <c r="A268" t="s">
        <v>425</v>
      </c>
      <c r="B268">
        <v>8177</v>
      </c>
      <c r="C268">
        <v>5</v>
      </c>
      <c r="D268" t="s">
        <v>481</v>
      </c>
      <c r="E268" t="s">
        <v>482</v>
      </c>
      <c r="F268">
        <v>2063</v>
      </c>
      <c r="G268">
        <v>47.44</v>
      </c>
      <c r="H268">
        <v>156.84</v>
      </c>
      <c r="I268">
        <v>37</v>
      </c>
      <c r="J268">
        <v>122.34</v>
      </c>
      <c r="K268">
        <v>261</v>
      </c>
      <c r="T268">
        <v>4</v>
      </c>
      <c r="U268">
        <v>2</v>
      </c>
      <c r="V268" t="s">
        <v>93</v>
      </c>
      <c r="W268">
        <v>156</v>
      </c>
      <c r="X268">
        <v>30</v>
      </c>
      <c r="Y268">
        <v>20</v>
      </c>
      <c r="Z268" t="s">
        <v>483</v>
      </c>
      <c r="AA268" t="s">
        <v>484</v>
      </c>
      <c r="AB268" t="s">
        <v>96</v>
      </c>
      <c r="AC268" t="s">
        <v>97</v>
      </c>
      <c r="AD268" t="s">
        <v>98</v>
      </c>
      <c r="AE268" t="s">
        <v>430</v>
      </c>
      <c r="AG268" t="s">
        <v>485</v>
      </c>
      <c r="AH268">
        <v>0</v>
      </c>
      <c r="AI268">
        <v>238</v>
      </c>
      <c r="AJ268">
        <v>12</v>
      </c>
      <c r="AK268">
        <v>2813</v>
      </c>
      <c r="AL268">
        <v>1.36</v>
      </c>
    </row>
    <row r="269" spans="1:38" x14ac:dyDescent="0.3">
      <c r="A269" t="s">
        <v>425</v>
      </c>
      <c r="B269">
        <v>8177</v>
      </c>
      <c r="C269">
        <v>6</v>
      </c>
      <c r="D269" t="s">
        <v>481</v>
      </c>
      <c r="E269" t="s">
        <v>482</v>
      </c>
      <c r="F269">
        <v>2063</v>
      </c>
      <c r="G269">
        <v>57.9</v>
      </c>
      <c r="H269">
        <v>191.42</v>
      </c>
      <c r="I269">
        <v>46.98</v>
      </c>
      <c r="J269">
        <v>155.33000000000001</v>
      </c>
      <c r="K269">
        <v>152</v>
      </c>
      <c r="T269">
        <v>5</v>
      </c>
      <c r="U269">
        <v>2</v>
      </c>
      <c r="V269" t="s">
        <v>93</v>
      </c>
      <c r="W269">
        <v>191</v>
      </c>
      <c r="X269">
        <v>30</v>
      </c>
      <c r="Y269">
        <v>20</v>
      </c>
      <c r="Z269" t="s">
        <v>483</v>
      </c>
      <c r="AA269" t="s">
        <v>484</v>
      </c>
      <c r="AB269" t="s">
        <v>96</v>
      </c>
      <c r="AC269" t="s">
        <v>97</v>
      </c>
      <c r="AD269" t="s">
        <v>98</v>
      </c>
      <c r="AE269" t="s">
        <v>430</v>
      </c>
      <c r="AG269" t="s">
        <v>485</v>
      </c>
      <c r="AH269">
        <v>0</v>
      </c>
      <c r="AI269">
        <v>238</v>
      </c>
      <c r="AJ269">
        <v>12</v>
      </c>
      <c r="AK269">
        <v>2813</v>
      </c>
      <c r="AL269">
        <v>1.36</v>
      </c>
    </row>
    <row r="270" spans="1:38" x14ac:dyDescent="0.3">
      <c r="A270" t="s">
        <v>425</v>
      </c>
      <c r="B270">
        <v>8177</v>
      </c>
      <c r="C270">
        <v>7</v>
      </c>
      <c r="D270" t="s">
        <v>481</v>
      </c>
      <c r="E270" t="s">
        <v>482</v>
      </c>
      <c r="F270">
        <v>2063</v>
      </c>
      <c r="G270">
        <v>69.69</v>
      </c>
      <c r="H270">
        <v>230.39</v>
      </c>
      <c r="I270">
        <v>57.45</v>
      </c>
      <c r="J270">
        <v>189.95</v>
      </c>
      <c r="K270">
        <v>60</v>
      </c>
      <c r="T270">
        <v>4</v>
      </c>
      <c r="U270">
        <v>3</v>
      </c>
      <c r="V270" t="s">
        <v>93</v>
      </c>
      <c r="W270">
        <v>230</v>
      </c>
      <c r="X270">
        <v>30</v>
      </c>
      <c r="Y270">
        <v>20</v>
      </c>
      <c r="Z270" t="s">
        <v>483</v>
      </c>
      <c r="AA270" t="s">
        <v>484</v>
      </c>
      <c r="AB270" t="s">
        <v>96</v>
      </c>
      <c r="AC270" t="s">
        <v>97</v>
      </c>
      <c r="AD270" t="s">
        <v>98</v>
      </c>
      <c r="AE270" t="s">
        <v>430</v>
      </c>
      <c r="AG270" t="s">
        <v>485</v>
      </c>
      <c r="AH270">
        <v>0</v>
      </c>
      <c r="AI270">
        <v>238</v>
      </c>
      <c r="AJ270">
        <v>12</v>
      </c>
      <c r="AK270">
        <v>2813</v>
      </c>
      <c r="AL270">
        <v>1.36</v>
      </c>
    </row>
    <row r="271" spans="1:38" x14ac:dyDescent="0.3">
      <c r="A271" t="s">
        <v>425</v>
      </c>
      <c r="B271">
        <v>125167</v>
      </c>
      <c r="C271">
        <v>1</v>
      </c>
      <c r="D271" t="s">
        <v>486</v>
      </c>
      <c r="E271" t="s">
        <v>487</v>
      </c>
      <c r="F271">
        <v>19</v>
      </c>
      <c r="G271">
        <v>9.74</v>
      </c>
      <c r="H271">
        <v>32.22</v>
      </c>
      <c r="I271">
        <v>7.56</v>
      </c>
      <c r="J271">
        <v>25.02</v>
      </c>
      <c r="K271">
        <v>4</v>
      </c>
      <c r="T271">
        <v>1</v>
      </c>
      <c r="U271">
        <v>1</v>
      </c>
      <c r="V271" t="s">
        <v>93</v>
      </c>
      <c r="W271" t="s">
        <v>488</v>
      </c>
      <c r="X271">
        <v>6</v>
      </c>
      <c r="Y271">
        <v>5</v>
      </c>
      <c r="Z271" t="s">
        <v>489</v>
      </c>
      <c r="AA271" t="s">
        <v>490</v>
      </c>
      <c r="AB271" t="s">
        <v>96</v>
      </c>
      <c r="AC271" t="s">
        <v>97</v>
      </c>
      <c r="AD271" t="s">
        <v>98</v>
      </c>
      <c r="AE271" t="s">
        <v>430</v>
      </c>
      <c r="AG271" t="s">
        <v>491</v>
      </c>
      <c r="AH271">
        <v>0</v>
      </c>
      <c r="AI271">
        <v>229</v>
      </c>
      <c r="AJ271">
        <v>59</v>
      </c>
      <c r="AK271">
        <v>16</v>
      </c>
      <c r="AL271">
        <v>0.84</v>
      </c>
    </row>
    <row r="272" spans="1:38" x14ac:dyDescent="0.3">
      <c r="A272" t="s">
        <v>425</v>
      </c>
      <c r="B272">
        <v>125167</v>
      </c>
      <c r="C272">
        <v>2</v>
      </c>
      <c r="D272" t="s">
        <v>486</v>
      </c>
      <c r="E272" t="s">
        <v>487</v>
      </c>
      <c r="F272">
        <v>19</v>
      </c>
      <c r="G272">
        <v>9.76</v>
      </c>
      <c r="H272">
        <v>32.270000000000003</v>
      </c>
      <c r="I272">
        <v>7.58</v>
      </c>
      <c r="J272">
        <v>25.06</v>
      </c>
      <c r="K272">
        <v>2</v>
      </c>
      <c r="T272">
        <v>1</v>
      </c>
      <c r="U272">
        <v>1</v>
      </c>
      <c r="V272" t="s">
        <v>93</v>
      </c>
      <c r="W272">
        <v>32</v>
      </c>
      <c r="X272">
        <v>6</v>
      </c>
      <c r="Y272">
        <v>5</v>
      </c>
      <c r="Z272" t="s">
        <v>489</v>
      </c>
      <c r="AA272" t="s">
        <v>490</v>
      </c>
      <c r="AB272" t="s">
        <v>96</v>
      </c>
      <c r="AC272" t="s">
        <v>97</v>
      </c>
      <c r="AD272" t="s">
        <v>98</v>
      </c>
      <c r="AE272" t="s">
        <v>430</v>
      </c>
      <c r="AG272" t="s">
        <v>491</v>
      </c>
      <c r="AH272">
        <v>0</v>
      </c>
      <c r="AI272">
        <v>229</v>
      </c>
      <c r="AJ272">
        <v>59</v>
      </c>
      <c r="AK272">
        <v>16</v>
      </c>
      <c r="AL272">
        <v>0.84</v>
      </c>
    </row>
    <row r="273" spans="1:38" x14ac:dyDescent="0.3">
      <c r="A273" t="s">
        <v>425</v>
      </c>
      <c r="B273">
        <v>125167</v>
      </c>
      <c r="C273">
        <v>3</v>
      </c>
      <c r="D273" t="s">
        <v>486</v>
      </c>
      <c r="E273" t="s">
        <v>487</v>
      </c>
      <c r="F273">
        <v>19</v>
      </c>
      <c r="G273">
        <v>11.08</v>
      </c>
      <c r="H273">
        <v>36.630000000000003</v>
      </c>
      <c r="I273">
        <v>8.6</v>
      </c>
      <c r="J273">
        <v>28.44</v>
      </c>
      <c r="K273">
        <v>5</v>
      </c>
      <c r="T273">
        <v>1</v>
      </c>
      <c r="U273">
        <v>1</v>
      </c>
      <c r="V273" t="s">
        <v>93</v>
      </c>
      <c r="W273" t="s">
        <v>492</v>
      </c>
      <c r="X273">
        <v>6</v>
      </c>
      <c r="Y273">
        <v>5</v>
      </c>
      <c r="Z273" t="s">
        <v>489</v>
      </c>
      <c r="AA273" t="s">
        <v>490</v>
      </c>
      <c r="AB273" t="s">
        <v>96</v>
      </c>
      <c r="AC273" t="s">
        <v>97</v>
      </c>
      <c r="AD273" t="s">
        <v>98</v>
      </c>
      <c r="AE273" t="s">
        <v>430</v>
      </c>
      <c r="AG273" t="s">
        <v>491</v>
      </c>
      <c r="AH273">
        <v>0</v>
      </c>
      <c r="AI273">
        <v>229</v>
      </c>
      <c r="AJ273">
        <v>59</v>
      </c>
      <c r="AK273">
        <v>16</v>
      </c>
      <c r="AL273">
        <v>0.84</v>
      </c>
    </row>
    <row r="274" spans="1:38" x14ac:dyDescent="0.3">
      <c r="A274" t="s">
        <v>425</v>
      </c>
      <c r="B274">
        <v>125167</v>
      </c>
      <c r="C274">
        <v>4</v>
      </c>
      <c r="D274" t="s">
        <v>486</v>
      </c>
      <c r="E274" t="s">
        <v>487</v>
      </c>
      <c r="F274">
        <v>19</v>
      </c>
      <c r="G274">
        <v>11.42</v>
      </c>
      <c r="H274">
        <v>37.78</v>
      </c>
      <c r="I274">
        <v>8.8699999999999992</v>
      </c>
      <c r="J274">
        <v>29.34</v>
      </c>
      <c r="K274">
        <v>2</v>
      </c>
      <c r="T274">
        <v>1</v>
      </c>
      <c r="U274">
        <v>1</v>
      </c>
      <c r="V274" t="s">
        <v>93</v>
      </c>
      <c r="W274" t="s">
        <v>493</v>
      </c>
      <c r="X274">
        <v>6</v>
      </c>
      <c r="Y274">
        <v>5</v>
      </c>
      <c r="Z274" t="s">
        <v>489</v>
      </c>
      <c r="AA274" t="s">
        <v>490</v>
      </c>
      <c r="AB274" t="s">
        <v>96</v>
      </c>
      <c r="AC274" t="s">
        <v>97</v>
      </c>
      <c r="AD274" t="s">
        <v>98</v>
      </c>
      <c r="AE274" t="s">
        <v>430</v>
      </c>
      <c r="AG274" t="s">
        <v>491</v>
      </c>
      <c r="AH274">
        <v>0</v>
      </c>
      <c r="AI274">
        <v>229</v>
      </c>
      <c r="AJ274">
        <v>59</v>
      </c>
      <c r="AK274">
        <v>16</v>
      </c>
      <c r="AL274">
        <v>0.84</v>
      </c>
    </row>
    <row r="275" spans="1:38" x14ac:dyDescent="0.3">
      <c r="A275" t="s">
        <v>425</v>
      </c>
      <c r="B275">
        <v>125167</v>
      </c>
      <c r="C275">
        <v>5</v>
      </c>
      <c r="D275" t="s">
        <v>486</v>
      </c>
      <c r="E275" t="s">
        <v>487</v>
      </c>
      <c r="F275">
        <v>19</v>
      </c>
      <c r="G275">
        <v>11.44</v>
      </c>
      <c r="H275">
        <v>37.83</v>
      </c>
      <c r="I275">
        <v>8.8800000000000008</v>
      </c>
      <c r="J275">
        <v>29.38</v>
      </c>
      <c r="K275">
        <v>1</v>
      </c>
      <c r="T275">
        <v>1</v>
      </c>
      <c r="U275">
        <v>1</v>
      </c>
      <c r="V275" t="s">
        <v>93</v>
      </c>
      <c r="W275" t="s">
        <v>494</v>
      </c>
      <c r="X275">
        <v>6</v>
      </c>
      <c r="Y275">
        <v>5</v>
      </c>
      <c r="Z275" t="s">
        <v>489</v>
      </c>
      <c r="AA275" t="s">
        <v>490</v>
      </c>
      <c r="AB275" t="s">
        <v>96</v>
      </c>
      <c r="AC275" t="s">
        <v>97</v>
      </c>
      <c r="AD275" t="s">
        <v>98</v>
      </c>
      <c r="AE275" t="s">
        <v>430</v>
      </c>
      <c r="AG275" t="s">
        <v>491</v>
      </c>
      <c r="AH275">
        <v>0</v>
      </c>
      <c r="AI275">
        <v>229</v>
      </c>
      <c r="AJ275">
        <v>59</v>
      </c>
      <c r="AK275">
        <v>16</v>
      </c>
      <c r="AL275">
        <v>0.84</v>
      </c>
    </row>
    <row r="276" spans="1:38" x14ac:dyDescent="0.3">
      <c r="A276" t="s">
        <v>425</v>
      </c>
      <c r="B276">
        <v>125167</v>
      </c>
      <c r="C276">
        <v>6</v>
      </c>
      <c r="D276" t="s">
        <v>486</v>
      </c>
      <c r="E276" t="s">
        <v>487</v>
      </c>
      <c r="F276">
        <v>19</v>
      </c>
      <c r="G276">
        <v>11.51</v>
      </c>
      <c r="H276">
        <v>38.07</v>
      </c>
      <c r="I276">
        <v>8.94</v>
      </c>
      <c r="J276">
        <v>29.56</v>
      </c>
      <c r="K276">
        <v>2</v>
      </c>
      <c r="T276">
        <v>1</v>
      </c>
      <c r="U276">
        <v>1</v>
      </c>
      <c r="V276" t="s">
        <v>93</v>
      </c>
      <c r="W276">
        <v>38</v>
      </c>
      <c r="X276">
        <v>6</v>
      </c>
      <c r="Y276">
        <v>5</v>
      </c>
      <c r="Z276" t="s">
        <v>489</v>
      </c>
      <c r="AA276" t="s">
        <v>490</v>
      </c>
      <c r="AB276" t="s">
        <v>96</v>
      </c>
      <c r="AC276" t="s">
        <v>97</v>
      </c>
      <c r="AD276" t="s">
        <v>98</v>
      </c>
      <c r="AE276" t="s">
        <v>430</v>
      </c>
      <c r="AG276" t="s">
        <v>491</v>
      </c>
      <c r="AH276">
        <v>0</v>
      </c>
      <c r="AI276">
        <v>229</v>
      </c>
      <c r="AJ276">
        <v>59</v>
      </c>
      <c r="AK276">
        <v>16</v>
      </c>
      <c r="AL276">
        <v>0.84</v>
      </c>
    </row>
    <row r="277" spans="1:38" x14ac:dyDescent="0.3">
      <c r="A277" t="s">
        <v>425</v>
      </c>
      <c r="B277">
        <v>125167</v>
      </c>
      <c r="C277">
        <v>7</v>
      </c>
      <c r="D277" t="s">
        <v>486</v>
      </c>
      <c r="E277" t="s">
        <v>487</v>
      </c>
      <c r="F277">
        <v>19</v>
      </c>
      <c r="G277">
        <v>12.76</v>
      </c>
      <c r="H277">
        <v>42.19</v>
      </c>
      <c r="I277">
        <v>9.9</v>
      </c>
      <c r="J277">
        <v>32.76</v>
      </c>
      <c r="K277">
        <v>1</v>
      </c>
      <c r="T277">
        <v>1</v>
      </c>
      <c r="U277">
        <v>1</v>
      </c>
      <c r="V277" t="s">
        <v>93</v>
      </c>
      <c r="W277" t="s">
        <v>495</v>
      </c>
      <c r="X277">
        <v>6</v>
      </c>
      <c r="Y277">
        <v>5</v>
      </c>
      <c r="Z277" t="s">
        <v>489</v>
      </c>
      <c r="AA277" t="s">
        <v>490</v>
      </c>
      <c r="AB277" t="s">
        <v>96</v>
      </c>
      <c r="AC277" t="s">
        <v>97</v>
      </c>
      <c r="AD277" t="s">
        <v>98</v>
      </c>
      <c r="AE277" t="s">
        <v>430</v>
      </c>
      <c r="AG277" t="s">
        <v>491</v>
      </c>
      <c r="AH277">
        <v>0</v>
      </c>
      <c r="AI277">
        <v>229</v>
      </c>
      <c r="AJ277">
        <v>59</v>
      </c>
      <c r="AK277">
        <v>16</v>
      </c>
      <c r="AL277">
        <v>0.84</v>
      </c>
    </row>
    <row r="278" spans="1:38" x14ac:dyDescent="0.3">
      <c r="A278" t="s">
        <v>425</v>
      </c>
      <c r="B278">
        <v>125167</v>
      </c>
      <c r="C278">
        <v>8</v>
      </c>
      <c r="D278" t="s">
        <v>486</v>
      </c>
      <c r="E278" t="s">
        <v>487</v>
      </c>
      <c r="F278">
        <v>19</v>
      </c>
      <c r="G278">
        <v>12.82</v>
      </c>
      <c r="H278">
        <v>42.4</v>
      </c>
      <c r="I278">
        <v>9.9499999999999993</v>
      </c>
      <c r="J278">
        <v>32.92</v>
      </c>
      <c r="K278">
        <v>1</v>
      </c>
      <c r="T278">
        <v>1</v>
      </c>
      <c r="U278">
        <v>1</v>
      </c>
      <c r="V278" t="s">
        <v>93</v>
      </c>
      <c r="W278" t="s">
        <v>496</v>
      </c>
      <c r="X278">
        <v>6</v>
      </c>
      <c r="Y278">
        <v>5</v>
      </c>
      <c r="Z278" t="s">
        <v>489</v>
      </c>
      <c r="AA278" t="s">
        <v>490</v>
      </c>
      <c r="AB278" t="s">
        <v>96</v>
      </c>
      <c r="AC278" t="s">
        <v>97</v>
      </c>
      <c r="AD278" t="s">
        <v>98</v>
      </c>
      <c r="AE278" t="s">
        <v>430</v>
      </c>
      <c r="AG278" t="s">
        <v>491</v>
      </c>
      <c r="AH278">
        <v>0</v>
      </c>
      <c r="AI278">
        <v>229</v>
      </c>
      <c r="AJ278">
        <v>59</v>
      </c>
      <c r="AK278">
        <v>16</v>
      </c>
      <c r="AL278">
        <v>0.84</v>
      </c>
    </row>
    <row r="279" spans="1:38" x14ac:dyDescent="0.3">
      <c r="A279" t="s">
        <v>425</v>
      </c>
      <c r="B279">
        <v>125167</v>
      </c>
      <c r="C279">
        <v>9</v>
      </c>
      <c r="D279" t="s">
        <v>486</v>
      </c>
      <c r="E279" t="s">
        <v>487</v>
      </c>
      <c r="F279">
        <v>19</v>
      </c>
      <c r="G279">
        <v>53.2</v>
      </c>
      <c r="H279">
        <v>175.9</v>
      </c>
      <c r="I279">
        <v>41.31</v>
      </c>
      <c r="J279">
        <v>136.59</v>
      </c>
      <c r="K279">
        <v>1</v>
      </c>
      <c r="T279">
        <v>4</v>
      </c>
      <c r="U279">
        <v>2</v>
      </c>
      <c r="V279" t="s">
        <v>93</v>
      </c>
      <c r="W279">
        <v>175</v>
      </c>
      <c r="X279">
        <v>6</v>
      </c>
      <c r="Y279">
        <v>5</v>
      </c>
      <c r="Z279" t="s">
        <v>489</v>
      </c>
      <c r="AA279" t="s">
        <v>490</v>
      </c>
      <c r="AB279" t="s">
        <v>96</v>
      </c>
      <c r="AC279" t="s">
        <v>97</v>
      </c>
      <c r="AD279" t="s">
        <v>98</v>
      </c>
      <c r="AE279" t="s">
        <v>430</v>
      </c>
      <c r="AG279" t="s">
        <v>491</v>
      </c>
      <c r="AH279">
        <v>0</v>
      </c>
      <c r="AI279">
        <v>229</v>
      </c>
      <c r="AJ279">
        <v>59</v>
      </c>
      <c r="AK279">
        <v>16</v>
      </c>
      <c r="AL279">
        <v>0.84</v>
      </c>
    </row>
    <row r="280" spans="1:38" x14ac:dyDescent="0.3">
      <c r="A280" t="s">
        <v>425</v>
      </c>
      <c r="B280">
        <v>1822</v>
      </c>
      <c r="C280">
        <v>1</v>
      </c>
      <c r="D280" t="s">
        <v>497</v>
      </c>
      <c r="E280" t="s">
        <v>498</v>
      </c>
      <c r="F280">
        <v>404</v>
      </c>
      <c r="G280">
        <v>27.31</v>
      </c>
      <c r="H280">
        <v>90.3</v>
      </c>
      <c r="I280">
        <v>22.24</v>
      </c>
      <c r="J280">
        <v>73.53</v>
      </c>
      <c r="K280">
        <v>114</v>
      </c>
      <c r="T280">
        <v>3</v>
      </c>
      <c r="U280">
        <v>1</v>
      </c>
      <c r="V280" t="s">
        <v>93</v>
      </c>
      <c r="W280">
        <v>90</v>
      </c>
      <c r="X280">
        <v>5</v>
      </c>
      <c r="Y280">
        <v>4</v>
      </c>
      <c r="Z280" t="s">
        <v>499</v>
      </c>
      <c r="AA280" t="s">
        <v>500</v>
      </c>
      <c r="AB280" t="s">
        <v>96</v>
      </c>
      <c r="AC280" t="s">
        <v>97</v>
      </c>
      <c r="AD280" t="s">
        <v>98</v>
      </c>
      <c r="AE280" t="s">
        <v>430</v>
      </c>
      <c r="AG280" t="s">
        <v>501</v>
      </c>
      <c r="AH280">
        <v>0</v>
      </c>
      <c r="AI280">
        <v>120</v>
      </c>
      <c r="AJ280">
        <v>24</v>
      </c>
      <c r="AK280">
        <v>0</v>
      </c>
      <c r="AL280">
        <v>0</v>
      </c>
    </row>
    <row r="281" spans="1:38" x14ac:dyDescent="0.3">
      <c r="A281" t="s">
        <v>425</v>
      </c>
      <c r="B281">
        <v>1822</v>
      </c>
      <c r="C281">
        <v>2</v>
      </c>
      <c r="D281" t="s">
        <v>497</v>
      </c>
      <c r="E281" t="s">
        <v>498</v>
      </c>
      <c r="F281">
        <v>404</v>
      </c>
      <c r="G281">
        <v>31.24</v>
      </c>
      <c r="H281">
        <v>103.3</v>
      </c>
      <c r="I281">
        <v>25.68</v>
      </c>
      <c r="J281">
        <v>84.91</v>
      </c>
      <c r="K281">
        <v>150</v>
      </c>
      <c r="T281">
        <v>3</v>
      </c>
      <c r="U281">
        <v>1</v>
      </c>
      <c r="V281" t="s">
        <v>93</v>
      </c>
      <c r="W281">
        <v>103</v>
      </c>
      <c r="X281">
        <v>5</v>
      </c>
      <c r="Y281">
        <v>4</v>
      </c>
      <c r="Z281" t="s">
        <v>499</v>
      </c>
      <c r="AA281" t="s">
        <v>500</v>
      </c>
      <c r="AB281" t="s">
        <v>96</v>
      </c>
      <c r="AC281" t="s">
        <v>97</v>
      </c>
      <c r="AD281" t="s">
        <v>98</v>
      </c>
      <c r="AE281" t="s">
        <v>430</v>
      </c>
      <c r="AG281" t="s">
        <v>501</v>
      </c>
      <c r="AH281">
        <v>0</v>
      </c>
      <c r="AI281">
        <v>120</v>
      </c>
      <c r="AJ281">
        <v>24</v>
      </c>
      <c r="AK281">
        <v>0</v>
      </c>
      <c r="AL281">
        <v>0</v>
      </c>
    </row>
    <row r="282" spans="1:38" x14ac:dyDescent="0.3">
      <c r="A282" t="s">
        <v>425</v>
      </c>
      <c r="B282">
        <v>1822</v>
      </c>
      <c r="C282">
        <v>3</v>
      </c>
      <c r="D282" t="s">
        <v>497</v>
      </c>
      <c r="E282" t="s">
        <v>498</v>
      </c>
      <c r="F282">
        <v>404</v>
      </c>
      <c r="G282">
        <v>44.76</v>
      </c>
      <c r="H282">
        <v>147.97999999999999</v>
      </c>
      <c r="I282">
        <v>38.25</v>
      </c>
      <c r="J282">
        <v>126.45</v>
      </c>
      <c r="K282">
        <v>140</v>
      </c>
      <c r="T282">
        <v>4</v>
      </c>
      <c r="U282">
        <v>2</v>
      </c>
      <c r="V282" t="s">
        <v>93</v>
      </c>
      <c r="W282">
        <v>147</v>
      </c>
      <c r="X282">
        <v>5</v>
      </c>
      <c r="Y282">
        <v>4</v>
      </c>
      <c r="Z282" t="s">
        <v>499</v>
      </c>
      <c r="AA282" t="s">
        <v>500</v>
      </c>
      <c r="AB282" t="s">
        <v>96</v>
      </c>
      <c r="AC282" t="s">
        <v>97</v>
      </c>
      <c r="AD282" t="s">
        <v>98</v>
      </c>
      <c r="AE282" t="s">
        <v>430</v>
      </c>
      <c r="AG282" t="s">
        <v>501</v>
      </c>
      <c r="AH282">
        <v>0</v>
      </c>
      <c r="AI282">
        <v>120</v>
      </c>
      <c r="AJ282">
        <v>24</v>
      </c>
      <c r="AK282">
        <v>0</v>
      </c>
      <c r="AL282">
        <v>0</v>
      </c>
    </row>
    <row r="283" spans="1:38" x14ac:dyDescent="0.3">
      <c r="A283" t="s">
        <v>425</v>
      </c>
      <c r="B283">
        <v>106221</v>
      </c>
      <c r="C283">
        <v>1</v>
      </c>
      <c r="D283" t="s">
        <v>502</v>
      </c>
      <c r="E283" t="s">
        <v>503</v>
      </c>
      <c r="F283">
        <v>159</v>
      </c>
      <c r="G283">
        <v>7.68</v>
      </c>
      <c r="H283">
        <v>25.39</v>
      </c>
      <c r="I283">
        <v>4.46</v>
      </c>
      <c r="J283">
        <v>14.75</v>
      </c>
      <c r="K283">
        <v>11</v>
      </c>
      <c r="T283">
        <v>1</v>
      </c>
      <c r="U283">
        <v>1</v>
      </c>
      <c r="V283" t="s">
        <v>93</v>
      </c>
      <c r="W283" t="s">
        <v>504</v>
      </c>
      <c r="X283">
        <v>14</v>
      </c>
      <c r="Y283">
        <v>14</v>
      </c>
      <c r="Z283" t="s">
        <v>505</v>
      </c>
      <c r="AA283" t="s">
        <v>506</v>
      </c>
      <c r="AB283" t="s">
        <v>96</v>
      </c>
      <c r="AC283" t="s">
        <v>97</v>
      </c>
      <c r="AD283" t="s">
        <v>98</v>
      </c>
      <c r="AE283" t="s">
        <v>430</v>
      </c>
      <c r="AG283" t="s">
        <v>507</v>
      </c>
      <c r="AH283">
        <v>0</v>
      </c>
      <c r="AI283">
        <v>399</v>
      </c>
      <c r="AJ283">
        <v>57</v>
      </c>
      <c r="AK283">
        <v>92</v>
      </c>
      <c r="AL283">
        <v>0.57999999999999996</v>
      </c>
    </row>
    <row r="284" spans="1:38" x14ac:dyDescent="0.3">
      <c r="A284" t="s">
        <v>425</v>
      </c>
      <c r="B284">
        <v>106221</v>
      </c>
      <c r="C284">
        <v>2</v>
      </c>
      <c r="D284" t="s">
        <v>502</v>
      </c>
      <c r="E284" t="s">
        <v>503</v>
      </c>
      <c r="F284">
        <v>159</v>
      </c>
      <c r="G284">
        <v>7.65</v>
      </c>
      <c r="H284">
        <v>25.31</v>
      </c>
      <c r="I284">
        <v>4.4400000000000004</v>
      </c>
      <c r="J284">
        <v>14.7</v>
      </c>
      <c r="K284">
        <v>11</v>
      </c>
      <c r="T284">
        <v>1</v>
      </c>
      <c r="U284">
        <v>1</v>
      </c>
      <c r="V284" t="s">
        <v>93</v>
      </c>
      <c r="W284" t="s">
        <v>508</v>
      </c>
      <c r="X284">
        <v>14</v>
      </c>
      <c r="Y284">
        <v>14</v>
      </c>
      <c r="Z284" t="s">
        <v>505</v>
      </c>
      <c r="AA284" t="s">
        <v>506</v>
      </c>
      <c r="AB284" t="s">
        <v>96</v>
      </c>
      <c r="AC284" t="s">
        <v>97</v>
      </c>
      <c r="AD284" t="s">
        <v>98</v>
      </c>
      <c r="AE284" t="s">
        <v>430</v>
      </c>
      <c r="AG284" t="s">
        <v>507</v>
      </c>
      <c r="AH284">
        <v>0</v>
      </c>
      <c r="AI284">
        <v>399</v>
      </c>
      <c r="AJ284">
        <v>57</v>
      </c>
      <c r="AK284">
        <v>92</v>
      </c>
      <c r="AL284">
        <v>0.57999999999999996</v>
      </c>
    </row>
    <row r="285" spans="1:38" x14ac:dyDescent="0.3">
      <c r="A285" t="s">
        <v>425</v>
      </c>
      <c r="B285">
        <v>106221</v>
      </c>
      <c r="C285">
        <v>3</v>
      </c>
      <c r="D285" t="s">
        <v>502</v>
      </c>
      <c r="E285" t="s">
        <v>503</v>
      </c>
      <c r="F285">
        <v>159</v>
      </c>
      <c r="G285">
        <v>9.59</v>
      </c>
      <c r="H285">
        <v>31.71</v>
      </c>
      <c r="I285">
        <v>5.57</v>
      </c>
      <c r="J285">
        <v>18.420000000000002</v>
      </c>
      <c r="K285">
        <v>52</v>
      </c>
      <c r="T285">
        <v>1</v>
      </c>
      <c r="U285">
        <v>1</v>
      </c>
      <c r="V285" t="s">
        <v>93</v>
      </c>
      <c r="W285" t="s">
        <v>509</v>
      </c>
      <c r="X285">
        <v>14</v>
      </c>
      <c r="Y285">
        <v>14</v>
      </c>
      <c r="Z285" t="s">
        <v>505</v>
      </c>
      <c r="AA285" t="s">
        <v>506</v>
      </c>
      <c r="AB285" t="s">
        <v>96</v>
      </c>
      <c r="AC285" t="s">
        <v>97</v>
      </c>
      <c r="AD285" t="s">
        <v>98</v>
      </c>
      <c r="AE285" t="s">
        <v>430</v>
      </c>
      <c r="AG285" t="s">
        <v>507</v>
      </c>
      <c r="AH285">
        <v>0</v>
      </c>
      <c r="AI285">
        <v>399</v>
      </c>
      <c r="AJ285">
        <v>57</v>
      </c>
      <c r="AK285">
        <v>92</v>
      </c>
      <c r="AL285">
        <v>0.57999999999999996</v>
      </c>
    </row>
    <row r="286" spans="1:38" x14ac:dyDescent="0.3">
      <c r="A286" t="s">
        <v>425</v>
      </c>
      <c r="B286">
        <v>106221</v>
      </c>
      <c r="C286">
        <v>4</v>
      </c>
      <c r="D286" t="s">
        <v>502</v>
      </c>
      <c r="E286" t="s">
        <v>503</v>
      </c>
      <c r="F286">
        <v>159</v>
      </c>
      <c r="G286">
        <v>9.98</v>
      </c>
      <c r="H286">
        <v>33</v>
      </c>
      <c r="I286">
        <v>5.8</v>
      </c>
      <c r="J286">
        <v>19.18</v>
      </c>
      <c r="K286">
        <v>85</v>
      </c>
      <c r="T286">
        <v>1</v>
      </c>
      <c r="U286">
        <v>1</v>
      </c>
      <c r="V286" t="s">
        <v>93</v>
      </c>
      <c r="W286" t="s">
        <v>510</v>
      </c>
      <c r="X286">
        <v>14</v>
      </c>
      <c r="Y286">
        <v>14</v>
      </c>
      <c r="Z286" t="s">
        <v>505</v>
      </c>
      <c r="AA286" t="s">
        <v>506</v>
      </c>
      <c r="AB286" t="s">
        <v>96</v>
      </c>
      <c r="AC286" t="s">
        <v>97</v>
      </c>
      <c r="AD286" t="s">
        <v>98</v>
      </c>
      <c r="AE286" t="s">
        <v>430</v>
      </c>
      <c r="AG286" t="s">
        <v>507</v>
      </c>
      <c r="AH286">
        <v>0</v>
      </c>
      <c r="AI286">
        <v>399</v>
      </c>
      <c r="AJ286">
        <v>57</v>
      </c>
      <c r="AK286">
        <v>92</v>
      </c>
      <c r="AL286">
        <v>0.57999999999999996</v>
      </c>
    </row>
    <row r="287" spans="1:38" x14ac:dyDescent="0.3">
      <c r="A287" t="s">
        <v>425</v>
      </c>
      <c r="B287">
        <v>116384</v>
      </c>
      <c r="C287">
        <v>1</v>
      </c>
      <c r="D287" t="s">
        <v>511</v>
      </c>
      <c r="E287" t="s">
        <v>512</v>
      </c>
      <c r="F287">
        <v>24</v>
      </c>
      <c r="G287">
        <v>14.29</v>
      </c>
      <c r="H287">
        <v>47.26</v>
      </c>
      <c r="I287">
        <v>12.25</v>
      </c>
      <c r="J287">
        <v>40.51</v>
      </c>
      <c r="K287">
        <v>1</v>
      </c>
      <c r="T287">
        <v>1</v>
      </c>
      <c r="U287">
        <v>1</v>
      </c>
      <c r="V287" t="s">
        <v>118</v>
      </c>
      <c r="W287">
        <v>47</v>
      </c>
      <c r="X287">
        <v>7</v>
      </c>
      <c r="Y287">
        <v>7</v>
      </c>
      <c r="Z287" t="s">
        <v>513</v>
      </c>
      <c r="AA287" t="s">
        <v>514</v>
      </c>
      <c r="AB287" t="s">
        <v>96</v>
      </c>
      <c r="AC287" t="s">
        <v>97</v>
      </c>
      <c r="AD287" t="s">
        <v>98</v>
      </c>
      <c r="AE287" t="s">
        <v>430</v>
      </c>
      <c r="AG287" t="s">
        <v>515</v>
      </c>
      <c r="AH287">
        <v>0</v>
      </c>
      <c r="AI287">
        <v>179</v>
      </c>
      <c r="AJ287">
        <v>34</v>
      </c>
      <c r="AK287">
        <v>24</v>
      </c>
      <c r="AL287">
        <v>1</v>
      </c>
    </row>
    <row r="288" spans="1:38" x14ac:dyDescent="0.3">
      <c r="A288" t="s">
        <v>425</v>
      </c>
      <c r="B288">
        <v>116384</v>
      </c>
      <c r="C288">
        <v>2</v>
      </c>
      <c r="D288" t="s">
        <v>511</v>
      </c>
      <c r="E288" t="s">
        <v>512</v>
      </c>
      <c r="F288">
        <v>24</v>
      </c>
      <c r="G288">
        <v>15.75</v>
      </c>
      <c r="H288">
        <v>52.08</v>
      </c>
      <c r="I288">
        <v>13.55</v>
      </c>
      <c r="J288">
        <v>44.82</v>
      </c>
      <c r="K288">
        <v>1</v>
      </c>
      <c r="T288">
        <v>2</v>
      </c>
      <c r="U288">
        <v>1</v>
      </c>
      <c r="V288" t="s">
        <v>118</v>
      </c>
      <c r="W288">
        <v>52</v>
      </c>
      <c r="X288">
        <v>7</v>
      </c>
      <c r="Y288">
        <v>7</v>
      </c>
      <c r="Z288" t="s">
        <v>513</v>
      </c>
      <c r="AA288" t="s">
        <v>514</v>
      </c>
      <c r="AB288" t="s">
        <v>96</v>
      </c>
      <c r="AC288" t="s">
        <v>97</v>
      </c>
      <c r="AD288" t="s">
        <v>98</v>
      </c>
      <c r="AE288" t="s">
        <v>430</v>
      </c>
      <c r="AG288" t="s">
        <v>515</v>
      </c>
      <c r="AH288">
        <v>0</v>
      </c>
      <c r="AI288">
        <v>179</v>
      </c>
      <c r="AJ288">
        <v>34</v>
      </c>
      <c r="AK288">
        <v>24</v>
      </c>
      <c r="AL288">
        <v>1</v>
      </c>
    </row>
    <row r="289" spans="1:38" x14ac:dyDescent="0.3">
      <c r="A289" t="s">
        <v>425</v>
      </c>
      <c r="B289">
        <v>116384</v>
      </c>
      <c r="C289">
        <v>3</v>
      </c>
      <c r="D289" t="s">
        <v>511</v>
      </c>
      <c r="E289" t="s">
        <v>512</v>
      </c>
      <c r="F289">
        <v>24</v>
      </c>
      <c r="G289">
        <v>20.52</v>
      </c>
      <c r="H289">
        <v>67.849999999999994</v>
      </c>
      <c r="I289">
        <v>17.899999999999999</v>
      </c>
      <c r="J289">
        <v>59.19</v>
      </c>
      <c r="K289">
        <v>1</v>
      </c>
      <c r="T289">
        <v>3</v>
      </c>
      <c r="U289">
        <v>1</v>
      </c>
      <c r="V289" t="s">
        <v>118</v>
      </c>
      <c r="W289" t="s">
        <v>516</v>
      </c>
      <c r="X289">
        <v>7</v>
      </c>
      <c r="Y289">
        <v>7</v>
      </c>
      <c r="Z289" t="s">
        <v>513</v>
      </c>
      <c r="AA289" t="s">
        <v>514</v>
      </c>
      <c r="AB289" t="s">
        <v>96</v>
      </c>
      <c r="AC289" t="s">
        <v>97</v>
      </c>
      <c r="AD289" t="s">
        <v>98</v>
      </c>
      <c r="AE289" t="s">
        <v>430</v>
      </c>
      <c r="AG289" t="s">
        <v>515</v>
      </c>
      <c r="AH289">
        <v>0</v>
      </c>
      <c r="AI289">
        <v>179</v>
      </c>
      <c r="AJ289">
        <v>34</v>
      </c>
      <c r="AK289">
        <v>24</v>
      </c>
      <c r="AL289">
        <v>1</v>
      </c>
    </row>
    <row r="290" spans="1:38" x14ac:dyDescent="0.3">
      <c r="A290" t="s">
        <v>425</v>
      </c>
      <c r="B290">
        <v>116384</v>
      </c>
      <c r="C290">
        <v>4</v>
      </c>
      <c r="D290" t="s">
        <v>511</v>
      </c>
      <c r="E290" t="s">
        <v>512</v>
      </c>
      <c r="F290">
        <v>24</v>
      </c>
      <c r="G290">
        <v>20.6</v>
      </c>
      <c r="H290">
        <v>68.11</v>
      </c>
      <c r="I290">
        <v>17.850000000000001</v>
      </c>
      <c r="J290">
        <v>59.01</v>
      </c>
      <c r="K290">
        <v>1</v>
      </c>
      <c r="T290">
        <v>3</v>
      </c>
      <c r="U290">
        <v>1</v>
      </c>
      <c r="V290" t="s">
        <v>118</v>
      </c>
      <c r="W290" t="s">
        <v>517</v>
      </c>
      <c r="X290">
        <v>7</v>
      </c>
      <c r="Y290">
        <v>7</v>
      </c>
      <c r="Z290" t="s">
        <v>513</v>
      </c>
      <c r="AA290" t="s">
        <v>514</v>
      </c>
      <c r="AB290" t="s">
        <v>96</v>
      </c>
      <c r="AC290" t="s">
        <v>97</v>
      </c>
      <c r="AD290" t="s">
        <v>98</v>
      </c>
      <c r="AE290" t="s">
        <v>430</v>
      </c>
      <c r="AG290" t="s">
        <v>515</v>
      </c>
      <c r="AH290">
        <v>0</v>
      </c>
      <c r="AI290">
        <v>179</v>
      </c>
      <c r="AJ290">
        <v>34</v>
      </c>
      <c r="AK290">
        <v>24</v>
      </c>
      <c r="AL290">
        <v>1</v>
      </c>
    </row>
    <row r="291" spans="1:38" x14ac:dyDescent="0.3">
      <c r="A291" t="s">
        <v>425</v>
      </c>
      <c r="B291">
        <v>116384</v>
      </c>
      <c r="C291">
        <v>5</v>
      </c>
      <c r="D291" t="s">
        <v>511</v>
      </c>
      <c r="E291" t="s">
        <v>512</v>
      </c>
      <c r="F291">
        <v>24</v>
      </c>
      <c r="G291">
        <v>20.75</v>
      </c>
      <c r="H291">
        <v>68.61</v>
      </c>
      <c r="I291">
        <v>18.11</v>
      </c>
      <c r="J291">
        <v>59.87</v>
      </c>
      <c r="K291">
        <v>1</v>
      </c>
      <c r="T291">
        <v>3</v>
      </c>
      <c r="U291">
        <v>1</v>
      </c>
      <c r="V291" t="s">
        <v>118</v>
      </c>
      <c r="W291" t="s">
        <v>518</v>
      </c>
      <c r="X291">
        <v>7</v>
      </c>
      <c r="Y291">
        <v>7</v>
      </c>
      <c r="Z291" t="s">
        <v>513</v>
      </c>
      <c r="AA291" t="s">
        <v>514</v>
      </c>
      <c r="AB291" t="s">
        <v>96</v>
      </c>
      <c r="AC291" t="s">
        <v>97</v>
      </c>
      <c r="AD291" t="s">
        <v>98</v>
      </c>
      <c r="AE291" t="s">
        <v>430</v>
      </c>
      <c r="AG291" t="s">
        <v>515</v>
      </c>
      <c r="AH291">
        <v>0</v>
      </c>
      <c r="AI291">
        <v>179</v>
      </c>
      <c r="AJ291">
        <v>34</v>
      </c>
      <c r="AK291">
        <v>24</v>
      </c>
      <c r="AL291">
        <v>1</v>
      </c>
    </row>
    <row r="292" spans="1:38" x14ac:dyDescent="0.3">
      <c r="A292" t="s">
        <v>425</v>
      </c>
      <c r="B292">
        <v>116384</v>
      </c>
      <c r="C292">
        <v>6</v>
      </c>
      <c r="D292" t="s">
        <v>511</v>
      </c>
      <c r="E292" t="s">
        <v>512</v>
      </c>
      <c r="F292">
        <v>24</v>
      </c>
      <c r="G292">
        <v>22.7</v>
      </c>
      <c r="H292">
        <v>75.05</v>
      </c>
      <c r="I292">
        <v>19.78</v>
      </c>
      <c r="J292">
        <v>65.400000000000006</v>
      </c>
      <c r="K292">
        <v>1</v>
      </c>
      <c r="T292">
        <v>3</v>
      </c>
      <c r="U292">
        <v>1</v>
      </c>
      <c r="V292" t="s">
        <v>118</v>
      </c>
      <c r="W292" t="s">
        <v>328</v>
      </c>
      <c r="X292">
        <v>7</v>
      </c>
      <c r="Y292">
        <v>7</v>
      </c>
      <c r="Z292" t="s">
        <v>513</v>
      </c>
      <c r="AA292" t="s">
        <v>514</v>
      </c>
      <c r="AB292" t="s">
        <v>96</v>
      </c>
      <c r="AC292" t="s">
        <v>97</v>
      </c>
      <c r="AD292" t="s">
        <v>98</v>
      </c>
      <c r="AE292" t="s">
        <v>430</v>
      </c>
      <c r="AG292" t="s">
        <v>515</v>
      </c>
      <c r="AH292">
        <v>0</v>
      </c>
      <c r="AI292">
        <v>179</v>
      </c>
      <c r="AJ292">
        <v>34</v>
      </c>
      <c r="AK292">
        <v>24</v>
      </c>
      <c r="AL292">
        <v>1</v>
      </c>
    </row>
    <row r="293" spans="1:38" x14ac:dyDescent="0.3">
      <c r="A293" t="s">
        <v>425</v>
      </c>
      <c r="B293">
        <v>116384</v>
      </c>
      <c r="C293">
        <v>7</v>
      </c>
      <c r="D293" t="s">
        <v>511</v>
      </c>
      <c r="E293" t="s">
        <v>512</v>
      </c>
      <c r="F293">
        <v>24</v>
      </c>
      <c r="G293">
        <v>22.78</v>
      </c>
      <c r="H293">
        <v>75.319999999999993</v>
      </c>
      <c r="I293">
        <v>19.79</v>
      </c>
      <c r="J293">
        <v>65.430000000000007</v>
      </c>
      <c r="K293">
        <v>1</v>
      </c>
      <c r="T293">
        <v>3</v>
      </c>
      <c r="U293">
        <v>1</v>
      </c>
      <c r="V293" t="s">
        <v>118</v>
      </c>
      <c r="W293" t="s">
        <v>329</v>
      </c>
      <c r="X293">
        <v>7</v>
      </c>
      <c r="Y293">
        <v>7</v>
      </c>
      <c r="Z293" t="s">
        <v>513</v>
      </c>
      <c r="AA293" t="s">
        <v>514</v>
      </c>
      <c r="AB293" t="s">
        <v>96</v>
      </c>
      <c r="AC293" t="s">
        <v>97</v>
      </c>
      <c r="AD293" t="s">
        <v>98</v>
      </c>
      <c r="AE293" t="s">
        <v>430</v>
      </c>
      <c r="AG293" t="s">
        <v>515</v>
      </c>
      <c r="AH293">
        <v>0</v>
      </c>
      <c r="AI293">
        <v>179</v>
      </c>
      <c r="AJ293">
        <v>34</v>
      </c>
      <c r="AK293">
        <v>24</v>
      </c>
      <c r="AL293">
        <v>1</v>
      </c>
    </row>
    <row r="294" spans="1:38" x14ac:dyDescent="0.3">
      <c r="A294" t="s">
        <v>425</v>
      </c>
      <c r="B294">
        <v>116384</v>
      </c>
      <c r="C294">
        <v>8</v>
      </c>
      <c r="D294" t="s">
        <v>511</v>
      </c>
      <c r="E294" t="s">
        <v>512</v>
      </c>
      <c r="F294">
        <v>24</v>
      </c>
      <c r="G294">
        <v>23.64</v>
      </c>
      <c r="H294">
        <v>78.180000000000007</v>
      </c>
      <c r="I294">
        <v>20.66</v>
      </c>
      <c r="J294">
        <v>68.31</v>
      </c>
      <c r="K294">
        <v>9</v>
      </c>
      <c r="T294">
        <v>3</v>
      </c>
      <c r="U294">
        <v>1</v>
      </c>
      <c r="V294" t="s">
        <v>118</v>
      </c>
      <c r="W294" t="s">
        <v>128</v>
      </c>
      <c r="X294">
        <v>7</v>
      </c>
      <c r="Y294">
        <v>7</v>
      </c>
      <c r="Z294" t="s">
        <v>513</v>
      </c>
      <c r="AA294" t="s">
        <v>514</v>
      </c>
      <c r="AB294" t="s">
        <v>96</v>
      </c>
      <c r="AC294" t="s">
        <v>97</v>
      </c>
      <c r="AD294" t="s">
        <v>98</v>
      </c>
      <c r="AE294" t="s">
        <v>430</v>
      </c>
      <c r="AG294" t="s">
        <v>515</v>
      </c>
      <c r="AH294">
        <v>0</v>
      </c>
      <c r="AI294">
        <v>179</v>
      </c>
      <c r="AJ294">
        <v>34</v>
      </c>
      <c r="AK294">
        <v>24</v>
      </c>
      <c r="AL294">
        <v>1</v>
      </c>
    </row>
    <row r="295" spans="1:38" x14ac:dyDescent="0.3">
      <c r="A295" t="s">
        <v>425</v>
      </c>
      <c r="B295">
        <v>116384</v>
      </c>
      <c r="C295">
        <v>9</v>
      </c>
      <c r="D295" t="s">
        <v>511</v>
      </c>
      <c r="E295" t="s">
        <v>512</v>
      </c>
      <c r="F295">
        <v>24</v>
      </c>
      <c r="G295">
        <v>23.7</v>
      </c>
      <c r="H295">
        <v>78.38</v>
      </c>
      <c r="I295">
        <v>20.71</v>
      </c>
      <c r="J295">
        <v>68.47</v>
      </c>
      <c r="K295">
        <v>8</v>
      </c>
      <c r="T295">
        <v>3</v>
      </c>
      <c r="U295">
        <v>1</v>
      </c>
      <c r="V295" t="s">
        <v>118</v>
      </c>
      <c r="W295" t="s">
        <v>179</v>
      </c>
      <c r="X295">
        <v>7</v>
      </c>
      <c r="Y295">
        <v>7</v>
      </c>
      <c r="Z295" t="s">
        <v>513</v>
      </c>
      <c r="AA295" t="s">
        <v>514</v>
      </c>
      <c r="AB295" t="s">
        <v>96</v>
      </c>
      <c r="AC295" t="s">
        <v>97</v>
      </c>
      <c r="AD295" t="s">
        <v>98</v>
      </c>
      <c r="AE295" t="s">
        <v>430</v>
      </c>
      <c r="AG295" t="s">
        <v>515</v>
      </c>
      <c r="AH295">
        <v>0</v>
      </c>
      <c r="AI295">
        <v>179</v>
      </c>
      <c r="AJ295">
        <v>34</v>
      </c>
      <c r="AK295">
        <v>24</v>
      </c>
      <c r="AL295">
        <v>1</v>
      </c>
    </row>
    <row r="296" spans="1:38" x14ac:dyDescent="0.3">
      <c r="A296" t="s">
        <v>425</v>
      </c>
      <c r="B296">
        <v>107132</v>
      </c>
      <c r="C296">
        <v>1</v>
      </c>
      <c r="D296" t="s">
        <v>519</v>
      </c>
      <c r="E296" t="s">
        <v>477</v>
      </c>
      <c r="F296">
        <v>19</v>
      </c>
      <c r="G296">
        <v>31.39</v>
      </c>
      <c r="H296">
        <v>103.8</v>
      </c>
      <c r="I296">
        <v>25.68</v>
      </c>
      <c r="J296">
        <v>84.9</v>
      </c>
      <c r="K296">
        <v>4</v>
      </c>
      <c r="T296">
        <v>3</v>
      </c>
      <c r="U296">
        <v>2</v>
      </c>
      <c r="V296" t="s">
        <v>118</v>
      </c>
      <c r="W296">
        <v>103</v>
      </c>
      <c r="X296">
        <v>7</v>
      </c>
      <c r="Y296">
        <v>6</v>
      </c>
      <c r="Z296" t="s">
        <v>520</v>
      </c>
      <c r="AA296" t="s">
        <v>521</v>
      </c>
      <c r="AB296" t="s">
        <v>96</v>
      </c>
      <c r="AC296" t="s">
        <v>97</v>
      </c>
      <c r="AD296" t="s">
        <v>98</v>
      </c>
      <c r="AE296" t="s">
        <v>430</v>
      </c>
      <c r="AG296" t="s">
        <v>522</v>
      </c>
      <c r="AH296">
        <v>0</v>
      </c>
      <c r="AI296">
        <v>261</v>
      </c>
      <c r="AJ296">
        <v>59</v>
      </c>
      <c r="AK296">
        <v>36</v>
      </c>
      <c r="AL296">
        <v>1.89</v>
      </c>
    </row>
    <row r="297" spans="1:38" x14ac:dyDescent="0.3">
      <c r="A297" t="s">
        <v>425</v>
      </c>
      <c r="B297">
        <v>107132</v>
      </c>
      <c r="C297">
        <v>2</v>
      </c>
      <c r="D297" t="s">
        <v>519</v>
      </c>
      <c r="E297" t="s">
        <v>477</v>
      </c>
      <c r="F297">
        <v>19</v>
      </c>
      <c r="G297">
        <v>32.31</v>
      </c>
      <c r="H297">
        <v>106.83</v>
      </c>
      <c r="I297">
        <v>25.52</v>
      </c>
      <c r="J297">
        <v>84.39</v>
      </c>
      <c r="K297">
        <v>15</v>
      </c>
      <c r="T297">
        <v>3</v>
      </c>
      <c r="U297">
        <v>2</v>
      </c>
      <c r="V297" t="s">
        <v>118</v>
      </c>
      <c r="W297">
        <v>106</v>
      </c>
      <c r="X297">
        <v>7</v>
      </c>
      <c r="Y297">
        <v>6</v>
      </c>
      <c r="Z297" t="s">
        <v>520</v>
      </c>
      <c r="AA297" t="s">
        <v>521</v>
      </c>
      <c r="AB297" t="s">
        <v>96</v>
      </c>
      <c r="AC297" t="s">
        <v>97</v>
      </c>
      <c r="AD297" t="s">
        <v>98</v>
      </c>
      <c r="AE297" t="s">
        <v>430</v>
      </c>
      <c r="AG297" t="s">
        <v>522</v>
      </c>
      <c r="AH297">
        <v>0</v>
      </c>
      <c r="AI297">
        <v>261</v>
      </c>
      <c r="AJ297">
        <v>59</v>
      </c>
      <c r="AK297">
        <v>36</v>
      </c>
      <c r="AL297">
        <v>1.89</v>
      </c>
    </row>
    <row r="298" spans="1:38" x14ac:dyDescent="0.3">
      <c r="A298" t="s">
        <v>425</v>
      </c>
      <c r="B298">
        <v>25903</v>
      </c>
      <c r="C298">
        <v>1</v>
      </c>
      <c r="D298" t="s">
        <v>523</v>
      </c>
      <c r="E298" t="s">
        <v>277</v>
      </c>
      <c r="F298">
        <v>115</v>
      </c>
      <c r="G298">
        <v>32.299999999999997</v>
      </c>
      <c r="H298">
        <v>106.78</v>
      </c>
      <c r="I298">
        <v>25.68</v>
      </c>
      <c r="J298">
        <v>84.92</v>
      </c>
      <c r="K298">
        <v>71</v>
      </c>
      <c r="T298">
        <v>3</v>
      </c>
      <c r="U298">
        <v>2</v>
      </c>
      <c r="V298" t="s">
        <v>93</v>
      </c>
      <c r="W298" t="s">
        <v>524</v>
      </c>
      <c r="X298">
        <v>15</v>
      </c>
      <c r="Y298">
        <v>14</v>
      </c>
      <c r="Z298" t="s">
        <v>525</v>
      </c>
      <c r="AA298" t="s">
        <v>526</v>
      </c>
      <c r="AB298" t="s">
        <v>96</v>
      </c>
      <c r="AC298" t="s">
        <v>97</v>
      </c>
      <c r="AD298" t="s">
        <v>98</v>
      </c>
      <c r="AE298" t="s">
        <v>430</v>
      </c>
      <c r="AG298" t="s">
        <v>527</v>
      </c>
      <c r="AH298">
        <v>0</v>
      </c>
      <c r="AI298">
        <v>229</v>
      </c>
      <c r="AJ298">
        <v>19</v>
      </c>
      <c r="AK298">
        <v>120</v>
      </c>
      <c r="AL298">
        <v>1.04</v>
      </c>
    </row>
    <row r="299" spans="1:38" x14ac:dyDescent="0.3">
      <c r="A299" t="s">
        <v>425</v>
      </c>
      <c r="B299">
        <v>25903</v>
      </c>
      <c r="C299">
        <v>2</v>
      </c>
      <c r="D299" t="s">
        <v>523</v>
      </c>
      <c r="E299" t="s">
        <v>277</v>
      </c>
      <c r="F299">
        <v>115</v>
      </c>
      <c r="G299">
        <v>32.409999999999997</v>
      </c>
      <c r="H299">
        <v>107.16</v>
      </c>
      <c r="I299">
        <v>25.67</v>
      </c>
      <c r="J299">
        <v>84.86</v>
      </c>
      <c r="K299">
        <v>30</v>
      </c>
      <c r="T299">
        <v>3</v>
      </c>
      <c r="U299">
        <v>2</v>
      </c>
      <c r="V299" t="s">
        <v>93</v>
      </c>
      <c r="W299" t="s">
        <v>528</v>
      </c>
      <c r="X299">
        <v>15</v>
      </c>
      <c r="Y299">
        <v>14</v>
      </c>
      <c r="Z299" t="s">
        <v>525</v>
      </c>
      <c r="AA299" t="s">
        <v>526</v>
      </c>
      <c r="AB299" t="s">
        <v>96</v>
      </c>
      <c r="AC299" t="s">
        <v>97</v>
      </c>
      <c r="AD299" t="s">
        <v>98</v>
      </c>
      <c r="AE299" t="s">
        <v>430</v>
      </c>
      <c r="AG299" t="s">
        <v>527</v>
      </c>
      <c r="AH299">
        <v>0</v>
      </c>
      <c r="AI299">
        <v>229</v>
      </c>
      <c r="AJ299">
        <v>19</v>
      </c>
      <c r="AK299">
        <v>120</v>
      </c>
      <c r="AL299">
        <v>1.04</v>
      </c>
    </row>
    <row r="300" spans="1:38" x14ac:dyDescent="0.3">
      <c r="A300" t="s">
        <v>425</v>
      </c>
      <c r="B300">
        <v>25903</v>
      </c>
      <c r="C300">
        <v>3</v>
      </c>
      <c r="D300" t="s">
        <v>523</v>
      </c>
      <c r="E300" t="s">
        <v>277</v>
      </c>
      <c r="F300">
        <v>115</v>
      </c>
      <c r="G300">
        <v>33.11</v>
      </c>
      <c r="H300">
        <v>109.48</v>
      </c>
      <c r="I300">
        <v>25.68</v>
      </c>
      <c r="J300">
        <v>84.91</v>
      </c>
      <c r="K300">
        <v>14</v>
      </c>
      <c r="T300">
        <v>3</v>
      </c>
      <c r="U300">
        <v>2</v>
      </c>
      <c r="V300" t="s">
        <v>93</v>
      </c>
      <c r="W300">
        <v>109</v>
      </c>
      <c r="X300">
        <v>15</v>
      </c>
      <c r="Y300">
        <v>14</v>
      </c>
      <c r="Z300" t="s">
        <v>525</v>
      </c>
      <c r="AA300" t="s">
        <v>526</v>
      </c>
      <c r="AB300" t="s">
        <v>96</v>
      </c>
      <c r="AC300" t="s">
        <v>97</v>
      </c>
      <c r="AD300" t="s">
        <v>98</v>
      </c>
      <c r="AE300" t="s">
        <v>430</v>
      </c>
      <c r="AG300" t="s">
        <v>527</v>
      </c>
      <c r="AH300">
        <v>0</v>
      </c>
      <c r="AI300">
        <v>229</v>
      </c>
      <c r="AJ300">
        <v>19</v>
      </c>
      <c r="AK300">
        <v>120</v>
      </c>
      <c r="AL300">
        <v>1.04</v>
      </c>
    </row>
    <row r="301" spans="1:38" x14ac:dyDescent="0.3">
      <c r="A301" t="s">
        <v>425</v>
      </c>
      <c r="B301">
        <v>100407</v>
      </c>
      <c r="C301">
        <v>1</v>
      </c>
      <c r="D301" t="s">
        <v>529</v>
      </c>
      <c r="E301" t="s">
        <v>530</v>
      </c>
      <c r="F301">
        <v>65</v>
      </c>
      <c r="G301">
        <v>25.99</v>
      </c>
      <c r="H301">
        <v>85.92</v>
      </c>
      <c r="I301">
        <v>21.72</v>
      </c>
      <c r="J301">
        <v>71.819999999999993</v>
      </c>
      <c r="K301">
        <v>10</v>
      </c>
      <c r="T301">
        <v>3</v>
      </c>
      <c r="U301">
        <v>2</v>
      </c>
      <c r="V301" t="s">
        <v>93</v>
      </c>
      <c r="W301">
        <v>85</v>
      </c>
      <c r="X301">
        <v>5</v>
      </c>
      <c r="Y301">
        <v>5</v>
      </c>
      <c r="Z301" t="s">
        <v>531</v>
      </c>
      <c r="AA301" t="s">
        <v>532</v>
      </c>
      <c r="AB301" t="s">
        <v>96</v>
      </c>
      <c r="AC301" t="s">
        <v>97</v>
      </c>
      <c r="AD301" t="s">
        <v>98</v>
      </c>
      <c r="AE301" t="s">
        <v>430</v>
      </c>
      <c r="AG301" t="s">
        <v>533</v>
      </c>
      <c r="AH301">
        <v>0</v>
      </c>
      <c r="AI301">
        <v>0</v>
      </c>
      <c r="AJ301">
        <v>0</v>
      </c>
      <c r="AK301">
        <v>0</v>
      </c>
      <c r="AL301">
        <v>0</v>
      </c>
    </row>
    <row r="302" spans="1:38" x14ac:dyDescent="0.3">
      <c r="A302" t="s">
        <v>425</v>
      </c>
      <c r="B302">
        <v>100407</v>
      </c>
      <c r="C302">
        <v>2</v>
      </c>
      <c r="D302" t="s">
        <v>529</v>
      </c>
      <c r="E302" t="s">
        <v>530</v>
      </c>
      <c r="F302">
        <v>65</v>
      </c>
      <c r="G302">
        <v>27.02</v>
      </c>
      <c r="H302">
        <v>89.34</v>
      </c>
      <c r="I302">
        <v>22.76</v>
      </c>
      <c r="J302">
        <v>75.239999999999995</v>
      </c>
      <c r="K302">
        <v>10</v>
      </c>
      <c r="T302">
        <v>3</v>
      </c>
      <c r="U302">
        <v>2</v>
      </c>
      <c r="V302" t="s">
        <v>93</v>
      </c>
      <c r="W302">
        <v>89</v>
      </c>
      <c r="X302">
        <v>5</v>
      </c>
      <c r="Y302">
        <v>5</v>
      </c>
      <c r="Z302" t="s">
        <v>531</v>
      </c>
      <c r="AA302" t="s">
        <v>532</v>
      </c>
      <c r="AB302" t="s">
        <v>96</v>
      </c>
      <c r="AC302" t="s">
        <v>97</v>
      </c>
      <c r="AD302" t="s">
        <v>98</v>
      </c>
      <c r="AE302" t="s">
        <v>430</v>
      </c>
      <c r="AG302" t="s">
        <v>533</v>
      </c>
      <c r="AH302">
        <v>0</v>
      </c>
      <c r="AI302">
        <v>0</v>
      </c>
      <c r="AJ302">
        <v>0</v>
      </c>
      <c r="AK302">
        <v>0</v>
      </c>
      <c r="AL302">
        <v>0</v>
      </c>
    </row>
    <row r="303" spans="1:38" x14ac:dyDescent="0.3">
      <c r="A303" t="s">
        <v>425</v>
      </c>
      <c r="B303">
        <v>100407</v>
      </c>
      <c r="C303">
        <v>3</v>
      </c>
      <c r="D303" t="s">
        <v>529</v>
      </c>
      <c r="E303" t="s">
        <v>530</v>
      </c>
      <c r="F303">
        <v>65</v>
      </c>
      <c r="G303">
        <v>27.78</v>
      </c>
      <c r="H303">
        <v>91.86</v>
      </c>
      <c r="I303">
        <v>23.52</v>
      </c>
      <c r="J303">
        <v>77.760000000000005</v>
      </c>
      <c r="K303">
        <v>10</v>
      </c>
      <c r="T303">
        <v>3</v>
      </c>
      <c r="U303">
        <v>2</v>
      </c>
      <c r="V303" t="s">
        <v>93</v>
      </c>
      <c r="W303" t="s">
        <v>251</v>
      </c>
      <c r="X303">
        <v>5</v>
      </c>
      <c r="Y303">
        <v>5</v>
      </c>
      <c r="Z303" t="s">
        <v>531</v>
      </c>
      <c r="AA303" t="s">
        <v>532</v>
      </c>
      <c r="AB303" t="s">
        <v>96</v>
      </c>
      <c r="AC303" t="s">
        <v>97</v>
      </c>
      <c r="AD303" t="s">
        <v>98</v>
      </c>
      <c r="AE303" t="s">
        <v>430</v>
      </c>
      <c r="AG303" t="s">
        <v>533</v>
      </c>
      <c r="AH303">
        <v>0</v>
      </c>
      <c r="AI303">
        <v>0</v>
      </c>
      <c r="AJ303">
        <v>0</v>
      </c>
      <c r="AK303">
        <v>0</v>
      </c>
      <c r="AL303">
        <v>0</v>
      </c>
    </row>
    <row r="304" spans="1:38" x14ac:dyDescent="0.3">
      <c r="A304" t="s">
        <v>425</v>
      </c>
      <c r="B304">
        <v>100407</v>
      </c>
      <c r="C304">
        <v>4</v>
      </c>
      <c r="D304" t="s">
        <v>529</v>
      </c>
      <c r="E304" t="s">
        <v>530</v>
      </c>
      <c r="F304">
        <v>65</v>
      </c>
      <c r="G304">
        <v>28.11</v>
      </c>
      <c r="H304">
        <v>92.94</v>
      </c>
      <c r="I304">
        <v>23.84</v>
      </c>
      <c r="J304">
        <v>78.84</v>
      </c>
      <c r="K304">
        <v>5</v>
      </c>
      <c r="T304">
        <v>3</v>
      </c>
      <c r="U304">
        <v>2</v>
      </c>
      <c r="V304" t="s">
        <v>93</v>
      </c>
      <c r="W304" t="s">
        <v>252</v>
      </c>
      <c r="X304">
        <v>5</v>
      </c>
      <c r="Y304">
        <v>5</v>
      </c>
      <c r="Z304" t="s">
        <v>531</v>
      </c>
      <c r="AA304" t="s">
        <v>532</v>
      </c>
      <c r="AB304" t="s">
        <v>96</v>
      </c>
      <c r="AC304" t="s">
        <v>97</v>
      </c>
      <c r="AD304" t="s">
        <v>98</v>
      </c>
      <c r="AE304" t="s">
        <v>430</v>
      </c>
      <c r="AG304" t="s">
        <v>533</v>
      </c>
      <c r="AH304">
        <v>0</v>
      </c>
      <c r="AI304">
        <v>0</v>
      </c>
      <c r="AJ304">
        <v>0</v>
      </c>
      <c r="AK304">
        <v>0</v>
      </c>
      <c r="AL304">
        <v>0</v>
      </c>
    </row>
    <row r="305" spans="1:38" x14ac:dyDescent="0.3">
      <c r="A305" t="s">
        <v>425</v>
      </c>
      <c r="B305">
        <v>100407</v>
      </c>
      <c r="C305">
        <v>5</v>
      </c>
      <c r="D305" t="s">
        <v>529</v>
      </c>
      <c r="E305" t="s">
        <v>530</v>
      </c>
      <c r="F305">
        <v>65</v>
      </c>
      <c r="G305">
        <v>28.39</v>
      </c>
      <c r="H305">
        <v>93.86</v>
      </c>
      <c r="I305">
        <v>24.01</v>
      </c>
      <c r="J305">
        <v>79.38</v>
      </c>
      <c r="K305">
        <v>5</v>
      </c>
      <c r="T305">
        <v>3</v>
      </c>
      <c r="U305">
        <v>2</v>
      </c>
      <c r="V305" t="s">
        <v>93</v>
      </c>
      <c r="W305" t="s">
        <v>253</v>
      </c>
      <c r="X305">
        <v>5</v>
      </c>
      <c r="Y305">
        <v>5</v>
      </c>
      <c r="Z305" t="s">
        <v>531</v>
      </c>
      <c r="AA305" t="s">
        <v>532</v>
      </c>
      <c r="AB305" t="s">
        <v>96</v>
      </c>
      <c r="AC305" t="s">
        <v>97</v>
      </c>
      <c r="AD305" t="s">
        <v>98</v>
      </c>
      <c r="AE305" t="s">
        <v>430</v>
      </c>
      <c r="AG305" t="s">
        <v>533</v>
      </c>
      <c r="AH305">
        <v>0</v>
      </c>
      <c r="AI305">
        <v>0</v>
      </c>
      <c r="AJ305">
        <v>0</v>
      </c>
      <c r="AK305">
        <v>0</v>
      </c>
      <c r="AL305">
        <v>0</v>
      </c>
    </row>
    <row r="306" spans="1:38" x14ac:dyDescent="0.3">
      <c r="A306" t="s">
        <v>425</v>
      </c>
      <c r="B306">
        <v>100407</v>
      </c>
      <c r="C306">
        <v>6</v>
      </c>
      <c r="D306" t="s">
        <v>529</v>
      </c>
      <c r="E306" t="s">
        <v>530</v>
      </c>
      <c r="F306">
        <v>65</v>
      </c>
      <c r="G306">
        <v>28.54</v>
      </c>
      <c r="H306">
        <v>94.38</v>
      </c>
      <c r="I306">
        <v>24.28</v>
      </c>
      <c r="J306">
        <v>80.28</v>
      </c>
      <c r="K306">
        <v>10</v>
      </c>
      <c r="T306">
        <v>3</v>
      </c>
      <c r="U306">
        <v>2</v>
      </c>
      <c r="V306" t="s">
        <v>93</v>
      </c>
      <c r="W306" t="s">
        <v>534</v>
      </c>
      <c r="X306">
        <v>5</v>
      </c>
      <c r="Y306">
        <v>5</v>
      </c>
      <c r="Z306" t="s">
        <v>531</v>
      </c>
      <c r="AA306" t="s">
        <v>532</v>
      </c>
      <c r="AB306" t="s">
        <v>96</v>
      </c>
      <c r="AC306" t="s">
        <v>97</v>
      </c>
      <c r="AD306" t="s">
        <v>98</v>
      </c>
      <c r="AE306" t="s">
        <v>430</v>
      </c>
      <c r="AG306" t="s">
        <v>533</v>
      </c>
      <c r="AH306">
        <v>0</v>
      </c>
      <c r="AI306">
        <v>0</v>
      </c>
      <c r="AJ306">
        <v>0</v>
      </c>
      <c r="AK306">
        <v>0</v>
      </c>
      <c r="AL306">
        <v>0</v>
      </c>
    </row>
    <row r="307" spans="1:38" x14ac:dyDescent="0.3">
      <c r="A307" t="s">
        <v>425</v>
      </c>
      <c r="B307">
        <v>100407</v>
      </c>
      <c r="C307">
        <v>7</v>
      </c>
      <c r="D307" t="s">
        <v>529</v>
      </c>
      <c r="E307" t="s">
        <v>530</v>
      </c>
      <c r="F307">
        <v>65</v>
      </c>
      <c r="G307">
        <v>28.82</v>
      </c>
      <c r="H307">
        <v>95.28</v>
      </c>
      <c r="I307">
        <v>24.5</v>
      </c>
      <c r="J307">
        <v>81</v>
      </c>
      <c r="K307">
        <v>5</v>
      </c>
      <c r="T307">
        <v>3</v>
      </c>
      <c r="U307">
        <v>2</v>
      </c>
      <c r="V307" t="s">
        <v>93</v>
      </c>
      <c r="W307" t="s">
        <v>402</v>
      </c>
      <c r="X307">
        <v>5</v>
      </c>
      <c r="Y307">
        <v>5</v>
      </c>
      <c r="Z307" t="s">
        <v>531</v>
      </c>
      <c r="AA307" t="s">
        <v>532</v>
      </c>
      <c r="AB307" t="s">
        <v>96</v>
      </c>
      <c r="AC307" t="s">
        <v>97</v>
      </c>
      <c r="AD307" t="s">
        <v>98</v>
      </c>
      <c r="AE307" t="s">
        <v>430</v>
      </c>
      <c r="AG307" t="s">
        <v>533</v>
      </c>
      <c r="AH307">
        <v>0</v>
      </c>
      <c r="AI307">
        <v>0</v>
      </c>
      <c r="AJ307">
        <v>0</v>
      </c>
      <c r="AK307">
        <v>0</v>
      </c>
      <c r="AL307">
        <v>0</v>
      </c>
    </row>
    <row r="308" spans="1:38" x14ac:dyDescent="0.3">
      <c r="A308" t="s">
        <v>425</v>
      </c>
      <c r="B308">
        <v>100407</v>
      </c>
      <c r="C308">
        <v>8</v>
      </c>
      <c r="D308" t="s">
        <v>529</v>
      </c>
      <c r="E308" t="s">
        <v>530</v>
      </c>
      <c r="F308">
        <v>65</v>
      </c>
      <c r="G308">
        <v>29.88</v>
      </c>
      <c r="H308">
        <v>98.79</v>
      </c>
      <c r="I308">
        <v>25.56</v>
      </c>
      <c r="J308">
        <v>84.51</v>
      </c>
      <c r="K308">
        <v>5</v>
      </c>
      <c r="T308">
        <v>3</v>
      </c>
      <c r="U308">
        <v>2</v>
      </c>
      <c r="V308" t="s">
        <v>93</v>
      </c>
      <c r="W308" t="s">
        <v>208</v>
      </c>
      <c r="X308">
        <v>5</v>
      </c>
      <c r="Y308">
        <v>5</v>
      </c>
      <c r="Z308" t="s">
        <v>531</v>
      </c>
      <c r="AA308" t="s">
        <v>532</v>
      </c>
      <c r="AB308" t="s">
        <v>96</v>
      </c>
      <c r="AC308" t="s">
        <v>97</v>
      </c>
      <c r="AD308" t="s">
        <v>98</v>
      </c>
      <c r="AE308" t="s">
        <v>430</v>
      </c>
      <c r="AG308" t="s">
        <v>533</v>
      </c>
      <c r="AH308">
        <v>0</v>
      </c>
      <c r="AI308">
        <v>0</v>
      </c>
      <c r="AJ308">
        <v>0</v>
      </c>
      <c r="AK308">
        <v>0</v>
      </c>
      <c r="AL308">
        <v>0</v>
      </c>
    </row>
    <row r="309" spans="1:38" x14ac:dyDescent="0.3">
      <c r="A309" t="s">
        <v>425</v>
      </c>
      <c r="B309">
        <v>100407</v>
      </c>
      <c r="C309">
        <v>9</v>
      </c>
      <c r="D309" t="s">
        <v>529</v>
      </c>
      <c r="E309" t="s">
        <v>530</v>
      </c>
      <c r="F309">
        <v>65</v>
      </c>
      <c r="G309">
        <v>29.96</v>
      </c>
      <c r="H309">
        <v>99.06</v>
      </c>
      <c r="I309">
        <v>25.7</v>
      </c>
      <c r="J309">
        <v>84.96</v>
      </c>
      <c r="K309">
        <v>5</v>
      </c>
      <c r="T309">
        <v>3</v>
      </c>
      <c r="U309">
        <v>2</v>
      </c>
      <c r="V309" t="s">
        <v>93</v>
      </c>
      <c r="W309" t="s">
        <v>209</v>
      </c>
      <c r="X309">
        <v>5</v>
      </c>
      <c r="Y309">
        <v>5</v>
      </c>
      <c r="Z309" t="s">
        <v>531</v>
      </c>
      <c r="AA309" t="s">
        <v>532</v>
      </c>
      <c r="AB309" t="s">
        <v>96</v>
      </c>
      <c r="AC309" t="s">
        <v>97</v>
      </c>
      <c r="AD309" t="s">
        <v>98</v>
      </c>
      <c r="AE309" t="s">
        <v>430</v>
      </c>
      <c r="AG309" t="s">
        <v>533</v>
      </c>
      <c r="AH309">
        <v>0</v>
      </c>
      <c r="AI309">
        <v>0</v>
      </c>
      <c r="AJ309">
        <v>0</v>
      </c>
      <c r="AK309">
        <v>0</v>
      </c>
      <c r="AL309">
        <v>0</v>
      </c>
    </row>
    <row r="310" spans="1:38" x14ac:dyDescent="0.3">
      <c r="A310" t="s">
        <v>425</v>
      </c>
      <c r="B310">
        <v>11648</v>
      </c>
      <c r="C310">
        <v>1</v>
      </c>
      <c r="D310" t="s">
        <v>535</v>
      </c>
      <c r="E310" t="s">
        <v>536</v>
      </c>
      <c r="F310">
        <v>1152</v>
      </c>
      <c r="G310">
        <v>15.89</v>
      </c>
      <c r="H310">
        <v>52.55</v>
      </c>
      <c r="I310">
        <v>10.93</v>
      </c>
      <c r="J310">
        <v>36.159999999999997</v>
      </c>
      <c r="K310">
        <v>300</v>
      </c>
      <c r="T310">
        <v>2</v>
      </c>
      <c r="U310">
        <v>1</v>
      </c>
      <c r="V310" t="s">
        <v>118</v>
      </c>
      <c r="W310" t="s">
        <v>537</v>
      </c>
      <c r="X310">
        <v>15</v>
      </c>
      <c r="Y310">
        <v>12</v>
      </c>
      <c r="Z310" t="s">
        <v>538</v>
      </c>
      <c r="AA310" t="s">
        <v>539</v>
      </c>
      <c r="AB310" t="s">
        <v>96</v>
      </c>
      <c r="AC310" t="s">
        <v>97</v>
      </c>
      <c r="AD310" t="s">
        <v>98</v>
      </c>
      <c r="AE310" t="s">
        <v>430</v>
      </c>
      <c r="AG310" t="s">
        <v>540</v>
      </c>
      <c r="AH310">
        <v>0</v>
      </c>
      <c r="AI310">
        <v>189</v>
      </c>
      <c r="AJ310">
        <v>16</v>
      </c>
      <c r="AK310">
        <v>600</v>
      </c>
      <c r="AL310">
        <v>0.52</v>
      </c>
    </row>
    <row r="311" spans="1:38" x14ac:dyDescent="0.3">
      <c r="A311" t="s">
        <v>425</v>
      </c>
      <c r="B311">
        <v>11648</v>
      </c>
      <c r="C311">
        <v>2</v>
      </c>
      <c r="D311" t="s">
        <v>535</v>
      </c>
      <c r="E311" t="s">
        <v>536</v>
      </c>
      <c r="F311">
        <v>1152</v>
      </c>
      <c r="G311">
        <v>15.97</v>
      </c>
      <c r="H311">
        <v>52.81</v>
      </c>
      <c r="I311">
        <v>10.99</v>
      </c>
      <c r="J311">
        <v>36.340000000000003</v>
      </c>
      <c r="K311">
        <v>60</v>
      </c>
      <c r="T311">
        <v>2</v>
      </c>
      <c r="U311">
        <v>1</v>
      </c>
      <c r="V311" t="s">
        <v>118</v>
      </c>
      <c r="W311" t="s">
        <v>541</v>
      </c>
      <c r="X311">
        <v>15</v>
      </c>
      <c r="Y311">
        <v>12</v>
      </c>
      <c r="Z311" t="s">
        <v>538</v>
      </c>
      <c r="AA311" t="s">
        <v>539</v>
      </c>
      <c r="AB311" t="s">
        <v>96</v>
      </c>
      <c r="AC311" t="s">
        <v>97</v>
      </c>
      <c r="AD311" t="s">
        <v>98</v>
      </c>
      <c r="AE311" t="s">
        <v>430</v>
      </c>
      <c r="AG311" t="s">
        <v>540</v>
      </c>
      <c r="AH311">
        <v>0</v>
      </c>
      <c r="AI311">
        <v>189</v>
      </c>
      <c r="AJ311">
        <v>16</v>
      </c>
      <c r="AK311">
        <v>600</v>
      </c>
      <c r="AL311">
        <v>0.52</v>
      </c>
    </row>
    <row r="312" spans="1:38" x14ac:dyDescent="0.3">
      <c r="A312" t="s">
        <v>425</v>
      </c>
      <c r="B312">
        <v>11648</v>
      </c>
      <c r="C312">
        <v>3</v>
      </c>
      <c r="D312" t="s">
        <v>535</v>
      </c>
      <c r="E312" t="s">
        <v>536</v>
      </c>
      <c r="F312">
        <v>1152</v>
      </c>
      <c r="G312">
        <v>17.28</v>
      </c>
      <c r="H312">
        <v>57.15</v>
      </c>
      <c r="I312">
        <v>12.49</v>
      </c>
      <c r="J312">
        <v>41.3</v>
      </c>
      <c r="K312">
        <v>180</v>
      </c>
      <c r="T312">
        <v>2</v>
      </c>
      <c r="U312">
        <v>1</v>
      </c>
      <c r="V312" t="s">
        <v>118</v>
      </c>
      <c r="W312" t="s">
        <v>542</v>
      </c>
      <c r="X312">
        <v>15</v>
      </c>
      <c r="Y312">
        <v>12</v>
      </c>
      <c r="Z312" t="s">
        <v>538</v>
      </c>
      <c r="AA312" t="s">
        <v>539</v>
      </c>
      <c r="AB312" t="s">
        <v>96</v>
      </c>
      <c r="AC312" t="s">
        <v>97</v>
      </c>
      <c r="AD312" t="s">
        <v>98</v>
      </c>
      <c r="AE312" t="s">
        <v>430</v>
      </c>
      <c r="AG312" t="s">
        <v>540</v>
      </c>
      <c r="AH312">
        <v>0</v>
      </c>
      <c r="AI312">
        <v>189</v>
      </c>
      <c r="AJ312">
        <v>16</v>
      </c>
      <c r="AK312">
        <v>600</v>
      </c>
      <c r="AL312">
        <v>0.52</v>
      </c>
    </row>
    <row r="313" spans="1:38" x14ac:dyDescent="0.3">
      <c r="A313" t="s">
        <v>425</v>
      </c>
      <c r="B313">
        <v>11648</v>
      </c>
      <c r="C313">
        <v>4</v>
      </c>
      <c r="D313" t="s">
        <v>535</v>
      </c>
      <c r="E313" t="s">
        <v>536</v>
      </c>
      <c r="F313">
        <v>1152</v>
      </c>
      <c r="G313">
        <v>18.239999999999998</v>
      </c>
      <c r="H313">
        <v>60.33</v>
      </c>
      <c r="I313">
        <v>12.49</v>
      </c>
      <c r="J313">
        <v>41.3</v>
      </c>
      <c r="K313">
        <v>56</v>
      </c>
      <c r="T313">
        <v>2</v>
      </c>
      <c r="U313">
        <v>1</v>
      </c>
      <c r="V313" t="s">
        <v>118</v>
      </c>
      <c r="W313" t="s">
        <v>543</v>
      </c>
      <c r="X313">
        <v>15</v>
      </c>
      <c r="Y313">
        <v>12</v>
      </c>
      <c r="Z313" t="s">
        <v>538</v>
      </c>
      <c r="AA313" t="s">
        <v>539</v>
      </c>
      <c r="AB313" t="s">
        <v>96</v>
      </c>
      <c r="AC313" t="s">
        <v>97</v>
      </c>
      <c r="AD313" t="s">
        <v>98</v>
      </c>
      <c r="AE313" t="s">
        <v>430</v>
      </c>
      <c r="AG313" t="s">
        <v>540</v>
      </c>
      <c r="AH313">
        <v>0</v>
      </c>
      <c r="AI313">
        <v>189</v>
      </c>
      <c r="AJ313">
        <v>16</v>
      </c>
      <c r="AK313">
        <v>600</v>
      </c>
      <c r="AL313">
        <v>0.52</v>
      </c>
    </row>
    <row r="314" spans="1:38" x14ac:dyDescent="0.3">
      <c r="A314" t="s">
        <v>425</v>
      </c>
      <c r="B314">
        <v>11648</v>
      </c>
      <c r="C314">
        <v>5</v>
      </c>
      <c r="D314" t="s">
        <v>535</v>
      </c>
      <c r="E314" t="s">
        <v>536</v>
      </c>
      <c r="F314">
        <v>1152</v>
      </c>
      <c r="G314">
        <v>18.260000000000002</v>
      </c>
      <c r="H314">
        <v>60.38</v>
      </c>
      <c r="I314">
        <v>12.49</v>
      </c>
      <c r="J314">
        <v>41.3</v>
      </c>
      <c r="K314">
        <v>4</v>
      </c>
      <c r="T314">
        <v>2</v>
      </c>
      <c r="U314">
        <v>1</v>
      </c>
      <c r="V314" t="s">
        <v>118</v>
      </c>
      <c r="W314" t="s">
        <v>544</v>
      </c>
      <c r="X314">
        <v>15</v>
      </c>
      <c r="Y314">
        <v>12</v>
      </c>
      <c r="Z314" t="s">
        <v>538</v>
      </c>
      <c r="AA314" t="s">
        <v>539</v>
      </c>
      <c r="AB314" t="s">
        <v>96</v>
      </c>
      <c r="AC314" t="s">
        <v>97</v>
      </c>
      <c r="AD314" t="s">
        <v>98</v>
      </c>
      <c r="AE314" t="s">
        <v>430</v>
      </c>
      <c r="AG314" t="s">
        <v>540</v>
      </c>
      <c r="AH314">
        <v>0</v>
      </c>
      <c r="AI314">
        <v>189</v>
      </c>
      <c r="AJ314">
        <v>16</v>
      </c>
      <c r="AK314">
        <v>600</v>
      </c>
      <c r="AL314">
        <v>0.52</v>
      </c>
    </row>
    <row r="315" spans="1:38" x14ac:dyDescent="0.3">
      <c r="A315" t="s">
        <v>425</v>
      </c>
      <c r="B315">
        <v>11648</v>
      </c>
      <c r="C315">
        <v>6</v>
      </c>
      <c r="D315" t="s">
        <v>535</v>
      </c>
      <c r="E315" t="s">
        <v>536</v>
      </c>
      <c r="F315">
        <v>1152</v>
      </c>
      <c r="G315">
        <v>18.54</v>
      </c>
      <c r="H315">
        <v>61.3</v>
      </c>
      <c r="I315">
        <v>12.49</v>
      </c>
      <c r="J315">
        <v>41.3</v>
      </c>
      <c r="K315">
        <v>48</v>
      </c>
      <c r="T315">
        <v>2</v>
      </c>
      <c r="U315">
        <v>1</v>
      </c>
      <c r="V315" t="s">
        <v>118</v>
      </c>
      <c r="W315">
        <v>61</v>
      </c>
      <c r="X315">
        <v>15</v>
      </c>
      <c r="Y315">
        <v>12</v>
      </c>
      <c r="Z315" t="s">
        <v>538</v>
      </c>
      <c r="AA315" t="s">
        <v>539</v>
      </c>
      <c r="AB315" t="s">
        <v>96</v>
      </c>
      <c r="AC315" t="s">
        <v>97</v>
      </c>
      <c r="AD315" t="s">
        <v>98</v>
      </c>
      <c r="AE315" t="s">
        <v>430</v>
      </c>
      <c r="AG315" t="s">
        <v>540</v>
      </c>
      <c r="AH315">
        <v>0</v>
      </c>
      <c r="AI315">
        <v>189</v>
      </c>
      <c r="AJ315">
        <v>16</v>
      </c>
      <c r="AK315">
        <v>600</v>
      </c>
      <c r="AL315">
        <v>0.52</v>
      </c>
    </row>
    <row r="316" spans="1:38" x14ac:dyDescent="0.3">
      <c r="A316" t="s">
        <v>425</v>
      </c>
      <c r="B316">
        <v>11648</v>
      </c>
      <c r="C316">
        <v>7</v>
      </c>
      <c r="D316" t="s">
        <v>535</v>
      </c>
      <c r="E316" t="s">
        <v>536</v>
      </c>
      <c r="F316">
        <v>1152</v>
      </c>
      <c r="G316">
        <v>20.9</v>
      </c>
      <c r="H316">
        <v>69.099999999999994</v>
      </c>
      <c r="I316">
        <v>15.1</v>
      </c>
      <c r="J316">
        <v>49.94</v>
      </c>
      <c r="K316">
        <v>180</v>
      </c>
      <c r="T316">
        <v>2</v>
      </c>
      <c r="U316">
        <v>1</v>
      </c>
      <c r="V316" t="s">
        <v>118</v>
      </c>
      <c r="W316">
        <v>69</v>
      </c>
      <c r="X316">
        <v>15</v>
      </c>
      <c r="Y316">
        <v>12</v>
      </c>
      <c r="Z316" t="s">
        <v>538</v>
      </c>
      <c r="AA316" t="s">
        <v>539</v>
      </c>
      <c r="AB316" t="s">
        <v>96</v>
      </c>
      <c r="AC316" t="s">
        <v>97</v>
      </c>
      <c r="AD316" t="s">
        <v>98</v>
      </c>
      <c r="AE316" t="s">
        <v>430</v>
      </c>
      <c r="AG316" t="s">
        <v>540</v>
      </c>
      <c r="AH316">
        <v>0</v>
      </c>
      <c r="AI316">
        <v>189</v>
      </c>
      <c r="AJ316">
        <v>16</v>
      </c>
      <c r="AK316">
        <v>600</v>
      </c>
      <c r="AL316">
        <v>0.52</v>
      </c>
    </row>
    <row r="317" spans="1:38" x14ac:dyDescent="0.3">
      <c r="A317" t="s">
        <v>425</v>
      </c>
      <c r="B317">
        <v>11648</v>
      </c>
      <c r="C317">
        <v>8</v>
      </c>
      <c r="D317" t="s">
        <v>535</v>
      </c>
      <c r="E317" t="s">
        <v>536</v>
      </c>
      <c r="F317">
        <v>1152</v>
      </c>
      <c r="G317">
        <v>22.06</v>
      </c>
      <c r="H317">
        <v>72.95</v>
      </c>
      <c r="I317">
        <v>15.1</v>
      </c>
      <c r="J317">
        <v>49.94</v>
      </c>
      <c r="K317">
        <v>168</v>
      </c>
      <c r="T317">
        <v>3</v>
      </c>
      <c r="U317">
        <v>1</v>
      </c>
      <c r="V317" t="s">
        <v>118</v>
      </c>
      <c r="W317" t="s">
        <v>267</v>
      </c>
      <c r="X317">
        <v>15</v>
      </c>
      <c r="Y317">
        <v>12</v>
      </c>
      <c r="Z317" t="s">
        <v>538</v>
      </c>
      <c r="AA317" t="s">
        <v>539</v>
      </c>
      <c r="AB317" t="s">
        <v>96</v>
      </c>
      <c r="AC317" t="s">
        <v>97</v>
      </c>
      <c r="AD317" t="s">
        <v>98</v>
      </c>
      <c r="AE317" t="s">
        <v>430</v>
      </c>
      <c r="AG317" t="s">
        <v>540</v>
      </c>
      <c r="AH317">
        <v>0</v>
      </c>
      <c r="AI317">
        <v>189</v>
      </c>
      <c r="AJ317">
        <v>16</v>
      </c>
      <c r="AK317">
        <v>600</v>
      </c>
      <c r="AL317">
        <v>0.52</v>
      </c>
    </row>
    <row r="318" spans="1:38" x14ac:dyDescent="0.3">
      <c r="A318" t="s">
        <v>425</v>
      </c>
      <c r="B318">
        <v>11648</v>
      </c>
      <c r="C318">
        <v>9</v>
      </c>
      <c r="D318" t="s">
        <v>535</v>
      </c>
      <c r="E318" t="s">
        <v>536</v>
      </c>
      <c r="F318">
        <v>1152</v>
      </c>
      <c r="G318">
        <v>22.07</v>
      </c>
      <c r="H318">
        <v>72.98</v>
      </c>
      <c r="I318">
        <v>15.1</v>
      </c>
      <c r="J318">
        <v>49.94</v>
      </c>
      <c r="K318">
        <v>12</v>
      </c>
      <c r="T318">
        <v>3</v>
      </c>
      <c r="U318">
        <v>1</v>
      </c>
      <c r="V318" t="s">
        <v>118</v>
      </c>
      <c r="W318" t="s">
        <v>545</v>
      </c>
      <c r="X318">
        <v>15</v>
      </c>
      <c r="Y318">
        <v>12</v>
      </c>
      <c r="Z318" t="s">
        <v>538</v>
      </c>
      <c r="AA318" t="s">
        <v>539</v>
      </c>
      <c r="AB318" t="s">
        <v>96</v>
      </c>
      <c r="AC318" t="s">
        <v>97</v>
      </c>
      <c r="AD318" t="s">
        <v>98</v>
      </c>
      <c r="AE318" t="s">
        <v>430</v>
      </c>
      <c r="AG318" t="s">
        <v>540</v>
      </c>
      <c r="AH318">
        <v>0</v>
      </c>
      <c r="AI318">
        <v>189</v>
      </c>
      <c r="AJ318">
        <v>16</v>
      </c>
      <c r="AK318">
        <v>600</v>
      </c>
      <c r="AL318">
        <v>0.52</v>
      </c>
    </row>
    <row r="319" spans="1:38" x14ac:dyDescent="0.3">
      <c r="A319" t="s">
        <v>425</v>
      </c>
      <c r="B319">
        <v>11648</v>
      </c>
      <c r="C319">
        <v>10</v>
      </c>
      <c r="D319" t="s">
        <v>535</v>
      </c>
      <c r="E319" t="s">
        <v>536</v>
      </c>
      <c r="F319">
        <v>1152</v>
      </c>
      <c r="G319">
        <v>22.42</v>
      </c>
      <c r="H319">
        <v>74.13</v>
      </c>
      <c r="I319">
        <v>15.1</v>
      </c>
      <c r="J319">
        <v>49.94</v>
      </c>
      <c r="K319">
        <v>144</v>
      </c>
      <c r="T319">
        <v>2</v>
      </c>
      <c r="U319">
        <v>1</v>
      </c>
      <c r="V319" t="s">
        <v>118</v>
      </c>
      <c r="W319" t="s">
        <v>546</v>
      </c>
      <c r="X319">
        <v>15</v>
      </c>
      <c r="Y319">
        <v>12</v>
      </c>
      <c r="Z319" t="s">
        <v>538</v>
      </c>
      <c r="AA319" t="s">
        <v>539</v>
      </c>
      <c r="AB319" t="s">
        <v>96</v>
      </c>
      <c r="AC319" t="s">
        <v>97</v>
      </c>
      <c r="AD319" t="s">
        <v>98</v>
      </c>
      <c r="AE319" t="s">
        <v>430</v>
      </c>
      <c r="AG319" t="s">
        <v>540</v>
      </c>
      <c r="AH319">
        <v>0</v>
      </c>
      <c r="AI319">
        <v>189</v>
      </c>
      <c r="AJ319">
        <v>16</v>
      </c>
      <c r="AK319">
        <v>600</v>
      </c>
      <c r="AL319">
        <v>0.52</v>
      </c>
    </row>
    <row r="320" spans="1:38" x14ac:dyDescent="0.3">
      <c r="A320" t="s">
        <v>425</v>
      </c>
      <c r="B320">
        <v>8767</v>
      </c>
      <c r="C320">
        <v>1</v>
      </c>
      <c r="D320" t="s">
        <v>547</v>
      </c>
      <c r="E320" t="s">
        <v>548</v>
      </c>
      <c r="F320">
        <v>42</v>
      </c>
      <c r="G320">
        <v>22.52</v>
      </c>
      <c r="H320">
        <v>74.47</v>
      </c>
      <c r="I320">
        <v>15.7</v>
      </c>
      <c r="J320">
        <v>51.93</v>
      </c>
      <c r="K320">
        <v>2</v>
      </c>
      <c r="T320">
        <v>3</v>
      </c>
      <c r="U320">
        <v>2</v>
      </c>
      <c r="V320" t="s">
        <v>93</v>
      </c>
      <c r="W320">
        <v>74</v>
      </c>
      <c r="X320">
        <v>9</v>
      </c>
      <c r="Y320">
        <v>9</v>
      </c>
      <c r="Z320" t="s">
        <v>549</v>
      </c>
      <c r="AA320" t="s">
        <v>550</v>
      </c>
      <c r="AB320" t="s">
        <v>96</v>
      </c>
      <c r="AC320" t="s">
        <v>97</v>
      </c>
      <c r="AD320" t="s">
        <v>98</v>
      </c>
      <c r="AE320" t="s">
        <v>430</v>
      </c>
      <c r="AG320" t="s">
        <v>551</v>
      </c>
      <c r="AH320">
        <v>0</v>
      </c>
      <c r="AI320">
        <v>347</v>
      </c>
      <c r="AJ320">
        <v>58</v>
      </c>
      <c r="AK320">
        <v>24</v>
      </c>
      <c r="AL320">
        <v>0.56999999999999995</v>
      </c>
    </row>
    <row r="321" spans="1:38" x14ac:dyDescent="0.3">
      <c r="A321" t="s">
        <v>425</v>
      </c>
      <c r="B321">
        <v>8767</v>
      </c>
      <c r="C321">
        <v>2</v>
      </c>
      <c r="D321" t="s">
        <v>547</v>
      </c>
      <c r="E321" t="s">
        <v>548</v>
      </c>
      <c r="F321">
        <v>42</v>
      </c>
      <c r="G321">
        <v>25.68</v>
      </c>
      <c r="H321">
        <v>84.91</v>
      </c>
      <c r="I321">
        <v>17.93</v>
      </c>
      <c r="J321">
        <v>59.28</v>
      </c>
      <c r="K321">
        <v>4</v>
      </c>
      <c r="T321">
        <v>3</v>
      </c>
      <c r="U321">
        <v>1</v>
      </c>
      <c r="V321" t="s">
        <v>93</v>
      </c>
      <c r="W321" t="s">
        <v>552</v>
      </c>
      <c r="X321">
        <v>9</v>
      </c>
      <c r="Y321">
        <v>9</v>
      </c>
      <c r="Z321" t="s">
        <v>549</v>
      </c>
      <c r="AA321" t="s">
        <v>550</v>
      </c>
      <c r="AB321" t="s">
        <v>96</v>
      </c>
      <c r="AC321" t="s">
        <v>97</v>
      </c>
      <c r="AD321" t="s">
        <v>98</v>
      </c>
      <c r="AE321" t="s">
        <v>430</v>
      </c>
      <c r="AG321" t="s">
        <v>551</v>
      </c>
      <c r="AH321">
        <v>0</v>
      </c>
      <c r="AI321">
        <v>347</v>
      </c>
      <c r="AJ321">
        <v>58</v>
      </c>
      <c r="AK321">
        <v>24</v>
      </c>
      <c r="AL321">
        <v>0.56999999999999995</v>
      </c>
    </row>
    <row r="322" spans="1:38" x14ac:dyDescent="0.3">
      <c r="A322" t="s">
        <v>425</v>
      </c>
      <c r="B322">
        <v>8767</v>
      </c>
      <c r="C322">
        <v>3</v>
      </c>
      <c r="D322" t="s">
        <v>547</v>
      </c>
      <c r="E322" t="s">
        <v>548</v>
      </c>
      <c r="F322">
        <v>42</v>
      </c>
      <c r="G322">
        <v>25.86</v>
      </c>
      <c r="H322">
        <v>85.49</v>
      </c>
      <c r="I322">
        <v>18.059999999999999</v>
      </c>
      <c r="J322">
        <v>59.71</v>
      </c>
      <c r="K322">
        <v>12</v>
      </c>
      <c r="T322">
        <v>3</v>
      </c>
      <c r="U322">
        <v>2</v>
      </c>
      <c r="V322" t="s">
        <v>93</v>
      </c>
      <c r="W322" t="s">
        <v>553</v>
      </c>
      <c r="X322">
        <v>9</v>
      </c>
      <c r="Y322">
        <v>9</v>
      </c>
      <c r="Z322" t="s">
        <v>549</v>
      </c>
      <c r="AA322" t="s">
        <v>550</v>
      </c>
      <c r="AB322" t="s">
        <v>96</v>
      </c>
      <c r="AC322" t="s">
        <v>97</v>
      </c>
      <c r="AD322" t="s">
        <v>98</v>
      </c>
      <c r="AE322" t="s">
        <v>430</v>
      </c>
      <c r="AG322" t="s">
        <v>551</v>
      </c>
      <c r="AH322">
        <v>0</v>
      </c>
      <c r="AI322">
        <v>347</v>
      </c>
      <c r="AJ322">
        <v>58</v>
      </c>
      <c r="AK322">
        <v>24</v>
      </c>
      <c r="AL322">
        <v>0.56999999999999995</v>
      </c>
    </row>
    <row r="323" spans="1:38" x14ac:dyDescent="0.3">
      <c r="A323" t="s">
        <v>425</v>
      </c>
      <c r="B323">
        <v>8767</v>
      </c>
      <c r="C323">
        <v>4</v>
      </c>
      <c r="D323" t="s">
        <v>547</v>
      </c>
      <c r="E323" t="s">
        <v>548</v>
      </c>
      <c r="F323">
        <v>42</v>
      </c>
      <c r="G323">
        <v>31.89</v>
      </c>
      <c r="H323">
        <v>105.43</v>
      </c>
      <c r="I323">
        <v>22.26</v>
      </c>
      <c r="J323">
        <v>73.599999999999994</v>
      </c>
      <c r="K323">
        <v>24</v>
      </c>
      <c r="T323">
        <v>3</v>
      </c>
      <c r="U323">
        <v>2</v>
      </c>
      <c r="V323" t="s">
        <v>93</v>
      </c>
      <c r="W323">
        <v>105</v>
      </c>
      <c r="X323">
        <v>9</v>
      </c>
      <c r="Y323">
        <v>9</v>
      </c>
      <c r="Z323" t="s">
        <v>549</v>
      </c>
      <c r="AA323" t="s">
        <v>550</v>
      </c>
      <c r="AB323" t="s">
        <v>96</v>
      </c>
      <c r="AC323" t="s">
        <v>97</v>
      </c>
      <c r="AD323" t="s">
        <v>98</v>
      </c>
      <c r="AE323" t="s">
        <v>430</v>
      </c>
      <c r="AG323" t="s">
        <v>551</v>
      </c>
      <c r="AH323">
        <v>0</v>
      </c>
      <c r="AI323">
        <v>347</v>
      </c>
      <c r="AJ323">
        <v>58</v>
      </c>
      <c r="AK323">
        <v>24</v>
      </c>
      <c r="AL323">
        <v>0.56999999999999995</v>
      </c>
    </row>
    <row r="324" spans="1:38" x14ac:dyDescent="0.3">
      <c r="A324" t="s">
        <v>425</v>
      </c>
      <c r="B324">
        <v>9977</v>
      </c>
      <c r="C324">
        <v>1</v>
      </c>
      <c r="D324" t="s">
        <v>554</v>
      </c>
      <c r="E324" t="s">
        <v>555</v>
      </c>
      <c r="F324">
        <v>107</v>
      </c>
      <c r="G324">
        <v>21.8</v>
      </c>
      <c r="H324">
        <v>72.09</v>
      </c>
      <c r="I324">
        <v>17.690000000000001</v>
      </c>
      <c r="J324">
        <v>58.5</v>
      </c>
      <c r="K324">
        <v>3</v>
      </c>
      <c r="T324">
        <v>3</v>
      </c>
      <c r="U324">
        <v>1</v>
      </c>
      <c r="V324" t="s">
        <v>118</v>
      </c>
      <c r="W324">
        <v>72</v>
      </c>
      <c r="X324">
        <v>10</v>
      </c>
      <c r="Y324">
        <v>9</v>
      </c>
      <c r="Z324" t="s">
        <v>556</v>
      </c>
      <c r="AA324" t="s">
        <v>557</v>
      </c>
      <c r="AB324" t="s">
        <v>96</v>
      </c>
      <c r="AC324" t="s">
        <v>97</v>
      </c>
      <c r="AD324" t="s">
        <v>98</v>
      </c>
      <c r="AE324" t="s">
        <v>430</v>
      </c>
      <c r="AG324" t="s">
        <v>558</v>
      </c>
      <c r="AH324">
        <v>0</v>
      </c>
      <c r="AI324">
        <v>0</v>
      </c>
      <c r="AJ324">
        <v>0</v>
      </c>
      <c r="AK324">
        <v>0</v>
      </c>
      <c r="AL324">
        <v>0</v>
      </c>
    </row>
    <row r="325" spans="1:38" x14ac:dyDescent="0.3">
      <c r="A325" t="s">
        <v>425</v>
      </c>
      <c r="B325">
        <v>9977</v>
      </c>
      <c r="C325">
        <v>2</v>
      </c>
      <c r="D325" t="s">
        <v>554</v>
      </c>
      <c r="E325" t="s">
        <v>555</v>
      </c>
      <c r="F325">
        <v>107</v>
      </c>
      <c r="G325">
        <v>23.43</v>
      </c>
      <c r="H325">
        <v>77.459999999999994</v>
      </c>
      <c r="I325">
        <v>19.11</v>
      </c>
      <c r="J325">
        <v>63.18</v>
      </c>
      <c r="K325">
        <v>27</v>
      </c>
      <c r="T325">
        <v>3</v>
      </c>
      <c r="U325">
        <v>1</v>
      </c>
      <c r="V325" t="s">
        <v>118</v>
      </c>
      <c r="W325">
        <v>77</v>
      </c>
      <c r="X325">
        <v>10</v>
      </c>
      <c r="Y325">
        <v>9</v>
      </c>
      <c r="Z325" t="s">
        <v>556</v>
      </c>
      <c r="AA325" t="s">
        <v>557</v>
      </c>
      <c r="AB325" t="s">
        <v>96</v>
      </c>
      <c r="AC325" t="s">
        <v>97</v>
      </c>
      <c r="AD325" t="s">
        <v>98</v>
      </c>
      <c r="AE325" t="s">
        <v>430</v>
      </c>
      <c r="AG325" t="s">
        <v>558</v>
      </c>
      <c r="AH325">
        <v>0</v>
      </c>
      <c r="AI325">
        <v>0</v>
      </c>
      <c r="AJ325">
        <v>0</v>
      </c>
      <c r="AK325">
        <v>0</v>
      </c>
      <c r="AL325">
        <v>0</v>
      </c>
    </row>
    <row r="326" spans="1:38" x14ac:dyDescent="0.3">
      <c r="A326" t="s">
        <v>425</v>
      </c>
      <c r="B326">
        <v>9977</v>
      </c>
      <c r="C326">
        <v>3</v>
      </c>
      <c r="D326" t="s">
        <v>554</v>
      </c>
      <c r="E326" t="s">
        <v>555</v>
      </c>
      <c r="F326">
        <v>107</v>
      </c>
      <c r="G326">
        <v>26.88</v>
      </c>
      <c r="H326">
        <v>88.88</v>
      </c>
      <c r="I326">
        <v>21.94</v>
      </c>
      <c r="J326">
        <v>72.540000000000006</v>
      </c>
      <c r="K326">
        <v>27</v>
      </c>
      <c r="T326">
        <v>3</v>
      </c>
      <c r="U326">
        <v>2</v>
      </c>
      <c r="V326" t="s">
        <v>118</v>
      </c>
      <c r="W326">
        <v>88</v>
      </c>
      <c r="X326">
        <v>10</v>
      </c>
      <c r="Y326">
        <v>9</v>
      </c>
      <c r="Z326" t="s">
        <v>556</v>
      </c>
      <c r="AA326" t="s">
        <v>557</v>
      </c>
      <c r="AB326" t="s">
        <v>96</v>
      </c>
      <c r="AC326" t="s">
        <v>97</v>
      </c>
      <c r="AD326" t="s">
        <v>98</v>
      </c>
      <c r="AE326" t="s">
        <v>430</v>
      </c>
      <c r="AG326" t="s">
        <v>558</v>
      </c>
      <c r="AH326">
        <v>0</v>
      </c>
      <c r="AI326">
        <v>0</v>
      </c>
      <c r="AJ326">
        <v>0</v>
      </c>
      <c r="AK326">
        <v>0</v>
      </c>
      <c r="AL326">
        <v>0</v>
      </c>
    </row>
    <row r="327" spans="1:38" x14ac:dyDescent="0.3">
      <c r="A327" t="s">
        <v>425</v>
      </c>
      <c r="B327">
        <v>9977</v>
      </c>
      <c r="C327">
        <v>4</v>
      </c>
      <c r="D327" t="s">
        <v>554</v>
      </c>
      <c r="E327" t="s">
        <v>555</v>
      </c>
      <c r="F327">
        <v>107</v>
      </c>
      <c r="G327">
        <v>27.93</v>
      </c>
      <c r="H327">
        <v>92.36</v>
      </c>
      <c r="I327">
        <v>22.78</v>
      </c>
      <c r="J327">
        <v>75.33</v>
      </c>
      <c r="K327">
        <v>50</v>
      </c>
      <c r="T327">
        <v>3</v>
      </c>
      <c r="U327">
        <v>2</v>
      </c>
      <c r="V327" t="s">
        <v>118</v>
      </c>
      <c r="W327">
        <v>92</v>
      </c>
      <c r="X327">
        <v>10</v>
      </c>
      <c r="Y327">
        <v>9</v>
      </c>
      <c r="Z327" t="s">
        <v>556</v>
      </c>
      <c r="AA327" t="s">
        <v>557</v>
      </c>
      <c r="AB327" t="s">
        <v>96</v>
      </c>
      <c r="AC327" t="s">
        <v>97</v>
      </c>
      <c r="AD327" t="s">
        <v>98</v>
      </c>
      <c r="AE327" t="s">
        <v>430</v>
      </c>
      <c r="AG327" t="s">
        <v>558</v>
      </c>
      <c r="AH327">
        <v>0</v>
      </c>
      <c r="AI327">
        <v>0</v>
      </c>
      <c r="AJ327">
        <v>0</v>
      </c>
      <c r="AK327">
        <v>0</v>
      </c>
      <c r="AL327">
        <v>0</v>
      </c>
    </row>
    <row r="328" spans="1:38" x14ac:dyDescent="0.3">
      <c r="A328" t="s">
        <v>425</v>
      </c>
      <c r="B328">
        <v>104869</v>
      </c>
      <c r="C328">
        <v>1</v>
      </c>
      <c r="D328" t="s">
        <v>559</v>
      </c>
      <c r="E328" t="s">
        <v>560</v>
      </c>
      <c r="F328">
        <v>284</v>
      </c>
      <c r="G328">
        <v>6.31</v>
      </c>
      <c r="H328">
        <v>20.86</v>
      </c>
      <c r="I328">
        <v>3.7</v>
      </c>
      <c r="J328">
        <v>12.25</v>
      </c>
      <c r="K328">
        <v>1</v>
      </c>
      <c r="T328">
        <v>1</v>
      </c>
      <c r="U328">
        <v>1</v>
      </c>
      <c r="V328" t="s">
        <v>93</v>
      </c>
      <c r="W328" t="s">
        <v>561</v>
      </c>
      <c r="X328">
        <v>21</v>
      </c>
      <c r="Y328">
        <v>9</v>
      </c>
      <c r="Z328" t="s">
        <v>562</v>
      </c>
      <c r="AA328" t="s">
        <v>563</v>
      </c>
      <c r="AB328" t="s">
        <v>96</v>
      </c>
      <c r="AC328" t="s">
        <v>97</v>
      </c>
      <c r="AD328" t="s">
        <v>98</v>
      </c>
      <c r="AE328" t="s">
        <v>430</v>
      </c>
      <c r="AG328" t="s">
        <v>564</v>
      </c>
      <c r="AH328">
        <v>0</v>
      </c>
      <c r="AI328">
        <v>229</v>
      </c>
      <c r="AJ328">
        <v>34</v>
      </c>
      <c r="AK328">
        <v>143</v>
      </c>
      <c r="AL328">
        <v>0.5</v>
      </c>
    </row>
    <row r="329" spans="1:38" x14ac:dyDescent="0.3">
      <c r="A329" t="s">
        <v>425</v>
      </c>
      <c r="B329">
        <v>104869</v>
      </c>
      <c r="C329">
        <v>2</v>
      </c>
      <c r="D329" t="s">
        <v>559</v>
      </c>
      <c r="E329" t="s">
        <v>560</v>
      </c>
      <c r="F329">
        <v>284</v>
      </c>
      <c r="G329">
        <v>6.57</v>
      </c>
      <c r="H329">
        <v>21.72</v>
      </c>
      <c r="I329">
        <v>3.83</v>
      </c>
      <c r="J329">
        <v>12.68</v>
      </c>
      <c r="K329">
        <v>1</v>
      </c>
      <c r="T329">
        <v>1</v>
      </c>
      <c r="U329">
        <v>1</v>
      </c>
      <c r="V329" t="s">
        <v>93</v>
      </c>
      <c r="W329" t="s">
        <v>565</v>
      </c>
      <c r="X329">
        <v>21</v>
      </c>
      <c r="Y329">
        <v>9</v>
      </c>
      <c r="Z329" t="s">
        <v>562</v>
      </c>
      <c r="AA329" t="s">
        <v>563</v>
      </c>
      <c r="AB329" t="s">
        <v>96</v>
      </c>
      <c r="AC329" t="s">
        <v>97</v>
      </c>
      <c r="AD329" t="s">
        <v>98</v>
      </c>
      <c r="AE329" t="s">
        <v>430</v>
      </c>
      <c r="AG329" t="s">
        <v>564</v>
      </c>
      <c r="AH329">
        <v>0</v>
      </c>
      <c r="AI329">
        <v>229</v>
      </c>
      <c r="AJ329">
        <v>34</v>
      </c>
      <c r="AK329">
        <v>143</v>
      </c>
      <c r="AL329">
        <v>0.5</v>
      </c>
    </row>
    <row r="330" spans="1:38" x14ac:dyDescent="0.3">
      <c r="A330" t="s">
        <v>425</v>
      </c>
      <c r="B330">
        <v>104869</v>
      </c>
      <c r="C330">
        <v>3</v>
      </c>
      <c r="D330" t="s">
        <v>559</v>
      </c>
      <c r="E330" t="s">
        <v>560</v>
      </c>
      <c r="F330">
        <v>284</v>
      </c>
      <c r="G330">
        <v>6.53</v>
      </c>
      <c r="H330">
        <v>21.59</v>
      </c>
      <c r="I330">
        <v>3.82</v>
      </c>
      <c r="J330">
        <v>12.63</v>
      </c>
      <c r="K330">
        <v>1</v>
      </c>
      <c r="T330">
        <v>1</v>
      </c>
      <c r="U330">
        <v>1</v>
      </c>
      <c r="V330" t="s">
        <v>93</v>
      </c>
      <c r="W330" t="s">
        <v>566</v>
      </c>
      <c r="X330">
        <v>21</v>
      </c>
      <c r="Y330">
        <v>9</v>
      </c>
      <c r="Z330" t="s">
        <v>562</v>
      </c>
      <c r="AA330" t="s">
        <v>563</v>
      </c>
      <c r="AB330" t="s">
        <v>96</v>
      </c>
      <c r="AC330" t="s">
        <v>97</v>
      </c>
      <c r="AD330" t="s">
        <v>98</v>
      </c>
      <c r="AE330" t="s">
        <v>430</v>
      </c>
      <c r="AG330" t="s">
        <v>564</v>
      </c>
      <c r="AH330">
        <v>0</v>
      </c>
      <c r="AI330">
        <v>229</v>
      </c>
      <c r="AJ330">
        <v>34</v>
      </c>
      <c r="AK330">
        <v>143</v>
      </c>
      <c r="AL330">
        <v>0.5</v>
      </c>
    </row>
    <row r="331" spans="1:38" x14ac:dyDescent="0.3">
      <c r="A331" t="s">
        <v>425</v>
      </c>
      <c r="B331">
        <v>104869</v>
      </c>
      <c r="C331">
        <v>4</v>
      </c>
      <c r="D331" t="s">
        <v>559</v>
      </c>
      <c r="E331" t="s">
        <v>560</v>
      </c>
      <c r="F331">
        <v>284</v>
      </c>
      <c r="G331">
        <v>6.35</v>
      </c>
      <c r="H331">
        <v>21.01</v>
      </c>
      <c r="I331">
        <v>3.69</v>
      </c>
      <c r="J331">
        <v>12.23</v>
      </c>
      <c r="K331">
        <v>1</v>
      </c>
      <c r="T331">
        <v>1</v>
      </c>
      <c r="U331">
        <v>1</v>
      </c>
      <c r="V331" t="s">
        <v>93</v>
      </c>
      <c r="W331" t="s">
        <v>567</v>
      </c>
      <c r="X331">
        <v>21</v>
      </c>
      <c r="Y331">
        <v>9</v>
      </c>
      <c r="Z331" t="s">
        <v>562</v>
      </c>
      <c r="AA331" t="s">
        <v>563</v>
      </c>
      <c r="AB331" t="s">
        <v>96</v>
      </c>
      <c r="AC331" t="s">
        <v>97</v>
      </c>
      <c r="AD331" t="s">
        <v>98</v>
      </c>
      <c r="AE331" t="s">
        <v>430</v>
      </c>
      <c r="AG331" t="s">
        <v>564</v>
      </c>
      <c r="AH331">
        <v>0</v>
      </c>
      <c r="AI331">
        <v>229</v>
      </c>
      <c r="AJ331">
        <v>34</v>
      </c>
      <c r="AK331">
        <v>143</v>
      </c>
      <c r="AL331">
        <v>0.5</v>
      </c>
    </row>
    <row r="332" spans="1:38" x14ac:dyDescent="0.3">
      <c r="A332" t="s">
        <v>425</v>
      </c>
      <c r="B332">
        <v>104869</v>
      </c>
      <c r="C332">
        <v>5</v>
      </c>
      <c r="D332" t="s">
        <v>559</v>
      </c>
      <c r="E332" t="s">
        <v>560</v>
      </c>
      <c r="F332">
        <v>284</v>
      </c>
      <c r="G332">
        <v>6.8</v>
      </c>
      <c r="H332">
        <v>22.49</v>
      </c>
      <c r="I332">
        <v>4.0199999999999996</v>
      </c>
      <c r="J332">
        <v>13.3</v>
      </c>
      <c r="K332">
        <v>76</v>
      </c>
      <c r="T332">
        <v>1</v>
      </c>
      <c r="U332">
        <v>1</v>
      </c>
      <c r="V332" t="s">
        <v>93</v>
      </c>
      <c r="W332" t="s">
        <v>568</v>
      </c>
      <c r="X332">
        <v>21</v>
      </c>
      <c r="Y332">
        <v>9</v>
      </c>
      <c r="Z332" t="s">
        <v>562</v>
      </c>
      <c r="AA332" t="s">
        <v>563</v>
      </c>
      <c r="AB332" t="s">
        <v>96</v>
      </c>
      <c r="AC332" t="s">
        <v>97</v>
      </c>
      <c r="AD332" t="s">
        <v>98</v>
      </c>
      <c r="AE332" t="s">
        <v>430</v>
      </c>
      <c r="AG332" t="s">
        <v>564</v>
      </c>
      <c r="AH332">
        <v>0</v>
      </c>
      <c r="AI332">
        <v>229</v>
      </c>
      <c r="AJ332">
        <v>34</v>
      </c>
      <c r="AK332">
        <v>143</v>
      </c>
      <c r="AL332">
        <v>0.5</v>
      </c>
    </row>
    <row r="333" spans="1:38" x14ac:dyDescent="0.3">
      <c r="A333" t="s">
        <v>425</v>
      </c>
      <c r="B333">
        <v>104869</v>
      </c>
      <c r="C333">
        <v>6</v>
      </c>
      <c r="D333" t="s">
        <v>559</v>
      </c>
      <c r="E333" t="s">
        <v>560</v>
      </c>
      <c r="F333">
        <v>284</v>
      </c>
      <c r="G333">
        <v>6.84</v>
      </c>
      <c r="H333">
        <v>22.64</v>
      </c>
      <c r="I333">
        <v>4.05</v>
      </c>
      <c r="J333">
        <v>13.39</v>
      </c>
      <c r="K333">
        <v>70</v>
      </c>
      <c r="T333">
        <v>1</v>
      </c>
      <c r="U333">
        <v>1</v>
      </c>
      <c r="V333" t="s">
        <v>93</v>
      </c>
      <c r="W333" t="s">
        <v>569</v>
      </c>
      <c r="X333">
        <v>21</v>
      </c>
      <c r="Y333">
        <v>9</v>
      </c>
      <c r="Z333" t="s">
        <v>562</v>
      </c>
      <c r="AA333" t="s">
        <v>563</v>
      </c>
      <c r="AB333" t="s">
        <v>96</v>
      </c>
      <c r="AC333" t="s">
        <v>97</v>
      </c>
      <c r="AD333" t="s">
        <v>98</v>
      </c>
      <c r="AE333" t="s">
        <v>430</v>
      </c>
      <c r="AG333" t="s">
        <v>564</v>
      </c>
      <c r="AH333">
        <v>0</v>
      </c>
      <c r="AI333">
        <v>229</v>
      </c>
      <c r="AJ333">
        <v>34</v>
      </c>
      <c r="AK333">
        <v>143</v>
      </c>
      <c r="AL333">
        <v>0.5</v>
      </c>
    </row>
    <row r="334" spans="1:38" x14ac:dyDescent="0.3">
      <c r="A334" t="s">
        <v>425</v>
      </c>
      <c r="B334">
        <v>104869</v>
      </c>
      <c r="C334">
        <v>7</v>
      </c>
      <c r="D334" t="s">
        <v>559</v>
      </c>
      <c r="E334" t="s">
        <v>560</v>
      </c>
      <c r="F334">
        <v>284</v>
      </c>
      <c r="G334">
        <v>6.78</v>
      </c>
      <c r="H334">
        <v>22.44</v>
      </c>
      <c r="I334">
        <v>4.01</v>
      </c>
      <c r="J334">
        <v>13.28</v>
      </c>
      <c r="K334">
        <v>1</v>
      </c>
      <c r="T334">
        <v>1</v>
      </c>
      <c r="U334">
        <v>1</v>
      </c>
      <c r="V334" t="s">
        <v>93</v>
      </c>
      <c r="W334" t="s">
        <v>570</v>
      </c>
      <c r="X334">
        <v>21</v>
      </c>
      <c r="Y334">
        <v>9</v>
      </c>
      <c r="Z334" t="s">
        <v>562</v>
      </c>
      <c r="AA334" t="s">
        <v>563</v>
      </c>
      <c r="AB334" t="s">
        <v>96</v>
      </c>
      <c r="AC334" t="s">
        <v>97</v>
      </c>
      <c r="AD334" t="s">
        <v>98</v>
      </c>
      <c r="AE334" t="s">
        <v>430</v>
      </c>
      <c r="AG334" t="s">
        <v>564</v>
      </c>
      <c r="AH334">
        <v>0</v>
      </c>
      <c r="AI334">
        <v>229</v>
      </c>
      <c r="AJ334">
        <v>34</v>
      </c>
      <c r="AK334">
        <v>143</v>
      </c>
      <c r="AL334">
        <v>0.5</v>
      </c>
    </row>
    <row r="335" spans="1:38" x14ac:dyDescent="0.3">
      <c r="A335" t="s">
        <v>425</v>
      </c>
      <c r="B335">
        <v>104869</v>
      </c>
      <c r="C335">
        <v>8</v>
      </c>
      <c r="D335" t="s">
        <v>559</v>
      </c>
      <c r="E335" t="s">
        <v>560</v>
      </c>
      <c r="F335">
        <v>284</v>
      </c>
      <c r="G335">
        <v>7.01</v>
      </c>
      <c r="H335">
        <v>23.19</v>
      </c>
      <c r="I335">
        <v>4.1500000000000004</v>
      </c>
      <c r="J335">
        <v>13.73</v>
      </c>
      <c r="K335">
        <v>69</v>
      </c>
      <c r="T335">
        <v>1</v>
      </c>
      <c r="U335">
        <v>1</v>
      </c>
      <c r="V335" t="s">
        <v>93</v>
      </c>
      <c r="W335" t="s">
        <v>571</v>
      </c>
      <c r="X335">
        <v>21</v>
      </c>
      <c r="Y335">
        <v>9</v>
      </c>
      <c r="Z335" t="s">
        <v>562</v>
      </c>
      <c r="AA335" t="s">
        <v>563</v>
      </c>
      <c r="AB335" t="s">
        <v>96</v>
      </c>
      <c r="AC335" t="s">
        <v>97</v>
      </c>
      <c r="AD335" t="s">
        <v>98</v>
      </c>
      <c r="AE335" t="s">
        <v>430</v>
      </c>
      <c r="AG335" t="s">
        <v>564</v>
      </c>
      <c r="AH335">
        <v>0</v>
      </c>
      <c r="AI335">
        <v>229</v>
      </c>
      <c r="AJ335">
        <v>34</v>
      </c>
      <c r="AK335">
        <v>143</v>
      </c>
      <c r="AL335">
        <v>0.5</v>
      </c>
    </row>
    <row r="336" spans="1:38" x14ac:dyDescent="0.3">
      <c r="A336" t="s">
        <v>425</v>
      </c>
      <c r="B336">
        <v>104869</v>
      </c>
      <c r="C336">
        <v>9</v>
      </c>
      <c r="D336" t="s">
        <v>559</v>
      </c>
      <c r="E336" t="s">
        <v>560</v>
      </c>
      <c r="F336">
        <v>284</v>
      </c>
      <c r="G336">
        <v>7.24</v>
      </c>
      <c r="H336">
        <v>23.94</v>
      </c>
      <c r="I336">
        <v>4.08</v>
      </c>
      <c r="J336">
        <v>13.51</v>
      </c>
      <c r="K336">
        <v>10</v>
      </c>
      <c r="T336">
        <v>1</v>
      </c>
      <c r="U336">
        <v>1</v>
      </c>
      <c r="V336" t="s">
        <v>93</v>
      </c>
      <c r="W336" t="s">
        <v>572</v>
      </c>
      <c r="X336">
        <v>21</v>
      </c>
      <c r="Y336">
        <v>9</v>
      </c>
      <c r="Z336" t="s">
        <v>562</v>
      </c>
      <c r="AA336" t="s">
        <v>563</v>
      </c>
      <c r="AB336" t="s">
        <v>96</v>
      </c>
      <c r="AC336" t="s">
        <v>97</v>
      </c>
      <c r="AD336" t="s">
        <v>98</v>
      </c>
      <c r="AE336" t="s">
        <v>430</v>
      </c>
      <c r="AG336" t="s">
        <v>564</v>
      </c>
      <c r="AH336">
        <v>0</v>
      </c>
      <c r="AI336">
        <v>229</v>
      </c>
      <c r="AJ336">
        <v>34</v>
      </c>
      <c r="AK336">
        <v>143</v>
      </c>
      <c r="AL336">
        <v>0.5</v>
      </c>
    </row>
    <row r="337" spans="1:38" x14ac:dyDescent="0.3">
      <c r="A337" t="s">
        <v>425</v>
      </c>
      <c r="B337">
        <v>104869</v>
      </c>
      <c r="C337">
        <v>10</v>
      </c>
      <c r="D337" t="s">
        <v>559</v>
      </c>
      <c r="E337" t="s">
        <v>560</v>
      </c>
      <c r="F337">
        <v>284</v>
      </c>
      <c r="G337">
        <v>7.46</v>
      </c>
      <c r="H337">
        <v>24.67</v>
      </c>
      <c r="I337">
        <v>4.3899999999999997</v>
      </c>
      <c r="J337">
        <v>14.53</v>
      </c>
      <c r="K337">
        <v>11</v>
      </c>
      <c r="T337">
        <v>1</v>
      </c>
      <c r="U337">
        <v>1</v>
      </c>
      <c r="V337" t="s">
        <v>93</v>
      </c>
      <c r="W337" t="s">
        <v>573</v>
      </c>
      <c r="X337">
        <v>21</v>
      </c>
      <c r="Y337">
        <v>9</v>
      </c>
      <c r="Z337" t="s">
        <v>562</v>
      </c>
      <c r="AA337" t="s">
        <v>563</v>
      </c>
      <c r="AB337" t="s">
        <v>96</v>
      </c>
      <c r="AC337" t="s">
        <v>97</v>
      </c>
      <c r="AD337" t="s">
        <v>98</v>
      </c>
      <c r="AE337" t="s">
        <v>430</v>
      </c>
      <c r="AG337" t="s">
        <v>564</v>
      </c>
      <c r="AH337">
        <v>0</v>
      </c>
      <c r="AI337">
        <v>229</v>
      </c>
      <c r="AJ337">
        <v>34</v>
      </c>
      <c r="AK337">
        <v>143</v>
      </c>
      <c r="AL337">
        <v>0.5</v>
      </c>
    </row>
    <row r="338" spans="1:38" x14ac:dyDescent="0.3">
      <c r="A338" t="s">
        <v>425</v>
      </c>
      <c r="B338">
        <v>104869</v>
      </c>
      <c r="C338">
        <v>11</v>
      </c>
      <c r="D338" t="s">
        <v>559</v>
      </c>
      <c r="E338" t="s">
        <v>560</v>
      </c>
      <c r="F338">
        <v>284</v>
      </c>
      <c r="G338">
        <v>7.69</v>
      </c>
      <c r="H338">
        <v>25.44</v>
      </c>
      <c r="I338">
        <v>4.49</v>
      </c>
      <c r="J338">
        <v>14.85</v>
      </c>
      <c r="K338">
        <v>2</v>
      </c>
      <c r="T338">
        <v>1</v>
      </c>
      <c r="U338">
        <v>1</v>
      </c>
      <c r="V338" t="s">
        <v>93</v>
      </c>
      <c r="W338" t="s">
        <v>574</v>
      </c>
      <c r="X338">
        <v>21</v>
      </c>
      <c r="Y338">
        <v>9</v>
      </c>
      <c r="Z338" t="s">
        <v>562</v>
      </c>
      <c r="AA338" t="s">
        <v>563</v>
      </c>
      <c r="AB338" t="s">
        <v>96</v>
      </c>
      <c r="AC338" t="s">
        <v>97</v>
      </c>
      <c r="AD338" t="s">
        <v>98</v>
      </c>
      <c r="AE338" t="s">
        <v>430</v>
      </c>
      <c r="AG338" t="s">
        <v>564</v>
      </c>
      <c r="AH338">
        <v>0</v>
      </c>
      <c r="AI338">
        <v>229</v>
      </c>
      <c r="AJ338">
        <v>34</v>
      </c>
      <c r="AK338">
        <v>143</v>
      </c>
      <c r="AL338">
        <v>0.5</v>
      </c>
    </row>
    <row r="339" spans="1:38" x14ac:dyDescent="0.3">
      <c r="A339" t="s">
        <v>425</v>
      </c>
      <c r="B339">
        <v>104869</v>
      </c>
      <c r="C339">
        <v>12</v>
      </c>
      <c r="D339" t="s">
        <v>559</v>
      </c>
      <c r="E339" t="s">
        <v>560</v>
      </c>
      <c r="F339">
        <v>284</v>
      </c>
      <c r="G339">
        <v>8.1199999999999992</v>
      </c>
      <c r="H339">
        <v>26.87</v>
      </c>
      <c r="I339">
        <v>4.83</v>
      </c>
      <c r="J339">
        <v>15.98</v>
      </c>
      <c r="K339">
        <v>1</v>
      </c>
      <c r="T339">
        <v>1</v>
      </c>
      <c r="U339">
        <v>1</v>
      </c>
      <c r="V339" t="s">
        <v>93</v>
      </c>
      <c r="W339" t="s">
        <v>575</v>
      </c>
      <c r="X339">
        <v>21</v>
      </c>
      <c r="Y339">
        <v>9</v>
      </c>
      <c r="Z339" t="s">
        <v>562</v>
      </c>
      <c r="AA339" t="s">
        <v>563</v>
      </c>
      <c r="AB339" t="s">
        <v>96</v>
      </c>
      <c r="AC339" t="s">
        <v>97</v>
      </c>
      <c r="AD339" t="s">
        <v>98</v>
      </c>
      <c r="AE339" t="s">
        <v>430</v>
      </c>
      <c r="AG339" t="s">
        <v>564</v>
      </c>
      <c r="AH339">
        <v>0</v>
      </c>
      <c r="AI339">
        <v>229</v>
      </c>
      <c r="AJ339">
        <v>34</v>
      </c>
      <c r="AK339">
        <v>143</v>
      </c>
      <c r="AL339">
        <v>0.5</v>
      </c>
    </row>
    <row r="340" spans="1:38" x14ac:dyDescent="0.3">
      <c r="A340" t="s">
        <v>425</v>
      </c>
      <c r="B340">
        <v>104869</v>
      </c>
      <c r="C340">
        <v>13</v>
      </c>
      <c r="D340" t="s">
        <v>559</v>
      </c>
      <c r="E340" t="s">
        <v>560</v>
      </c>
      <c r="F340">
        <v>284</v>
      </c>
      <c r="G340">
        <v>8.25</v>
      </c>
      <c r="H340">
        <v>27.28</v>
      </c>
      <c r="I340">
        <v>4.83</v>
      </c>
      <c r="J340">
        <v>15.98</v>
      </c>
      <c r="K340">
        <v>11</v>
      </c>
      <c r="T340">
        <v>1</v>
      </c>
      <c r="U340">
        <v>1</v>
      </c>
      <c r="V340" t="s">
        <v>93</v>
      </c>
      <c r="W340" t="s">
        <v>576</v>
      </c>
      <c r="X340">
        <v>21</v>
      </c>
      <c r="Y340">
        <v>9</v>
      </c>
      <c r="Z340" t="s">
        <v>562</v>
      </c>
      <c r="AA340" t="s">
        <v>563</v>
      </c>
      <c r="AB340" t="s">
        <v>96</v>
      </c>
      <c r="AC340" t="s">
        <v>97</v>
      </c>
      <c r="AD340" t="s">
        <v>98</v>
      </c>
      <c r="AE340" t="s">
        <v>430</v>
      </c>
      <c r="AG340" t="s">
        <v>564</v>
      </c>
      <c r="AH340">
        <v>0</v>
      </c>
      <c r="AI340">
        <v>229</v>
      </c>
      <c r="AJ340">
        <v>34</v>
      </c>
      <c r="AK340">
        <v>143</v>
      </c>
      <c r="AL340">
        <v>0.5</v>
      </c>
    </row>
    <row r="341" spans="1:38" x14ac:dyDescent="0.3">
      <c r="A341" t="s">
        <v>425</v>
      </c>
      <c r="B341">
        <v>104869</v>
      </c>
      <c r="C341">
        <v>14</v>
      </c>
      <c r="D341" t="s">
        <v>559</v>
      </c>
      <c r="E341" t="s">
        <v>560</v>
      </c>
      <c r="F341">
        <v>284</v>
      </c>
      <c r="G341">
        <v>8.7200000000000006</v>
      </c>
      <c r="H341">
        <v>28.83</v>
      </c>
      <c r="I341">
        <v>5.09</v>
      </c>
      <c r="J341">
        <v>16.850000000000001</v>
      </c>
      <c r="K341">
        <v>1</v>
      </c>
      <c r="T341">
        <v>1</v>
      </c>
      <c r="U341">
        <v>1</v>
      </c>
      <c r="V341" t="s">
        <v>93</v>
      </c>
      <c r="W341" t="s">
        <v>577</v>
      </c>
      <c r="X341">
        <v>21</v>
      </c>
      <c r="Y341">
        <v>9</v>
      </c>
      <c r="Z341" t="s">
        <v>562</v>
      </c>
      <c r="AA341" t="s">
        <v>563</v>
      </c>
      <c r="AB341" t="s">
        <v>96</v>
      </c>
      <c r="AC341" t="s">
        <v>97</v>
      </c>
      <c r="AD341" t="s">
        <v>98</v>
      </c>
      <c r="AE341" t="s">
        <v>430</v>
      </c>
      <c r="AG341" t="s">
        <v>564</v>
      </c>
      <c r="AH341">
        <v>0</v>
      </c>
      <c r="AI341">
        <v>229</v>
      </c>
      <c r="AJ341">
        <v>34</v>
      </c>
      <c r="AK341">
        <v>143</v>
      </c>
      <c r="AL341">
        <v>0.5</v>
      </c>
    </row>
    <row r="342" spans="1:38" x14ac:dyDescent="0.3">
      <c r="A342" t="s">
        <v>425</v>
      </c>
      <c r="B342">
        <v>104869</v>
      </c>
      <c r="C342">
        <v>15</v>
      </c>
      <c r="D342" t="s">
        <v>559</v>
      </c>
      <c r="E342" t="s">
        <v>560</v>
      </c>
      <c r="F342">
        <v>284</v>
      </c>
      <c r="G342">
        <v>8.83</v>
      </c>
      <c r="H342">
        <v>29.21</v>
      </c>
      <c r="I342">
        <v>5.21</v>
      </c>
      <c r="J342">
        <v>17.23</v>
      </c>
      <c r="K342">
        <v>9</v>
      </c>
      <c r="T342">
        <v>1</v>
      </c>
      <c r="U342">
        <v>1</v>
      </c>
      <c r="V342" t="s">
        <v>93</v>
      </c>
      <c r="W342" t="s">
        <v>578</v>
      </c>
      <c r="X342">
        <v>21</v>
      </c>
      <c r="Y342">
        <v>9</v>
      </c>
      <c r="Z342" t="s">
        <v>562</v>
      </c>
      <c r="AA342" t="s">
        <v>563</v>
      </c>
      <c r="AB342" t="s">
        <v>96</v>
      </c>
      <c r="AC342" t="s">
        <v>97</v>
      </c>
      <c r="AD342" t="s">
        <v>98</v>
      </c>
      <c r="AE342" t="s">
        <v>430</v>
      </c>
      <c r="AG342" t="s">
        <v>564</v>
      </c>
      <c r="AH342">
        <v>0</v>
      </c>
      <c r="AI342">
        <v>229</v>
      </c>
      <c r="AJ342">
        <v>34</v>
      </c>
      <c r="AK342">
        <v>143</v>
      </c>
      <c r="AL342">
        <v>0.5</v>
      </c>
    </row>
    <row r="343" spans="1:38" x14ac:dyDescent="0.3">
      <c r="A343" t="s">
        <v>425</v>
      </c>
      <c r="B343">
        <v>104869</v>
      </c>
      <c r="C343">
        <v>16</v>
      </c>
      <c r="D343" t="s">
        <v>559</v>
      </c>
      <c r="E343" t="s">
        <v>560</v>
      </c>
      <c r="F343">
        <v>284</v>
      </c>
      <c r="G343">
        <v>8.81</v>
      </c>
      <c r="H343">
        <v>29.13</v>
      </c>
      <c r="I343">
        <v>5.15</v>
      </c>
      <c r="J343">
        <v>17.03</v>
      </c>
      <c r="K343">
        <v>1</v>
      </c>
      <c r="T343">
        <v>1</v>
      </c>
      <c r="U343">
        <v>1</v>
      </c>
      <c r="V343" t="s">
        <v>93</v>
      </c>
      <c r="W343" t="s">
        <v>579</v>
      </c>
      <c r="X343">
        <v>21</v>
      </c>
      <c r="Y343">
        <v>9</v>
      </c>
      <c r="Z343" t="s">
        <v>562</v>
      </c>
      <c r="AA343" t="s">
        <v>563</v>
      </c>
      <c r="AB343" t="s">
        <v>96</v>
      </c>
      <c r="AC343" t="s">
        <v>97</v>
      </c>
      <c r="AD343" t="s">
        <v>98</v>
      </c>
      <c r="AE343" t="s">
        <v>430</v>
      </c>
      <c r="AG343" t="s">
        <v>564</v>
      </c>
      <c r="AH343">
        <v>0</v>
      </c>
      <c r="AI343">
        <v>229</v>
      </c>
      <c r="AJ343">
        <v>34</v>
      </c>
      <c r="AK343">
        <v>143</v>
      </c>
      <c r="AL343">
        <v>0.5</v>
      </c>
    </row>
    <row r="344" spans="1:38" x14ac:dyDescent="0.3">
      <c r="A344" t="s">
        <v>425</v>
      </c>
      <c r="B344">
        <v>104869</v>
      </c>
      <c r="C344">
        <v>17</v>
      </c>
      <c r="D344" t="s">
        <v>559</v>
      </c>
      <c r="E344" t="s">
        <v>560</v>
      </c>
      <c r="F344">
        <v>284</v>
      </c>
      <c r="G344">
        <v>9.41</v>
      </c>
      <c r="H344">
        <v>31.13</v>
      </c>
      <c r="I344">
        <v>5.52</v>
      </c>
      <c r="J344">
        <v>18.27</v>
      </c>
      <c r="K344">
        <v>8</v>
      </c>
      <c r="T344">
        <v>1</v>
      </c>
      <c r="U344">
        <v>1</v>
      </c>
      <c r="V344" t="s">
        <v>93</v>
      </c>
      <c r="W344" t="s">
        <v>580</v>
      </c>
      <c r="X344">
        <v>21</v>
      </c>
      <c r="Y344">
        <v>9</v>
      </c>
      <c r="Z344" t="s">
        <v>562</v>
      </c>
      <c r="AA344" t="s">
        <v>563</v>
      </c>
      <c r="AB344" t="s">
        <v>96</v>
      </c>
      <c r="AC344" t="s">
        <v>97</v>
      </c>
      <c r="AD344" t="s">
        <v>98</v>
      </c>
      <c r="AE344" t="s">
        <v>430</v>
      </c>
      <c r="AG344" t="s">
        <v>564</v>
      </c>
      <c r="AH344">
        <v>0</v>
      </c>
      <c r="AI344">
        <v>229</v>
      </c>
      <c r="AJ344">
        <v>34</v>
      </c>
      <c r="AK344">
        <v>143</v>
      </c>
      <c r="AL344">
        <v>0.5</v>
      </c>
    </row>
    <row r="345" spans="1:38" x14ac:dyDescent="0.3">
      <c r="A345" t="s">
        <v>425</v>
      </c>
      <c r="B345">
        <v>104869</v>
      </c>
      <c r="C345">
        <v>18</v>
      </c>
      <c r="D345" t="s">
        <v>559</v>
      </c>
      <c r="E345" t="s">
        <v>560</v>
      </c>
      <c r="F345">
        <v>284</v>
      </c>
      <c r="G345">
        <v>9.9700000000000006</v>
      </c>
      <c r="H345">
        <v>32.979999999999997</v>
      </c>
      <c r="I345">
        <v>5.88</v>
      </c>
      <c r="J345">
        <v>19.440000000000001</v>
      </c>
      <c r="K345">
        <v>3</v>
      </c>
      <c r="T345">
        <v>1</v>
      </c>
      <c r="U345">
        <v>1</v>
      </c>
      <c r="V345" t="s">
        <v>93</v>
      </c>
      <c r="W345" t="s">
        <v>581</v>
      </c>
      <c r="X345">
        <v>21</v>
      </c>
      <c r="Y345">
        <v>9</v>
      </c>
      <c r="Z345" t="s">
        <v>562</v>
      </c>
      <c r="AA345" t="s">
        <v>563</v>
      </c>
      <c r="AB345" t="s">
        <v>96</v>
      </c>
      <c r="AC345" t="s">
        <v>97</v>
      </c>
      <c r="AD345" t="s">
        <v>98</v>
      </c>
      <c r="AE345" t="s">
        <v>430</v>
      </c>
      <c r="AG345" t="s">
        <v>564</v>
      </c>
      <c r="AH345">
        <v>0</v>
      </c>
      <c r="AI345">
        <v>229</v>
      </c>
      <c r="AJ345">
        <v>34</v>
      </c>
      <c r="AK345">
        <v>143</v>
      </c>
      <c r="AL345">
        <v>0.5</v>
      </c>
    </row>
    <row r="346" spans="1:38" x14ac:dyDescent="0.3">
      <c r="A346" t="s">
        <v>425</v>
      </c>
      <c r="B346">
        <v>104869</v>
      </c>
      <c r="C346">
        <v>19</v>
      </c>
      <c r="D346" t="s">
        <v>559</v>
      </c>
      <c r="E346" t="s">
        <v>560</v>
      </c>
      <c r="F346">
        <v>284</v>
      </c>
      <c r="G346">
        <v>9.7799999999999994</v>
      </c>
      <c r="H346">
        <v>32.36</v>
      </c>
      <c r="I346">
        <v>5.71</v>
      </c>
      <c r="J346">
        <v>18.89</v>
      </c>
      <c r="K346">
        <v>1</v>
      </c>
      <c r="T346">
        <v>1</v>
      </c>
      <c r="U346">
        <v>1</v>
      </c>
      <c r="V346" t="s">
        <v>93</v>
      </c>
      <c r="W346" t="s">
        <v>582</v>
      </c>
      <c r="X346">
        <v>21</v>
      </c>
      <c r="Y346">
        <v>9</v>
      </c>
      <c r="Z346" t="s">
        <v>562</v>
      </c>
      <c r="AA346" t="s">
        <v>563</v>
      </c>
      <c r="AB346" t="s">
        <v>96</v>
      </c>
      <c r="AC346" t="s">
        <v>97</v>
      </c>
      <c r="AD346" t="s">
        <v>98</v>
      </c>
      <c r="AE346" t="s">
        <v>430</v>
      </c>
      <c r="AG346" t="s">
        <v>564</v>
      </c>
      <c r="AH346">
        <v>0</v>
      </c>
      <c r="AI346">
        <v>229</v>
      </c>
      <c r="AJ346">
        <v>34</v>
      </c>
      <c r="AK346">
        <v>143</v>
      </c>
      <c r="AL346">
        <v>0.5</v>
      </c>
    </row>
    <row r="347" spans="1:38" x14ac:dyDescent="0.3">
      <c r="A347" t="s">
        <v>425</v>
      </c>
      <c r="B347">
        <v>104869</v>
      </c>
      <c r="C347">
        <v>20</v>
      </c>
      <c r="D347" t="s">
        <v>559</v>
      </c>
      <c r="E347" t="s">
        <v>560</v>
      </c>
      <c r="F347">
        <v>284</v>
      </c>
      <c r="G347">
        <v>10.49</v>
      </c>
      <c r="H347">
        <v>34.69</v>
      </c>
      <c r="I347">
        <v>6.24</v>
      </c>
      <c r="J347">
        <v>20.64</v>
      </c>
      <c r="K347">
        <v>1</v>
      </c>
      <c r="T347">
        <v>1</v>
      </c>
      <c r="U347">
        <v>1</v>
      </c>
      <c r="V347" t="s">
        <v>93</v>
      </c>
      <c r="W347" t="s">
        <v>583</v>
      </c>
      <c r="X347">
        <v>21</v>
      </c>
      <c r="Y347">
        <v>9</v>
      </c>
      <c r="Z347" t="s">
        <v>562</v>
      </c>
      <c r="AA347" t="s">
        <v>563</v>
      </c>
      <c r="AB347" t="s">
        <v>96</v>
      </c>
      <c r="AC347" t="s">
        <v>97</v>
      </c>
      <c r="AD347" t="s">
        <v>98</v>
      </c>
      <c r="AE347" t="s">
        <v>430</v>
      </c>
      <c r="AG347" t="s">
        <v>564</v>
      </c>
      <c r="AH347">
        <v>0</v>
      </c>
      <c r="AI347">
        <v>229</v>
      </c>
      <c r="AJ347">
        <v>34</v>
      </c>
      <c r="AK347">
        <v>143</v>
      </c>
      <c r="AL347">
        <v>0.5</v>
      </c>
    </row>
    <row r="348" spans="1:38" x14ac:dyDescent="0.3">
      <c r="A348" t="s">
        <v>425</v>
      </c>
      <c r="B348">
        <v>104869</v>
      </c>
      <c r="C348">
        <v>21</v>
      </c>
      <c r="D348" t="s">
        <v>559</v>
      </c>
      <c r="E348" t="s">
        <v>560</v>
      </c>
      <c r="F348">
        <v>284</v>
      </c>
      <c r="G348">
        <v>11.48</v>
      </c>
      <c r="H348">
        <v>37.979999999999997</v>
      </c>
      <c r="I348">
        <v>6.82</v>
      </c>
      <c r="J348">
        <v>22.57</v>
      </c>
      <c r="K348">
        <v>1</v>
      </c>
      <c r="T348">
        <v>1</v>
      </c>
      <c r="U348">
        <v>1</v>
      </c>
      <c r="V348" t="s">
        <v>93</v>
      </c>
      <c r="W348" t="s">
        <v>584</v>
      </c>
      <c r="X348">
        <v>21</v>
      </c>
      <c r="Y348">
        <v>9</v>
      </c>
      <c r="Z348" t="s">
        <v>562</v>
      </c>
      <c r="AA348" t="s">
        <v>563</v>
      </c>
      <c r="AB348" t="s">
        <v>96</v>
      </c>
      <c r="AC348" t="s">
        <v>97</v>
      </c>
      <c r="AD348" t="s">
        <v>98</v>
      </c>
      <c r="AE348" t="s">
        <v>430</v>
      </c>
      <c r="AG348" t="s">
        <v>564</v>
      </c>
      <c r="AH348">
        <v>0</v>
      </c>
      <c r="AI348">
        <v>229</v>
      </c>
      <c r="AJ348">
        <v>34</v>
      </c>
      <c r="AK348">
        <v>143</v>
      </c>
      <c r="AL348">
        <v>0.5</v>
      </c>
    </row>
    <row r="349" spans="1:38" x14ac:dyDescent="0.3">
      <c r="A349" t="s">
        <v>425</v>
      </c>
      <c r="B349">
        <v>104869</v>
      </c>
      <c r="C349">
        <v>22</v>
      </c>
      <c r="D349" t="s">
        <v>559</v>
      </c>
      <c r="E349" t="s">
        <v>560</v>
      </c>
      <c r="F349">
        <v>284</v>
      </c>
      <c r="G349">
        <v>11.32</v>
      </c>
      <c r="H349">
        <v>37.43</v>
      </c>
      <c r="I349">
        <v>6.7</v>
      </c>
      <c r="J349">
        <v>22.16</v>
      </c>
      <c r="K349">
        <v>1</v>
      </c>
      <c r="T349">
        <v>1</v>
      </c>
      <c r="U349">
        <v>1</v>
      </c>
      <c r="V349" t="s">
        <v>93</v>
      </c>
      <c r="W349" t="s">
        <v>585</v>
      </c>
      <c r="X349">
        <v>21</v>
      </c>
      <c r="Y349">
        <v>9</v>
      </c>
      <c r="Z349" t="s">
        <v>562</v>
      </c>
      <c r="AA349" t="s">
        <v>563</v>
      </c>
      <c r="AB349" t="s">
        <v>96</v>
      </c>
      <c r="AC349" t="s">
        <v>97</v>
      </c>
      <c r="AD349" t="s">
        <v>98</v>
      </c>
      <c r="AE349" t="s">
        <v>430</v>
      </c>
      <c r="AG349" t="s">
        <v>564</v>
      </c>
      <c r="AH349">
        <v>0</v>
      </c>
      <c r="AI349">
        <v>229</v>
      </c>
      <c r="AJ349">
        <v>34</v>
      </c>
      <c r="AK349">
        <v>143</v>
      </c>
      <c r="AL349">
        <v>0.5</v>
      </c>
    </row>
    <row r="350" spans="1:38" x14ac:dyDescent="0.3">
      <c r="A350" t="s">
        <v>425</v>
      </c>
      <c r="B350">
        <v>104869</v>
      </c>
      <c r="C350">
        <v>23</v>
      </c>
      <c r="D350" t="s">
        <v>559</v>
      </c>
      <c r="E350" t="s">
        <v>560</v>
      </c>
      <c r="F350">
        <v>284</v>
      </c>
      <c r="G350">
        <v>11.59</v>
      </c>
      <c r="H350">
        <v>38.33</v>
      </c>
      <c r="I350">
        <v>6.84</v>
      </c>
      <c r="J350">
        <v>22.64</v>
      </c>
      <c r="K350">
        <v>1</v>
      </c>
      <c r="T350">
        <v>1</v>
      </c>
      <c r="U350">
        <v>1</v>
      </c>
      <c r="V350" t="s">
        <v>93</v>
      </c>
      <c r="W350" t="s">
        <v>586</v>
      </c>
      <c r="X350">
        <v>21</v>
      </c>
      <c r="Y350">
        <v>9</v>
      </c>
      <c r="Z350" t="s">
        <v>562</v>
      </c>
      <c r="AA350" t="s">
        <v>563</v>
      </c>
      <c r="AB350" t="s">
        <v>96</v>
      </c>
      <c r="AC350" t="s">
        <v>97</v>
      </c>
      <c r="AD350" t="s">
        <v>98</v>
      </c>
      <c r="AE350" t="s">
        <v>430</v>
      </c>
      <c r="AG350" t="s">
        <v>564</v>
      </c>
      <c r="AH350">
        <v>0</v>
      </c>
      <c r="AI350">
        <v>229</v>
      </c>
      <c r="AJ350">
        <v>34</v>
      </c>
      <c r="AK350">
        <v>143</v>
      </c>
      <c r="AL350">
        <v>0.5</v>
      </c>
    </row>
    <row r="351" spans="1:38" x14ac:dyDescent="0.3">
      <c r="A351" t="s">
        <v>425</v>
      </c>
      <c r="B351">
        <v>104869</v>
      </c>
      <c r="C351">
        <v>24</v>
      </c>
      <c r="D351" t="s">
        <v>559</v>
      </c>
      <c r="E351" t="s">
        <v>560</v>
      </c>
      <c r="F351">
        <v>284</v>
      </c>
      <c r="G351">
        <v>11.53</v>
      </c>
      <c r="H351">
        <v>38.14</v>
      </c>
      <c r="I351">
        <v>6.84</v>
      </c>
      <c r="J351">
        <v>22.63</v>
      </c>
      <c r="K351">
        <v>1</v>
      </c>
      <c r="T351">
        <v>1</v>
      </c>
      <c r="U351">
        <v>1</v>
      </c>
      <c r="V351" t="s">
        <v>93</v>
      </c>
      <c r="W351" t="s">
        <v>587</v>
      </c>
      <c r="X351">
        <v>21</v>
      </c>
      <c r="Y351">
        <v>9</v>
      </c>
      <c r="Z351" t="s">
        <v>562</v>
      </c>
      <c r="AA351" t="s">
        <v>563</v>
      </c>
      <c r="AB351" t="s">
        <v>96</v>
      </c>
      <c r="AC351" t="s">
        <v>97</v>
      </c>
      <c r="AD351" t="s">
        <v>98</v>
      </c>
      <c r="AE351" t="s">
        <v>430</v>
      </c>
      <c r="AG351" t="s">
        <v>564</v>
      </c>
      <c r="AH351">
        <v>0</v>
      </c>
      <c r="AI351">
        <v>229</v>
      </c>
      <c r="AJ351">
        <v>34</v>
      </c>
      <c r="AK351">
        <v>143</v>
      </c>
      <c r="AL351">
        <v>0.5</v>
      </c>
    </row>
    <row r="352" spans="1:38" x14ac:dyDescent="0.3">
      <c r="A352" t="s">
        <v>425</v>
      </c>
      <c r="B352">
        <v>104869</v>
      </c>
      <c r="C352">
        <v>25</v>
      </c>
      <c r="D352" t="s">
        <v>559</v>
      </c>
      <c r="E352" t="s">
        <v>560</v>
      </c>
      <c r="F352">
        <v>284</v>
      </c>
      <c r="G352">
        <v>13.2</v>
      </c>
      <c r="H352">
        <v>43.65</v>
      </c>
      <c r="I352">
        <v>7.9</v>
      </c>
      <c r="J352">
        <v>26.13</v>
      </c>
      <c r="K352">
        <v>1</v>
      </c>
      <c r="T352">
        <v>1</v>
      </c>
      <c r="U352">
        <v>1</v>
      </c>
      <c r="V352" t="s">
        <v>93</v>
      </c>
      <c r="W352" t="s">
        <v>588</v>
      </c>
      <c r="X352">
        <v>21</v>
      </c>
      <c r="Y352">
        <v>9</v>
      </c>
      <c r="Z352" t="s">
        <v>562</v>
      </c>
      <c r="AA352" t="s">
        <v>563</v>
      </c>
      <c r="AB352" t="s">
        <v>96</v>
      </c>
      <c r="AC352" t="s">
        <v>97</v>
      </c>
      <c r="AD352" t="s">
        <v>98</v>
      </c>
      <c r="AE352" t="s">
        <v>430</v>
      </c>
      <c r="AG352" t="s">
        <v>564</v>
      </c>
      <c r="AH352">
        <v>0</v>
      </c>
      <c r="AI352">
        <v>229</v>
      </c>
      <c r="AJ352">
        <v>34</v>
      </c>
      <c r="AK352">
        <v>143</v>
      </c>
      <c r="AL352">
        <v>0.5</v>
      </c>
    </row>
    <row r="353" spans="1:38" x14ac:dyDescent="0.3">
      <c r="A353" t="s">
        <v>589</v>
      </c>
      <c r="B353">
        <v>27278</v>
      </c>
      <c r="C353">
        <v>1</v>
      </c>
      <c r="D353" t="s">
        <v>590</v>
      </c>
      <c r="E353" t="s">
        <v>591</v>
      </c>
      <c r="F353">
        <v>64</v>
      </c>
      <c r="G353">
        <v>23.01</v>
      </c>
      <c r="H353">
        <v>76.09</v>
      </c>
      <c r="I353">
        <v>17.649999999999999</v>
      </c>
      <c r="J353">
        <v>58.38</v>
      </c>
      <c r="K353">
        <v>64</v>
      </c>
      <c r="T353">
        <v>3</v>
      </c>
      <c r="U353">
        <v>2</v>
      </c>
      <c r="V353" t="s">
        <v>93</v>
      </c>
      <c r="W353">
        <v>76</v>
      </c>
      <c r="X353">
        <v>12</v>
      </c>
      <c r="Y353">
        <v>11</v>
      </c>
      <c r="Z353" t="s">
        <v>592</v>
      </c>
      <c r="AA353" t="s">
        <v>593</v>
      </c>
      <c r="AB353" t="s">
        <v>96</v>
      </c>
      <c r="AC353" t="s">
        <v>97</v>
      </c>
      <c r="AD353" t="s">
        <v>98</v>
      </c>
      <c r="AE353" t="s">
        <v>594</v>
      </c>
      <c r="AG353" t="s">
        <v>595</v>
      </c>
      <c r="AH353">
        <v>0</v>
      </c>
      <c r="AI353">
        <v>279</v>
      </c>
      <c r="AJ353">
        <v>30</v>
      </c>
      <c r="AK353">
        <v>45</v>
      </c>
      <c r="AL353">
        <v>0.7</v>
      </c>
    </row>
    <row r="354" spans="1:38" x14ac:dyDescent="0.3">
      <c r="A354" t="s">
        <v>589</v>
      </c>
      <c r="B354">
        <v>125173</v>
      </c>
      <c r="C354">
        <v>1</v>
      </c>
      <c r="D354" t="s">
        <v>596</v>
      </c>
      <c r="E354" t="s">
        <v>487</v>
      </c>
      <c r="F354">
        <v>8</v>
      </c>
      <c r="G354">
        <v>16.59</v>
      </c>
      <c r="H354">
        <v>54.85</v>
      </c>
      <c r="I354">
        <v>14.52</v>
      </c>
      <c r="J354">
        <v>48</v>
      </c>
      <c r="K354">
        <v>2</v>
      </c>
      <c r="T354">
        <v>2</v>
      </c>
      <c r="U354">
        <v>1</v>
      </c>
      <c r="V354" t="s">
        <v>93</v>
      </c>
      <c r="W354" t="s">
        <v>301</v>
      </c>
      <c r="X354">
        <v>11</v>
      </c>
      <c r="Y354">
        <v>11</v>
      </c>
      <c r="Z354" t="s">
        <v>597</v>
      </c>
      <c r="AA354" t="s">
        <v>598</v>
      </c>
      <c r="AB354" t="s">
        <v>96</v>
      </c>
      <c r="AC354" t="s">
        <v>97</v>
      </c>
      <c r="AD354" t="s">
        <v>98</v>
      </c>
      <c r="AE354" t="s">
        <v>594</v>
      </c>
      <c r="AG354" t="s">
        <v>599</v>
      </c>
      <c r="AH354">
        <v>0</v>
      </c>
      <c r="AI354">
        <v>473</v>
      </c>
      <c r="AJ354">
        <v>69</v>
      </c>
      <c r="AK354">
        <v>7</v>
      </c>
      <c r="AL354">
        <v>0.88</v>
      </c>
    </row>
    <row r="355" spans="1:38" x14ac:dyDescent="0.3">
      <c r="A355" t="s">
        <v>589</v>
      </c>
      <c r="B355">
        <v>125173</v>
      </c>
      <c r="C355">
        <v>2</v>
      </c>
      <c r="D355" t="s">
        <v>596</v>
      </c>
      <c r="E355" t="s">
        <v>487</v>
      </c>
      <c r="F355">
        <v>8</v>
      </c>
      <c r="G355">
        <v>17.18</v>
      </c>
      <c r="H355">
        <v>56.8</v>
      </c>
      <c r="I355">
        <v>15.03</v>
      </c>
      <c r="J355">
        <v>49.7</v>
      </c>
      <c r="K355">
        <v>2</v>
      </c>
      <c r="T355">
        <v>2</v>
      </c>
      <c r="U355">
        <v>1</v>
      </c>
      <c r="V355" t="s">
        <v>93</v>
      </c>
      <c r="W355" t="s">
        <v>216</v>
      </c>
      <c r="X355">
        <v>11</v>
      </c>
      <c r="Y355">
        <v>11</v>
      </c>
      <c r="Z355" t="s">
        <v>597</v>
      </c>
      <c r="AA355" t="s">
        <v>598</v>
      </c>
      <c r="AB355" t="s">
        <v>96</v>
      </c>
      <c r="AC355" t="s">
        <v>97</v>
      </c>
      <c r="AD355" t="s">
        <v>98</v>
      </c>
      <c r="AE355" t="s">
        <v>594</v>
      </c>
      <c r="AG355" t="s">
        <v>599</v>
      </c>
      <c r="AH355">
        <v>0</v>
      </c>
      <c r="AI355">
        <v>473</v>
      </c>
      <c r="AJ355">
        <v>69</v>
      </c>
      <c r="AK355">
        <v>7</v>
      </c>
      <c r="AL355">
        <v>0.88</v>
      </c>
    </row>
    <row r="356" spans="1:38" x14ac:dyDescent="0.3">
      <c r="A356" t="s">
        <v>589</v>
      </c>
      <c r="B356">
        <v>125173</v>
      </c>
      <c r="C356">
        <v>3</v>
      </c>
      <c r="D356" t="s">
        <v>596</v>
      </c>
      <c r="E356" t="s">
        <v>487</v>
      </c>
      <c r="F356">
        <v>8</v>
      </c>
      <c r="G356">
        <v>17.84</v>
      </c>
      <c r="H356">
        <v>58.98</v>
      </c>
      <c r="I356">
        <v>15.61</v>
      </c>
      <c r="J356">
        <v>51.61</v>
      </c>
      <c r="K356">
        <v>2</v>
      </c>
      <c r="T356">
        <v>2</v>
      </c>
      <c r="U356">
        <v>1</v>
      </c>
      <c r="V356" t="s">
        <v>93</v>
      </c>
      <c r="W356">
        <v>58</v>
      </c>
      <c r="X356">
        <v>11</v>
      </c>
      <c r="Y356">
        <v>11</v>
      </c>
      <c r="Z356" t="s">
        <v>597</v>
      </c>
      <c r="AA356" t="s">
        <v>598</v>
      </c>
      <c r="AB356" t="s">
        <v>96</v>
      </c>
      <c r="AC356" t="s">
        <v>97</v>
      </c>
      <c r="AD356" t="s">
        <v>98</v>
      </c>
      <c r="AE356" t="s">
        <v>594</v>
      </c>
      <c r="AG356" t="s">
        <v>599</v>
      </c>
      <c r="AH356">
        <v>0</v>
      </c>
      <c r="AI356">
        <v>473</v>
      </c>
      <c r="AJ356">
        <v>69</v>
      </c>
      <c r="AK356">
        <v>7</v>
      </c>
      <c r="AL356">
        <v>0.88</v>
      </c>
    </row>
    <row r="357" spans="1:38" x14ac:dyDescent="0.3">
      <c r="A357" t="s">
        <v>589</v>
      </c>
      <c r="B357">
        <v>125173</v>
      </c>
      <c r="C357">
        <v>4</v>
      </c>
      <c r="D357" t="s">
        <v>596</v>
      </c>
      <c r="E357" t="s">
        <v>487</v>
      </c>
      <c r="F357">
        <v>8</v>
      </c>
      <c r="G357">
        <v>23.27</v>
      </c>
      <c r="H357">
        <v>76.94</v>
      </c>
      <c r="I357">
        <v>20.36</v>
      </c>
      <c r="J357">
        <v>67.33</v>
      </c>
      <c r="K357">
        <v>2</v>
      </c>
      <c r="T357">
        <v>2</v>
      </c>
      <c r="U357">
        <v>1</v>
      </c>
      <c r="V357" t="s">
        <v>93</v>
      </c>
      <c r="W357">
        <v>76</v>
      </c>
      <c r="X357">
        <v>11</v>
      </c>
      <c r="Y357">
        <v>11</v>
      </c>
      <c r="Z357" t="s">
        <v>597</v>
      </c>
      <c r="AA357" t="s">
        <v>598</v>
      </c>
      <c r="AB357" t="s">
        <v>96</v>
      </c>
      <c r="AC357" t="s">
        <v>97</v>
      </c>
      <c r="AD357" t="s">
        <v>98</v>
      </c>
      <c r="AE357" t="s">
        <v>594</v>
      </c>
      <c r="AG357" t="s">
        <v>599</v>
      </c>
      <c r="AH357">
        <v>0</v>
      </c>
      <c r="AI357">
        <v>473</v>
      </c>
      <c r="AJ357">
        <v>69</v>
      </c>
      <c r="AK357">
        <v>7</v>
      </c>
      <c r="AL357">
        <v>0.88</v>
      </c>
    </row>
    <row r="358" spans="1:38" x14ac:dyDescent="0.3">
      <c r="A358" t="s">
        <v>589</v>
      </c>
      <c r="B358">
        <v>11519</v>
      </c>
      <c r="C358">
        <v>1</v>
      </c>
      <c r="D358" t="s">
        <v>600</v>
      </c>
      <c r="E358" t="s">
        <v>601</v>
      </c>
      <c r="F358">
        <v>90</v>
      </c>
      <c r="G358">
        <v>29.77</v>
      </c>
      <c r="H358">
        <v>98.44</v>
      </c>
      <c r="I358">
        <v>23.68</v>
      </c>
      <c r="J358">
        <v>78.290000000000006</v>
      </c>
      <c r="K358">
        <v>15</v>
      </c>
      <c r="T358">
        <v>3</v>
      </c>
      <c r="U358">
        <v>1</v>
      </c>
      <c r="V358" t="s">
        <v>93</v>
      </c>
      <c r="W358" t="s">
        <v>208</v>
      </c>
      <c r="X358">
        <v>20</v>
      </c>
      <c r="Y358">
        <v>20</v>
      </c>
      <c r="Z358" t="s">
        <v>602</v>
      </c>
      <c r="AA358" t="s">
        <v>603</v>
      </c>
      <c r="AB358" t="s">
        <v>96</v>
      </c>
      <c r="AC358" t="s">
        <v>97</v>
      </c>
      <c r="AD358" t="s">
        <v>98</v>
      </c>
      <c r="AE358" t="s">
        <v>594</v>
      </c>
      <c r="AG358" t="s">
        <v>604</v>
      </c>
      <c r="AH358">
        <v>0</v>
      </c>
      <c r="AI358">
        <v>833</v>
      </c>
      <c r="AJ358">
        <v>74</v>
      </c>
      <c r="AK358">
        <v>143</v>
      </c>
      <c r="AL358">
        <v>1.59</v>
      </c>
    </row>
    <row r="359" spans="1:38" x14ac:dyDescent="0.3">
      <c r="A359" t="s">
        <v>589</v>
      </c>
      <c r="B359">
        <v>11519</v>
      </c>
      <c r="C359">
        <v>2</v>
      </c>
      <c r="D359" t="s">
        <v>600</v>
      </c>
      <c r="E359" t="s">
        <v>601</v>
      </c>
      <c r="F359">
        <v>90</v>
      </c>
      <c r="G359">
        <v>29.77</v>
      </c>
      <c r="H359">
        <v>98.44</v>
      </c>
      <c r="I359">
        <v>23.68</v>
      </c>
      <c r="J359">
        <v>78.290000000000006</v>
      </c>
      <c r="K359">
        <v>14</v>
      </c>
      <c r="T359">
        <v>3</v>
      </c>
      <c r="U359">
        <v>1</v>
      </c>
      <c r="V359" t="s">
        <v>93</v>
      </c>
      <c r="W359" t="s">
        <v>605</v>
      </c>
      <c r="X359">
        <v>20</v>
      </c>
      <c r="Y359">
        <v>20</v>
      </c>
      <c r="Z359" t="s">
        <v>602</v>
      </c>
      <c r="AA359" t="s">
        <v>603</v>
      </c>
      <c r="AB359" t="s">
        <v>96</v>
      </c>
      <c r="AC359" t="s">
        <v>97</v>
      </c>
      <c r="AD359" t="s">
        <v>98</v>
      </c>
      <c r="AE359" t="s">
        <v>594</v>
      </c>
      <c r="AG359" t="s">
        <v>604</v>
      </c>
      <c r="AH359">
        <v>0</v>
      </c>
      <c r="AI359">
        <v>833</v>
      </c>
      <c r="AJ359">
        <v>74</v>
      </c>
      <c r="AK359">
        <v>143</v>
      </c>
      <c r="AL359">
        <v>1.59</v>
      </c>
    </row>
    <row r="360" spans="1:38" x14ac:dyDescent="0.3">
      <c r="A360" t="s">
        <v>589</v>
      </c>
      <c r="B360">
        <v>11519</v>
      </c>
      <c r="C360">
        <v>3</v>
      </c>
      <c r="D360" t="s">
        <v>600</v>
      </c>
      <c r="E360" t="s">
        <v>601</v>
      </c>
      <c r="F360">
        <v>90</v>
      </c>
      <c r="G360">
        <v>33.700000000000003</v>
      </c>
      <c r="H360">
        <v>111.41</v>
      </c>
      <c r="I360">
        <v>26.8</v>
      </c>
      <c r="J360">
        <v>88.61</v>
      </c>
      <c r="K360">
        <v>15</v>
      </c>
      <c r="T360">
        <v>3</v>
      </c>
      <c r="U360">
        <v>2</v>
      </c>
      <c r="V360" t="s">
        <v>118</v>
      </c>
      <c r="W360">
        <v>111</v>
      </c>
      <c r="X360">
        <v>20</v>
      </c>
      <c r="Y360">
        <v>20</v>
      </c>
      <c r="Z360" t="s">
        <v>602</v>
      </c>
      <c r="AA360" t="s">
        <v>603</v>
      </c>
      <c r="AB360" t="s">
        <v>96</v>
      </c>
      <c r="AC360" t="s">
        <v>97</v>
      </c>
      <c r="AD360" t="s">
        <v>98</v>
      </c>
      <c r="AE360" t="s">
        <v>594</v>
      </c>
      <c r="AG360" t="s">
        <v>604</v>
      </c>
      <c r="AH360">
        <v>0</v>
      </c>
      <c r="AI360">
        <v>833</v>
      </c>
      <c r="AJ360">
        <v>74</v>
      </c>
      <c r="AK360">
        <v>143</v>
      </c>
      <c r="AL360">
        <v>1.59</v>
      </c>
    </row>
    <row r="361" spans="1:38" x14ac:dyDescent="0.3">
      <c r="A361" t="s">
        <v>589</v>
      </c>
      <c r="B361">
        <v>11519</v>
      </c>
      <c r="C361">
        <v>4</v>
      </c>
      <c r="D361" t="s">
        <v>600</v>
      </c>
      <c r="E361" t="s">
        <v>601</v>
      </c>
      <c r="F361">
        <v>90</v>
      </c>
      <c r="G361">
        <v>34.6</v>
      </c>
      <c r="H361">
        <v>114.39</v>
      </c>
      <c r="I361">
        <v>27.52</v>
      </c>
      <c r="J361">
        <v>90.98</v>
      </c>
      <c r="K361">
        <v>1</v>
      </c>
      <c r="T361">
        <v>3</v>
      </c>
      <c r="U361">
        <v>2</v>
      </c>
      <c r="V361" t="s">
        <v>118</v>
      </c>
      <c r="W361">
        <v>114</v>
      </c>
      <c r="X361">
        <v>20</v>
      </c>
      <c r="Y361">
        <v>20</v>
      </c>
      <c r="Z361" t="s">
        <v>602</v>
      </c>
      <c r="AA361" t="s">
        <v>603</v>
      </c>
      <c r="AB361" t="s">
        <v>96</v>
      </c>
      <c r="AC361" t="s">
        <v>97</v>
      </c>
      <c r="AD361" t="s">
        <v>98</v>
      </c>
      <c r="AE361" t="s">
        <v>594</v>
      </c>
      <c r="AG361" t="s">
        <v>604</v>
      </c>
      <c r="AH361">
        <v>0</v>
      </c>
      <c r="AI361">
        <v>833</v>
      </c>
      <c r="AJ361">
        <v>74</v>
      </c>
      <c r="AK361">
        <v>143</v>
      </c>
      <c r="AL361">
        <v>1.59</v>
      </c>
    </row>
    <row r="362" spans="1:38" x14ac:dyDescent="0.3">
      <c r="A362" t="s">
        <v>589</v>
      </c>
      <c r="B362">
        <v>11519</v>
      </c>
      <c r="C362">
        <v>5</v>
      </c>
      <c r="D362" t="s">
        <v>600</v>
      </c>
      <c r="E362" t="s">
        <v>601</v>
      </c>
      <c r="F362">
        <v>90</v>
      </c>
      <c r="G362">
        <v>40.15</v>
      </c>
      <c r="H362">
        <v>132.72999999999999</v>
      </c>
      <c r="I362">
        <v>31.93</v>
      </c>
      <c r="J362">
        <v>105.56</v>
      </c>
      <c r="K362">
        <v>1</v>
      </c>
      <c r="T362">
        <v>4</v>
      </c>
      <c r="U362">
        <v>2</v>
      </c>
      <c r="V362" t="s">
        <v>93</v>
      </c>
      <c r="W362">
        <v>132</v>
      </c>
      <c r="X362">
        <v>20</v>
      </c>
      <c r="Y362">
        <v>20</v>
      </c>
      <c r="Z362" t="s">
        <v>602</v>
      </c>
      <c r="AA362" t="s">
        <v>603</v>
      </c>
      <c r="AB362" t="s">
        <v>96</v>
      </c>
      <c r="AC362" t="s">
        <v>97</v>
      </c>
      <c r="AD362" t="s">
        <v>98</v>
      </c>
      <c r="AE362" t="s">
        <v>594</v>
      </c>
      <c r="AG362" t="s">
        <v>604</v>
      </c>
      <c r="AH362">
        <v>0</v>
      </c>
      <c r="AI362">
        <v>833</v>
      </c>
      <c r="AJ362">
        <v>74</v>
      </c>
      <c r="AK362">
        <v>143</v>
      </c>
      <c r="AL362">
        <v>1.59</v>
      </c>
    </row>
    <row r="363" spans="1:38" x14ac:dyDescent="0.3">
      <c r="A363" t="s">
        <v>589</v>
      </c>
      <c r="B363">
        <v>11519</v>
      </c>
      <c r="C363">
        <v>6</v>
      </c>
      <c r="D363" t="s">
        <v>600</v>
      </c>
      <c r="E363" t="s">
        <v>601</v>
      </c>
      <c r="F363">
        <v>90</v>
      </c>
      <c r="G363">
        <v>43.04</v>
      </c>
      <c r="H363">
        <v>142.31</v>
      </c>
      <c r="I363">
        <v>34.229999999999997</v>
      </c>
      <c r="J363">
        <v>113.18</v>
      </c>
      <c r="K363">
        <v>15</v>
      </c>
      <c r="T363">
        <v>4</v>
      </c>
      <c r="U363">
        <v>2</v>
      </c>
      <c r="V363" t="s">
        <v>118</v>
      </c>
      <c r="W363">
        <v>142</v>
      </c>
      <c r="X363">
        <v>20</v>
      </c>
      <c r="Y363">
        <v>20</v>
      </c>
      <c r="Z363" t="s">
        <v>602</v>
      </c>
      <c r="AA363" t="s">
        <v>603</v>
      </c>
      <c r="AB363" t="s">
        <v>96</v>
      </c>
      <c r="AC363" t="s">
        <v>97</v>
      </c>
      <c r="AD363" t="s">
        <v>98</v>
      </c>
      <c r="AE363" t="s">
        <v>594</v>
      </c>
      <c r="AG363" t="s">
        <v>604</v>
      </c>
      <c r="AH363">
        <v>0</v>
      </c>
      <c r="AI363">
        <v>833</v>
      </c>
      <c r="AJ363">
        <v>74</v>
      </c>
      <c r="AK363">
        <v>143</v>
      </c>
      <c r="AL363">
        <v>1.59</v>
      </c>
    </row>
    <row r="364" spans="1:38" x14ac:dyDescent="0.3">
      <c r="A364" t="s">
        <v>589</v>
      </c>
      <c r="B364">
        <v>11519</v>
      </c>
      <c r="C364">
        <v>7</v>
      </c>
      <c r="D364" t="s">
        <v>600</v>
      </c>
      <c r="E364" t="s">
        <v>601</v>
      </c>
      <c r="F364">
        <v>90</v>
      </c>
      <c r="G364">
        <v>48.7</v>
      </c>
      <c r="H364">
        <v>161</v>
      </c>
      <c r="I364">
        <v>38.729999999999997</v>
      </c>
      <c r="J364">
        <v>128.05000000000001</v>
      </c>
      <c r="K364">
        <v>15</v>
      </c>
      <c r="T364">
        <v>4</v>
      </c>
      <c r="U364">
        <v>2</v>
      </c>
      <c r="V364" t="s">
        <v>118</v>
      </c>
      <c r="W364">
        <v>161</v>
      </c>
      <c r="X364">
        <v>20</v>
      </c>
      <c r="Y364">
        <v>20</v>
      </c>
      <c r="Z364" t="s">
        <v>602</v>
      </c>
      <c r="AA364" t="s">
        <v>603</v>
      </c>
      <c r="AB364" t="s">
        <v>96</v>
      </c>
      <c r="AC364" t="s">
        <v>97</v>
      </c>
      <c r="AD364" t="s">
        <v>98</v>
      </c>
      <c r="AE364" t="s">
        <v>594</v>
      </c>
      <c r="AG364" t="s">
        <v>604</v>
      </c>
      <c r="AH364">
        <v>0</v>
      </c>
      <c r="AI364">
        <v>833</v>
      </c>
      <c r="AJ364">
        <v>74</v>
      </c>
      <c r="AK364">
        <v>143</v>
      </c>
      <c r="AL364">
        <v>1.59</v>
      </c>
    </row>
    <row r="365" spans="1:38" x14ac:dyDescent="0.3">
      <c r="A365" t="s">
        <v>589</v>
      </c>
      <c r="B365">
        <v>11519</v>
      </c>
      <c r="C365">
        <v>8</v>
      </c>
      <c r="D365" t="s">
        <v>600</v>
      </c>
      <c r="E365" t="s">
        <v>601</v>
      </c>
      <c r="F365">
        <v>90</v>
      </c>
      <c r="G365">
        <v>50.05</v>
      </c>
      <c r="H365">
        <v>165.47</v>
      </c>
      <c r="I365">
        <v>39.799999999999997</v>
      </c>
      <c r="J365">
        <v>131.6</v>
      </c>
      <c r="K365">
        <v>14</v>
      </c>
      <c r="T365">
        <v>5</v>
      </c>
      <c r="U365">
        <v>2</v>
      </c>
      <c r="V365" t="s">
        <v>118</v>
      </c>
      <c r="W365">
        <v>165</v>
      </c>
      <c r="X365">
        <v>20</v>
      </c>
      <c r="Y365">
        <v>20</v>
      </c>
      <c r="Z365" t="s">
        <v>602</v>
      </c>
      <c r="AA365" t="s">
        <v>603</v>
      </c>
      <c r="AB365" t="s">
        <v>96</v>
      </c>
      <c r="AC365" t="s">
        <v>97</v>
      </c>
      <c r="AD365" t="s">
        <v>98</v>
      </c>
      <c r="AE365" t="s">
        <v>594</v>
      </c>
      <c r="AG365" t="s">
        <v>604</v>
      </c>
      <c r="AH365">
        <v>0</v>
      </c>
      <c r="AI365">
        <v>833</v>
      </c>
      <c r="AJ365">
        <v>74</v>
      </c>
      <c r="AK365">
        <v>143</v>
      </c>
      <c r="AL365">
        <v>1.59</v>
      </c>
    </row>
    <row r="366" spans="1:38" x14ac:dyDescent="0.3">
      <c r="A366" t="s">
        <v>589</v>
      </c>
      <c r="B366">
        <v>133091</v>
      </c>
      <c r="C366">
        <v>1</v>
      </c>
      <c r="D366" t="s">
        <v>606</v>
      </c>
      <c r="E366" t="s">
        <v>607</v>
      </c>
      <c r="F366">
        <v>3432</v>
      </c>
      <c r="G366">
        <v>17.55</v>
      </c>
      <c r="H366">
        <v>58.04</v>
      </c>
      <c r="I366">
        <v>12.03</v>
      </c>
      <c r="J366">
        <v>39.770000000000003</v>
      </c>
      <c r="K366">
        <v>343</v>
      </c>
      <c r="T366">
        <v>1</v>
      </c>
      <c r="U366">
        <v>1</v>
      </c>
      <c r="V366" t="s">
        <v>93</v>
      </c>
      <c r="W366">
        <v>58</v>
      </c>
      <c r="X366">
        <v>25</v>
      </c>
      <c r="Y366">
        <v>11</v>
      </c>
      <c r="Z366" t="s">
        <v>608</v>
      </c>
      <c r="AA366" t="s">
        <v>609</v>
      </c>
      <c r="AB366" t="s">
        <v>96</v>
      </c>
      <c r="AC366" t="s">
        <v>97</v>
      </c>
      <c r="AD366" t="s">
        <v>98</v>
      </c>
      <c r="AE366" t="s">
        <v>594</v>
      </c>
      <c r="AG366" t="s">
        <v>190</v>
      </c>
      <c r="AH366">
        <v>241</v>
      </c>
      <c r="AI366">
        <v>244</v>
      </c>
      <c r="AJ366">
        <v>18</v>
      </c>
      <c r="AK366">
        <v>4523</v>
      </c>
      <c r="AL366">
        <v>1.32</v>
      </c>
    </row>
    <row r="367" spans="1:38" x14ac:dyDescent="0.3">
      <c r="A367" t="s">
        <v>589</v>
      </c>
      <c r="B367">
        <v>133091</v>
      </c>
      <c r="C367">
        <v>2</v>
      </c>
      <c r="D367" t="s">
        <v>606</v>
      </c>
      <c r="E367" t="s">
        <v>607</v>
      </c>
      <c r="F367">
        <v>3432</v>
      </c>
      <c r="G367">
        <v>25.69</v>
      </c>
      <c r="H367">
        <v>84.93</v>
      </c>
      <c r="I367">
        <v>18.14</v>
      </c>
      <c r="J367">
        <v>59.99</v>
      </c>
      <c r="K367">
        <v>682</v>
      </c>
      <c r="T367">
        <v>3</v>
      </c>
      <c r="U367">
        <v>2</v>
      </c>
      <c r="V367" t="s">
        <v>93</v>
      </c>
      <c r="W367" t="s">
        <v>552</v>
      </c>
      <c r="X367">
        <v>25</v>
      </c>
      <c r="Y367">
        <v>11</v>
      </c>
      <c r="Z367" t="s">
        <v>608</v>
      </c>
      <c r="AA367" t="s">
        <v>609</v>
      </c>
      <c r="AB367" t="s">
        <v>96</v>
      </c>
      <c r="AC367" t="s">
        <v>97</v>
      </c>
      <c r="AD367" t="s">
        <v>98</v>
      </c>
      <c r="AE367" t="s">
        <v>594</v>
      </c>
      <c r="AG367" t="s">
        <v>190</v>
      </c>
      <c r="AH367">
        <v>241</v>
      </c>
      <c r="AI367">
        <v>244</v>
      </c>
      <c r="AJ367">
        <v>18</v>
      </c>
      <c r="AK367">
        <v>4523</v>
      </c>
      <c r="AL367">
        <v>1.32</v>
      </c>
    </row>
    <row r="368" spans="1:38" x14ac:dyDescent="0.3">
      <c r="A368" t="s">
        <v>589</v>
      </c>
      <c r="B368">
        <v>133091</v>
      </c>
      <c r="C368">
        <v>3</v>
      </c>
      <c r="D368" t="s">
        <v>606</v>
      </c>
      <c r="E368" t="s">
        <v>607</v>
      </c>
      <c r="F368">
        <v>3432</v>
      </c>
      <c r="G368">
        <v>25.44</v>
      </c>
      <c r="H368">
        <v>84.13</v>
      </c>
      <c r="I368">
        <v>18.14</v>
      </c>
      <c r="J368">
        <v>59.98</v>
      </c>
      <c r="K368">
        <v>460</v>
      </c>
      <c r="T368">
        <v>3</v>
      </c>
      <c r="U368">
        <v>2</v>
      </c>
      <c r="V368" t="s">
        <v>93</v>
      </c>
      <c r="W368" t="s">
        <v>610</v>
      </c>
      <c r="X368">
        <v>25</v>
      </c>
      <c r="Y368">
        <v>11</v>
      </c>
      <c r="Z368" t="s">
        <v>608</v>
      </c>
      <c r="AA368" t="s">
        <v>609</v>
      </c>
      <c r="AB368" t="s">
        <v>96</v>
      </c>
      <c r="AC368" t="s">
        <v>97</v>
      </c>
      <c r="AD368" t="s">
        <v>98</v>
      </c>
      <c r="AE368" t="s">
        <v>594</v>
      </c>
      <c r="AG368" t="s">
        <v>190</v>
      </c>
      <c r="AH368">
        <v>241</v>
      </c>
      <c r="AI368">
        <v>244</v>
      </c>
      <c r="AJ368">
        <v>18</v>
      </c>
      <c r="AK368">
        <v>4523</v>
      </c>
      <c r="AL368">
        <v>1.32</v>
      </c>
    </row>
    <row r="369" spans="1:38" x14ac:dyDescent="0.3">
      <c r="A369" t="s">
        <v>589</v>
      </c>
      <c r="B369">
        <v>133091</v>
      </c>
      <c r="C369">
        <v>4</v>
      </c>
      <c r="D369" t="s">
        <v>606</v>
      </c>
      <c r="E369" t="s">
        <v>607</v>
      </c>
      <c r="F369">
        <v>3432</v>
      </c>
      <c r="G369">
        <v>30.44</v>
      </c>
      <c r="H369">
        <v>100.66</v>
      </c>
      <c r="I369">
        <v>22.37</v>
      </c>
      <c r="J369">
        <v>73.97</v>
      </c>
      <c r="K369">
        <v>731</v>
      </c>
      <c r="T369">
        <v>3</v>
      </c>
      <c r="U369">
        <v>2</v>
      </c>
      <c r="V369" t="s">
        <v>93</v>
      </c>
      <c r="W369" t="s">
        <v>109</v>
      </c>
      <c r="X369">
        <v>25</v>
      </c>
      <c r="Y369">
        <v>11</v>
      </c>
      <c r="Z369" t="s">
        <v>608</v>
      </c>
      <c r="AA369" t="s">
        <v>609</v>
      </c>
      <c r="AB369" t="s">
        <v>96</v>
      </c>
      <c r="AC369" t="s">
        <v>97</v>
      </c>
      <c r="AD369" t="s">
        <v>98</v>
      </c>
      <c r="AE369" t="s">
        <v>594</v>
      </c>
      <c r="AG369" t="s">
        <v>190</v>
      </c>
      <c r="AH369">
        <v>241</v>
      </c>
      <c r="AI369">
        <v>244</v>
      </c>
      <c r="AJ369">
        <v>18</v>
      </c>
      <c r="AK369">
        <v>4523</v>
      </c>
      <c r="AL369">
        <v>1.32</v>
      </c>
    </row>
    <row r="370" spans="1:38" x14ac:dyDescent="0.3">
      <c r="A370" t="s">
        <v>589</v>
      </c>
      <c r="B370">
        <v>133091</v>
      </c>
      <c r="C370">
        <v>5</v>
      </c>
      <c r="D370" t="s">
        <v>606</v>
      </c>
      <c r="E370" t="s">
        <v>607</v>
      </c>
      <c r="F370">
        <v>3432</v>
      </c>
      <c r="G370">
        <v>30.43</v>
      </c>
      <c r="H370">
        <v>100.61</v>
      </c>
      <c r="I370">
        <v>22.36</v>
      </c>
      <c r="J370">
        <v>73.94</v>
      </c>
      <c r="K370">
        <v>289</v>
      </c>
      <c r="T370">
        <v>3</v>
      </c>
      <c r="U370">
        <v>2</v>
      </c>
      <c r="V370" t="s">
        <v>93</v>
      </c>
      <c r="W370" t="s">
        <v>380</v>
      </c>
      <c r="X370">
        <v>25</v>
      </c>
      <c r="Y370">
        <v>11</v>
      </c>
      <c r="Z370" t="s">
        <v>608</v>
      </c>
      <c r="AA370" t="s">
        <v>609</v>
      </c>
      <c r="AB370" t="s">
        <v>96</v>
      </c>
      <c r="AC370" t="s">
        <v>97</v>
      </c>
      <c r="AD370" t="s">
        <v>98</v>
      </c>
      <c r="AE370" t="s">
        <v>594</v>
      </c>
      <c r="AG370" t="s">
        <v>190</v>
      </c>
      <c r="AH370">
        <v>241</v>
      </c>
      <c r="AI370">
        <v>244</v>
      </c>
      <c r="AJ370">
        <v>18</v>
      </c>
      <c r="AK370">
        <v>4523</v>
      </c>
      <c r="AL370">
        <v>1.32</v>
      </c>
    </row>
    <row r="371" spans="1:38" x14ac:dyDescent="0.3">
      <c r="A371" t="s">
        <v>589</v>
      </c>
      <c r="B371">
        <v>133091</v>
      </c>
      <c r="C371">
        <v>6</v>
      </c>
      <c r="D371" t="s">
        <v>606</v>
      </c>
      <c r="E371" t="s">
        <v>607</v>
      </c>
      <c r="F371">
        <v>3432</v>
      </c>
      <c r="G371">
        <v>33.909999999999997</v>
      </c>
      <c r="H371">
        <v>112.11</v>
      </c>
      <c r="I371">
        <v>25.7</v>
      </c>
      <c r="J371">
        <v>84.99</v>
      </c>
      <c r="K371">
        <v>501</v>
      </c>
      <c r="T371">
        <v>3</v>
      </c>
      <c r="U371">
        <v>2</v>
      </c>
      <c r="V371" t="s">
        <v>93</v>
      </c>
      <c r="W371" t="s">
        <v>611</v>
      </c>
      <c r="X371">
        <v>25</v>
      </c>
      <c r="Y371">
        <v>11</v>
      </c>
      <c r="Z371" t="s">
        <v>608</v>
      </c>
      <c r="AA371" t="s">
        <v>609</v>
      </c>
      <c r="AB371" t="s">
        <v>96</v>
      </c>
      <c r="AC371" t="s">
        <v>97</v>
      </c>
      <c r="AD371" t="s">
        <v>98</v>
      </c>
      <c r="AE371" t="s">
        <v>594</v>
      </c>
      <c r="AG371" t="s">
        <v>190</v>
      </c>
      <c r="AH371">
        <v>241</v>
      </c>
      <c r="AI371">
        <v>244</v>
      </c>
      <c r="AJ371">
        <v>18</v>
      </c>
      <c r="AK371">
        <v>4523</v>
      </c>
      <c r="AL371">
        <v>1.32</v>
      </c>
    </row>
    <row r="372" spans="1:38" x14ac:dyDescent="0.3">
      <c r="A372" t="s">
        <v>589</v>
      </c>
      <c r="B372">
        <v>133091</v>
      </c>
      <c r="C372">
        <v>7</v>
      </c>
      <c r="D372" t="s">
        <v>606</v>
      </c>
      <c r="E372" t="s">
        <v>607</v>
      </c>
      <c r="F372">
        <v>3432</v>
      </c>
      <c r="G372">
        <v>33.979999999999997</v>
      </c>
      <c r="H372">
        <v>112.36</v>
      </c>
      <c r="I372">
        <v>25.7</v>
      </c>
      <c r="J372">
        <v>84.99</v>
      </c>
      <c r="K372">
        <v>98</v>
      </c>
      <c r="T372">
        <v>3</v>
      </c>
      <c r="U372">
        <v>2</v>
      </c>
      <c r="V372" t="s">
        <v>93</v>
      </c>
      <c r="W372" t="s">
        <v>452</v>
      </c>
      <c r="X372">
        <v>25</v>
      </c>
      <c r="Y372">
        <v>11</v>
      </c>
      <c r="Z372" t="s">
        <v>608</v>
      </c>
      <c r="AA372" t="s">
        <v>609</v>
      </c>
      <c r="AB372" t="s">
        <v>96</v>
      </c>
      <c r="AC372" t="s">
        <v>97</v>
      </c>
      <c r="AD372" t="s">
        <v>98</v>
      </c>
      <c r="AE372" t="s">
        <v>594</v>
      </c>
      <c r="AG372" t="s">
        <v>190</v>
      </c>
      <c r="AH372">
        <v>241</v>
      </c>
      <c r="AI372">
        <v>244</v>
      </c>
      <c r="AJ372">
        <v>18</v>
      </c>
      <c r="AK372">
        <v>4523</v>
      </c>
      <c r="AL372">
        <v>1.32</v>
      </c>
    </row>
    <row r="373" spans="1:38" x14ac:dyDescent="0.3">
      <c r="A373" t="s">
        <v>589</v>
      </c>
      <c r="B373">
        <v>133091</v>
      </c>
      <c r="C373">
        <v>8</v>
      </c>
      <c r="D373" t="s">
        <v>606</v>
      </c>
      <c r="E373" t="s">
        <v>607</v>
      </c>
      <c r="F373">
        <v>3432</v>
      </c>
      <c r="G373">
        <v>39.69</v>
      </c>
      <c r="H373">
        <v>131.21</v>
      </c>
      <c r="I373">
        <v>31.25</v>
      </c>
      <c r="J373">
        <v>103.31</v>
      </c>
      <c r="K373">
        <v>87</v>
      </c>
      <c r="T373">
        <v>3</v>
      </c>
      <c r="U373">
        <v>2</v>
      </c>
      <c r="V373" t="s">
        <v>93</v>
      </c>
      <c r="W373">
        <v>131</v>
      </c>
      <c r="X373">
        <v>25</v>
      </c>
      <c r="Y373">
        <v>11</v>
      </c>
      <c r="Z373" t="s">
        <v>608</v>
      </c>
      <c r="AA373" t="s">
        <v>609</v>
      </c>
      <c r="AB373" t="s">
        <v>96</v>
      </c>
      <c r="AC373" t="s">
        <v>97</v>
      </c>
      <c r="AD373" t="s">
        <v>98</v>
      </c>
      <c r="AE373" t="s">
        <v>594</v>
      </c>
      <c r="AG373" t="s">
        <v>190</v>
      </c>
      <c r="AH373">
        <v>241</v>
      </c>
      <c r="AI373">
        <v>244</v>
      </c>
      <c r="AJ373">
        <v>18</v>
      </c>
      <c r="AK373">
        <v>4523</v>
      </c>
      <c r="AL373">
        <v>1.32</v>
      </c>
    </row>
    <row r="374" spans="1:38" x14ac:dyDescent="0.3">
      <c r="A374" t="s">
        <v>589</v>
      </c>
      <c r="B374">
        <v>104942</v>
      </c>
      <c r="C374">
        <v>1</v>
      </c>
      <c r="D374" t="s">
        <v>612</v>
      </c>
      <c r="E374" t="s">
        <v>613</v>
      </c>
      <c r="F374">
        <v>40</v>
      </c>
      <c r="G374">
        <v>17.100000000000001</v>
      </c>
      <c r="H374">
        <v>56.53</v>
      </c>
      <c r="I374">
        <v>13.32</v>
      </c>
      <c r="J374">
        <v>44.04</v>
      </c>
      <c r="K374">
        <v>10</v>
      </c>
      <c r="T374">
        <v>2</v>
      </c>
      <c r="U374">
        <v>1</v>
      </c>
      <c r="V374" t="s">
        <v>118</v>
      </c>
      <c r="W374" t="s">
        <v>614</v>
      </c>
      <c r="X374">
        <v>5</v>
      </c>
      <c r="Y374">
        <v>5</v>
      </c>
      <c r="Z374" t="s">
        <v>615</v>
      </c>
      <c r="AA374" t="s">
        <v>616</v>
      </c>
      <c r="AB374" t="s">
        <v>96</v>
      </c>
      <c r="AC374" t="s">
        <v>97</v>
      </c>
      <c r="AD374" t="s">
        <v>98</v>
      </c>
      <c r="AE374" t="s">
        <v>594</v>
      </c>
      <c r="AG374" t="s">
        <v>617</v>
      </c>
      <c r="AH374">
        <v>0</v>
      </c>
      <c r="AI374">
        <v>0</v>
      </c>
      <c r="AJ374">
        <v>0</v>
      </c>
      <c r="AK374">
        <v>0</v>
      </c>
      <c r="AL374">
        <v>0</v>
      </c>
    </row>
    <row r="375" spans="1:38" x14ac:dyDescent="0.3">
      <c r="A375" t="s">
        <v>589</v>
      </c>
      <c r="B375">
        <v>104942</v>
      </c>
      <c r="C375">
        <v>2</v>
      </c>
      <c r="D375" t="s">
        <v>612</v>
      </c>
      <c r="E375" t="s">
        <v>613</v>
      </c>
      <c r="F375">
        <v>40</v>
      </c>
      <c r="G375">
        <v>17.48</v>
      </c>
      <c r="H375">
        <v>57.8</v>
      </c>
      <c r="I375">
        <v>13.79</v>
      </c>
      <c r="J375">
        <v>45.6</v>
      </c>
      <c r="K375">
        <v>5</v>
      </c>
      <c r="T375">
        <v>2</v>
      </c>
      <c r="U375">
        <v>1</v>
      </c>
      <c r="V375" t="s">
        <v>118</v>
      </c>
      <c r="W375" t="s">
        <v>618</v>
      </c>
      <c r="X375">
        <v>5</v>
      </c>
      <c r="Y375">
        <v>5</v>
      </c>
      <c r="Z375" t="s">
        <v>615</v>
      </c>
      <c r="AA375" t="s">
        <v>616</v>
      </c>
      <c r="AB375" t="s">
        <v>96</v>
      </c>
      <c r="AC375" t="s">
        <v>97</v>
      </c>
      <c r="AD375" t="s">
        <v>98</v>
      </c>
      <c r="AE375" t="s">
        <v>594</v>
      </c>
      <c r="AG375" t="s">
        <v>617</v>
      </c>
      <c r="AH375">
        <v>0</v>
      </c>
      <c r="AI375">
        <v>0</v>
      </c>
      <c r="AJ375">
        <v>0</v>
      </c>
      <c r="AK375">
        <v>0</v>
      </c>
      <c r="AL375">
        <v>0</v>
      </c>
    </row>
    <row r="376" spans="1:38" x14ac:dyDescent="0.3">
      <c r="A376" t="s">
        <v>589</v>
      </c>
      <c r="B376">
        <v>104942</v>
      </c>
      <c r="C376">
        <v>3</v>
      </c>
      <c r="D376" t="s">
        <v>612</v>
      </c>
      <c r="E376" t="s">
        <v>613</v>
      </c>
      <c r="F376">
        <v>40</v>
      </c>
      <c r="G376">
        <v>18</v>
      </c>
      <c r="H376">
        <v>59.53</v>
      </c>
      <c r="I376">
        <v>14.22</v>
      </c>
      <c r="J376">
        <v>47.04</v>
      </c>
      <c r="K376">
        <v>10</v>
      </c>
      <c r="T376">
        <v>3</v>
      </c>
      <c r="U376">
        <v>1</v>
      </c>
      <c r="V376" t="s">
        <v>93</v>
      </c>
      <c r="W376" t="s">
        <v>619</v>
      </c>
      <c r="X376">
        <v>5</v>
      </c>
      <c r="Y376">
        <v>5</v>
      </c>
      <c r="Z376" t="s">
        <v>615</v>
      </c>
      <c r="AA376" t="s">
        <v>616</v>
      </c>
      <c r="AB376" t="s">
        <v>96</v>
      </c>
      <c r="AC376" t="s">
        <v>97</v>
      </c>
      <c r="AD376" t="s">
        <v>98</v>
      </c>
      <c r="AE376" t="s">
        <v>594</v>
      </c>
      <c r="AG376" t="s">
        <v>617</v>
      </c>
      <c r="AH376">
        <v>0</v>
      </c>
      <c r="AI376">
        <v>0</v>
      </c>
      <c r="AJ376">
        <v>0</v>
      </c>
      <c r="AK376">
        <v>0</v>
      </c>
      <c r="AL376">
        <v>0</v>
      </c>
    </row>
    <row r="377" spans="1:38" x14ac:dyDescent="0.3">
      <c r="A377" t="s">
        <v>589</v>
      </c>
      <c r="B377">
        <v>104942</v>
      </c>
      <c r="C377">
        <v>4</v>
      </c>
      <c r="D377" t="s">
        <v>612</v>
      </c>
      <c r="E377" t="s">
        <v>613</v>
      </c>
      <c r="F377">
        <v>40</v>
      </c>
      <c r="G377">
        <v>18.32</v>
      </c>
      <c r="H377">
        <v>60.58</v>
      </c>
      <c r="I377">
        <v>14.65</v>
      </c>
      <c r="J377">
        <v>48.45</v>
      </c>
      <c r="K377">
        <v>15</v>
      </c>
      <c r="T377">
        <v>2</v>
      </c>
      <c r="U377">
        <v>1</v>
      </c>
      <c r="V377" t="s">
        <v>118</v>
      </c>
      <c r="W377" t="s">
        <v>543</v>
      </c>
      <c r="X377">
        <v>5</v>
      </c>
      <c r="Y377">
        <v>5</v>
      </c>
      <c r="Z377" t="s">
        <v>615</v>
      </c>
      <c r="AA377" t="s">
        <v>616</v>
      </c>
      <c r="AB377" t="s">
        <v>96</v>
      </c>
      <c r="AC377" t="s">
        <v>97</v>
      </c>
      <c r="AD377" t="s">
        <v>98</v>
      </c>
      <c r="AE377" t="s">
        <v>594</v>
      </c>
      <c r="AG377" t="s">
        <v>617</v>
      </c>
      <c r="AH377">
        <v>0</v>
      </c>
      <c r="AI377">
        <v>0</v>
      </c>
      <c r="AJ377">
        <v>0</v>
      </c>
      <c r="AK377">
        <v>0</v>
      </c>
      <c r="AL377">
        <v>0</v>
      </c>
    </row>
    <row r="378" spans="1:38" x14ac:dyDescent="0.3">
      <c r="A378" t="s">
        <v>589</v>
      </c>
      <c r="B378">
        <v>107236</v>
      </c>
      <c r="C378">
        <v>1</v>
      </c>
      <c r="D378" t="s">
        <v>620</v>
      </c>
      <c r="E378" t="s">
        <v>621</v>
      </c>
      <c r="F378">
        <v>39</v>
      </c>
      <c r="G378">
        <v>9.1</v>
      </c>
      <c r="H378">
        <v>30.09</v>
      </c>
      <c r="I378">
        <v>6.63</v>
      </c>
      <c r="J378">
        <v>21.93</v>
      </c>
      <c r="K378">
        <v>20</v>
      </c>
      <c r="T378">
        <v>1</v>
      </c>
      <c r="U378">
        <v>1</v>
      </c>
      <c r="V378" t="s">
        <v>118</v>
      </c>
      <c r="W378" t="s">
        <v>622</v>
      </c>
      <c r="X378">
        <v>7</v>
      </c>
      <c r="Y378">
        <v>7</v>
      </c>
      <c r="Z378" t="s">
        <v>623</v>
      </c>
      <c r="AA378" t="s">
        <v>624</v>
      </c>
      <c r="AB378" t="s">
        <v>96</v>
      </c>
      <c r="AC378" t="s">
        <v>97</v>
      </c>
      <c r="AD378" t="s">
        <v>98</v>
      </c>
      <c r="AE378" t="s">
        <v>594</v>
      </c>
      <c r="AG378" t="s">
        <v>625</v>
      </c>
      <c r="AH378">
        <v>0</v>
      </c>
      <c r="AI378">
        <v>331</v>
      </c>
      <c r="AJ378">
        <v>71</v>
      </c>
      <c r="AK378">
        <v>28</v>
      </c>
      <c r="AL378">
        <v>0.72</v>
      </c>
    </row>
    <row r="379" spans="1:38" x14ac:dyDescent="0.3">
      <c r="A379" t="s">
        <v>589</v>
      </c>
      <c r="B379">
        <v>107236</v>
      </c>
      <c r="C379">
        <v>2</v>
      </c>
      <c r="D379" t="s">
        <v>620</v>
      </c>
      <c r="E379" t="s">
        <v>621</v>
      </c>
      <c r="F379">
        <v>39</v>
      </c>
      <c r="G379">
        <v>9.36</v>
      </c>
      <c r="H379">
        <v>30.97</v>
      </c>
      <c r="I379">
        <v>6.82</v>
      </c>
      <c r="J379">
        <v>22.57</v>
      </c>
      <c r="K379">
        <v>11</v>
      </c>
      <c r="T379">
        <v>1</v>
      </c>
      <c r="U379">
        <v>1</v>
      </c>
      <c r="V379" t="s">
        <v>118</v>
      </c>
      <c r="W379" t="s">
        <v>626</v>
      </c>
      <c r="X379">
        <v>7</v>
      </c>
      <c r="Y379">
        <v>7</v>
      </c>
      <c r="Z379" t="s">
        <v>623</v>
      </c>
      <c r="AA379" t="s">
        <v>624</v>
      </c>
      <c r="AB379" t="s">
        <v>96</v>
      </c>
      <c r="AC379" t="s">
        <v>97</v>
      </c>
      <c r="AD379" t="s">
        <v>98</v>
      </c>
      <c r="AE379" t="s">
        <v>594</v>
      </c>
      <c r="AG379" t="s">
        <v>625</v>
      </c>
      <c r="AH379">
        <v>0</v>
      </c>
      <c r="AI379">
        <v>331</v>
      </c>
      <c r="AJ379">
        <v>71</v>
      </c>
      <c r="AK379">
        <v>28</v>
      </c>
      <c r="AL379">
        <v>0.72</v>
      </c>
    </row>
    <row r="380" spans="1:38" x14ac:dyDescent="0.3">
      <c r="A380" t="s">
        <v>589</v>
      </c>
      <c r="B380">
        <v>107236</v>
      </c>
      <c r="C380">
        <v>3</v>
      </c>
      <c r="D380" t="s">
        <v>620</v>
      </c>
      <c r="E380" t="s">
        <v>621</v>
      </c>
      <c r="F380">
        <v>39</v>
      </c>
      <c r="G380">
        <v>17.14</v>
      </c>
      <c r="H380">
        <v>56.68</v>
      </c>
      <c r="I380">
        <v>12.49</v>
      </c>
      <c r="J380">
        <v>41.31</v>
      </c>
      <c r="K380">
        <v>4</v>
      </c>
      <c r="T380">
        <v>1</v>
      </c>
      <c r="U380">
        <v>1</v>
      </c>
      <c r="V380" t="s">
        <v>118</v>
      </c>
      <c r="W380">
        <v>56</v>
      </c>
      <c r="X380">
        <v>7</v>
      </c>
      <c r="Y380">
        <v>7</v>
      </c>
      <c r="Z380" t="s">
        <v>623</v>
      </c>
      <c r="AA380" t="s">
        <v>624</v>
      </c>
      <c r="AB380" t="s">
        <v>96</v>
      </c>
      <c r="AC380" t="s">
        <v>97</v>
      </c>
      <c r="AD380" t="s">
        <v>98</v>
      </c>
      <c r="AE380" t="s">
        <v>594</v>
      </c>
      <c r="AG380" t="s">
        <v>625</v>
      </c>
      <c r="AH380">
        <v>0</v>
      </c>
      <c r="AI380">
        <v>331</v>
      </c>
      <c r="AJ380">
        <v>71</v>
      </c>
      <c r="AK380">
        <v>28</v>
      </c>
      <c r="AL380">
        <v>0.72</v>
      </c>
    </row>
    <row r="381" spans="1:38" x14ac:dyDescent="0.3">
      <c r="A381" t="s">
        <v>589</v>
      </c>
      <c r="B381">
        <v>107236</v>
      </c>
      <c r="C381">
        <v>4</v>
      </c>
      <c r="D381" t="s">
        <v>620</v>
      </c>
      <c r="E381" t="s">
        <v>621</v>
      </c>
      <c r="F381">
        <v>39</v>
      </c>
      <c r="G381">
        <v>19.690000000000001</v>
      </c>
      <c r="H381">
        <v>65.12</v>
      </c>
      <c r="I381">
        <v>14.35</v>
      </c>
      <c r="J381">
        <v>47.45</v>
      </c>
      <c r="K381">
        <v>4</v>
      </c>
      <c r="T381">
        <v>1</v>
      </c>
      <c r="U381">
        <v>1</v>
      </c>
      <c r="V381" t="s">
        <v>118</v>
      </c>
      <c r="W381">
        <v>65</v>
      </c>
      <c r="X381">
        <v>7</v>
      </c>
      <c r="Y381">
        <v>7</v>
      </c>
      <c r="Z381" t="s">
        <v>623</v>
      </c>
      <c r="AA381" t="s">
        <v>624</v>
      </c>
      <c r="AB381" t="s">
        <v>96</v>
      </c>
      <c r="AC381" t="s">
        <v>97</v>
      </c>
      <c r="AD381" t="s">
        <v>98</v>
      </c>
      <c r="AE381" t="s">
        <v>594</v>
      </c>
      <c r="AG381" t="s">
        <v>625</v>
      </c>
      <c r="AH381">
        <v>0</v>
      </c>
      <c r="AI381">
        <v>331</v>
      </c>
      <c r="AJ381">
        <v>71</v>
      </c>
      <c r="AK381">
        <v>28</v>
      </c>
      <c r="AL381">
        <v>0.72</v>
      </c>
    </row>
    <row r="382" spans="1:38" x14ac:dyDescent="0.3">
      <c r="A382" t="s">
        <v>589</v>
      </c>
      <c r="B382">
        <v>104882</v>
      </c>
      <c r="C382">
        <v>1</v>
      </c>
      <c r="D382" t="s">
        <v>627</v>
      </c>
      <c r="E382" t="s">
        <v>628</v>
      </c>
      <c r="F382">
        <v>140</v>
      </c>
      <c r="G382">
        <v>34.01</v>
      </c>
      <c r="H382">
        <v>112.45</v>
      </c>
      <c r="I382">
        <v>25.7</v>
      </c>
      <c r="J382">
        <v>84.99</v>
      </c>
      <c r="K382">
        <v>62</v>
      </c>
      <c r="T382">
        <v>3</v>
      </c>
      <c r="U382">
        <v>2</v>
      </c>
      <c r="V382" t="s">
        <v>118</v>
      </c>
      <c r="W382" t="s">
        <v>611</v>
      </c>
      <c r="X382">
        <v>20</v>
      </c>
      <c r="Y382">
        <v>13</v>
      </c>
      <c r="Z382" t="s">
        <v>629</v>
      </c>
      <c r="AA382" t="s">
        <v>630</v>
      </c>
      <c r="AB382" t="s">
        <v>96</v>
      </c>
      <c r="AC382" t="s">
        <v>97</v>
      </c>
      <c r="AD382" t="s">
        <v>98</v>
      </c>
      <c r="AE382" t="s">
        <v>594</v>
      </c>
      <c r="AG382" t="s">
        <v>631</v>
      </c>
      <c r="AH382">
        <v>0</v>
      </c>
      <c r="AI382">
        <v>376</v>
      </c>
      <c r="AJ382">
        <v>37</v>
      </c>
      <c r="AK382">
        <v>159</v>
      </c>
      <c r="AL382">
        <v>1.1399999999999999</v>
      </c>
    </row>
    <row r="383" spans="1:38" x14ac:dyDescent="0.3">
      <c r="A383" t="s">
        <v>589</v>
      </c>
      <c r="B383">
        <v>104882</v>
      </c>
      <c r="C383">
        <v>2</v>
      </c>
      <c r="D383" t="s">
        <v>627</v>
      </c>
      <c r="E383" t="s">
        <v>628</v>
      </c>
      <c r="F383">
        <v>140</v>
      </c>
      <c r="G383">
        <v>34.119999999999997</v>
      </c>
      <c r="H383">
        <v>112.8</v>
      </c>
      <c r="I383">
        <v>25.69</v>
      </c>
      <c r="J383">
        <v>84.94</v>
      </c>
      <c r="K383">
        <v>49</v>
      </c>
      <c r="T383">
        <v>3</v>
      </c>
      <c r="U383">
        <v>2</v>
      </c>
      <c r="V383" t="s">
        <v>118</v>
      </c>
      <c r="W383" t="s">
        <v>452</v>
      </c>
      <c r="X383">
        <v>20</v>
      </c>
      <c r="Y383">
        <v>13</v>
      </c>
      <c r="Z383" t="s">
        <v>629</v>
      </c>
      <c r="AA383" t="s">
        <v>630</v>
      </c>
      <c r="AB383" t="s">
        <v>96</v>
      </c>
      <c r="AC383" t="s">
        <v>97</v>
      </c>
      <c r="AD383" t="s">
        <v>98</v>
      </c>
      <c r="AE383" t="s">
        <v>594</v>
      </c>
      <c r="AG383" t="s">
        <v>631</v>
      </c>
      <c r="AH383">
        <v>0</v>
      </c>
      <c r="AI383">
        <v>376</v>
      </c>
      <c r="AJ383">
        <v>37</v>
      </c>
      <c r="AK383">
        <v>159</v>
      </c>
      <c r="AL383">
        <v>1.1399999999999999</v>
      </c>
    </row>
    <row r="384" spans="1:38" x14ac:dyDescent="0.3">
      <c r="A384" t="s">
        <v>589</v>
      </c>
      <c r="B384">
        <v>104882</v>
      </c>
      <c r="C384">
        <v>3</v>
      </c>
      <c r="D384" t="s">
        <v>627</v>
      </c>
      <c r="E384" t="s">
        <v>628</v>
      </c>
      <c r="F384">
        <v>140</v>
      </c>
      <c r="G384">
        <v>34.14</v>
      </c>
      <c r="H384">
        <v>112.89</v>
      </c>
      <c r="I384">
        <v>25.69</v>
      </c>
      <c r="J384">
        <v>84.94</v>
      </c>
      <c r="K384">
        <v>29</v>
      </c>
      <c r="T384">
        <v>3</v>
      </c>
      <c r="U384">
        <v>2</v>
      </c>
      <c r="V384" t="s">
        <v>118</v>
      </c>
      <c r="W384" t="s">
        <v>632</v>
      </c>
      <c r="X384">
        <v>20</v>
      </c>
      <c r="Y384">
        <v>13</v>
      </c>
      <c r="Z384" t="s">
        <v>629</v>
      </c>
      <c r="AA384" t="s">
        <v>630</v>
      </c>
      <c r="AB384" t="s">
        <v>96</v>
      </c>
      <c r="AC384" t="s">
        <v>97</v>
      </c>
      <c r="AD384" t="s">
        <v>98</v>
      </c>
      <c r="AE384" t="s">
        <v>594</v>
      </c>
      <c r="AG384" t="s">
        <v>631</v>
      </c>
      <c r="AH384">
        <v>0</v>
      </c>
      <c r="AI384">
        <v>376</v>
      </c>
      <c r="AJ384">
        <v>37</v>
      </c>
      <c r="AK384">
        <v>159</v>
      </c>
      <c r="AL384">
        <v>1.1399999999999999</v>
      </c>
    </row>
    <row r="385" spans="1:38" x14ac:dyDescent="0.3">
      <c r="A385" t="s">
        <v>589</v>
      </c>
      <c r="B385">
        <v>1841</v>
      </c>
      <c r="C385">
        <v>1</v>
      </c>
      <c r="D385" t="s">
        <v>453</v>
      </c>
      <c r="E385" t="s">
        <v>633</v>
      </c>
      <c r="F385">
        <v>113</v>
      </c>
      <c r="G385">
        <v>23.06</v>
      </c>
      <c r="H385">
        <v>76.260000000000005</v>
      </c>
      <c r="I385">
        <v>17.91</v>
      </c>
      <c r="J385">
        <v>59.22</v>
      </c>
      <c r="K385">
        <v>49</v>
      </c>
      <c r="T385">
        <v>2</v>
      </c>
      <c r="U385">
        <v>1</v>
      </c>
      <c r="V385" t="s">
        <v>93</v>
      </c>
      <c r="W385">
        <v>76</v>
      </c>
      <c r="X385">
        <v>11</v>
      </c>
      <c r="Y385">
        <v>8</v>
      </c>
      <c r="Z385" t="s">
        <v>634</v>
      </c>
      <c r="AA385" t="s">
        <v>635</v>
      </c>
      <c r="AB385" t="s">
        <v>96</v>
      </c>
      <c r="AC385" t="s">
        <v>97</v>
      </c>
      <c r="AD385" t="s">
        <v>98</v>
      </c>
      <c r="AE385" t="s">
        <v>594</v>
      </c>
      <c r="AG385" t="s">
        <v>636</v>
      </c>
      <c r="AH385">
        <v>0</v>
      </c>
      <c r="AI385">
        <v>206</v>
      </c>
      <c r="AJ385">
        <v>24</v>
      </c>
      <c r="AK385">
        <v>108</v>
      </c>
      <c r="AL385">
        <v>0.96</v>
      </c>
    </row>
    <row r="386" spans="1:38" x14ac:dyDescent="0.3">
      <c r="A386" t="s">
        <v>589</v>
      </c>
      <c r="B386">
        <v>1841</v>
      </c>
      <c r="C386">
        <v>2</v>
      </c>
      <c r="D386" t="s">
        <v>453</v>
      </c>
      <c r="E386" t="s">
        <v>633</v>
      </c>
      <c r="F386">
        <v>113</v>
      </c>
      <c r="G386">
        <v>33.090000000000003</v>
      </c>
      <c r="H386">
        <v>109.41</v>
      </c>
      <c r="I386">
        <v>25.7</v>
      </c>
      <c r="J386">
        <v>84.96</v>
      </c>
      <c r="K386">
        <v>64</v>
      </c>
      <c r="T386">
        <v>3</v>
      </c>
      <c r="U386">
        <v>2</v>
      </c>
      <c r="V386" t="s">
        <v>93</v>
      </c>
      <c r="W386">
        <v>109</v>
      </c>
      <c r="X386">
        <v>11</v>
      </c>
      <c r="Y386">
        <v>8</v>
      </c>
      <c r="Z386" t="s">
        <v>634</v>
      </c>
      <c r="AA386" t="s">
        <v>635</v>
      </c>
      <c r="AB386" t="s">
        <v>96</v>
      </c>
      <c r="AC386" t="s">
        <v>97</v>
      </c>
      <c r="AD386" t="s">
        <v>98</v>
      </c>
      <c r="AE386" t="s">
        <v>594</v>
      </c>
      <c r="AG386" t="s">
        <v>636</v>
      </c>
      <c r="AH386">
        <v>0</v>
      </c>
      <c r="AI386">
        <v>206</v>
      </c>
      <c r="AJ386">
        <v>24</v>
      </c>
      <c r="AK386">
        <v>108</v>
      </c>
      <c r="AL386">
        <v>0.96</v>
      </c>
    </row>
    <row r="387" spans="1:38" x14ac:dyDescent="0.3">
      <c r="A387" t="s">
        <v>589</v>
      </c>
      <c r="B387">
        <v>25771</v>
      </c>
      <c r="C387">
        <v>1</v>
      </c>
      <c r="D387" t="s">
        <v>637</v>
      </c>
      <c r="E387" t="s">
        <v>638</v>
      </c>
      <c r="F387">
        <v>892</v>
      </c>
      <c r="G387">
        <v>25.9</v>
      </c>
      <c r="H387">
        <v>85.63</v>
      </c>
      <c r="I387">
        <v>18.14</v>
      </c>
      <c r="J387">
        <v>59.99</v>
      </c>
      <c r="K387">
        <v>170</v>
      </c>
      <c r="T387">
        <v>3</v>
      </c>
      <c r="U387">
        <v>2</v>
      </c>
      <c r="V387" t="s">
        <v>93</v>
      </c>
      <c r="W387">
        <v>85</v>
      </c>
      <c r="X387">
        <v>26</v>
      </c>
      <c r="Y387">
        <v>15</v>
      </c>
      <c r="Z387" t="s">
        <v>639</v>
      </c>
      <c r="AA387" t="s">
        <v>640</v>
      </c>
      <c r="AB387" t="s">
        <v>96</v>
      </c>
      <c r="AC387" t="s">
        <v>97</v>
      </c>
      <c r="AD387" t="s">
        <v>98</v>
      </c>
      <c r="AE387" t="s">
        <v>594</v>
      </c>
      <c r="AG387" t="s">
        <v>641</v>
      </c>
      <c r="AH387">
        <v>6</v>
      </c>
      <c r="AI387">
        <v>247</v>
      </c>
      <c r="AJ387">
        <v>18</v>
      </c>
      <c r="AK387">
        <v>1338</v>
      </c>
      <c r="AL387">
        <v>1.5</v>
      </c>
    </row>
    <row r="388" spans="1:38" x14ac:dyDescent="0.3">
      <c r="A388" t="s">
        <v>589</v>
      </c>
      <c r="B388">
        <v>25771</v>
      </c>
      <c r="C388">
        <v>2</v>
      </c>
      <c r="D388" t="s">
        <v>637</v>
      </c>
      <c r="E388" t="s">
        <v>638</v>
      </c>
      <c r="F388">
        <v>892</v>
      </c>
      <c r="G388">
        <v>34.33</v>
      </c>
      <c r="H388">
        <v>113.5</v>
      </c>
      <c r="I388">
        <v>25.7</v>
      </c>
      <c r="J388">
        <v>84.99</v>
      </c>
      <c r="K388">
        <v>142</v>
      </c>
      <c r="T388">
        <v>3</v>
      </c>
      <c r="U388">
        <v>2</v>
      </c>
      <c r="V388" t="s">
        <v>93</v>
      </c>
      <c r="W388" t="s">
        <v>642</v>
      </c>
      <c r="X388">
        <v>26</v>
      </c>
      <c r="Y388">
        <v>15</v>
      </c>
      <c r="Z388" t="s">
        <v>639</v>
      </c>
      <c r="AA388" t="s">
        <v>640</v>
      </c>
      <c r="AB388" t="s">
        <v>96</v>
      </c>
      <c r="AC388" t="s">
        <v>97</v>
      </c>
      <c r="AD388" t="s">
        <v>98</v>
      </c>
      <c r="AE388" t="s">
        <v>594</v>
      </c>
      <c r="AG388" t="s">
        <v>641</v>
      </c>
      <c r="AH388">
        <v>6</v>
      </c>
      <c r="AI388">
        <v>247</v>
      </c>
      <c r="AJ388">
        <v>18</v>
      </c>
      <c r="AK388">
        <v>1338</v>
      </c>
      <c r="AL388">
        <v>1.5</v>
      </c>
    </row>
    <row r="389" spans="1:38" x14ac:dyDescent="0.3">
      <c r="A389" t="s">
        <v>589</v>
      </c>
      <c r="B389">
        <v>25771</v>
      </c>
      <c r="C389">
        <v>3</v>
      </c>
      <c r="D389" t="s">
        <v>637</v>
      </c>
      <c r="E389" t="s">
        <v>638</v>
      </c>
      <c r="F389">
        <v>892</v>
      </c>
      <c r="G389">
        <v>34.19</v>
      </c>
      <c r="H389">
        <v>113.05</v>
      </c>
      <c r="I389">
        <v>25.7</v>
      </c>
      <c r="J389">
        <v>84.99</v>
      </c>
      <c r="K389">
        <v>120</v>
      </c>
      <c r="T389">
        <v>3</v>
      </c>
      <c r="U389">
        <v>2</v>
      </c>
      <c r="V389" t="s">
        <v>93</v>
      </c>
      <c r="W389" t="s">
        <v>643</v>
      </c>
      <c r="X389">
        <v>26</v>
      </c>
      <c r="Y389">
        <v>15</v>
      </c>
      <c r="Z389" t="s">
        <v>639</v>
      </c>
      <c r="AA389" t="s">
        <v>640</v>
      </c>
      <c r="AB389" t="s">
        <v>96</v>
      </c>
      <c r="AC389" t="s">
        <v>97</v>
      </c>
      <c r="AD389" t="s">
        <v>98</v>
      </c>
      <c r="AE389" t="s">
        <v>594</v>
      </c>
      <c r="AG389" t="s">
        <v>641</v>
      </c>
      <c r="AH389">
        <v>6</v>
      </c>
      <c r="AI389">
        <v>247</v>
      </c>
      <c r="AJ389">
        <v>18</v>
      </c>
      <c r="AK389">
        <v>1338</v>
      </c>
      <c r="AL389">
        <v>1.5</v>
      </c>
    </row>
    <row r="390" spans="1:38" x14ac:dyDescent="0.3">
      <c r="A390" t="s">
        <v>589</v>
      </c>
      <c r="B390">
        <v>25771</v>
      </c>
      <c r="C390">
        <v>4</v>
      </c>
      <c r="D390" t="s">
        <v>637</v>
      </c>
      <c r="E390" t="s">
        <v>638</v>
      </c>
      <c r="F390">
        <v>892</v>
      </c>
      <c r="G390">
        <v>34.6</v>
      </c>
      <c r="H390">
        <v>114.39</v>
      </c>
      <c r="I390">
        <v>25.7</v>
      </c>
      <c r="J390">
        <v>84.99</v>
      </c>
      <c r="K390">
        <v>94</v>
      </c>
      <c r="T390">
        <v>3</v>
      </c>
      <c r="U390">
        <v>2</v>
      </c>
      <c r="V390" t="s">
        <v>93</v>
      </c>
      <c r="W390" t="s">
        <v>112</v>
      </c>
      <c r="X390">
        <v>26</v>
      </c>
      <c r="Y390">
        <v>15</v>
      </c>
      <c r="Z390" t="s">
        <v>639</v>
      </c>
      <c r="AA390" t="s">
        <v>640</v>
      </c>
      <c r="AB390" t="s">
        <v>96</v>
      </c>
      <c r="AC390" t="s">
        <v>97</v>
      </c>
      <c r="AD390" t="s">
        <v>98</v>
      </c>
      <c r="AE390" t="s">
        <v>594</v>
      </c>
      <c r="AG390" t="s">
        <v>641</v>
      </c>
      <c r="AH390">
        <v>6</v>
      </c>
      <c r="AI390">
        <v>247</v>
      </c>
      <c r="AJ390">
        <v>18</v>
      </c>
      <c r="AK390">
        <v>1338</v>
      </c>
      <c r="AL390">
        <v>1.5</v>
      </c>
    </row>
    <row r="391" spans="1:38" x14ac:dyDescent="0.3">
      <c r="A391" t="s">
        <v>589</v>
      </c>
      <c r="B391">
        <v>25771</v>
      </c>
      <c r="C391">
        <v>5</v>
      </c>
      <c r="D391" t="s">
        <v>637</v>
      </c>
      <c r="E391" t="s">
        <v>638</v>
      </c>
      <c r="F391">
        <v>892</v>
      </c>
      <c r="G391">
        <v>42.97</v>
      </c>
      <c r="H391">
        <v>142.05000000000001</v>
      </c>
      <c r="I391">
        <v>33.590000000000003</v>
      </c>
      <c r="J391">
        <v>111.05</v>
      </c>
      <c r="K391">
        <v>200</v>
      </c>
      <c r="T391">
        <v>4</v>
      </c>
      <c r="U391">
        <v>2</v>
      </c>
      <c r="V391" t="s">
        <v>93</v>
      </c>
      <c r="W391">
        <v>142</v>
      </c>
      <c r="X391">
        <v>26</v>
      </c>
      <c r="Y391">
        <v>15</v>
      </c>
      <c r="Z391" t="s">
        <v>639</v>
      </c>
      <c r="AA391" t="s">
        <v>640</v>
      </c>
      <c r="AB391" t="s">
        <v>96</v>
      </c>
      <c r="AC391" t="s">
        <v>97</v>
      </c>
      <c r="AD391" t="s">
        <v>98</v>
      </c>
      <c r="AE391" t="s">
        <v>594</v>
      </c>
      <c r="AG391" t="s">
        <v>641</v>
      </c>
      <c r="AH391">
        <v>6</v>
      </c>
      <c r="AI391">
        <v>247</v>
      </c>
      <c r="AJ391">
        <v>18</v>
      </c>
      <c r="AK391">
        <v>1338</v>
      </c>
      <c r="AL391">
        <v>1.5</v>
      </c>
    </row>
    <row r="392" spans="1:38" x14ac:dyDescent="0.3">
      <c r="A392" t="s">
        <v>589</v>
      </c>
      <c r="B392">
        <v>25771</v>
      </c>
      <c r="C392">
        <v>6</v>
      </c>
      <c r="D392" t="s">
        <v>637</v>
      </c>
      <c r="E392" t="s">
        <v>638</v>
      </c>
      <c r="F392">
        <v>892</v>
      </c>
      <c r="G392">
        <v>46.92</v>
      </c>
      <c r="H392">
        <v>155.12</v>
      </c>
      <c r="I392">
        <v>37.31</v>
      </c>
      <c r="J392">
        <v>123.35</v>
      </c>
      <c r="K392">
        <v>160</v>
      </c>
      <c r="T392">
        <v>4</v>
      </c>
      <c r="U392">
        <v>2</v>
      </c>
      <c r="V392" t="s">
        <v>93</v>
      </c>
      <c r="W392">
        <v>155</v>
      </c>
      <c r="X392">
        <v>26</v>
      </c>
      <c r="Y392">
        <v>15</v>
      </c>
      <c r="Z392" t="s">
        <v>639</v>
      </c>
      <c r="AA392" t="s">
        <v>640</v>
      </c>
      <c r="AB392" t="s">
        <v>96</v>
      </c>
      <c r="AC392" t="s">
        <v>97</v>
      </c>
      <c r="AD392" t="s">
        <v>98</v>
      </c>
      <c r="AE392" t="s">
        <v>594</v>
      </c>
      <c r="AG392" t="s">
        <v>641</v>
      </c>
      <c r="AH392">
        <v>6</v>
      </c>
      <c r="AI392">
        <v>247</v>
      </c>
      <c r="AJ392">
        <v>18</v>
      </c>
      <c r="AK392">
        <v>1338</v>
      </c>
      <c r="AL392">
        <v>1.5</v>
      </c>
    </row>
    <row r="393" spans="1:38" x14ac:dyDescent="0.3">
      <c r="A393" t="s">
        <v>589</v>
      </c>
      <c r="B393">
        <v>1832</v>
      </c>
      <c r="C393">
        <v>1</v>
      </c>
      <c r="D393" t="s">
        <v>476</v>
      </c>
      <c r="E393" t="s">
        <v>644</v>
      </c>
      <c r="F393">
        <v>582</v>
      </c>
      <c r="G393">
        <v>23.97</v>
      </c>
      <c r="H393">
        <v>79.25</v>
      </c>
      <c r="I393">
        <v>18.11</v>
      </c>
      <c r="J393">
        <v>59.88</v>
      </c>
      <c r="K393">
        <v>303</v>
      </c>
      <c r="T393">
        <v>3</v>
      </c>
      <c r="U393">
        <v>1</v>
      </c>
      <c r="V393" t="s">
        <v>93</v>
      </c>
      <c r="W393">
        <v>79</v>
      </c>
      <c r="X393">
        <v>20</v>
      </c>
      <c r="Y393">
        <v>11</v>
      </c>
      <c r="Z393" t="s">
        <v>645</v>
      </c>
      <c r="AA393" t="s">
        <v>646</v>
      </c>
      <c r="AB393" t="s">
        <v>96</v>
      </c>
      <c r="AC393" t="s">
        <v>97</v>
      </c>
      <c r="AD393" t="s">
        <v>98</v>
      </c>
      <c r="AE393" t="s">
        <v>594</v>
      </c>
      <c r="AG393" t="s">
        <v>647</v>
      </c>
      <c r="AH393">
        <v>0</v>
      </c>
      <c r="AI393">
        <v>333</v>
      </c>
      <c r="AJ393">
        <v>25</v>
      </c>
      <c r="AK393">
        <v>539</v>
      </c>
      <c r="AL393">
        <v>0.93</v>
      </c>
    </row>
    <row r="394" spans="1:38" x14ac:dyDescent="0.3">
      <c r="A394" t="s">
        <v>589</v>
      </c>
      <c r="B394">
        <v>1832</v>
      </c>
      <c r="C394">
        <v>2</v>
      </c>
      <c r="D394" t="s">
        <v>476</v>
      </c>
      <c r="E394" t="s">
        <v>644</v>
      </c>
      <c r="F394">
        <v>582</v>
      </c>
      <c r="G394">
        <v>33.979999999999997</v>
      </c>
      <c r="H394">
        <v>112.34</v>
      </c>
      <c r="I394">
        <v>25.67</v>
      </c>
      <c r="J394">
        <v>84.88</v>
      </c>
      <c r="K394">
        <v>279</v>
      </c>
      <c r="T394">
        <v>3</v>
      </c>
      <c r="U394">
        <v>2</v>
      </c>
      <c r="V394" t="s">
        <v>93</v>
      </c>
      <c r="W394">
        <v>112</v>
      </c>
      <c r="X394">
        <v>20</v>
      </c>
      <c r="Y394">
        <v>11</v>
      </c>
      <c r="Z394" t="s">
        <v>645</v>
      </c>
      <c r="AA394" t="s">
        <v>646</v>
      </c>
      <c r="AB394" t="s">
        <v>96</v>
      </c>
      <c r="AC394" t="s">
        <v>97</v>
      </c>
      <c r="AD394" t="s">
        <v>98</v>
      </c>
      <c r="AE394" t="s">
        <v>594</v>
      </c>
      <c r="AG394" t="s">
        <v>647</v>
      </c>
      <c r="AH394">
        <v>0</v>
      </c>
      <c r="AI394">
        <v>333</v>
      </c>
      <c r="AJ394">
        <v>25</v>
      </c>
      <c r="AK394">
        <v>539</v>
      </c>
      <c r="AL394">
        <v>0.93</v>
      </c>
    </row>
    <row r="395" spans="1:38" x14ac:dyDescent="0.3">
      <c r="A395" t="s">
        <v>589</v>
      </c>
      <c r="B395">
        <v>120222</v>
      </c>
      <c r="C395">
        <v>1</v>
      </c>
      <c r="D395" t="s">
        <v>648</v>
      </c>
      <c r="E395" t="s">
        <v>649</v>
      </c>
      <c r="F395">
        <v>298</v>
      </c>
      <c r="G395">
        <v>25.62</v>
      </c>
      <c r="H395">
        <v>84.72</v>
      </c>
      <c r="I395">
        <v>19.21</v>
      </c>
      <c r="J395">
        <v>63.52</v>
      </c>
      <c r="K395">
        <v>115</v>
      </c>
      <c r="T395">
        <v>3</v>
      </c>
      <c r="U395">
        <v>2</v>
      </c>
      <c r="V395" t="s">
        <v>93</v>
      </c>
      <c r="W395">
        <v>84</v>
      </c>
      <c r="X395">
        <v>33</v>
      </c>
      <c r="Y395">
        <v>28</v>
      </c>
      <c r="Z395" t="s">
        <v>650</v>
      </c>
      <c r="AA395" t="s">
        <v>651</v>
      </c>
      <c r="AB395" t="s">
        <v>96</v>
      </c>
      <c r="AC395" t="s">
        <v>97</v>
      </c>
      <c r="AD395" t="s">
        <v>98</v>
      </c>
      <c r="AE395" t="s">
        <v>594</v>
      </c>
      <c r="AG395" t="s">
        <v>652</v>
      </c>
      <c r="AH395">
        <v>0</v>
      </c>
      <c r="AI395">
        <v>327</v>
      </c>
      <c r="AJ395">
        <v>15</v>
      </c>
      <c r="AK395">
        <v>328</v>
      </c>
      <c r="AL395">
        <v>1.1000000000000001</v>
      </c>
    </row>
    <row r="396" spans="1:38" x14ac:dyDescent="0.3">
      <c r="A396" t="s">
        <v>589</v>
      </c>
      <c r="B396">
        <v>120222</v>
      </c>
      <c r="C396">
        <v>2</v>
      </c>
      <c r="D396" t="s">
        <v>648</v>
      </c>
      <c r="E396" t="s">
        <v>649</v>
      </c>
      <c r="F396">
        <v>298</v>
      </c>
      <c r="G396">
        <v>28.61</v>
      </c>
      <c r="H396">
        <v>94.6</v>
      </c>
      <c r="I396">
        <v>21.73</v>
      </c>
      <c r="J396">
        <v>71.86</v>
      </c>
      <c r="K396">
        <v>57</v>
      </c>
      <c r="T396">
        <v>3</v>
      </c>
      <c r="U396">
        <v>2</v>
      </c>
      <c r="V396" t="s">
        <v>93</v>
      </c>
      <c r="W396">
        <v>94</v>
      </c>
      <c r="X396">
        <v>33</v>
      </c>
      <c r="Y396">
        <v>28</v>
      </c>
      <c r="Z396" t="s">
        <v>650</v>
      </c>
      <c r="AA396" t="s">
        <v>651</v>
      </c>
      <c r="AB396" t="s">
        <v>96</v>
      </c>
      <c r="AC396" t="s">
        <v>97</v>
      </c>
      <c r="AD396" t="s">
        <v>98</v>
      </c>
      <c r="AE396" t="s">
        <v>594</v>
      </c>
      <c r="AG396" t="s">
        <v>652</v>
      </c>
      <c r="AH396">
        <v>0</v>
      </c>
      <c r="AI396">
        <v>327</v>
      </c>
      <c r="AJ396">
        <v>15</v>
      </c>
      <c r="AK396">
        <v>328</v>
      </c>
      <c r="AL396">
        <v>1.1000000000000001</v>
      </c>
    </row>
    <row r="397" spans="1:38" x14ac:dyDescent="0.3">
      <c r="A397" t="s">
        <v>589</v>
      </c>
      <c r="B397">
        <v>120222</v>
      </c>
      <c r="C397">
        <v>3</v>
      </c>
      <c r="D397" t="s">
        <v>648</v>
      </c>
      <c r="E397" t="s">
        <v>649</v>
      </c>
      <c r="F397">
        <v>298</v>
      </c>
      <c r="G397">
        <v>31.71</v>
      </c>
      <c r="H397">
        <v>104.84</v>
      </c>
      <c r="I397">
        <v>24.13</v>
      </c>
      <c r="J397">
        <v>79.77</v>
      </c>
      <c r="K397">
        <v>64</v>
      </c>
      <c r="T397">
        <v>3</v>
      </c>
      <c r="U397">
        <v>2</v>
      </c>
      <c r="V397" t="s">
        <v>93</v>
      </c>
      <c r="W397" t="s">
        <v>198</v>
      </c>
      <c r="X397">
        <v>33</v>
      </c>
      <c r="Y397">
        <v>28</v>
      </c>
      <c r="Z397" t="s">
        <v>650</v>
      </c>
      <c r="AA397" t="s">
        <v>651</v>
      </c>
      <c r="AB397" t="s">
        <v>96</v>
      </c>
      <c r="AC397" t="s">
        <v>97</v>
      </c>
      <c r="AD397" t="s">
        <v>98</v>
      </c>
      <c r="AE397" t="s">
        <v>594</v>
      </c>
      <c r="AG397" t="s">
        <v>652</v>
      </c>
      <c r="AH397">
        <v>0</v>
      </c>
      <c r="AI397">
        <v>327</v>
      </c>
      <c r="AJ397">
        <v>15</v>
      </c>
      <c r="AK397">
        <v>328</v>
      </c>
      <c r="AL397">
        <v>1.1000000000000001</v>
      </c>
    </row>
    <row r="398" spans="1:38" x14ac:dyDescent="0.3">
      <c r="A398" t="s">
        <v>589</v>
      </c>
      <c r="B398">
        <v>120222</v>
      </c>
      <c r="C398">
        <v>4</v>
      </c>
      <c r="D398" t="s">
        <v>648</v>
      </c>
      <c r="E398" t="s">
        <v>649</v>
      </c>
      <c r="F398">
        <v>298</v>
      </c>
      <c r="G398">
        <v>32.020000000000003</v>
      </c>
      <c r="H398">
        <v>105.87</v>
      </c>
      <c r="I398">
        <v>24.1</v>
      </c>
      <c r="J398">
        <v>79.680000000000007</v>
      </c>
      <c r="K398">
        <v>62</v>
      </c>
      <c r="T398">
        <v>3</v>
      </c>
      <c r="U398">
        <v>2</v>
      </c>
      <c r="V398" t="s">
        <v>93</v>
      </c>
      <c r="W398" t="s">
        <v>367</v>
      </c>
      <c r="X398">
        <v>33</v>
      </c>
      <c r="Y398">
        <v>28</v>
      </c>
      <c r="Z398" t="s">
        <v>650</v>
      </c>
      <c r="AA398" t="s">
        <v>651</v>
      </c>
      <c r="AB398" t="s">
        <v>96</v>
      </c>
      <c r="AC398" t="s">
        <v>97</v>
      </c>
      <c r="AD398" t="s">
        <v>98</v>
      </c>
      <c r="AE398" t="s">
        <v>594</v>
      </c>
      <c r="AG398" t="s">
        <v>652</v>
      </c>
      <c r="AH398">
        <v>0</v>
      </c>
      <c r="AI398">
        <v>327</v>
      </c>
      <c r="AJ398">
        <v>15</v>
      </c>
      <c r="AK398">
        <v>328</v>
      </c>
      <c r="AL398">
        <v>1.1000000000000001</v>
      </c>
    </row>
    <row r="399" spans="1:38" x14ac:dyDescent="0.3">
      <c r="A399" t="s">
        <v>589</v>
      </c>
      <c r="B399">
        <v>118061</v>
      </c>
      <c r="C399">
        <v>1</v>
      </c>
      <c r="D399" t="s">
        <v>653</v>
      </c>
      <c r="E399" t="s">
        <v>654</v>
      </c>
      <c r="F399">
        <v>45</v>
      </c>
      <c r="G399">
        <v>14.97</v>
      </c>
      <c r="H399">
        <v>49.5</v>
      </c>
      <c r="I399">
        <v>13.34</v>
      </c>
      <c r="J399">
        <v>44.1</v>
      </c>
      <c r="K399">
        <v>1</v>
      </c>
      <c r="T399">
        <v>2</v>
      </c>
      <c r="U399">
        <v>1</v>
      </c>
      <c r="V399" t="s">
        <v>93</v>
      </c>
      <c r="W399">
        <v>49</v>
      </c>
      <c r="X399">
        <v>5</v>
      </c>
      <c r="Y399">
        <v>5</v>
      </c>
      <c r="Z399" t="s">
        <v>655</v>
      </c>
      <c r="AA399" t="s">
        <v>656</v>
      </c>
      <c r="AB399" t="s">
        <v>96</v>
      </c>
      <c r="AC399" t="s">
        <v>97</v>
      </c>
      <c r="AD399" t="s">
        <v>98</v>
      </c>
      <c r="AE399" t="s">
        <v>594</v>
      </c>
      <c r="AG399" t="s">
        <v>657</v>
      </c>
      <c r="AH399">
        <v>0</v>
      </c>
      <c r="AI399">
        <v>0</v>
      </c>
      <c r="AJ399">
        <v>0</v>
      </c>
      <c r="AK399">
        <v>0</v>
      </c>
      <c r="AL399">
        <v>0</v>
      </c>
    </row>
    <row r="400" spans="1:38" x14ac:dyDescent="0.3">
      <c r="A400" t="s">
        <v>589</v>
      </c>
      <c r="B400">
        <v>118061</v>
      </c>
      <c r="C400">
        <v>2</v>
      </c>
      <c r="D400" t="s">
        <v>653</v>
      </c>
      <c r="E400" t="s">
        <v>654</v>
      </c>
      <c r="F400">
        <v>45</v>
      </c>
      <c r="G400">
        <v>16.63</v>
      </c>
      <c r="H400">
        <v>54.99</v>
      </c>
      <c r="I400">
        <v>13.34</v>
      </c>
      <c r="J400">
        <v>44.1</v>
      </c>
      <c r="K400">
        <v>36</v>
      </c>
      <c r="T400">
        <v>2</v>
      </c>
      <c r="U400">
        <v>1</v>
      </c>
      <c r="V400" t="s">
        <v>93</v>
      </c>
      <c r="W400" t="s">
        <v>301</v>
      </c>
      <c r="X400">
        <v>5</v>
      </c>
      <c r="Y400">
        <v>5</v>
      </c>
      <c r="Z400" t="s">
        <v>655</v>
      </c>
      <c r="AA400" t="s">
        <v>656</v>
      </c>
      <c r="AB400" t="s">
        <v>96</v>
      </c>
      <c r="AC400" t="s">
        <v>97</v>
      </c>
      <c r="AD400" t="s">
        <v>98</v>
      </c>
      <c r="AE400" t="s">
        <v>594</v>
      </c>
      <c r="AG400" t="s">
        <v>657</v>
      </c>
      <c r="AH400">
        <v>0</v>
      </c>
      <c r="AI400">
        <v>0</v>
      </c>
      <c r="AJ400">
        <v>0</v>
      </c>
      <c r="AK400">
        <v>0</v>
      </c>
      <c r="AL400">
        <v>0</v>
      </c>
    </row>
    <row r="401" spans="1:38" x14ac:dyDescent="0.3">
      <c r="A401" t="s">
        <v>589</v>
      </c>
      <c r="B401">
        <v>118061</v>
      </c>
      <c r="C401">
        <v>3</v>
      </c>
      <c r="D401" t="s">
        <v>653</v>
      </c>
      <c r="E401" t="s">
        <v>654</v>
      </c>
      <c r="F401">
        <v>45</v>
      </c>
      <c r="G401">
        <v>16.77</v>
      </c>
      <c r="H401">
        <v>55.44</v>
      </c>
      <c r="I401">
        <v>13.34</v>
      </c>
      <c r="J401">
        <v>44.1</v>
      </c>
      <c r="K401">
        <v>3</v>
      </c>
      <c r="T401">
        <v>2</v>
      </c>
      <c r="U401">
        <v>1</v>
      </c>
      <c r="V401" t="s">
        <v>93</v>
      </c>
      <c r="W401" t="s">
        <v>305</v>
      </c>
      <c r="X401">
        <v>5</v>
      </c>
      <c r="Y401">
        <v>5</v>
      </c>
      <c r="Z401" t="s">
        <v>655</v>
      </c>
      <c r="AA401" t="s">
        <v>656</v>
      </c>
      <c r="AB401" t="s">
        <v>96</v>
      </c>
      <c r="AC401" t="s">
        <v>97</v>
      </c>
      <c r="AD401" t="s">
        <v>98</v>
      </c>
      <c r="AE401" t="s">
        <v>594</v>
      </c>
      <c r="AG401" t="s">
        <v>657</v>
      </c>
      <c r="AH401">
        <v>0</v>
      </c>
      <c r="AI401">
        <v>0</v>
      </c>
      <c r="AJ401">
        <v>0</v>
      </c>
      <c r="AK401">
        <v>0</v>
      </c>
      <c r="AL401">
        <v>0</v>
      </c>
    </row>
    <row r="402" spans="1:38" x14ac:dyDescent="0.3">
      <c r="A402" t="s">
        <v>589</v>
      </c>
      <c r="B402">
        <v>118061</v>
      </c>
      <c r="C402">
        <v>4</v>
      </c>
      <c r="D402" t="s">
        <v>653</v>
      </c>
      <c r="E402" t="s">
        <v>654</v>
      </c>
      <c r="F402">
        <v>45</v>
      </c>
      <c r="G402">
        <v>19.809999999999999</v>
      </c>
      <c r="H402">
        <v>65.52</v>
      </c>
      <c r="I402">
        <v>14.42</v>
      </c>
      <c r="J402">
        <v>47.7</v>
      </c>
      <c r="K402">
        <v>5</v>
      </c>
      <c r="T402">
        <v>2</v>
      </c>
      <c r="U402">
        <v>1</v>
      </c>
      <c r="V402" t="s">
        <v>93</v>
      </c>
      <c r="W402">
        <v>65</v>
      </c>
      <c r="X402">
        <v>5</v>
      </c>
      <c r="Y402">
        <v>5</v>
      </c>
      <c r="Z402" t="s">
        <v>655</v>
      </c>
      <c r="AA402" t="s">
        <v>656</v>
      </c>
      <c r="AB402" t="s">
        <v>96</v>
      </c>
      <c r="AC402" t="s">
        <v>97</v>
      </c>
      <c r="AD402" t="s">
        <v>98</v>
      </c>
      <c r="AE402" t="s">
        <v>594</v>
      </c>
      <c r="AG402" t="s">
        <v>657</v>
      </c>
      <c r="AH402">
        <v>0</v>
      </c>
      <c r="AI402">
        <v>0</v>
      </c>
      <c r="AJ402">
        <v>0</v>
      </c>
      <c r="AK402">
        <v>0</v>
      </c>
      <c r="AL402">
        <v>0</v>
      </c>
    </row>
    <row r="403" spans="1:38" x14ac:dyDescent="0.3">
      <c r="A403" t="s">
        <v>589</v>
      </c>
      <c r="B403">
        <v>119467</v>
      </c>
      <c r="C403">
        <v>1</v>
      </c>
      <c r="D403" t="s">
        <v>658</v>
      </c>
      <c r="E403" t="s">
        <v>659</v>
      </c>
      <c r="F403">
        <v>39</v>
      </c>
      <c r="G403">
        <v>10.87</v>
      </c>
      <c r="H403">
        <v>35.94</v>
      </c>
      <c r="I403">
        <v>8.8800000000000008</v>
      </c>
      <c r="J403">
        <v>29.38</v>
      </c>
      <c r="K403">
        <v>31</v>
      </c>
      <c r="T403">
        <v>1</v>
      </c>
      <c r="U403">
        <v>1</v>
      </c>
      <c r="V403" t="s">
        <v>118</v>
      </c>
      <c r="W403">
        <v>35</v>
      </c>
      <c r="X403">
        <v>10</v>
      </c>
      <c r="Y403">
        <v>10</v>
      </c>
      <c r="Z403" t="s">
        <v>660</v>
      </c>
      <c r="AA403" t="s">
        <v>661</v>
      </c>
      <c r="AB403" t="s">
        <v>96</v>
      </c>
      <c r="AC403" t="s">
        <v>97</v>
      </c>
      <c r="AD403" t="s">
        <v>98</v>
      </c>
      <c r="AE403" t="s">
        <v>594</v>
      </c>
      <c r="AG403" t="s">
        <v>662</v>
      </c>
      <c r="AH403">
        <v>0</v>
      </c>
      <c r="AI403">
        <v>349</v>
      </c>
      <c r="AJ403">
        <v>51</v>
      </c>
      <c r="AK403">
        <v>22</v>
      </c>
      <c r="AL403">
        <v>0.56000000000000005</v>
      </c>
    </row>
    <row r="404" spans="1:38" x14ac:dyDescent="0.3">
      <c r="A404" t="s">
        <v>589</v>
      </c>
      <c r="B404">
        <v>119467</v>
      </c>
      <c r="C404">
        <v>2</v>
      </c>
      <c r="D404" t="s">
        <v>658</v>
      </c>
      <c r="E404" t="s">
        <v>659</v>
      </c>
      <c r="F404">
        <v>39</v>
      </c>
      <c r="G404">
        <v>14.87</v>
      </c>
      <c r="H404">
        <v>49.19</v>
      </c>
      <c r="I404">
        <v>12.16</v>
      </c>
      <c r="J404">
        <v>40.21</v>
      </c>
      <c r="K404">
        <v>8</v>
      </c>
      <c r="T404">
        <v>1</v>
      </c>
      <c r="U404">
        <v>1</v>
      </c>
      <c r="V404" t="s">
        <v>118</v>
      </c>
      <c r="W404">
        <v>49</v>
      </c>
      <c r="X404">
        <v>10</v>
      </c>
      <c r="Y404">
        <v>10</v>
      </c>
      <c r="Z404" t="s">
        <v>660</v>
      </c>
      <c r="AA404" t="s">
        <v>661</v>
      </c>
      <c r="AB404" t="s">
        <v>96</v>
      </c>
      <c r="AC404" t="s">
        <v>97</v>
      </c>
      <c r="AD404" t="s">
        <v>98</v>
      </c>
      <c r="AE404" t="s">
        <v>594</v>
      </c>
      <c r="AG404" t="s">
        <v>662</v>
      </c>
      <c r="AH404">
        <v>0</v>
      </c>
      <c r="AI404">
        <v>349</v>
      </c>
      <c r="AJ404">
        <v>51</v>
      </c>
      <c r="AK404">
        <v>22</v>
      </c>
      <c r="AL404">
        <v>0.56000000000000005</v>
      </c>
    </row>
    <row r="405" spans="1:38" x14ac:dyDescent="0.3">
      <c r="A405" t="s">
        <v>589</v>
      </c>
      <c r="B405">
        <v>1834</v>
      </c>
      <c r="C405">
        <v>1</v>
      </c>
      <c r="D405" t="s">
        <v>663</v>
      </c>
      <c r="E405" t="s">
        <v>664</v>
      </c>
      <c r="F405">
        <v>166</v>
      </c>
      <c r="G405">
        <v>29.67</v>
      </c>
      <c r="H405">
        <v>98.11</v>
      </c>
      <c r="I405">
        <v>25.68</v>
      </c>
      <c r="J405">
        <v>84.9</v>
      </c>
      <c r="K405">
        <v>115</v>
      </c>
      <c r="T405">
        <v>3</v>
      </c>
      <c r="U405">
        <v>2</v>
      </c>
      <c r="V405" t="s">
        <v>93</v>
      </c>
      <c r="W405">
        <v>98</v>
      </c>
      <c r="X405">
        <v>19</v>
      </c>
      <c r="Y405">
        <v>8</v>
      </c>
      <c r="Z405" t="s">
        <v>665</v>
      </c>
      <c r="AA405" t="s">
        <v>666</v>
      </c>
      <c r="AB405" t="s">
        <v>96</v>
      </c>
      <c r="AC405" t="s">
        <v>97</v>
      </c>
      <c r="AD405" t="s">
        <v>98</v>
      </c>
      <c r="AE405" t="s">
        <v>594</v>
      </c>
      <c r="AG405" t="s">
        <v>667</v>
      </c>
      <c r="AH405">
        <v>0</v>
      </c>
      <c r="AI405">
        <v>0</v>
      </c>
      <c r="AJ405">
        <v>0</v>
      </c>
      <c r="AK405">
        <v>102</v>
      </c>
      <c r="AL405">
        <v>0.61</v>
      </c>
    </row>
    <row r="406" spans="1:38" x14ac:dyDescent="0.3">
      <c r="A406" t="s">
        <v>589</v>
      </c>
      <c r="B406">
        <v>1834</v>
      </c>
      <c r="C406">
        <v>2</v>
      </c>
      <c r="D406" t="s">
        <v>663</v>
      </c>
      <c r="E406" t="s">
        <v>664</v>
      </c>
      <c r="F406">
        <v>166</v>
      </c>
      <c r="G406">
        <v>52.03</v>
      </c>
      <c r="H406">
        <v>172.03</v>
      </c>
      <c r="I406">
        <v>45.02</v>
      </c>
      <c r="J406">
        <v>148.85</v>
      </c>
      <c r="K406">
        <v>38</v>
      </c>
      <c r="T406">
        <v>4</v>
      </c>
      <c r="U406">
        <v>2</v>
      </c>
      <c r="V406" t="s">
        <v>93</v>
      </c>
      <c r="W406" t="s">
        <v>668</v>
      </c>
      <c r="X406">
        <v>19</v>
      </c>
      <c r="Y406">
        <v>8</v>
      </c>
      <c r="Z406" t="s">
        <v>665</v>
      </c>
      <c r="AA406" t="s">
        <v>666</v>
      </c>
      <c r="AB406" t="s">
        <v>96</v>
      </c>
      <c r="AC406" t="s">
        <v>97</v>
      </c>
      <c r="AD406" t="s">
        <v>98</v>
      </c>
      <c r="AE406" t="s">
        <v>594</v>
      </c>
      <c r="AG406" t="s">
        <v>667</v>
      </c>
      <c r="AH406">
        <v>0</v>
      </c>
      <c r="AI406">
        <v>0</v>
      </c>
      <c r="AJ406">
        <v>0</v>
      </c>
      <c r="AK406">
        <v>102</v>
      </c>
      <c r="AL406">
        <v>0.61</v>
      </c>
    </row>
    <row r="407" spans="1:38" x14ac:dyDescent="0.3">
      <c r="A407" t="s">
        <v>589</v>
      </c>
      <c r="B407">
        <v>1834</v>
      </c>
      <c r="C407">
        <v>3</v>
      </c>
      <c r="D407" t="s">
        <v>663</v>
      </c>
      <c r="E407" t="s">
        <v>664</v>
      </c>
      <c r="F407">
        <v>166</v>
      </c>
      <c r="G407">
        <v>52.42</v>
      </c>
      <c r="H407">
        <v>173.3</v>
      </c>
      <c r="I407">
        <v>45.36</v>
      </c>
      <c r="J407">
        <v>149.96</v>
      </c>
      <c r="K407">
        <v>13</v>
      </c>
      <c r="T407">
        <v>4</v>
      </c>
      <c r="U407">
        <v>2</v>
      </c>
      <c r="V407" t="s">
        <v>93</v>
      </c>
      <c r="W407" t="s">
        <v>669</v>
      </c>
      <c r="X407">
        <v>19</v>
      </c>
      <c r="Y407">
        <v>8</v>
      </c>
      <c r="Z407" t="s">
        <v>665</v>
      </c>
      <c r="AA407" t="s">
        <v>666</v>
      </c>
      <c r="AB407" t="s">
        <v>96</v>
      </c>
      <c r="AC407" t="s">
        <v>97</v>
      </c>
      <c r="AD407" t="s">
        <v>98</v>
      </c>
      <c r="AE407" t="s">
        <v>594</v>
      </c>
      <c r="AG407" t="s">
        <v>667</v>
      </c>
      <c r="AH407">
        <v>0</v>
      </c>
      <c r="AI407">
        <v>0</v>
      </c>
      <c r="AJ407">
        <v>0</v>
      </c>
      <c r="AK407">
        <v>102</v>
      </c>
      <c r="AL407">
        <v>0.61</v>
      </c>
    </row>
    <row r="408" spans="1:38" x14ac:dyDescent="0.3">
      <c r="A408" t="s">
        <v>589</v>
      </c>
      <c r="B408">
        <v>10593</v>
      </c>
      <c r="C408">
        <v>1</v>
      </c>
      <c r="D408" t="s">
        <v>670</v>
      </c>
      <c r="E408" t="s">
        <v>671</v>
      </c>
      <c r="F408">
        <v>89</v>
      </c>
      <c r="G408">
        <v>34.270000000000003</v>
      </c>
      <c r="H408">
        <v>113.31</v>
      </c>
      <c r="I408">
        <v>26.78</v>
      </c>
      <c r="J408">
        <v>88.54</v>
      </c>
      <c r="K408">
        <v>19</v>
      </c>
      <c r="T408">
        <v>3</v>
      </c>
      <c r="U408">
        <v>2</v>
      </c>
      <c r="V408" t="s">
        <v>118</v>
      </c>
      <c r="W408">
        <v>113</v>
      </c>
      <c r="X408">
        <v>19</v>
      </c>
      <c r="Y408">
        <v>11</v>
      </c>
      <c r="Z408" t="s">
        <v>672</v>
      </c>
      <c r="AA408" t="s">
        <v>673</v>
      </c>
      <c r="AB408" t="s">
        <v>96</v>
      </c>
      <c r="AC408" t="s">
        <v>97</v>
      </c>
      <c r="AD408" t="s">
        <v>98</v>
      </c>
      <c r="AE408" t="s">
        <v>594</v>
      </c>
      <c r="AG408" t="s">
        <v>674</v>
      </c>
      <c r="AH408">
        <v>0</v>
      </c>
      <c r="AI408">
        <v>860</v>
      </c>
      <c r="AJ408">
        <v>71</v>
      </c>
      <c r="AK408">
        <v>219</v>
      </c>
      <c r="AL408">
        <v>2.46</v>
      </c>
    </row>
    <row r="409" spans="1:38" x14ac:dyDescent="0.3">
      <c r="A409" t="s">
        <v>589</v>
      </c>
      <c r="B409">
        <v>10593</v>
      </c>
      <c r="C409">
        <v>2</v>
      </c>
      <c r="D409" t="s">
        <v>670</v>
      </c>
      <c r="E409" t="s">
        <v>671</v>
      </c>
      <c r="F409">
        <v>89</v>
      </c>
      <c r="G409">
        <v>38.54</v>
      </c>
      <c r="H409">
        <v>127.43</v>
      </c>
      <c r="I409">
        <v>30.11</v>
      </c>
      <c r="J409">
        <v>99.57</v>
      </c>
      <c r="K409">
        <v>20</v>
      </c>
      <c r="T409">
        <v>4</v>
      </c>
      <c r="U409">
        <v>2</v>
      </c>
      <c r="V409" t="s">
        <v>118</v>
      </c>
      <c r="W409" t="s">
        <v>675</v>
      </c>
      <c r="X409">
        <v>19</v>
      </c>
      <c r="Y409">
        <v>11</v>
      </c>
      <c r="Z409" t="s">
        <v>672</v>
      </c>
      <c r="AA409" t="s">
        <v>673</v>
      </c>
      <c r="AB409" t="s">
        <v>96</v>
      </c>
      <c r="AC409" t="s">
        <v>97</v>
      </c>
      <c r="AD409" t="s">
        <v>98</v>
      </c>
      <c r="AE409" t="s">
        <v>594</v>
      </c>
      <c r="AG409" t="s">
        <v>674</v>
      </c>
      <c r="AH409">
        <v>0</v>
      </c>
      <c r="AI409">
        <v>860</v>
      </c>
      <c r="AJ409">
        <v>71</v>
      </c>
      <c r="AK409">
        <v>219</v>
      </c>
      <c r="AL409">
        <v>2.46</v>
      </c>
    </row>
    <row r="410" spans="1:38" x14ac:dyDescent="0.3">
      <c r="A410" t="s">
        <v>589</v>
      </c>
      <c r="B410">
        <v>10593</v>
      </c>
      <c r="C410">
        <v>3</v>
      </c>
      <c r="D410" t="s">
        <v>670</v>
      </c>
      <c r="E410" t="s">
        <v>671</v>
      </c>
      <c r="F410">
        <v>89</v>
      </c>
      <c r="G410">
        <v>39.479999999999997</v>
      </c>
      <c r="H410">
        <v>130.54</v>
      </c>
      <c r="I410">
        <v>30.85</v>
      </c>
      <c r="J410">
        <v>102.01</v>
      </c>
      <c r="K410">
        <v>8</v>
      </c>
      <c r="T410">
        <v>4</v>
      </c>
      <c r="U410">
        <v>2</v>
      </c>
      <c r="V410" t="s">
        <v>118</v>
      </c>
      <c r="W410" t="s">
        <v>676</v>
      </c>
      <c r="X410">
        <v>19</v>
      </c>
      <c r="Y410">
        <v>11</v>
      </c>
      <c r="Z410" t="s">
        <v>672</v>
      </c>
      <c r="AA410" t="s">
        <v>673</v>
      </c>
      <c r="AB410" t="s">
        <v>96</v>
      </c>
      <c r="AC410" t="s">
        <v>97</v>
      </c>
      <c r="AD410" t="s">
        <v>98</v>
      </c>
      <c r="AE410" t="s">
        <v>594</v>
      </c>
      <c r="AG410" t="s">
        <v>674</v>
      </c>
      <c r="AH410">
        <v>0</v>
      </c>
      <c r="AI410">
        <v>860</v>
      </c>
      <c r="AJ410">
        <v>71</v>
      </c>
      <c r="AK410">
        <v>219</v>
      </c>
      <c r="AL410">
        <v>2.46</v>
      </c>
    </row>
    <row r="411" spans="1:38" x14ac:dyDescent="0.3">
      <c r="A411" t="s">
        <v>589</v>
      </c>
      <c r="B411">
        <v>10593</v>
      </c>
      <c r="C411">
        <v>4</v>
      </c>
      <c r="D411" t="s">
        <v>670</v>
      </c>
      <c r="E411" t="s">
        <v>671</v>
      </c>
      <c r="F411">
        <v>89</v>
      </c>
      <c r="G411">
        <v>40.869999999999997</v>
      </c>
      <c r="H411">
        <v>135.11000000000001</v>
      </c>
      <c r="I411">
        <v>31.93</v>
      </c>
      <c r="J411">
        <v>105.57</v>
      </c>
      <c r="K411">
        <v>8</v>
      </c>
      <c r="T411">
        <v>4</v>
      </c>
      <c r="U411">
        <v>2</v>
      </c>
      <c r="V411" t="s">
        <v>118</v>
      </c>
      <c r="W411">
        <v>135</v>
      </c>
      <c r="X411">
        <v>19</v>
      </c>
      <c r="Y411">
        <v>11</v>
      </c>
      <c r="Z411" t="s">
        <v>672</v>
      </c>
      <c r="AA411" t="s">
        <v>673</v>
      </c>
      <c r="AB411" t="s">
        <v>96</v>
      </c>
      <c r="AC411" t="s">
        <v>97</v>
      </c>
      <c r="AD411" t="s">
        <v>98</v>
      </c>
      <c r="AE411" t="s">
        <v>594</v>
      </c>
      <c r="AG411" t="s">
        <v>674</v>
      </c>
      <c r="AH411">
        <v>0</v>
      </c>
      <c r="AI411">
        <v>860</v>
      </c>
      <c r="AJ411">
        <v>71</v>
      </c>
      <c r="AK411">
        <v>219</v>
      </c>
      <c r="AL411">
        <v>2.46</v>
      </c>
    </row>
    <row r="412" spans="1:38" x14ac:dyDescent="0.3">
      <c r="A412" t="s">
        <v>589</v>
      </c>
      <c r="B412">
        <v>10593</v>
      </c>
      <c r="C412">
        <v>5</v>
      </c>
      <c r="D412" t="s">
        <v>670</v>
      </c>
      <c r="E412" t="s">
        <v>671</v>
      </c>
      <c r="F412">
        <v>89</v>
      </c>
      <c r="G412">
        <v>41.65</v>
      </c>
      <c r="H412">
        <v>137.69999999999999</v>
      </c>
      <c r="I412">
        <v>32.54</v>
      </c>
      <c r="J412">
        <v>107.6</v>
      </c>
      <c r="K412">
        <v>14</v>
      </c>
      <c r="T412">
        <v>4</v>
      </c>
      <c r="U412">
        <v>2</v>
      </c>
      <c r="V412" t="s">
        <v>118</v>
      </c>
      <c r="W412">
        <v>137</v>
      </c>
      <c r="X412">
        <v>19</v>
      </c>
      <c r="Y412">
        <v>11</v>
      </c>
      <c r="Z412" t="s">
        <v>672</v>
      </c>
      <c r="AA412" t="s">
        <v>673</v>
      </c>
      <c r="AB412" t="s">
        <v>96</v>
      </c>
      <c r="AC412" t="s">
        <v>97</v>
      </c>
      <c r="AD412" t="s">
        <v>98</v>
      </c>
      <c r="AE412" t="s">
        <v>594</v>
      </c>
      <c r="AG412" t="s">
        <v>674</v>
      </c>
      <c r="AH412">
        <v>0</v>
      </c>
      <c r="AI412">
        <v>860</v>
      </c>
      <c r="AJ412">
        <v>71</v>
      </c>
      <c r="AK412">
        <v>219</v>
      </c>
      <c r="AL412">
        <v>2.46</v>
      </c>
    </row>
    <row r="413" spans="1:38" x14ac:dyDescent="0.3">
      <c r="A413" t="s">
        <v>589</v>
      </c>
      <c r="B413">
        <v>10593</v>
      </c>
      <c r="C413">
        <v>6</v>
      </c>
      <c r="D413" t="s">
        <v>670</v>
      </c>
      <c r="E413" t="s">
        <v>671</v>
      </c>
      <c r="F413">
        <v>89</v>
      </c>
      <c r="G413">
        <v>42.75</v>
      </c>
      <c r="H413">
        <v>141.33000000000001</v>
      </c>
      <c r="I413">
        <v>33.4</v>
      </c>
      <c r="J413">
        <v>110.43</v>
      </c>
      <c r="K413">
        <v>20</v>
      </c>
      <c r="T413">
        <v>4</v>
      </c>
      <c r="U413">
        <v>2</v>
      </c>
      <c r="V413" t="s">
        <v>118</v>
      </c>
      <c r="W413">
        <v>141</v>
      </c>
      <c r="X413">
        <v>19</v>
      </c>
      <c r="Y413">
        <v>11</v>
      </c>
      <c r="Z413" t="s">
        <v>672</v>
      </c>
      <c r="AA413" t="s">
        <v>673</v>
      </c>
      <c r="AB413" t="s">
        <v>96</v>
      </c>
      <c r="AC413" t="s">
        <v>97</v>
      </c>
      <c r="AD413" t="s">
        <v>98</v>
      </c>
      <c r="AE413" t="s">
        <v>594</v>
      </c>
      <c r="AG413" t="s">
        <v>674</v>
      </c>
      <c r="AH413">
        <v>0</v>
      </c>
      <c r="AI413">
        <v>860</v>
      </c>
      <c r="AJ413">
        <v>71</v>
      </c>
      <c r="AK413">
        <v>219</v>
      </c>
      <c r="AL413">
        <v>2.46</v>
      </c>
    </row>
    <row r="414" spans="1:38" x14ac:dyDescent="0.3">
      <c r="A414" t="s">
        <v>589</v>
      </c>
      <c r="B414">
        <v>102511</v>
      </c>
      <c r="C414">
        <v>1</v>
      </c>
      <c r="D414" t="s">
        <v>677</v>
      </c>
      <c r="E414" t="s">
        <v>678</v>
      </c>
      <c r="F414">
        <v>190</v>
      </c>
      <c r="G414">
        <v>34.299999999999997</v>
      </c>
      <c r="H414">
        <v>113.41</v>
      </c>
      <c r="I414">
        <v>25.7</v>
      </c>
      <c r="J414">
        <v>84.98</v>
      </c>
      <c r="K414">
        <v>190</v>
      </c>
      <c r="T414">
        <v>3</v>
      </c>
      <c r="U414">
        <v>2</v>
      </c>
      <c r="V414" t="s">
        <v>93</v>
      </c>
      <c r="W414">
        <v>113</v>
      </c>
      <c r="X414">
        <v>34</v>
      </c>
      <c r="Y414">
        <v>34</v>
      </c>
      <c r="Z414" t="s">
        <v>679</v>
      </c>
      <c r="AA414" t="s">
        <v>680</v>
      </c>
      <c r="AB414" t="s">
        <v>96</v>
      </c>
      <c r="AC414" t="s">
        <v>97</v>
      </c>
      <c r="AD414" t="s">
        <v>98</v>
      </c>
      <c r="AE414" t="s">
        <v>594</v>
      </c>
      <c r="AG414" t="s">
        <v>681</v>
      </c>
      <c r="AH414">
        <v>0</v>
      </c>
      <c r="AI414">
        <v>395</v>
      </c>
      <c r="AJ414">
        <v>42</v>
      </c>
      <c r="AK414">
        <v>201</v>
      </c>
      <c r="AL414">
        <v>1.06</v>
      </c>
    </row>
    <row r="415" spans="1:38" x14ac:dyDescent="0.3">
      <c r="A415" t="s">
        <v>589</v>
      </c>
      <c r="B415">
        <v>135656</v>
      </c>
      <c r="C415">
        <v>1</v>
      </c>
      <c r="D415" t="s">
        <v>682</v>
      </c>
      <c r="E415" t="s">
        <v>117</v>
      </c>
      <c r="F415">
        <v>110</v>
      </c>
      <c r="G415">
        <v>7.55</v>
      </c>
      <c r="H415">
        <v>24.96</v>
      </c>
      <c r="I415">
        <v>4.68</v>
      </c>
      <c r="J415">
        <v>15.5</v>
      </c>
      <c r="K415">
        <v>10</v>
      </c>
      <c r="T415">
        <v>1</v>
      </c>
      <c r="U415">
        <v>1</v>
      </c>
      <c r="V415" t="s">
        <v>93</v>
      </c>
      <c r="W415">
        <v>24</v>
      </c>
      <c r="X415">
        <v>12</v>
      </c>
      <c r="Y415">
        <v>12</v>
      </c>
      <c r="Z415" t="s">
        <v>683</v>
      </c>
      <c r="AA415" t="s">
        <v>684</v>
      </c>
      <c r="AB415" t="s">
        <v>96</v>
      </c>
      <c r="AC415" t="s">
        <v>97</v>
      </c>
      <c r="AD415" t="s">
        <v>98</v>
      </c>
      <c r="AE415" t="s">
        <v>594</v>
      </c>
      <c r="AG415" t="s">
        <v>685</v>
      </c>
      <c r="AH415">
        <v>0</v>
      </c>
      <c r="AI415">
        <v>374</v>
      </c>
      <c r="AJ415">
        <v>66</v>
      </c>
      <c r="AK415">
        <v>83</v>
      </c>
      <c r="AL415">
        <v>0.75</v>
      </c>
    </row>
    <row r="416" spans="1:38" x14ac:dyDescent="0.3">
      <c r="A416" t="s">
        <v>589</v>
      </c>
      <c r="B416">
        <v>135656</v>
      </c>
      <c r="C416">
        <v>2</v>
      </c>
      <c r="D416" t="s">
        <v>682</v>
      </c>
      <c r="E416" t="s">
        <v>117</v>
      </c>
      <c r="F416">
        <v>110</v>
      </c>
      <c r="G416">
        <v>8.93</v>
      </c>
      <c r="H416">
        <v>29.53</v>
      </c>
      <c r="I416">
        <v>5.67</v>
      </c>
      <c r="J416">
        <v>18.760000000000002</v>
      </c>
      <c r="K416">
        <v>50</v>
      </c>
      <c r="T416">
        <v>1</v>
      </c>
      <c r="U416">
        <v>1</v>
      </c>
      <c r="V416" t="s">
        <v>93</v>
      </c>
      <c r="W416" t="s">
        <v>686</v>
      </c>
      <c r="X416">
        <v>12</v>
      </c>
      <c r="Y416">
        <v>12</v>
      </c>
      <c r="Z416" t="s">
        <v>683</v>
      </c>
      <c r="AA416" t="s">
        <v>684</v>
      </c>
      <c r="AB416" t="s">
        <v>96</v>
      </c>
      <c r="AC416" t="s">
        <v>97</v>
      </c>
      <c r="AD416" t="s">
        <v>98</v>
      </c>
      <c r="AE416" t="s">
        <v>594</v>
      </c>
      <c r="AG416" t="s">
        <v>685</v>
      </c>
      <c r="AH416">
        <v>0</v>
      </c>
      <c r="AI416">
        <v>374</v>
      </c>
      <c r="AJ416">
        <v>66</v>
      </c>
      <c r="AK416">
        <v>83</v>
      </c>
      <c r="AL416">
        <v>0.75</v>
      </c>
    </row>
    <row r="417" spans="1:38" x14ac:dyDescent="0.3">
      <c r="A417" t="s">
        <v>589</v>
      </c>
      <c r="B417">
        <v>135656</v>
      </c>
      <c r="C417">
        <v>3</v>
      </c>
      <c r="D417" t="s">
        <v>682</v>
      </c>
      <c r="E417" t="s">
        <v>117</v>
      </c>
      <c r="F417">
        <v>110</v>
      </c>
      <c r="G417">
        <v>9.4</v>
      </c>
      <c r="H417">
        <v>31.08</v>
      </c>
      <c r="I417">
        <v>5.97</v>
      </c>
      <c r="J417">
        <v>19.760000000000002</v>
      </c>
      <c r="K417">
        <v>50</v>
      </c>
      <c r="T417">
        <v>1</v>
      </c>
      <c r="U417">
        <v>1</v>
      </c>
      <c r="V417" t="s">
        <v>93</v>
      </c>
      <c r="W417" t="s">
        <v>509</v>
      </c>
      <c r="X417">
        <v>12</v>
      </c>
      <c r="Y417">
        <v>12</v>
      </c>
      <c r="Z417" t="s">
        <v>683</v>
      </c>
      <c r="AA417" t="s">
        <v>684</v>
      </c>
      <c r="AB417" t="s">
        <v>96</v>
      </c>
      <c r="AC417" t="s">
        <v>97</v>
      </c>
      <c r="AD417" t="s">
        <v>98</v>
      </c>
      <c r="AE417" t="s">
        <v>594</v>
      </c>
      <c r="AG417" t="s">
        <v>685</v>
      </c>
      <c r="AH417">
        <v>0</v>
      </c>
      <c r="AI417">
        <v>374</v>
      </c>
      <c r="AJ417">
        <v>66</v>
      </c>
      <c r="AK417">
        <v>83</v>
      </c>
      <c r="AL417">
        <v>0.75</v>
      </c>
    </row>
    <row r="418" spans="1:38" x14ac:dyDescent="0.3">
      <c r="A418" t="s">
        <v>589</v>
      </c>
      <c r="B418">
        <v>122797</v>
      </c>
      <c r="C418">
        <v>1</v>
      </c>
      <c r="D418" t="s">
        <v>687</v>
      </c>
      <c r="E418" t="s">
        <v>688</v>
      </c>
      <c r="F418">
        <v>129</v>
      </c>
      <c r="G418">
        <v>7.26</v>
      </c>
      <c r="H418">
        <v>24</v>
      </c>
      <c r="I418">
        <v>4.2300000000000004</v>
      </c>
      <c r="J418">
        <v>14.01</v>
      </c>
      <c r="K418">
        <v>9</v>
      </c>
      <c r="T418">
        <v>1</v>
      </c>
      <c r="U418">
        <v>1</v>
      </c>
      <c r="V418" t="s">
        <v>93</v>
      </c>
      <c r="W418" t="s">
        <v>689</v>
      </c>
      <c r="X418">
        <v>10</v>
      </c>
      <c r="Y418">
        <v>7</v>
      </c>
      <c r="Z418" t="s">
        <v>690</v>
      </c>
      <c r="AA418" t="s">
        <v>691</v>
      </c>
      <c r="AB418" t="s">
        <v>96</v>
      </c>
      <c r="AC418" t="s">
        <v>97</v>
      </c>
      <c r="AD418" t="s">
        <v>98</v>
      </c>
      <c r="AE418" t="s">
        <v>594</v>
      </c>
      <c r="AG418" t="s">
        <v>692</v>
      </c>
      <c r="AH418">
        <v>0</v>
      </c>
      <c r="AI418">
        <v>228</v>
      </c>
      <c r="AJ418">
        <v>37</v>
      </c>
      <c r="AK418">
        <v>37</v>
      </c>
      <c r="AL418">
        <v>0.28999999999999998</v>
      </c>
    </row>
    <row r="419" spans="1:38" x14ac:dyDescent="0.3">
      <c r="A419" t="s">
        <v>589</v>
      </c>
      <c r="B419">
        <v>122797</v>
      </c>
      <c r="C419">
        <v>2</v>
      </c>
      <c r="D419" t="s">
        <v>687</v>
      </c>
      <c r="E419" t="s">
        <v>688</v>
      </c>
      <c r="F419">
        <v>129</v>
      </c>
      <c r="G419">
        <v>8.84</v>
      </c>
      <c r="H419">
        <v>29.23</v>
      </c>
      <c r="I419">
        <v>5.34</v>
      </c>
      <c r="J419">
        <v>17.670000000000002</v>
      </c>
      <c r="K419">
        <v>9</v>
      </c>
      <c r="T419">
        <v>1</v>
      </c>
      <c r="U419">
        <v>1</v>
      </c>
      <c r="V419" t="s">
        <v>93</v>
      </c>
      <c r="W419" t="s">
        <v>686</v>
      </c>
      <c r="X419">
        <v>10</v>
      </c>
      <c r="Y419">
        <v>7</v>
      </c>
      <c r="Z419" t="s">
        <v>690</v>
      </c>
      <c r="AA419" t="s">
        <v>691</v>
      </c>
      <c r="AB419" t="s">
        <v>96</v>
      </c>
      <c r="AC419" t="s">
        <v>97</v>
      </c>
      <c r="AD419" t="s">
        <v>98</v>
      </c>
      <c r="AE419" t="s">
        <v>594</v>
      </c>
      <c r="AG419" t="s">
        <v>692</v>
      </c>
      <c r="AH419">
        <v>0</v>
      </c>
      <c r="AI419">
        <v>228</v>
      </c>
      <c r="AJ419">
        <v>37</v>
      </c>
      <c r="AK419">
        <v>37</v>
      </c>
      <c r="AL419">
        <v>0.28999999999999998</v>
      </c>
    </row>
    <row r="420" spans="1:38" x14ac:dyDescent="0.3">
      <c r="A420" t="s">
        <v>589</v>
      </c>
      <c r="B420">
        <v>122797</v>
      </c>
      <c r="C420">
        <v>3</v>
      </c>
      <c r="D420" t="s">
        <v>687</v>
      </c>
      <c r="E420" t="s">
        <v>688</v>
      </c>
      <c r="F420">
        <v>129</v>
      </c>
      <c r="G420">
        <v>8.8000000000000007</v>
      </c>
      <c r="H420">
        <v>29.12</v>
      </c>
      <c r="I420">
        <v>5.33</v>
      </c>
      <c r="J420">
        <v>17.649999999999999</v>
      </c>
      <c r="K420">
        <v>3</v>
      </c>
      <c r="T420">
        <v>1</v>
      </c>
      <c r="U420">
        <v>1</v>
      </c>
      <c r="V420" t="s">
        <v>93</v>
      </c>
      <c r="W420" t="s">
        <v>693</v>
      </c>
      <c r="X420">
        <v>10</v>
      </c>
      <c r="Y420">
        <v>7</v>
      </c>
      <c r="Z420" t="s">
        <v>690</v>
      </c>
      <c r="AA420" t="s">
        <v>691</v>
      </c>
      <c r="AB420" t="s">
        <v>96</v>
      </c>
      <c r="AC420" t="s">
        <v>97</v>
      </c>
      <c r="AD420" t="s">
        <v>98</v>
      </c>
      <c r="AE420" t="s">
        <v>594</v>
      </c>
      <c r="AG420" t="s">
        <v>692</v>
      </c>
      <c r="AH420">
        <v>0</v>
      </c>
      <c r="AI420">
        <v>228</v>
      </c>
      <c r="AJ420">
        <v>37</v>
      </c>
      <c r="AK420">
        <v>37</v>
      </c>
      <c r="AL420">
        <v>0.28999999999999998</v>
      </c>
    </row>
    <row r="421" spans="1:38" x14ac:dyDescent="0.3">
      <c r="A421" t="s">
        <v>589</v>
      </c>
      <c r="B421">
        <v>122797</v>
      </c>
      <c r="C421">
        <v>4</v>
      </c>
      <c r="D421" t="s">
        <v>687</v>
      </c>
      <c r="E421" t="s">
        <v>688</v>
      </c>
      <c r="F421">
        <v>129</v>
      </c>
      <c r="G421">
        <v>9.6199999999999992</v>
      </c>
      <c r="H421">
        <v>31.83</v>
      </c>
      <c r="I421">
        <v>5.83</v>
      </c>
      <c r="J421">
        <v>19.3</v>
      </c>
      <c r="K421">
        <v>16</v>
      </c>
      <c r="T421">
        <v>1</v>
      </c>
      <c r="U421">
        <v>1</v>
      </c>
      <c r="V421" t="s">
        <v>93</v>
      </c>
      <c r="W421" t="s">
        <v>694</v>
      </c>
      <c r="X421">
        <v>10</v>
      </c>
      <c r="Y421">
        <v>7</v>
      </c>
      <c r="Z421" t="s">
        <v>690</v>
      </c>
      <c r="AA421" t="s">
        <v>691</v>
      </c>
      <c r="AB421" t="s">
        <v>96</v>
      </c>
      <c r="AC421" t="s">
        <v>97</v>
      </c>
      <c r="AD421" t="s">
        <v>98</v>
      </c>
      <c r="AE421" t="s">
        <v>594</v>
      </c>
      <c r="AG421" t="s">
        <v>692</v>
      </c>
      <c r="AH421">
        <v>0</v>
      </c>
      <c r="AI421">
        <v>228</v>
      </c>
      <c r="AJ421">
        <v>37</v>
      </c>
      <c r="AK421">
        <v>37</v>
      </c>
      <c r="AL421">
        <v>0.28999999999999998</v>
      </c>
    </row>
    <row r="422" spans="1:38" x14ac:dyDescent="0.3">
      <c r="A422" t="s">
        <v>589</v>
      </c>
      <c r="B422">
        <v>122797</v>
      </c>
      <c r="C422">
        <v>5</v>
      </c>
      <c r="D422" t="s">
        <v>687</v>
      </c>
      <c r="E422" t="s">
        <v>688</v>
      </c>
      <c r="F422">
        <v>129</v>
      </c>
      <c r="G422">
        <v>10.68</v>
      </c>
      <c r="H422">
        <v>35.33</v>
      </c>
      <c r="I422">
        <v>6.52</v>
      </c>
      <c r="J422">
        <v>21.58</v>
      </c>
      <c r="K422">
        <v>38</v>
      </c>
      <c r="T422">
        <v>1</v>
      </c>
      <c r="U422">
        <v>1</v>
      </c>
      <c r="V422" t="s">
        <v>93</v>
      </c>
      <c r="W422" t="s">
        <v>695</v>
      </c>
      <c r="X422">
        <v>10</v>
      </c>
      <c r="Y422">
        <v>7</v>
      </c>
      <c r="Z422" t="s">
        <v>690</v>
      </c>
      <c r="AA422" t="s">
        <v>691</v>
      </c>
      <c r="AB422" t="s">
        <v>96</v>
      </c>
      <c r="AC422" t="s">
        <v>97</v>
      </c>
      <c r="AD422" t="s">
        <v>98</v>
      </c>
      <c r="AE422" t="s">
        <v>594</v>
      </c>
      <c r="AG422" t="s">
        <v>692</v>
      </c>
      <c r="AH422">
        <v>0</v>
      </c>
      <c r="AI422">
        <v>228</v>
      </c>
      <c r="AJ422">
        <v>37</v>
      </c>
      <c r="AK422">
        <v>37</v>
      </c>
      <c r="AL422">
        <v>0.28999999999999998</v>
      </c>
    </row>
    <row r="423" spans="1:38" x14ac:dyDescent="0.3">
      <c r="A423" t="s">
        <v>589</v>
      </c>
      <c r="B423">
        <v>122797</v>
      </c>
      <c r="C423">
        <v>6</v>
      </c>
      <c r="D423" t="s">
        <v>687</v>
      </c>
      <c r="E423" t="s">
        <v>688</v>
      </c>
      <c r="F423">
        <v>129</v>
      </c>
      <c r="G423">
        <v>11.52</v>
      </c>
      <c r="H423">
        <v>38.090000000000003</v>
      </c>
      <c r="I423">
        <v>7.03</v>
      </c>
      <c r="J423">
        <v>23.24</v>
      </c>
      <c r="K423">
        <v>18</v>
      </c>
      <c r="T423">
        <v>1</v>
      </c>
      <c r="U423">
        <v>1</v>
      </c>
      <c r="V423" t="s">
        <v>93</v>
      </c>
      <c r="W423" t="s">
        <v>415</v>
      </c>
      <c r="X423">
        <v>10</v>
      </c>
      <c r="Y423">
        <v>7</v>
      </c>
      <c r="Z423" t="s">
        <v>690</v>
      </c>
      <c r="AA423" t="s">
        <v>691</v>
      </c>
      <c r="AB423" t="s">
        <v>96</v>
      </c>
      <c r="AC423" t="s">
        <v>97</v>
      </c>
      <c r="AD423" t="s">
        <v>98</v>
      </c>
      <c r="AE423" t="s">
        <v>594</v>
      </c>
      <c r="AG423" t="s">
        <v>692</v>
      </c>
      <c r="AH423">
        <v>0</v>
      </c>
      <c r="AI423">
        <v>228</v>
      </c>
      <c r="AJ423">
        <v>37</v>
      </c>
      <c r="AK423">
        <v>37</v>
      </c>
      <c r="AL423">
        <v>0.28999999999999998</v>
      </c>
    </row>
    <row r="424" spans="1:38" x14ac:dyDescent="0.3">
      <c r="A424" t="s">
        <v>589</v>
      </c>
      <c r="B424">
        <v>122797</v>
      </c>
      <c r="C424">
        <v>7</v>
      </c>
      <c r="D424" t="s">
        <v>687</v>
      </c>
      <c r="E424" t="s">
        <v>688</v>
      </c>
      <c r="F424">
        <v>129</v>
      </c>
      <c r="G424">
        <v>11.5</v>
      </c>
      <c r="H424">
        <v>38.020000000000003</v>
      </c>
      <c r="I424">
        <v>6.99</v>
      </c>
      <c r="J424">
        <v>23.11</v>
      </c>
      <c r="K424">
        <v>9</v>
      </c>
      <c r="T424">
        <v>1</v>
      </c>
      <c r="U424">
        <v>1</v>
      </c>
      <c r="V424" t="s">
        <v>93</v>
      </c>
      <c r="W424" t="s">
        <v>696</v>
      </c>
      <c r="X424">
        <v>10</v>
      </c>
      <c r="Y424">
        <v>7</v>
      </c>
      <c r="Z424" t="s">
        <v>690</v>
      </c>
      <c r="AA424" t="s">
        <v>691</v>
      </c>
      <c r="AB424" t="s">
        <v>96</v>
      </c>
      <c r="AC424" t="s">
        <v>97</v>
      </c>
      <c r="AD424" t="s">
        <v>98</v>
      </c>
      <c r="AE424" t="s">
        <v>594</v>
      </c>
      <c r="AG424" t="s">
        <v>692</v>
      </c>
      <c r="AH424">
        <v>0</v>
      </c>
      <c r="AI424">
        <v>228</v>
      </c>
      <c r="AJ424">
        <v>37</v>
      </c>
      <c r="AK424">
        <v>37</v>
      </c>
      <c r="AL424">
        <v>0.28999999999999998</v>
      </c>
    </row>
    <row r="425" spans="1:38" x14ac:dyDescent="0.3">
      <c r="A425" t="s">
        <v>589</v>
      </c>
      <c r="B425">
        <v>122797</v>
      </c>
      <c r="C425">
        <v>8</v>
      </c>
      <c r="D425" t="s">
        <v>687</v>
      </c>
      <c r="E425" t="s">
        <v>688</v>
      </c>
      <c r="F425">
        <v>129</v>
      </c>
      <c r="G425">
        <v>13.04</v>
      </c>
      <c r="H425">
        <v>43.11</v>
      </c>
      <c r="I425">
        <v>8.01</v>
      </c>
      <c r="J425">
        <v>26.51</v>
      </c>
      <c r="K425">
        <v>9</v>
      </c>
      <c r="T425">
        <v>1</v>
      </c>
      <c r="U425">
        <v>1</v>
      </c>
      <c r="V425" t="s">
        <v>93</v>
      </c>
      <c r="W425" t="s">
        <v>697</v>
      </c>
      <c r="X425">
        <v>10</v>
      </c>
      <c r="Y425">
        <v>7</v>
      </c>
      <c r="Z425" t="s">
        <v>690</v>
      </c>
      <c r="AA425" t="s">
        <v>691</v>
      </c>
      <c r="AB425" t="s">
        <v>96</v>
      </c>
      <c r="AC425" t="s">
        <v>97</v>
      </c>
      <c r="AD425" t="s">
        <v>98</v>
      </c>
      <c r="AE425" t="s">
        <v>594</v>
      </c>
      <c r="AG425" t="s">
        <v>692</v>
      </c>
      <c r="AH425">
        <v>0</v>
      </c>
      <c r="AI425">
        <v>228</v>
      </c>
      <c r="AJ425">
        <v>37</v>
      </c>
      <c r="AK425">
        <v>37</v>
      </c>
      <c r="AL425">
        <v>0.28999999999999998</v>
      </c>
    </row>
    <row r="426" spans="1:38" x14ac:dyDescent="0.3">
      <c r="A426" t="s">
        <v>589</v>
      </c>
      <c r="B426">
        <v>122797</v>
      </c>
      <c r="C426">
        <v>9</v>
      </c>
      <c r="D426" t="s">
        <v>687</v>
      </c>
      <c r="E426" t="s">
        <v>688</v>
      </c>
      <c r="F426">
        <v>129</v>
      </c>
      <c r="G426">
        <v>13.56</v>
      </c>
      <c r="H426">
        <v>44.85</v>
      </c>
      <c r="I426">
        <v>8.35</v>
      </c>
      <c r="J426">
        <v>27.63</v>
      </c>
      <c r="K426">
        <v>9</v>
      </c>
      <c r="T426">
        <v>1</v>
      </c>
      <c r="U426">
        <v>1</v>
      </c>
      <c r="V426" t="s">
        <v>93</v>
      </c>
      <c r="W426" t="s">
        <v>698</v>
      </c>
      <c r="X426">
        <v>10</v>
      </c>
      <c r="Y426">
        <v>7</v>
      </c>
      <c r="Z426" t="s">
        <v>690</v>
      </c>
      <c r="AA426" t="s">
        <v>691</v>
      </c>
      <c r="AB426" t="s">
        <v>96</v>
      </c>
      <c r="AC426" t="s">
        <v>97</v>
      </c>
      <c r="AD426" t="s">
        <v>98</v>
      </c>
      <c r="AE426" t="s">
        <v>594</v>
      </c>
      <c r="AG426" t="s">
        <v>692</v>
      </c>
      <c r="AH426">
        <v>0</v>
      </c>
      <c r="AI426">
        <v>228</v>
      </c>
      <c r="AJ426">
        <v>37</v>
      </c>
      <c r="AK426">
        <v>37</v>
      </c>
      <c r="AL426">
        <v>0.28999999999999998</v>
      </c>
    </row>
    <row r="427" spans="1:38" x14ac:dyDescent="0.3">
      <c r="A427" t="s">
        <v>589</v>
      </c>
      <c r="B427">
        <v>122797</v>
      </c>
      <c r="C427">
        <v>10</v>
      </c>
      <c r="D427" t="s">
        <v>687</v>
      </c>
      <c r="E427" t="s">
        <v>688</v>
      </c>
      <c r="F427">
        <v>129</v>
      </c>
      <c r="G427">
        <v>17.72</v>
      </c>
      <c r="H427">
        <v>58.59</v>
      </c>
      <c r="I427">
        <v>11.01</v>
      </c>
      <c r="J427">
        <v>36.4</v>
      </c>
      <c r="K427">
        <v>9</v>
      </c>
      <c r="T427">
        <v>1</v>
      </c>
      <c r="U427">
        <v>1</v>
      </c>
      <c r="V427" t="s">
        <v>93</v>
      </c>
      <c r="W427" t="s">
        <v>699</v>
      </c>
      <c r="X427">
        <v>10</v>
      </c>
      <c r="Y427">
        <v>7</v>
      </c>
      <c r="Z427" t="s">
        <v>690</v>
      </c>
      <c r="AA427" t="s">
        <v>691</v>
      </c>
      <c r="AB427" t="s">
        <v>96</v>
      </c>
      <c r="AC427" t="s">
        <v>97</v>
      </c>
      <c r="AD427" t="s">
        <v>98</v>
      </c>
      <c r="AE427" t="s">
        <v>594</v>
      </c>
      <c r="AG427" t="s">
        <v>692</v>
      </c>
      <c r="AH427">
        <v>0</v>
      </c>
      <c r="AI427">
        <v>228</v>
      </c>
      <c r="AJ427">
        <v>37</v>
      </c>
      <c r="AK427">
        <v>37</v>
      </c>
      <c r="AL427">
        <v>0.28999999999999998</v>
      </c>
    </row>
    <row r="428" spans="1:38" x14ac:dyDescent="0.3">
      <c r="A428" t="s">
        <v>589</v>
      </c>
      <c r="B428">
        <v>142259</v>
      </c>
      <c r="C428">
        <v>1</v>
      </c>
      <c r="D428" t="s">
        <v>700</v>
      </c>
      <c r="E428" t="s">
        <v>701</v>
      </c>
      <c r="F428">
        <v>21</v>
      </c>
      <c r="G428">
        <v>9.36</v>
      </c>
      <c r="H428">
        <v>30.97</v>
      </c>
      <c r="I428">
        <v>6.7</v>
      </c>
      <c r="J428">
        <v>22.16</v>
      </c>
      <c r="K428">
        <v>12</v>
      </c>
      <c r="T428">
        <v>1</v>
      </c>
      <c r="U428">
        <v>1</v>
      </c>
      <c r="V428" t="s">
        <v>93</v>
      </c>
      <c r="W428">
        <v>30</v>
      </c>
      <c r="X428">
        <v>7</v>
      </c>
      <c r="Y428">
        <v>7</v>
      </c>
      <c r="Z428" t="s">
        <v>702</v>
      </c>
      <c r="AA428" t="s">
        <v>703</v>
      </c>
      <c r="AB428" t="s">
        <v>96</v>
      </c>
      <c r="AC428" t="s">
        <v>97</v>
      </c>
      <c r="AD428" t="s">
        <v>98</v>
      </c>
      <c r="AE428" t="s">
        <v>594</v>
      </c>
      <c r="AG428" t="s">
        <v>704</v>
      </c>
      <c r="AH428">
        <v>0</v>
      </c>
      <c r="AI428">
        <v>411</v>
      </c>
      <c r="AJ428">
        <v>69</v>
      </c>
      <c r="AK428">
        <v>9</v>
      </c>
      <c r="AL428">
        <v>0.43</v>
      </c>
    </row>
    <row r="429" spans="1:38" x14ac:dyDescent="0.3">
      <c r="A429" t="s">
        <v>589</v>
      </c>
      <c r="B429">
        <v>142259</v>
      </c>
      <c r="C429">
        <v>2</v>
      </c>
      <c r="D429" t="s">
        <v>700</v>
      </c>
      <c r="E429" t="s">
        <v>701</v>
      </c>
      <c r="F429">
        <v>21</v>
      </c>
      <c r="G429">
        <v>9.6</v>
      </c>
      <c r="H429">
        <v>31.76</v>
      </c>
      <c r="I429">
        <v>6.87</v>
      </c>
      <c r="J429">
        <v>22.72</v>
      </c>
      <c r="K429">
        <v>9</v>
      </c>
      <c r="T429">
        <v>1</v>
      </c>
      <c r="U429">
        <v>1</v>
      </c>
      <c r="V429" t="s">
        <v>93</v>
      </c>
      <c r="W429">
        <v>31</v>
      </c>
      <c r="X429">
        <v>7</v>
      </c>
      <c r="Y429">
        <v>7</v>
      </c>
      <c r="Z429" t="s">
        <v>702</v>
      </c>
      <c r="AA429" t="s">
        <v>703</v>
      </c>
      <c r="AB429" t="s">
        <v>96</v>
      </c>
      <c r="AC429" t="s">
        <v>97</v>
      </c>
      <c r="AD429" t="s">
        <v>98</v>
      </c>
      <c r="AE429" t="s">
        <v>594</v>
      </c>
      <c r="AG429" t="s">
        <v>704</v>
      </c>
      <c r="AH429">
        <v>0</v>
      </c>
      <c r="AI429">
        <v>411</v>
      </c>
      <c r="AJ429">
        <v>69</v>
      </c>
      <c r="AK429">
        <v>9</v>
      </c>
      <c r="AL429">
        <v>0.43</v>
      </c>
    </row>
    <row r="430" spans="1:38" x14ac:dyDescent="0.3">
      <c r="A430" t="s">
        <v>589</v>
      </c>
      <c r="B430">
        <v>140773</v>
      </c>
      <c r="C430">
        <v>1</v>
      </c>
      <c r="D430" t="s">
        <v>705</v>
      </c>
      <c r="E430" t="s">
        <v>706</v>
      </c>
      <c r="F430">
        <v>104</v>
      </c>
      <c r="G430">
        <v>6.83</v>
      </c>
      <c r="H430">
        <v>22.6</v>
      </c>
      <c r="I430">
        <v>4.42</v>
      </c>
      <c r="J430">
        <v>14.64</v>
      </c>
      <c r="K430">
        <v>16</v>
      </c>
      <c r="T430">
        <v>1</v>
      </c>
      <c r="U430">
        <v>1</v>
      </c>
      <c r="V430" t="s">
        <v>93</v>
      </c>
      <c r="W430" t="s">
        <v>225</v>
      </c>
      <c r="X430">
        <v>12</v>
      </c>
      <c r="Y430">
        <v>12</v>
      </c>
      <c r="Z430" t="s">
        <v>707</v>
      </c>
      <c r="AA430" t="s">
        <v>708</v>
      </c>
      <c r="AB430" t="s">
        <v>96</v>
      </c>
      <c r="AC430" t="s">
        <v>97</v>
      </c>
      <c r="AD430" t="s">
        <v>98</v>
      </c>
      <c r="AE430" t="s">
        <v>594</v>
      </c>
      <c r="AG430" t="s">
        <v>709</v>
      </c>
      <c r="AH430">
        <v>0</v>
      </c>
      <c r="AI430">
        <v>381</v>
      </c>
      <c r="AJ430">
        <v>75</v>
      </c>
      <c r="AK430">
        <v>79</v>
      </c>
      <c r="AL430">
        <v>0.76</v>
      </c>
    </row>
    <row r="431" spans="1:38" x14ac:dyDescent="0.3">
      <c r="A431" t="s">
        <v>589</v>
      </c>
      <c r="B431">
        <v>140773</v>
      </c>
      <c r="C431">
        <v>2</v>
      </c>
      <c r="D431" t="s">
        <v>705</v>
      </c>
      <c r="E431" t="s">
        <v>706</v>
      </c>
      <c r="F431">
        <v>104</v>
      </c>
      <c r="G431">
        <v>6.87</v>
      </c>
      <c r="H431">
        <v>22.74</v>
      </c>
      <c r="I431">
        <v>4.45</v>
      </c>
      <c r="J431">
        <v>14.73</v>
      </c>
      <c r="K431">
        <v>16</v>
      </c>
      <c r="T431">
        <v>1</v>
      </c>
      <c r="U431">
        <v>1</v>
      </c>
      <c r="V431" t="s">
        <v>93</v>
      </c>
      <c r="W431" t="s">
        <v>569</v>
      </c>
      <c r="X431">
        <v>12</v>
      </c>
      <c r="Y431">
        <v>12</v>
      </c>
      <c r="Z431" t="s">
        <v>707</v>
      </c>
      <c r="AA431" t="s">
        <v>708</v>
      </c>
      <c r="AB431" t="s">
        <v>96</v>
      </c>
      <c r="AC431" t="s">
        <v>97</v>
      </c>
      <c r="AD431" t="s">
        <v>98</v>
      </c>
      <c r="AE431" t="s">
        <v>594</v>
      </c>
      <c r="AG431" t="s">
        <v>709</v>
      </c>
      <c r="AH431">
        <v>0</v>
      </c>
      <c r="AI431">
        <v>381</v>
      </c>
      <c r="AJ431">
        <v>75</v>
      </c>
      <c r="AK431">
        <v>79</v>
      </c>
      <c r="AL431">
        <v>0.76</v>
      </c>
    </row>
    <row r="432" spans="1:38" x14ac:dyDescent="0.3">
      <c r="A432" t="s">
        <v>589</v>
      </c>
      <c r="B432">
        <v>140773</v>
      </c>
      <c r="C432">
        <v>3</v>
      </c>
      <c r="D432" t="s">
        <v>705</v>
      </c>
      <c r="E432" t="s">
        <v>706</v>
      </c>
      <c r="F432">
        <v>104</v>
      </c>
      <c r="G432">
        <v>8.27</v>
      </c>
      <c r="H432">
        <v>27.34</v>
      </c>
      <c r="I432">
        <v>5.56</v>
      </c>
      <c r="J432">
        <v>18.399999999999999</v>
      </c>
      <c r="K432">
        <v>32</v>
      </c>
      <c r="T432">
        <v>1</v>
      </c>
      <c r="U432">
        <v>1</v>
      </c>
      <c r="V432" t="s">
        <v>93</v>
      </c>
      <c r="W432" t="s">
        <v>710</v>
      </c>
      <c r="X432">
        <v>12</v>
      </c>
      <c r="Y432">
        <v>12</v>
      </c>
      <c r="Z432" t="s">
        <v>707</v>
      </c>
      <c r="AA432" t="s">
        <v>708</v>
      </c>
      <c r="AB432" t="s">
        <v>96</v>
      </c>
      <c r="AC432" t="s">
        <v>97</v>
      </c>
      <c r="AD432" t="s">
        <v>98</v>
      </c>
      <c r="AE432" t="s">
        <v>594</v>
      </c>
      <c r="AG432" t="s">
        <v>709</v>
      </c>
      <c r="AH432">
        <v>0</v>
      </c>
      <c r="AI432">
        <v>381</v>
      </c>
      <c r="AJ432">
        <v>75</v>
      </c>
      <c r="AK432">
        <v>79</v>
      </c>
      <c r="AL432">
        <v>0.76</v>
      </c>
    </row>
    <row r="433" spans="1:38" x14ac:dyDescent="0.3">
      <c r="A433" t="s">
        <v>589</v>
      </c>
      <c r="B433">
        <v>140773</v>
      </c>
      <c r="C433">
        <v>4</v>
      </c>
      <c r="D433" t="s">
        <v>705</v>
      </c>
      <c r="E433" t="s">
        <v>706</v>
      </c>
      <c r="F433">
        <v>104</v>
      </c>
      <c r="G433">
        <v>8.34</v>
      </c>
      <c r="H433">
        <v>27.59</v>
      </c>
      <c r="I433">
        <v>5.61</v>
      </c>
      <c r="J433">
        <v>18.57</v>
      </c>
      <c r="K433">
        <v>32</v>
      </c>
      <c r="T433">
        <v>1</v>
      </c>
      <c r="U433">
        <v>1</v>
      </c>
      <c r="V433" t="s">
        <v>93</v>
      </c>
      <c r="W433" t="s">
        <v>711</v>
      </c>
      <c r="X433">
        <v>12</v>
      </c>
      <c r="Y433">
        <v>12</v>
      </c>
      <c r="Z433" t="s">
        <v>707</v>
      </c>
      <c r="AA433" t="s">
        <v>708</v>
      </c>
      <c r="AB433" t="s">
        <v>96</v>
      </c>
      <c r="AC433" t="s">
        <v>97</v>
      </c>
      <c r="AD433" t="s">
        <v>98</v>
      </c>
      <c r="AE433" t="s">
        <v>594</v>
      </c>
      <c r="AG433" t="s">
        <v>709</v>
      </c>
      <c r="AH433">
        <v>0</v>
      </c>
      <c r="AI433">
        <v>381</v>
      </c>
      <c r="AJ433">
        <v>75</v>
      </c>
      <c r="AK433">
        <v>79</v>
      </c>
      <c r="AL433">
        <v>0.76</v>
      </c>
    </row>
    <row r="434" spans="1:38" x14ac:dyDescent="0.3">
      <c r="A434" t="s">
        <v>589</v>
      </c>
      <c r="B434">
        <v>140773</v>
      </c>
      <c r="C434">
        <v>5</v>
      </c>
      <c r="D434" t="s">
        <v>705</v>
      </c>
      <c r="E434" t="s">
        <v>706</v>
      </c>
      <c r="F434">
        <v>104</v>
      </c>
      <c r="G434">
        <v>8.4600000000000009</v>
      </c>
      <c r="H434">
        <v>27.97</v>
      </c>
      <c r="I434">
        <v>5.58</v>
      </c>
      <c r="J434">
        <v>18.45</v>
      </c>
      <c r="K434">
        <v>8</v>
      </c>
      <c r="T434">
        <v>1</v>
      </c>
      <c r="U434">
        <v>1</v>
      </c>
      <c r="V434" t="s">
        <v>93</v>
      </c>
      <c r="W434" t="s">
        <v>712</v>
      </c>
      <c r="X434">
        <v>12</v>
      </c>
      <c r="Y434">
        <v>12</v>
      </c>
      <c r="Z434" t="s">
        <v>707</v>
      </c>
      <c r="AA434" t="s">
        <v>708</v>
      </c>
      <c r="AB434" t="s">
        <v>96</v>
      </c>
      <c r="AC434" t="s">
        <v>97</v>
      </c>
      <c r="AD434" t="s">
        <v>98</v>
      </c>
      <c r="AE434" t="s">
        <v>594</v>
      </c>
      <c r="AG434" t="s">
        <v>709</v>
      </c>
      <c r="AH434">
        <v>0</v>
      </c>
      <c r="AI434">
        <v>381</v>
      </c>
      <c r="AJ434">
        <v>75</v>
      </c>
      <c r="AK434">
        <v>79</v>
      </c>
      <c r="AL434">
        <v>0.76</v>
      </c>
    </row>
    <row r="435" spans="1:38" x14ac:dyDescent="0.3">
      <c r="A435" t="s">
        <v>589</v>
      </c>
      <c r="B435">
        <v>27120</v>
      </c>
      <c r="C435">
        <v>1</v>
      </c>
      <c r="D435" t="s">
        <v>713</v>
      </c>
      <c r="E435" t="s">
        <v>714</v>
      </c>
      <c r="F435">
        <v>165</v>
      </c>
      <c r="G435">
        <v>32.58</v>
      </c>
      <c r="H435">
        <v>107.72</v>
      </c>
      <c r="I435">
        <v>25.68</v>
      </c>
      <c r="J435">
        <v>84.92</v>
      </c>
      <c r="K435">
        <v>88</v>
      </c>
      <c r="T435">
        <v>3</v>
      </c>
      <c r="U435">
        <v>2</v>
      </c>
      <c r="V435" t="s">
        <v>93</v>
      </c>
      <c r="W435" t="s">
        <v>715</v>
      </c>
      <c r="X435">
        <v>15</v>
      </c>
      <c r="Y435">
        <v>8</v>
      </c>
      <c r="Z435" t="s">
        <v>716</v>
      </c>
      <c r="AA435" t="s">
        <v>717</v>
      </c>
      <c r="AB435" t="s">
        <v>96</v>
      </c>
      <c r="AC435" t="s">
        <v>97</v>
      </c>
      <c r="AD435" t="s">
        <v>98</v>
      </c>
      <c r="AE435" t="s">
        <v>594</v>
      </c>
      <c r="AG435" t="s">
        <v>718</v>
      </c>
      <c r="AH435">
        <v>0</v>
      </c>
      <c r="AI435">
        <v>229</v>
      </c>
      <c r="AJ435">
        <v>22</v>
      </c>
      <c r="AK435">
        <v>167</v>
      </c>
      <c r="AL435">
        <v>1.01</v>
      </c>
    </row>
    <row r="436" spans="1:38" x14ac:dyDescent="0.3">
      <c r="A436" t="s">
        <v>589</v>
      </c>
      <c r="B436">
        <v>27120</v>
      </c>
      <c r="C436">
        <v>2</v>
      </c>
      <c r="D436" t="s">
        <v>713</v>
      </c>
      <c r="E436" t="s">
        <v>714</v>
      </c>
      <c r="F436">
        <v>165</v>
      </c>
      <c r="G436">
        <v>32.61</v>
      </c>
      <c r="H436">
        <v>107.81</v>
      </c>
      <c r="I436">
        <v>25.69</v>
      </c>
      <c r="J436">
        <v>84.94</v>
      </c>
      <c r="K436">
        <v>54</v>
      </c>
      <c r="T436">
        <v>3</v>
      </c>
      <c r="U436">
        <v>2</v>
      </c>
      <c r="V436" t="s">
        <v>93</v>
      </c>
      <c r="W436" t="s">
        <v>528</v>
      </c>
      <c r="X436">
        <v>15</v>
      </c>
      <c r="Y436">
        <v>8</v>
      </c>
      <c r="Z436" t="s">
        <v>716</v>
      </c>
      <c r="AA436" t="s">
        <v>717</v>
      </c>
      <c r="AB436" t="s">
        <v>96</v>
      </c>
      <c r="AC436" t="s">
        <v>97</v>
      </c>
      <c r="AD436" t="s">
        <v>98</v>
      </c>
      <c r="AE436" t="s">
        <v>594</v>
      </c>
      <c r="AG436" t="s">
        <v>718</v>
      </c>
      <c r="AH436">
        <v>0</v>
      </c>
      <c r="AI436">
        <v>229</v>
      </c>
      <c r="AJ436">
        <v>22</v>
      </c>
      <c r="AK436">
        <v>167</v>
      </c>
      <c r="AL436">
        <v>1.01</v>
      </c>
    </row>
    <row r="437" spans="1:38" x14ac:dyDescent="0.3">
      <c r="A437" t="s">
        <v>589</v>
      </c>
      <c r="B437">
        <v>27120</v>
      </c>
      <c r="C437">
        <v>3</v>
      </c>
      <c r="D437" t="s">
        <v>713</v>
      </c>
      <c r="E437" t="s">
        <v>714</v>
      </c>
      <c r="F437">
        <v>165</v>
      </c>
      <c r="G437">
        <v>32.479999999999997</v>
      </c>
      <c r="H437">
        <v>107.4</v>
      </c>
      <c r="I437">
        <v>25.7</v>
      </c>
      <c r="J437">
        <v>84.96</v>
      </c>
      <c r="K437">
        <v>23</v>
      </c>
      <c r="T437">
        <v>3</v>
      </c>
      <c r="U437">
        <v>2</v>
      </c>
      <c r="V437" t="s">
        <v>93</v>
      </c>
      <c r="W437" t="s">
        <v>719</v>
      </c>
      <c r="X437">
        <v>15</v>
      </c>
      <c r="Y437">
        <v>8</v>
      </c>
      <c r="Z437" t="s">
        <v>716</v>
      </c>
      <c r="AA437" t="s">
        <v>717</v>
      </c>
      <c r="AB437" t="s">
        <v>96</v>
      </c>
      <c r="AC437" t="s">
        <v>97</v>
      </c>
      <c r="AD437" t="s">
        <v>98</v>
      </c>
      <c r="AE437" t="s">
        <v>594</v>
      </c>
      <c r="AG437" t="s">
        <v>718</v>
      </c>
      <c r="AH437">
        <v>0</v>
      </c>
      <c r="AI437">
        <v>229</v>
      </c>
      <c r="AJ437">
        <v>22</v>
      </c>
      <c r="AK437">
        <v>167</v>
      </c>
      <c r="AL437">
        <v>1.01</v>
      </c>
    </row>
    <row r="438" spans="1:38" x14ac:dyDescent="0.3">
      <c r="A438" t="s">
        <v>589</v>
      </c>
      <c r="B438">
        <v>106027</v>
      </c>
      <c r="C438">
        <v>1</v>
      </c>
      <c r="D438" t="s">
        <v>720</v>
      </c>
      <c r="E438" t="s">
        <v>721</v>
      </c>
      <c r="F438">
        <v>94</v>
      </c>
      <c r="G438">
        <v>6.9</v>
      </c>
      <c r="H438">
        <v>22.82</v>
      </c>
      <c r="I438">
        <v>3.66</v>
      </c>
      <c r="J438">
        <v>12.12</v>
      </c>
      <c r="K438">
        <v>8</v>
      </c>
      <c r="T438">
        <v>1</v>
      </c>
      <c r="U438">
        <v>1</v>
      </c>
      <c r="V438" t="s">
        <v>118</v>
      </c>
      <c r="W438" t="s">
        <v>568</v>
      </c>
      <c r="X438">
        <v>12</v>
      </c>
      <c r="Y438">
        <v>6</v>
      </c>
      <c r="Z438" t="s">
        <v>722</v>
      </c>
      <c r="AA438" t="s">
        <v>723</v>
      </c>
      <c r="AB438" t="s">
        <v>96</v>
      </c>
      <c r="AC438" t="s">
        <v>97</v>
      </c>
      <c r="AD438" t="s">
        <v>98</v>
      </c>
      <c r="AE438" t="s">
        <v>594</v>
      </c>
      <c r="AG438" t="s">
        <v>724</v>
      </c>
      <c r="AH438">
        <v>0</v>
      </c>
      <c r="AI438">
        <v>397</v>
      </c>
      <c r="AJ438">
        <v>54</v>
      </c>
      <c r="AK438">
        <v>48</v>
      </c>
      <c r="AL438">
        <v>0.51</v>
      </c>
    </row>
    <row r="439" spans="1:38" x14ac:dyDescent="0.3">
      <c r="A439" t="s">
        <v>589</v>
      </c>
      <c r="B439">
        <v>106027</v>
      </c>
      <c r="C439">
        <v>2</v>
      </c>
      <c r="D439" t="s">
        <v>720</v>
      </c>
      <c r="E439" t="s">
        <v>721</v>
      </c>
      <c r="F439">
        <v>94</v>
      </c>
      <c r="G439">
        <v>8.2799999999999994</v>
      </c>
      <c r="H439">
        <v>27.4</v>
      </c>
      <c r="I439">
        <v>4.4000000000000004</v>
      </c>
      <c r="J439">
        <v>14.55</v>
      </c>
      <c r="K439">
        <v>54</v>
      </c>
      <c r="T439">
        <v>1</v>
      </c>
      <c r="U439">
        <v>1</v>
      </c>
      <c r="V439" t="s">
        <v>118</v>
      </c>
      <c r="W439" t="s">
        <v>710</v>
      </c>
      <c r="X439">
        <v>12</v>
      </c>
      <c r="Y439">
        <v>6</v>
      </c>
      <c r="Z439" t="s">
        <v>722</v>
      </c>
      <c r="AA439" t="s">
        <v>723</v>
      </c>
      <c r="AB439" t="s">
        <v>96</v>
      </c>
      <c r="AC439" t="s">
        <v>97</v>
      </c>
      <c r="AD439" t="s">
        <v>98</v>
      </c>
      <c r="AE439" t="s">
        <v>594</v>
      </c>
      <c r="AG439" t="s">
        <v>724</v>
      </c>
      <c r="AH439">
        <v>0</v>
      </c>
      <c r="AI439">
        <v>397</v>
      </c>
      <c r="AJ439">
        <v>54</v>
      </c>
      <c r="AK439">
        <v>48</v>
      </c>
      <c r="AL439">
        <v>0.51</v>
      </c>
    </row>
    <row r="440" spans="1:38" x14ac:dyDescent="0.3">
      <c r="A440" t="s">
        <v>589</v>
      </c>
      <c r="B440">
        <v>106027</v>
      </c>
      <c r="C440">
        <v>3</v>
      </c>
      <c r="D440" t="s">
        <v>720</v>
      </c>
      <c r="E440" t="s">
        <v>721</v>
      </c>
      <c r="F440">
        <v>94</v>
      </c>
      <c r="G440">
        <v>8.2899999999999991</v>
      </c>
      <c r="H440">
        <v>27.43</v>
      </c>
      <c r="I440">
        <v>4.4000000000000004</v>
      </c>
      <c r="J440">
        <v>14.57</v>
      </c>
      <c r="K440">
        <v>18</v>
      </c>
      <c r="T440">
        <v>1</v>
      </c>
      <c r="U440">
        <v>1</v>
      </c>
      <c r="V440" t="s">
        <v>118</v>
      </c>
      <c r="W440" t="s">
        <v>712</v>
      </c>
      <c r="X440">
        <v>12</v>
      </c>
      <c r="Y440">
        <v>6</v>
      </c>
      <c r="Z440" t="s">
        <v>722</v>
      </c>
      <c r="AA440" t="s">
        <v>723</v>
      </c>
      <c r="AB440" t="s">
        <v>96</v>
      </c>
      <c r="AC440" t="s">
        <v>97</v>
      </c>
      <c r="AD440" t="s">
        <v>98</v>
      </c>
      <c r="AE440" t="s">
        <v>594</v>
      </c>
      <c r="AG440" t="s">
        <v>724</v>
      </c>
      <c r="AH440">
        <v>0</v>
      </c>
      <c r="AI440">
        <v>397</v>
      </c>
      <c r="AJ440">
        <v>54</v>
      </c>
      <c r="AK440">
        <v>48</v>
      </c>
      <c r="AL440">
        <v>0.51</v>
      </c>
    </row>
    <row r="441" spans="1:38" x14ac:dyDescent="0.3">
      <c r="A441" t="s">
        <v>589</v>
      </c>
      <c r="B441">
        <v>106027</v>
      </c>
      <c r="C441">
        <v>4</v>
      </c>
      <c r="D441" t="s">
        <v>720</v>
      </c>
      <c r="E441" t="s">
        <v>721</v>
      </c>
      <c r="F441">
        <v>94</v>
      </c>
      <c r="G441">
        <v>8.2799999999999994</v>
      </c>
      <c r="H441">
        <v>27.4</v>
      </c>
      <c r="I441">
        <v>4.4000000000000004</v>
      </c>
      <c r="J441">
        <v>14.55</v>
      </c>
      <c r="K441">
        <v>6</v>
      </c>
      <c r="T441">
        <v>1</v>
      </c>
      <c r="U441">
        <v>1</v>
      </c>
      <c r="V441" t="s">
        <v>118</v>
      </c>
      <c r="W441" t="s">
        <v>725</v>
      </c>
      <c r="X441">
        <v>12</v>
      </c>
      <c r="Y441">
        <v>6</v>
      </c>
      <c r="Z441" t="s">
        <v>722</v>
      </c>
      <c r="AA441" t="s">
        <v>723</v>
      </c>
      <c r="AB441" t="s">
        <v>96</v>
      </c>
      <c r="AC441" t="s">
        <v>97</v>
      </c>
      <c r="AD441" t="s">
        <v>98</v>
      </c>
      <c r="AE441" t="s">
        <v>594</v>
      </c>
      <c r="AG441" t="s">
        <v>724</v>
      </c>
      <c r="AH441">
        <v>0</v>
      </c>
      <c r="AI441">
        <v>397</v>
      </c>
      <c r="AJ441">
        <v>54</v>
      </c>
      <c r="AK441">
        <v>48</v>
      </c>
      <c r="AL441">
        <v>0.51</v>
      </c>
    </row>
    <row r="442" spans="1:38" x14ac:dyDescent="0.3">
      <c r="A442" t="s">
        <v>589</v>
      </c>
      <c r="B442">
        <v>106027</v>
      </c>
      <c r="C442">
        <v>5</v>
      </c>
      <c r="D442" t="s">
        <v>720</v>
      </c>
      <c r="E442" t="s">
        <v>721</v>
      </c>
      <c r="F442">
        <v>94</v>
      </c>
      <c r="G442">
        <v>8.2899999999999991</v>
      </c>
      <c r="H442">
        <v>27.43</v>
      </c>
      <c r="I442">
        <v>4.4000000000000004</v>
      </c>
      <c r="J442">
        <v>14.57</v>
      </c>
      <c r="K442">
        <v>2</v>
      </c>
      <c r="T442">
        <v>1</v>
      </c>
      <c r="U442">
        <v>1</v>
      </c>
      <c r="V442" t="s">
        <v>118</v>
      </c>
      <c r="W442" t="s">
        <v>726</v>
      </c>
      <c r="X442">
        <v>12</v>
      </c>
      <c r="Y442">
        <v>6</v>
      </c>
      <c r="Z442" t="s">
        <v>722</v>
      </c>
      <c r="AA442" t="s">
        <v>723</v>
      </c>
      <c r="AB442" t="s">
        <v>96</v>
      </c>
      <c r="AC442" t="s">
        <v>97</v>
      </c>
      <c r="AD442" t="s">
        <v>98</v>
      </c>
      <c r="AE442" t="s">
        <v>594</v>
      </c>
      <c r="AG442" t="s">
        <v>724</v>
      </c>
      <c r="AH442">
        <v>0</v>
      </c>
      <c r="AI442">
        <v>397</v>
      </c>
      <c r="AJ442">
        <v>54</v>
      </c>
      <c r="AK442">
        <v>48</v>
      </c>
      <c r="AL442">
        <v>0.51</v>
      </c>
    </row>
    <row r="443" spans="1:38" x14ac:dyDescent="0.3">
      <c r="A443" t="s">
        <v>589</v>
      </c>
      <c r="B443">
        <v>106027</v>
      </c>
      <c r="C443">
        <v>6</v>
      </c>
      <c r="D443" t="s">
        <v>720</v>
      </c>
      <c r="E443" t="s">
        <v>721</v>
      </c>
      <c r="F443">
        <v>94</v>
      </c>
      <c r="G443">
        <v>17.100000000000001</v>
      </c>
      <c r="H443">
        <v>56.54</v>
      </c>
      <c r="I443">
        <v>9.08</v>
      </c>
      <c r="J443">
        <v>30.03</v>
      </c>
      <c r="K443">
        <v>6</v>
      </c>
      <c r="T443">
        <v>1</v>
      </c>
      <c r="U443">
        <v>1</v>
      </c>
      <c r="V443" t="s">
        <v>118</v>
      </c>
      <c r="W443" t="s">
        <v>727</v>
      </c>
      <c r="X443">
        <v>12</v>
      </c>
      <c r="Y443">
        <v>6</v>
      </c>
      <c r="Z443" t="s">
        <v>722</v>
      </c>
      <c r="AA443" t="s">
        <v>723</v>
      </c>
      <c r="AB443" t="s">
        <v>96</v>
      </c>
      <c r="AC443" t="s">
        <v>97</v>
      </c>
      <c r="AD443" t="s">
        <v>98</v>
      </c>
      <c r="AE443" t="s">
        <v>594</v>
      </c>
      <c r="AG443" t="s">
        <v>724</v>
      </c>
      <c r="AH443">
        <v>0</v>
      </c>
      <c r="AI443">
        <v>397</v>
      </c>
      <c r="AJ443">
        <v>54</v>
      </c>
      <c r="AK443">
        <v>48</v>
      </c>
      <c r="AL443">
        <v>0.51</v>
      </c>
    </row>
    <row r="444" spans="1:38" x14ac:dyDescent="0.3">
      <c r="A444" t="s">
        <v>589</v>
      </c>
      <c r="B444">
        <v>118327</v>
      </c>
      <c r="C444">
        <v>1</v>
      </c>
      <c r="D444" t="s">
        <v>728</v>
      </c>
      <c r="E444" t="s">
        <v>729</v>
      </c>
      <c r="F444">
        <v>36</v>
      </c>
      <c r="G444">
        <v>11.62</v>
      </c>
      <c r="H444">
        <v>38.42</v>
      </c>
      <c r="I444">
        <v>6.5</v>
      </c>
      <c r="J444">
        <v>21.51</v>
      </c>
      <c r="K444">
        <v>4</v>
      </c>
      <c r="T444">
        <v>1</v>
      </c>
      <c r="U444">
        <v>1</v>
      </c>
      <c r="V444" t="s">
        <v>118</v>
      </c>
      <c r="W444" t="s">
        <v>730</v>
      </c>
      <c r="X444">
        <v>7</v>
      </c>
      <c r="Y444">
        <v>7</v>
      </c>
      <c r="Z444" t="s">
        <v>731</v>
      </c>
      <c r="AA444" t="s">
        <v>732</v>
      </c>
      <c r="AB444" t="s">
        <v>96</v>
      </c>
      <c r="AC444" t="s">
        <v>97</v>
      </c>
      <c r="AD444" t="s">
        <v>98</v>
      </c>
      <c r="AE444" t="s">
        <v>594</v>
      </c>
      <c r="AG444" t="s">
        <v>733</v>
      </c>
      <c r="AH444">
        <v>0</v>
      </c>
      <c r="AI444">
        <v>383</v>
      </c>
      <c r="AJ444">
        <v>67</v>
      </c>
      <c r="AK444">
        <v>20</v>
      </c>
      <c r="AL444">
        <v>0.56000000000000005</v>
      </c>
    </row>
    <row r="445" spans="1:38" x14ac:dyDescent="0.3">
      <c r="A445" t="s">
        <v>589</v>
      </c>
      <c r="B445">
        <v>118327</v>
      </c>
      <c r="C445">
        <v>2</v>
      </c>
      <c r="D445" t="s">
        <v>728</v>
      </c>
      <c r="E445" t="s">
        <v>729</v>
      </c>
      <c r="F445">
        <v>36</v>
      </c>
      <c r="G445">
        <v>11.67</v>
      </c>
      <c r="H445">
        <v>38.58</v>
      </c>
      <c r="I445">
        <v>6.53</v>
      </c>
      <c r="J445">
        <v>21.6</v>
      </c>
      <c r="K445">
        <v>4</v>
      </c>
      <c r="T445">
        <v>1</v>
      </c>
      <c r="U445">
        <v>1</v>
      </c>
      <c r="V445" t="s">
        <v>118</v>
      </c>
      <c r="W445" t="s">
        <v>734</v>
      </c>
      <c r="X445">
        <v>7</v>
      </c>
      <c r="Y445">
        <v>7</v>
      </c>
      <c r="Z445" t="s">
        <v>731</v>
      </c>
      <c r="AA445" t="s">
        <v>732</v>
      </c>
      <c r="AB445" t="s">
        <v>96</v>
      </c>
      <c r="AC445" t="s">
        <v>97</v>
      </c>
      <c r="AD445" t="s">
        <v>98</v>
      </c>
      <c r="AE445" t="s">
        <v>594</v>
      </c>
      <c r="AG445" t="s">
        <v>733</v>
      </c>
      <c r="AH445">
        <v>0</v>
      </c>
      <c r="AI445">
        <v>383</v>
      </c>
      <c r="AJ445">
        <v>67</v>
      </c>
      <c r="AK445">
        <v>20</v>
      </c>
      <c r="AL445">
        <v>0.56000000000000005</v>
      </c>
    </row>
    <row r="446" spans="1:38" x14ac:dyDescent="0.3">
      <c r="A446" t="s">
        <v>589</v>
      </c>
      <c r="B446">
        <v>118327</v>
      </c>
      <c r="C446">
        <v>3</v>
      </c>
      <c r="D446" t="s">
        <v>728</v>
      </c>
      <c r="E446" t="s">
        <v>729</v>
      </c>
      <c r="F446">
        <v>36</v>
      </c>
      <c r="G446">
        <v>12.01</v>
      </c>
      <c r="H446">
        <v>39.729999999999997</v>
      </c>
      <c r="I446">
        <v>6.72</v>
      </c>
      <c r="J446">
        <v>22.24</v>
      </c>
      <c r="K446">
        <v>4</v>
      </c>
      <c r="T446">
        <v>1</v>
      </c>
      <c r="U446">
        <v>1</v>
      </c>
      <c r="V446" t="s">
        <v>118</v>
      </c>
      <c r="W446" t="s">
        <v>735</v>
      </c>
      <c r="X446">
        <v>7</v>
      </c>
      <c r="Y446">
        <v>7</v>
      </c>
      <c r="Z446" t="s">
        <v>731</v>
      </c>
      <c r="AA446" t="s">
        <v>732</v>
      </c>
      <c r="AB446" t="s">
        <v>96</v>
      </c>
      <c r="AC446" t="s">
        <v>97</v>
      </c>
      <c r="AD446" t="s">
        <v>98</v>
      </c>
      <c r="AE446" t="s">
        <v>594</v>
      </c>
      <c r="AG446" t="s">
        <v>733</v>
      </c>
      <c r="AH446">
        <v>0</v>
      </c>
      <c r="AI446">
        <v>383</v>
      </c>
      <c r="AJ446">
        <v>67</v>
      </c>
      <c r="AK446">
        <v>20</v>
      </c>
      <c r="AL446">
        <v>0.56000000000000005</v>
      </c>
    </row>
    <row r="447" spans="1:38" x14ac:dyDescent="0.3">
      <c r="A447" t="s">
        <v>589</v>
      </c>
      <c r="B447">
        <v>118327</v>
      </c>
      <c r="C447">
        <v>4</v>
      </c>
      <c r="D447" t="s">
        <v>728</v>
      </c>
      <c r="E447" t="s">
        <v>729</v>
      </c>
      <c r="F447">
        <v>36</v>
      </c>
      <c r="G447">
        <v>13.88</v>
      </c>
      <c r="H447">
        <v>45.91</v>
      </c>
      <c r="I447">
        <v>7.77</v>
      </c>
      <c r="J447">
        <v>25.7</v>
      </c>
      <c r="K447">
        <v>4</v>
      </c>
      <c r="T447">
        <v>1</v>
      </c>
      <c r="U447">
        <v>1</v>
      </c>
      <c r="V447" t="s">
        <v>118</v>
      </c>
      <c r="W447" t="s">
        <v>736</v>
      </c>
      <c r="X447">
        <v>7</v>
      </c>
      <c r="Y447">
        <v>7</v>
      </c>
      <c r="Z447" t="s">
        <v>731</v>
      </c>
      <c r="AA447" t="s">
        <v>732</v>
      </c>
      <c r="AB447" t="s">
        <v>96</v>
      </c>
      <c r="AC447" t="s">
        <v>97</v>
      </c>
      <c r="AD447" t="s">
        <v>98</v>
      </c>
      <c r="AE447" t="s">
        <v>594</v>
      </c>
      <c r="AG447" t="s">
        <v>733</v>
      </c>
      <c r="AH447">
        <v>0</v>
      </c>
      <c r="AI447">
        <v>383</v>
      </c>
      <c r="AJ447">
        <v>67</v>
      </c>
      <c r="AK447">
        <v>20</v>
      </c>
      <c r="AL447">
        <v>0.56000000000000005</v>
      </c>
    </row>
    <row r="448" spans="1:38" x14ac:dyDescent="0.3">
      <c r="A448" t="s">
        <v>589</v>
      </c>
      <c r="B448">
        <v>118327</v>
      </c>
      <c r="C448">
        <v>5</v>
      </c>
      <c r="D448" t="s">
        <v>728</v>
      </c>
      <c r="E448" t="s">
        <v>729</v>
      </c>
      <c r="F448">
        <v>36</v>
      </c>
      <c r="G448">
        <v>14.39</v>
      </c>
      <c r="H448">
        <v>47.6</v>
      </c>
      <c r="I448">
        <v>8.06</v>
      </c>
      <c r="J448">
        <v>26.65</v>
      </c>
      <c r="K448">
        <v>12</v>
      </c>
      <c r="T448">
        <v>1</v>
      </c>
      <c r="U448">
        <v>1</v>
      </c>
      <c r="V448" t="s">
        <v>118</v>
      </c>
      <c r="W448" t="s">
        <v>737</v>
      </c>
      <c r="X448">
        <v>7</v>
      </c>
      <c r="Y448">
        <v>7</v>
      </c>
      <c r="Z448" t="s">
        <v>731</v>
      </c>
      <c r="AA448" t="s">
        <v>732</v>
      </c>
      <c r="AB448" t="s">
        <v>96</v>
      </c>
      <c r="AC448" t="s">
        <v>97</v>
      </c>
      <c r="AD448" t="s">
        <v>98</v>
      </c>
      <c r="AE448" t="s">
        <v>594</v>
      </c>
      <c r="AG448" t="s">
        <v>733</v>
      </c>
      <c r="AH448">
        <v>0</v>
      </c>
      <c r="AI448">
        <v>383</v>
      </c>
      <c r="AJ448">
        <v>67</v>
      </c>
      <c r="AK448">
        <v>20</v>
      </c>
      <c r="AL448">
        <v>0.56000000000000005</v>
      </c>
    </row>
    <row r="449" spans="1:38" x14ac:dyDescent="0.3">
      <c r="A449" t="s">
        <v>589</v>
      </c>
      <c r="B449">
        <v>118327</v>
      </c>
      <c r="C449">
        <v>6</v>
      </c>
      <c r="D449" t="s">
        <v>728</v>
      </c>
      <c r="E449" t="s">
        <v>729</v>
      </c>
      <c r="F449">
        <v>36</v>
      </c>
      <c r="G449">
        <v>14.68</v>
      </c>
      <c r="H449">
        <v>48.55</v>
      </c>
      <c r="I449">
        <v>8.2200000000000006</v>
      </c>
      <c r="J449">
        <v>27.18</v>
      </c>
      <c r="K449">
        <v>8</v>
      </c>
      <c r="T449">
        <v>1</v>
      </c>
      <c r="U449">
        <v>1</v>
      </c>
      <c r="V449" t="s">
        <v>118</v>
      </c>
      <c r="W449" t="s">
        <v>738</v>
      </c>
      <c r="X449">
        <v>7</v>
      </c>
      <c r="Y449">
        <v>7</v>
      </c>
      <c r="Z449" t="s">
        <v>731</v>
      </c>
      <c r="AA449" t="s">
        <v>732</v>
      </c>
      <c r="AB449" t="s">
        <v>96</v>
      </c>
      <c r="AC449" t="s">
        <v>97</v>
      </c>
      <c r="AD449" t="s">
        <v>98</v>
      </c>
      <c r="AE449" t="s">
        <v>594</v>
      </c>
      <c r="AG449" t="s">
        <v>733</v>
      </c>
      <c r="AH449">
        <v>0</v>
      </c>
      <c r="AI449">
        <v>383</v>
      </c>
      <c r="AJ449">
        <v>67</v>
      </c>
      <c r="AK449">
        <v>20</v>
      </c>
      <c r="AL449">
        <v>0.56000000000000005</v>
      </c>
    </row>
    <row r="450" spans="1:38" x14ac:dyDescent="0.3">
      <c r="A450" t="s">
        <v>589</v>
      </c>
      <c r="B450">
        <v>106862</v>
      </c>
      <c r="C450">
        <v>1</v>
      </c>
      <c r="D450" t="s">
        <v>739</v>
      </c>
      <c r="E450" t="s">
        <v>385</v>
      </c>
      <c r="F450">
        <v>131</v>
      </c>
      <c r="G450">
        <v>6.51</v>
      </c>
      <c r="H450">
        <v>21.54</v>
      </c>
      <c r="I450">
        <v>3.3</v>
      </c>
      <c r="J450">
        <v>10.93</v>
      </c>
      <c r="K450">
        <v>67</v>
      </c>
      <c r="T450">
        <v>1</v>
      </c>
      <c r="U450">
        <v>1</v>
      </c>
      <c r="V450" t="s">
        <v>93</v>
      </c>
      <c r="W450" t="s">
        <v>740</v>
      </c>
      <c r="X450">
        <v>9</v>
      </c>
      <c r="Y450">
        <v>9</v>
      </c>
      <c r="Z450" t="s">
        <v>741</v>
      </c>
      <c r="AA450" t="s">
        <v>742</v>
      </c>
      <c r="AB450" t="s">
        <v>96</v>
      </c>
      <c r="AC450" t="s">
        <v>97</v>
      </c>
      <c r="AD450" t="s">
        <v>98</v>
      </c>
      <c r="AE450" t="s">
        <v>594</v>
      </c>
      <c r="AG450" t="s">
        <v>743</v>
      </c>
      <c r="AH450">
        <v>0</v>
      </c>
      <c r="AI450">
        <v>369</v>
      </c>
      <c r="AJ450">
        <v>74</v>
      </c>
      <c r="AK450">
        <v>34</v>
      </c>
      <c r="AL450">
        <v>0.26</v>
      </c>
    </row>
    <row r="451" spans="1:38" x14ac:dyDescent="0.3">
      <c r="A451" t="s">
        <v>589</v>
      </c>
      <c r="B451">
        <v>106862</v>
      </c>
      <c r="C451">
        <v>2</v>
      </c>
      <c r="D451" t="s">
        <v>739</v>
      </c>
      <c r="E451" t="s">
        <v>385</v>
      </c>
      <c r="F451">
        <v>131</v>
      </c>
      <c r="G451">
        <v>6.97</v>
      </c>
      <c r="H451">
        <v>23.07</v>
      </c>
      <c r="I451">
        <v>3.54</v>
      </c>
      <c r="J451">
        <v>11.72</v>
      </c>
      <c r="K451">
        <v>54</v>
      </c>
      <c r="T451">
        <v>1</v>
      </c>
      <c r="U451">
        <v>1</v>
      </c>
      <c r="V451" t="s">
        <v>93</v>
      </c>
      <c r="W451" t="s">
        <v>571</v>
      </c>
      <c r="X451">
        <v>9</v>
      </c>
      <c r="Y451">
        <v>9</v>
      </c>
      <c r="Z451" t="s">
        <v>741</v>
      </c>
      <c r="AA451" t="s">
        <v>742</v>
      </c>
      <c r="AB451" t="s">
        <v>96</v>
      </c>
      <c r="AC451" t="s">
        <v>97</v>
      </c>
      <c r="AD451" t="s">
        <v>98</v>
      </c>
      <c r="AE451" t="s">
        <v>594</v>
      </c>
      <c r="AG451" t="s">
        <v>743</v>
      </c>
      <c r="AH451">
        <v>0</v>
      </c>
      <c r="AI451">
        <v>369</v>
      </c>
      <c r="AJ451">
        <v>74</v>
      </c>
      <c r="AK451">
        <v>34</v>
      </c>
      <c r="AL451">
        <v>0.26</v>
      </c>
    </row>
    <row r="452" spans="1:38" x14ac:dyDescent="0.3">
      <c r="A452" t="s">
        <v>589</v>
      </c>
      <c r="B452">
        <v>106862</v>
      </c>
      <c r="C452">
        <v>3</v>
      </c>
      <c r="D452" t="s">
        <v>739</v>
      </c>
      <c r="E452" t="s">
        <v>385</v>
      </c>
      <c r="F452">
        <v>131</v>
      </c>
      <c r="G452">
        <v>9.6300000000000008</v>
      </c>
      <c r="H452">
        <v>31.84</v>
      </c>
      <c r="I452">
        <v>4.88</v>
      </c>
      <c r="J452">
        <v>16.14</v>
      </c>
      <c r="K452">
        <v>10</v>
      </c>
      <c r="T452">
        <v>1</v>
      </c>
      <c r="U452">
        <v>1</v>
      </c>
      <c r="V452" t="s">
        <v>93</v>
      </c>
      <c r="W452">
        <v>31</v>
      </c>
      <c r="X452">
        <v>9</v>
      </c>
      <c r="Y452">
        <v>9</v>
      </c>
      <c r="Z452" t="s">
        <v>741</v>
      </c>
      <c r="AA452" t="s">
        <v>742</v>
      </c>
      <c r="AB452" t="s">
        <v>96</v>
      </c>
      <c r="AC452" t="s">
        <v>97</v>
      </c>
      <c r="AD452" t="s">
        <v>98</v>
      </c>
      <c r="AE452" t="s">
        <v>594</v>
      </c>
      <c r="AG452" t="s">
        <v>743</v>
      </c>
      <c r="AH452">
        <v>0</v>
      </c>
      <c r="AI452">
        <v>369</v>
      </c>
      <c r="AJ452">
        <v>74</v>
      </c>
      <c r="AK452">
        <v>34</v>
      </c>
      <c r="AL452">
        <v>0.26</v>
      </c>
    </row>
    <row r="453" spans="1:38" x14ac:dyDescent="0.3">
      <c r="A453" t="s">
        <v>589</v>
      </c>
      <c r="B453">
        <v>10317</v>
      </c>
      <c r="C453">
        <v>1</v>
      </c>
      <c r="D453" t="s">
        <v>744</v>
      </c>
      <c r="E453" t="s">
        <v>745</v>
      </c>
      <c r="F453">
        <v>90</v>
      </c>
      <c r="G453">
        <v>24.74</v>
      </c>
      <c r="H453">
        <v>81.81</v>
      </c>
      <c r="I453">
        <v>17.940000000000001</v>
      </c>
      <c r="J453">
        <v>59.33</v>
      </c>
      <c r="K453">
        <v>70</v>
      </c>
      <c r="T453">
        <v>2</v>
      </c>
      <c r="U453">
        <v>1</v>
      </c>
      <c r="V453" t="s">
        <v>118</v>
      </c>
      <c r="W453">
        <v>81</v>
      </c>
      <c r="X453">
        <v>10</v>
      </c>
      <c r="Y453">
        <v>10</v>
      </c>
      <c r="Z453" t="s">
        <v>746</v>
      </c>
      <c r="AA453" t="s">
        <v>747</v>
      </c>
      <c r="AB453" t="s">
        <v>96</v>
      </c>
      <c r="AC453" t="s">
        <v>97</v>
      </c>
      <c r="AD453" t="s">
        <v>98</v>
      </c>
      <c r="AE453" t="s">
        <v>594</v>
      </c>
      <c r="AG453" t="s">
        <v>748</v>
      </c>
      <c r="AH453">
        <v>0</v>
      </c>
      <c r="AI453">
        <v>179</v>
      </c>
      <c r="AJ453">
        <v>21</v>
      </c>
      <c r="AK453">
        <v>60</v>
      </c>
      <c r="AL453">
        <v>0.67</v>
      </c>
    </row>
    <row r="454" spans="1:38" x14ac:dyDescent="0.3">
      <c r="A454" t="s">
        <v>589</v>
      </c>
      <c r="B454">
        <v>10317</v>
      </c>
      <c r="C454">
        <v>2</v>
      </c>
      <c r="D454" t="s">
        <v>744</v>
      </c>
      <c r="E454" t="s">
        <v>745</v>
      </c>
      <c r="F454">
        <v>90</v>
      </c>
      <c r="G454">
        <v>31.93</v>
      </c>
      <c r="H454">
        <v>105.57</v>
      </c>
      <c r="I454">
        <v>25.68</v>
      </c>
      <c r="J454">
        <v>84.92</v>
      </c>
      <c r="K454">
        <v>20</v>
      </c>
      <c r="T454">
        <v>3</v>
      </c>
      <c r="U454">
        <v>2</v>
      </c>
      <c r="V454" t="s">
        <v>93</v>
      </c>
      <c r="W454">
        <v>105</v>
      </c>
      <c r="X454">
        <v>10</v>
      </c>
      <c r="Y454">
        <v>10</v>
      </c>
      <c r="Z454" t="s">
        <v>746</v>
      </c>
      <c r="AA454" t="s">
        <v>747</v>
      </c>
      <c r="AB454" t="s">
        <v>96</v>
      </c>
      <c r="AC454" t="s">
        <v>97</v>
      </c>
      <c r="AD454" t="s">
        <v>98</v>
      </c>
      <c r="AE454" t="s">
        <v>594</v>
      </c>
      <c r="AG454" t="s">
        <v>748</v>
      </c>
      <c r="AH454">
        <v>0</v>
      </c>
      <c r="AI454">
        <v>179</v>
      </c>
      <c r="AJ454">
        <v>21</v>
      </c>
      <c r="AK454">
        <v>60</v>
      </c>
      <c r="AL454">
        <v>0.67</v>
      </c>
    </row>
    <row r="455" spans="1:38" x14ac:dyDescent="0.3">
      <c r="A455" t="s">
        <v>589</v>
      </c>
      <c r="B455">
        <v>1835</v>
      </c>
      <c r="C455">
        <v>1</v>
      </c>
      <c r="D455" t="s">
        <v>749</v>
      </c>
      <c r="E455" t="s">
        <v>750</v>
      </c>
      <c r="F455">
        <v>1185</v>
      </c>
      <c r="G455">
        <v>17.8</v>
      </c>
      <c r="H455">
        <v>58.87</v>
      </c>
      <c r="I455">
        <v>12.65</v>
      </c>
      <c r="J455">
        <v>41.85</v>
      </c>
      <c r="K455">
        <v>179</v>
      </c>
      <c r="T455">
        <v>2</v>
      </c>
      <c r="U455">
        <v>1</v>
      </c>
      <c r="V455" t="s">
        <v>118</v>
      </c>
      <c r="W455" t="s">
        <v>751</v>
      </c>
      <c r="X455">
        <v>12</v>
      </c>
      <c r="Y455">
        <v>10</v>
      </c>
      <c r="Z455" t="s">
        <v>752</v>
      </c>
      <c r="AA455" t="s">
        <v>753</v>
      </c>
      <c r="AB455" t="s">
        <v>96</v>
      </c>
      <c r="AC455" t="s">
        <v>97</v>
      </c>
      <c r="AD455" t="s">
        <v>98</v>
      </c>
      <c r="AE455" t="s">
        <v>594</v>
      </c>
      <c r="AG455" t="s">
        <v>754</v>
      </c>
      <c r="AH455">
        <v>0</v>
      </c>
      <c r="AI455">
        <v>181</v>
      </c>
      <c r="AJ455">
        <v>15</v>
      </c>
      <c r="AK455">
        <v>1000</v>
      </c>
      <c r="AL455">
        <v>0.84</v>
      </c>
    </row>
    <row r="456" spans="1:38" x14ac:dyDescent="0.3">
      <c r="A456" t="s">
        <v>589</v>
      </c>
      <c r="B456">
        <v>1835</v>
      </c>
      <c r="C456">
        <v>2</v>
      </c>
      <c r="D456" t="s">
        <v>749</v>
      </c>
      <c r="E456" t="s">
        <v>750</v>
      </c>
      <c r="F456">
        <v>1185</v>
      </c>
      <c r="G456">
        <v>17.82</v>
      </c>
      <c r="H456">
        <v>58.94</v>
      </c>
      <c r="I456">
        <v>12.62</v>
      </c>
      <c r="J456">
        <v>41.72</v>
      </c>
      <c r="K456">
        <v>88</v>
      </c>
      <c r="T456">
        <v>2</v>
      </c>
      <c r="U456">
        <v>1</v>
      </c>
      <c r="V456" t="s">
        <v>118</v>
      </c>
      <c r="W456" t="s">
        <v>755</v>
      </c>
      <c r="X456">
        <v>12</v>
      </c>
      <c r="Y456">
        <v>10</v>
      </c>
      <c r="Z456" t="s">
        <v>752</v>
      </c>
      <c r="AA456" t="s">
        <v>753</v>
      </c>
      <c r="AB456" t="s">
        <v>96</v>
      </c>
      <c r="AC456" t="s">
        <v>97</v>
      </c>
      <c r="AD456" t="s">
        <v>98</v>
      </c>
      <c r="AE456" t="s">
        <v>594</v>
      </c>
      <c r="AG456" t="s">
        <v>754</v>
      </c>
      <c r="AH456">
        <v>0</v>
      </c>
      <c r="AI456">
        <v>181</v>
      </c>
      <c r="AJ456">
        <v>15</v>
      </c>
      <c r="AK456">
        <v>1000</v>
      </c>
      <c r="AL456">
        <v>0.84</v>
      </c>
    </row>
    <row r="457" spans="1:38" x14ac:dyDescent="0.3">
      <c r="A457" t="s">
        <v>589</v>
      </c>
      <c r="B457">
        <v>1835</v>
      </c>
      <c r="C457">
        <v>3</v>
      </c>
      <c r="D457" t="s">
        <v>749</v>
      </c>
      <c r="E457" t="s">
        <v>750</v>
      </c>
      <c r="F457">
        <v>1185</v>
      </c>
      <c r="G457">
        <v>17.98</v>
      </c>
      <c r="H457">
        <v>59.44</v>
      </c>
      <c r="I457">
        <v>12.63</v>
      </c>
      <c r="J457">
        <v>41.78</v>
      </c>
      <c r="K457">
        <v>156</v>
      </c>
      <c r="T457">
        <v>2</v>
      </c>
      <c r="U457">
        <v>1</v>
      </c>
      <c r="V457" t="s">
        <v>118</v>
      </c>
      <c r="W457" t="s">
        <v>756</v>
      </c>
      <c r="X457">
        <v>12</v>
      </c>
      <c r="Y457">
        <v>10</v>
      </c>
      <c r="Z457" t="s">
        <v>752</v>
      </c>
      <c r="AA457" t="s">
        <v>753</v>
      </c>
      <c r="AB457" t="s">
        <v>96</v>
      </c>
      <c r="AC457" t="s">
        <v>97</v>
      </c>
      <c r="AD457" t="s">
        <v>98</v>
      </c>
      <c r="AE457" t="s">
        <v>594</v>
      </c>
      <c r="AG457" t="s">
        <v>754</v>
      </c>
      <c r="AH457">
        <v>0</v>
      </c>
      <c r="AI457">
        <v>181</v>
      </c>
      <c r="AJ457">
        <v>15</v>
      </c>
      <c r="AK457">
        <v>1000</v>
      </c>
      <c r="AL457">
        <v>0.84</v>
      </c>
    </row>
    <row r="458" spans="1:38" x14ac:dyDescent="0.3">
      <c r="A458" t="s">
        <v>589</v>
      </c>
      <c r="B458">
        <v>1835</v>
      </c>
      <c r="C458">
        <v>4</v>
      </c>
      <c r="D458" t="s">
        <v>749</v>
      </c>
      <c r="E458" t="s">
        <v>750</v>
      </c>
      <c r="F458">
        <v>1185</v>
      </c>
      <c r="G458">
        <v>20.76</v>
      </c>
      <c r="H458">
        <v>68.64</v>
      </c>
      <c r="I458">
        <v>12.72</v>
      </c>
      <c r="J458">
        <v>42.07</v>
      </c>
      <c r="K458">
        <v>60</v>
      </c>
      <c r="T458">
        <v>2</v>
      </c>
      <c r="U458">
        <v>1</v>
      </c>
      <c r="V458" t="s">
        <v>118</v>
      </c>
      <c r="W458" t="s">
        <v>517</v>
      </c>
      <c r="X458">
        <v>12</v>
      </c>
      <c r="Y458">
        <v>10</v>
      </c>
      <c r="Z458" t="s">
        <v>752</v>
      </c>
      <c r="AA458" t="s">
        <v>753</v>
      </c>
      <c r="AB458" t="s">
        <v>96</v>
      </c>
      <c r="AC458" t="s">
        <v>97</v>
      </c>
      <c r="AD458" t="s">
        <v>98</v>
      </c>
      <c r="AE458" t="s">
        <v>594</v>
      </c>
      <c r="AG458" t="s">
        <v>754</v>
      </c>
      <c r="AH458">
        <v>0</v>
      </c>
      <c r="AI458">
        <v>181</v>
      </c>
      <c r="AJ458">
        <v>15</v>
      </c>
      <c r="AK458">
        <v>1000</v>
      </c>
      <c r="AL458">
        <v>0.84</v>
      </c>
    </row>
    <row r="459" spans="1:38" x14ac:dyDescent="0.3">
      <c r="A459" t="s">
        <v>589</v>
      </c>
      <c r="B459">
        <v>1835</v>
      </c>
      <c r="C459">
        <v>5</v>
      </c>
      <c r="D459" t="s">
        <v>749</v>
      </c>
      <c r="E459" t="s">
        <v>750</v>
      </c>
      <c r="F459">
        <v>1185</v>
      </c>
      <c r="G459">
        <v>20.76</v>
      </c>
      <c r="H459">
        <v>68.650000000000006</v>
      </c>
      <c r="I459">
        <v>12.72</v>
      </c>
      <c r="J459">
        <v>42.08</v>
      </c>
      <c r="K459">
        <v>24</v>
      </c>
      <c r="T459">
        <v>2</v>
      </c>
      <c r="U459">
        <v>1</v>
      </c>
      <c r="V459" t="s">
        <v>93</v>
      </c>
      <c r="W459" t="s">
        <v>757</v>
      </c>
      <c r="X459">
        <v>12</v>
      </c>
      <c r="Y459">
        <v>10</v>
      </c>
      <c r="Z459" t="s">
        <v>752</v>
      </c>
      <c r="AA459" t="s">
        <v>753</v>
      </c>
      <c r="AB459" t="s">
        <v>96</v>
      </c>
      <c r="AC459" t="s">
        <v>97</v>
      </c>
      <c r="AD459" t="s">
        <v>98</v>
      </c>
      <c r="AE459" t="s">
        <v>594</v>
      </c>
      <c r="AG459" t="s">
        <v>754</v>
      </c>
      <c r="AH459">
        <v>0</v>
      </c>
      <c r="AI459">
        <v>181</v>
      </c>
      <c r="AJ459">
        <v>15</v>
      </c>
      <c r="AK459">
        <v>1000</v>
      </c>
      <c r="AL459">
        <v>0.84</v>
      </c>
    </row>
    <row r="460" spans="1:38" x14ac:dyDescent="0.3">
      <c r="A460" t="s">
        <v>589</v>
      </c>
      <c r="B460">
        <v>1835</v>
      </c>
      <c r="C460">
        <v>6</v>
      </c>
      <c r="D460" t="s">
        <v>749</v>
      </c>
      <c r="E460" t="s">
        <v>750</v>
      </c>
      <c r="F460">
        <v>1185</v>
      </c>
      <c r="G460">
        <v>21.38</v>
      </c>
      <c r="H460">
        <v>70.69</v>
      </c>
      <c r="I460">
        <v>12.75</v>
      </c>
      <c r="J460">
        <v>42.16</v>
      </c>
      <c r="K460">
        <v>72</v>
      </c>
      <c r="T460">
        <v>2</v>
      </c>
      <c r="U460">
        <v>1</v>
      </c>
      <c r="V460" t="s">
        <v>118</v>
      </c>
      <c r="W460" t="s">
        <v>265</v>
      </c>
      <c r="X460">
        <v>12</v>
      </c>
      <c r="Y460">
        <v>10</v>
      </c>
      <c r="Z460" t="s">
        <v>752</v>
      </c>
      <c r="AA460" t="s">
        <v>753</v>
      </c>
      <c r="AB460" t="s">
        <v>96</v>
      </c>
      <c r="AC460" t="s">
        <v>97</v>
      </c>
      <c r="AD460" t="s">
        <v>98</v>
      </c>
      <c r="AE460" t="s">
        <v>594</v>
      </c>
      <c r="AG460" t="s">
        <v>754</v>
      </c>
      <c r="AH460">
        <v>0</v>
      </c>
      <c r="AI460">
        <v>181</v>
      </c>
      <c r="AJ460">
        <v>15</v>
      </c>
      <c r="AK460">
        <v>1000</v>
      </c>
      <c r="AL460">
        <v>0.84</v>
      </c>
    </row>
    <row r="461" spans="1:38" x14ac:dyDescent="0.3">
      <c r="A461" t="s">
        <v>589</v>
      </c>
      <c r="B461">
        <v>1835</v>
      </c>
      <c r="C461">
        <v>7</v>
      </c>
      <c r="D461" t="s">
        <v>749</v>
      </c>
      <c r="E461" t="s">
        <v>750</v>
      </c>
      <c r="F461">
        <v>1185</v>
      </c>
      <c r="G461">
        <v>21.38</v>
      </c>
      <c r="H461">
        <v>70.709999999999994</v>
      </c>
      <c r="I461">
        <v>12.75</v>
      </c>
      <c r="J461">
        <v>42.17</v>
      </c>
      <c r="K461">
        <v>12</v>
      </c>
      <c r="T461">
        <v>2</v>
      </c>
      <c r="U461">
        <v>1</v>
      </c>
      <c r="V461" t="s">
        <v>118</v>
      </c>
      <c r="W461" t="s">
        <v>758</v>
      </c>
      <c r="X461">
        <v>12</v>
      </c>
      <c r="Y461">
        <v>10</v>
      </c>
      <c r="Z461" t="s">
        <v>752</v>
      </c>
      <c r="AA461" t="s">
        <v>753</v>
      </c>
      <c r="AB461" t="s">
        <v>96</v>
      </c>
      <c r="AC461" t="s">
        <v>97</v>
      </c>
      <c r="AD461" t="s">
        <v>98</v>
      </c>
      <c r="AE461" t="s">
        <v>594</v>
      </c>
      <c r="AG461" t="s">
        <v>754</v>
      </c>
      <c r="AH461">
        <v>0</v>
      </c>
      <c r="AI461">
        <v>181</v>
      </c>
      <c r="AJ461">
        <v>15</v>
      </c>
      <c r="AK461">
        <v>1000</v>
      </c>
      <c r="AL461">
        <v>0.84</v>
      </c>
    </row>
    <row r="462" spans="1:38" x14ac:dyDescent="0.3">
      <c r="A462" t="s">
        <v>589</v>
      </c>
      <c r="B462">
        <v>1835</v>
      </c>
      <c r="C462">
        <v>8</v>
      </c>
      <c r="D462" t="s">
        <v>749</v>
      </c>
      <c r="E462" t="s">
        <v>750</v>
      </c>
      <c r="F462">
        <v>1185</v>
      </c>
      <c r="G462">
        <v>21.85</v>
      </c>
      <c r="H462">
        <v>72.239999999999995</v>
      </c>
      <c r="I462">
        <v>15.93</v>
      </c>
      <c r="J462">
        <v>52.68</v>
      </c>
      <c r="K462">
        <v>144</v>
      </c>
      <c r="T462">
        <v>2</v>
      </c>
      <c r="U462">
        <v>1</v>
      </c>
      <c r="V462" t="s">
        <v>118</v>
      </c>
      <c r="W462" t="s">
        <v>759</v>
      </c>
      <c r="X462">
        <v>12</v>
      </c>
      <c r="Y462">
        <v>10</v>
      </c>
      <c r="Z462" t="s">
        <v>752</v>
      </c>
      <c r="AA462" t="s">
        <v>753</v>
      </c>
      <c r="AB462" t="s">
        <v>96</v>
      </c>
      <c r="AC462" t="s">
        <v>97</v>
      </c>
      <c r="AD462" t="s">
        <v>98</v>
      </c>
      <c r="AE462" t="s">
        <v>594</v>
      </c>
      <c r="AG462" t="s">
        <v>754</v>
      </c>
      <c r="AH462">
        <v>0</v>
      </c>
      <c r="AI462">
        <v>181</v>
      </c>
      <c r="AJ462">
        <v>15</v>
      </c>
      <c r="AK462">
        <v>1000</v>
      </c>
      <c r="AL462">
        <v>0.84</v>
      </c>
    </row>
    <row r="463" spans="1:38" x14ac:dyDescent="0.3">
      <c r="A463" t="s">
        <v>589</v>
      </c>
      <c r="B463">
        <v>1835</v>
      </c>
      <c r="C463">
        <v>9</v>
      </c>
      <c r="D463" t="s">
        <v>749</v>
      </c>
      <c r="E463" t="s">
        <v>750</v>
      </c>
      <c r="F463">
        <v>1185</v>
      </c>
      <c r="G463">
        <v>21.85</v>
      </c>
      <c r="H463">
        <v>72.260000000000005</v>
      </c>
      <c r="I463">
        <v>15.93</v>
      </c>
      <c r="J463">
        <v>52.69</v>
      </c>
      <c r="K463">
        <v>107</v>
      </c>
      <c r="T463">
        <v>2</v>
      </c>
      <c r="U463">
        <v>1</v>
      </c>
      <c r="V463" t="s">
        <v>118</v>
      </c>
      <c r="W463" t="s">
        <v>267</v>
      </c>
      <c r="X463">
        <v>12</v>
      </c>
      <c r="Y463">
        <v>10</v>
      </c>
      <c r="Z463" t="s">
        <v>752</v>
      </c>
      <c r="AA463" t="s">
        <v>753</v>
      </c>
      <c r="AB463" t="s">
        <v>96</v>
      </c>
      <c r="AC463" t="s">
        <v>97</v>
      </c>
      <c r="AD463" t="s">
        <v>98</v>
      </c>
      <c r="AE463" t="s">
        <v>594</v>
      </c>
      <c r="AG463" t="s">
        <v>754</v>
      </c>
      <c r="AH463">
        <v>0</v>
      </c>
      <c r="AI463">
        <v>181</v>
      </c>
      <c r="AJ463">
        <v>15</v>
      </c>
      <c r="AK463">
        <v>1000</v>
      </c>
      <c r="AL463">
        <v>0.84</v>
      </c>
    </row>
    <row r="464" spans="1:38" x14ac:dyDescent="0.3">
      <c r="A464" t="s">
        <v>589</v>
      </c>
      <c r="B464">
        <v>1835</v>
      </c>
      <c r="C464">
        <v>10</v>
      </c>
      <c r="D464" t="s">
        <v>749</v>
      </c>
      <c r="E464" t="s">
        <v>750</v>
      </c>
      <c r="F464">
        <v>1185</v>
      </c>
      <c r="G464">
        <v>21.84</v>
      </c>
      <c r="H464">
        <v>72.22</v>
      </c>
      <c r="I464">
        <v>15.93</v>
      </c>
      <c r="J464">
        <v>52.67</v>
      </c>
      <c r="K464">
        <v>37</v>
      </c>
      <c r="T464">
        <v>2</v>
      </c>
      <c r="U464">
        <v>1</v>
      </c>
      <c r="V464" t="s">
        <v>118</v>
      </c>
      <c r="W464" t="s">
        <v>760</v>
      </c>
      <c r="X464">
        <v>12</v>
      </c>
      <c r="Y464">
        <v>10</v>
      </c>
      <c r="Z464" t="s">
        <v>752</v>
      </c>
      <c r="AA464" t="s">
        <v>753</v>
      </c>
      <c r="AB464" t="s">
        <v>96</v>
      </c>
      <c r="AC464" t="s">
        <v>97</v>
      </c>
      <c r="AD464" t="s">
        <v>98</v>
      </c>
      <c r="AE464" t="s">
        <v>594</v>
      </c>
      <c r="AG464" t="s">
        <v>754</v>
      </c>
      <c r="AH464">
        <v>0</v>
      </c>
      <c r="AI464">
        <v>181</v>
      </c>
      <c r="AJ464">
        <v>15</v>
      </c>
      <c r="AK464">
        <v>1000</v>
      </c>
      <c r="AL464">
        <v>0.84</v>
      </c>
    </row>
    <row r="465" spans="1:38" x14ac:dyDescent="0.3">
      <c r="A465" t="s">
        <v>589</v>
      </c>
      <c r="B465">
        <v>1835</v>
      </c>
      <c r="C465">
        <v>11</v>
      </c>
      <c r="D465" t="s">
        <v>749</v>
      </c>
      <c r="E465" t="s">
        <v>750</v>
      </c>
      <c r="F465">
        <v>1185</v>
      </c>
      <c r="G465">
        <v>22.12</v>
      </c>
      <c r="H465">
        <v>73.150000000000006</v>
      </c>
      <c r="I465">
        <v>16.71</v>
      </c>
      <c r="J465">
        <v>55.27</v>
      </c>
      <c r="K465">
        <v>90</v>
      </c>
      <c r="T465">
        <v>2</v>
      </c>
      <c r="U465">
        <v>1</v>
      </c>
      <c r="V465" t="s">
        <v>118</v>
      </c>
      <c r="W465" t="s">
        <v>205</v>
      </c>
      <c r="X465">
        <v>12</v>
      </c>
      <c r="Y465">
        <v>10</v>
      </c>
      <c r="Z465" t="s">
        <v>752</v>
      </c>
      <c r="AA465" t="s">
        <v>753</v>
      </c>
      <c r="AB465" t="s">
        <v>96</v>
      </c>
      <c r="AC465" t="s">
        <v>97</v>
      </c>
      <c r="AD465" t="s">
        <v>98</v>
      </c>
      <c r="AE465" t="s">
        <v>594</v>
      </c>
      <c r="AG465" t="s">
        <v>754</v>
      </c>
      <c r="AH465">
        <v>0</v>
      </c>
      <c r="AI465">
        <v>181</v>
      </c>
      <c r="AJ465">
        <v>15</v>
      </c>
      <c r="AK465">
        <v>1000</v>
      </c>
      <c r="AL465">
        <v>0.84</v>
      </c>
    </row>
    <row r="466" spans="1:38" x14ac:dyDescent="0.3">
      <c r="A466" t="s">
        <v>589</v>
      </c>
      <c r="B466">
        <v>1835</v>
      </c>
      <c r="C466">
        <v>12</v>
      </c>
      <c r="D466" t="s">
        <v>749</v>
      </c>
      <c r="E466" t="s">
        <v>750</v>
      </c>
      <c r="F466">
        <v>1185</v>
      </c>
      <c r="G466">
        <v>26.83</v>
      </c>
      <c r="H466">
        <v>88.7</v>
      </c>
      <c r="I466">
        <v>18.28</v>
      </c>
      <c r="J466">
        <v>60.46</v>
      </c>
      <c r="K466">
        <v>99</v>
      </c>
      <c r="T466">
        <v>3</v>
      </c>
      <c r="U466">
        <v>1</v>
      </c>
      <c r="V466" t="s">
        <v>118</v>
      </c>
      <c r="W466" t="s">
        <v>281</v>
      </c>
      <c r="X466">
        <v>12</v>
      </c>
      <c r="Y466">
        <v>10</v>
      </c>
      <c r="Z466" t="s">
        <v>752</v>
      </c>
      <c r="AA466" t="s">
        <v>753</v>
      </c>
      <c r="AB466" t="s">
        <v>96</v>
      </c>
      <c r="AC466" t="s">
        <v>97</v>
      </c>
      <c r="AD466" t="s">
        <v>98</v>
      </c>
      <c r="AE466" t="s">
        <v>594</v>
      </c>
      <c r="AG466" t="s">
        <v>754</v>
      </c>
      <c r="AH466">
        <v>0</v>
      </c>
      <c r="AI466">
        <v>181</v>
      </c>
      <c r="AJ466">
        <v>15</v>
      </c>
      <c r="AK466">
        <v>1000</v>
      </c>
      <c r="AL466">
        <v>0.84</v>
      </c>
    </row>
    <row r="467" spans="1:38" x14ac:dyDescent="0.3">
      <c r="A467" t="s">
        <v>589</v>
      </c>
      <c r="B467">
        <v>1835</v>
      </c>
      <c r="C467">
        <v>13</v>
      </c>
      <c r="D467" t="s">
        <v>749</v>
      </c>
      <c r="E467" t="s">
        <v>750</v>
      </c>
      <c r="F467">
        <v>1185</v>
      </c>
      <c r="G467">
        <v>26.82</v>
      </c>
      <c r="H467">
        <v>88.69</v>
      </c>
      <c r="I467">
        <v>18.28</v>
      </c>
      <c r="J467">
        <v>60.45</v>
      </c>
      <c r="K467">
        <v>11</v>
      </c>
      <c r="T467">
        <v>3</v>
      </c>
      <c r="U467">
        <v>1</v>
      </c>
      <c r="V467" t="s">
        <v>118</v>
      </c>
      <c r="W467" t="s">
        <v>191</v>
      </c>
      <c r="X467">
        <v>12</v>
      </c>
      <c r="Y467">
        <v>10</v>
      </c>
      <c r="Z467" t="s">
        <v>752</v>
      </c>
      <c r="AA467" t="s">
        <v>753</v>
      </c>
      <c r="AB467" t="s">
        <v>96</v>
      </c>
      <c r="AC467" t="s">
        <v>97</v>
      </c>
      <c r="AD467" t="s">
        <v>98</v>
      </c>
      <c r="AE467" t="s">
        <v>594</v>
      </c>
      <c r="AG467" t="s">
        <v>754</v>
      </c>
      <c r="AH467">
        <v>0</v>
      </c>
      <c r="AI467">
        <v>181</v>
      </c>
      <c r="AJ467">
        <v>15</v>
      </c>
      <c r="AK467">
        <v>1000</v>
      </c>
      <c r="AL467">
        <v>0.84</v>
      </c>
    </row>
    <row r="468" spans="1:38" x14ac:dyDescent="0.3">
      <c r="A468" t="s">
        <v>589</v>
      </c>
      <c r="B468">
        <v>1835</v>
      </c>
      <c r="C468">
        <v>14</v>
      </c>
      <c r="D468" t="s">
        <v>749</v>
      </c>
      <c r="E468" t="s">
        <v>750</v>
      </c>
      <c r="F468">
        <v>1185</v>
      </c>
      <c r="G468">
        <v>26.88</v>
      </c>
      <c r="H468">
        <v>88.89</v>
      </c>
      <c r="I468">
        <v>18.34</v>
      </c>
      <c r="J468">
        <v>60.66</v>
      </c>
      <c r="K468">
        <v>7</v>
      </c>
      <c r="T468">
        <v>3</v>
      </c>
      <c r="U468">
        <v>1</v>
      </c>
      <c r="V468" t="s">
        <v>118</v>
      </c>
      <c r="W468" t="s">
        <v>151</v>
      </c>
      <c r="X468">
        <v>12</v>
      </c>
      <c r="Y468">
        <v>10</v>
      </c>
      <c r="Z468" t="s">
        <v>752</v>
      </c>
      <c r="AA468" t="s">
        <v>753</v>
      </c>
      <c r="AB468" t="s">
        <v>96</v>
      </c>
      <c r="AC468" t="s">
        <v>97</v>
      </c>
      <c r="AD468" t="s">
        <v>98</v>
      </c>
      <c r="AE468" t="s">
        <v>594</v>
      </c>
      <c r="AG468" t="s">
        <v>754</v>
      </c>
      <c r="AH468">
        <v>0</v>
      </c>
      <c r="AI468">
        <v>181</v>
      </c>
      <c r="AJ468">
        <v>15</v>
      </c>
      <c r="AK468">
        <v>1000</v>
      </c>
      <c r="AL468">
        <v>0.84</v>
      </c>
    </row>
    <row r="469" spans="1:38" x14ac:dyDescent="0.3">
      <c r="A469" t="s">
        <v>589</v>
      </c>
      <c r="B469">
        <v>1835</v>
      </c>
      <c r="C469">
        <v>15</v>
      </c>
      <c r="D469" t="s">
        <v>749</v>
      </c>
      <c r="E469" t="s">
        <v>750</v>
      </c>
      <c r="F469">
        <v>1185</v>
      </c>
      <c r="G469">
        <v>26.89</v>
      </c>
      <c r="H469">
        <v>88.9</v>
      </c>
      <c r="I469">
        <v>18.350000000000001</v>
      </c>
      <c r="J469">
        <v>60.67</v>
      </c>
      <c r="K469">
        <v>3</v>
      </c>
      <c r="T469" t="s">
        <v>332</v>
      </c>
      <c r="U469" t="s">
        <v>332</v>
      </c>
      <c r="V469" t="s">
        <v>93</v>
      </c>
      <c r="W469" t="s">
        <v>761</v>
      </c>
      <c r="X469">
        <v>12</v>
      </c>
      <c r="Y469">
        <v>10</v>
      </c>
      <c r="Z469" t="s">
        <v>752</v>
      </c>
      <c r="AA469" t="s">
        <v>753</v>
      </c>
      <c r="AB469" t="s">
        <v>96</v>
      </c>
      <c r="AC469" t="s">
        <v>97</v>
      </c>
      <c r="AD469" t="s">
        <v>98</v>
      </c>
      <c r="AE469" t="s">
        <v>594</v>
      </c>
      <c r="AG469" t="s">
        <v>754</v>
      </c>
      <c r="AH469">
        <v>0</v>
      </c>
      <c r="AI469">
        <v>181</v>
      </c>
      <c r="AJ469">
        <v>15</v>
      </c>
      <c r="AK469">
        <v>1000</v>
      </c>
      <c r="AL469">
        <v>0.84</v>
      </c>
    </row>
    <row r="470" spans="1:38" x14ac:dyDescent="0.3">
      <c r="A470" t="s">
        <v>589</v>
      </c>
      <c r="B470">
        <v>1835</v>
      </c>
      <c r="C470">
        <v>16</v>
      </c>
      <c r="D470" t="s">
        <v>749</v>
      </c>
      <c r="E470" t="s">
        <v>750</v>
      </c>
      <c r="F470">
        <v>1185</v>
      </c>
      <c r="G470">
        <v>35.630000000000003</v>
      </c>
      <c r="H470">
        <v>117.79</v>
      </c>
      <c r="I470">
        <v>25.01</v>
      </c>
      <c r="J470">
        <v>82.71</v>
      </c>
      <c r="K470">
        <v>96</v>
      </c>
      <c r="T470">
        <v>3</v>
      </c>
      <c r="U470">
        <v>1</v>
      </c>
      <c r="V470" t="s">
        <v>118</v>
      </c>
      <c r="W470">
        <v>117</v>
      </c>
      <c r="X470">
        <v>12</v>
      </c>
      <c r="Y470">
        <v>10</v>
      </c>
      <c r="Z470" t="s">
        <v>752</v>
      </c>
      <c r="AA470" t="s">
        <v>753</v>
      </c>
      <c r="AB470" t="s">
        <v>96</v>
      </c>
      <c r="AC470" t="s">
        <v>97</v>
      </c>
      <c r="AD470" t="s">
        <v>98</v>
      </c>
      <c r="AE470" t="s">
        <v>594</v>
      </c>
      <c r="AG470" t="s">
        <v>754</v>
      </c>
      <c r="AH470">
        <v>0</v>
      </c>
      <c r="AI470">
        <v>181</v>
      </c>
      <c r="AJ470">
        <v>15</v>
      </c>
      <c r="AK470">
        <v>1000</v>
      </c>
      <c r="AL470">
        <v>0.84</v>
      </c>
    </row>
    <row r="471" spans="1:38" x14ac:dyDescent="0.3">
      <c r="A471" t="s">
        <v>589</v>
      </c>
      <c r="B471">
        <v>110360</v>
      </c>
      <c r="C471">
        <v>1</v>
      </c>
      <c r="D471" t="s">
        <v>762</v>
      </c>
      <c r="E471" t="s">
        <v>224</v>
      </c>
      <c r="F471">
        <v>140</v>
      </c>
      <c r="G471">
        <v>6.92</v>
      </c>
      <c r="H471">
        <v>22.9</v>
      </c>
      <c r="I471">
        <v>4.54</v>
      </c>
      <c r="J471">
        <v>15.02</v>
      </c>
      <c r="K471">
        <v>130</v>
      </c>
      <c r="T471">
        <v>1</v>
      </c>
      <c r="U471">
        <v>1</v>
      </c>
      <c r="V471" t="s">
        <v>118</v>
      </c>
      <c r="W471" t="s">
        <v>225</v>
      </c>
      <c r="X471">
        <v>10</v>
      </c>
      <c r="Y471">
        <v>10</v>
      </c>
      <c r="Z471" t="s">
        <v>763</v>
      </c>
      <c r="AA471" t="s">
        <v>764</v>
      </c>
      <c r="AB471" t="s">
        <v>96</v>
      </c>
      <c r="AC471" t="s">
        <v>97</v>
      </c>
      <c r="AD471" t="s">
        <v>98</v>
      </c>
      <c r="AE471" t="s">
        <v>594</v>
      </c>
      <c r="AG471" t="s">
        <v>765</v>
      </c>
      <c r="AH471">
        <v>0</v>
      </c>
      <c r="AI471">
        <v>392</v>
      </c>
      <c r="AJ471">
        <v>66</v>
      </c>
      <c r="AK471">
        <v>73</v>
      </c>
      <c r="AL471">
        <v>0.52</v>
      </c>
    </row>
    <row r="472" spans="1:38" x14ac:dyDescent="0.3">
      <c r="A472" t="s">
        <v>589</v>
      </c>
      <c r="B472">
        <v>110360</v>
      </c>
      <c r="C472">
        <v>2</v>
      </c>
      <c r="D472" t="s">
        <v>762</v>
      </c>
      <c r="E472" t="s">
        <v>224</v>
      </c>
      <c r="F472">
        <v>140</v>
      </c>
      <c r="G472">
        <v>7.21</v>
      </c>
      <c r="H472">
        <v>23.86</v>
      </c>
      <c r="I472">
        <v>4.68</v>
      </c>
      <c r="J472">
        <v>15.5</v>
      </c>
      <c r="K472">
        <v>2</v>
      </c>
      <c r="T472">
        <v>1</v>
      </c>
      <c r="U472">
        <v>1</v>
      </c>
      <c r="V472" t="s">
        <v>118</v>
      </c>
      <c r="W472" t="s">
        <v>231</v>
      </c>
      <c r="X472">
        <v>10</v>
      </c>
      <c r="Y472">
        <v>10</v>
      </c>
      <c r="Z472" t="s">
        <v>763</v>
      </c>
      <c r="AA472" t="s">
        <v>764</v>
      </c>
      <c r="AB472" t="s">
        <v>96</v>
      </c>
      <c r="AC472" t="s">
        <v>97</v>
      </c>
      <c r="AD472" t="s">
        <v>98</v>
      </c>
      <c r="AE472" t="s">
        <v>594</v>
      </c>
      <c r="AG472" t="s">
        <v>765</v>
      </c>
      <c r="AH472">
        <v>0</v>
      </c>
      <c r="AI472">
        <v>392</v>
      </c>
      <c r="AJ472">
        <v>66</v>
      </c>
      <c r="AK472">
        <v>73</v>
      </c>
      <c r="AL472">
        <v>0.52</v>
      </c>
    </row>
    <row r="473" spans="1:38" x14ac:dyDescent="0.3">
      <c r="A473" t="s">
        <v>589</v>
      </c>
      <c r="B473">
        <v>110360</v>
      </c>
      <c r="C473">
        <v>3</v>
      </c>
      <c r="D473" t="s">
        <v>762</v>
      </c>
      <c r="E473" t="s">
        <v>224</v>
      </c>
      <c r="F473">
        <v>140</v>
      </c>
      <c r="G473">
        <v>7.8</v>
      </c>
      <c r="H473">
        <v>25.81</v>
      </c>
      <c r="I473">
        <v>5.08</v>
      </c>
      <c r="J473">
        <v>16.8</v>
      </c>
      <c r="K473">
        <v>8</v>
      </c>
      <c r="T473">
        <v>1</v>
      </c>
      <c r="U473">
        <v>1</v>
      </c>
      <c r="V473" t="s">
        <v>118</v>
      </c>
      <c r="W473">
        <v>25</v>
      </c>
      <c r="X473">
        <v>10</v>
      </c>
      <c r="Y473">
        <v>10</v>
      </c>
      <c r="Z473" t="s">
        <v>763</v>
      </c>
      <c r="AA473" t="s">
        <v>764</v>
      </c>
      <c r="AB473" t="s">
        <v>96</v>
      </c>
      <c r="AC473" t="s">
        <v>97</v>
      </c>
      <c r="AD473" t="s">
        <v>98</v>
      </c>
      <c r="AE473" t="s">
        <v>594</v>
      </c>
      <c r="AG473" t="s">
        <v>765</v>
      </c>
      <c r="AH473">
        <v>0</v>
      </c>
      <c r="AI473">
        <v>392</v>
      </c>
      <c r="AJ473">
        <v>66</v>
      </c>
      <c r="AK473">
        <v>73</v>
      </c>
      <c r="AL473">
        <v>0.52</v>
      </c>
    </row>
    <row r="474" spans="1:38" x14ac:dyDescent="0.3">
      <c r="A474" t="s">
        <v>589</v>
      </c>
      <c r="B474">
        <v>10461</v>
      </c>
      <c r="C474">
        <v>1</v>
      </c>
      <c r="D474" t="s">
        <v>766</v>
      </c>
      <c r="E474" t="s">
        <v>767</v>
      </c>
      <c r="F474">
        <v>64</v>
      </c>
      <c r="G474">
        <v>50.9</v>
      </c>
      <c r="H474">
        <v>168.29</v>
      </c>
      <c r="I474">
        <v>41.2</v>
      </c>
      <c r="J474">
        <v>136.22</v>
      </c>
      <c r="K474">
        <v>12</v>
      </c>
      <c r="T474">
        <v>4</v>
      </c>
      <c r="U474">
        <v>2</v>
      </c>
      <c r="V474" t="s">
        <v>93</v>
      </c>
      <c r="W474">
        <v>168</v>
      </c>
      <c r="X474">
        <v>21</v>
      </c>
      <c r="Y474">
        <v>20</v>
      </c>
      <c r="Z474" t="s">
        <v>768</v>
      </c>
      <c r="AA474" t="s">
        <v>769</v>
      </c>
      <c r="AB474" t="s">
        <v>96</v>
      </c>
      <c r="AC474" t="s">
        <v>97</v>
      </c>
      <c r="AD474" t="s">
        <v>98</v>
      </c>
      <c r="AE474" t="s">
        <v>594</v>
      </c>
      <c r="AG474" t="s">
        <v>770</v>
      </c>
      <c r="AH474">
        <v>0</v>
      </c>
      <c r="AI474">
        <v>892</v>
      </c>
      <c r="AJ474">
        <v>71</v>
      </c>
      <c r="AK474">
        <v>96</v>
      </c>
      <c r="AL474">
        <v>1.5</v>
      </c>
    </row>
    <row r="475" spans="1:38" x14ac:dyDescent="0.3">
      <c r="A475" t="s">
        <v>589</v>
      </c>
      <c r="B475">
        <v>10461</v>
      </c>
      <c r="C475">
        <v>2</v>
      </c>
      <c r="D475" t="s">
        <v>766</v>
      </c>
      <c r="E475" t="s">
        <v>767</v>
      </c>
      <c r="F475">
        <v>64</v>
      </c>
      <c r="G475">
        <v>53.96</v>
      </c>
      <c r="H475">
        <v>178.41</v>
      </c>
      <c r="I475">
        <v>43.68</v>
      </c>
      <c r="J475">
        <v>144.4</v>
      </c>
      <c r="K475">
        <v>12</v>
      </c>
      <c r="T475">
        <v>4</v>
      </c>
      <c r="U475">
        <v>2</v>
      </c>
      <c r="V475" t="s">
        <v>93</v>
      </c>
      <c r="W475">
        <v>178</v>
      </c>
      <c r="X475">
        <v>21</v>
      </c>
      <c r="Y475">
        <v>20</v>
      </c>
      <c r="Z475" t="s">
        <v>768</v>
      </c>
      <c r="AA475" t="s">
        <v>769</v>
      </c>
      <c r="AB475" t="s">
        <v>96</v>
      </c>
      <c r="AC475" t="s">
        <v>97</v>
      </c>
      <c r="AD475" t="s">
        <v>98</v>
      </c>
      <c r="AE475" t="s">
        <v>594</v>
      </c>
      <c r="AG475" t="s">
        <v>770</v>
      </c>
      <c r="AH475">
        <v>0</v>
      </c>
      <c r="AI475">
        <v>892</v>
      </c>
      <c r="AJ475">
        <v>71</v>
      </c>
      <c r="AK475">
        <v>96</v>
      </c>
      <c r="AL475">
        <v>1.5</v>
      </c>
    </row>
    <row r="476" spans="1:38" x14ac:dyDescent="0.3">
      <c r="A476" t="s">
        <v>589</v>
      </c>
      <c r="B476">
        <v>10461</v>
      </c>
      <c r="C476">
        <v>3</v>
      </c>
      <c r="D476" t="s">
        <v>766</v>
      </c>
      <c r="E476" t="s">
        <v>767</v>
      </c>
      <c r="F476">
        <v>64</v>
      </c>
      <c r="G476">
        <v>56.81</v>
      </c>
      <c r="H476">
        <v>187.83</v>
      </c>
      <c r="I476">
        <v>45.99</v>
      </c>
      <c r="J476">
        <v>152.04</v>
      </c>
      <c r="K476">
        <v>13</v>
      </c>
      <c r="T476">
        <v>4</v>
      </c>
      <c r="U476">
        <v>2</v>
      </c>
      <c r="V476" t="s">
        <v>93</v>
      </c>
      <c r="W476" t="s">
        <v>771</v>
      </c>
      <c r="X476">
        <v>21</v>
      </c>
      <c r="Y476">
        <v>20</v>
      </c>
      <c r="Z476" t="s">
        <v>768</v>
      </c>
      <c r="AA476" t="s">
        <v>769</v>
      </c>
      <c r="AB476" t="s">
        <v>96</v>
      </c>
      <c r="AC476" t="s">
        <v>97</v>
      </c>
      <c r="AD476" t="s">
        <v>98</v>
      </c>
      <c r="AE476" t="s">
        <v>594</v>
      </c>
      <c r="AG476" t="s">
        <v>770</v>
      </c>
      <c r="AH476">
        <v>0</v>
      </c>
      <c r="AI476">
        <v>892</v>
      </c>
      <c r="AJ476">
        <v>71</v>
      </c>
      <c r="AK476">
        <v>96</v>
      </c>
      <c r="AL476">
        <v>1.5</v>
      </c>
    </row>
    <row r="477" spans="1:38" x14ac:dyDescent="0.3">
      <c r="A477" t="s">
        <v>589</v>
      </c>
      <c r="B477">
        <v>10461</v>
      </c>
      <c r="C477">
        <v>4</v>
      </c>
      <c r="D477" t="s">
        <v>766</v>
      </c>
      <c r="E477" t="s">
        <v>767</v>
      </c>
      <c r="F477">
        <v>64</v>
      </c>
      <c r="G477">
        <v>57.38</v>
      </c>
      <c r="H477">
        <v>189.69</v>
      </c>
      <c r="I477">
        <v>46.44</v>
      </c>
      <c r="J477">
        <v>153.53</v>
      </c>
      <c r="K477">
        <v>12</v>
      </c>
      <c r="T477">
        <v>4</v>
      </c>
      <c r="U477">
        <v>2</v>
      </c>
      <c r="V477" t="s">
        <v>93</v>
      </c>
      <c r="W477" t="s">
        <v>772</v>
      </c>
      <c r="X477">
        <v>21</v>
      </c>
      <c r="Y477">
        <v>20</v>
      </c>
      <c r="Z477" t="s">
        <v>768</v>
      </c>
      <c r="AA477" t="s">
        <v>769</v>
      </c>
      <c r="AB477" t="s">
        <v>96</v>
      </c>
      <c r="AC477" t="s">
        <v>97</v>
      </c>
      <c r="AD477" t="s">
        <v>98</v>
      </c>
      <c r="AE477" t="s">
        <v>594</v>
      </c>
      <c r="AG477" t="s">
        <v>770</v>
      </c>
      <c r="AH477">
        <v>0</v>
      </c>
      <c r="AI477">
        <v>892</v>
      </c>
      <c r="AJ477">
        <v>71</v>
      </c>
      <c r="AK477">
        <v>96</v>
      </c>
      <c r="AL477">
        <v>1.5</v>
      </c>
    </row>
    <row r="478" spans="1:38" x14ac:dyDescent="0.3">
      <c r="A478" t="s">
        <v>589</v>
      </c>
      <c r="B478">
        <v>10461</v>
      </c>
      <c r="C478">
        <v>5</v>
      </c>
      <c r="D478" t="s">
        <v>766</v>
      </c>
      <c r="E478" t="s">
        <v>767</v>
      </c>
      <c r="F478">
        <v>64</v>
      </c>
      <c r="G478">
        <v>57.57</v>
      </c>
      <c r="H478">
        <v>190.32</v>
      </c>
      <c r="I478">
        <v>46.6</v>
      </c>
      <c r="J478">
        <v>154.05000000000001</v>
      </c>
      <c r="K478">
        <v>1</v>
      </c>
      <c r="T478">
        <v>4</v>
      </c>
      <c r="U478">
        <v>2</v>
      </c>
      <c r="V478" t="s">
        <v>93</v>
      </c>
      <c r="W478" t="s">
        <v>773</v>
      </c>
      <c r="X478">
        <v>21</v>
      </c>
      <c r="Y478">
        <v>20</v>
      </c>
      <c r="Z478" t="s">
        <v>768</v>
      </c>
      <c r="AA478" t="s">
        <v>769</v>
      </c>
      <c r="AB478" t="s">
        <v>96</v>
      </c>
      <c r="AC478" t="s">
        <v>97</v>
      </c>
      <c r="AD478" t="s">
        <v>98</v>
      </c>
      <c r="AE478" t="s">
        <v>594</v>
      </c>
      <c r="AG478" t="s">
        <v>770</v>
      </c>
      <c r="AH478">
        <v>0</v>
      </c>
      <c r="AI478">
        <v>892</v>
      </c>
      <c r="AJ478">
        <v>71</v>
      </c>
      <c r="AK478">
        <v>96</v>
      </c>
      <c r="AL478">
        <v>1.5</v>
      </c>
    </row>
    <row r="479" spans="1:38" x14ac:dyDescent="0.3">
      <c r="A479" t="s">
        <v>589</v>
      </c>
      <c r="B479">
        <v>10461</v>
      </c>
      <c r="C479">
        <v>6</v>
      </c>
      <c r="D479" t="s">
        <v>766</v>
      </c>
      <c r="E479" t="s">
        <v>767</v>
      </c>
      <c r="F479">
        <v>64</v>
      </c>
      <c r="G479">
        <v>57.69</v>
      </c>
      <c r="H479">
        <v>190.74</v>
      </c>
      <c r="I479">
        <v>46.69</v>
      </c>
      <c r="J479">
        <v>154.38</v>
      </c>
      <c r="K479">
        <v>1</v>
      </c>
      <c r="T479">
        <v>4</v>
      </c>
      <c r="U479">
        <v>2</v>
      </c>
      <c r="V479" t="s">
        <v>93</v>
      </c>
      <c r="W479" t="s">
        <v>774</v>
      </c>
      <c r="X479">
        <v>21</v>
      </c>
      <c r="Y479">
        <v>20</v>
      </c>
      <c r="Z479" t="s">
        <v>768</v>
      </c>
      <c r="AA479" t="s">
        <v>769</v>
      </c>
      <c r="AB479" t="s">
        <v>96</v>
      </c>
      <c r="AC479" t="s">
        <v>97</v>
      </c>
      <c r="AD479" t="s">
        <v>98</v>
      </c>
      <c r="AE479" t="s">
        <v>594</v>
      </c>
      <c r="AG479" t="s">
        <v>770</v>
      </c>
      <c r="AH479">
        <v>0</v>
      </c>
      <c r="AI479">
        <v>892</v>
      </c>
      <c r="AJ479">
        <v>71</v>
      </c>
      <c r="AK479">
        <v>96</v>
      </c>
      <c r="AL479">
        <v>1.5</v>
      </c>
    </row>
    <row r="480" spans="1:38" x14ac:dyDescent="0.3">
      <c r="A480" t="s">
        <v>589</v>
      </c>
      <c r="B480">
        <v>10461</v>
      </c>
      <c r="C480">
        <v>7</v>
      </c>
      <c r="D480" t="s">
        <v>766</v>
      </c>
      <c r="E480" t="s">
        <v>767</v>
      </c>
      <c r="F480">
        <v>64</v>
      </c>
      <c r="G480">
        <v>59.99</v>
      </c>
      <c r="H480">
        <v>198.33</v>
      </c>
      <c r="I480">
        <v>48.54</v>
      </c>
      <c r="J480">
        <v>160.47999999999999</v>
      </c>
      <c r="K480">
        <v>1</v>
      </c>
      <c r="T480">
        <v>4</v>
      </c>
      <c r="U480">
        <v>2</v>
      </c>
      <c r="V480" t="s">
        <v>93</v>
      </c>
      <c r="W480">
        <v>198</v>
      </c>
      <c r="X480">
        <v>21</v>
      </c>
      <c r="Y480">
        <v>20</v>
      </c>
      <c r="Z480" t="s">
        <v>768</v>
      </c>
      <c r="AA480" t="s">
        <v>769</v>
      </c>
      <c r="AB480" t="s">
        <v>96</v>
      </c>
      <c r="AC480" t="s">
        <v>97</v>
      </c>
      <c r="AD480" t="s">
        <v>98</v>
      </c>
      <c r="AE480" t="s">
        <v>594</v>
      </c>
      <c r="AG480" t="s">
        <v>770</v>
      </c>
      <c r="AH480">
        <v>0</v>
      </c>
      <c r="AI480">
        <v>892</v>
      </c>
      <c r="AJ480">
        <v>71</v>
      </c>
      <c r="AK480">
        <v>96</v>
      </c>
      <c r="AL480">
        <v>1.5</v>
      </c>
    </row>
    <row r="481" spans="1:38" x14ac:dyDescent="0.3">
      <c r="A481" t="s">
        <v>589</v>
      </c>
      <c r="B481">
        <v>10461</v>
      </c>
      <c r="C481">
        <v>8</v>
      </c>
      <c r="D481" t="s">
        <v>766</v>
      </c>
      <c r="E481" t="s">
        <v>767</v>
      </c>
      <c r="F481">
        <v>64</v>
      </c>
      <c r="G481">
        <v>60.46</v>
      </c>
      <c r="H481">
        <v>199.9</v>
      </c>
      <c r="I481">
        <v>48.94</v>
      </c>
      <c r="J481">
        <v>161.79</v>
      </c>
      <c r="K481">
        <v>12</v>
      </c>
      <c r="T481">
        <v>4</v>
      </c>
      <c r="U481">
        <v>2</v>
      </c>
      <c r="V481" t="s">
        <v>93</v>
      </c>
      <c r="W481">
        <v>199</v>
      </c>
      <c r="X481">
        <v>21</v>
      </c>
      <c r="Y481">
        <v>20</v>
      </c>
      <c r="Z481" t="s">
        <v>768</v>
      </c>
      <c r="AA481" t="s">
        <v>769</v>
      </c>
      <c r="AB481" t="s">
        <v>96</v>
      </c>
      <c r="AC481" t="s">
        <v>97</v>
      </c>
      <c r="AD481" t="s">
        <v>98</v>
      </c>
      <c r="AE481" t="s">
        <v>594</v>
      </c>
      <c r="AG481" t="s">
        <v>770</v>
      </c>
      <c r="AH481">
        <v>0</v>
      </c>
      <c r="AI481">
        <v>892</v>
      </c>
      <c r="AJ481">
        <v>71</v>
      </c>
      <c r="AK481">
        <v>96</v>
      </c>
      <c r="AL481">
        <v>1.5</v>
      </c>
    </row>
    <row r="482" spans="1:38" x14ac:dyDescent="0.3">
      <c r="A482" t="s">
        <v>589</v>
      </c>
      <c r="B482">
        <v>17568</v>
      </c>
      <c r="C482">
        <v>1</v>
      </c>
      <c r="D482" t="s">
        <v>775</v>
      </c>
      <c r="E482" t="s">
        <v>776</v>
      </c>
      <c r="F482">
        <v>36</v>
      </c>
      <c r="G482">
        <v>51.4</v>
      </c>
      <c r="H482">
        <v>169.94</v>
      </c>
      <c r="I482">
        <v>39</v>
      </c>
      <c r="J482">
        <v>128.93</v>
      </c>
      <c r="K482">
        <v>12</v>
      </c>
      <c r="T482">
        <v>4</v>
      </c>
      <c r="U482">
        <v>2</v>
      </c>
      <c r="V482" t="s">
        <v>93</v>
      </c>
      <c r="W482">
        <v>169</v>
      </c>
      <c r="X482">
        <v>19</v>
      </c>
      <c r="Y482">
        <v>19</v>
      </c>
      <c r="Z482" t="s">
        <v>777</v>
      </c>
      <c r="AA482" t="s">
        <v>778</v>
      </c>
      <c r="AB482" t="s">
        <v>96</v>
      </c>
      <c r="AC482" t="s">
        <v>97</v>
      </c>
      <c r="AD482" t="s">
        <v>98</v>
      </c>
      <c r="AE482" t="s">
        <v>594</v>
      </c>
      <c r="AG482" t="s">
        <v>779</v>
      </c>
      <c r="AH482">
        <v>0</v>
      </c>
      <c r="AI482">
        <v>808</v>
      </c>
      <c r="AJ482">
        <v>58</v>
      </c>
      <c r="AK482">
        <v>87</v>
      </c>
      <c r="AL482">
        <v>2.42</v>
      </c>
    </row>
    <row r="483" spans="1:38" x14ac:dyDescent="0.3">
      <c r="A483" t="s">
        <v>589</v>
      </c>
      <c r="B483">
        <v>17568</v>
      </c>
      <c r="C483">
        <v>2</v>
      </c>
      <c r="D483" t="s">
        <v>775</v>
      </c>
      <c r="E483" t="s">
        <v>776</v>
      </c>
      <c r="F483">
        <v>36</v>
      </c>
      <c r="G483">
        <v>55.03</v>
      </c>
      <c r="H483">
        <v>181.93</v>
      </c>
      <c r="I483">
        <v>41.75</v>
      </c>
      <c r="J483">
        <v>138.03</v>
      </c>
      <c r="K483">
        <v>12</v>
      </c>
      <c r="T483">
        <v>4</v>
      </c>
      <c r="U483">
        <v>2</v>
      </c>
      <c r="V483" t="s">
        <v>93</v>
      </c>
      <c r="W483">
        <v>181</v>
      </c>
      <c r="X483">
        <v>19</v>
      </c>
      <c r="Y483">
        <v>19</v>
      </c>
      <c r="Z483" t="s">
        <v>777</v>
      </c>
      <c r="AA483" t="s">
        <v>778</v>
      </c>
      <c r="AB483" t="s">
        <v>96</v>
      </c>
      <c r="AC483" t="s">
        <v>97</v>
      </c>
      <c r="AD483" t="s">
        <v>98</v>
      </c>
      <c r="AE483" t="s">
        <v>594</v>
      </c>
      <c r="AG483" t="s">
        <v>779</v>
      </c>
      <c r="AH483">
        <v>0</v>
      </c>
      <c r="AI483">
        <v>808</v>
      </c>
      <c r="AJ483">
        <v>58</v>
      </c>
      <c r="AK483">
        <v>87</v>
      </c>
      <c r="AL483">
        <v>2.42</v>
      </c>
    </row>
    <row r="484" spans="1:38" x14ac:dyDescent="0.3">
      <c r="A484" t="s">
        <v>589</v>
      </c>
      <c r="B484">
        <v>17568</v>
      </c>
      <c r="C484">
        <v>3</v>
      </c>
      <c r="D484" t="s">
        <v>775</v>
      </c>
      <c r="E484" t="s">
        <v>776</v>
      </c>
      <c r="F484">
        <v>36</v>
      </c>
      <c r="G484">
        <v>68.97</v>
      </c>
      <c r="H484">
        <v>228</v>
      </c>
      <c r="I484">
        <v>52.32</v>
      </c>
      <c r="J484">
        <v>172.98</v>
      </c>
      <c r="K484">
        <v>1</v>
      </c>
      <c r="T484">
        <v>4</v>
      </c>
      <c r="U484">
        <v>2</v>
      </c>
      <c r="V484" t="s">
        <v>93</v>
      </c>
      <c r="W484">
        <v>228</v>
      </c>
      <c r="X484">
        <v>19</v>
      </c>
      <c r="Y484">
        <v>19</v>
      </c>
      <c r="Z484" t="s">
        <v>777</v>
      </c>
      <c r="AA484" t="s">
        <v>778</v>
      </c>
      <c r="AB484" t="s">
        <v>96</v>
      </c>
      <c r="AC484" t="s">
        <v>97</v>
      </c>
      <c r="AD484" t="s">
        <v>98</v>
      </c>
      <c r="AE484" t="s">
        <v>594</v>
      </c>
      <c r="AG484" t="s">
        <v>779</v>
      </c>
      <c r="AH484">
        <v>0</v>
      </c>
      <c r="AI484">
        <v>808</v>
      </c>
      <c r="AJ484">
        <v>58</v>
      </c>
      <c r="AK484">
        <v>87</v>
      </c>
      <c r="AL484">
        <v>2.42</v>
      </c>
    </row>
    <row r="485" spans="1:38" x14ac:dyDescent="0.3">
      <c r="A485" t="s">
        <v>589</v>
      </c>
      <c r="B485">
        <v>17568</v>
      </c>
      <c r="C485">
        <v>4</v>
      </c>
      <c r="D485" t="s">
        <v>775</v>
      </c>
      <c r="E485" t="s">
        <v>776</v>
      </c>
      <c r="F485">
        <v>36</v>
      </c>
      <c r="G485">
        <v>76.38</v>
      </c>
      <c r="H485">
        <v>252.52</v>
      </c>
      <c r="I485">
        <v>57.95</v>
      </c>
      <c r="J485">
        <v>191.58</v>
      </c>
      <c r="K485">
        <v>11</v>
      </c>
      <c r="T485">
        <v>4</v>
      </c>
      <c r="U485">
        <v>3</v>
      </c>
      <c r="V485" t="s">
        <v>93</v>
      </c>
      <c r="W485">
        <v>252</v>
      </c>
      <c r="X485">
        <v>19</v>
      </c>
      <c r="Y485">
        <v>19</v>
      </c>
      <c r="Z485" t="s">
        <v>777</v>
      </c>
      <c r="AA485" t="s">
        <v>778</v>
      </c>
      <c r="AB485" t="s">
        <v>96</v>
      </c>
      <c r="AC485" t="s">
        <v>97</v>
      </c>
      <c r="AD485" t="s">
        <v>98</v>
      </c>
      <c r="AE485" t="s">
        <v>594</v>
      </c>
      <c r="AG485" t="s">
        <v>779</v>
      </c>
      <c r="AH485">
        <v>0</v>
      </c>
      <c r="AI485">
        <v>808</v>
      </c>
      <c r="AJ485">
        <v>58</v>
      </c>
      <c r="AK485">
        <v>87</v>
      </c>
      <c r="AL485">
        <v>2.42</v>
      </c>
    </row>
    <row r="486" spans="1:38" x14ac:dyDescent="0.3">
      <c r="A486" t="s">
        <v>589</v>
      </c>
      <c r="B486">
        <v>24014</v>
      </c>
      <c r="C486">
        <v>1</v>
      </c>
      <c r="D486" t="s">
        <v>780</v>
      </c>
      <c r="E486" t="s">
        <v>781</v>
      </c>
      <c r="F486">
        <v>18</v>
      </c>
      <c r="G486">
        <v>46.34</v>
      </c>
      <c r="H486">
        <v>153.21</v>
      </c>
      <c r="I486">
        <v>39.82</v>
      </c>
      <c r="J486">
        <v>131.63999999999999</v>
      </c>
      <c r="K486">
        <v>18</v>
      </c>
      <c r="T486">
        <v>4</v>
      </c>
      <c r="U486">
        <v>2</v>
      </c>
      <c r="V486" t="s">
        <v>93</v>
      </c>
      <c r="W486">
        <v>153</v>
      </c>
      <c r="X486">
        <v>8</v>
      </c>
      <c r="Y486">
        <v>7</v>
      </c>
      <c r="Z486" t="s">
        <v>782</v>
      </c>
      <c r="AA486" t="s">
        <v>783</v>
      </c>
      <c r="AB486" t="s">
        <v>96</v>
      </c>
      <c r="AC486" t="s">
        <v>97</v>
      </c>
      <c r="AD486" t="s">
        <v>98</v>
      </c>
      <c r="AE486" t="s">
        <v>594</v>
      </c>
      <c r="AG486" t="s">
        <v>784</v>
      </c>
      <c r="AH486">
        <v>0</v>
      </c>
      <c r="AI486">
        <v>284</v>
      </c>
      <c r="AJ486">
        <v>56</v>
      </c>
      <c r="AK486">
        <v>6</v>
      </c>
      <c r="AL486">
        <v>0.33</v>
      </c>
    </row>
    <row r="487" spans="1:38" x14ac:dyDescent="0.3">
      <c r="A487" t="s">
        <v>589</v>
      </c>
      <c r="B487">
        <v>121856</v>
      </c>
      <c r="C487">
        <v>1</v>
      </c>
      <c r="D487" t="s">
        <v>785</v>
      </c>
      <c r="E487" t="s">
        <v>786</v>
      </c>
      <c r="F487">
        <v>12</v>
      </c>
      <c r="G487">
        <v>19.05</v>
      </c>
      <c r="H487">
        <v>62.98</v>
      </c>
      <c r="I487">
        <v>16.57</v>
      </c>
      <c r="J487">
        <v>54.79</v>
      </c>
      <c r="K487">
        <v>2</v>
      </c>
      <c r="T487">
        <v>2</v>
      </c>
      <c r="U487">
        <v>1</v>
      </c>
      <c r="V487" t="s">
        <v>93</v>
      </c>
      <c r="W487">
        <v>62</v>
      </c>
      <c r="X487">
        <v>7</v>
      </c>
      <c r="Y487">
        <v>7</v>
      </c>
      <c r="Z487" t="s">
        <v>787</v>
      </c>
      <c r="AA487" t="s">
        <v>788</v>
      </c>
      <c r="AB487" t="s">
        <v>96</v>
      </c>
      <c r="AC487" t="s">
        <v>97</v>
      </c>
      <c r="AD487" t="s">
        <v>98</v>
      </c>
      <c r="AE487" t="s">
        <v>594</v>
      </c>
      <c r="AG487" t="s">
        <v>789</v>
      </c>
      <c r="AH487">
        <v>0</v>
      </c>
      <c r="AI487">
        <v>222</v>
      </c>
      <c r="AJ487">
        <v>39</v>
      </c>
      <c r="AK487">
        <v>12</v>
      </c>
      <c r="AL487">
        <v>1</v>
      </c>
    </row>
    <row r="488" spans="1:38" x14ac:dyDescent="0.3">
      <c r="A488" t="s">
        <v>589</v>
      </c>
      <c r="B488">
        <v>121856</v>
      </c>
      <c r="C488">
        <v>2</v>
      </c>
      <c r="D488" t="s">
        <v>785</v>
      </c>
      <c r="E488" t="s">
        <v>786</v>
      </c>
      <c r="F488">
        <v>12</v>
      </c>
      <c r="G488">
        <v>22.58</v>
      </c>
      <c r="H488">
        <v>74.66</v>
      </c>
      <c r="I488">
        <v>19.649999999999999</v>
      </c>
      <c r="J488">
        <v>64.959999999999994</v>
      </c>
      <c r="K488">
        <v>2</v>
      </c>
      <c r="T488">
        <v>3</v>
      </c>
      <c r="U488">
        <v>2</v>
      </c>
      <c r="V488" t="s">
        <v>93</v>
      </c>
      <c r="W488">
        <v>74</v>
      </c>
      <c r="X488">
        <v>7</v>
      </c>
      <c r="Y488">
        <v>7</v>
      </c>
      <c r="Z488" t="s">
        <v>787</v>
      </c>
      <c r="AA488" t="s">
        <v>788</v>
      </c>
      <c r="AB488" t="s">
        <v>96</v>
      </c>
      <c r="AC488" t="s">
        <v>97</v>
      </c>
      <c r="AD488" t="s">
        <v>98</v>
      </c>
      <c r="AE488" t="s">
        <v>594</v>
      </c>
      <c r="AG488" t="s">
        <v>789</v>
      </c>
      <c r="AH488">
        <v>0</v>
      </c>
      <c r="AI488">
        <v>222</v>
      </c>
      <c r="AJ488">
        <v>39</v>
      </c>
      <c r="AK488">
        <v>12</v>
      </c>
      <c r="AL488">
        <v>1</v>
      </c>
    </row>
    <row r="489" spans="1:38" x14ac:dyDescent="0.3">
      <c r="A489" t="s">
        <v>589</v>
      </c>
      <c r="B489">
        <v>121856</v>
      </c>
      <c r="C489">
        <v>3</v>
      </c>
      <c r="D489" t="s">
        <v>785</v>
      </c>
      <c r="E489" t="s">
        <v>786</v>
      </c>
      <c r="F489">
        <v>12</v>
      </c>
      <c r="G489">
        <v>25.28</v>
      </c>
      <c r="H489">
        <v>83.59</v>
      </c>
      <c r="I489">
        <v>21.99</v>
      </c>
      <c r="J489">
        <v>72.709999999999994</v>
      </c>
      <c r="K489">
        <v>8</v>
      </c>
      <c r="T489">
        <v>3</v>
      </c>
      <c r="U489">
        <v>2</v>
      </c>
      <c r="V489" t="s">
        <v>93</v>
      </c>
      <c r="W489">
        <v>83</v>
      </c>
      <c r="X489">
        <v>7</v>
      </c>
      <c r="Y489">
        <v>7</v>
      </c>
      <c r="Z489" t="s">
        <v>787</v>
      </c>
      <c r="AA489" t="s">
        <v>788</v>
      </c>
      <c r="AB489" t="s">
        <v>96</v>
      </c>
      <c r="AC489" t="s">
        <v>97</v>
      </c>
      <c r="AD489" t="s">
        <v>98</v>
      </c>
      <c r="AE489" t="s">
        <v>594</v>
      </c>
      <c r="AG489" t="s">
        <v>789</v>
      </c>
      <c r="AH489">
        <v>0</v>
      </c>
      <c r="AI489">
        <v>222</v>
      </c>
      <c r="AJ489">
        <v>39</v>
      </c>
      <c r="AK489">
        <v>12</v>
      </c>
      <c r="AL489">
        <v>1</v>
      </c>
    </row>
    <row r="490" spans="1:38" x14ac:dyDescent="0.3">
      <c r="A490" t="s">
        <v>589</v>
      </c>
      <c r="B490">
        <v>2494</v>
      </c>
      <c r="C490">
        <v>1</v>
      </c>
      <c r="D490" t="s">
        <v>790</v>
      </c>
      <c r="E490" t="s">
        <v>644</v>
      </c>
      <c r="F490">
        <v>604</v>
      </c>
      <c r="G490">
        <v>24.76</v>
      </c>
      <c r="H490">
        <v>81.86</v>
      </c>
      <c r="I490">
        <v>17.940000000000001</v>
      </c>
      <c r="J490">
        <v>59.32</v>
      </c>
      <c r="K490">
        <v>300</v>
      </c>
      <c r="T490">
        <v>2</v>
      </c>
      <c r="U490">
        <v>1</v>
      </c>
      <c r="V490" t="s">
        <v>118</v>
      </c>
      <c r="W490">
        <v>81</v>
      </c>
      <c r="X490">
        <v>17</v>
      </c>
      <c r="Y490">
        <v>16</v>
      </c>
      <c r="Z490" t="s">
        <v>791</v>
      </c>
      <c r="AA490" t="s">
        <v>792</v>
      </c>
      <c r="AB490" t="s">
        <v>96</v>
      </c>
      <c r="AC490" t="s">
        <v>97</v>
      </c>
      <c r="AD490" t="s">
        <v>98</v>
      </c>
      <c r="AE490" t="s">
        <v>594</v>
      </c>
      <c r="AG490" t="s">
        <v>793</v>
      </c>
      <c r="AH490">
        <v>0</v>
      </c>
      <c r="AI490">
        <v>279</v>
      </c>
      <c r="AJ490">
        <v>19</v>
      </c>
      <c r="AK490">
        <v>618</v>
      </c>
      <c r="AL490">
        <v>1.02</v>
      </c>
    </row>
    <row r="491" spans="1:38" x14ac:dyDescent="0.3">
      <c r="A491" t="s">
        <v>589</v>
      </c>
      <c r="B491">
        <v>2494</v>
      </c>
      <c r="C491">
        <v>2</v>
      </c>
      <c r="D491" t="s">
        <v>790</v>
      </c>
      <c r="E491" t="s">
        <v>644</v>
      </c>
      <c r="F491">
        <v>604</v>
      </c>
      <c r="G491">
        <v>32.770000000000003</v>
      </c>
      <c r="H491">
        <v>108.35</v>
      </c>
      <c r="I491">
        <v>25.64</v>
      </c>
      <c r="J491">
        <v>84.79</v>
      </c>
      <c r="K491">
        <v>202</v>
      </c>
      <c r="T491">
        <v>3</v>
      </c>
      <c r="U491">
        <v>2</v>
      </c>
      <c r="V491" t="s">
        <v>93</v>
      </c>
      <c r="W491">
        <v>108</v>
      </c>
      <c r="X491">
        <v>17</v>
      </c>
      <c r="Y491">
        <v>16</v>
      </c>
      <c r="Z491" t="s">
        <v>791</v>
      </c>
      <c r="AA491" t="s">
        <v>792</v>
      </c>
      <c r="AB491" t="s">
        <v>96</v>
      </c>
      <c r="AC491" t="s">
        <v>97</v>
      </c>
      <c r="AD491" t="s">
        <v>98</v>
      </c>
      <c r="AE491" t="s">
        <v>594</v>
      </c>
      <c r="AG491" t="s">
        <v>793</v>
      </c>
      <c r="AH491">
        <v>0</v>
      </c>
      <c r="AI491">
        <v>279</v>
      </c>
      <c r="AJ491">
        <v>19</v>
      </c>
      <c r="AK491">
        <v>618</v>
      </c>
      <c r="AL491">
        <v>1.02</v>
      </c>
    </row>
    <row r="492" spans="1:38" x14ac:dyDescent="0.3">
      <c r="A492" t="s">
        <v>589</v>
      </c>
      <c r="B492">
        <v>2494</v>
      </c>
      <c r="C492">
        <v>3</v>
      </c>
      <c r="D492" t="s">
        <v>790</v>
      </c>
      <c r="E492" t="s">
        <v>644</v>
      </c>
      <c r="F492">
        <v>604</v>
      </c>
      <c r="G492">
        <v>49.39</v>
      </c>
      <c r="H492">
        <v>163.28</v>
      </c>
      <c r="I492">
        <v>40.479999999999997</v>
      </c>
      <c r="J492">
        <v>133.84</v>
      </c>
      <c r="K492">
        <v>102</v>
      </c>
      <c r="T492">
        <v>4</v>
      </c>
      <c r="U492">
        <v>2</v>
      </c>
      <c r="V492" t="s">
        <v>93</v>
      </c>
      <c r="W492">
        <v>163</v>
      </c>
      <c r="X492">
        <v>17</v>
      </c>
      <c r="Y492">
        <v>16</v>
      </c>
      <c r="Z492" t="s">
        <v>791</v>
      </c>
      <c r="AA492" t="s">
        <v>792</v>
      </c>
      <c r="AB492" t="s">
        <v>96</v>
      </c>
      <c r="AC492" t="s">
        <v>97</v>
      </c>
      <c r="AD492" t="s">
        <v>98</v>
      </c>
      <c r="AE492" t="s">
        <v>594</v>
      </c>
      <c r="AG492" t="s">
        <v>793</v>
      </c>
      <c r="AH492">
        <v>0</v>
      </c>
      <c r="AI492">
        <v>279</v>
      </c>
      <c r="AJ492">
        <v>19</v>
      </c>
      <c r="AK492">
        <v>618</v>
      </c>
      <c r="AL492">
        <v>1.02</v>
      </c>
    </row>
    <row r="493" spans="1:38" x14ac:dyDescent="0.3">
      <c r="A493" t="s">
        <v>589</v>
      </c>
      <c r="B493">
        <v>124701</v>
      </c>
      <c r="C493">
        <v>1</v>
      </c>
      <c r="D493" t="s">
        <v>794</v>
      </c>
      <c r="E493" t="s">
        <v>795</v>
      </c>
      <c r="F493">
        <v>180</v>
      </c>
      <c r="G493">
        <v>8.16</v>
      </c>
      <c r="H493">
        <v>26.98</v>
      </c>
      <c r="I493">
        <v>5.19</v>
      </c>
      <c r="J493">
        <v>17.190000000000001</v>
      </c>
      <c r="K493">
        <v>180</v>
      </c>
      <c r="T493">
        <v>1</v>
      </c>
      <c r="U493">
        <v>1</v>
      </c>
      <c r="V493" t="s">
        <v>93</v>
      </c>
      <c r="W493">
        <v>26</v>
      </c>
      <c r="X493">
        <v>11</v>
      </c>
      <c r="Y493">
        <v>11</v>
      </c>
      <c r="Z493" t="s">
        <v>796</v>
      </c>
      <c r="AA493" t="s">
        <v>797</v>
      </c>
      <c r="AB493" t="s">
        <v>96</v>
      </c>
      <c r="AC493" t="s">
        <v>97</v>
      </c>
      <c r="AD493" t="s">
        <v>98</v>
      </c>
      <c r="AE493" t="s">
        <v>594</v>
      </c>
      <c r="AG493" t="s">
        <v>798</v>
      </c>
      <c r="AH493">
        <v>0</v>
      </c>
      <c r="AI493">
        <v>358</v>
      </c>
      <c r="AJ493">
        <v>57</v>
      </c>
      <c r="AK493">
        <v>146</v>
      </c>
      <c r="AL493">
        <v>0.81</v>
      </c>
    </row>
    <row r="494" spans="1:38" x14ac:dyDescent="0.3">
      <c r="A494" t="s">
        <v>589</v>
      </c>
      <c r="B494">
        <v>25718</v>
      </c>
      <c r="C494">
        <v>1</v>
      </c>
      <c r="D494" t="s">
        <v>799</v>
      </c>
      <c r="E494" t="s">
        <v>638</v>
      </c>
      <c r="F494">
        <v>459</v>
      </c>
      <c r="G494">
        <v>25.92</v>
      </c>
      <c r="H494">
        <v>85.71</v>
      </c>
      <c r="I494">
        <v>18.14</v>
      </c>
      <c r="J494">
        <v>59.99</v>
      </c>
      <c r="K494">
        <v>64</v>
      </c>
      <c r="T494">
        <v>3</v>
      </c>
      <c r="U494">
        <v>2</v>
      </c>
      <c r="V494" t="s">
        <v>93</v>
      </c>
      <c r="W494">
        <v>85</v>
      </c>
      <c r="X494">
        <v>26</v>
      </c>
      <c r="Y494">
        <v>16</v>
      </c>
      <c r="Z494" t="s">
        <v>800</v>
      </c>
      <c r="AA494" t="s">
        <v>801</v>
      </c>
      <c r="AB494" t="s">
        <v>96</v>
      </c>
      <c r="AC494" t="s">
        <v>97</v>
      </c>
      <c r="AD494" t="s">
        <v>98</v>
      </c>
      <c r="AE494" t="s">
        <v>594</v>
      </c>
      <c r="AG494" t="s">
        <v>802</v>
      </c>
      <c r="AH494">
        <v>46</v>
      </c>
      <c r="AI494">
        <v>248</v>
      </c>
      <c r="AJ494">
        <v>17</v>
      </c>
      <c r="AK494">
        <v>584</v>
      </c>
      <c r="AL494">
        <v>1.27</v>
      </c>
    </row>
    <row r="495" spans="1:38" x14ac:dyDescent="0.3">
      <c r="A495" t="s">
        <v>589</v>
      </c>
      <c r="B495">
        <v>25718</v>
      </c>
      <c r="C495">
        <v>2</v>
      </c>
      <c r="D495" t="s">
        <v>799</v>
      </c>
      <c r="E495" t="s">
        <v>638</v>
      </c>
      <c r="F495">
        <v>459</v>
      </c>
      <c r="G495">
        <v>34.119999999999997</v>
      </c>
      <c r="H495">
        <v>112.82</v>
      </c>
      <c r="I495">
        <v>25.7</v>
      </c>
      <c r="J495">
        <v>84.99</v>
      </c>
      <c r="K495">
        <v>96</v>
      </c>
      <c r="T495">
        <v>3</v>
      </c>
      <c r="U495">
        <v>2</v>
      </c>
      <c r="V495" t="s">
        <v>93</v>
      </c>
      <c r="W495" t="s">
        <v>632</v>
      </c>
      <c r="X495">
        <v>26</v>
      </c>
      <c r="Y495">
        <v>16</v>
      </c>
      <c r="Z495" t="s">
        <v>800</v>
      </c>
      <c r="AA495" t="s">
        <v>801</v>
      </c>
      <c r="AB495" t="s">
        <v>96</v>
      </c>
      <c r="AC495" t="s">
        <v>97</v>
      </c>
      <c r="AD495" t="s">
        <v>98</v>
      </c>
      <c r="AE495" t="s">
        <v>594</v>
      </c>
      <c r="AG495" t="s">
        <v>802</v>
      </c>
      <c r="AH495">
        <v>46</v>
      </c>
      <c r="AI495">
        <v>248</v>
      </c>
      <c r="AJ495">
        <v>17</v>
      </c>
      <c r="AK495">
        <v>584</v>
      </c>
      <c r="AL495">
        <v>1.27</v>
      </c>
    </row>
    <row r="496" spans="1:38" x14ac:dyDescent="0.3">
      <c r="A496" t="s">
        <v>589</v>
      </c>
      <c r="B496">
        <v>25718</v>
      </c>
      <c r="C496">
        <v>3</v>
      </c>
      <c r="D496" t="s">
        <v>799</v>
      </c>
      <c r="E496" t="s">
        <v>638</v>
      </c>
      <c r="F496">
        <v>459</v>
      </c>
      <c r="G496">
        <v>34.26</v>
      </c>
      <c r="H496">
        <v>113.28</v>
      </c>
      <c r="I496">
        <v>25.7</v>
      </c>
      <c r="J496">
        <v>84.99</v>
      </c>
      <c r="K496">
        <v>91</v>
      </c>
      <c r="T496">
        <v>3</v>
      </c>
      <c r="U496">
        <v>2</v>
      </c>
      <c r="V496" t="s">
        <v>93</v>
      </c>
      <c r="W496" t="s">
        <v>642</v>
      </c>
      <c r="X496">
        <v>26</v>
      </c>
      <c r="Y496">
        <v>16</v>
      </c>
      <c r="Z496" t="s">
        <v>800</v>
      </c>
      <c r="AA496" t="s">
        <v>801</v>
      </c>
      <c r="AB496" t="s">
        <v>96</v>
      </c>
      <c r="AC496" t="s">
        <v>97</v>
      </c>
      <c r="AD496" t="s">
        <v>98</v>
      </c>
      <c r="AE496" t="s">
        <v>594</v>
      </c>
      <c r="AG496" t="s">
        <v>802</v>
      </c>
      <c r="AH496">
        <v>46</v>
      </c>
      <c r="AI496">
        <v>248</v>
      </c>
      <c r="AJ496">
        <v>17</v>
      </c>
      <c r="AK496">
        <v>584</v>
      </c>
      <c r="AL496">
        <v>1.27</v>
      </c>
    </row>
    <row r="497" spans="1:38" x14ac:dyDescent="0.3">
      <c r="A497" t="s">
        <v>589</v>
      </c>
      <c r="B497">
        <v>25718</v>
      </c>
      <c r="C497">
        <v>4</v>
      </c>
      <c r="D497" t="s">
        <v>799</v>
      </c>
      <c r="E497" t="s">
        <v>638</v>
      </c>
      <c r="F497">
        <v>459</v>
      </c>
      <c r="G497">
        <v>42.9</v>
      </c>
      <c r="H497">
        <v>141.85</v>
      </c>
      <c r="I497">
        <v>33.590000000000003</v>
      </c>
      <c r="J497">
        <v>111.05</v>
      </c>
      <c r="K497">
        <v>94</v>
      </c>
      <c r="T497">
        <v>4</v>
      </c>
      <c r="U497">
        <v>2</v>
      </c>
      <c r="V497" t="s">
        <v>93</v>
      </c>
      <c r="W497">
        <v>141</v>
      </c>
      <c r="X497">
        <v>26</v>
      </c>
      <c r="Y497">
        <v>16</v>
      </c>
      <c r="Z497" t="s">
        <v>800</v>
      </c>
      <c r="AA497" t="s">
        <v>801</v>
      </c>
      <c r="AB497" t="s">
        <v>96</v>
      </c>
      <c r="AC497" t="s">
        <v>97</v>
      </c>
      <c r="AD497" t="s">
        <v>98</v>
      </c>
      <c r="AE497" t="s">
        <v>594</v>
      </c>
      <c r="AG497" t="s">
        <v>802</v>
      </c>
      <c r="AH497">
        <v>46</v>
      </c>
      <c r="AI497">
        <v>248</v>
      </c>
      <c r="AJ497">
        <v>17</v>
      </c>
      <c r="AK497">
        <v>584</v>
      </c>
      <c r="AL497">
        <v>1.27</v>
      </c>
    </row>
    <row r="498" spans="1:38" x14ac:dyDescent="0.3">
      <c r="A498" t="s">
        <v>589</v>
      </c>
      <c r="B498">
        <v>25718</v>
      </c>
      <c r="C498">
        <v>5</v>
      </c>
      <c r="D498" t="s">
        <v>799</v>
      </c>
      <c r="E498" t="s">
        <v>638</v>
      </c>
      <c r="F498">
        <v>459</v>
      </c>
      <c r="G498">
        <v>46.98</v>
      </c>
      <c r="H498">
        <v>155.33000000000001</v>
      </c>
      <c r="I498">
        <v>37.31</v>
      </c>
      <c r="J498">
        <v>123.35</v>
      </c>
      <c r="K498">
        <v>68</v>
      </c>
      <c r="T498">
        <v>4</v>
      </c>
      <c r="U498">
        <v>2</v>
      </c>
      <c r="V498" t="s">
        <v>93</v>
      </c>
      <c r="W498">
        <v>155</v>
      </c>
      <c r="X498">
        <v>26</v>
      </c>
      <c r="Y498">
        <v>16</v>
      </c>
      <c r="Z498" t="s">
        <v>800</v>
      </c>
      <c r="AA498" t="s">
        <v>801</v>
      </c>
      <c r="AB498" t="s">
        <v>96</v>
      </c>
      <c r="AC498" t="s">
        <v>97</v>
      </c>
      <c r="AD498" t="s">
        <v>98</v>
      </c>
      <c r="AE498" t="s">
        <v>594</v>
      </c>
      <c r="AG498" t="s">
        <v>802</v>
      </c>
      <c r="AH498">
        <v>46</v>
      </c>
      <c r="AI498">
        <v>248</v>
      </c>
      <c r="AJ498">
        <v>17</v>
      </c>
      <c r="AK498">
        <v>584</v>
      </c>
      <c r="AL498">
        <v>1.27</v>
      </c>
    </row>
    <row r="499" spans="1:38" x14ac:dyDescent="0.3">
      <c r="A499" t="s">
        <v>589</v>
      </c>
      <c r="B499">
        <v>17215</v>
      </c>
      <c r="C499">
        <v>1</v>
      </c>
      <c r="D499" t="s">
        <v>803</v>
      </c>
      <c r="E499" t="s">
        <v>804</v>
      </c>
      <c r="F499">
        <v>211</v>
      </c>
      <c r="G499">
        <v>20.57</v>
      </c>
      <c r="H499">
        <v>68.02</v>
      </c>
      <c r="I499">
        <v>14.55</v>
      </c>
      <c r="J499">
        <v>48.13</v>
      </c>
      <c r="K499">
        <v>34</v>
      </c>
      <c r="T499">
        <v>2</v>
      </c>
      <c r="U499">
        <v>1</v>
      </c>
      <c r="V499" t="s">
        <v>118</v>
      </c>
      <c r="W499">
        <v>68</v>
      </c>
      <c r="X499">
        <v>15</v>
      </c>
      <c r="Y499">
        <v>9</v>
      </c>
      <c r="Z499" t="s">
        <v>805</v>
      </c>
      <c r="AA499" t="s">
        <v>806</v>
      </c>
      <c r="AB499" t="s">
        <v>96</v>
      </c>
      <c r="AC499" t="s">
        <v>97</v>
      </c>
      <c r="AD499" t="s">
        <v>98</v>
      </c>
      <c r="AE499" t="s">
        <v>594</v>
      </c>
      <c r="AG499" t="s">
        <v>807</v>
      </c>
      <c r="AH499">
        <v>0</v>
      </c>
      <c r="AI499">
        <v>0</v>
      </c>
      <c r="AJ499">
        <v>0</v>
      </c>
      <c r="AK499">
        <v>212</v>
      </c>
      <c r="AL499">
        <v>1</v>
      </c>
    </row>
    <row r="500" spans="1:38" x14ac:dyDescent="0.3">
      <c r="A500" t="s">
        <v>589</v>
      </c>
      <c r="B500">
        <v>17215</v>
      </c>
      <c r="C500">
        <v>2</v>
      </c>
      <c r="D500" t="s">
        <v>803</v>
      </c>
      <c r="E500" t="s">
        <v>804</v>
      </c>
      <c r="F500">
        <v>211</v>
      </c>
      <c r="G500">
        <v>23.95</v>
      </c>
      <c r="H500">
        <v>79.180000000000007</v>
      </c>
      <c r="I500">
        <v>17.25</v>
      </c>
      <c r="J500">
        <v>57.04</v>
      </c>
      <c r="K500">
        <v>177</v>
      </c>
      <c r="T500">
        <v>3</v>
      </c>
      <c r="U500">
        <v>1</v>
      </c>
      <c r="V500" t="s">
        <v>118</v>
      </c>
      <c r="W500">
        <v>79</v>
      </c>
      <c r="X500">
        <v>15</v>
      </c>
      <c r="Y500">
        <v>9</v>
      </c>
      <c r="Z500" t="s">
        <v>805</v>
      </c>
      <c r="AA500" t="s">
        <v>806</v>
      </c>
      <c r="AB500" t="s">
        <v>96</v>
      </c>
      <c r="AC500" t="s">
        <v>97</v>
      </c>
      <c r="AD500" t="s">
        <v>98</v>
      </c>
      <c r="AE500" t="s">
        <v>594</v>
      </c>
      <c r="AG500" t="s">
        <v>807</v>
      </c>
      <c r="AH500">
        <v>0</v>
      </c>
      <c r="AI500">
        <v>0</v>
      </c>
      <c r="AJ500">
        <v>0</v>
      </c>
      <c r="AK500">
        <v>212</v>
      </c>
      <c r="AL500">
        <v>1</v>
      </c>
    </row>
    <row r="501" spans="1:38" x14ac:dyDescent="0.3">
      <c r="A501" t="s">
        <v>589</v>
      </c>
      <c r="B501">
        <v>137303</v>
      </c>
      <c r="C501">
        <v>1</v>
      </c>
      <c r="D501" t="s">
        <v>808</v>
      </c>
      <c r="E501" t="s">
        <v>809</v>
      </c>
      <c r="F501">
        <v>138</v>
      </c>
      <c r="G501">
        <v>7.22</v>
      </c>
      <c r="H501">
        <v>23.9</v>
      </c>
      <c r="I501">
        <v>4.8</v>
      </c>
      <c r="J501">
        <v>15.87</v>
      </c>
      <c r="K501">
        <v>4</v>
      </c>
      <c r="T501">
        <v>1</v>
      </c>
      <c r="U501">
        <v>1</v>
      </c>
      <c r="V501" t="s">
        <v>118</v>
      </c>
      <c r="W501">
        <v>23</v>
      </c>
      <c r="X501">
        <v>12</v>
      </c>
      <c r="Y501">
        <v>12</v>
      </c>
      <c r="Z501" t="s">
        <v>810</v>
      </c>
      <c r="AA501" t="s">
        <v>811</v>
      </c>
      <c r="AB501" t="s">
        <v>96</v>
      </c>
      <c r="AC501" t="s">
        <v>97</v>
      </c>
      <c r="AD501" t="s">
        <v>98</v>
      </c>
      <c r="AE501" t="s">
        <v>594</v>
      </c>
      <c r="AG501" t="s">
        <v>812</v>
      </c>
      <c r="AH501">
        <v>98</v>
      </c>
      <c r="AI501">
        <v>372</v>
      </c>
      <c r="AJ501">
        <v>79</v>
      </c>
      <c r="AK501">
        <v>108</v>
      </c>
      <c r="AL501">
        <v>0.78</v>
      </c>
    </row>
    <row r="502" spans="1:38" x14ac:dyDescent="0.3">
      <c r="A502" t="s">
        <v>589</v>
      </c>
      <c r="B502">
        <v>137303</v>
      </c>
      <c r="C502">
        <v>2</v>
      </c>
      <c r="D502" t="s">
        <v>808</v>
      </c>
      <c r="E502" t="s">
        <v>809</v>
      </c>
      <c r="F502">
        <v>138</v>
      </c>
      <c r="G502">
        <v>8.3699999999999992</v>
      </c>
      <c r="H502">
        <v>27.67</v>
      </c>
      <c r="I502">
        <v>5.62</v>
      </c>
      <c r="J502">
        <v>18.579999999999998</v>
      </c>
      <c r="K502">
        <v>16</v>
      </c>
      <c r="T502">
        <v>1</v>
      </c>
      <c r="U502">
        <v>1</v>
      </c>
      <c r="V502" t="s">
        <v>118</v>
      </c>
      <c r="W502">
        <v>27</v>
      </c>
      <c r="X502">
        <v>12</v>
      </c>
      <c r="Y502">
        <v>12</v>
      </c>
      <c r="Z502" t="s">
        <v>810</v>
      </c>
      <c r="AA502" t="s">
        <v>811</v>
      </c>
      <c r="AB502" t="s">
        <v>96</v>
      </c>
      <c r="AC502" t="s">
        <v>97</v>
      </c>
      <c r="AD502" t="s">
        <v>98</v>
      </c>
      <c r="AE502" t="s">
        <v>594</v>
      </c>
      <c r="AG502" t="s">
        <v>812</v>
      </c>
      <c r="AH502">
        <v>98</v>
      </c>
      <c r="AI502">
        <v>372</v>
      </c>
      <c r="AJ502">
        <v>79</v>
      </c>
      <c r="AK502">
        <v>108</v>
      </c>
      <c r="AL502">
        <v>0.78</v>
      </c>
    </row>
    <row r="503" spans="1:38" x14ac:dyDescent="0.3">
      <c r="A503" t="s">
        <v>589</v>
      </c>
      <c r="B503">
        <v>137303</v>
      </c>
      <c r="C503">
        <v>3</v>
      </c>
      <c r="D503" t="s">
        <v>808</v>
      </c>
      <c r="E503" t="s">
        <v>809</v>
      </c>
      <c r="F503">
        <v>138</v>
      </c>
      <c r="G503">
        <v>8.6</v>
      </c>
      <c r="H503">
        <v>28.44</v>
      </c>
      <c r="I503">
        <v>5.78</v>
      </c>
      <c r="J503">
        <v>19.12</v>
      </c>
      <c r="K503">
        <v>20</v>
      </c>
      <c r="T503">
        <v>1</v>
      </c>
      <c r="U503">
        <v>1</v>
      </c>
      <c r="V503" t="s">
        <v>118</v>
      </c>
      <c r="W503">
        <v>28</v>
      </c>
      <c r="X503">
        <v>12</v>
      </c>
      <c r="Y503">
        <v>12</v>
      </c>
      <c r="Z503" t="s">
        <v>810</v>
      </c>
      <c r="AA503" t="s">
        <v>811</v>
      </c>
      <c r="AB503" t="s">
        <v>96</v>
      </c>
      <c r="AC503" t="s">
        <v>97</v>
      </c>
      <c r="AD503" t="s">
        <v>98</v>
      </c>
      <c r="AE503" t="s">
        <v>594</v>
      </c>
      <c r="AG503" t="s">
        <v>812</v>
      </c>
      <c r="AH503">
        <v>98</v>
      </c>
      <c r="AI503">
        <v>372</v>
      </c>
      <c r="AJ503">
        <v>79</v>
      </c>
      <c r="AK503">
        <v>108</v>
      </c>
      <c r="AL503">
        <v>0.78</v>
      </c>
    </row>
    <row r="504" spans="1:38" x14ac:dyDescent="0.3">
      <c r="A504" t="s">
        <v>589</v>
      </c>
      <c r="B504">
        <v>143452</v>
      </c>
      <c r="C504">
        <v>1</v>
      </c>
      <c r="D504" t="s">
        <v>813</v>
      </c>
      <c r="E504" t="s">
        <v>814</v>
      </c>
      <c r="F504">
        <v>24</v>
      </c>
      <c r="G504">
        <v>6.54</v>
      </c>
      <c r="H504">
        <v>21.62</v>
      </c>
      <c r="I504">
        <v>4.71</v>
      </c>
      <c r="J504">
        <v>15.58</v>
      </c>
      <c r="K504">
        <v>1</v>
      </c>
      <c r="T504">
        <v>1</v>
      </c>
      <c r="U504">
        <v>1</v>
      </c>
      <c r="V504" t="s">
        <v>93</v>
      </c>
      <c r="W504" t="s">
        <v>815</v>
      </c>
      <c r="X504">
        <v>6</v>
      </c>
      <c r="Y504">
        <v>6</v>
      </c>
      <c r="Z504" t="s">
        <v>816</v>
      </c>
      <c r="AA504" t="s">
        <v>817</v>
      </c>
      <c r="AB504" t="s">
        <v>96</v>
      </c>
      <c r="AC504" t="s">
        <v>97</v>
      </c>
      <c r="AD504" t="s">
        <v>98</v>
      </c>
      <c r="AE504" t="s">
        <v>594</v>
      </c>
      <c r="AG504" t="s">
        <v>818</v>
      </c>
      <c r="AH504">
        <v>0</v>
      </c>
      <c r="AI504">
        <v>308</v>
      </c>
      <c r="AJ504">
        <v>68</v>
      </c>
      <c r="AK504">
        <v>6</v>
      </c>
      <c r="AL504">
        <v>0.25</v>
      </c>
    </row>
    <row r="505" spans="1:38" x14ac:dyDescent="0.3">
      <c r="A505" t="s">
        <v>589</v>
      </c>
      <c r="B505">
        <v>143452</v>
      </c>
      <c r="C505">
        <v>2</v>
      </c>
      <c r="D505" t="s">
        <v>813</v>
      </c>
      <c r="E505" t="s">
        <v>814</v>
      </c>
      <c r="F505">
        <v>24</v>
      </c>
      <c r="G505">
        <v>6.76</v>
      </c>
      <c r="H505">
        <v>22.35</v>
      </c>
      <c r="I505">
        <v>4.87</v>
      </c>
      <c r="J505">
        <v>16.100000000000001</v>
      </c>
      <c r="K505">
        <v>4</v>
      </c>
      <c r="T505">
        <v>1</v>
      </c>
      <c r="U505">
        <v>1</v>
      </c>
      <c r="V505" t="s">
        <v>93</v>
      </c>
      <c r="W505" t="s">
        <v>569</v>
      </c>
      <c r="X505">
        <v>6</v>
      </c>
      <c r="Y505">
        <v>6</v>
      </c>
      <c r="Z505" t="s">
        <v>816</v>
      </c>
      <c r="AA505" t="s">
        <v>817</v>
      </c>
      <c r="AB505" t="s">
        <v>96</v>
      </c>
      <c r="AC505" t="s">
        <v>97</v>
      </c>
      <c r="AD505" t="s">
        <v>98</v>
      </c>
      <c r="AE505" t="s">
        <v>594</v>
      </c>
      <c r="AG505" t="s">
        <v>818</v>
      </c>
      <c r="AH505">
        <v>0</v>
      </c>
      <c r="AI505">
        <v>308</v>
      </c>
      <c r="AJ505">
        <v>68</v>
      </c>
      <c r="AK505">
        <v>6</v>
      </c>
      <c r="AL505">
        <v>0.25</v>
      </c>
    </row>
    <row r="506" spans="1:38" x14ac:dyDescent="0.3">
      <c r="A506" t="s">
        <v>589</v>
      </c>
      <c r="B506">
        <v>143452</v>
      </c>
      <c r="C506">
        <v>3</v>
      </c>
      <c r="D506" t="s">
        <v>813</v>
      </c>
      <c r="E506" t="s">
        <v>814</v>
      </c>
      <c r="F506">
        <v>24</v>
      </c>
      <c r="G506">
        <v>6.79</v>
      </c>
      <c r="H506">
        <v>22.47</v>
      </c>
      <c r="I506">
        <v>4.8899999999999997</v>
      </c>
      <c r="J506">
        <v>16.190000000000001</v>
      </c>
      <c r="K506">
        <v>3</v>
      </c>
      <c r="T506">
        <v>1</v>
      </c>
      <c r="U506">
        <v>1</v>
      </c>
      <c r="V506" t="s">
        <v>93</v>
      </c>
      <c r="W506" t="s">
        <v>568</v>
      </c>
      <c r="X506">
        <v>6</v>
      </c>
      <c r="Y506">
        <v>6</v>
      </c>
      <c r="Z506" t="s">
        <v>816</v>
      </c>
      <c r="AA506" t="s">
        <v>817</v>
      </c>
      <c r="AB506" t="s">
        <v>96</v>
      </c>
      <c r="AC506" t="s">
        <v>97</v>
      </c>
      <c r="AD506" t="s">
        <v>98</v>
      </c>
      <c r="AE506" t="s">
        <v>594</v>
      </c>
      <c r="AG506" t="s">
        <v>818</v>
      </c>
      <c r="AH506">
        <v>0</v>
      </c>
      <c r="AI506">
        <v>308</v>
      </c>
      <c r="AJ506">
        <v>68</v>
      </c>
      <c r="AK506">
        <v>6</v>
      </c>
      <c r="AL506">
        <v>0.25</v>
      </c>
    </row>
    <row r="507" spans="1:38" x14ac:dyDescent="0.3">
      <c r="A507" t="s">
        <v>589</v>
      </c>
      <c r="B507">
        <v>143452</v>
      </c>
      <c r="C507">
        <v>4</v>
      </c>
      <c r="D507" t="s">
        <v>813</v>
      </c>
      <c r="E507" t="s">
        <v>814</v>
      </c>
      <c r="F507">
        <v>24</v>
      </c>
      <c r="G507">
        <v>6.89</v>
      </c>
      <c r="H507">
        <v>22.8</v>
      </c>
      <c r="I507">
        <v>4.97</v>
      </c>
      <c r="J507">
        <v>16.43</v>
      </c>
      <c r="K507">
        <v>1</v>
      </c>
      <c r="T507">
        <v>1</v>
      </c>
      <c r="U507">
        <v>1</v>
      </c>
      <c r="V507" t="s">
        <v>93</v>
      </c>
      <c r="W507" t="s">
        <v>819</v>
      </c>
      <c r="X507">
        <v>6</v>
      </c>
      <c r="Y507">
        <v>6</v>
      </c>
      <c r="Z507" t="s">
        <v>816</v>
      </c>
      <c r="AA507" t="s">
        <v>817</v>
      </c>
      <c r="AB507" t="s">
        <v>96</v>
      </c>
      <c r="AC507" t="s">
        <v>97</v>
      </c>
      <c r="AD507" t="s">
        <v>98</v>
      </c>
      <c r="AE507" t="s">
        <v>594</v>
      </c>
      <c r="AG507" t="s">
        <v>818</v>
      </c>
      <c r="AH507">
        <v>0</v>
      </c>
      <c r="AI507">
        <v>308</v>
      </c>
      <c r="AJ507">
        <v>68</v>
      </c>
      <c r="AK507">
        <v>6</v>
      </c>
      <c r="AL507">
        <v>0.25</v>
      </c>
    </row>
    <row r="508" spans="1:38" x14ac:dyDescent="0.3">
      <c r="A508" t="s">
        <v>589</v>
      </c>
      <c r="B508">
        <v>143452</v>
      </c>
      <c r="C508">
        <v>5</v>
      </c>
      <c r="D508" t="s">
        <v>813</v>
      </c>
      <c r="E508" t="s">
        <v>814</v>
      </c>
      <c r="F508">
        <v>24</v>
      </c>
      <c r="G508">
        <v>7.38</v>
      </c>
      <c r="H508">
        <v>24.41</v>
      </c>
      <c r="I508">
        <v>5.32</v>
      </c>
      <c r="J508">
        <v>17.59</v>
      </c>
      <c r="K508">
        <v>4</v>
      </c>
      <c r="T508">
        <v>1</v>
      </c>
      <c r="U508">
        <v>1</v>
      </c>
      <c r="V508" t="s">
        <v>93</v>
      </c>
      <c r="W508" t="s">
        <v>689</v>
      </c>
      <c r="X508">
        <v>6</v>
      </c>
      <c r="Y508">
        <v>6</v>
      </c>
      <c r="Z508" t="s">
        <v>816</v>
      </c>
      <c r="AA508" t="s">
        <v>817</v>
      </c>
      <c r="AB508" t="s">
        <v>96</v>
      </c>
      <c r="AC508" t="s">
        <v>97</v>
      </c>
      <c r="AD508" t="s">
        <v>98</v>
      </c>
      <c r="AE508" t="s">
        <v>594</v>
      </c>
      <c r="AG508" t="s">
        <v>818</v>
      </c>
      <c r="AH508">
        <v>0</v>
      </c>
      <c r="AI508">
        <v>308</v>
      </c>
      <c r="AJ508">
        <v>68</v>
      </c>
      <c r="AK508">
        <v>6</v>
      </c>
      <c r="AL508">
        <v>0.25</v>
      </c>
    </row>
    <row r="509" spans="1:38" x14ac:dyDescent="0.3">
      <c r="A509" t="s">
        <v>589</v>
      </c>
      <c r="B509">
        <v>143452</v>
      </c>
      <c r="C509">
        <v>6</v>
      </c>
      <c r="D509" t="s">
        <v>813</v>
      </c>
      <c r="E509" t="s">
        <v>814</v>
      </c>
      <c r="F509">
        <v>24</v>
      </c>
      <c r="G509">
        <v>7.38</v>
      </c>
      <c r="H509">
        <v>24.4</v>
      </c>
      <c r="I509">
        <v>5.31</v>
      </c>
      <c r="J509">
        <v>17.579999999999998</v>
      </c>
      <c r="K509">
        <v>3</v>
      </c>
      <c r="T509">
        <v>1</v>
      </c>
      <c r="U509">
        <v>1</v>
      </c>
      <c r="V509" t="s">
        <v>93</v>
      </c>
      <c r="W509" t="s">
        <v>573</v>
      </c>
      <c r="X509">
        <v>6</v>
      </c>
      <c r="Y509">
        <v>6</v>
      </c>
      <c r="Z509" t="s">
        <v>816</v>
      </c>
      <c r="AA509" t="s">
        <v>817</v>
      </c>
      <c r="AB509" t="s">
        <v>96</v>
      </c>
      <c r="AC509" t="s">
        <v>97</v>
      </c>
      <c r="AD509" t="s">
        <v>98</v>
      </c>
      <c r="AE509" t="s">
        <v>594</v>
      </c>
      <c r="AG509" t="s">
        <v>818</v>
      </c>
      <c r="AH509">
        <v>0</v>
      </c>
      <c r="AI509">
        <v>308</v>
      </c>
      <c r="AJ509">
        <v>68</v>
      </c>
      <c r="AK509">
        <v>6</v>
      </c>
      <c r="AL509">
        <v>0.25</v>
      </c>
    </row>
    <row r="510" spans="1:38" x14ac:dyDescent="0.3">
      <c r="A510" t="s">
        <v>589</v>
      </c>
      <c r="B510">
        <v>143452</v>
      </c>
      <c r="C510">
        <v>7</v>
      </c>
      <c r="D510" t="s">
        <v>813</v>
      </c>
      <c r="E510" t="s">
        <v>814</v>
      </c>
      <c r="F510">
        <v>24</v>
      </c>
      <c r="G510">
        <v>8.66</v>
      </c>
      <c r="H510">
        <v>28.66</v>
      </c>
      <c r="I510">
        <v>6.24</v>
      </c>
      <c r="J510">
        <v>20.65</v>
      </c>
      <c r="K510">
        <v>4</v>
      </c>
      <c r="T510">
        <v>1</v>
      </c>
      <c r="U510">
        <v>1</v>
      </c>
      <c r="V510" t="s">
        <v>93</v>
      </c>
      <c r="W510" t="s">
        <v>820</v>
      </c>
      <c r="X510">
        <v>6</v>
      </c>
      <c r="Y510">
        <v>6</v>
      </c>
      <c r="Z510" t="s">
        <v>816</v>
      </c>
      <c r="AA510" t="s">
        <v>817</v>
      </c>
      <c r="AB510" t="s">
        <v>96</v>
      </c>
      <c r="AC510" t="s">
        <v>97</v>
      </c>
      <c r="AD510" t="s">
        <v>98</v>
      </c>
      <c r="AE510" t="s">
        <v>594</v>
      </c>
      <c r="AG510" t="s">
        <v>818</v>
      </c>
      <c r="AH510">
        <v>0</v>
      </c>
      <c r="AI510">
        <v>308</v>
      </c>
      <c r="AJ510">
        <v>68</v>
      </c>
      <c r="AK510">
        <v>6</v>
      </c>
      <c r="AL510">
        <v>0.25</v>
      </c>
    </row>
    <row r="511" spans="1:38" x14ac:dyDescent="0.3">
      <c r="A511" t="s">
        <v>589</v>
      </c>
      <c r="B511">
        <v>143452</v>
      </c>
      <c r="C511">
        <v>8</v>
      </c>
      <c r="D511" t="s">
        <v>813</v>
      </c>
      <c r="E511" t="s">
        <v>814</v>
      </c>
      <c r="F511">
        <v>24</v>
      </c>
      <c r="G511">
        <v>8.9600000000000009</v>
      </c>
      <c r="H511">
        <v>29.63</v>
      </c>
      <c r="I511">
        <v>6.45</v>
      </c>
      <c r="J511">
        <v>21.35</v>
      </c>
      <c r="K511">
        <v>4</v>
      </c>
      <c r="T511">
        <v>1</v>
      </c>
      <c r="U511">
        <v>1</v>
      </c>
      <c r="V511" t="s">
        <v>93</v>
      </c>
      <c r="W511" t="s">
        <v>821</v>
      </c>
      <c r="X511">
        <v>6</v>
      </c>
      <c r="Y511">
        <v>6</v>
      </c>
      <c r="Z511" t="s">
        <v>816</v>
      </c>
      <c r="AA511" t="s">
        <v>817</v>
      </c>
      <c r="AB511" t="s">
        <v>96</v>
      </c>
      <c r="AC511" t="s">
        <v>97</v>
      </c>
      <c r="AD511" t="s">
        <v>98</v>
      </c>
      <c r="AE511" t="s">
        <v>594</v>
      </c>
      <c r="AG511" t="s">
        <v>818</v>
      </c>
      <c r="AH511">
        <v>0</v>
      </c>
      <c r="AI511">
        <v>308</v>
      </c>
      <c r="AJ511">
        <v>68</v>
      </c>
      <c r="AK511">
        <v>6</v>
      </c>
      <c r="AL511">
        <v>0.25</v>
      </c>
    </row>
    <row r="512" spans="1:38" x14ac:dyDescent="0.3">
      <c r="A512" t="s">
        <v>589</v>
      </c>
      <c r="B512">
        <v>1842</v>
      </c>
      <c r="C512">
        <v>1</v>
      </c>
      <c r="D512" t="s">
        <v>822</v>
      </c>
      <c r="E512" t="s">
        <v>477</v>
      </c>
      <c r="F512">
        <v>102</v>
      </c>
      <c r="G512">
        <v>25.71</v>
      </c>
      <c r="H512">
        <v>85</v>
      </c>
      <c r="I512">
        <v>17.96</v>
      </c>
      <c r="J512">
        <v>59.39</v>
      </c>
      <c r="K512">
        <v>42</v>
      </c>
      <c r="T512">
        <v>3</v>
      </c>
      <c r="U512">
        <v>1</v>
      </c>
      <c r="V512" t="s">
        <v>118</v>
      </c>
      <c r="W512">
        <v>85</v>
      </c>
      <c r="X512">
        <v>18</v>
      </c>
      <c r="Y512">
        <v>9</v>
      </c>
      <c r="Z512" t="s">
        <v>823</v>
      </c>
      <c r="AA512" t="s">
        <v>824</v>
      </c>
      <c r="AB512" t="s">
        <v>96</v>
      </c>
      <c r="AC512" t="s">
        <v>97</v>
      </c>
      <c r="AD512" t="s">
        <v>98</v>
      </c>
      <c r="AE512" t="s">
        <v>594</v>
      </c>
      <c r="AG512" t="s">
        <v>825</v>
      </c>
      <c r="AH512">
        <v>0</v>
      </c>
      <c r="AI512">
        <v>326</v>
      </c>
      <c r="AJ512">
        <v>24</v>
      </c>
      <c r="AK512">
        <v>100</v>
      </c>
      <c r="AL512">
        <v>0.98</v>
      </c>
    </row>
    <row r="513" spans="1:38" x14ac:dyDescent="0.3">
      <c r="A513" t="s">
        <v>589</v>
      </c>
      <c r="B513">
        <v>1842</v>
      </c>
      <c r="C513">
        <v>2</v>
      </c>
      <c r="D513" t="s">
        <v>822</v>
      </c>
      <c r="E513" t="s">
        <v>477</v>
      </c>
      <c r="F513">
        <v>102</v>
      </c>
      <c r="G513">
        <v>36.79</v>
      </c>
      <c r="H513">
        <v>121.64</v>
      </c>
      <c r="I513">
        <v>25.7</v>
      </c>
      <c r="J513">
        <v>84.99</v>
      </c>
      <c r="K513">
        <v>60</v>
      </c>
      <c r="T513">
        <v>3</v>
      </c>
      <c r="U513">
        <v>2</v>
      </c>
      <c r="V513" t="s">
        <v>118</v>
      </c>
      <c r="W513">
        <v>121</v>
      </c>
      <c r="X513">
        <v>18</v>
      </c>
      <c r="Y513">
        <v>9</v>
      </c>
      <c r="Z513" t="s">
        <v>823</v>
      </c>
      <c r="AA513" t="s">
        <v>824</v>
      </c>
      <c r="AB513" t="s">
        <v>96</v>
      </c>
      <c r="AC513" t="s">
        <v>97</v>
      </c>
      <c r="AD513" t="s">
        <v>98</v>
      </c>
      <c r="AE513" t="s">
        <v>594</v>
      </c>
      <c r="AG513" t="s">
        <v>825</v>
      </c>
      <c r="AH513">
        <v>0</v>
      </c>
      <c r="AI513">
        <v>326</v>
      </c>
      <c r="AJ513">
        <v>24</v>
      </c>
      <c r="AK513">
        <v>100</v>
      </c>
      <c r="AL513">
        <v>0.98</v>
      </c>
    </row>
    <row r="514" spans="1:38" x14ac:dyDescent="0.3">
      <c r="A514" t="s">
        <v>589</v>
      </c>
      <c r="B514">
        <v>118076</v>
      </c>
      <c r="C514">
        <v>1</v>
      </c>
      <c r="D514" t="s">
        <v>826</v>
      </c>
      <c r="E514" t="s">
        <v>827</v>
      </c>
      <c r="F514">
        <v>19</v>
      </c>
      <c r="G514">
        <v>24.49</v>
      </c>
      <c r="H514">
        <v>80.97</v>
      </c>
      <c r="I514">
        <v>21</v>
      </c>
      <c r="J514">
        <v>69.44</v>
      </c>
      <c r="K514">
        <v>1</v>
      </c>
      <c r="T514">
        <v>3</v>
      </c>
      <c r="U514">
        <v>1</v>
      </c>
      <c r="V514" t="s">
        <v>93</v>
      </c>
      <c r="W514">
        <v>80</v>
      </c>
      <c r="X514">
        <v>8</v>
      </c>
      <c r="Y514">
        <v>6</v>
      </c>
      <c r="Z514" t="s">
        <v>828</v>
      </c>
      <c r="AA514" t="s">
        <v>829</v>
      </c>
      <c r="AB514" t="s">
        <v>96</v>
      </c>
      <c r="AC514" t="s">
        <v>97</v>
      </c>
      <c r="AD514" t="s">
        <v>98</v>
      </c>
      <c r="AE514" t="s">
        <v>594</v>
      </c>
      <c r="AG514" t="s">
        <v>830</v>
      </c>
      <c r="AH514">
        <v>0</v>
      </c>
      <c r="AI514">
        <v>249</v>
      </c>
      <c r="AJ514">
        <v>43</v>
      </c>
      <c r="AK514">
        <v>21</v>
      </c>
      <c r="AL514">
        <v>1.1100000000000001</v>
      </c>
    </row>
    <row r="515" spans="1:38" x14ac:dyDescent="0.3">
      <c r="A515" t="s">
        <v>589</v>
      </c>
      <c r="B515">
        <v>118076</v>
      </c>
      <c r="C515">
        <v>2</v>
      </c>
      <c r="D515" t="s">
        <v>826</v>
      </c>
      <c r="E515" t="s">
        <v>827</v>
      </c>
      <c r="F515">
        <v>19</v>
      </c>
      <c r="G515">
        <v>24.49</v>
      </c>
      <c r="H515">
        <v>80.98</v>
      </c>
      <c r="I515">
        <v>21</v>
      </c>
      <c r="J515">
        <v>69.44</v>
      </c>
      <c r="K515">
        <v>1</v>
      </c>
      <c r="T515">
        <v>3</v>
      </c>
      <c r="U515">
        <v>2</v>
      </c>
      <c r="V515" t="s">
        <v>93</v>
      </c>
      <c r="W515" t="s">
        <v>831</v>
      </c>
      <c r="X515">
        <v>8</v>
      </c>
      <c r="Y515">
        <v>6</v>
      </c>
      <c r="Z515" t="s">
        <v>828</v>
      </c>
      <c r="AA515" t="s">
        <v>829</v>
      </c>
      <c r="AB515" t="s">
        <v>96</v>
      </c>
      <c r="AC515" t="s">
        <v>97</v>
      </c>
      <c r="AD515" t="s">
        <v>98</v>
      </c>
      <c r="AE515" t="s">
        <v>594</v>
      </c>
      <c r="AG515" t="s">
        <v>830</v>
      </c>
      <c r="AH515">
        <v>0</v>
      </c>
      <c r="AI515">
        <v>249</v>
      </c>
      <c r="AJ515">
        <v>43</v>
      </c>
      <c r="AK515">
        <v>21</v>
      </c>
      <c r="AL515">
        <v>1.1100000000000001</v>
      </c>
    </row>
    <row r="516" spans="1:38" x14ac:dyDescent="0.3">
      <c r="A516" t="s">
        <v>589</v>
      </c>
      <c r="B516">
        <v>118076</v>
      </c>
      <c r="C516">
        <v>3</v>
      </c>
      <c r="D516" t="s">
        <v>826</v>
      </c>
      <c r="E516" t="s">
        <v>827</v>
      </c>
      <c r="F516">
        <v>19</v>
      </c>
      <c r="G516">
        <v>24.5</v>
      </c>
      <c r="H516">
        <v>81</v>
      </c>
      <c r="I516">
        <v>21.01</v>
      </c>
      <c r="J516">
        <v>69.459999999999994</v>
      </c>
      <c r="K516">
        <v>2</v>
      </c>
      <c r="T516">
        <v>3</v>
      </c>
      <c r="U516">
        <v>2</v>
      </c>
      <c r="V516" t="s">
        <v>93</v>
      </c>
      <c r="W516" t="s">
        <v>832</v>
      </c>
      <c r="X516">
        <v>8</v>
      </c>
      <c r="Y516">
        <v>6</v>
      </c>
      <c r="Z516" t="s">
        <v>828</v>
      </c>
      <c r="AA516" t="s">
        <v>829</v>
      </c>
      <c r="AB516" t="s">
        <v>96</v>
      </c>
      <c r="AC516" t="s">
        <v>97</v>
      </c>
      <c r="AD516" t="s">
        <v>98</v>
      </c>
      <c r="AE516" t="s">
        <v>594</v>
      </c>
      <c r="AG516" t="s">
        <v>830</v>
      </c>
      <c r="AH516">
        <v>0</v>
      </c>
      <c r="AI516">
        <v>249</v>
      </c>
      <c r="AJ516">
        <v>43</v>
      </c>
      <c r="AK516">
        <v>21</v>
      </c>
      <c r="AL516">
        <v>1.1100000000000001</v>
      </c>
    </row>
    <row r="517" spans="1:38" x14ac:dyDescent="0.3">
      <c r="A517" t="s">
        <v>589</v>
      </c>
      <c r="B517">
        <v>118076</v>
      </c>
      <c r="C517">
        <v>4</v>
      </c>
      <c r="D517" t="s">
        <v>826</v>
      </c>
      <c r="E517" t="s">
        <v>827</v>
      </c>
      <c r="F517">
        <v>19</v>
      </c>
      <c r="G517">
        <v>29.75</v>
      </c>
      <c r="H517">
        <v>98.37</v>
      </c>
      <c r="I517">
        <v>25.51</v>
      </c>
      <c r="J517">
        <v>84.35</v>
      </c>
      <c r="K517">
        <v>10</v>
      </c>
      <c r="T517">
        <v>3</v>
      </c>
      <c r="U517">
        <v>2</v>
      </c>
      <c r="V517" t="s">
        <v>93</v>
      </c>
      <c r="W517" t="s">
        <v>208</v>
      </c>
      <c r="X517">
        <v>8</v>
      </c>
      <c r="Y517">
        <v>6</v>
      </c>
      <c r="Z517" t="s">
        <v>828</v>
      </c>
      <c r="AA517" t="s">
        <v>829</v>
      </c>
      <c r="AB517" t="s">
        <v>96</v>
      </c>
      <c r="AC517" t="s">
        <v>97</v>
      </c>
      <c r="AD517" t="s">
        <v>98</v>
      </c>
      <c r="AE517" t="s">
        <v>594</v>
      </c>
      <c r="AG517" t="s">
        <v>830</v>
      </c>
      <c r="AH517">
        <v>0</v>
      </c>
      <c r="AI517">
        <v>249</v>
      </c>
      <c r="AJ517">
        <v>43</v>
      </c>
      <c r="AK517">
        <v>21</v>
      </c>
      <c r="AL517">
        <v>1.1100000000000001</v>
      </c>
    </row>
    <row r="518" spans="1:38" x14ac:dyDescent="0.3">
      <c r="A518" t="s">
        <v>589</v>
      </c>
      <c r="B518">
        <v>118076</v>
      </c>
      <c r="C518">
        <v>5</v>
      </c>
      <c r="D518" t="s">
        <v>826</v>
      </c>
      <c r="E518" t="s">
        <v>827</v>
      </c>
      <c r="F518">
        <v>19</v>
      </c>
      <c r="G518">
        <v>29.76</v>
      </c>
      <c r="H518">
        <v>98.41</v>
      </c>
      <c r="I518">
        <v>25.52</v>
      </c>
      <c r="J518">
        <v>84.39</v>
      </c>
      <c r="K518">
        <v>5</v>
      </c>
      <c r="T518">
        <v>3</v>
      </c>
      <c r="U518">
        <v>2</v>
      </c>
      <c r="V518" t="s">
        <v>93</v>
      </c>
      <c r="W518" t="s">
        <v>605</v>
      </c>
      <c r="X518">
        <v>8</v>
      </c>
      <c r="Y518">
        <v>6</v>
      </c>
      <c r="Z518" t="s">
        <v>828</v>
      </c>
      <c r="AA518" t="s">
        <v>829</v>
      </c>
      <c r="AB518" t="s">
        <v>96</v>
      </c>
      <c r="AC518" t="s">
        <v>97</v>
      </c>
      <c r="AD518" t="s">
        <v>98</v>
      </c>
      <c r="AE518" t="s">
        <v>594</v>
      </c>
      <c r="AG518" t="s">
        <v>830</v>
      </c>
      <c r="AH518">
        <v>0</v>
      </c>
      <c r="AI518">
        <v>249</v>
      </c>
      <c r="AJ518">
        <v>43</v>
      </c>
      <c r="AK518">
        <v>21</v>
      </c>
      <c r="AL518">
        <v>1.1100000000000001</v>
      </c>
    </row>
    <row r="519" spans="1:38" x14ac:dyDescent="0.3">
      <c r="A519" t="s">
        <v>589</v>
      </c>
      <c r="B519">
        <v>114232</v>
      </c>
      <c r="C519">
        <v>1</v>
      </c>
      <c r="D519" t="s">
        <v>833</v>
      </c>
      <c r="E519" t="s">
        <v>834</v>
      </c>
      <c r="F519">
        <v>48</v>
      </c>
      <c r="G519">
        <v>16.809999999999999</v>
      </c>
      <c r="H519">
        <v>55.58</v>
      </c>
      <c r="I519">
        <v>10.75</v>
      </c>
      <c r="J519">
        <v>35.549999999999997</v>
      </c>
      <c r="K519">
        <v>18</v>
      </c>
      <c r="T519">
        <v>2</v>
      </c>
      <c r="U519">
        <v>1</v>
      </c>
      <c r="V519" t="s">
        <v>93</v>
      </c>
      <c r="W519">
        <v>55</v>
      </c>
      <c r="X519">
        <v>12</v>
      </c>
      <c r="Y519">
        <v>12</v>
      </c>
      <c r="Z519" t="s">
        <v>835</v>
      </c>
      <c r="AA519" t="s">
        <v>836</v>
      </c>
      <c r="AB519" t="s">
        <v>96</v>
      </c>
      <c r="AC519" t="s">
        <v>97</v>
      </c>
      <c r="AD519" t="s">
        <v>98</v>
      </c>
      <c r="AE519" t="s">
        <v>594</v>
      </c>
      <c r="AG519" t="s">
        <v>837</v>
      </c>
      <c r="AH519">
        <v>0</v>
      </c>
      <c r="AI519">
        <v>441</v>
      </c>
      <c r="AJ519">
        <v>58</v>
      </c>
      <c r="AK519">
        <v>48</v>
      </c>
      <c r="AL519">
        <v>1</v>
      </c>
    </row>
    <row r="520" spans="1:38" x14ac:dyDescent="0.3">
      <c r="A520" t="s">
        <v>589</v>
      </c>
      <c r="B520">
        <v>114232</v>
      </c>
      <c r="C520">
        <v>2</v>
      </c>
      <c r="D520" t="s">
        <v>833</v>
      </c>
      <c r="E520" t="s">
        <v>834</v>
      </c>
      <c r="F520">
        <v>48</v>
      </c>
      <c r="G520">
        <v>23.95</v>
      </c>
      <c r="H520">
        <v>79.2</v>
      </c>
      <c r="I520">
        <v>15.32</v>
      </c>
      <c r="J520">
        <v>50.65</v>
      </c>
      <c r="K520">
        <v>20</v>
      </c>
      <c r="T520">
        <v>3</v>
      </c>
      <c r="U520">
        <v>1</v>
      </c>
      <c r="V520" t="s">
        <v>93</v>
      </c>
      <c r="W520">
        <v>79</v>
      </c>
      <c r="X520">
        <v>12</v>
      </c>
      <c r="Y520">
        <v>12</v>
      </c>
      <c r="Z520" t="s">
        <v>835</v>
      </c>
      <c r="AA520" t="s">
        <v>836</v>
      </c>
      <c r="AB520" t="s">
        <v>96</v>
      </c>
      <c r="AC520" t="s">
        <v>97</v>
      </c>
      <c r="AD520" t="s">
        <v>98</v>
      </c>
      <c r="AE520" t="s">
        <v>594</v>
      </c>
      <c r="AG520" t="s">
        <v>837</v>
      </c>
      <c r="AH520">
        <v>0</v>
      </c>
      <c r="AI520">
        <v>441</v>
      </c>
      <c r="AJ520">
        <v>58</v>
      </c>
      <c r="AK520">
        <v>48</v>
      </c>
      <c r="AL520">
        <v>1</v>
      </c>
    </row>
    <row r="521" spans="1:38" x14ac:dyDescent="0.3">
      <c r="A521" t="s">
        <v>589</v>
      </c>
      <c r="B521">
        <v>114232</v>
      </c>
      <c r="C521">
        <v>3</v>
      </c>
      <c r="D521" t="s">
        <v>833</v>
      </c>
      <c r="E521" t="s">
        <v>834</v>
      </c>
      <c r="F521">
        <v>48</v>
      </c>
      <c r="G521">
        <v>24.5</v>
      </c>
      <c r="H521">
        <v>81</v>
      </c>
      <c r="I521">
        <v>15.67</v>
      </c>
      <c r="J521">
        <v>51.81</v>
      </c>
      <c r="K521">
        <v>10</v>
      </c>
      <c r="T521">
        <v>3</v>
      </c>
      <c r="U521">
        <v>2</v>
      </c>
      <c r="V521" t="s">
        <v>93</v>
      </c>
      <c r="W521">
        <v>81</v>
      </c>
      <c r="X521">
        <v>12</v>
      </c>
      <c r="Y521">
        <v>12</v>
      </c>
      <c r="Z521" t="s">
        <v>835</v>
      </c>
      <c r="AA521" t="s">
        <v>836</v>
      </c>
      <c r="AB521" t="s">
        <v>96</v>
      </c>
      <c r="AC521" t="s">
        <v>97</v>
      </c>
      <c r="AD521" t="s">
        <v>98</v>
      </c>
      <c r="AE521" t="s">
        <v>594</v>
      </c>
      <c r="AG521" t="s">
        <v>837</v>
      </c>
      <c r="AH521">
        <v>0</v>
      </c>
      <c r="AI521">
        <v>441</v>
      </c>
      <c r="AJ521">
        <v>58</v>
      </c>
      <c r="AK521">
        <v>48</v>
      </c>
      <c r="AL521">
        <v>1</v>
      </c>
    </row>
    <row r="522" spans="1:38" x14ac:dyDescent="0.3">
      <c r="A522" t="s">
        <v>589</v>
      </c>
      <c r="B522">
        <v>106818</v>
      </c>
      <c r="C522">
        <v>1</v>
      </c>
      <c r="D522" t="s">
        <v>838</v>
      </c>
      <c r="E522" t="s">
        <v>385</v>
      </c>
      <c r="F522">
        <v>11</v>
      </c>
      <c r="G522">
        <v>28.15</v>
      </c>
      <c r="H522">
        <v>93.07</v>
      </c>
      <c r="I522">
        <v>25.05</v>
      </c>
      <c r="J522">
        <v>82.84</v>
      </c>
      <c r="K522">
        <v>6</v>
      </c>
      <c r="T522">
        <v>3</v>
      </c>
      <c r="U522">
        <v>1</v>
      </c>
      <c r="V522" t="s">
        <v>93</v>
      </c>
      <c r="W522">
        <v>93</v>
      </c>
      <c r="X522">
        <v>7</v>
      </c>
      <c r="Y522">
        <v>7</v>
      </c>
      <c r="Z522" t="s">
        <v>839</v>
      </c>
      <c r="AA522" t="s">
        <v>840</v>
      </c>
      <c r="AB522" t="s">
        <v>96</v>
      </c>
      <c r="AC522" t="s">
        <v>97</v>
      </c>
      <c r="AD522" t="s">
        <v>98</v>
      </c>
      <c r="AE522" t="s">
        <v>594</v>
      </c>
      <c r="AG522" t="s">
        <v>841</v>
      </c>
      <c r="AH522">
        <v>0</v>
      </c>
      <c r="AI522">
        <v>254</v>
      </c>
      <c r="AJ522">
        <v>50</v>
      </c>
      <c r="AK522">
        <v>12</v>
      </c>
      <c r="AL522">
        <v>1.0900000000000001</v>
      </c>
    </row>
    <row r="523" spans="1:38" x14ac:dyDescent="0.3">
      <c r="A523" t="s">
        <v>589</v>
      </c>
      <c r="B523">
        <v>106818</v>
      </c>
      <c r="C523">
        <v>2</v>
      </c>
      <c r="D523" t="s">
        <v>838</v>
      </c>
      <c r="E523" t="s">
        <v>385</v>
      </c>
      <c r="F523">
        <v>11</v>
      </c>
      <c r="G523">
        <v>28.92</v>
      </c>
      <c r="H523">
        <v>95.62</v>
      </c>
      <c r="I523">
        <v>25.74</v>
      </c>
      <c r="J523">
        <v>85.11</v>
      </c>
      <c r="K523">
        <v>5</v>
      </c>
      <c r="T523">
        <v>3</v>
      </c>
      <c r="U523">
        <v>2</v>
      </c>
      <c r="V523" t="s">
        <v>118</v>
      </c>
      <c r="W523">
        <v>95</v>
      </c>
      <c r="X523">
        <v>7</v>
      </c>
      <c r="Y523">
        <v>7</v>
      </c>
      <c r="Z523" t="s">
        <v>839</v>
      </c>
      <c r="AA523" t="s">
        <v>840</v>
      </c>
      <c r="AB523" t="s">
        <v>96</v>
      </c>
      <c r="AC523" t="s">
        <v>97</v>
      </c>
      <c r="AD523" t="s">
        <v>98</v>
      </c>
      <c r="AE523" t="s">
        <v>594</v>
      </c>
      <c r="AG523" t="s">
        <v>841</v>
      </c>
      <c r="AH523">
        <v>0</v>
      </c>
      <c r="AI523">
        <v>254</v>
      </c>
      <c r="AJ523">
        <v>50</v>
      </c>
      <c r="AK523">
        <v>12</v>
      </c>
      <c r="AL523">
        <v>1.0900000000000001</v>
      </c>
    </row>
    <row r="524" spans="1:38" x14ac:dyDescent="0.3">
      <c r="A524" t="s">
        <v>589</v>
      </c>
      <c r="B524">
        <v>119669</v>
      </c>
      <c r="C524">
        <v>1</v>
      </c>
      <c r="D524" t="s">
        <v>116</v>
      </c>
      <c r="E524" t="s">
        <v>842</v>
      </c>
      <c r="F524">
        <v>104</v>
      </c>
      <c r="G524">
        <v>15.4</v>
      </c>
      <c r="H524">
        <v>50.94</v>
      </c>
      <c r="I524">
        <v>6.93</v>
      </c>
      <c r="J524">
        <v>22.94</v>
      </c>
      <c r="K524">
        <v>16</v>
      </c>
      <c r="T524">
        <v>1</v>
      </c>
      <c r="U524">
        <v>1</v>
      </c>
      <c r="V524" t="s">
        <v>118</v>
      </c>
      <c r="W524" t="s">
        <v>843</v>
      </c>
      <c r="X524">
        <v>13</v>
      </c>
      <c r="Y524">
        <v>13</v>
      </c>
      <c r="Z524" t="s">
        <v>844</v>
      </c>
      <c r="AA524" t="s">
        <v>845</v>
      </c>
      <c r="AB524" t="s">
        <v>96</v>
      </c>
      <c r="AC524" t="s">
        <v>97</v>
      </c>
      <c r="AD524" t="s">
        <v>98</v>
      </c>
      <c r="AE524" t="s">
        <v>594</v>
      </c>
      <c r="AG524" t="s">
        <v>846</v>
      </c>
      <c r="AH524">
        <v>0</v>
      </c>
      <c r="AI524">
        <v>373</v>
      </c>
      <c r="AJ524">
        <v>61</v>
      </c>
      <c r="AK524">
        <v>59</v>
      </c>
      <c r="AL524">
        <v>0.56999999999999995</v>
      </c>
    </row>
    <row r="525" spans="1:38" x14ac:dyDescent="0.3">
      <c r="A525" t="s">
        <v>589</v>
      </c>
      <c r="B525">
        <v>119669</v>
      </c>
      <c r="C525">
        <v>2</v>
      </c>
      <c r="D525" t="s">
        <v>116</v>
      </c>
      <c r="E525" t="s">
        <v>842</v>
      </c>
      <c r="F525">
        <v>104</v>
      </c>
      <c r="G525">
        <v>15.62</v>
      </c>
      <c r="H525">
        <v>51.64</v>
      </c>
      <c r="I525">
        <v>7.03</v>
      </c>
      <c r="J525">
        <v>23.26</v>
      </c>
      <c r="K525">
        <v>16</v>
      </c>
      <c r="T525">
        <v>1</v>
      </c>
      <c r="U525">
        <v>1</v>
      </c>
      <c r="V525" t="s">
        <v>118</v>
      </c>
      <c r="W525" t="s">
        <v>847</v>
      </c>
      <c r="X525">
        <v>13</v>
      </c>
      <c r="Y525">
        <v>13</v>
      </c>
      <c r="Z525" t="s">
        <v>844</v>
      </c>
      <c r="AA525" t="s">
        <v>845</v>
      </c>
      <c r="AB525" t="s">
        <v>96</v>
      </c>
      <c r="AC525" t="s">
        <v>97</v>
      </c>
      <c r="AD525" t="s">
        <v>98</v>
      </c>
      <c r="AE525" t="s">
        <v>594</v>
      </c>
      <c r="AG525" t="s">
        <v>846</v>
      </c>
      <c r="AH525">
        <v>0</v>
      </c>
      <c r="AI525">
        <v>373</v>
      </c>
      <c r="AJ525">
        <v>61</v>
      </c>
      <c r="AK525">
        <v>59</v>
      </c>
      <c r="AL525">
        <v>0.56999999999999995</v>
      </c>
    </row>
    <row r="526" spans="1:38" x14ac:dyDescent="0.3">
      <c r="A526" t="s">
        <v>589</v>
      </c>
      <c r="B526">
        <v>119669</v>
      </c>
      <c r="C526">
        <v>3</v>
      </c>
      <c r="D526" t="s">
        <v>116</v>
      </c>
      <c r="E526" t="s">
        <v>842</v>
      </c>
      <c r="F526">
        <v>104</v>
      </c>
      <c r="G526">
        <v>15.97</v>
      </c>
      <c r="H526">
        <v>52.82</v>
      </c>
      <c r="I526">
        <v>7.19</v>
      </c>
      <c r="J526">
        <v>23.79</v>
      </c>
      <c r="K526">
        <v>16</v>
      </c>
      <c r="T526">
        <v>1</v>
      </c>
      <c r="U526">
        <v>1</v>
      </c>
      <c r="V526" t="s">
        <v>118</v>
      </c>
      <c r="W526" t="s">
        <v>848</v>
      </c>
      <c r="X526">
        <v>13</v>
      </c>
      <c r="Y526">
        <v>13</v>
      </c>
      <c r="Z526" t="s">
        <v>844</v>
      </c>
      <c r="AA526" t="s">
        <v>845</v>
      </c>
      <c r="AB526" t="s">
        <v>96</v>
      </c>
      <c r="AC526" t="s">
        <v>97</v>
      </c>
      <c r="AD526" t="s">
        <v>98</v>
      </c>
      <c r="AE526" t="s">
        <v>594</v>
      </c>
      <c r="AG526" t="s">
        <v>846</v>
      </c>
      <c r="AH526">
        <v>0</v>
      </c>
      <c r="AI526">
        <v>373</v>
      </c>
      <c r="AJ526">
        <v>61</v>
      </c>
      <c r="AK526">
        <v>59</v>
      </c>
      <c r="AL526">
        <v>0.56999999999999995</v>
      </c>
    </row>
    <row r="527" spans="1:38" x14ac:dyDescent="0.3">
      <c r="A527" t="s">
        <v>589</v>
      </c>
      <c r="B527">
        <v>119669</v>
      </c>
      <c r="C527">
        <v>4</v>
      </c>
      <c r="D527" t="s">
        <v>116</v>
      </c>
      <c r="E527" t="s">
        <v>842</v>
      </c>
      <c r="F527">
        <v>104</v>
      </c>
      <c r="G527">
        <v>16.22</v>
      </c>
      <c r="H527">
        <v>53.65</v>
      </c>
      <c r="I527">
        <v>7.3</v>
      </c>
      <c r="J527">
        <v>24.16</v>
      </c>
      <c r="K527">
        <v>24</v>
      </c>
      <c r="T527">
        <v>1</v>
      </c>
      <c r="U527">
        <v>1</v>
      </c>
      <c r="V527" t="s">
        <v>118</v>
      </c>
      <c r="W527" t="s">
        <v>849</v>
      </c>
      <c r="X527">
        <v>13</v>
      </c>
      <c r="Y527">
        <v>13</v>
      </c>
      <c r="Z527" t="s">
        <v>844</v>
      </c>
      <c r="AA527" t="s">
        <v>845</v>
      </c>
      <c r="AB527" t="s">
        <v>96</v>
      </c>
      <c r="AC527" t="s">
        <v>97</v>
      </c>
      <c r="AD527" t="s">
        <v>98</v>
      </c>
      <c r="AE527" t="s">
        <v>594</v>
      </c>
      <c r="AG527" t="s">
        <v>846</v>
      </c>
      <c r="AH527">
        <v>0</v>
      </c>
      <c r="AI527">
        <v>373</v>
      </c>
      <c r="AJ527">
        <v>61</v>
      </c>
      <c r="AK527">
        <v>59</v>
      </c>
      <c r="AL527">
        <v>0.56999999999999995</v>
      </c>
    </row>
    <row r="528" spans="1:38" x14ac:dyDescent="0.3">
      <c r="A528" t="s">
        <v>589</v>
      </c>
      <c r="B528">
        <v>119669</v>
      </c>
      <c r="C528">
        <v>5</v>
      </c>
      <c r="D528" t="s">
        <v>116</v>
      </c>
      <c r="E528" t="s">
        <v>842</v>
      </c>
      <c r="F528">
        <v>104</v>
      </c>
      <c r="G528">
        <v>16.38</v>
      </c>
      <c r="H528">
        <v>54.15</v>
      </c>
      <c r="I528">
        <v>7.37</v>
      </c>
      <c r="J528">
        <v>24.39</v>
      </c>
      <c r="K528">
        <v>8</v>
      </c>
      <c r="T528">
        <v>1</v>
      </c>
      <c r="U528">
        <v>1</v>
      </c>
      <c r="V528" t="s">
        <v>118</v>
      </c>
      <c r="W528" t="s">
        <v>850</v>
      </c>
      <c r="X528">
        <v>13</v>
      </c>
      <c r="Y528">
        <v>13</v>
      </c>
      <c r="Z528" t="s">
        <v>844</v>
      </c>
      <c r="AA528" t="s">
        <v>845</v>
      </c>
      <c r="AB528" t="s">
        <v>96</v>
      </c>
      <c r="AC528" t="s">
        <v>97</v>
      </c>
      <c r="AD528" t="s">
        <v>98</v>
      </c>
      <c r="AE528" t="s">
        <v>594</v>
      </c>
      <c r="AG528" t="s">
        <v>846</v>
      </c>
      <c r="AH528">
        <v>0</v>
      </c>
      <c r="AI528">
        <v>373</v>
      </c>
      <c r="AJ528">
        <v>61</v>
      </c>
      <c r="AK528">
        <v>59</v>
      </c>
      <c r="AL528">
        <v>0.56999999999999995</v>
      </c>
    </row>
    <row r="529" spans="1:38" x14ac:dyDescent="0.3">
      <c r="A529" t="s">
        <v>589</v>
      </c>
      <c r="B529">
        <v>119669</v>
      </c>
      <c r="C529">
        <v>6</v>
      </c>
      <c r="D529" t="s">
        <v>116</v>
      </c>
      <c r="E529" t="s">
        <v>842</v>
      </c>
      <c r="F529">
        <v>104</v>
      </c>
      <c r="G529">
        <v>16.97</v>
      </c>
      <c r="H529">
        <v>56.1</v>
      </c>
      <c r="I529">
        <v>7.64</v>
      </c>
      <c r="J529">
        <v>25.27</v>
      </c>
      <c r="K529">
        <v>16</v>
      </c>
      <c r="T529">
        <v>1</v>
      </c>
      <c r="U529">
        <v>1</v>
      </c>
      <c r="V529" t="s">
        <v>118</v>
      </c>
      <c r="W529" t="s">
        <v>851</v>
      </c>
      <c r="X529">
        <v>13</v>
      </c>
      <c r="Y529">
        <v>13</v>
      </c>
      <c r="Z529" t="s">
        <v>844</v>
      </c>
      <c r="AA529" t="s">
        <v>845</v>
      </c>
      <c r="AB529" t="s">
        <v>96</v>
      </c>
      <c r="AC529" t="s">
        <v>97</v>
      </c>
      <c r="AD529" t="s">
        <v>98</v>
      </c>
      <c r="AE529" t="s">
        <v>594</v>
      </c>
      <c r="AG529" t="s">
        <v>846</v>
      </c>
      <c r="AH529">
        <v>0</v>
      </c>
      <c r="AI529">
        <v>373</v>
      </c>
      <c r="AJ529">
        <v>61</v>
      </c>
      <c r="AK529">
        <v>59</v>
      </c>
      <c r="AL529">
        <v>0.56999999999999995</v>
      </c>
    </row>
    <row r="530" spans="1:38" x14ac:dyDescent="0.3">
      <c r="A530" t="s">
        <v>589</v>
      </c>
      <c r="B530">
        <v>119669</v>
      </c>
      <c r="C530">
        <v>7</v>
      </c>
      <c r="D530" t="s">
        <v>116</v>
      </c>
      <c r="E530" t="s">
        <v>842</v>
      </c>
      <c r="F530">
        <v>104</v>
      </c>
      <c r="G530">
        <v>17.66</v>
      </c>
      <c r="H530">
        <v>58.41</v>
      </c>
      <c r="I530">
        <v>7.95</v>
      </c>
      <c r="J530">
        <v>26.31</v>
      </c>
      <c r="K530">
        <v>8</v>
      </c>
      <c r="T530">
        <v>1</v>
      </c>
      <c r="U530">
        <v>1</v>
      </c>
      <c r="V530" t="s">
        <v>118</v>
      </c>
      <c r="W530" t="s">
        <v>852</v>
      </c>
      <c r="X530">
        <v>13</v>
      </c>
      <c r="Y530">
        <v>13</v>
      </c>
      <c r="Z530" t="s">
        <v>844</v>
      </c>
      <c r="AA530" t="s">
        <v>845</v>
      </c>
      <c r="AB530" t="s">
        <v>96</v>
      </c>
      <c r="AC530" t="s">
        <v>97</v>
      </c>
      <c r="AD530" t="s">
        <v>98</v>
      </c>
      <c r="AE530" t="s">
        <v>594</v>
      </c>
      <c r="AG530" t="s">
        <v>846</v>
      </c>
      <c r="AH530">
        <v>0</v>
      </c>
      <c r="AI530">
        <v>373</v>
      </c>
      <c r="AJ530">
        <v>61</v>
      </c>
      <c r="AK530">
        <v>59</v>
      </c>
      <c r="AL530">
        <v>0.56999999999999995</v>
      </c>
    </row>
    <row r="531" spans="1:38" x14ac:dyDescent="0.3">
      <c r="A531" t="s">
        <v>589</v>
      </c>
      <c r="B531">
        <v>122141</v>
      </c>
      <c r="C531">
        <v>1</v>
      </c>
      <c r="D531" t="s">
        <v>853</v>
      </c>
      <c r="E531" t="s">
        <v>854</v>
      </c>
      <c r="F531">
        <v>144</v>
      </c>
      <c r="G531">
        <v>8.68</v>
      </c>
      <c r="H531">
        <v>28.7</v>
      </c>
      <c r="I531">
        <v>6.46</v>
      </c>
      <c r="J531">
        <v>21.36</v>
      </c>
      <c r="K531">
        <v>2</v>
      </c>
      <c r="T531">
        <v>1</v>
      </c>
      <c r="U531">
        <v>1</v>
      </c>
      <c r="V531" t="s">
        <v>118</v>
      </c>
      <c r="W531" t="s">
        <v>820</v>
      </c>
      <c r="X531">
        <v>11</v>
      </c>
      <c r="Y531">
        <v>10</v>
      </c>
      <c r="Z531" t="s">
        <v>855</v>
      </c>
      <c r="AA531" t="s">
        <v>856</v>
      </c>
      <c r="AB531" t="s">
        <v>96</v>
      </c>
      <c r="AC531" t="s">
        <v>97</v>
      </c>
      <c r="AD531" t="s">
        <v>98</v>
      </c>
      <c r="AE531" t="s">
        <v>594</v>
      </c>
      <c r="AG531" t="s">
        <v>857</v>
      </c>
      <c r="AH531">
        <v>0</v>
      </c>
      <c r="AI531">
        <v>399</v>
      </c>
      <c r="AJ531">
        <v>64</v>
      </c>
      <c r="AK531">
        <v>75</v>
      </c>
      <c r="AL531">
        <v>0.52</v>
      </c>
    </row>
    <row r="532" spans="1:38" x14ac:dyDescent="0.3">
      <c r="A532" t="s">
        <v>589</v>
      </c>
      <c r="B532">
        <v>122141</v>
      </c>
      <c r="C532">
        <v>2</v>
      </c>
      <c r="D532" t="s">
        <v>853</v>
      </c>
      <c r="E532" t="s">
        <v>854</v>
      </c>
      <c r="F532">
        <v>144</v>
      </c>
      <c r="G532">
        <v>9.06</v>
      </c>
      <c r="H532">
        <v>29.97</v>
      </c>
      <c r="I532">
        <v>6.8</v>
      </c>
      <c r="J532">
        <v>22.51</v>
      </c>
      <c r="K532">
        <v>28</v>
      </c>
      <c r="T532">
        <v>1</v>
      </c>
      <c r="U532">
        <v>1</v>
      </c>
      <c r="V532" t="s">
        <v>118</v>
      </c>
      <c r="W532" t="s">
        <v>858</v>
      </c>
      <c r="X532">
        <v>11</v>
      </c>
      <c r="Y532">
        <v>10</v>
      </c>
      <c r="Z532" t="s">
        <v>855</v>
      </c>
      <c r="AA532" t="s">
        <v>856</v>
      </c>
      <c r="AB532" t="s">
        <v>96</v>
      </c>
      <c r="AC532" t="s">
        <v>97</v>
      </c>
      <c r="AD532" t="s">
        <v>98</v>
      </c>
      <c r="AE532" t="s">
        <v>594</v>
      </c>
      <c r="AG532" t="s">
        <v>857</v>
      </c>
      <c r="AH532">
        <v>0</v>
      </c>
      <c r="AI532">
        <v>399</v>
      </c>
      <c r="AJ532">
        <v>64</v>
      </c>
      <c r="AK532">
        <v>75</v>
      </c>
      <c r="AL532">
        <v>0.52</v>
      </c>
    </row>
    <row r="533" spans="1:38" x14ac:dyDescent="0.3">
      <c r="A533" t="s">
        <v>589</v>
      </c>
      <c r="B533">
        <v>122141</v>
      </c>
      <c r="C533">
        <v>3</v>
      </c>
      <c r="D533" t="s">
        <v>853</v>
      </c>
      <c r="E533" t="s">
        <v>854</v>
      </c>
      <c r="F533">
        <v>144</v>
      </c>
      <c r="G533">
        <v>8.94</v>
      </c>
      <c r="H533">
        <v>29.56</v>
      </c>
      <c r="I533">
        <v>6.72</v>
      </c>
      <c r="J533">
        <v>22.22</v>
      </c>
      <c r="K533">
        <v>14</v>
      </c>
      <c r="T533">
        <v>1</v>
      </c>
      <c r="U533">
        <v>1</v>
      </c>
      <c r="V533" t="s">
        <v>118</v>
      </c>
      <c r="W533" t="s">
        <v>859</v>
      </c>
      <c r="X533">
        <v>11</v>
      </c>
      <c r="Y533">
        <v>10</v>
      </c>
      <c r="Z533" t="s">
        <v>855</v>
      </c>
      <c r="AA533" t="s">
        <v>856</v>
      </c>
      <c r="AB533" t="s">
        <v>96</v>
      </c>
      <c r="AC533" t="s">
        <v>97</v>
      </c>
      <c r="AD533" t="s">
        <v>98</v>
      </c>
      <c r="AE533" t="s">
        <v>594</v>
      </c>
      <c r="AG533" t="s">
        <v>857</v>
      </c>
      <c r="AH533">
        <v>0</v>
      </c>
      <c r="AI533">
        <v>399</v>
      </c>
      <c r="AJ533">
        <v>64</v>
      </c>
      <c r="AK533">
        <v>75</v>
      </c>
      <c r="AL533">
        <v>0.52</v>
      </c>
    </row>
    <row r="534" spans="1:38" x14ac:dyDescent="0.3">
      <c r="A534" t="s">
        <v>589</v>
      </c>
      <c r="B534">
        <v>122141</v>
      </c>
      <c r="C534">
        <v>4</v>
      </c>
      <c r="D534" t="s">
        <v>853</v>
      </c>
      <c r="E534" t="s">
        <v>854</v>
      </c>
      <c r="F534">
        <v>144</v>
      </c>
      <c r="G534">
        <v>8.93</v>
      </c>
      <c r="H534">
        <v>29.53</v>
      </c>
      <c r="I534">
        <v>6.64</v>
      </c>
      <c r="J534">
        <v>21.98</v>
      </c>
      <c r="K534">
        <v>7</v>
      </c>
      <c r="T534">
        <v>1</v>
      </c>
      <c r="U534">
        <v>1</v>
      </c>
      <c r="V534" t="s">
        <v>118</v>
      </c>
      <c r="W534" t="s">
        <v>860</v>
      </c>
      <c r="X534">
        <v>11</v>
      </c>
      <c r="Y534">
        <v>10</v>
      </c>
      <c r="Z534" t="s">
        <v>855</v>
      </c>
      <c r="AA534" t="s">
        <v>856</v>
      </c>
      <c r="AB534" t="s">
        <v>96</v>
      </c>
      <c r="AC534" t="s">
        <v>97</v>
      </c>
      <c r="AD534" t="s">
        <v>98</v>
      </c>
      <c r="AE534" t="s">
        <v>594</v>
      </c>
      <c r="AG534" t="s">
        <v>857</v>
      </c>
      <c r="AH534">
        <v>0</v>
      </c>
      <c r="AI534">
        <v>399</v>
      </c>
      <c r="AJ534">
        <v>64</v>
      </c>
      <c r="AK534">
        <v>75</v>
      </c>
      <c r="AL534">
        <v>0.52</v>
      </c>
    </row>
    <row r="535" spans="1:38" x14ac:dyDescent="0.3">
      <c r="A535" t="s">
        <v>589</v>
      </c>
      <c r="B535">
        <v>122141</v>
      </c>
      <c r="C535">
        <v>5</v>
      </c>
      <c r="D535" t="s">
        <v>853</v>
      </c>
      <c r="E535" t="s">
        <v>854</v>
      </c>
      <c r="F535">
        <v>144</v>
      </c>
      <c r="G535">
        <v>8.81</v>
      </c>
      <c r="H535">
        <v>29.14</v>
      </c>
      <c r="I535">
        <v>6.55</v>
      </c>
      <c r="J535">
        <v>21.68</v>
      </c>
      <c r="K535">
        <v>4</v>
      </c>
      <c r="T535">
        <v>1</v>
      </c>
      <c r="U535">
        <v>1</v>
      </c>
      <c r="V535" t="s">
        <v>118</v>
      </c>
      <c r="W535" t="s">
        <v>821</v>
      </c>
      <c r="X535">
        <v>11</v>
      </c>
      <c r="Y535">
        <v>10</v>
      </c>
      <c r="Z535" t="s">
        <v>855</v>
      </c>
      <c r="AA535" t="s">
        <v>856</v>
      </c>
      <c r="AB535" t="s">
        <v>96</v>
      </c>
      <c r="AC535" t="s">
        <v>97</v>
      </c>
      <c r="AD535" t="s">
        <v>98</v>
      </c>
      <c r="AE535" t="s">
        <v>594</v>
      </c>
      <c r="AG535" t="s">
        <v>857</v>
      </c>
      <c r="AH535">
        <v>0</v>
      </c>
      <c r="AI535">
        <v>399</v>
      </c>
      <c r="AJ535">
        <v>64</v>
      </c>
      <c r="AK535">
        <v>75</v>
      </c>
      <c r="AL535">
        <v>0.52</v>
      </c>
    </row>
    <row r="536" spans="1:38" x14ac:dyDescent="0.3">
      <c r="A536" t="s">
        <v>589</v>
      </c>
      <c r="B536">
        <v>122141</v>
      </c>
      <c r="C536">
        <v>6</v>
      </c>
      <c r="D536" t="s">
        <v>853</v>
      </c>
      <c r="E536" t="s">
        <v>854</v>
      </c>
      <c r="F536">
        <v>144</v>
      </c>
      <c r="G536">
        <v>9.19</v>
      </c>
      <c r="H536">
        <v>30.41</v>
      </c>
      <c r="I536">
        <v>6.91</v>
      </c>
      <c r="J536">
        <v>22.86</v>
      </c>
      <c r="K536">
        <v>49</v>
      </c>
      <c r="T536">
        <v>1</v>
      </c>
      <c r="U536">
        <v>1</v>
      </c>
      <c r="V536" t="s">
        <v>118</v>
      </c>
      <c r="W536" t="s">
        <v>861</v>
      </c>
      <c r="X536">
        <v>11</v>
      </c>
      <c r="Y536">
        <v>10</v>
      </c>
      <c r="Z536" t="s">
        <v>855</v>
      </c>
      <c r="AA536" t="s">
        <v>856</v>
      </c>
      <c r="AB536" t="s">
        <v>96</v>
      </c>
      <c r="AC536" t="s">
        <v>97</v>
      </c>
      <c r="AD536" t="s">
        <v>98</v>
      </c>
      <c r="AE536" t="s">
        <v>594</v>
      </c>
      <c r="AG536" t="s">
        <v>857</v>
      </c>
      <c r="AH536">
        <v>0</v>
      </c>
      <c r="AI536">
        <v>399</v>
      </c>
      <c r="AJ536">
        <v>64</v>
      </c>
      <c r="AK536">
        <v>75</v>
      </c>
      <c r="AL536">
        <v>0.52</v>
      </c>
    </row>
    <row r="537" spans="1:38" x14ac:dyDescent="0.3">
      <c r="A537" t="s">
        <v>589</v>
      </c>
      <c r="B537">
        <v>122141</v>
      </c>
      <c r="C537">
        <v>7</v>
      </c>
      <c r="D537" t="s">
        <v>853</v>
      </c>
      <c r="E537" t="s">
        <v>854</v>
      </c>
      <c r="F537">
        <v>144</v>
      </c>
      <c r="G537">
        <v>9.32</v>
      </c>
      <c r="H537">
        <v>30.84</v>
      </c>
      <c r="I537">
        <v>6.94</v>
      </c>
      <c r="J537">
        <v>22.95</v>
      </c>
      <c r="K537">
        <v>8</v>
      </c>
      <c r="T537">
        <v>1</v>
      </c>
      <c r="U537">
        <v>1</v>
      </c>
      <c r="V537" t="s">
        <v>118</v>
      </c>
      <c r="W537" t="s">
        <v>862</v>
      </c>
      <c r="X537">
        <v>11</v>
      </c>
      <c r="Y537">
        <v>10</v>
      </c>
      <c r="Z537" t="s">
        <v>855</v>
      </c>
      <c r="AA537" t="s">
        <v>856</v>
      </c>
      <c r="AB537" t="s">
        <v>96</v>
      </c>
      <c r="AC537" t="s">
        <v>97</v>
      </c>
      <c r="AD537" t="s">
        <v>98</v>
      </c>
      <c r="AE537" t="s">
        <v>594</v>
      </c>
      <c r="AG537" t="s">
        <v>857</v>
      </c>
      <c r="AH537">
        <v>0</v>
      </c>
      <c r="AI537">
        <v>399</v>
      </c>
      <c r="AJ537">
        <v>64</v>
      </c>
      <c r="AK537">
        <v>75</v>
      </c>
      <c r="AL537">
        <v>0.52</v>
      </c>
    </row>
    <row r="538" spans="1:38" x14ac:dyDescent="0.3">
      <c r="A538" t="s">
        <v>589</v>
      </c>
      <c r="B538">
        <v>122141</v>
      </c>
      <c r="C538">
        <v>8</v>
      </c>
      <c r="D538" t="s">
        <v>853</v>
      </c>
      <c r="E538" t="s">
        <v>854</v>
      </c>
      <c r="F538">
        <v>144</v>
      </c>
      <c r="G538">
        <v>10.26</v>
      </c>
      <c r="H538">
        <v>33.950000000000003</v>
      </c>
      <c r="I538">
        <v>6.89</v>
      </c>
      <c r="J538">
        <v>22.79</v>
      </c>
      <c r="K538">
        <v>1</v>
      </c>
      <c r="T538">
        <v>1</v>
      </c>
      <c r="U538">
        <v>1</v>
      </c>
      <c r="V538" t="s">
        <v>118</v>
      </c>
      <c r="W538" t="s">
        <v>510</v>
      </c>
      <c r="X538">
        <v>11</v>
      </c>
      <c r="Y538">
        <v>10</v>
      </c>
      <c r="Z538" t="s">
        <v>855</v>
      </c>
      <c r="AA538" t="s">
        <v>856</v>
      </c>
      <c r="AB538" t="s">
        <v>96</v>
      </c>
      <c r="AC538" t="s">
        <v>97</v>
      </c>
      <c r="AD538" t="s">
        <v>98</v>
      </c>
      <c r="AE538" t="s">
        <v>594</v>
      </c>
      <c r="AG538" t="s">
        <v>857</v>
      </c>
      <c r="AH538">
        <v>0</v>
      </c>
      <c r="AI538">
        <v>399</v>
      </c>
      <c r="AJ538">
        <v>64</v>
      </c>
      <c r="AK538">
        <v>75</v>
      </c>
      <c r="AL538">
        <v>0.52</v>
      </c>
    </row>
    <row r="539" spans="1:38" x14ac:dyDescent="0.3">
      <c r="A539" t="s">
        <v>589</v>
      </c>
      <c r="B539">
        <v>122141</v>
      </c>
      <c r="C539">
        <v>9</v>
      </c>
      <c r="D539" t="s">
        <v>853</v>
      </c>
      <c r="E539" t="s">
        <v>854</v>
      </c>
      <c r="F539">
        <v>144</v>
      </c>
      <c r="G539">
        <v>10.36</v>
      </c>
      <c r="H539">
        <v>34.270000000000003</v>
      </c>
      <c r="I539">
        <v>6.96</v>
      </c>
      <c r="J539">
        <v>23.01</v>
      </c>
      <c r="K539">
        <v>2</v>
      </c>
      <c r="T539">
        <v>1</v>
      </c>
      <c r="U539">
        <v>1</v>
      </c>
      <c r="V539" t="s">
        <v>118</v>
      </c>
      <c r="W539" t="s">
        <v>863</v>
      </c>
      <c r="X539">
        <v>11</v>
      </c>
      <c r="Y539">
        <v>10</v>
      </c>
      <c r="Z539" t="s">
        <v>855</v>
      </c>
      <c r="AA539" t="s">
        <v>856</v>
      </c>
      <c r="AB539" t="s">
        <v>96</v>
      </c>
      <c r="AC539" t="s">
        <v>97</v>
      </c>
      <c r="AD539" t="s">
        <v>98</v>
      </c>
      <c r="AE539" t="s">
        <v>594</v>
      </c>
      <c r="AG539" t="s">
        <v>857</v>
      </c>
      <c r="AH539">
        <v>0</v>
      </c>
      <c r="AI539">
        <v>399</v>
      </c>
      <c r="AJ539">
        <v>64</v>
      </c>
      <c r="AK539">
        <v>75</v>
      </c>
      <c r="AL539">
        <v>0.52</v>
      </c>
    </row>
    <row r="540" spans="1:38" x14ac:dyDescent="0.3">
      <c r="A540" t="s">
        <v>589</v>
      </c>
      <c r="B540">
        <v>122141</v>
      </c>
      <c r="C540">
        <v>10</v>
      </c>
      <c r="D540" t="s">
        <v>853</v>
      </c>
      <c r="E540" t="s">
        <v>854</v>
      </c>
      <c r="F540">
        <v>144</v>
      </c>
      <c r="G540">
        <v>10.64</v>
      </c>
      <c r="H540">
        <v>35.18</v>
      </c>
      <c r="I540">
        <v>7.91</v>
      </c>
      <c r="J540">
        <v>26.18</v>
      </c>
      <c r="K540">
        <v>1</v>
      </c>
      <c r="T540">
        <v>1</v>
      </c>
      <c r="U540">
        <v>1</v>
      </c>
      <c r="V540" t="s">
        <v>118</v>
      </c>
      <c r="W540" t="s">
        <v>864</v>
      </c>
      <c r="X540">
        <v>11</v>
      </c>
      <c r="Y540">
        <v>10</v>
      </c>
      <c r="Z540" t="s">
        <v>855</v>
      </c>
      <c r="AA540" t="s">
        <v>856</v>
      </c>
      <c r="AB540" t="s">
        <v>96</v>
      </c>
      <c r="AC540" t="s">
        <v>97</v>
      </c>
      <c r="AD540" t="s">
        <v>98</v>
      </c>
      <c r="AE540" t="s">
        <v>594</v>
      </c>
      <c r="AG540" t="s">
        <v>857</v>
      </c>
      <c r="AH540">
        <v>0</v>
      </c>
      <c r="AI540">
        <v>399</v>
      </c>
      <c r="AJ540">
        <v>64</v>
      </c>
      <c r="AK540">
        <v>75</v>
      </c>
      <c r="AL540">
        <v>0.52</v>
      </c>
    </row>
    <row r="541" spans="1:38" x14ac:dyDescent="0.3">
      <c r="A541" t="s">
        <v>589</v>
      </c>
      <c r="B541">
        <v>122141</v>
      </c>
      <c r="C541">
        <v>11</v>
      </c>
      <c r="D541" t="s">
        <v>853</v>
      </c>
      <c r="E541" t="s">
        <v>854</v>
      </c>
      <c r="F541">
        <v>144</v>
      </c>
      <c r="G541">
        <v>10.74</v>
      </c>
      <c r="H541">
        <v>35.53</v>
      </c>
      <c r="I541">
        <v>7.99</v>
      </c>
      <c r="J541">
        <v>26.44</v>
      </c>
      <c r="K541">
        <v>1</v>
      </c>
      <c r="T541">
        <v>1</v>
      </c>
      <c r="U541">
        <v>1</v>
      </c>
      <c r="V541" t="s">
        <v>118</v>
      </c>
      <c r="W541" t="s">
        <v>865</v>
      </c>
      <c r="X541">
        <v>11</v>
      </c>
      <c r="Y541">
        <v>10</v>
      </c>
      <c r="Z541" t="s">
        <v>855</v>
      </c>
      <c r="AA541" t="s">
        <v>856</v>
      </c>
      <c r="AB541" t="s">
        <v>96</v>
      </c>
      <c r="AC541" t="s">
        <v>97</v>
      </c>
      <c r="AD541" t="s">
        <v>98</v>
      </c>
      <c r="AE541" t="s">
        <v>594</v>
      </c>
      <c r="AG541" t="s">
        <v>857</v>
      </c>
      <c r="AH541">
        <v>0</v>
      </c>
      <c r="AI541">
        <v>399</v>
      </c>
      <c r="AJ541">
        <v>64</v>
      </c>
      <c r="AK541">
        <v>75</v>
      </c>
      <c r="AL541">
        <v>0.52</v>
      </c>
    </row>
    <row r="542" spans="1:38" x14ac:dyDescent="0.3">
      <c r="A542" t="s">
        <v>589</v>
      </c>
      <c r="B542">
        <v>122141</v>
      </c>
      <c r="C542">
        <v>12</v>
      </c>
      <c r="D542" t="s">
        <v>853</v>
      </c>
      <c r="E542" t="s">
        <v>854</v>
      </c>
      <c r="F542">
        <v>144</v>
      </c>
      <c r="G542">
        <v>10.89</v>
      </c>
      <c r="H542">
        <v>36</v>
      </c>
      <c r="I542">
        <v>8.16</v>
      </c>
      <c r="J542">
        <v>27</v>
      </c>
      <c r="K542">
        <v>7</v>
      </c>
      <c r="T542">
        <v>1</v>
      </c>
      <c r="U542">
        <v>1</v>
      </c>
      <c r="V542" t="s">
        <v>118</v>
      </c>
      <c r="W542" t="s">
        <v>158</v>
      </c>
      <c r="X542">
        <v>11</v>
      </c>
      <c r="Y542">
        <v>10</v>
      </c>
      <c r="Z542" t="s">
        <v>855</v>
      </c>
      <c r="AA542" t="s">
        <v>856</v>
      </c>
      <c r="AB542" t="s">
        <v>96</v>
      </c>
      <c r="AC542" t="s">
        <v>97</v>
      </c>
      <c r="AD542" t="s">
        <v>98</v>
      </c>
      <c r="AE542" t="s">
        <v>594</v>
      </c>
      <c r="AG542" t="s">
        <v>857</v>
      </c>
      <c r="AH542">
        <v>0</v>
      </c>
      <c r="AI542">
        <v>399</v>
      </c>
      <c r="AJ542">
        <v>64</v>
      </c>
      <c r="AK542">
        <v>75</v>
      </c>
      <c r="AL542">
        <v>0.52</v>
      </c>
    </row>
    <row r="543" spans="1:38" x14ac:dyDescent="0.3">
      <c r="A543" t="s">
        <v>589</v>
      </c>
      <c r="B543">
        <v>122141</v>
      </c>
      <c r="C543">
        <v>13</v>
      </c>
      <c r="D543" t="s">
        <v>853</v>
      </c>
      <c r="E543" t="s">
        <v>854</v>
      </c>
      <c r="F543">
        <v>144</v>
      </c>
      <c r="G543">
        <v>10.99</v>
      </c>
      <c r="H543">
        <v>36.35</v>
      </c>
      <c r="I543">
        <v>8.24</v>
      </c>
      <c r="J543">
        <v>27.26</v>
      </c>
      <c r="K543">
        <v>7</v>
      </c>
      <c r="T543">
        <v>1</v>
      </c>
      <c r="U543">
        <v>1</v>
      </c>
      <c r="V543" t="s">
        <v>118</v>
      </c>
      <c r="W543" t="s">
        <v>866</v>
      </c>
      <c r="X543">
        <v>11</v>
      </c>
      <c r="Y543">
        <v>10</v>
      </c>
      <c r="Z543" t="s">
        <v>855</v>
      </c>
      <c r="AA543" t="s">
        <v>856</v>
      </c>
      <c r="AB543" t="s">
        <v>96</v>
      </c>
      <c r="AC543" t="s">
        <v>97</v>
      </c>
      <c r="AD543" t="s">
        <v>98</v>
      </c>
      <c r="AE543" t="s">
        <v>594</v>
      </c>
      <c r="AG543" t="s">
        <v>857</v>
      </c>
      <c r="AH543">
        <v>0</v>
      </c>
      <c r="AI543">
        <v>399</v>
      </c>
      <c r="AJ543">
        <v>64</v>
      </c>
      <c r="AK543">
        <v>75</v>
      </c>
      <c r="AL543">
        <v>0.52</v>
      </c>
    </row>
    <row r="544" spans="1:38" x14ac:dyDescent="0.3">
      <c r="A544" t="s">
        <v>589</v>
      </c>
      <c r="B544">
        <v>122141</v>
      </c>
      <c r="C544">
        <v>14</v>
      </c>
      <c r="D544" t="s">
        <v>853</v>
      </c>
      <c r="E544" t="s">
        <v>854</v>
      </c>
      <c r="F544">
        <v>144</v>
      </c>
      <c r="G544">
        <v>11.13</v>
      </c>
      <c r="H544">
        <v>36.799999999999997</v>
      </c>
      <c r="I544">
        <v>8.2799999999999994</v>
      </c>
      <c r="J544">
        <v>27.39</v>
      </c>
      <c r="K544">
        <v>1</v>
      </c>
      <c r="T544">
        <v>1</v>
      </c>
      <c r="U544">
        <v>1</v>
      </c>
      <c r="V544" t="s">
        <v>118</v>
      </c>
      <c r="W544" t="s">
        <v>867</v>
      </c>
      <c r="X544">
        <v>11</v>
      </c>
      <c r="Y544">
        <v>10</v>
      </c>
      <c r="Z544" t="s">
        <v>855</v>
      </c>
      <c r="AA544" t="s">
        <v>856</v>
      </c>
      <c r="AB544" t="s">
        <v>96</v>
      </c>
      <c r="AC544" t="s">
        <v>97</v>
      </c>
      <c r="AD544" t="s">
        <v>98</v>
      </c>
      <c r="AE544" t="s">
        <v>594</v>
      </c>
      <c r="AG544" t="s">
        <v>857</v>
      </c>
      <c r="AH544">
        <v>0</v>
      </c>
      <c r="AI544">
        <v>399</v>
      </c>
      <c r="AJ544">
        <v>64</v>
      </c>
      <c r="AK544">
        <v>75</v>
      </c>
      <c r="AL544">
        <v>0.52</v>
      </c>
    </row>
    <row r="545" spans="1:38" x14ac:dyDescent="0.3">
      <c r="A545" t="s">
        <v>589</v>
      </c>
      <c r="B545">
        <v>122141</v>
      </c>
      <c r="C545">
        <v>15</v>
      </c>
      <c r="D545" t="s">
        <v>853</v>
      </c>
      <c r="E545" t="s">
        <v>854</v>
      </c>
      <c r="F545">
        <v>144</v>
      </c>
      <c r="G545">
        <v>11.38</v>
      </c>
      <c r="H545">
        <v>37.64</v>
      </c>
      <c r="I545">
        <v>8.5299999999999994</v>
      </c>
      <c r="J545">
        <v>28.23</v>
      </c>
      <c r="K545">
        <v>7</v>
      </c>
      <c r="T545">
        <v>1</v>
      </c>
      <c r="U545">
        <v>1</v>
      </c>
      <c r="V545" t="s">
        <v>118</v>
      </c>
      <c r="W545" t="s">
        <v>868</v>
      </c>
      <c r="X545">
        <v>11</v>
      </c>
      <c r="Y545">
        <v>10</v>
      </c>
      <c r="Z545" t="s">
        <v>855</v>
      </c>
      <c r="AA545" t="s">
        <v>856</v>
      </c>
      <c r="AB545" t="s">
        <v>96</v>
      </c>
      <c r="AC545" t="s">
        <v>97</v>
      </c>
      <c r="AD545" t="s">
        <v>98</v>
      </c>
      <c r="AE545" t="s">
        <v>594</v>
      </c>
      <c r="AG545" t="s">
        <v>857</v>
      </c>
      <c r="AH545">
        <v>0</v>
      </c>
      <c r="AI545">
        <v>399</v>
      </c>
      <c r="AJ545">
        <v>64</v>
      </c>
      <c r="AK545">
        <v>75</v>
      </c>
      <c r="AL545">
        <v>0.52</v>
      </c>
    </row>
    <row r="546" spans="1:38" x14ac:dyDescent="0.3">
      <c r="A546" t="s">
        <v>589</v>
      </c>
      <c r="B546">
        <v>122141</v>
      </c>
      <c r="C546">
        <v>16</v>
      </c>
      <c r="D546" t="s">
        <v>853</v>
      </c>
      <c r="E546" t="s">
        <v>854</v>
      </c>
      <c r="F546">
        <v>144</v>
      </c>
      <c r="G546">
        <v>11.31</v>
      </c>
      <c r="H546">
        <v>37.39</v>
      </c>
      <c r="I546">
        <v>7.59</v>
      </c>
      <c r="J546">
        <v>25.1</v>
      </c>
      <c r="K546">
        <v>2</v>
      </c>
      <c r="T546">
        <v>1</v>
      </c>
      <c r="U546">
        <v>1</v>
      </c>
      <c r="V546" t="s">
        <v>118</v>
      </c>
      <c r="W546" t="s">
        <v>869</v>
      </c>
      <c r="X546">
        <v>11</v>
      </c>
      <c r="Y546">
        <v>10</v>
      </c>
      <c r="Z546" t="s">
        <v>855</v>
      </c>
      <c r="AA546" t="s">
        <v>856</v>
      </c>
      <c r="AB546" t="s">
        <v>96</v>
      </c>
      <c r="AC546" t="s">
        <v>97</v>
      </c>
      <c r="AD546" t="s">
        <v>98</v>
      </c>
      <c r="AE546" t="s">
        <v>594</v>
      </c>
      <c r="AG546" t="s">
        <v>857</v>
      </c>
      <c r="AH546">
        <v>0</v>
      </c>
      <c r="AI546">
        <v>399</v>
      </c>
      <c r="AJ546">
        <v>64</v>
      </c>
      <c r="AK546">
        <v>75</v>
      </c>
      <c r="AL546">
        <v>0.52</v>
      </c>
    </row>
    <row r="547" spans="1:38" x14ac:dyDescent="0.3">
      <c r="A547" t="s">
        <v>589</v>
      </c>
      <c r="B547">
        <v>122141</v>
      </c>
      <c r="C547">
        <v>17</v>
      </c>
      <c r="D547" t="s">
        <v>853</v>
      </c>
      <c r="E547" t="s">
        <v>854</v>
      </c>
      <c r="F547">
        <v>144</v>
      </c>
      <c r="G547">
        <v>12.42</v>
      </c>
      <c r="H547">
        <v>41.07</v>
      </c>
      <c r="I547">
        <v>8.33</v>
      </c>
      <c r="J547">
        <v>27.57</v>
      </c>
      <c r="K547">
        <v>2</v>
      </c>
      <c r="T547">
        <v>1</v>
      </c>
      <c r="U547">
        <v>1</v>
      </c>
      <c r="V547" t="s">
        <v>118</v>
      </c>
      <c r="W547">
        <v>41</v>
      </c>
      <c r="X547">
        <v>11</v>
      </c>
      <c r="Y547">
        <v>10</v>
      </c>
      <c r="Z547" t="s">
        <v>855</v>
      </c>
      <c r="AA547" t="s">
        <v>856</v>
      </c>
      <c r="AB547" t="s">
        <v>96</v>
      </c>
      <c r="AC547" t="s">
        <v>97</v>
      </c>
      <c r="AD547" t="s">
        <v>98</v>
      </c>
      <c r="AE547" t="s">
        <v>594</v>
      </c>
      <c r="AG547" t="s">
        <v>857</v>
      </c>
      <c r="AH547">
        <v>0</v>
      </c>
      <c r="AI547">
        <v>399</v>
      </c>
      <c r="AJ547">
        <v>64</v>
      </c>
      <c r="AK547">
        <v>75</v>
      </c>
      <c r="AL547">
        <v>0.52</v>
      </c>
    </row>
    <row r="548" spans="1:38" x14ac:dyDescent="0.3">
      <c r="A548" t="s">
        <v>589</v>
      </c>
      <c r="B548">
        <v>122141</v>
      </c>
      <c r="C548">
        <v>18</v>
      </c>
      <c r="D548" t="s">
        <v>853</v>
      </c>
      <c r="E548" t="s">
        <v>854</v>
      </c>
      <c r="F548">
        <v>144</v>
      </c>
      <c r="G548">
        <v>15.99</v>
      </c>
      <c r="H548">
        <v>52.89</v>
      </c>
      <c r="I548">
        <v>10.74</v>
      </c>
      <c r="J548">
        <v>35.51</v>
      </c>
      <c r="K548">
        <v>1</v>
      </c>
      <c r="T548">
        <v>2</v>
      </c>
      <c r="U548">
        <v>1</v>
      </c>
      <c r="V548" t="s">
        <v>118</v>
      </c>
      <c r="W548">
        <v>52</v>
      </c>
      <c r="X548">
        <v>11</v>
      </c>
      <c r="Y548">
        <v>10</v>
      </c>
      <c r="Z548" t="s">
        <v>855</v>
      </c>
      <c r="AA548" t="s">
        <v>856</v>
      </c>
      <c r="AB548" t="s">
        <v>96</v>
      </c>
      <c r="AC548" t="s">
        <v>97</v>
      </c>
      <c r="AD548" t="s">
        <v>98</v>
      </c>
      <c r="AE548" t="s">
        <v>594</v>
      </c>
      <c r="AG548" t="s">
        <v>857</v>
      </c>
      <c r="AH548">
        <v>0</v>
      </c>
      <c r="AI548">
        <v>399</v>
      </c>
      <c r="AJ548">
        <v>64</v>
      </c>
      <c r="AK548">
        <v>75</v>
      </c>
      <c r="AL548">
        <v>0.52</v>
      </c>
    </row>
    <row r="549" spans="1:38" x14ac:dyDescent="0.3">
      <c r="A549" t="s">
        <v>589</v>
      </c>
      <c r="B549">
        <v>142131</v>
      </c>
      <c r="C549">
        <v>1</v>
      </c>
      <c r="D549" t="s">
        <v>870</v>
      </c>
      <c r="E549" t="s">
        <v>871</v>
      </c>
      <c r="F549">
        <v>40</v>
      </c>
      <c r="G549">
        <v>7.2</v>
      </c>
      <c r="H549">
        <v>23.83</v>
      </c>
      <c r="I549">
        <v>4.93</v>
      </c>
      <c r="J549">
        <v>16.32</v>
      </c>
      <c r="K549">
        <v>4</v>
      </c>
      <c r="T549">
        <v>1</v>
      </c>
      <c r="U549">
        <v>1</v>
      </c>
      <c r="V549" t="s">
        <v>93</v>
      </c>
      <c r="W549" t="s">
        <v>571</v>
      </c>
      <c r="X549">
        <v>8</v>
      </c>
      <c r="Y549">
        <v>8</v>
      </c>
      <c r="Z549" t="s">
        <v>872</v>
      </c>
      <c r="AA549" t="s">
        <v>873</v>
      </c>
      <c r="AB549" t="s">
        <v>96</v>
      </c>
      <c r="AC549" t="s">
        <v>97</v>
      </c>
      <c r="AD549" t="s">
        <v>98</v>
      </c>
      <c r="AE549" t="s">
        <v>594</v>
      </c>
      <c r="AG549" t="s">
        <v>874</v>
      </c>
      <c r="AH549">
        <v>0</v>
      </c>
      <c r="AI549">
        <v>332</v>
      </c>
      <c r="AJ549">
        <v>69</v>
      </c>
      <c r="AK549">
        <v>35</v>
      </c>
      <c r="AL549">
        <v>0.88</v>
      </c>
    </row>
    <row r="550" spans="1:38" x14ac:dyDescent="0.3">
      <c r="A550" t="s">
        <v>589</v>
      </c>
      <c r="B550">
        <v>142131</v>
      </c>
      <c r="C550">
        <v>2</v>
      </c>
      <c r="D550" t="s">
        <v>870</v>
      </c>
      <c r="E550" t="s">
        <v>871</v>
      </c>
      <c r="F550">
        <v>40</v>
      </c>
      <c r="G550">
        <v>7.87</v>
      </c>
      <c r="H550">
        <v>26.04</v>
      </c>
      <c r="I550">
        <v>5.34</v>
      </c>
      <c r="J550">
        <v>17.670000000000002</v>
      </c>
      <c r="K550">
        <v>4</v>
      </c>
      <c r="T550">
        <v>1</v>
      </c>
      <c r="U550">
        <v>1</v>
      </c>
      <c r="V550" t="s">
        <v>93</v>
      </c>
      <c r="W550" t="s">
        <v>875</v>
      </c>
      <c r="X550">
        <v>8</v>
      </c>
      <c r="Y550">
        <v>8</v>
      </c>
      <c r="Z550" t="s">
        <v>872</v>
      </c>
      <c r="AA550" t="s">
        <v>873</v>
      </c>
      <c r="AB550" t="s">
        <v>96</v>
      </c>
      <c r="AC550" t="s">
        <v>97</v>
      </c>
      <c r="AD550" t="s">
        <v>98</v>
      </c>
      <c r="AE550" t="s">
        <v>594</v>
      </c>
      <c r="AG550" t="s">
        <v>874</v>
      </c>
      <c r="AH550">
        <v>0</v>
      </c>
      <c r="AI550">
        <v>332</v>
      </c>
      <c r="AJ550">
        <v>69</v>
      </c>
      <c r="AK550">
        <v>35</v>
      </c>
      <c r="AL550">
        <v>0.88</v>
      </c>
    </row>
    <row r="551" spans="1:38" x14ac:dyDescent="0.3">
      <c r="A551" t="s">
        <v>589</v>
      </c>
      <c r="B551">
        <v>142131</v>
      </c>
      <c r="C551">
        <v>3</v>
      </c>
      <c r="D551" t="s">
        <v>870</v>
      </c>
      <c r="E551" t="s">
        <v>871</v>
      </c>
      <c r="F551">
        <v>40</v>
      </c>
      <c r="G551">
        <v>8.4499999999999993</v>
      </c>
      <c r="H551">
        <v>27.95</v>
      </c>
      <c r="I551">
        <v>5.9</v>
      </c>
      <c r="J551">
        <v>19.52</v>
      </c>
      <c r="K551">
        <v>20</v>
      </c>
      <c r="T551">
        <v>1</v>
      </c>
      <c r="U551">
        <v>1</v>
      </c>
      <c r="V551" t="s">
        <v>93</v>
      </c>
      <c r="W551" t="s">
        <v>711</v>
      </c>
      <c r="X551">
        <v>8</v>
      </c>
      <c r="Y551">
        <v>8</v>
      </c>
      <c r="Z551" t="s">
        <v>872</v>
      </c>
      <c r="AA551" t="s">
        <v>873</v>
      </c>
      <c r="AB551" t="s">
        <v>96</v>
      </c>
      <c r="AC551" t="s">
        <v>97</v>
      </c>
      <c r="AD551" t="s">
        <v>98</v>
      </c>
      <c r="AE551" t="s">
        <v>594</v>
      </c>
      <c r="AG551" t="s">
        <v>874</v>
      </c>
      <c r="AH551">
        <v>0</v>
      </c>
      <c r="AI551">
        <v>332</v>
      </c>
      <c r="AJ551">
        <v>69</v>
      </c>
      <c r="AK551">
        <v>35</v>
      </c>
      <c r="AL551">
        <v>0.88</v>
      </c>
    </row>
    <row r="552" spans="1:38" x14ac:dyDescent="0.3">
      <c r="A552" t="s">
        <v>589</v>
      </c>
      <c r="B552">
        <v>142131</v>
      </c>
      <c r="C552">
        <v>4</v>
      </c>
      <c r="D552" t="s">
        <v>870</v>
      </c>
      <c r="E552" t="s">
        <v>871</v>
      </c>
      <c r="F552">
        <v>40</v>
      </c>
      <c r="G552">
        <v>8.27</v>
      </c>
      <c r="H552">
        <v>27.34</v>
      </c>
      <c r="I552">
        <v>5.76</v>
      </c>
      <c r="J552">
        <v>19.07</v>
      </c>
      <c r="K552">
        <v>8</v>
      </c>
      <c r="T552">
        <v>1</v>
      </c>
      <c r="U552">
        <v>1</v>
      </c>
      <c r="V552" t="s">
        <v>93</v>
      </c>
      <c r="W552" t="s">
        <v>710</v>
      </c>
      <c r="X552">
        <v>8</v>
      </c>
      <c r="Y552">
        <v>8</v>
      </c>
      <c r="Z552" t="s">
        <v>872</v>
      </c>
      <c r="AA552" t="s">
        <v>873</v>
      </c>
      <c r="AB552" t="s">
        <v>96</v>
      </c>
      <c r="AC552" t="s">
        <v>97</v>
      </c>
      <c r="AD552" t="s">
        <v>98</v>
      </c>
      <c r="AE552" t="s">
        <v>594</v>
      </c>
      <c r="AG552" t="s">
        <v>874</v>
      </c>
      <c r="AH552">
        <v>0</v>
      </c>
      <c r="AI552">
        <v>332</v>
      </c>
      <c r="AJ552">
        <v>69</v>
      </c>
      <c r="AK552">
        <v>35</v>
      </c>
      <c r="AL552">
        <v>0.88</v>
      </c>
    </row>
    <row r="553" spans="1:38" x14ac:dyDescent="0.3">
      <c r="A553" t="s">
        <v>589</v>
      </c>
      <c r="B553">
        <v>142131</v>
      </c>
      <c r="C553">
        <v>5</v>
      </c>
      <c r="D553" t="s">
        <v>870</v>
      </c>
      <c r="E553" t="s">
        <v>871</v>
      </c>
      <c r="F553">
        <v>40</v>
      </c>
      <c r="G553">
        <v>8.39</v>
      </c>
      <c r="H553">
        <v>27.75</v>
      </c>
      <c r="I553">
        <v>5.83</v>
      </c>
      <c r="J553">
        <v>19.29</v>
      </c>
      <c r="K553">
        <v>4</v>
      </c>
      <c r="T553">
        <v>1</v>
      </c>
      <c r="U553">
        <v>1</v>
      </c>
      <c r="V553" t="s">
        <v>93</v>
      </c>
      <c r="W553" t="s">
        <v>712</v>
      </c>
      <c r="X553">
        <v>8</v>
      </c>
      <c r="Y553">
        <v>8</v>
      </c>
      <c r="Z553" t="s">
        <v>872</v>
      </c>
      <c r="AA553" t="s">
        <v>873</v>
      </c>
      <c r="AB553" t="s">
        <v>96</v>
      </c>
      <c r="AC553" t="s">
        <v>97</v>
      </c>
      <c r="AD553" t="s">
        <v>98</v>
      </c>
      <c r="AE553" t="s">
        <v>594</v>
      </c>
      <c r="AG553" t="s">
        <v>874</v>
      </c>
      <c r="AH553">
        <v>0</v>
      </c>
      <c r="AI553">
        <v>332</v>
      </c>
      <c r="AJ553">
        <v>69</v>
      </c>
      <c r="AK553">
        <v>35</v>
      </c>
      <c r="AL553">
        <v>0.88</v>
      </c>
    </row>
    <row r="554" spans="1:38" x14ac:dyDescent="0.3">
      <c r="A554" t="s">
        <v>589</v>
      </c>
      <c r="B554">
        <v>141979</v>
      </c>
      <c r="C554">
        <v>1</v>
      </c>
      <c r="D554" t="s">
        <v>876</v>
      </c>
      <c r="E554" t="s">
        <v>678</v>
      </c>
      <c r="F554">
        <v>24</v>
      </c>
      <c r="G554">
        <v>5.72</v>
      </c>
      <c r="H554">
        <v>18.920000000000002</v>
      </c>
      <c r="I554">
        <v>3.92</v>
      </c>
      <c r="J554">
        <v>12.99</v>
      </c>
      <c r="K554">
        <v>4</v>
      </c>
      <c r="T554">
        <v>1</v>
      </c>
      <c r="U554">
        <v>1</v>
      </c>
      <c r="V554" t="s">
        <v>93</v>
      </c>
      <c r="W554" t="s">
        <v>877</v>
      </c>
      <c r="X554">
        <v>5</v>
      </c>
      <c r="Y554">
        <v>5</v>
      </c>
      <c r="Z554" t="s">
        <v>878</v>
      </c>
      <c r="AA554" t="s">
        <v>879</v>
      </c>
      <c r="AB554" t="s">
        <v>96</v>
      </c>
      <c r="AC554" t="s">
        <v>97</v>
      </c>
      <c r="AD554" t="s">
        <v>98</v>
      </c>
      <c r="AE554" t="s">
        <v>594</v>
      </c>
      <c r="AG554" t="s">
        <v>880</v>
      </c>
      <c r="AH554">
        <v>0</v>
      </c>
      <c r="AI554">
        <v>227</v>
      </c>
      <c r="AJ554">
        <v>59</v>
      </c>
      <c r="AK554">
        <v>6</v>
      </c>
      <c r="AL554">
        <v>0.25</v>
      </c>
    </row>
    <row r="555" spans="1:38" x14ac:dyDescent="0.3">
      <c r="A555" t="s">
        <v>589</v>
      </c>
      <c r="B555">
        <v>141979</v>
      </c>
      <c r="C555">
        <v>2</v>
      </c>
      <c r="D555" t="s">
        <v>876</v>
      </c>
      <c r="E555" t="s">
        <v>678</v>
      </c>
      <c r="F555">
        <v>24</v>
      </c>
      <c r="G555">
        <v>6.47</v>
      </c>
      <c r="H555">
        <v>21.42</v>
      </c>
      <c r="I555">
        <v>4.4400000000000004</v>
      </c>
      <c r="J555">
        <v>14.7</v>
      </c>
      <c r="K555">
        <v>16</v>
      </c>
      <c r="T555">
        <v>1</v>
      </c>
      <c r="U555">
        <v>1</v>
      </c>
      <c r="V555" t="s">
        <v>93</v>
      </c>
      <c r="W555" t="s">
        <v>740</v>
      </c>
      <c r="X555">
        <v>5</v>
      </c>
      <c r="Y555">
        <v>5</v>
      </c>
      <c r="Z555" t="s">
        <v>878</v>
      </c>
      <c r="AA555" t="s">
        <v>879</v>
      </c>
      <c r="AB555" t="s">
        <v>96</v>
      </c>
      <c r="AC555" t="s">
        <v>97</v>
      </c>
      <c r="AD555" t="s">
        <v>98</v>
      </c>
      <c r="AE555" t="s">
        <v>594</v>
      </c>
      <c r="AG555" t="s">
        <v>880</v>
      </c>
      <c r="AH555">
        <v>0</v>
      </c>
      <c r="AI555">
        <v>227</v>
      </c>
      <c r="AJ555">
        <v>59</v>
      </c>
      <c r="AK555">
        <v>6</v>
      </c>
      <c r="AL555">
        <v>0.25</v>
      </c>
    </row>
    <row r="556" spans="1:38" x14ac:dyDescent="0.3">
      <c r="A556" t="s">
        <v>589</v>
      </c>
      <c r="B556">
        <v>141979</v>
      </c>
      <c r="C556">
        <v>3</v>
      </c>
      <c r="D556" t="s">
        <v>876</v>
      </c>
      <c r="E556" t="s">
        <v>678</v>
      </c>
      <c r="F556">
        <v>24</v>
      </c>
      <c r="G556">
        <v>7.46</v>
      </c>
      <c r="H556">
        <v>24.69</v>
      </c>
      <c r="I556">
        <v>5.12</v>
      </c>
      <c r="J556">
        <v>16.95</v>
      </c>
      <c r="K556">
        <v>4</v>
      </c>
      <c r="T556">
        <v>1</v>
      </c>
      <c r="U556">
        <v>1</v>
      </c>
      <c r="V556" t="s">
        <v>93</v>
      </c>
      <c r="W556">
        <v>24</v>
      </c>
      <c r="X556">
        <v>5</v>
      </c>
      <c r="Y556">
        <v>5</v>
      </c>
      <c r="Z556" t="s">
        <v>878</v>
      </c>
      <c r="AA556" t="s">
        <v>879</v>
      </c>
      <c r="AB556" t="s">
        <v>96</v>
      </c>
      <c r="AC556" t="s">
        <v>97</v>
      </c>
      <c r="AD556" t="s">
        <v>98</v>
      </c>
      <c r="AE556" t="s">
        <v>594</v>
      </c>
      <c r="AG556" t="s">
        <v>880</v>
      </c>
      <c r="AH556">
        <v>0</v>
      </c>
      <c r="AI556">
        <v>227</v>
      </c>
      <c r="AJ556">
        <v>59</v>
      </c>
      <c r="AK556">
        <v>6</v>
      </c>
      <c r="AL556">
        <v>0.25</v>
      </c>
    </row>
    <row r="557" spans="1:38" x14ac:dyDescent="0.3">
      <c r="A557" t="s">
        <v>589</v>
      </c>
      <c r="B557">
        <v>1833</v>
      </c>
      <c r="C557">
        <v>1</v>
      </c>
      <c r="D557" t="s">
        <v>881</v>
      </c>
      <c r="E557" t="s">
        <v>882</v>
      </c>
      <c r="F557">
        <v>360</v>
      </c>
      <c r="G557">
        <v>24.64</v>
      </c>
      <c r="H557">
        <v>81.48</v>
      </c>
      <c r="I557">
        <v>17.940000000000001</v>
      </c>
      <c r="J557">
        <v>59.33</v>
      </c>
      <c r="K557">
        <v>160</v>
      </c>
      <c r="T557">
        <v>2</v>
      </c>
      <c r="U557">
        <v>1</v>
      </c>
      <c r="V557" t="s">
        <v>118</v>
      </c>
      <c r="W557">
        <v>81</v>
      </c>
      <c r="X557">
        <v>17</v>
      </c>
      <c r="Y557">
        <v>16</v>
      </c>
      <c r="Z557" t="s">
        <v>883</v>
      </c>
      <c r="AA557" t="s">
        <v>884</v>
      </c>
      <c r="AB557" t="s">
        <v>96</v>
      </c>
      <c r="AC557" t="s">
        <v>97</v>
      </c>
      <c r="AD557" t="s">
        <v>98</v>
      </c>
      <c r="AE557" t="s">
        <v>594</v>
      </c>
      <c r="AG557" t="s">
        <v>885</v>
      </c>
      <c r="AH557">
        <v>0</v>
      </c>
      <c r="AI557">
        <v>259</v>
      </c>
      <c r="AJ557">
        <v>19</v>
      </c>
      <c r="AK557">
        <v>278</v>
      </c>
      <c r="AL557">
        <v>0.77</v>
      </c>
    </row>
    <row r="558" spans="1:38" x14ac:dyDescent="0.3">
      <c r="A558" t="s">
        <v>589</v>
      </c>
      <c r="B558">
        <v>1833</v>
      </c>
      <c r="C558">
        <v>2</v>
      </c>
      <c r="D558" t="s">
        <v>881</v>
      </c>
      <c r="E558" t="s">
        <v>882</v>
      </c>
      <c r="F558">
        <v>360</v>
      </c>
      <c r="G558">
        <v>32.65</v>
      </c>
      <c r="H558">
        <v>107.95</v>
      </c>
      <c r="I558">
        <v>25.68</v>
      </c>
      <c r="J558">
        <v>84.92</v>
      </c>
      <c r="K558">
        <v>132</v>
      </c>
      <c r="T558">
        <v>3</v>
      </c>
      <c r="U558">
        <v>2</v>
      </c>
      <c r="V558" t="s">
        <v>93</v>
      </c>
      <c r="W558">
        <v>107</v>
      </c>
      <c r="X558">
        <v>17</v>
      </c>
      <c r="Y558">
        <v>16</v>
      </c>
      <c r="Z558" t="s">
        <v>883</v>
      </c>
      <c r="AA558" t="s">
        <v>884</v>
      </c>
      <c r="AB558" t="s">
        <v>96</v>
      </c>
      <c r="AC558" t="s">
        <v>97</v>
      </c>
      <c r="AD558" t="s">
        <v>98</v>
      </c>
      <c r="AE558" t="s">
        <v>594</v>
      </c>
      <c r="AG558" t="s">
        <v>885</v>
      </c>
      <c r="AH558">
        <v>0</v>
      </c>
      <c r="AI558">
        <v>259</v>
      </c>
      <c r="AJ558">
        <v>19</v>
      </c>
      <c r="AK558">
        <v>278</v>
      </c>
      <c r="AL558">
        <v>0.77</v>
      </c>
    </row>
    <row r="559" spans="1:38" x14ac:dyDescent="0.3">
      <c r="A559" t="s">
        <v>589</v>
      </c>
      <c r="B559">
        <v>1833</v>
      </c>
      <c r="C559">
        <v>3</v>
      </c>
      <c r="D559" t="s">
        <v>881</v>
      </c>
      <c r="E559" t="s">
        <v>882</v>
      </c>
      <c r="F559">
        <v>360</v>
      </c>
      <c r="G559">
        <v>48.91</v>
      </c>
      <c r="H559">
        <v>161.71</v>
      </c>
      <c r="I559">
        <v>40.479999999999997</v>
      </c>
      <c r="J559">
        <v>133.85</v>
      </c>
      <c r="K559">
        <v>68</v>
      </c>
      <c r="T559">
        <v>4</v>
      </c>
      <c r="U559">
        <v>2</v>
      </c>
      <c r="V559" t="s">
        <v>93</v>
      </c>
      <c r="W559">
        <v>161</v>
      </c>
      <c r="X559">
        <v>17</v>
      </c>
      <c r="Y559">
        <v>16</v>
      </c>
      <c r="Z559" t="s">
        <v>883</v>
      </c>
      <c r="AA559" t="s">
        <v>884</v>
      </c>
      <c r="AB559" t="s">
        <v>96</v>
      </c>
      <c r="AC559" t="s">
        <v>97</v>
      </c>
      <c r="AD559" t="s">
        <v>98</v>
      </c>
      <c r="AE559" t="s">
        <v>594</v>
      </c>
      <c r="AG559" t="s">
        <v>885</v>
      </c>
      <c r="AH559">
        <v>0</v>
      </c>
      <c r="AI559">
        <v>259</v>
      </c>
      <c r="AJ559">
        <v>19</v>
      </c>
      <c r="AK559">
        <v>278</v>
      </c>
      <c r="AL559">
        <v>0.77</v>
      </c>
    </row>
    <row r="560" spans="1:38" x14ac:dyDescent="0.3">
      <c r="A560" t="s">
        <v>589</v>
      </c>
      <c r="B560">
        <v>135427</v>
      </c>
      <c r="C560">
        <v>1</v>
      </c>
      <c r="D560" t="s">
        <v>886</v>
      </c>
      <c r="E560" t="s">
        <v>887</v>
      </c>
      <c r="F560">
        <v>28</v>
      </c>
      <c r="G560">
        <v>11.76</v>
      </c>
      <c r="H560">
        <v>38.9</v>
      </c>
      <c r="I560">
        <v>7.62</v>
      </c>
      <c r="J560">
        <v>25.22</v>
      </c>
      <c r="K560">
        <v>2</v>
      </c>
      <c r="T560">
        <v>1</v>
      </c>
      <c r="U560">
        <v>1</v>
      </c>
      <c r="V560" t="s">
        <v>118</v>
      </c>
      <c r="W560">
        <v>38</v>
      </c>
      <c r="X560">
        <v>6</v>
      </c>
      <c r="Y560">
        <v>6</v>
      </c>
      <c r="Z560" t="s">
        <v>888</v>
      </c>
      <c r="AA560" t="s">
        <v>889</v>
      </c>
      <c r="AB560" t="s">
        <v>96</v>
      </c>
      <c r="AC560" t="s">
        <v>97</v>
      </c>
      <c r="AD560" t="s">
        <v>98</v>
      </c>
      <c r="AE560" t="s">
        <v>594</v>
      </c>
      <c r="AG560" t="s">
        <v>890</v>
      </c>
      <c r="AH560">
        <v>0</v>
      </c>
      <c r="AI560">
        <v>498</v>
      </c>
      <c r="AJ560">
        <v>58</v>
      </c>
      <c r="AK560">
        <v>26</v>
      </c>
      <c r="AL560">
        <v>0.93</v>
      </c>
    </row>
    <row r="561" spans="1:38" x14ac:dyDescent="0.3">
      <c r="A561" t="s">
        <v>589</v>
      </c>
      <c r="B561">
        <v>135427</v>
      </c>
      <c r="C561">
        <v>2</v>
      </c>
      <c r="D561" t="s">
        <v>886</v>
      </c>
      <c r="E561" t="s">
        <v>887</v>
      </c>
      <c r="F561">
        <v>28</v>
      </c>
      <c r="G561">
        <v>13.89</v>
      </c>
      <c r="H561">
        <v>45.93</v>
      </c>
      <c r="I561">
        <v>9</v>
      </c>
      <c r="J561">
        <v>29.78</v>
      </c>
      <c r="K561">
        <v>12</v>
      </c>
      <c r="T561">
        <v>1</v>
      </c>
      <c r="U561">
        <v>1</v>
      </c>
      <c r="V561" t="s">
        <v>118</v>
      </c>
      <c r="W561" t="s">
        <v>891</v>
      </c>
      <c r="X561">
        <v>6</v>
      </c>
      <c r="Y561">
        <v>6</v>
      </c>
      <c r="Z561" t="s">
        <v>888</v>
      </c>
      <c r="AA561" t="s">
        <v>889</v>
      </c>
      <c r="AB561" t="s">
        <v>96</v>
      </c>
      <c r="AC561" t="s">
        <v>97</v>
      </c>
      <c r="AD561" t="s">
        <v>98</v>
      </c>
      <c r="AE561" t="s">
        <v>594</v>
      </c>
      <c r="AG561" t="s">
        <v>890</v>
      </c>
      <c r="AH561">
        <v>0</v>
      </c>
      <c r="AI561">
        <v>498</v>
      </c>
      <c r="AJ561">
        <v>58</v>
      </c>
      <c r="AK561">
        <v>26</v>
      </c>
      <c r="AL561">
        <v>0.93</v>
      </c>
    </row>
    <row r="562" spans="1:38" x14ac:dyDescent="0.3">
      <c r="A562" t="s">
        <v>589</v>
      </c>
      <c r="B562">
        <v>135427</v>
      </c>
      <c r="C562">
        <v>3</v>
      </c>
      <c r="D562" t="s">
        <v>886</v>
      </c>
      <c r="E562" t="s">
        <v>887</v>
      </c>
      <c r="F562">
        <v>28</v>
      </c>
      <c r="G562">
        <v>13.8</v>
      </c>
      <c r="H562">
        <v>45.65</v>
      </c>
      <c r="I562">
        <v>8.9499999999999993</v>
      </c>
      <c r="J562">
        <v>29.6</v>
      </c>
      <c r="K562">
        <v>2</v>
      </c>
      <c r="T562">
        <v>1</v>
      </c>
      <c r="U562">
        <v>1</v>
      </c>
      <c r="V562" t="s">
        <v>118</v>
      </c>
      <c r="W562" t="s">
        <v>736</v>
      </c>
      <c r="X562">
        <v>6</v>
      </c>
      <c r="Y562">
        <v>6</v>
      </c>
      <c r="Z562" t="s">
        <v>888</v>
      </c>
      <c r="AA562" t="s">
        <v>889</v>
      </c>
      <c r="AB562" t="s">
        <v>96</v>
      </c>
      <c r="AC562" t="s">
        <v>97</v>
      </c>
      <c r="AD562" t="s">
        <v>98</v>
      </c>
      <c r="AE562" t="s">
        <v>594</v>
      </c>
      <c r="AG562" t="s">
        <v>890</v>
      </c>
      <c r="AH562">
        <v>0</v>
      </c>
      <c r="AI562">
        <v>498</v>
      </c>
      <c r="AJ562">
        <v>58</v>
      </c>
      <c r="AK562">
        <v>26</v>
      </c>
      <c r="AL562">
        <v>0.93</v>
      </c>
    </row>
    <row r="563" spans="1:38" x14ac:dyDescent="0.3">
      <c r="A563" t="s">
        <v>589</v>
      </c>
      <c r="B563">
        <v>135427</v>
      </c>
      <c r="C563">
        <v>4</v>
      </c>
      <c r="D563" t="s">
        <v>886</v>
      </c>
      <c r="E563" t="s">
        <v>887</v>
      </c>
      <c r="F563">
        <v>28</v>
      </c>
      <c r="G563">
        <v>13.98</v>
      </c>
      <c r="H563">
        <v>46.22</v>
      </c>
      <c r="I563">
        <v>9.06</v>
      </c>
      <c r="J563">
        <v>29.97</v>
      </c>
      <c r="K563">
        <v>6</v>
      </c>
      <c r="T563">
        <v>1</v>
      </c>
      <c r="U563">
        <v>1</v>
      </c>
      <c r="V563" t="s">
        <v>118</v>
      </c>
      <c r="W563" t="s">
        <v>892</v>
      </c>
      <c r="X563">
        <v>6</v>
      </c>
      <c r="Y563">
        <v>6</v>
      </c>
      <c r="Z563" t="s">
        <v>888</v>
      </c>
      <c r="AA563" t="s">
        <v>889</v>
      </c>
      <c r="AB563" t="s">
        <v>96</v>
      </c>
      <c r="AC563" t="s">
        <v>97</v>
      </c>
      <c r="AD563" t="s">
        <v>98</v>
      </c>
      <c r="AE563" t="s">
        <v>594</v>
      </c>
      <c r="AG563" t="s">
        <v>890</v>
      </c>
      <c r="AH563">
        <v>0</v>
      </c>
      <c r="AI563">
        <v>498</v>
      </c>
      <c r="AJ563">
        <v>58</v>
      </c>
      <c r="AK563">
        <v>26</v>
      </c>
      <c r="AL563">
        <v>0.93</v>
      </c>
    </row>
    <row r="564" spans="1:38" x14ac:dyDescent="0.3">
      <c r="A564" t="s">
        <v>589</v>
      </c>
      <c r="B564">
        <v>135427</v>
      </c>
      <c r="C564">
        <v>5</v>
      </c>
      <c r="D564" t="s">
        <v>886</v>
      </c>
      <c r="E564" t="s">
        <v>887</v>
      </c>
      <c r="F564">
        <v>28</v>
      </c>
      <c r="G564">
        <v>17.04</v>
      </c>
      <c r="H564">
        <v>56.35</v>
      </c>
      <c r="I564">
        <v>11.05</v>
      </c>
      <c r="J564">
        <v>36.53</v>
      </c>
      <c r="K564">
        <v>3</v>
      </c>
      <c r="T564">
        <v>1</v>
      </c>
      <c r="U564">
        <v>1</v>
      </c>
      <c r="V564" t="s">
        <v>118</v>
      </c>
      <c r="W564">
        <v>56</v>
      </c>
      <c r="X564">
        <v>6</v>
      </c>
      <c r="Y564">
        <v>6</v>
      </c>
      <c r="Z564" t="s">
        <v>888</v>
      </c>
      <c r="AA564" t="s">
        <v>889</v>
      </c>
      <c r="AB564" t="s">
        <v>96</v>
      </c>
      <c r="AC564" t="s">
        <v>97</v>
      </c>
      <c r="AD564" t="s">
        <v>98</v>
      </c>
      <c r="AE564" t="s">
        <v>594</v>
      </c>
      <c r="AG564" t="s">
        <v>890</v>
      </c>
      <c r="AH564">
        <v>0</v>
      </c>
      <c r="AI564">
        <v>498</v>
      </c>
      <c r="AJ564">
        <v>58</v>
      </c>
      <c r="AK564">
        <v>26</v>
      </c>
      <c r="AL564">
        <v>0.93</v>
      </c>
    </row>
    <row r="565" spans="1:38" x14ac:dyDescent="0.3">
      <c r="A565" t="s">
        <v>589</v>
      </c>
      <c r="B565">
        <v>135427</v>
      </c>
      <c r="C565">
        <v>6</v>
      </c>
      <c r="D565" t="s">
        <v>886</v>
      </c>
      <c r="E565" t="s">
        <v>887</v>
      </c>
      <c r="F565">
        <v>28</v>
      </c>
      <c r="G565">
        <v>19.89</v>
      </c>
      <c r="H565">
        <v>65.77</v>
      </c>
      <c r="I565">
        <v>12.9</v>
      </c>
      <c r="J565">
        <v>42.65</v>
      </c>
      <c r="K565">
        <v>1</v>
      </c>
      <c r="T565">
        <v>1</v>
      </c>
      <c r="U565">
        <v>1</v>
      </c>
      <c r="V565" t="s">
        <v>118</v>
      </c>
      <c r="W565" t="s">
        <v>313</v>
      </c>
      <c r="X565">
        <v>6</v>
      </c>
      <c r="Y565">
        <v>6</v>
      </c>
      <c r="Z565" t="s">
        <v>888</v>
      </c>
      <c r="AA565" t="s">
        <v>889</v>
      </c>
      <c r="AB565" t="s">
        <v>96</v>
      </c>
      <c r="AC565" t="s">
        <v>97</v>
      </c>
      <c r="AD565" t="s">
        <v>98</v>
      </c>
      <c r="AE565" t="s">
        <v>594</v>
      </c>
      <c r="AG565" t="s">
        <v>890</v>
      </c>
      <c r="AH565">
        <v>0</v>
      </c>
      <c r="AI565">
        <v>498</v>
      </c>
      <c r="AJ565">
        <v>58</v>
      </c>
      <c r="AK565">
        <v>26</v>
      </c>
      <c r="AL565">
        <v>0.93</v>
      </c>
    </row>
    <row r="566" spans="1:38" x14ac:dyDescent="0.3">
      <c r="A566" t="s">
        <v>589</v>
      </c>
      <c r="B566">
        <v>135427</v>
      </c>
      <c r="C566">
        <v>7</v>
      </c>
      <c r="D566" t="s">
        <v>886</v>
      </c>
      <c r="E566" t="s">
        <v>887</v>
      </c>
      <c r="F566">
        <v>28</v>
      </c>
      <c r="G566">
        <v>20.260000000000002</v>
      </c>
      <c r="H566">
        <v>67</v>
      </c>
      <c r="I566">
        <v>13.14</v>
      </c>
      <c r="J566">
        <v>43.44</v>
      </c>
      <c r="K566">
        <v>1</v>
      </c>
      <c r="T566">
        <v>1</v>
      </c>
      <c r="U566">
        <v>1</v>
      </c>
      <c r="V566" t="s">
        <v>118</v>
      </c>
      <c r="W566" t="s">
        <v>516</v>
      </c>
      <c r="X566">
        <v>6</v>
      </c>
      <c r="Y566">
        <v>6</v>
      </c>
      <c r="Z566" t="s">
        <v>888</v>
      </c>
      <c r="AA566" t="s">
        <v>889</v>
      </c>
      <c r="AB566" t="s">
        <v>96</v>
      </c>
      <c r="AC566" t="s">
        <v>97</v>
      </c>
      <c r="AD566" t="s">
        <v>98</v>
      </c>
      <c r="AE566" t="s">
        <v>594</v>
      </c>
      <c r="AG566" t="s">
        <v>890</v>
      </c>
      <c r="AH566">
        <v>0</v>
      </c>
      <c r="AI566">
        <v>498</v>
      </c>
      <c r="AJ566">
        <v>58</v>
      </c>
      <c r="AK566">
        <v>26</v>
      </c>
      <c r="AL566">
        <v>0.93</v>
      </c>
    </row>
    <row r="567" spans="1:38" x14ac:dyDescent="0.3">
      <c r="A567" t="s">
        <v>589</v>
      </c>
      <c r="B567">
        <v>135427</v>
      </c>
      <c r="C567">
        <v>8</v>
      </c>
      <c r="D567" t="s">
        <v>886</v>
      </c>
      <c r="E567" t="s">
        <v>887</v>
      </c>
      <c r="F567">
        <v>28</v>
      </c>
      <c r="G567">
        <v>20.420000000000002</v>
      </c>
      <c r="H567">
        <v>67.53</v>
      </c>
      <c r="I567">
        <v>13.24</v>
      </c>
      <c r="J567">
        <v>43.78</v>
      </c>
      <c r="K567">
        <v>1</v>
      </c>
      <c r="T567">
        <v>1</v>
      </c>
      <c r="U567">
        <v>1</v>
      </c>
      <c r="V567" t="s">
        <v>118</v>
      </c>
      <c r="W567" t="s">
        <v>318</v>
      </c>
      <c r="X567">
        <v>6</v>
      </c>
      <c r="Y567">
        <v>6</v>
      </c>
      <c r="Z567" t="s">
        <v>888</v>
      </c>
      <c r="AA567" t="s">
        <v>889</v>
      </c>
      <c r="AB567" t="s">
        <v>96</v>
      </c>
      <c r="AC567" t="s">
        <v>97</v>
      </c>
      <c r="AD567" t="s">
        <v>98</v>
      </c>
      <c r="AE567" t="s">
        <v>594</v>
      </c>
      <c r="AG567" t="s">
        <v>890</v>
      </c>
      <c r="AH567">
        <v>0</v>
      </c>
      <c r="AI567">
        <v>498</v>
      </c>
      <c r="AJ567">
        <v>58</v>
      </c>
      <c r="AK567">
        <v>26</v>
      </c>
      <c r="AL567">
        <v>0.93</v>
      </c>
    </row>
    <row r="568" spans="1:38" x14ac:dyDescent="0.3">
      <c r="A568" t="s">
        <v>589</v>
      </c>
      <c r="B568">
        <v>135427</v>
      </c>
      <c r="C568">
        <v>9</v>
      </c>
      <c r="D568" t="s">
        <v>886</v>
      </c>
      <c r="E568" t="s">
        <v>887</v>
      </c>
      <c r="F568">
        <v>28</v>
      </c>
      <c r="G568">
        <v>29.06</v>
      </c>
      <c r="H568">
        <v>96.07</v>
      </c>
      <c r="I568">
        <v>19.440000000000001</v>
      </c>
      <c r="J568">
        <v>64.28</v>
      </c>
      <c r="K568">
        <v>2</v>
      </c>
      <c r="T568">
        <v>1</v>
      </c>
      <c r="U568">
        <v>1</v>
      </c>
      <c r="V568" t="s">
        <v>118</v>
      </c>
      <c r="W568" t="s">
        <v>893</v>
      </c>
      <c r="X568">
        <v>6</v>
      </c>
      <c r="Y568">
        <v>6</v>
      </c>
      <c r="Z568" t="s">
        <v>888</v>
      </c>
      <c r="AA568" t="s">
        <v>889</v>
      </c>
      <c r="AB568" t="s">
        <v>96</v>
      </c>
      <c r="AC568" t="s">
        <v>97</v>
      </c>
      <c r="AD568" t="s">
        <v>98</v>
      </c>
      <c r="AE568" t="s">
        <v>594</v>
      </c>
      <c r="AG568" t="s">
        <v>890</v>
      </c>
      <c r="AH568">
        <v>0</v>
      </c>
      <c r="AI568">
        <v>498</v>
      </c>
      <c r="AJ568">
        <v>58</v>
      </c>
      <c r="AK568">
        <v>26</v>
      </c>
      <c r="AL568">
        <v>0.93</v>
      </c>
    </row>
    <row r="569" spans="1:38" x14ac:dyDescent="0.3">
      <c r="A569" t="s">
        <v>589</v>
      </c>
      <c r="B569">
        <v>135427</v>
      </c>
      <c r="C569">
        <v>10</v>
      </c>
      <c r="D569" t="s">
        <v>886</v>
      </c>
      <c r="E569" t="s">
        <v>887</v>
      </c>
      <c r="F569">
        <v>28</v>
      </c>
      <c r="G569">
        <v>29.1</v>
      </c>
      <c r="H569">
        <v>96.21</v>
      </c>
      <c r="I569">
        <v>19.47</v>
      </c>
      <c r="J569">
        <v>64.37</v>
      </c>
      <c r="K569">
        <v>2</v>
      </c>
      <c r="T569">
        <v>1</v>
      </c>
      <c r="U569">
        <v>1</v>
      </c>
      <c r="V569" t="s">
        <v>118</v>
      </c>
      <c r="W569" t="s">
        <v>894</v>
      </c>
      <c r="X569">
        <v>6</v>
      </c>
      <c r="Y569">
        <v>6</v>
      </c>
      <c r="Z569" t="s">
        <v>888</v>
      </c>
      <c r="AA569" t="s">
        <v>889</v>
      </c>
      <c r="AB569" t="s">
        <v>96</v>
      </c>
      <c r="AC569" t="s">
        <v>97</v>
      </c>
      <c r="AD569" t="s">
        <v>98</v>
      </c>
      <c r="AE569" t="s">
        <v>594</v>
      </c>
      <c r="AG569" t="s">
        <v>890</v>
      </c>
      <c r="AH569">
        <v>0</v>
      </c>
      <c r="AI569">
        <v>498</v>
      </c>
      <c r="AJ569">
        <v>58</v>
      </c>
      <c r="AK569">
        <v>26</v>
      </c>
      <c r="AL569">
        <v>0.93</v>
      </c>
    </row>
    <row r="570" spans="1:38" x14ac:dyDescent="0.3">
      <c r="A570" t="s">
        <v>589</v>
      </c>
      <c r="B570">
        <v>135427</v>
      </c>
      <c r="C570">
        <v>11</v>
      </c>
      <c r="D570" t="s">
        <v>886</v>
      </c>
      <c r="E570" t="s">
        <v>887</v>
      </c>
      <c r="F570">
        <v>28</v>
      </c>
      <c r="G570">
        <v>30.42</v>
      </c>
      <c r="H570">
        <v>100.59</v>
      </c>
      <c r="I570">
        <v>20.36</v>
      </c>
      <c r="J570">
        <v>67.31</v>
      </c>
      <c r="K570">
        <v>2</v>
      </c>
      <c r="T570">
        <v>1</v>
      </c>
      <c r="U570">
        <v>1</v>
      </c>
      <c r="V570" t="s">
        <v>118</v>
      </c>
      <c r="W570">
        <v>100</v>
      </c>
      <c r="X570">
        <v>6</v>
      </c>
      <c r="Y570">
        <v>6</v>
      </c>
      <c r="Z570" t="s">
        <v>888</v>
      </c>
      <c r="AA570" t="s">
        <v>889</v>
      </c>
      <c r="AB570" t="s">
        <v>96</v>
      </c>
      <c r="AC570" t="s">
        <v>97</v>
      </c>
      <c r="AD570" t="s">
        <v>98</v>
      </c>
      <c r="AE570" t="s">
        <v>594</v>
      </c>
      <c r="AG570" t="s">
        <v>890</v>
      </c>
      <c r="AH570">
        <v>0</v>
      </c>
      <c r="AI570">
        <v>498</v>
      </c>
      <c r="AJ570">
        <v>58</v>
      </c>
      <c r="AK570">
        <v>26</v>
      </c>
      <c r="AL570">
        <v>0.93</v>
      </c>
    </row>
    <row r="571" spans="1:38" x14ac:dyDescent="0.3">
      <c r="A571" t="s">
        <v>589</v>
      </c>
      <c r="B571">
        <v>106056</v>
      </c>
      <c r="C571">
        <v>1</v>
      </c>
      <c r="D571" t="s">
        <v>895</v>
      </c>
      <c r="E571" t="s">
        <v>896</v>
      </c>
      <c r="F571">
        <v>266</v>
      </c>
      <c r="G571">
        <v>6.89</v>
      </c>
      <c r="H571">
        <v>22.8</v>
      </c>
      <c r="I571">
        <v>4.17</v>
      </c>
      <c r="J571">
        <v>13.81</v>
      </c>
      <c r="K571">
        <v>56</v>
      </c>
      <c r="T571">
        <v>1</v>
      </c>
      <c r="U571">
        <v>1</v>
      </c>
      <c r="V571" t="s">
        <v>118</v>
      </c>
      <c r="W571" t="s">
        <v>819</v>
      </c>
      <c r="X571">
        <v>16</v>
      </c>
      <c r="Y571">
        <v>16</v>
      </c>
      <c r="Z571" t="s">
        <v>897</v>
      </c>
      <c r="AA571" t="s">
        <v>898</v>
      </c>
      <c r="AB571" t="s">
        <v>96</v>
      </c>
      <c r="AC571" t="s">
        <v>97</v>
      </c>
      <c r="AD571" t="s">
        <v>98</v>
      </c>
      <c r="AE571" t="s">
        <v>594</v>
      </c>
      <c r="AG571" t="s">
        <v>899</v>
      </c>
      <c r="AH571">
        <v>0</v>
      </c>
      <c r="AI571">
        <v>549</v>
      </c>
      <c r="AJ571">
        <v>63</v>
      </c>
      <c r="AK571">
        <v>135</v>
      </c>
      <c r="AL571">
        <v>0.51</v>
      </c>
    </row>
    <row r="572" spans="1:38" x14ac:dyDescent="0.3">
      <c r="A572" t="s">
        <v>589</v>
      </c>
      <c r="B572">
        <v>106056</v>
      </c>
      <c r="C572">
        <v>2</v>
      </c>
      <c r="D572" t="s">
        <v>895</v>
      </c>
      <c r="E572" t="s">
        <v>896</v>
      </c>
      <c r="F572">
        <v>266</v>
      </c>
      <c r="G572">
        <v>6.73</v>
      </c>
      <c r="H572">
        <v>22.28</v>
      </c>
      <c r="I572">
        <v>4.08</v>
      </c>
      <c r="J572">
        <v>13.49</v>
      </c>
      <c r="K572">
        <v>42</v>
      </c>
      <c r="T572">
        <v>1</v>
      </c>
      <c r="U572">
        <v>1</v>
      </c>
      <c r="V572" t="s">
        <v>118</v>
      </c>
      <c r="W572" t="s">
        <v>569</v>
      </c>
      <c r="X572">
        <v>16</v>
      </c>
      <c r="Y572">
        <v>16</v>
      </c>
      <c r="Z572" t="s">
        <v>897</v>
      </c>
      <c r="AA572" t="s">
        <v>898</v>
      </c>
      <c r="AB572" t="s">
        <v>96</v>
      </c>
      <c r="AC572" t="s">
        <v>97</v>
      </c>
      <c r="AD572" t="s">
        <v>98</v>
      </c>
      <c r="AE572" t="s">
        <v>594</v>
      </c>
      <c r="AG572" t="s">
        <v>899</v>
      </c>
      <c r="AH572">
        <v>0</v>
      </c>
      <c r="AI572">
        <v>549</v>
      </c>
      <c r="AJ572">
        <v>63</v>
      </c>
      <c r="AK572">
        <v>135</v>
      </c>
      <c r="AL572">
        <v>0.51</v>
      </c>
    </row>
    <row r="573" spans="1:38" x14ac:dyDescent="0.3">
      <c r="A573" t="s">
        <v>589</v>
      </c>
      <c r="B573">
        <v>106056</v>
      </c>
      <c r="C573">
        <v>3</v>
      </c>
      <c r="D573" t="s">
        <v>895</v>
      </c>
      <c r="E573" t="s">
        <v>896</v>
      </c>
      <c r="F573">
        <v>266</v>
      </c>
      <c r="G573">
        <v>6.8</v>
      </c>
      <c r="H573">
        <v>22.48</v>
      </c>
      <c r="I573">
        <v>4.1100000000000003</v>
      </c>
      <c r="J573">
        <v>13.61</v>
      </c>
      <c r="K573">
        <v>14</v>
      </c>
      <c r="T573">
        <v>1</v>
      </c>
      <c r="U573">
        <v>1</v>
      </c>
      <c r="V573" t="s">
        <v>118</v>
      </c>
      <c r="W573" t="s">
        <v>225</v>
      </c>
      <c r="X573">
        <v>16</v>
      </c>
      <c r="Y573">
        <v>16</v>
      </c>
      <c r="Z573" t="s">
        <v>897</v>
      </c>
      <c r="AA573" t="s">
        <v>898</v>
      </c>
      <c r="AB573" t="s">
        <v>96</v>
      </c>
      <c r="AC573" t="s">
        <v>97</v>
      </c>
      <c r="AD573" t="s">
        <v>98</v>
      </c>
      <c r="AE573" t="s">
        <v>594</v>
      </c>
      <c r="AG573" t="s">
        <v>899</v>
      </c>
      <c r="AH573">
        <v>0</v>
      </c>
      <c r="AI573">
        <v>549</v>
      </c>
      <c r="AJ573">
        <v>63</v>
      </c>
      <c r="AK573">
        <v>135</v>
      </c>
      <c r="AL573">
        <v>0.51</v>
      </c>
    </row>
    <row r="574" spans="1:38" x14ac:dyDescent="0.3">
      <c r="A574" t="s">
        <v>589</v>
      </c>
      <c r="B574">
        <v>106056</v>
      </c>
      <c r="C574">
        <v>4</v>
      </c>
      <c r="D574" t="s">
        <v>895</v>
      </c>
      <c r="E574" t="s">
        <v>896</v>
      </c>
      <c r="F574">
        <v>266</v>
      </c>
      <c r="G574">
        <v>6.98</v>
      </c>
      <c r="H574">
        <v>23.09</v>
      </c>
      <c r="I574">
        <v>4.2300000000000004</v>
      </c>
      <c r="J574">
        <v>13.99</v>
      </c>
      <c r="K574">
        <v>28</v>
      </c>
      <c r="T574">
        <v>1</v>
      </c>
      <c r="U574">
        <v>1</v>
      </c>
      <c r="V574" t="s">
        <v>118</v>
      </c>
      <c r="W574" t="s">
        <v>230</v>
      </c>
      <c r="X574">
        <v>16</v>
      </c>
      <c r="Y574">
        <v>16</v>
      </c>
      <c r="Z574" t="s">
        <v>897</v>
      </c>
      <c r="AA574" t="s">
        <v>898</v>
      </c>
      <c r="AB574" t="s">
        <v>96</v>
      </c>
      <c r="AC574" t="s">
        <v>97</v>
      </c>
      <c r="AD574" t="s">
        <v>98</v>
      </c>
      <c r="AE574" t="s">
        <v>594</v>
      </c>
      <c r="AG574" t="s">
        <v>899</v>
      </c>
      <c r="AH574">
        <v>0</v>
      </c>
      <c r="AI574">
        <v>549</v>
      </c>
      <c r="AJ574">
        <v>63</v>
      </c>
      <c r="AK574">
        <v>135</v>
      </c>
      <c r="AL574">
        <v>0.51</v>
      </c>
    </row>
    <row r="575" spans="1:38" x14ac:dyDescent="0.3">
      <c r="A575" t="s">
        <v>589</v>
      </c>
      <c r="B575">
        <v>106056</v>
      </c>
      <c r="C575">
        <v>5</v>
      </c>
      <c r="D575" t="s">
        <v>895</v>
      </c>
      <c r="E575" t="s">
        <v>896</v>
      </c>
      <c r="F575">
        <v>266</v>
      </c>
      <c r="G575">
        <v>7.04</v>
      </c>
      <c r="H575">
        <v>23.3</v>
      </c>
      <c r="I575">
        <v>4.26</v>
      </c>
      <c r="J575">
        <v>14.11</v>
      </c>
      <c r="K575">
        <v>28</v>
      </c>
      <c r="T575">
        <v>1</v>
      </c>
      <c r="U575">
        <v>1</v>
      </c>
      <c r="V575" t="s">
        <v>118</v>
      </c>
      <c r="W575" t="s">
        <v>900</v>
      </c>
      <c r="X575">
        <v>16</v>
      </c>
      <c r="Y575">
        <v>16</v>
      </c>
      <c r="Z575" t="s">
        <v>897</v>
      </c>
      <c r="AA575" t="s">
        <v>898</v>
      </c>
      <c r="AB575" t="s">
        <v>96</v>
      </c>
      <c r="AC575" t="s">
        <v>97</v>
      </c>
      <c r="AD575" t="s">
        <v>98</v>
      </c>
      <c r="AE575" t="s">
        <v>594</v>
      </c>
      <c r="AG575" t="s">
        <v>899</v>
      </c>
      <c r="AH575">
        <v>0</v>
      </c>
      <c r="AI575">
        <v>549</v>
      </c>
      <c r="AJ575">
        <v>63</v>
      </c>
      <c r="AK575">
        <v>135</v>
      </c>
      <c r="AL575">
        <v>0.51</v>
      </c>
    </row>
    <row r="576" spans="1:38" x14ac:dyDescent="0.3">
      <c r="A576" t="s">
        <v>589</v>
      </c>
      <c r="B576">
        <v>106056</v>
      </c>
      <c r="C576">
        <v>6</v>
      </c>
      <c r="D576" t="s">
        <v>895</v>
      </c>
      <c r="E576" t="s">
        <v>896</v>
      </c>
      <c r="F576">
        <v>266</v>
      </c>
      <c r="G576">
        <v>7.01</v>
      </c>
      <c r="H576">
        <v>23.18</v>
      </c>
      <c r="I576">
        <v>4.24</v>
      </c>
      <c r="J576">
        <v>14.04</v>
      </c>
      <c r="K576">
        <v>14</v>
      </c>
      <c r="T576">
        <v>1</v>
      </c>
      <c r="U576">
        <v>1</v>
      </c>
      <c r="V576" t="s">
        <v>118</v>
      </c>
      <c r="W576" t="s">
        <v>901</v>
      </c>
      <c r="X576">
        <v>16</v>
      </c>
      <c r="Y576">
        <v>16</v>
      </c>
      <c r="Z576" t="s">
        <v>897</v>
      </c>
      <c r="AA576" t="s">
        <v>898</v>
      </c>
      <c r="AB576" t="s">
        <v>96</v>
      </c>
      <c r="AC576" t="s">
        <v>97</v>
      </c>
      <c r="AD576" t="s">
        <v>98</v>
      </c>
      <c r="AE576" t="s">
        <v>594</v>
      </c>
      <c r="AG576" t="s">
        <v>899</v>
      </c>
      <c r="AH576">
        <v>0</v>
      </c>
      <c r="AI576">
        <v>549</v>
      </c>
      <c r="AJ576">
        <v>63</v>
      </c>
      <c r="AK576">
        <v>135</v>
      </c>
      <c r="AL576">
        <v>0.51</v>
      </c>
    </row>
    <row r="577" spans="1:38" x14ac:dyDescent="0.3">
      <c r="A577" t="s">
        <v>589</v>
      </c>
      <c r="B577">
        <v>106056</v>
      </c>
      <c r="C577">
        <v>7</v>
      </c>
      <c r="D577" t="s">
        <v>895</v>
      </c>
      <c r="E577" t="s">
        <v>896</v>
      </c>
      <c r="F577">
        <v>266</v>
      </c>
      <c r="G577">
        <v>7.11</v>
      </c>
      <c r="H577">
        <v>23.53</v>
      </c>
      <c r="I577">
        <v>4.3099999999999996</v>
      </c>
      <c r="J577">
        <v>14.25</v>
      </c>
      <c r="K577">
        <v>14</v>
      </c>
      <c r="T577">
        <v>1</v>
      </c>
      <c r="U577">
        <v>1</v>
      </c>
      <c r="V577" t="s">
        <v>118</v>
      </c>
      <c r="W577" t="s">
        <v>902</v>
      </c>
      <c r="X577">
        <v>16</v>
      </c>
      <c r="Y577">
        <v>16</v>
      </c>
      <c r="Z577" t="s">
        <v>897</v>
      </c>
      <c r="AA577" t="s">
        <v>898</v>
      </c>
      <c r="AB577" t="s">
        <v>96</v>
      </c>
      <c r="AC577" t="s">
        <v>97</v>
      </c>
      <c r="AD577" t="s">
        <v>98</v>
      </c>
      <c r="AE577" t="s">
        <v>594</v>
      </c>
      <c r="AG577" t="s">
        <v>899</v>
      </c>
      <c r="AH577">
        <v>0</v>
      </c>
      <c r="AI577">
        <v>549</v>
      </c>
      <c r="AJ577">
        <v>63</v>
      </c>
      <c r="AK577">
        <v>135</v>
      </c>
      <c r="AL577">
        <v>0.51</v>
      </c>
    </row>
    <row r="578" spans="1:38" x14ac:dyDescent="0.3">
      <c r="A578" t="s">
        <v>589</v>
      </c>
      <c r="B578">
        <v>106056</v>
      </c>
      <c r="C578">
        <v>8</v>
      </c>
      <c r="D578" t="s">
        <v>895</v>
      </c>
      <c r="E578" t="s">
        <v>896</v>
      </c>
      <c r="F578">
        <v>266</v>
      </c>
      <c r="G578">
        <v>7.42</v>
      </c>
      <c r="H578">
        <v>24.56</v>
      </c>
      <c r="I578">
        <v>4.49</v>
      </c>
      <c r="J578">
        <v>14.87</v>
      </c>
      <c r="K578">
        <v>28</v>
      </c>
      <c r="T578">
        <v>1</v>
      </c>
      <c r="U578">
        <v>1</v>
      </c>
      <c r="V578" t="s">
        <v>118</v>
      </c>
      <c r="W578" t="s">
        <v>903</v>
      </c>
      <c r="X578">
        <v>16</v>
      </c>
      <c r="Y578">
        <v>16</v>
      </c>
      <c r="Z578" t="s">
        <v>897</v>
      </c>
      <c r="AA578" t="s">
        <v>898</v>
      </c>
      <c r="AB578" t="s">
        <v>96</v>
      </c>
      <c r="AC578" t="s">
        <v>97</v>
      </c>
      <c r="AD578" t="s">
        <v>98</v>
      </c>
      <c r="AE578" t="s">
        <v>594</v>
      </c>
      <c r="AG578" t="s">
        <v>899</v>
      </c>
      <c r="AH578">
        <v>0</v>
      </c>
      <c r="AI578">
        <v>549</v>
      </c>
      <c r="AJ578">
        <v>63</v>
      </c>
      <c r="AK578">
        <v>135</v>
      </c>
      <c r="AL578">
        <v>0.51</v>
      </c>
    </row>
    <row r="579" spans="1:38" x14ac:dyDescent="0.3">
      <c r="A579" t="s">
        <v>589</v>
      </c>
      <c r="B579">
        <v>106056</v>
      </c>
      <c r="C579">
        <v>9</v>
      </c>
      <c r="D579" t="s">
        <v>895</v>
      </c>
      <c r="E579" t="s">
        <v>896</v>
      </c>
      <c r="F579">
        <v>266</v>
      </c>
      <c r="G579">
        <v>7.4</v>
      </c>
      <c r="H579">
        <v>24.48</v>
      </c>
      <c r="I579">
        <v>4.4800000000000004</v>
      </c>
      <c r="J579">
        <v>14.82</v>
      </c>
      <c r="K579">
        <v>14</v>
      </c>
      <c r="T579">
        <v>1</v>
      </c>
      <c r="U579">
        <v>1</v>
      </c>
      <c r="V579" t="s">
        <v>118</v>
      </c>
      <c r="W579" t="s">
        <v>904</v>
      </c>
      <c r="X579">
        <v>16</v>
      </c>
      <c r="Y579">
        <v>16</v>
      </c>
      <c r="Z579" t="s">
        <v>897</v>
      </c>
      <c r="AA579" t="s">
        <v>898</v>
      </c>
      <c r="AB579" t="s">
        <v>96</v>
      </c>
      <c r="AC579" t="s">
        <v>97</v>
      </c>
      <c r="AD579" t="s">
        <v>98</v>
      </c>
      <c r="AE579" t="s">
        <v>594</v>
      </c>
      <c r="AG579" t="s">
        <v>899</v>
      </c>
      <c r="AH579">
        <v>0</v>
      </c>
      <c r="AI579">
        <v>549</v>
      </c>
      <c r="AJ579">
        <v>63</v>
      </c>
      <c r="AK579">
        <v>135</v>
      </c>
      <c r="AL579">
        <v>0.51</v>
      </c>
    </row>
    <row r="580" spans="1:38" x14ac:dyDescent="0.3">
      <c r="A580" t="s">
        <v>589</v>
      </c>
      <c r="B580">
        <v>106056</v>
      </c>
      <c r="C580">
        <v>10</v>
      </c>
      <c r="D580" t="s">
        <v>895</v>
      </c>
      <c r="E580" t="s">
        <v>896</v>
      </c>
      <c r="F580">
        <v>266</v>
      </c>
      <c r="G580">
        <v>7.52</v>
      </c>
      <c r="H580">
        <v>24.87</v>
      </c>
      <c r="I580">
        <v>4.55</v>
      </c>
      <c r="J580">
        <v>15.06</v>
      </c>
      <c r="K580">
        <v>14</v>
      </c>
      <c r="T580">
        <v>1</v>
      </c>
      <c r="U580">
        <v>1</v>
      </c>
      <c r="V580" t="s">
        <v>118</v>
      </c>
      <c r="W580" t="s">
        <v>905</v>
      </c>
      <c r="X580">
        <v>16</v>
      </c>
      <c r="Y580">
        <v>16</v>
      </c>
      <c r="Z580" t="s">
        <v>897</v>
      </c>
      <c r="AA580" t="s">
        <v>898</v>
      </c>
      <c r="AB580" t="s">
        <v>96</v>
      </c>
      <c r="AC580" t="s">
        <v>97</v>
      </c>
      <c r="AD580" t="s">
        <v>98</v>
      </c>
      <c r="AE580" t="s">
        <v>594</v>
      </c>
      <c r="AG580" t="s">
        <v>899</v>
      </c>
      <c r="AH580">
        <v>0</v>
      </c>
      <c r="AI580">
        <v>549</v>
      </c>
      <c r="AJ580">
        <v>63</v>
      </c>
      <c r="AK580">
        <v>135</v>
      </c>
      <c r="AL580">
        <v>0.51</v>
      </c>
    </row>
    <row r="581" spans="1:38" x14ac:dyDescent="0.3">
      <c r="A581" t="s">
        <v>589</v>
      </c>
      <c r="B581">
        <v>106056</v>
      </c>
      <c r="C581">
        <v>11</v>
      </c>
      <c r="D581" t="s">
        <v>895</v>
      </c>
      <c r="E581" t="s">
        <v>896</v>
      </c>
      <c r="F581">
        <v>266</v>
      </c>
      <c r="G581">
        <v>7.77</v>
      </c>
      <c r="H581">
        <v>25.7</v>
      </c>
      <c r="I581">
        <v>4.7</v>
      </c>
      <c r="J581">
        <v>15.57</v>
      </c>
      <c r="K581">
        <v>14</v>
      </c>
      <c r="T581">
        <v>1</v>
      </c>
      <c r="U581">
        <v>1</v>
      </c>
      <c r="V581" t="s">
        <v>118</v>
      </c>
      <c r="W581" t="s">
        <v>906</v>
      </c>
      <c r="X581">
        <v>16</v>
      </c>
      <c r="Y581">
        <v>16</v>
      </c>
      <c r="Z581" t="s">
        <v>897</v>
      </c>
      <c r="AA581" t="s">
        <v>898</v>
      </c>
      <c r="AB581" t="s">
        <v>96</v>
      </c>
      <c r="AC581" t="s">
        <v>97</v>
      </c>
      <c r="AD581" t="s">
        <v>98</v>
      </c>
      <c r="AE581" t="s">
        <v>594</v>
      </c>
      <c r="AG581" t="s">
        <v>899</v>
      </c>
      <c r="AH581">
        <v>0</v>
      </c>
      <c r="AI581">
        <v>549</v>
      </c>
      <c r="AJ581">
        <v>63</v>
      </c>
      <c r="AK581">
        <v>135</v>
      </c>
      <c r="AL581">
        <v>0.51</v>
      </c>
    </row>
    <row r="582" spans="1:38" x14ac:dyDescent="0.3">
      <c r="A582" t="s">
        <v>589</v>
      </c>
      <c r="B582">
        <v>27677</v>
      </c>
      <c r="C582">
        <v>1</v>
      </c>
      <c r="D582" t="s">
        <v>907</v>
      </c>
      <c r="E582" t="s">
        <v>908</v>
      </c>
      <c r="F582">
        <v>212</v>
      </c>
      <c r="G582">
        <v>45.99</v>
      </c>
      <c r="H582">
        <v>152.05000000000001</v>
      </c>
      <c r="I582">
        <v>36.56</v>
      </c>
      <c r="J582">
        <v>120.89</v>
      </c>
      <c r="K582">
        <v>34</v>
      </c>
      <c r="T582">
        <v>4</v>
      </c>
      <c r="U582">
        <v>2</v>
      </c>
      <c r="V582" t="s">
        <v>93</v>
      </c>
      <c r="W582">
        <v>152</v>
      </c>
      <c r="X582">
        <v>20</v>
      </c>
      <c r="Y582">
        <v>19</v>
      </c>
      <c r="Z582" t="s">
        <v>909</v>
      </c>
      <c r="AA582" t="s">
        <v>910</v>
      </c>
      <c r="AB582" t="s">
        <v>96</v>
      </c>
      <c r="AC582" t="s">
        <v>97</v>
      </c>
      <c r="AD582" t="s">
        <v>98</v>
      </c>
      <c r="AE582" t="s">
        <v>594</v>
      </c>
      <c r="AG582" t="s">
        <v>911</v>
      </c>
      <c r="AH582">
        <v>0</v>
      </c>
      <c r="AI582">
        <v>399</v>
      </c>
      <c r="AJ582">
        <v>54</v>
      </c>
      <c r="AK582">
        <v>557</v>
      </c>
      <c r="AL582">
        <v>2.63</v>
      </c>
    </row>
    <row r="583" spans="1:38" x14ac:dyDescent="0.3">
      <c r="A583" t="s">
        <v>589</v>
      </c>
      <c r="B583">
        <v>27677</v>
      </c>
      <c r="C583">
        <v>2</v>
      </c>
      <c r="D583" t="s">
        <v>907</v>
      </c>
      <c r="E583" t="s">
        <v>908</v>
      </c>
      <c r="F583">
        <v>212</v>
      </c>
      <c r="G583">
        <v>48.16</v>
      </c>
      <c r="H583">
        <v>159.22999999999999</v>
      </c>
      <c r="I583">
        <v>38.1</v>
      </c>
      <c r="J583">
        <v>125.96</v>
      </c>
      <c r="K583">
        <v>70</v>
      </c>
      <c r="T583">
        <v>4</v>
      </c>
      <c r="U583">
        <v>2</v>
      </c>
      <c r="V583" t="s">
        <v>93</v>
      </c>
      <c r="W583">
        <v>159</v>
      </c>
      <c r="X583">
        <v>20</v>
      </c>
      <c r="Y583">
        <v>19</v>
      </c>
      <c r="Z583" t="s">
        <v>909</v>
      </c>
      <c r="AA583" t="s">
        <v>910</v>
      </c>
      <c r="AB583" t="s">
        <v>96</v>
      </c>
      <c r="AC583" t="s">
        <v>97</v>
      </c>
      <c r="AD583" t="s">
        <v>98</v>
      </c>
      <c r="AE583" t="s">
        <v>594</v>
      </c>
      <c r="AG583" t="s">
        <v>911</v>
      </c>
      <c r="AH583">
        <v>0</v>
      </c>
      <c r="AI583">
        <v>399</v>
      </c>
      <c r="AJ583">
        <v>54</v>
      </c>
      <c r="AK583">
        <v>557</v>
      </c>
      <c r="AL583">
        <v>2.63</v>
      </c>
    </row>
    <row r="584" spans="1:38" x14ac:dyDescent="0.3">
      <c r="A584" t="s">
        <v>589</v>
      </c>
      <c r="B584">
        <v>27677</v>
      </c>
      <c r="C584">
        <v>3</v>
      </c>
      <c r="D584" t="s">
        <v>907</v>
      </c>
      <c r="E584" t="s">
        <v>908</v>
      </c>
      <c r="F584">
        <v>212</v>
      </c>
      <c r="G584">
        <v>51.28</v>
      </c>
      <c r="H584">
        <v>169.54</v>
      </c>
      <c r="I584">
        <v>40.770000000000003</v>
      </c>
      <c r="J584">
        <v>134.80000000000001</v>
      </c>
      <c r="K584">
        <v>36</v>
      </c>
      <c r="T584">
        <v>4</v>
      </c>
      <c r="U584">
        <v>2</v>
      </c>
      <c r="V584" t="s">
        <v>93</v>
      </c>
      <c r="W584">
        <v>169</v>
      </c>
      <c r="X584">
        <v>20</v>
      </c>
      <c r="Y584">
        <v>19</v>
      </c>
      <c r="Z584" t="s">
        <v>909</v>
      </c>
      <c r="AA584" t="s">
        <v>910</v>
      </c>
      <c r="AB584" t="s">
        <v>96</v>
      </c>
      <c r="AC584" t="s">
        <v>97</v>
      </c>
      <c r="AD584" t="s">
        <v>98</v>
      </c>
      <c r="AE584" t="s">
        <v>594</v>
      </c>
      <c r="AG584" t="s">
        <v>911</v>
      </c>
      <c r="AH584">
        <v>0</v>
      </c>
      <c r="AI584">
        <v>399</v>
      </c>
      <c r="AJ584">
        <v>54</v>
      </c>
      <c r="AK584">
        <v>557</v>
      </c>
      <c r="AL584">
        <v>2.63</v>
      </c>
    </row>
    <row r="585" spans="1:38" x14ac:dyDescent="0.3">
      <c r="A585" t="s">
        <v>589</v>
      </c>
      <c r="B585">
        <v>27677</v>
      </c>
      <c r="C585">
        <v>4</v>
      </c>
      <c r="D585" t="s">
        <v>907</v>
      </c>
      <c r="E585" t="s">
        <v>908</v>
      </c>
      <c r="F585">
        <v>212</v>
      </c>
      <c r="G585">
        <v>54.21</v>
      </c>
      <c r="H585">
        <v>179.23</v>
      </c>
      <c r="I585">
        <v>43.21</v>
      </c>
      <c r="J585">
        <v>142.85</v>
      </c>
      <c r="K585">
        <v>72</v>
      </c>
      <c r="T585">
        <v>4</v>
      </c>
      <c r="U585">
        <v>2</v>
      </c>
      <c r="V585" t="s">
        <v>93</v>
      </c>
      <c r="W585">
        <v>179</v>
      </c>
      <c r="X585">
        <v>20</v>
      </c>
      <c r="Y585">
        <v>19</v>
      </c>
      <c r="Z585" t="s">
        <v>909</v>
      </c>
      <c r="AA585" t="s">
        <v>910</v>
      </c>
      <c r="AB585" t="s">
        <v>96</v>
      </c>
      <c r="AC585" t="s">
        <v>97</v>
      </c>
      <c r="AD585" t="s">
        <v>98</v>
      </c>
      <c r="AE585" t="s">
        <v>594</v>
      </c>
      <c r="AG585" t="s">
        <v>911</v>
      </c>
      <c r="AH585">
        <v>0</v>
      </c>
      <c r="AI585">
        <v>399</v>
      </c>
      <c r="AJ585">
        <v>54</v>
      </c>
      <c r="AK585">
        <v>557</v>
      </c>
      <c r="AL585">
        <v>2.63</v>
      </c>
    </row>
    <row r="586" spans="1:38" x14ac:dyDescent="0.3">
      <c r="A586" t="s">
        <v>589</v>
      </c>
      <c r="B586">
        <v>115681</v>
      </c>
      <c r="C586">
        <v>1</v>
      </c>
      <c r="D586" t="s">
        <v>912</v>
      </c>
      <c r="E586" t="s">
        <v>795</v>
      </c>
      <c r="F586">
        <v>279</v>
      </c>
      <c r="G586">
        <v>25.01</v>
      </c>
      <c r="H586">
        <v>82.68</v>
      </c>
      <c r="I586">
        <v>18.14</v>
      </c>
      <c r="J586">
        <v>59.98</v>
      </c>
      <c r="K586">
        <v>61</v>
      </c>
      <c r="T586">
        <v>3</v>
      </c>
      <c r="U586">
        <v>2</v>
      </c>
      <c r="V586" t="s">
        <v>93</v>
      </c>
      <c r="W586" t="s">
        <v>913</v>
      </c>
      <c r="X586">
        <v>25</v>
      </c>
      <c r="Y586">
        <v>14</v>
      </c>
      <c r="Z586" t="s">
        <v>914</v>
      </c>
      <c r="AA586" t="s">
        <v>915</v>
      </c>
      <c r="AB586" t="s">
        <v>96</v>
      </c>
      <c r="AC586" t="s">
        <v>97</v>
      </c>
      <c r="AD586" t="s">
        <v>98</v>
      </c>
      <c r="AE586" t="s">
        <v>594</v>
      </c>
      <c r="AG586" t="s">
        <v>916</v>
      </c>
      <c r="AH586">
        <v>0</v>
      </c>
      <c r="AI586">
        <v>390</v>
      </c>
      <c r="AJ586">
        <v>56</v>
      </c>
      <c r="AK586">
        <v>337</v>
      </c>
      <c r="AL586">
        <v>1.21</v>
      </c>
    </row>
    <row r="587" spans="1:38" x14ac:dyDescent="0.3">
      <c r="A587" t="s">
        <v>589</v>
      </c>
      <c r="B587">
        <v>115681</v>
      </c>
      <c r="C587">
        <v>2</v>
      </c>
      <c r="D587" t="s">
        <v>912</v>
      </c>
      <c r="E587" t="s">
        <v>795</v>
      </c>
      <c r="F587">
        <v>279</v>
      </c>
      <c r="G587">
        <v>25.38</v>
      </c>
      <c r="H587">
        <v>83.93</v>
      </c>
      <c r="I587">
        <v>18.14</v>
      </c>
      <c r="J587">
        <v>59.97</v>
      </c>
      <c r="K587">
        <v>37</v>
      </c>
      <c r="T587">
        <v>3</v>
      </c>
      <c r="U587">
        <v>2</v>
      </c>
      <c r="V587" t="s">
        <v>93</v>
      </c>
      <c r="W587" t="s">
        <v>290</v>
      </c>
      <c r="X587">
        <v>25</v>
      </c>
      <c r="Y587">
        <v>14</v>
      </c>
      <c r="Z587" t="s">
        <v>914</v>
      </c>
      <c r="AA587" t="s">
        <v>915</v>
      </c>
      <c r="AB587" t="s">
        <v>96</v>
      </c>
      <c r="AC587" t="s">
        <v>97</v>
      </c>
      <c r="AD587" t="s">
        <v>98</v>
      </c>
      <c r="AE587" t="s">
        <v>594</v>
      </c>
      <c r="AG587" t="s">
        <v>916</v>
      </c>
      <c r="AH587">
        <v>0</v>
      </c>
      <c r="AI587">
        <v>390</v>
      </c>
      <c r="AJ587">
        <v>56</v>
      </c>
      <c r="AK587">
        <v>337</v>
      </c>
      <c r="AL587">
        <v>1.21</v>
      </c>
    </row>
    <row r="588" spans="1:38" x14ac:dyDescent="0.3">
      <c r="A588" t="s">
        <v>589</v>
      </c>
      <c r="B588">
        <v>115681</v>
      </c>
      <c r="C588">
        <v>3</v>
      </c>
      <c r="D588" t="s">
        <v>912</v>
      </c>
      <c r="E588" t="s">
        <v>795</v>
      </c>
      <c r="F588">
        <v>279</v>
      </c>
      <c r="G588">
        <v>25.14</v>
      </c>
      <c r="H588">
        <v>83.12</v>
      </c>
      <c r="I588">
        <v>18.14</v>
      </c>
      <c r="J588">
        <v>59.97</v>
      </c>
      <c r="K588">
        <v>37</v>
      </c>
      <c r="T588">
        <v>3</v>
      </c>
      <c r="U588">
        <v>2</v>
      </c>
      <c r="V588" t="s">
        <v>93</v>
      </c>
      <c r="W588" t="s">
        <v>917</v>
      </c>
      <c r="X588">
        <v>25</v>
      </c>
      <c r="Y588">
        <v>14</v>
      </c>
      <c r="Z588" t="s">
        <v>914</v>
      </c>
      <c r="AA588" t="s">
        <v>915</v>
      </c>
      <c r="AB588" t="s">
        <v>96</v>
      </c>
      <c r="AC588" t="s">
        <v>97</v>
      </c>
      <c r="AD588" t="s">
        <v>98</v>
      </c>
      <c r="AE588" t="s">
        <v>594</v>
      </c>
      <c r="AG588" t="s">
        <v>916</v>
      </c>
      <c r="AH588">
        <v>0</v>
      </c>
      <c r="AI588">
        <v>390</v>
      </c>
      <c r="AJ588">
        <v>56</v>
      </c>
      <c r="AK588">
        <v>337</v>
      </c>
      <c r="AL588">
        <v>1.21</v>
      </c>
    </row>
    <row r="589" spans="1:38" x14ac:dyDescent="0.3">
      <c r="A589" t="s">
        <v>589</v>
      </c>
      <c r="B589">
        <v>115681</v>
      </c>
      <c r="C589">
        <v>4</v>
      </c>
      <c r="D589" t="s">
        <v>912</v>
      </c>
      <c r="E589" t="s">
        <v>795</v>
      </c>
      <c r="F589">
        <v>279</v>
      </c>
      <c r="G589">
        <v>25.27</v>
      </c>
      <c r="H589">
        <v>83.55</v>
      </c>
      <c r="I589">
        <v>18.13</v>
      </c>
      <c r="J589">
        <v>59.94</v>
      </c>
      <c r="K589">
        <v>25</v>
      </c>
      <c r="T589">
        <v>3</v>
      </c>
      <c r="U589">
        <v>2</v>
      </c>
      <c r="V589" t="s">
        <v>93</v>
      </c>
      <c r="W589" t="s">
        <v>918</v>
      </c>
      <c r="X589">
        <v>25</v>
      </c>
      <c r="Y589">
        <v>14</v>
      </c>
      <c r="Z589" t="s">
        <v>914</v>
      </c>
      <c r="AA589" t="s">
        <v>915</v>
      </c>
      <c r="AB589" t="s">
        <v>96</v>
      </c>
      <c r="AC589" t="s">
        <v>97</v>
      </c>
      <c r="AD589" t="s">
        <v>98</v>
      </c>
      <c r="AE589" t="s">
        <v>594</v>
      </c>
      <c r="AG589" t="s">
        <v>916</v>
      </c>
      <c r="AH589">
        <v>0</v>
      </c>
      <c r="AI589">
        <v>390</v>
      </c>
      <c r="AJ589">
        <v>56</v>
      </c>
      <c r="AK589">
        <v>337</v>
      </c>
      <c r="AL589">
        <v>1.21</v>
      </c>
    </row>
    <row r="590" spans="1:38" x14ac:dyDescent="0.3">
      <c r="A590" t="s">
        <v>589</v>
      </c>
      <c r="B590">
        <v>115681</v>
      </c>
      <c r="C590">
        <v>5</v>
      </c>
      <c r="D590" t="s">
        <v>912</v>
      </c>
      <c r="E590" t="s">
        <v>795</v>
      </c>
      <c r="F590">
        <v>279</v>
      </c>
      <c r="G590">
        <v>25.37</v>
      </c>
      <c r="H590">
        <v>83.87</v>
      </c>
      <c r="I590">
        <v>18.14</v>
      </c>
      <c r="J590">
        <v>59.97</v>
      </c>
      <c r="K590">
        <v>24</v>
      </c>
      <c r="T590">
        <v>3</v>
      </c>
      <c r="U590">
        <v>2</v>
      </c>
      <c r="V590" t="s">
        <v>93</v>
      </c>
      <c r="W590" t="s">
        <v>919</v>
      </c>
      <c r="X590">
        <v>25</v>
      </c>
      <c r="Y590">
        <v>14</v>
      </c>
      <c r="Z590" t="s">
        <v>914</v>
      </c>
      <c r="AA590" t="s">
        <v>915</v>
      </c>
      <c r="AB590" t="s">
        <v>96</v>
      </c>
      <c r="AC590" t="s">
        <v>97</v>
      </c>
      <c r="AD590" t="s">
        <v>98</v>
      </c>
      <c r="AE590" t="s">
        <v>594</v>
      </c>
      <c r="AG590" t="s">
        <v>916</v>
      </c>
      <c r="AH590">
        <v>0</v>
      </c>
      <c r="AI590">
        <v>390</v>
      </c>
      <c r="AJ590">
        <v>56</v>
      </c>
      <c r="AK590">
        <v>337</v>
      </c>
      <c r="AL590">
        <v>1.21</v>
      </c>
    </row>
    <row r="591" spans="1:38" x14ac:dyDescent="0.3">
      <c r="A591" t="s">
        <v>589</v>
      </c>
      <c r="B591">
        <v>115681</v>
      </c>
      <c r="C591">
        <v>6</v>
      </c>
      <c r="D591" t="s">
        <v>912</v>
      </c>
      <c r="E591" t="s">
        <v>795</v>
      </c>
      <c r="F591">
        <v>279</v>
      </c>
      <c r="G591">
        <v>30.54</v>
      </c>
      <c r="H591">
        <v>100.97</v>
      </c>
      <c r="I591">
        <v>22.68</v>
      </c>
      <c r="J591">
        <v>74.98</v>
      </c>
      <c r="K591">
        <v>95</v>
      </c>
      <c r="T591">
        <v>3</v>
      </c>
      <c r="U591">
        <v>2</v>
      </c>
      <c r="V591" t="s">
        <v>93</v>
      </c>
      <c r="W591">
        <v>100</v>
      </c>
      <c r="X591">
        <v>25</v>
      </c>
      <c r="Y591">
        <v>14</v>
      </c>
      <c r="Z591" t="s">
        <v>914</v>
      </c>
      <c r="AA591" t="s">
        <v>915</v>
      </c>
      <c r="AB591" t="s">
        <v>96</v>
      </c>
      <c r="AC591" t="s">
        <v>97</v>
      </c>
      <c r="AD591" t="s">
        <v>98</v>
      </c>
      <c r="AE591" t="s">
        <v>594</v>
      </c>
      <c r="AG591" t="s">
        <v>916</v>
      </c>
      <c r="AH591">
        <v>0</v>
      </c>
      <c r="AI591">
        <v>390</v>
      </c>
      <c r="AJ591">
        <v>56</v>
      </c>
      <c r="AK591">
        <v>337</v>
      </c>
      <c r="AL591">
        <v>1.21</v>
      </c>
    </row>
    <row r="592" spans="1:38" x14ac:dyDescent="0.3">
      <c r="A592" t="s">
        <v>589</v>
      </c>
      <c r="B592">
        <v>26276</v>
      </c>
      <c r="C592">
        <v>1</v>
      </c>
      <c r="D592" t="s">
        <v>920</v>
      </c>
      <c r="E592" t="s">
        <v>714</v>
      </c>
      <c r="F592">
        <v>431</v>
      </c>
      <c r="G592">
        <v>24.71</v>
      </c>
      <c r="H592">
        <v>81.69</v>
      </c>
      <c r="I592">
        <v>18.14</v>
      </c>
      <c r="J592">
        <v>59.98</v>
      </c>
      <c r="K592">
        <v>86</v>
      </c>
      <c r="T592">
        <v>3</v>
      </c>
      <c r="U592">
        <v>2</v>
      </c>
      <c r="V592" t="s">
        <v>93</v>
      </c>
      <c r="W592">
        <v>81</v>
      </c>
      <c r="X592">
        <v>20</v>
      </c>
      <c r="Y592">
        <v>12</v>
      </c>
      <c r="Z592" t="s">
        <v>921</v>
      </c>
      <c r="AA592" t="s">
        <v>922</v>
      </c>
      <c r="AB592" t="s">
        <v>96</v>
      </c>
      <c r="AC592" t="s">
        <v>97</v>
      </c>
      <c r="AD592" t="s">
        <v>98</v>
      </c>
      <c r="AE592" t="s">
        <v>594</v>
      </c>
      <c r="AG592" t="s">
        <v>923</v>
      </c>
      <c r="AH592">
        <v>30</v>
      </c>
      <c r="AI592">
        <v>249</v>
      </c>
      <c r="AJ592">
        <v>17</v>
      </c>
      <c r="AK592">
        <v>506</v>
      </c>
      <c r="AL592">
        <v>1.17</v>
      </c>
    </row>
    <row r="593" spans="1:38" x14ac:dyDescent="0.3">
      <c r="A593" t="s">
        <v>589</v>
      </c>
      <c r="B593">
        <v>26276</v>
      </c>
      <c r="C593">
        <v>2</v>
      </c>
      <c r="D593" t="s">
        <v>920</v>
      </c>
      <c r="E593" t="s">
        <v>714</v>
      </c>
      <c r="F593">
        <v>431</v>
      </c>
      <c r="G593">
        <v>33</v>
      </c>
      <c r="H593">
        <v>109.12</v>
      </c>
      <c r="I593">
        <v>25.7</v>
      </c>
      <c r="J593">
        <v>84.98</v>
      </c>
      <c r="K593">
        <v>164</v>
      </c>
      <c r="T593">
        <v>3</v>
      </c>
      <c r="U593">
        <v>2</v>
      </c>
      <c r="V593" t="s">
        <v>93</v>
      </c>
      <c r="W593" t="s">
        <v>924</v>
      </c>
      <c r="X593">
        <v>20</v>
      </c>
      <c r="Y593">
        <v>12</v>
      </c>
      <c r="Z593" t="s">
        <v>921</v>
      </c>
      <c r="AA593" t="s">
        <v>922</v>
      </c>
      <c r="AB593" t="s">
        <v>96</v>
      </c>
      <c r="AC593" t="s">
        <v>97</v>
      </c>
      <c r="AD593" t="s">
        <v>98</v>
      </c>
      <c r="AE593" t="s">
        <v>594</v>
      </c>
      <c r="AG593" t="s">
        <v>923</v>
      </c>
      <c r="AH593">
        <v>30</v>
      </c>
      <c r="AI593">
        <v>249</v>
      </c>
      <c r="AJ593">
        <v>17</v>
      </c>
      <c r="AK593">
        <v>506</v>
      </c>
      <c r="AL593">
        <v>1.17</v>
      </c>
    </row>
    <row r="594" spans="1:38" x14ac:dyDescent="0.3">
      <c r="A594" t="s">
        <v>589</v>
      </c>
      <c r="B594">
        <v>26276</v>
      </c>
      <c r="C594">
        <v>3</v>
      </c>
      <c r="D594" t="s">
        <v>920</v>
      </c>
      <c r="E594" t="s">
        <v>714</v>
      </c>
      <c r="F594">
        <v>431</v>
      </c>
      <c r="G594">
        <v>33.06</v>
      </c>
      <c r="H594">
        <v>109.31</v>
      </c>
      <c r="I594">
        <v>25.7</v>
      </c>
      <c r="J594">
        <v>84.98</v>
      </c>
      <c r="K594">
        <v>15</v>
      </c>
      <c r="T594">
        <v>3</v>
      </c>
      <c r="U594">
        <v>2</v>
      </c>
      <c r="V594" t="s">
        <v>93</v>
      </c>
      <c r="W594" t="s">
        <v>171</v>
      </c>
      <c r="X594">
        <v>20</v>
      </c>
      <c r="Y594">
        <v>12</v>
      </c>
      <c r="Z594" t="s">
        <v>921</v>
      </c>
      <c r="AA594" t="s">
        <v>922</v>
      </c>
      <c r="AB594" t="s">
        <v>96</v>
      </c>
      <c r="AC594" t="s">
        <v>97</v>
      </c>
      <c r="AD594" t="s">
        <v>98</v>
      </c>
      <c r="AE594" t="s">
        <v>594</v>
      </c>
      <c r="AG594" t="s">
        <v>923</v>
      </c>
      <c r="AH594">
        <v>30</v>
      </c>
      <c r="AI594">
        <v>249</v>
      </c>
      <c r="AJ594">
        <v>17</v>
      </c>
      <c r="AK594">
        <v>506</v>
      </c>
      <c r="AL594">
        <v>1.17</v>
      </c>
    </row>
    <row r="595" spans="1:38" x14ac:dyDescent="0.3">
      <c r="A595" t="s">
        <v>589</v>
      </c>
      <c r="B595">
        <v>26276</v>
      </c>
      <c r="C595">
        <v>4</v>
      </c>
      <c r="D595" t="s">
        <v>920</v>
      </c>
      <c r="E595" t="s">
        <v>714</v>
      </c>
      <c r="F595">
        <v>431</v>
      </c>
      <c r="G595">
        <v>33.659999999999997</v>
      </c>
      <c r="H595">
        <v>111.28</v>
      </c>
      <c r="I595">
        <v>25.7</v>
      </c>
      <c r="J595">
        <v>84.97</v>
      </c>
      <c r="K595">
        <v>40</v>
      </c>
      <c r="T595">
        <v>3</v>
      </c>
      <c r="U595">
        <v>2</v>
      </c>
      <c r="V595" t="s">
        <v>93</v>
      </c>
      <c r="W595" t="s">
        <v>925</v>
      </c>
      <c r="X595">
        <v>20</v>
      </c>
      <c r="Y595">
        <v>12</v>
      </c>
      <c r="Z595" t="s">
        <v>921</v>
      </c>
      <c r="AA595" t="s">
        <v>922</v>
      </c>
      <c r="AB595" t="s">
        <v>96</v>
      </c>
      <c r="AC595" t="s">
        <v>97</v>
      </c>
      <c r="AD595" t="s">
        <v>98</v>
      </c>
      <c r="AE595" t="s">
        <v>594</v>
      </c>
      <c r="AG595" t="s">
        <v>923</v>
      </c>
      <c r="AH595">
        <v>30</v>
      </c>
      <c r="AI595">
        <v>249</v>
      </c>
      <c r="AJ595">
        <v>17</v>
      </c>
      <c r="AK595">
        <v>506</v>
      </c>
      <c r="AL595">
        <v>1.17</v>
      </c>
    </row>
    <row r="596" spans="1:38" x14ac:dyDescent="0.3">
      <c r="A596" t="s">
        <v>589</v>
      </c>
      <c r="B596">
        <v>26276</v>
      </c>
      <c r="C596">
        <v>5</v>
      </c>
      <c r="D596" t="s">
        <v>920</v>
      </c>
      <c r="E596" t="s">
        <v>714</v>
      </c>
      <c r="F596">
        <v>431</v>
      </c>
      <c r="G596">
        <v>43.31</v>
      </c>
      <c r="H596">
        <v>143.18</v>
      </c>
      <c r="I596">
        <v>35.25</v>
      </c>
      <c r="J596">
        <v>116.56</v>
      </c>
      <c r="K596">
        <v>40</v>
      </c>
      <c r="T596">
        <v>4</v>
      </c>
      <c r="U596">
        <v>2</v>
      </c>
      <c r="V596" t="s">
        <v>93</v>
      </c>
      <c r="W596" t="s">
        <v>926</v>
      </c>
      <c r="X596">
        <v>20</v>
      </c>
      <c r="Y596">
        <v>12</v>
      </c>
      <c r="Z596" t="s">
        <v>921</v>
      </c>
      <c r="AA596" t="s">
        <v>922</v>
      </c>
      <c r="AB596" t="s">
        <v>96</v>
      </c>
      <c r="AC596" t="s">
        <v>97</v>
      </c>
      <c r="AD596" t="s">
        <v>98</v>
      </c>
      <c r="AE596" t="s">
        <v>594</v>
      </c>
      <c r="AG596" t="s">
        <v>923</v>
      </c>
      <c r="AH596">
        <v>30</v>
      </c>
      <c r="AI596">
        <v>249</v>
      </c>
      <c r="AJ596">
        <v>17</v>
      </c>
      <c r="AK596">
        <v>506</v>
      </c>
      <c r="AL596">
        <v>1.17</v>
      </c>
    </row>
    <row r="597" spans="1:38" x14ac:dyDescent="0.3">
      <c r="A597" t="s">
        <v>589</v>
      </c>
      <c r="B597">
        <v>26276</v>
      </c>
      <c r="C597">
        <v>6</v>
      </c>
      <c r="D597" t="s">
        <v>920</v>
      </c>
      <c r="E597" t="s">
        <v>714</v>
      </c>
      <c r="F597">
        <v>431</v>
      </c>
      <c r="G597">
        <v>43.68</v>
      </c>
      <c r="H597">
        <v>144.4</v>
      </c>
      <c r="I597">
        <v>35.17</v>
      </c>
      <c r="J597">
        <v>116.28</v>
      </c>
      <c r="K597">
        <v>56</v>
      </c>
      <c r="T597">
        <v>4</v>
      </c>
      <c r="U597">
        <v>2</v>
      </c>
      <c r="V597" t="s">
        <v>93</v>
      </c>
      <c r="W597" t="s">
        <v>927</v>
      </c>
      <c r="X597">
        <v>20</v>
      </c>
      <c r="Y597">
        <v>12</v>
      </c>
      <c r="Z597" t="s">
        <v>921</v>
      </c>
      <c r="AA597" t="s">
        <v>922</v>
      </c>
      <c r="AB597" t="s">
        <v>96</v>
      </c>
      <c r="AC597" t="s">
        <v>97</v>
      </c>
      <c r="AD597" t="s">
        <v>98</v>
      </c>
      <c r="AE597" t="s">
        <v>594</v>
      </c>
      <c r="AG597" t="s">
        <v>923</v>
      </c>
      <c r="AH597">
        <v>30</v>
      </c>
      <c r="AI597">
        <v>249</v>
      </c>
      <c r="AJ597">
        <v>17</v>
      </c>
      <c r="AK597">
        <v>506</v>
      </c>
      <c r="AL597">
        <v>1.17</v>
      </c>
    </row>
    <row r="598" spans="1:38" x14ac:dyDescent="0.3">
      <c r="A598" t="s">
        <v>928</v>
      </c>
      <c r="B598">
        <v>10961</v>
      </c>
      <c r="C598">
        <v>1</v>
      </c>
      <c r="D598" t="s">
        <v>929</v>
      </c>
      <c r="E598" t="s">
        <v>930</v>
      </c>
      <c r="F598">
        <v>89</v>
      </c>
      <c r="G598">
        <v>22.85</v>
      </c>
      <c r="H598">
        <v>75.55</v>
      </c>
      <c r="I598">
        <v>14.92</v>
      </c>
      <c r="J598">
        <v>49.34</v>
      </c>
      <c r="K598">
        <v>8</v>
      </c>
      <c r="T598">
        <v>2</v>
      </c>
      <c r="U598">
        <v>1</v>
      </c>
      <c r="V598" t="s">
        <v>93</v>
      </c>
      <c r="W598">
        <v>75</v>
      </c>
      <c r="X598">
        <v>11</v>
      </c>
      <c r="Y598">
        <v>6</v>
      </c>
      <c r="Z598" t="s">
        <v>931</v>
      </c>
      <c r="AA598" t="s">
        <v>932</v>
      </c>
      <c r="AB598" t="s">
        <v>96</v>
      </c>
      <c r="AC598" t="s">
        <v>97</v>
      </c>
      <c r="AD598" t="s">
        <v>98</v>
      </c>
      <c r="AE598" t="s">
        <v>933</v>
      </c>
      <c r="AG598" t="s">
        <v>934</v>
      </c>
      <c r="AH598">
        <v>0</v>
      </c>
      <c r="AI598">
        <v>220</v>
      </c>
      <c r="AJ598">
        <v>32</v>
      </c>
      <c r="AK598">
        <v>95</v>
      </c>
      <c r="AL598">
        <v>1.07</v>
      </c>
    </row>
    <row r="599" spans="1:38" x14ac:dyDescent="0.3">
      <c r="A599" t="s">
        <v>928</v>
      </c>
      <c r="B599">
        <v>10961</v>
      </c>
      <c r="C599">
        <v>2</v>
      </c>
      <c r="D599" t="s">
        <v>929</v>
      </c>
      <c r="E599" t="s">
        <v>930</v>
      </c>
      <c r="F599">
        <v>89</v>
      </c>
      <c r="G599">
        <v>27.74</v>
      </c>
      <c r="H599">
        <v>91.72</v>
      </c>
      <c r="I599">
        <v>18.11</v>
      </c>
      <c r="J599">
        <v>59.9</v>
      </c>
      <c r="K599">
        <v>35</v>
      </c>
      <c r="T599">
        <v>2</v>
      </c>
      <c r="U599">
        <v>1</v>
      </c>
      <c r="V599" t="s">
        <v>93</v>
      </c>
      <c r="W599">
        <v>91</v>
      </c>
      <c r="X599">
        <v>11</v>
      </c>
      <c r="Y599">
        <v>6</v>
      </c>
      <c r="Z599" t="s">
        <v>931</v>
      </c>
      <c r="AA599" t="s">
        <v>932</v>
      </c>
      <c r="AB599" t="s">
        <v>96</v>
      </c>
      <c r="AC599" t="s">
        <v>97</v>
      </c>
      <c r="AD599" t="s">
        <v>98</v>
      </c>
      <c r="AE599" t="s">
        <v>933</v>
      </c>
      <c r="AG599" t="s">
        <v>934</v>
      </c>
      <c r="AH599">
        <v>0</v>
      </c>
      <c r="AI599">
        <v>220</v>
      </c>
      <c r="AJ599">
        <v>32</v>
      </c>
      <c r="AK599">
        <v>95</v>
      </c>
      <c r="AL599">
        <v>1.07</v>
      </c>
    </row>
    <row r="600" spans="1:38" x14ac:dyDescent="0.3">
      <c r="A600" t="s">
        <v>928</v>
      </c>
      <c r="B600">
        <v>10961</v>
      </c>
      <c r="C600">
        <v>3</v>
      </c>
      <c r="D600" t="s">
        <v>929</v>
      </c>
      <c r="E600" t="s">
        <v>930</v>
      </c>
      <c r="F600">
        <v>89</v>
      </c>
      <c r="G600">
        <v>31.46</v>
      </c>
      <c r="H600">
        <v>104.01</v>
      </c>
      <c r="I600">
        <v>24.32</v>
      </c>
      <c r="J600">
        <v>80.42</v>
      </c>
      <c r="K600">
        <v>10</v>
      </c>
      <c r="T600">
        <v>3</v>
      </c>
      <c r="U600">
        <v>2</v>
      </c>
      <c r="V600" t="s">
        <v>93</v>
      </c>
      <c r="W600">
        <v>104</v>
      </c>
      <c r="X600">
        <v>11</v>
      </c>
      <c r="Y600">
        <v>6</v>
      </c>
      <c r="Z600" t="s">
        <v>931</v>
      </c>
      <c r="AA600" t="s">
        <v>932</v>
      </c>
      <c r="AB600" t="s">
        <v>96</v>
      </c>
      <c r="AC600" t="s">
        <v>97</v>
      </c>
      <c r="AD600" t="s">
        <v>98</v>
      </c>
      <c r="AE600" t="s">
        <v>933</v>
      </c>
      <c r="AG600" t="s">
        <v>934</v>
      </c>
      <c r="AH600">
        <v>0</v>
      </c>
      <c r="AI600">
        <v>220</v>
      </c>
      <c r="AJ600">
        <v>32</v>
      </c>
      <c r="AK600">
        <v>95</v>
      </c>
      <c r="AL600">
        <v>1.07</v>
      </c>
    </row>
    <row r="601" spans="1:38" x14ac:dyDescent="0.3">
      <c r="A601" t="s">
        <v>928</v>
      </c>
      <c r="B601">
        <v>10961</v>
      </c>
      <c r="C601">
        <v>4</v>
      </c>
      <c r="D601" t="s">
        <v>929</v>
      </c>
      <c r="E601" t="s">
        <v>930</v>
      </c>
      <c r="F601">
        <v>89</v>
      </c>
      <c r="G601">
        <v>33.24</v>
      </c>
      <c r="H601">
        <v>109.91</v>
      </c>
      <c r="I601">
        <v>25.7</v>
      </c>
      <c r="J601">
        <v>84.99</v>
      </c>
      <c r="K601">
        <v>36</v>
      </c>
      <c r="T601">
        <v>3</v>
      </c>
      <c r="U601">
        <v>2</v>
      </c>
      <c r="V601" t="s">
        <v>93</v>
      </c>
      <c r="W601">
        <v>109</v>
      </c>
      <c r="X601">
        <v>11</v>
      </c>
      <c r="Y601">
        <v>6</v>
      </c>
      <c r="Z601" t="s">
        <v>931</v>
      </c>
      <c r="AA601" t="s">
        <v>932</v>
      </c>
      <c r="AB601" t="s">
        <v>96</v>
      </c>
      <c r="AC601" t="s">
        <v>97</v>
      </c>
      <c r="AD601" t="s">
        <v>98</v>
      </c>
      <c r="AE601" t="s">
        <v>933</v>
      </c>
      <c r="AG601" t="s">
        <v>934</v>
      </c>
      <c r="AH601">
        <v>0</v>
      </c>
      <c r="AI601">
        <v>220</v>
      </c>
      <c r="AJ601">
        <v>32</v>
      </c>
      <c r="AK601">
        <v>95</v>
      </c>
      <c r="AL601">
        <v>1.07</v>
      </c>
    </row>
    <row r="602" spans="1:38" x14ac:dyDescent="0.3">
      <c r="A602" t="s">
        <v>928</v>
      </c>
      <c r="B602">
        <v>126660</v>
      </c>
      <c r="C602">
        <v>1</v>
      </c>
      <c r="D602" t="s">
        <v>935</v>
      </c>
      <c r="E602" t="s">
        <v>936</v>
      </c>
      <c r="F602">
        <v>40</v>
      </c>
      <c r="G602">
        <v>5.92</v>
      </c>
      <c r="H602">
        <v>19.579999999999998</v>
      </c>
      <c r="I602">
        <v>5.26</v>
      </c>
      <c r="J602">
        <v>17.39</v>
      </c>
      <c r="K602">
        <v>1</v>
      </c>
      <c r="T602">
        <v>1</v>
      </c>
      <c r="U602">
        <v>1</v>
      </c>
      <c r="V602" t="s">
        <v>93</v>
      </c>
      <c r="W602">
        <v>19</v>
      </c>
      <c r="X602">
        <v>5</v>
      </c>
      <c r="Y602">
        <v>5</v>
      </c>
      <c r="Z602" t="s">
        <v>937</v>
      </c>
      <c r="AA602" t="s">
        <v>938</v>
      </c>
      <c r="AB602" t="s">
        <v>96</v>
      </c>
      <c r="AC602" t="s">
        <v>97</v>
      </c>
      <c r="AD602" t="s">
        <v>98</v>
      </c>
      <c r="AE602" t="s">
        <v>933</v>
      </c>
      <c r="AG602" t="s">
        <v>939</v>
      </c>
      <c r="AH602">
        <v>0</v>
      </c>
      <c r="AI602">
        <v>0</v>
      </c>
      <c r="AJ602">
        <v>0</v>
      </c>
      <c r="AK602">
        <v>0</v>
      </c>
      <c r="AL602">
        <v>0</v>
      </c>
    </row>
    <row r="603" spans="1:38" x14ac:dyDescent="0.3">
      <c r="A603" t="s">
        <v>928</v>
      </c>
      <c r="B603">
        <v>126660</v>
      </c>
      <c r="C603">
        <v>2</v>
      </c>
      <c r="D603" t="s">
        <v>935</v>
      </c>
      <c r="E603" t="s">
        <v>936</v>
      </c>
      <c r="F603">
        <v>40</v>
      </c>
      <c r="G603">
        <v>6.51</v>
      </c>
      <c r="H603">
        <v>21.54</v>
      </c>
      <c r="I603">
        <v>5.79</v>
      </c>
      <c r="J603">
        <v>19.170000000000002</v>
      </c>
      <c r="K603">
        <v>3</v>
      </c>
      <c r="T603">
        <v>1</v>
      </c>
      <c r="U603">
        <v>1</v>
      </c>
      <c r="V603" t="s">
        <v>93</v>
      </c>
      <c r="W603">
        <v>21</v>
      </c>
      <c r="X603">
        <v>5</v>
      </c>
      <c r="Y603">
        <v>5</v>
      </c>
      <c r="Z603" t="s">
        <v>937</v>
      </c>
      <c r="AA603" t="s">
        <v>938</v>
      </c>
      <c r="AB603" t="s">
        <v>96</v>
      </c>
      <c r="AC603" t="s">
        <v>97</v>
      </c>
      <c r="AD603" t="s">
        <v>98</v>
      </c>
      <c r="AE603" t="s">
        <v>933</v>
      </c>
      <c r="AG603" t="s">
        <v>939</v>
      </c>
      <c r="AH603">
        <v>0</v>
      </c>
      <c r="AI603">
        <v>0</v>
      </c>
      <c r="AJ603">
        <v>0</v>
      </c>
      <c r="AK603">
        <v>0</v>
      </c>
      <c r="AL603">
        <v>0</v>
      </c>
    </row>
    <row r="604" spans="1:38" x14ac:dyDescent="0.3">
      <c r="A604" t="s">
        <v>928</v>
      </c>
      <c r="B604">
        <v>126660</v>
      </c>
      <c r="C604">
        <v>3</v>
      </c>
      <c r="D604" t="s">
        <v>935</v>
      </c>
      <c r="E604" t="s">
        <v>936</v>
      </c>
      <c r="F604">
        <v>40</v>
      </c>
      <c r="G604">
        <v>19.579999999999998</v>
      </c>
      <c r="H604">
        <v>64.73</v>
      </c>
      <c r="I604">
        <v>17.39</v>
      </c>
      <c r="J604">
        <v>57.49</v>
      </c>
      <c r="K604">
        <v>18</v>
      </c>
      <c r="T604">
        <v>3</v>
      </c>
      <c r="U604">
        <v>2</v>
      </c>
      <c r="V604" t="s">
        <v>93</v>
      </c>
      <c r="W604" t="s">
        <v>263</v>
      </c>
      <c r="X604">
        <v>5</v>
      </c>
      <c r="Y604">
        <v>5</v>
      </c>
      <c r="Z604" t="s">
        <v>937</v>
      </c>
      <c r="AA604" t="s">
        <v>938</v>
      </c>
      <c r="AB604" t="s">
        <v>96</v>
      </c>
      <c r="AC604" t="s">
        <v>97</v>
      </c>
      <c r="AD604" t="s">
        <v>98</v>
      </c>
      <c r="AE604" t="s">
        <v>933</v>
      </c>
      <c r="AG604" t="s">
        <v>939</v>
      </c>
      <c r="AH604">
        <v>0</v>
      </c>
      <c r="AI604">
        <v>0</v>
      </c>
      <c r="AJ604">
        <v>0</v>
      </c>
      <c r="AK604">
        <v>0</v>
      </c>
      <c r="AL604">
        <v>0</v>
      </c>
    </row>
    <row r="605" spans="1:38" x14ac:dyDescent="0.3">
      <c r="A605" t="s">
        <v>928</v>
      </c>
      <c r="B605">
        <v>126660</v>
      </c>
      <c r="C605">
        <v>4</v>
      </c>
      <c r="D605" t="s">
        <v>935</v>
      </c>
      <c r="E605" t="s">
        <v>936</v>
      </c>
      <c r="F605">
        <v>40</v>
      </c>
      <c r="G605">
        <v>19.57</v>
      </c>
      <c r="H605">
        <v>64.72</v>
      </c>
      <c r="I605">
        <v>17.38</v>
      </c>
      <c r="J605">
        <v>57.48</v>
      </c>
      <c r="K605">
        <v>1</v>
      </c>
      <c r="T605">
        <v>3</v>
      </c>
      <c r="U605">
        <v>2</v>
      </c>
      <c r="V605" t="s">
        <v>93</v>
      </c>
      <c r="W605" t="s">
        <v>940</v>
      </c>
      <c r="X605">
        <v>5</v>
      </c>
      <c r="Y605">
        <v>5</v>
      </c>
      <c r="Z605" t="s">
        <v>937</v>
      </c>
      <c r="AA605" t="s">
        <v>938</v>
      </c>
      <c r="AB605" t="s">
        <v>96</v>
      </c>
      <c r="AC605" t="s">
        <v>97</v>
      </c>
      <c r="AD605" t="s">
        <v>98</v>
      </c>
      <c r="AE605" t="s">
        <v>933</v>
      </c>
      <c r="AG605" t="s">
        <v>939</v>
      </c>
      <c r="AH605">
        <v>0</v>
      </c>
      <c r="AI605">
        <v>0</v>
      </c>
      <c r="AJ605">
        <v>0</v>
      </c>
      <c r="AK605">
        <v>0</v>
      </c>
      <c r="AL605">
        <v>0</v>
      </c>
    </row>
    <row r="606" spans="1:38" x14ac:dyDescent="0.3">
      <c r="A606" t="s">
        <v>928</v>
      </c>
      <c r="B606">
        <v>126660</v>
      </c>
      <c r="C606">
        <v>5</v>
      </c>
      <c r="D606" t="s">
        <v>935</v>
      </c>
      <c r="E606" t="s">
        <v>936</v>
      </c>
      <c r="F606">
        <v>40</v>
      </c>
      <c r="G606">
        <v>20.2</v>
      </c>
      <c r="H606">
        <v>66.78</v>
      </c>
      <c r="I606">
        <v>19.16</v>
      </c>
      <c r="J606">
        <v>63.37</v>
      </c>
      <c r="K606">
        <v>1</v>
      </c>
      <c r="T606">
        <v>3</v>
      </c>
      <c r="U606">
        <v>2</v>
      </c>
      <c r="V606" t="s">
        <v>93</v>
      </c>
      <c r="W606" t="s">
        <v>941</v>
      </c>
      <c r="X606">
        <v>5</v>
      </c>
      <c r="Y606">
        <v>5</v>
      </c>
      <c r="Z606" t="s">
        <v>937</v>
      </c>
      <c r="AA606" t="s">
        <v>938</v>
      </c>
      <c r="AB606" t="s">
        <v>96</v>
      </c>
      <c r="AC606" t="s">
        <v>97</v>
      </c>
      <c r="AD606" t="s">
        <v>98</v>
      </c>
      <c r="AE606" t="s">
        <v>933</v>
      </c>
      <c r="AG606" t="s">
        <v>939</v>
      </c>
      <c r="AH606">
        <v>0</v>
      </c>
      <c r="AI606">
        <v>0</v>
      </c>
      <c r="AJ606">
        <v>0</v>
      </c>
      <c r="AK606">
        <v>0</v>
      </c>
      <c r="AL606">
        <v>0</v>
      </c>
    </row>
    <row r="607" spans="1:38" x14ac:dyDescent="0.3">
      <c r="A607" t="s">
        <v>928</v>
      </c>
      <c r="B607">
        <v>126660</v>
      </c>
      <c r="C607">
        <v>6</v>
      </c>
      <c r="D607" t="s">
        <v>935</v>
      </c>
      <c r="E607" t="s">
        <v>936</v>
      </c>
      <c r="F607">
        <v>40</v>
      </c>
      <c r="G607">
        <v>21.54</v>
      </c>
      <c r="H607">
        <v>71.209999999999994</v>
      </c>
      <c r="I607">
        <v>19.16</v>
      </c>
      <c r="J607">
        <v>63.37</v>
      </c>
      <c r="K607">
        <v>35</v>
      </c>
      <c r="T607">
        <v>3</v>
      </c>
      <c r="U607">
        <v>2</v>
      </c>
      <c r="V607" t="s">
        <v>93</v>
      </c>
      <c r="W607" t="s">
        <v>266</v>
      </c>
      <c r="X607">
        <v>5</v>
      </c>
      <c r="Y607">
        <v>5</v>
      </c>
      <c r="Z607" t="s">
        <v>937</v>
      </c>
      <c r="AA607" t="s">
        <v>938</v>
      </c>
      <c r="AB607" t="s">
        <v>96</v>
      </c>
      <c r="AC607" t="s">
        <v>97</v>
      </c>
      <c r="AD607" t="s">
        <v>98</v>
      </c>
      <c r="AE607" t="s">
        <v>933</v>
      </c>
      <c r="AG607" t="s">
        <v>939</v>
      </c>
      <c r="AH607">
        <v>0</v>
      </c>
      <c r="AI607">
        <v>0</v>
      </c>
      <c r="AJ607">
        <v>0</v>
      </c>
      <c r="AK607">
        <v>0</v>
      </c>
      <c r="AL607">
        <v>0</v>
      </c>
    </row>
    <row r="608" spans="1:38" x14ac:dyDescent="0.3">
      <c r="A608" t="s">
        <v>928</v>
      </c>
      <c r="B608">
        <v>126660</v>
      </c>
      <c r="C608">
        <v>7</v>
      </c>
      <c r="D608" t="s">
        <v>935</v>
      </c>
      <c r="E608" t="s">
        <v>936</v>
      </c>
      <c r="F608">
        <v>40</v>
      </c>
      <c r="G608">
        <v>21.53</v>
      </c>
      <c r="H608">
        <v>71.19</v>
      </c>
      <c r="I608">
        <v>19.16</v>
      </c>
      <c r="J608">
        <v>63.37</v>
      </c>
      <c r="K608">
        <v>1</v>
      </c>
      <c r="T608">
        <v>3</v>
      </c>
      <c r="U608">
        <v>2</v>
      </c>
      <c r="V608" t="s">
        <v>93</v>
      </c>
      <c r="W608" t="s">
        <v>942</v>
      </c>
      <c r="X608">
        <v>5</v>
      </c>
      <c r="Y608">
        <v>5</v>
      </c>
      <c r="Z608" t="s">
        <v>937</v>
      </c>
      <c r="AA608" t="s">
        <v>938</v>
      </c>
      <c r="AB608" t="s">
        <v>96</v>
      </c>
      <c r="AC608" t="s">
        <v>97</v>
      </c>
      <c r="AD608" t="s">
        <v>98</v>
      </c>
      <c r="AE608" t="s">
        <v>933</v>
      </c>
      <c r="AG608" t="s">
        <v>939</v>
      </c>
      <c r="AH608">
        <v>0</v>
      </c>
      <c r="AI608">
        <v>0</v>
      </c>
      <c r="AJ608">
        <v>0</v>
      </c>
      <c r="AK608">
        <v>0</v>
      </c>
      <c r="AL608">
        <v>0</v>
      </c>
    </row>
    <row r="609" spans="1:38" x14ac:dyDescent="0.3">
      <c r="A609" t="s">
        <v>928</v>
      </c>
      <c r="B609">
        <v>101457</v>
      </c>
      <c r="C609">
        <v>1</v>
      </c>
      <c r="D609" t="s">
        <v>943</v>
      </c>
      <c r="E609" t="s">
        <v>944</v>
      </c>
      <c r="F609">
        <v>60</v>
      </c>
      <c r="G609">
        <v>15.02</v>
      </c>
      <c r="H609">
        <v>49.66</v>
      </c>
      <c r="I609">
        <v>10.95</v>
      </c>
      <c r="J609">
        <v>36.21</v>
      </c>
      <c r="K609">
        <v>5</v>
      </c>
      <c r="T609">
        <v>2</v>
      </c>
      <c r="U609">
        <v>1</v>
      </c>
      <c r="V609" t="s">
        <v>93</v>
      </c>
      <c r="W609">
        <v>49</v>
      </c>
      <c r="X609">
        <v>5</v>
      </c>
      <c r="Y609">
        <v>5</v>
      </c>
      <c r="Z609" t="s">
        <v>945</v>
      </c>
      <c r="AA609" t="s">
        <v>946</v>
      </c>
      <c r="AB609" t="s">
        <v>96</v>
      </c>
      <c r="AC609" t="s">
        <v>97</v>
      </c>
      <c r="AD609" t="s">
        <v>98</v>
      </c>
      <c r="AE609" t="s">
        <v>933</v>
      </c>
      <c r="AG609" t="s">
        <v>947</v>
      </c>
      <c r="AH609">
        <v>0</v>
      </c>
      <c r="AI609">
        <v>0</v>
      </c>
      <c r="AJ609">
        <v>0</v>
      </c>
      <c r="AK609">
        <v>0</v>
      </c>
      <c r="AL609">
        <v>0</v>
      </c>
    </row>
    <row r="610" spans="1:38" x14ac:dyDescent="0.3">
      <c r="A610" t="s">
        <v>928</v>
      </c>
      <c r="B610">
        <v>101457</v>
      </c>
      <c r="C610">
        <v>2</v>
      </c>
      <c r="D610" t="s">
        <v>943</v>
      </c>
      <c r="E610" t="s">
        <v>944</v>
      </c>
      <c r="F610">
        <v>60</v>
      </c>
      <c r="G610">
        <v>15.68</v>
      </c>
      <c r="H610">
        <v>51.84</v>
      </c>
      <c r="I610">
        <v>11.43</v>
      </c>
      <c r="J610">
        <v>37.799999999999997</v>
      </c>
      <c r="K610">
        <v>10</v>
      </c>
      <c r="T610">
        <v>2</v>
      </c>
      <c r="U610">
        <v>1</v>
      </c>
      <c r="V610" t="s">
        <v>93</v>
      </c>
      <c r="W610">
        <v>51</v>
      </c>
      <c r="X610">
        <v>5</v>
      </c>
      <c r="Y610">
        <v>5</v>
      </c>
      <c r="Z610" t="s">
        <v>945</v>
      </c>
      <c r="AA610" t="s">
        <v>946</v>
      </c>
      <c r="AB610" t="s">
        <v>96</v>
      </c>
      <c r="AC610" t="s">
        <v>97</v>
      </c>
      <c r="AD610" t="s">
        <v>98</v>
      </c>
      <c r="AE610" t="s">
        <v>933</v>
      </c>
      <c r="AG610" t="s">
        <v>947</v>
      </c>
      <c r="AH610">
        <v>0</v>
      </c>
      <c r="AI610">
        <v>0</v>
      </c>
      <c r="AJ610">
        <v>0</v>
      </c>
      <c r="AK610">
        <v>0</v>
      </c>
      <c r="AL610">
        <v>0</v>
      </c>
    </row>
    <row r="611" spans="1:38" x14ac:dyDescent="0.3">
      <c r="A611" t="s">
        <v>928</v>
      </c>
      <c r="B611">
        <v>101457</v>
      </c>
      <c r="C611">
        <v>3</v>
      </c>
      <c r="D611" t="s">
        <v>943</v>
      </c>
      <c r="E611" t="s">
        <v>944</v>
      </c>
      <c r="F611">
        <v>60</v>
      </c>
      <c r="G611">
        <v>16.8</v>
      </c>
      <c r="H611">
        <v>55.55</v>
      </c>
      <c r="I611">
        <v>12.65</v>
      </c>
      <c r="J611">
        <v>41.82</v>
      </c>
      <c r="K611">
        <v>5</v>
      </c>
      <c r="T611">
        <v>2</v>
      </c>
      <c r="U611">
        <v>1</v>
      </c>
      <c r="V611" t="s">
        <v>93</v>
      </c>
      <c r="W611" t="s">
        <v>215</v>
      </c>
      <c r="X611">
        <v>5</v>
      </c>
      <c r="Y611">
        <v>5</v>
      </c>
      <c r="Z611" t="s">
        <v>945</v>
      </c>
      <c r="AA611" t="s">
        <v>946</v>
      </c>
      <c r="AB611" t="s">
        <v>96</v>
      </c>
      <c r="AC611" t="s">
        <v>97</v>
      </c>
      <c r="AD611" t="s">
        <v>98</v>
      </c>
      <c r="AE611" t="s">
        <v>933</v>
      </c>
      <c r="AG611" t="s">
        <v>947</v>
      </c>
      <c r="AH611">
        <v>0</v>
      </c>
      <c r="AI611">
        <v>0</v>
      </c>
      <c r="AJ611">
        <v>0</v>
      </c>
      <c r="AK611">
        <v>0</v>
      </c>
      <c r="AL611">
        <v>0</v>
      </c>
    </row>
    <row r="612" spans="1:38" x14ac:dyDescent="0.3">
      <c r="A612" t="s">
        <v>928</v>
      </c>
      <c r="B612">
        <v>101457</v>
      </c>
      <c r="C612">
        <v>4</v>
      </c>
      <c r="D612" t="s">
        <v>943</v>
      </c>
      <c r="E612" t="s">
        <v>944</v>
      </c>
      <c r="F612">
        <v>60</v>
      </c>
      <c r="G612">
        <v>16.87</v>
      </c>
      <c r="H612">
        <v>55.8</v>
      </c>
      <c r="I612">
        <v>12.65</v>
      </c>
      <c r="J612">
        <v>41.85</v>
      </c>
      <c r="K612">
        <v>5</v>
      </c>
      <c r="T612">
        <v>2</v>
      </c>
      <c r="U612">
        <v>1</v>
      </c>
      <c r="V612" t="s">
        <v>93</v>
      </c>
      <c r="W612" t="s">
        <v>305</v>
      </c>
      <c r="X612">
        <v>5</v>
      </c>
      <c r="Y612">
        <v>5</v>
      </c>
      <c r="Z612" t="s">
        <v>945</v>
      </c>
      <c r="AA612" t="s">
        <v>946</v>
      </c>
      <c r="AB612" t="s">
        <v>96</v>
      </c>
      <c r="AC612" t="s">
        <v>97</v>
      </c>
      <c r="AD612" t="s">
        <v>98</v>
      </c>
      <c r="AE612" t="s">
        <v>933</v>
      </c>
      <c r="AG612" t="s">
        <v>947</v>
      </c>
      <c r="AH612">
        <v>0</v>
      </c>
      <c r="AI612">
        <v>0</v>
      </c>
      <c r="AJ612">
        <v>0</v>
      </c>
      <c r="AK612">
        <v>0</v>
      </c>
      <c r="AL612">
        <v>0</v>
      </c>
    </row>
    <row r="613" spans="1:38" x14ac:dyDescent="0.3">
      <c r="A613" t="s">
        <v>928</v>
      </c>
      <c r="B613">
        <v>101457</v>
      </c>
      <c r="C613">
        <v>5</v>
      </c>
      <c r="D613" t="s">
        <v>943</v>
      </c>
      <c r="E613" t="s">
        <v>944</v>
      </c>
      <c r="F613">
        <v>60</v>
      </c>
      <c r="G613">
        <v>18.579999999999998</v>
      </c>
      <c r="H613">
        <v>61.43</v>
      </c>
      <c r="I613">
        <v>14.24</v>
      </c>
      <c r="J613">
        <v>47.1</v>
      </c>
      <c r="K613">
        <v>20</v>
      </c>
      <c r="T613">
        <v>3</v>
      </c>
      <c r="U613">
        <v>1</v>
      </c>
      <c r="V613" t="s">
        <v>93</v>
      </c>
      <c r="W613" t="s">
        <v>145</v>
      </c>
      <c r="X613">
        <v>5</v>
      </c>
      <c r="Y613">
        <v>5</v>
      </c>
      <c r="Z613" t="s">
        <v>945</v>
      </c>
      <c r="AA613" t="s">
        <v>946</v>
      </c>
      <c r="AB613" t="s">
        <v>96</v>
      </c>
      <c r="AC613" t="s">
        <v>97</v>
      </c>
      <c r="AD613" t="s">
        <v>98</v>
      </c>
      <c r="AE613" t="s">
        <v>933</v>
      </c>
      <c r="AG613" t="s">
        <v>947</v>
      </c>
      <c r="AH613">
        <v>0</v>
      </c>
      <c r="AI613">
        <v>0</v>
      </c>
      <c r="AJ613">
        <v>0</v>
      </c>
      <c r="AK613">
        <v>0</v>
      </c>
      <c r="AL613">
        <v>0</v>
      </c>
    </row>
    <row r="614" spans="1:38" x14ac:dyDescent="0.3">
      <c r="A614" t="s">
        <v>928</v>
      </c>
      <c r="B614">
        <v>101457</v>
      </c>
      <c r="C614">
        <v>6</v>
      </c>
      <c r="D614" t="s">
        <v>943</v>
      </c>
      <c r="E614" t="s">
        <v>944</v>
      </c>
      <c r="F614">
        <v>60</v>
      </c>
      <c r="G614">
        <v>18.64</v>
      </c>
      <c r="H614">
        <v>61.64</v>
      </c>
      <c r="I614">
        <v>14.02</v>
      </c>
      <c r="J614">
        <v>46.35</v>
      </c>
      <c r="K614">
        <v>5</v>
      </c>
      <c r="T614">
        <v>3</v>
      </c>
      <c r="U614">
        <v>1</v>
      </c>
      <c r="V614" t="s">
        <v>93</v>
      </c>
      <c r="W614" t="s">
        <v>141</v>
      </c>
      <c r="X614">
        <v>5</v>
      </c>
      <c r="Y614">
        <v>5</v>
      </c>
      <c r="Z614" t="s">
        <v>945</v>
      </c>
      <c r="AA614" t="s">
        <v>946</v>
      </c>
      <c r="AB614" t="s">
        <v>96</v>
      </c>
      <c r="AC614" t="s">
        <v>97</v>
      </c>
      <c r="AD614" t="s">
        <v>98</v>
      </c>
      <c r="AE614" t="s">
        <v>933</v>
      </c>
      <c r="AG614" t="s">
        <v>947</v>
      </c>
      <c r="AH614">
        <v>0</v>
      </c>
      <c r="AI614">
        <v>0</v>
      </c>
      <c r="AJ614">
        <v>0</v>
      </c>
      <c r="AK614">
        <v>0</v>
      </c>
      <c r="AL614">
        <v>0</v>
      </c>
    </row>
    <row r="615" spans="1:38" x14ac:dyDescent="0.3">
      <c r="A615" t="s">
        <v>928</v>
      </c>
      <c r="B615">
        <v>101457</v>
      </c>
      <c r="C615">
        <v>7</v>
      </c>
      <c r="D615" t="s">
        <v>943</v>
      </c>
      <c r="E615" t="s">
        <v>944</v>
      </c>
      <c r="F615">
        <v>60</v>
      </c>
      <c r="G615">
        <v>18.760000000000002</v>
      </c>
      <c r="H615">
        <v>62.04</v>
      </c>
      <c r="I615">
        <v>15.14</v>
      </c>
      <c r="J615">
        <v>50.07</v>
      </c>
      <c r="K615">
        <v>5</v>
      </c>
      <c r="T615">
        <v>3</v>
      </c>
      <c r="U615">
        <v>1</v>
      </c>
      <c r="V615" t="s">
        <v>93</v>
      </c>
      <c r="W615" t="s">
        <v>948</v>
      </c>
      <c r="X615">
        <v>5</v>
      </c>
      <c r="Y615">
        <v>5</v>
      </c>
      <c r="Z615" t="s">
        <v>945</v>
      </c>
      <c r="AA615" t="s">
        <v>946</v>
      </c>
      <c r="AB615" t="s">
        <v>96</v>
      </c>
      <c r="AC615" t="s">
        <v>97</v>
      </c>
      <c r="AD615" t="s">
        <v>98</v>
      </c>
      <c r="AE615" t="s">
        <v>933</v>
      </c>
      <c r="AG615" t="s">
        <v>947</v>
      </c>
      <c r="AH615">
        <v>0</v>
      </c>
      <c r="AI615">
        <v>0</v>
      </c>
      <c r="AJ615">
        <v>0</v>
      </c>
      <c r="AK615">
        <v>0</v>
      </c>
      <c r="AL615">
        <v>0</v>
      </c>
    </row>
    <row r="616" spans="1:38" x14ac:dyDescent="0.3">
      <c r="A616" t="s">
        <v>928</v>
      </c>
      <c r="B616">
        <v>101457</v>
      </c>
      <c r="C616">
        <v>8</v>
      </c>
      <c r="D616" t="s">
        <v>943</v>
      </c>
      <c r="E616" t="s">
        <v>944</v>
      </c>
      <c r="F616">
        <v>60</v>
      </c>
      <c r="G616">
        <v>20.83</v>
      </c>
      <c r="H616">
        <v>68.87</v>
      </c>
      <c r="I616">
        <v>15.68</v>
      </c>
      <c r="J616">
        <v>51.84</v>
      </c>
      <c r="K616">
        <v>5</v>
      </c>
      <c r="T616">
        <v>3</v>
      </c>
      <c r="U616">
        <v>1</v>
      </c>
      <c r="V616" t="s">
        <v>93</v>
      </c>
      <c r="W616">
        <v>68</v>
      </c>
      <c r="X616">
        <v>5</v>
      </c>
      <c r="Y616">
        <v>5</v>
      </c>
      <c r="Z616" t="s">
        <v>945</v>
      </c>
      <c r="AA616" t="s">
        <v>946</v>
      </c>
      <c r="AB616" t="s">
        <v>96</v>
      </c>
      <c r="AC616" t="s">
        <v>97</v>
      </c>
      <c r="AD616" t="s">
        <v>98</v>
      </c>
      <c r="AE616" t="s">
        <v>933</v>
      </c>
      <c r="AG616" t="s">
        <v>947</v>
      </c>
      <c r="AH616">
        <v>0</v>
      </c>
      <c r="AI616">
        <v>0</v>
      </c>
      <c r="AJ616">
        <v>0</v>
      </c>
      <c r="AK616">
        <v>0</v>
      </c>
      <c r="AL616">
        <v>0</v>
      </c>
    </row>
    <row r="617" spans="1:38" x14ac:dyDescent="0.3">
      <c r="A617" t="s">
        <v>928</v>
      </c>
      <c r="B617">
        <v>11507</v>
      </c>
      <c r="C617">
        <v>1</v>
      </c>
      <c r="D617" t="s">
        <v>949</v>
      </c>
      <c r="E617" t="s">
        <v>633</v>
      </c>
      <c r="F617">
        <v>111</v>
      </c>
      <c r="G617">
        <v>24.32</v>
      </c>
      <c r="H617">
        <v>80.400000000000006</v>
      </c>
      <c r="I617">
        <v>18.12</v>
      </c>
      <c r="J617">
        <v>59.91</v>
      </c>
      <c r="K617">
        <v>56</v>
      </c>
      <c r="T617">
        <v>3</v>
      </c>
      <c r="U617">
        <v>1</v>
      </c>
      <c r="V617" t="s">
        <v>93</v>
      </c>
      <c r="W617">
        <v>80</v>
      </c>
      <c r="X617">
        <v>14</v>
      </c>
      <c r="Y617">
        <v>13</v>
      </c>
      <c r="Z617" t="s">
        <v>950</v>
      </c>
      <c r="AA617" t="s">
        <v>951</v>
      </c>
      <c r="AB617" t="s">
        <v>96</v>
      </c>
      <c r="AC617" t="s">
        <v>97</v>
      </c>
      <c r="AD617" t="s">
        <v>98</v>
      </c>
      <c r="AE617" t="s">
        <v>933</v>
      </c>
      <c r="AG617" t="s">
        <v>952</v>
      </c>
      <c r="AH617">
        <v>0</v>
      </c>
      <c r="AI617">
        <v>257</v>
      </c>
      <c r="AJ617">
        <v>21</v>
      </c>
      <c r="AK617">
        <v>112</v>
      </c>
      <c r="AL617">
        <v>1.01</v>
      </c>
    </row>
    <row r="618" spans="1:38" x14ac:dyDescent="0.3">
      <c r="A618" t="s">
        <v>928</v>
      </c>
      <c r="B618">
        <v>11507</v>
      </c>
      <c r="C618">
        <v>2</v>
      </c>
      <c r="D618" t="s">
        <v>949</v>
      </c>
      <c r="E618" t="s">
        <v>633</v>
      </c>
      <c r="F618">
        <v>111</v>
      </c>
      <c r="G618">
        <v>34.24</v>
      </c>
      <c r="H618">
        <v>113.21</v>
      </c>
      <c r="I618">
        <v>25.51</v>
      </c>
      <c r="J618">
        <v>84.36</v>
      </c>
      <c r="K618">
        <v>55</v>
      </c>
      <c r="T618">
        <v>3</v>
      </c>
      <c r="U618">
        <v>2</v>
      </c>
      <c r="V618" t="s">
        <v>93</v>
      </c>
      <c r="W618">
        <v>113</v>
      </c>
      <c r="X618">
        <v>14</v>
      </c>
      <c r="Y618">
        <v>13</v>
      </c>
      <c r="Z618" t="s">
        <v>950</v>
      </c>
      <c r="AA618" t="s">
        <v>951</v>
      </c>
      <c r="AB618" t="s">
        <v>96</v>
      </c>
      <c r="AC618" t="s">
        <v>97</v>
      </c>
      <c r="AD618" t="s">
        <v>98</v>
      </c>
      <c r="AE618" t="s">
        <v>933</v>
      </c>
      <c r="AG618" t="s">
        <v>952</v>
      </c>
      <c r="AH618">
        <v>0</v>
      </c>
      <c r="AI618">
        <v>257</v>
      </c>
      <c r="AJ618">
        <v>21</v>
      </c>
      <c r="AK618">
        <v>112</v>
      </c>
      <c r="AL618">
        <v>1.01</v>
      </c>
    </row>
    <row r="619" spans="1:38" x14ac:dyDescent="0.3">
      <c r="A619" t="s">
        <v>928</v>
      </c>
      <c r="B619">
        <v>116647</v>
      </c>
      <c r="C619">
        <v>1</v>
      </c>
      <c r="D619" t="s">
        <v>953</v>
      </c>
      <c r="E619" t="s">
        <v>954</v>
      </c>
      <c r="F619">
        <v>184</v>
      </c>
      <c r="G619">
        <v>6</v>
      </c>
      <c r="H619">
        <v>19.850000000000001</v>
      </c>
      <c r="I619">
        <v>3.81</v>
      </c>
      <c r="J619">
        <v>12.61</v>
      </c>
      <c r="K619">
        <v>32</v>
      </c>
      <c r="T619">
        <v>1</v>
      </c>
      <c r="U619">
        <v>1</v>
      </c>
      <c r="V619" t="s">
        <v>93</v>
      </c>
      <c r="W619" t="s">
        <v>955</v>
      </c>
      <c r="X619">
        <v>10</v>
      </c>
      <c r="Y619">
        <v>10</v>
      </c>
      <c r="Z619" t="s">
        <v>956</v>
      </c>
      <c r="AA619" t="s">
        <v>957</v>
      </c>
      <c r="AB619" t="s">
        <v>96</v>
      </c>
      <c r="AC619" t="s">
        <v>97</v>
      </c>
      <c r="AD619" t="s">
        <v>98</v>
      </c>
      <c r="AE619" t="s">
        <v>933</v>
      </c>
      <c r="AG619" t="s">
        <v>958</v>
      </c>
      <c r="AH619">
        <v>0</v>
      </c>
      <c r="AI619">
        <v>486</v>
      </c>
      <c r="AJ619">
        <v>69</v>
      </c>
      <c r="AK619">
        <v>93</v>
      </c>
      <c r="AL619">
        <v>0.51</v>
      </c>
    </row>
    <row r="620" spans="1:38" x14ac:dyDescent="0.3">
      <c r="A620" t="s">
        <v>928</v>
      </c>
      <c r="B620">
        <v>116647</v>
      </c>
      <c r="C620">
        <v>2</v>
      </c>
      <c r="D620" t="s">
        <v>953</v>
      </c>
      <c r="E620" t="s">
        <v>954</v>
      </c>
      <c r="F620">
        <v>184</v>
      </c>
      <c r="G620">
        <v>5.85</v>
      </c>
      <c r="H620">
        <v>19.34</v>
      </c>
      <c r="I620">
        <v>3.71</v>
      </c>
      <c r="J620">
        <v>12.28</v>
      </c>
      <c r="K620">
        <v>8</v>
      </c>
      <c r="T620">
        <v>1</v>
      </c>
      <c r="U620">
        <v>1</v>
      </c>
      <c r="V620" t="s">
        <v>93</v>
      </c>
      <c r="W620" t="s">
        <v>959</v>
      </c>
      <c r="X620">
        <v>10</v>
      </c>
      <c r="Y620">
        <v>10</v>
      </c>
      <c r="Z620" t="s">
        <v>956</v>
      </c>
      <c r="AA620" t="s">
        <v>957</v>
      </c>
      <c r="AB620" t="s">
        <v>96</v>
      </c>
      <c r="AC620" t="s">
        <v>97</v>
      </c>
      <c r="AD620" t="s">
        <v>98</v>
      </c>
      <c r="AE620" t="s">
        <v>933</v>
      </c>
      <c r="AG620" t="s">
        <v>958</v>
      </c>
      <c r="AH620">
        <v>0</v>
      </c>
      <c r="AI620">
        <v>486</v>
      </c>
      <c r="AJ620">
        <v>69</v>
      </c>
      <c r="AK620">
        <v>93</v>
      </c>
      <c r="AL620">
        <v>0.51</v>
      </c>
    </row>
    <row r="621" spans="1:38" x14ac:dyDescent="0.3">
      <c r="A621" t="s">
        <v>928</v>
      </c>
      <c r="B621">
        <v>116647</v>
      </c>
      <c r="C621">
        <v>3</v>
      </c>
      <c r="D621" t="s">
        <v>953</v>
      </c>
      <c r="E621" t="s">
        <v>954</v>
      </c>
      <c r="F621">
        <v>184</v>
      </c>
      <c r="G621">
        <v>6</v>
      </c>
      <c r="H621">
        <v>19.850000000000001</v>
      </c>
      <c r="I621">
        <v>3.81</v>
      </c>
      <c r="J621">
        <v>12.61</v>
      </c>
      <c r="K621">
        <v>8</v>
      </c>
      <c r="T621">
        <v>1</v>
      </c>
      <c r="U621">
        <v>1</v>
      </c>
      <c r="V621" t="s">
        <v>93</v>
      </c>
      <c r="W621" t="s">
        <v>960</v>
      </c>
      <c r="X621">
        <v>10</v>
      </c>
      <c r="Y621">
        <v>10</v>
      </c>
      <c r="Z621" t="s">
        <v>956</v>
      </c>
      <c r="AA621" t="s">
        <v>957</v>
      </c>
      <c r="AB621" t="s">
        <v>96</v>
      </c>
      <c r="AC621" t="s">
        <v>97</v>
      </c>
      <c r="AD621" t="s">
        <v>98</v>
      </c>
      <c r="AE621" t="s">
        <v>933</v>
      </c>
      <c r="AG621" t="s">
        <v>958</v>
      </c>
      <c r="AH621">
        <v>0</v>
      </c>
      <c r="AI621">
        <v>486</v>
      </c>
      <c r="AJ621">
        <v>69</v>
      </c>
      <c r="AK621">
        <v>93</v>
      </c>
      <c r="AL621">
        <v>0.51</v>
      </c>
    </row>
    <row r="622" spans="1:38" x14ac:dyDescent="0.3">
      <c r="A622" t="s">
        <v>928</v>
      </c>
      <c r="B622">
        <v>116647</v>
      </c>
      <c r="C622">
        <v>4</v>
      </c>
      <c r="D622" t="s">
        <v>953</v>
      </c>
      <c r="E622" t="s">
        <v>954</v>
      </c>
      <c r="F622">
        <v>184</v>
      </c>
      <c r="G622">
        <v>7.3</v>
      </c>
      <c r="H622">
        <v>24.16</v>
      </c>
      <c r="I622">
        <v>4.6399999999999997</v>
      </c>
      <c r="J622">
        <v>15.35</v>
      </c>
      <c r="K622">
        <v>24</v>
      </c>
      <c r="T622">
        <v>1</v>
      </c>
      <c r="U622">
        <v>1</v>
      </c>
      <c r="V622" t="s">
        <v>93</v>
      </c>
      <c r="W622" t="s">
        <v>352</v>
      </c>
      <c r="X622">
        <v>10</v>
      </c>
      <c r="Y622">
        <v>10</v>
      </c>
      <c r="Z622" t="s">
        <v>956</v>
      </c>
      <c r="AA622" t="s">
        <v>957</v>
      </c>
      <c r="AB622" t="s">
        <v>96</v>
      </c>
      <c r="AC622" t="s">
        <v>97</v>
      </c>
      <c r="AD622" t="s">
        <v>98</v>
      </c>
      <c r="AE622" t="s">
        <v>933</v>
      </c>
      <c r="AG622" t="s">
        <v>958</v>
      </c>
      <c r="AH622">
        <v>0</v>
      </c>
      <c r="AI622">
        <v>486</v>
      </c>
      <c r="AJ622">
        <v>69</v>
      </c>
      <c r="AK622">
        <v>93</v>
      </c>
      <c r="AL622">
        <v>0.51</v>
      </c>
    </row>
    <row r="623" spans="1:38" x14ac:dyDescent="0.3">
      <c r="A623" t="s">
        <v>928</v>
      </c>
      <c r="B623">
        <v>116647</v>
      </c>
      <c r="C623">
        <v>5</v>
      </c>
      <c r="D623" t="s">
        <v>953</v>
      </c>
      <c r="E623" t="s">
        <v>954</v>
      </c>
      <c r="F623">
        <v>184</v>
      </c>
      <c r="G623">
        <v>7.34</v>
      </c>
      <c r="H623">
        <v>24.29</v>
      </c>
      <c r="I623">
        <v>4.66</v>
      </c>
      <c r="J623">
        <v>15.43</v>
      </c>
      <c r="K623">
        <v>24</v>
      </c>
      <c r="T623">
        <v>1</v>
      </c>
      <c r="U623">
        <v>1</v>
      </c>
      <c r="V623" t="s">
        <v>93</v>
      </c>
      <c r="W623" t="s">
        <v>356</v>
      </c>
      <c r="X623">
        <v>10</v>
      </c>
      <c r="Y623">
        <v>10</v>
      </c>
      <c r="Z623" t="s">
        <v>956</v>
      </c>
      <c r="AA623" t="s">
        <v>957</v>
      </c>
      <c r="AB623" t="s">
        <v>96</v>
      </c>
      <c r="AC623" t="s">
        <v>97</v>
      </c>
      <c r="AD623" t="s">
        <v>98</v>
      </c>
      <c r="AE623" t="s">
        <v>933</v>
      </c>
      <c r="AG623" t="s">
        <v>958</v>
      </c>
      <c r="AH623">
        <v>0</v>
      </c>
      <c r="AI623">
        <v>486</v>
      </c>
      <c r="AJ623">
        <v>69</v>
      </c>
      <c r="AK623">
        <v>93</v>
      </c>
      <c r="AL623">
        <v>0.51</v>
      </c>
    </row>
    <row r="624" spans="1:38" x14ac:dyDescent="0.3">
      <c r="A624" t="s">
        <v>928</v>
      </c>
      <c r="B624">
        <v>116647</v>
      </c>
      <c r="C624">
        <v>6</v>
      </c>
      <c r="D624" t="s">
        <v>953</v>
      </c>
      <c r="E624" t="s">
        <v>954</v>
      </c>
      <c r="F624">
        <v>184</v>
      </c>
      <c r="G624">
        <v>7.43</v>
      </c>
      <c r="H624">
        <v>24.57</v>
      </c>
      <c r="I624">
        <v>4.72</v>
      </c>
      <c r="J624">
        <v>15.61</v>
      </c>
      <c r="K624">
        <v>8</v>
      </c>
      <c r="T624">
        <v>1</v>
      </c>
      <c r="U624">
        <v>1</v>
      </c>
      <c r="V624" t="s">
        <v>93</v>
      </c>
      <c r="W624" t="s">
        <v>154</v>
      </c>
      <c r="X624">
        <v>10</v>
      </c>
      <c r="Y624">
        <v>10</v>
      </c>
      <c r="Z624" t="s">
        <v>956</v>
      </c>
      <c r="AA624" t="s">
        <v>957</v>
      </c>
      <c r="AB624" t="s">
        <v>96</v>
      </c>
      <c r="AC624" t="s">
        <v>97</v>
      </c>
      <c r="AD624" t="s">
        <v>98</v>
      </c>
      <c r="AE624" t="s">
        <v>933</v>
      </c>
      <c r="AG624" t="s">
        <v>958</v>
      </c>
      <c r="AH624">
        <v>0</v>
      </c>
      <c r="AI624">
        <v>486</v>
      </c>
      <c r="AJ624">
        <v>69</v>
      </c>
      <c r="AK624">
        <v>93</v>
      </c>
      <c r="AL624">
        <v>0.51</v>
      </c>
    </row>
    <row r="625" spans="1:38" x14ac:dyDescent="0.3">
      <c r="A625" t="s">
        <v>928</v>
      </c>
      <c r="B625">
        <v>116647</v>
      </c>
      <c r="C625">
        <v>7</v>
      </c>
      <c r="D625" t="s">
        <v>953</v>
      </c>
      <c r="E625" t="s">
        <v>954</v>
      </c>
      <c r="F625">
        <v>184</v>
      </c>
      <c r="G625">
        <v>7.61</v>
      </c>
      <c r="H625">
        <v>25.16</v>
      </c>
      <c r="I625">
        <v>4.83</v>
      </c>
      <c r="J625">
        <v>15.98</v>
      </c>
      <c r="K625">
        <v>8</v>
      </c>
      <c r="T625">
        <v>1</v>
      </c>
      <c r="U625">
        <v>1</v>
      </c>
      <c r="V625" t="s">
        <v>93</v>
      </c>
      <c r="W625" t="s">
        <v>504</v>
      </c>
      <c r="X625">
        <v>10</v>
      </c>
      <c r="Y625">
        <v>10</v>
      </c>
      <c r="Z625" t="s">
        <v>956</v>
      </c>
      <c r="AA625" t="s">
        <v>957</v>
      </c>
      <c r="AB625" t="s">
        <v>96</v>
      </c>
      <c r="AC625" t="s">
        <v>97</v>
      </c>
      <c r="AD625" t="s">
        <v>98</v>
      </c>
      <c r="AE625" t="s">
        <v>933</v>
      </c>
      <c r="AG625" t="s">
        <v>958</v>
      </c>
      <c r="AH625">
        <v>0</v>
      </c>
      <c r="AI625">
        <v>486</v>
      </c>
      <c r="AJ625">
        <v>69</v>
      </c>
      <c r="AK625">
        <v>93</v>
      </c>
      <c r="AL625">
        <v>0.51</v>
      </c>
    </row>
    <row r="626" spans="1:38" x14ac:dyDescent="0.3">
      <c r="A626" t="s">
        <v>928</v>
      </c>
      <c r="B626">
        <v>116647</v>
      </c>
      <c r="C626">
        <v>8</v>
      </c>
      <c r="D626" t="s">
        <v>953</v>
      </c>
      <c r="E626" t="s">
        <v>954</v>
      </c>
      <c r="F626">
        <v>184</v>
      </c>
      <c r="G626">
        <v>7.83</v>
      </c>
      <c r="H626">
        <v>25.9</v>
      </c>
      <c r="I626">
        <v>4.97</v>
      </c>
      <c r="J626">
        <v>16.46</v>
      </c>
      <c r="K626">
        <v>8</v>
      </c>
      <c r="T626">
        <v>1</v>
      </c>
      <c r="U626">
        <v>1</v>
      </c>
      <c r="V626" t="s">
        <v>93</v>
      </c>
      <c r="W626" t="s">
        <v>508</v>
      </c>
      <c r="X626">
        <v>10</v>
      </c>
      <c r="Y626">
        <v>10</v>
      </c>
      <c r="Z626" t="s">
        <v>956</v>
      </c>
      <c r="AA626" t="s">
        <v>957</v>
      </c>
      <c r="AB626" t="s">
        <v>96</v>
      </c>
      <c r="AC626" t="s">
        <v>97</v>
      </c>
      <c r="AD626" t="s">
        <v>98</v>
      </c>
      <c r="AE626" t="s">
        <v>933</v>
      </c>
      <c r="AG626" t="s">
        <v>958</v>
      </c>
      <c r="AH626">
        <v>0</v>
      </c>
      <c r="AI626">
        <v>486</v>
      </c>
      <c r="AJ626">
        <v>69</v>
      </c>
      <c r="AK626">
        <v>93</v>
      </c>
      <c r="AL626">
        <v>0.51</v>
      </c>
    </row>
    <row r="627" spans="1:38" x14ac:dyDescent="0.3">
      <c r="A627" t="s">
        <v>928</v>
      </c>
      <c r="B627">
        <v>116647</v>
      </c>
      <c r="C627">
        <v>9</v>
      </c>
      <c r="D627" t="s">
        <v>953</v>
      </c>
      <c r="E627" t="s">
        <v>954</v>
      </c>
      <c r="F627">
        <v>184</v>
      </c>
      <c r="G627">
        <v>8.1999999999999993</v>
      </c>
      <c r="H627">
        <v>27.13</v>
      </c>
      <c r="I627">
        <v>5.21</v>
      </c>
      <c r="J627">
        <v>17.23</v>
      </c>
      <c r="K627">
        <v>8</v>
      </c>
      <c r="T627">
        <v>1</v>
      </c>
      <c r="U627">
        <v>1</v>
      </c>
      <c r="V627" t="s">
        <v>93</v>
      </c>
      <c r="W627" t="s">
        <v>711</v>
      </c>
      <c r="X627">
        <v>10</v>
      </c>
      <c r="Y627">
        <v>10</v>
      </c>
      <c r="Z627" t="s">
        <v>956</v>
      </c>
      <c r="AA627" t="s">
        <v>957</v>
      </c>
      <c r="AB627" t="s">
        <v>96</v>
      </c>
      <c r="AC627" t="s">
        <v>97</v>
      </c>
      <c r="AD627" t="s">
        <v>98</v>
      </c>
      <c r="AE627" t="s">
        <v>933</v>
      </c>
      <c r="AG627" t="s">
        <v>958</v>
      </c>
      <c r="AH627">
        <v>0</v>
      </c>
      <c r="AI627">
        <v>486</v>
      </c>
      <c r="AJ627">
        <v>69</v>
      </c>
      <c r="AK627">
        <v>93</v>
      </c>
      <c r="AL627">
        <v>0.51</v>
      </c>
    </row>
    <row r="628" spans="1:38" x14ac:dyDescent="0.3">
      <c r="A628" t="s">
        <v>928</v>
      </c>
      <c r="B628">
        <v>116647</v>
      </c>
      <c r="C628">
        <v>10</v>
      </c>
      <c r="D628" t="s">
        <v>953</v>
      </c>
      <c r="E628" t="s">
        <v>954</v>
      </c>
      <c r="F628">
        <v>184</v>
      </c>
      <c r="G628">
        <v>8.89</v>
      </c>
      <c r="H628">
        <v>29.39</v>
      </c>
      <c r="I628">
        <v>5.64</v>
      </c>
      <c r="J628">
        <v>18.670000000000002</v>
      </c>
      <c r="K628">
        <v>8</v>
      </c>
      <c r="T628">
        <v>1</v>
      </c>
      <c r="U628">
        <v>1</v>
      </c>
      <c r="V628" t="s">
        <v>93</v>
      </c>
      <c r="W628" t="s">
        <v>686</v>
      </c>
      <c r="X628">
        <v>10</v>
      </c>
      <c r="Y628">
        <v>10</v>
      </c>
      <c r="Z628" t="s">
        <v>956</v>
      </c>
      <c r="AA628" t="s">
        <v>957</v>
      </c>
      <c r="AB628" t="s">
        <v>96</v>
      </c>
      <c r="AC628" t="s">
        <v>97</v>
      </c>
      <c r="AD628" t="s">
        <v>98</v>
      </c>
      <c r="AE628" t="s">
        <v>933</v>
      </c>
      <c r="AG628" t="s">
        <v>958</v>
      </c>
      <c r="AH628">
        <v>0</v>
      </c>
      <c r="AI628">
        <v>486</v>
      </c>
      <c r="AJ628">
        <v>69</v>
      </c>
      <c r="AK628">
        <v>93</v>
      </c>
      <c r="AL628">
        <v>0.51</v>
      </c>
    </row>
    <row r="629" spans="1:38" x14ac:dyDescent="0.3">
      <c r="A629" t="s">
        <v>928</v>
      </c>
      <c r="B629">
        <v>116647</v>
      </c>
      <c r="C629">
        <v>11</v>
      </c>
      <c r="D629" t="s">
        <v>953</v>
      </c>
      <c r="E629" t="s">
        <v>954</v>
      </c>
      <c r="F629">
        <v>184</v>
      </c>
      <c r="G629">
        <v>9.36</v>
      </c>
      <c r="H629">
        <v>30.97</v>
      </c>
      <c r="I629">
        <v>5.95</v>
      </c>
      <c r="J629">
        <v>19.68</v>
      </c>
      <c r="K629">
        <v>8</v>
      </c>
      <c r="T629">
        <v>1</v>
      </c>
      <c r="U629">
        <v>1</v>
      </c>
      <c r="V629" t="s">
        <v>93</v>
      </c>
      <c r="W629" t="s">
        <v>626</v>
      </c>
      <c r="X629">
        <v>10</v>
      </c>
      <c r="Y629">
        <v>10</v>
      </c>
      <c r="Z629" t="s">
        <v>956</v>
      </c>
      <c r="AA629" t="s">
        <v>957</v>
      </c>
      <c r="AB629" t="s">
        <v>96</v>
      </c>
      <c r="AC629" t="s">
        <v>97</v>
      </c>
      <c r="AD629" t="s">
        <v>98</v>
      </c>
      <c r="AE629" t="s">
        <v>933</v>
      </c>
      <c r="AG629" t="s">
        <v>958</v>
      </c>
      <c r="AH629">
        <v>0</v>
      </c>
      <c r="AI629">
        <v>486</v>
      </c>
      <c r="AJ629">
        <v>69</v>
      </c>
      <c r="AK629">
        <v>93</v>
      </c>
      <c r="AL629">
        <v>0.51</v>
      </c>
    </row>
    <row r="630" spans="1:38" x14ac:dyDescent="0.3">
      <c r="A630" t="s">
        <v>928</v>
      </c>
      <c r="B630">
        <v>116647</v>
      </c>
      <c r="C630">
        <v>12</v>
      </c>
      <c r="D630" t="s">
        <v>953</v>
      </c>
      <c r="E630" t="s">
        <v>954</v>
      </c>
      <c r="F630">
        <v>184</v>
      </c>
      <c r="G630">
        <v>9.65</v>
      </c>
      <c r="H630">
        <v>31.93</v>
      </c>
      <c r="I630">
        <v>6.13</v>
      </c>
      <c r="J630">
        <v>20.29</v>
      </c>
      <c r="K630">
        <v>8</v>
      </c>
      <c r="T630">
        <v>1</v>
      </c>
      <c r="U630">
        <v>1</v>
      </c>
      <c r="V630" t="s">
        <v>93</v>
      </c>
      <c r="W630" t="s">
        <v>961</v>
      </c>
      <c r="X630">
        <v>10</v>
      </c>
      <c r="Y630">
        <v>10</v>
      </c>
      <c r="Z630" t="s">
        <v>956</v>
      </c>
      <c r="AA630" t="s">
        <v>957</v>
      </c>
      <c r="AB630" t="s">
        <v>96</v>
      </c>
      <c r="AC630" t="s">
        <v>97</v>
      </c>
      <c r="AD630" t="s">
        <v>98</v>
      </c>
      <c r="AE630" t="s">
        <v>933</v>
      </c>
      <c r="AG630" t="s">
        <v>958</v>
      </c>
      <c r="AH630">
        <v>0</v>
      </c>
      <c r="AI630">
        <v>486</v>
      </c>
      <c r="AJ630">
        <v>69</v>
      </c>
      <c r="AK630">
        <v>93</v>
      </c>
      <c r="AL630">
        <v>0.51</v>
      </c>
    </row>
    <row r="631" spans="1:38" x14ac:dyDescent="0.3">
      <c r="A631" t="s">
        <v>928</v>
      </c>
      <c r="B631">
        <v>116647</v>
      </c>
      <c r="C631">
        <v>13</v>
      </c>
      <c r="D631" t="s">
        <v>953</v>
      </c>
      <c r="E631" t="s">
        <v>954</v>
      </c>
      <c r="F631">
        <v>184</v>
      </c>
      <c r="G631">
        <v>10.26</v>
      </c>
      <c r="H631">
        <v>33.93</v>
      </c>
      <c r="I631">
        <v>6.51</v>
      </c>
      <c r="J631">
        <v>21.55</v>
      </c>
      <c r="K631">
        <v>16</v>
      </c>
      <c r="T631">
        <v>1</v>
      </c>
      <c r="U631">
        <v>1</v>
      </c>
      <c r="V631" t="s">
        <v>93</v>
      </c>
      <c r="W631" t="s">
        <v>962</v>
      </c>
      <c r="X631">
        <v>10</v>
      </c>
      <c r="Y631">
        <v>10</v>
      </c>
      <c r="Z631" t="s">
        <v>956</v>
      </c>
      <c r="AA631" t="s">
        <v>957</v>
      </c>
      <c r="AB631" t="s">
        <v>96</v>
      </c>
      <c r="AC631" t="s">
        <v>97</v>
      </c>
      <c r="AD631" t="s">
        <v>98</v>
      </c>
      <c r="AE631" t="s">
        <v>933</v>
      </c>
      <c r="AG631" t="s">
        <v>958</v>
      </c>
      <c r="AH631">
        <v>0</v>
      </c>
      <c r="AI631">
        <v>486</v>
      </c>
      <c r="AJ631">
        <v>69</v>
      </c>
      <c r="AK631">
        <v>93</v>
      </c>
      <c r="AL631">
        <v>0.51</v>
      </c>
    </row>
    <row r="632" spans="1:38" x14ac:dyDescent="0.3">
      <c r="A632" t="s">
        <v>928</v>
      </c>
      <c r="B632">
        <v>116647</v>
      </c>
      <c r="C632">
        <v>14</v>
      </c>
      <c r="D632" t="s">
        <v>953</v>
      </c>
      <c r="E632" t="s">
        <v>954</v>
      </c>
      <c r="F632">
        <v>184</v>
      </c>
      <c r="G632">
        <v>10.91</v>
      </c>
      <c r="H632">
        <v>36.07</v>
      </c>
      <c r="I632">
        <v>6.93</v>
      </c>
      <c r="J632">
        <v>22.92</v>
      </c>
      <c r="K632">
        <v>8</v>
      </c>
      <c r="T632">
        <v>1</v>
      </c>
      <c r="U632">
        <v>1</v>
      </c>
      <c r="V632" t="s">
        <v>93</v>
      </c>
      <c r="W632">
        <v>36</v>
      </c>
      <c r="X632">
        <v>10</v>
      </c>
      <c r="Y632">
        <v>10</v>
      </c>
      <c r="Z632" t="s">
        <v>956</v>
      </c>
      <c r="AA632" t="s">
        <v>957</v>
      </c>
      <c r="AB632" t="s">
        <v>96</v>
      </c>
      <c r="AC632" t="s">
        <v>97</v>
      </c>
      <c r="AD632" t="s">
        <v>98</v>
      </c>
      <c r="AE632" t="s">
        <v>933</v>
      </c>
      <c r="AG632" t="s">
        <v>958</v>
      </c>
      <c r="AH632">
        <v>0</v>
      </c>
      <c r="AI632">
        <v>486</v>
      </c>
      <c r="AJ632">
        <v>69</v>
      </c>
      <c r="AK632">
        <v>93</v>
      </c>
      <c r="AL632">
        <v>0.51</v>
      </c>
    </row>
    <row r="633" spans="1:38" x14ac:dyDescent="0.3">
      <c r="A633" t="s">
        <v>928</v>
      </c>
      <c r="B633">
        <v>116647</v>
      </c>
      <c r="C633">
        <v>15</v>
      </c>
      <c r="D633" t="s">
        <v>953</v>
      </c>
      <c r="E633" t="s">
        <v>954</v>
      </c>
      <c r="F633">
        <v>184</v>
      </c>
      <c r="G633">
        <v>12.78</v>
      </c>
      <c r="H633">
        <v>42.25</v>
      </c>
      <c r="I633">
        <v>8.11</v>
      </c>
      <c r="J633">
        <v>26.84</v>
      </c>
      <c r="K633">
        <v>8</v>
      </c>
      <c r="T633">
        <v>1</v>
      </c>
      <c r="U633">
        <v>1</v>
      </c>
      <c r="V633" t="s">
        <v>93</v>
      </c>
      <c r="W633">
        <v>42</v>
      </c>
      <c r="X633">
        <v>10</v>
      </c>
      <c r="Y633">
        <v>10</v>
      </c>
      <c r="Z633" t="s">
        <v>956</v>
      </c>
      <c r="AA633" t="s">
        <v>957</v>
      </c>
      <c r="AB633" t="s">
        <v>96</v>
      </c>
      <c r="AC633" t="s">
        <v>97</v>
      </c>
      <c r="AD633" t="s">
        <v>98</v>
      </c>
      <c r="AE633" t="s">
        <v>933</v>
      </c>
      <c r="AG633" t="s">
        <v>958</v>
      </c>
      <c r="AH633">
        <v>0</v>
      </c>
      <c r="AI633">
        <v>486</v>
      </c>
      <c r="AJ633">
        <v>69</v>
      </c>
      <c r="AK633">
        <v>93</v>
      </c>
      <c r="AL633">
        <v>0.51</v>
      </c>
    </row>
    <row r="634" spans="1:38" x14ac:dyDescent="0.3">
      <c r="A634" t="s">
        <v>928</v>
      </c>
      <c r="B634">
        <v>11684</v>
      </c>
      <c r="C634">
        <v>1</v>
      </c>
      <c r="D634" t="s">
        <v>963</v>
      </c>
      <c r="E634" t="s">
        <v>964</v>
      </c>
      <c r="F634">
        <v>19</v>
      </c>
      <c r="G634">
        <v>46.94</v>
      </c>
      <c r="H634">
        <v>155.19</v>
      </c>
      <c r="I634">
        <v>38.79</v>
      </c>
      <c r="J634">
        <v>128.25</v>
      </c>
      <c r="K634">
        <v>9</v>
      </c>
      <c r="T634">
        <v>4</v>
      </c>
      <c r="U634">
        <v>2</v>
      </c>
      <c r="V634" t="s">
        <v>93</v>
      </c>
      <c r="W634">
        <v>155</v>
      </c>
      <c r="X634">
        <v>7</v>
      </c>
      <c r="Y634">
        <v>6</v>
      </c>
      <c r="Z634" t="s">
        <v>965</v>
      </c>
      <c r="AA634" t="s">
        <v>966</v>
      </c>
      <c r="AB634" t="s">
        <v>96</v>
      </c>
      <c r="AC634" t="s">
        <v>97</v>
      </c>
      <c r="AD634" t="s">
        <v>98</v>
      </c>
      <c r="AE634" t="s">
        <v>933</v>
      </c>
      <c r="AG634" t="s">
        <v>967</v>
      </c>
      <c r="AH634">
        <v>0</v>
      </c>
      <c r="AI634">
        <v>232</v>
      </c>
      <c r="AJ634">
        <v>42</v>
      </c>
      <c r="AK634">
        <v>13</v>
      </c>
      <c r="AL634">
        <v>0.68</v>
      </c>
    </row>
    <row r="635" spans="1:38" x14ac:dyDescent="0.3">
      <c r="A635" t="s">
        <v>928</v>
      </c>
      <c r="B635">
        <v>11684</v>
      </c>
      <c r="C635">
        <v>2</v>
      </c>
      <c r="D635" t="s">
        <v>963</v>
      </c>
      <c r="E635" t="s">
        <v>964</v>
      </c>
      <c r="F635">
        <v>19</v>
      </c>
      <c r="G635">
        <v>48.26</v>
      </c>
      <c r="H635">
        <v>159.54</v>
      </c>
      <c r="I635">
        <v>39.880000000000003</v>
      </c>
      <c r="J635">
        <v>131.85</v>
      </c>
      <c r="K635">
        <v>10</v>
      </c>
      <c r="T635">
        <v>5</v>
      </c>
      <c r="U635">
        <v>2</v>
      </c>
      <c r="V635" t="s">
        <v>93</v>
      </c>
      <c r="W635">
        <v>159</v>
      </c>
      <c r="X635">
        <v>7</v>
      </c>
      <c r="Y635">
        <v>6</v>
      </c>
      <c r="Z635" t="s">
        <v>965</v>
      </c>
      <c r="AA635" t="s">
        <v>966</v>
      </c>
      <c r="AB635" t="s">
        <v>96</v>
      </c>
      <c r="AC635" t="s">
        <v>97</v>
      </c>
      <c r="AD635" t="s">
        <v>98</v>
      </c>
      <c r="AE635" t="s">
        <v>933</v>
      </c>
      <c r="AG635" t="s">
        <v>967</v>
      </c>
      <c r="AH635">
        <v>0</v>
      </c>
      <c r="AI635">
        <v>232</v>
      </c>
      <c r="AJ635">
        <v>42</v>
      </c>
      <c r="AK635">
        <v>13</v>
      </c>
      <c r="AL635">
        <v>0.68</v>
      </c>
    </row>
    <row r="636" spans="1:38" x14ac:dyDescent="0.3">
      <c r="A636" t="s">
        <v>968</v>
      </c>
      <c r="B636">
        <v>141609</v>
      </c>
      <c r="C636">
        <v>1</v>
      </c>
      <c r="D636" t="s">
        <v>969</v>
      </c>
      <c r="E636" t="s">
        <v>970</v>
      </c>
      <c r="F636">
        <v>14</v>
      </c>
      <c r="G636">
        <v>15.85</v>
      </c>
      <c r="H636">
        <v>52.41</v>
      </c>
      <c r="I636">
        <v>14.12</v>
      </c>
      <c r="J636">
        <v>46.69</v>
      </c>
      <c r="K636">
        <v>3</v>
      </c>
      <c r="T636">
        <v>2</v>
      </c>
      <c r="U636">
        <v>1</v>
      </c>
      <c r="V636" t="s">
        <v>93</v>
      </c>
      <c r="W636">
        <v>52</v>
      </c>
      <c r="X636">
        <v>5</v>
      </c>
      <c r="Y636">
        <v>5</v>
      </c>
      <c r="Z636" t="s">
        <v>971</v>
      </c>
      <c r="AA636" t="s">
        <v>972</v>
      </c>
      <c r="AB636" t="s">
        <v>96</v>
      </c>
      <c r="AC636" t="s">
        <v>97</v>
      </c>
      <c r="AD636" t="s">
        <v>98</v>
      </c>
      <c r="AE636" t="s">
        <v>973</v>
      </c>
      <c r="AG636" t="s">
        <v>974</v>
      </c>
      <c r="AH636">
        <v>0</v>
      </c>
      <c r="AI636">
        <v>190</v>
      </c>
      <c r="AJ636">
        <v>57</v>
      </c>
      <c r="AK636">
        <v>13</v>
      </c>
      <c r="AL636">
        <v>0.93</v>
      </c>
    </row>
    <row r="637" spans="1:38" x14ac:dyDescent="0.3">
      <c r="A637" t="s">
        <v>968</v>
      </c>
      <c r="B637">
        <v>141609</v>
      </c>
      <c r="C637">
        <v>2</v>
      </c>
      <c r="D637" t="s">
        <v>969</v>
      </c>
      <c r="E637" t="s">
        <v>970</v>
      </c>
      <c r="F637">
        <v>14</v>
      </c>
      <c r="G637">
        <v>18.13</v>
      </c>
      <c r="H637">
        <v>59.94</v>
      </c>
      <c r="I637">
        <v>16.149999999999999</v>
      </c>
      <c r="J637">
        <v>53.4</v>
      </c>
      <c r="K637">
        <v>3</v>
      </c>
      <c r="T637">
        <v>2</v>
      </c>
      <c r="U637">
        <v>1</v>
      </c>
      <c r="V637" t="s">
        <v>93</v>
      </c>
      <c r="W637">
        <v>59</v>
      </c>
      <c r="X637">
        <v>5</v>
      </c>
      <c r="Y637">
        <v>5</v>
      </c>
      <c r="Z637" t="s">
        <v>971</v>
      </c>
      <c r="AA637" t="s">
        <v>972</v>
      </c>
      <c r="AB637" t="s">
        <v>96</v>
      </c>
      <c r="AC637" t="s">
        <v>97</v>
      </c>
      <c r="AD637" t="s">
        <v>98</v>
      </c>
      <c r="AE637" t="s">
        <v>973</v>
      </c>
      <c r="AG637" t="s">
        <v>974</v>
      </c>
      <c r="AH637">
        <v>0</v>
      </c>
      <c r="AI637">
        <v>190</v>
      </c>
      <c r="AJ637">
        <v>57</v>
      </c>
      <c r="AK637">
        <v>13</v>
      </c>
      <c r="AL637">
        <v>0.93</v>
      </c>
    </row>
    <row r="638" spans="1:38" x14ac:dyDescent="0.3">
      <c r="A638" t="s">
        <v>968</v>
      </c>
      <c r="B638">
        <v>141609</v>
      </c>
      <c r="C638">
        <v>3</v>
      </c>
      <c r="D638" t="s">
        <v>969</v>
      </c>
      <c r="E638" t="s">
        <v>970</v>
      </c>
      <c r="F638">
        <v>14</v>
      </c>
      <c r="G638">
        <v>19.079999999999998</v>
      </c>
      <c r="H638">
        <v>63.08</v>
      </c>
      <c r="I638">
        <v>17</v>
      </c>
      <c r="J638">
        <v>56.2</v>
      </c>
      <c r="K638">
        <v>4</v>
      </c>
      <c r="T638">
        <v>2</v>
      </c>
      <c r="U638">
        <v>1</v>
      </c>
      <c r="V638" t="s">
        <v>93</v>
      </c>
      <c r="W638">
        <v>63</v>
      </c>
      <c r="X638">
        <v>5</v>
      </c>
      <c r="Y638">
        <v>5</v>
      </c>
      <c r="Z638" t="s">
        <v>971</v>
      </c>
      <c r="AA638" t="s">
        <v>972</v>
      </c>
      <c r="AB638" t="s">
        <v>96</v>
      </c>
      <c r="AC638" t="s">
        <v>97</v>
      </c>
      <c r="AD638" t="s">
        <v>98</v>
      </c>
      <c r="AE638" t="s">
        <v>973</v>
      </c>
      <c r="AG638" t="s">
        <v>974</v>
      </c>
      <c r="AH638">
        <v>0</v>
      </c>
      <c r="AI638">
        <v>190</v>
      </c>
      <c r="AJ638">
        <v>57</v>
      </c>
      <c r="AK638">
        <v>13</v>
      </c>
      <c r="AL638">
        <v>0.93</v>
      </c>
    </row>
    <row r="639" spans="1:38" x14ac:dyDescent="0.3">
      <c r="A639" t="s">
        <v>968</v>
      </c>
      <c r="B639">
        <v>141609</v>
      </c>
      <c r="C639">
        <v>4</v>
      </c>
      <c r="D639" t="s">
        <v>969</v>
      </c>
      <c r="E639" t="s">
        <v>970</v>
      </c>
      <c r="F639">
        <v>14</v>
      </c>
      <c r="G639">
        <v>20.149999999999999</v>
      </c>
      <c r="H639">
        <v>66.62</v>
      </c>
      <c r="I639">
        <v>17.95</v>
      </c>
      <c r="J639">
        <v>59.35</v>
      </c>
      <c r="K639">
        <v>4</v>
      </c>
      <c r="T639">
        <v>3</v>
      </c>
      <c r="U639">
        <v>1</v>
      </c>
      <c r="V639" t="s">
        <v>93</v>
      </c>
      <c r="W639">
        <v>66</v>
      </c>
      <c r="X639">
        <v>5</v>
      </c>
      <c r="Y639">
        <v>5</v>
      </c>
      <c r="Z639" t="s">
        <v>971</v>
      </c>
      <c r="AA639" t="s">
        <v>972</v>
      </c>
      <c r="AB639" t="s">
        <v>96</v>
      </c>
      <c r="AC639" t="s">
        <v>97</v>
      </c>
      <c r="AD639" t="s">
        <v>98</v>
      </c>
      <c r="AE639" t="s">
        <v>973</v>
      </c>
      <c r="AG639" t="s">
        <v>974</v>
      </c>
      <c r="AH639">
        <v>0</v>
      </c>
      <c r="AI639">
        <v>190</v>
      </c>
      <c r="AJ639">
        <v>57</v>
      </c>
      <c r="AK639">
        <v>13</v>
      </c>
      <c r="AL639">
        <v>0.93</v>
      </c>
    </row>
    <row r="640" spans="1:38" x14ac:dyDescent="0.3">
      <c r="A640" t="s">
        <v>975</v>
      </c>
      <c r="B640">
        <v>135683</v>
      </c>
      <c r="C640">
        <v>1</v>
      </c>
      <c r="D640" t="s">
        <v>976</v>
      </c>
      <c r="E640" t="s">
        <v>977</v>
      </c>
      <c r="F640">
        <v>9</v>
      </c>
      <c r="G640">
        <v>20.04</v>
      </c>
      <c r="H640">
        <v>66.25</v>
      </c>
      <c r="I640">
        <v>17.47</v>
      </c>
      <c r="J640">
        <v>57.78</v>
      </c>
      <c r="K640">
        <v>3</v>
      </c>
      <c r="T640">
        <v>3</v>
      </c>
      <c r="U640">
        <v>1</v>
      </c>
      <c r="V640" t="s">
        <v>93</v>
      </c>
      <c r="W640">
        <v>66</v>
      </c>
      <c r="X640">
        <v>5</v>
      </c>
      <c r="Y640">
        <v>5</v>
      </c>
      <c r="Z640" t="s">
        <v>978</v>
      </c>
      <c r="AA640" t="s">
        <v>979</v>
      </c>
      <c r="AB640" t="s">
        <v>96</v>
      </c>
      <c r="AC640" t="s">
        <v>97</v>
      </c>
      <c r="AD640" t="s">
        <v>98</v>
      </c>
      <c r="AE640" t="s">
        <v>980</v>
      </c>
      <c r="AG640" t="s">
        <v>981</v>
      </c>
      <c r="AH640">
        <v>0</v>
      </c>
      <c r="AI640">
        <v>257</v>
      </c>
      <c r="AJ640">
        <v>69</v>
      </c>
      <c r="AK640">
        <v>9</v>
      </c>
      <c r="AL640">
        <v>1</v>
      </c>
    </row>
    <row r="641" spans="1:38" x14ac:dyDescent="0.3">
      <c r="A641" t="s">
        <v>975</v>
      </c>
      <c r="B641">
        <v>135683</v>
      </c>
      <c r="C641">
        <v>2</v>
      </c>
      <c r="D641" t="s">
        <v>976</v>
      </c>
      <c r="E641" t="s">
        <v>977</v>
      </c>
      <c r="F641">
        <v>9</v>
      </c>
      <c r="G641">
        <v>21.24</v>
      </c>
      <c r="H641">
        <v>70.22</v>
      </c>
      <c r="I641">
        <v>18.52</v>
      </c>
      <c r="J641">
        <v>61.24</v>
      </c>
      <c r="K641">
        <v>3</v>
      </c>
      <c r="T641">
        <v>3</v>
      </c>
      <c r="U641">
        <v>1</v>
      </c>
      <c r="V641" t="s">
        <v>93</v>
      </c>
      <c r="W641">
        <v>70</v>
      </c>
      <c r="X641">
        <v>5</v>
      </c>
      <c r="Y641">
        <v>5</v>
      </c>
      <c r="Z641" t="s">
        <v>978</v>
      </c>
      <c r="AA641" t="s">
        <v>979</v>
      </c>
      <c r="AB641" t="s">
        <v>96</v>
      </c>
      <c r="AC641" t="s">
        <v>97</v>
      </c>
      <c r="AD641" t="s">
        <v>98</v>
      </c>
      <c r="AE641" t="s">
        <v>980</v>
      </c>
      <c r="AG641" t="s">
        <v>981</v>
      </c>
      <c r="AH641">
        <v>0</v>
      </c>
      <c r="AI641">
        <v>257</v>
      </c>
      <c r="AJ641">
        <v>69</v>
      </c>
      <c r="AK641">
        <v>9</v>
      </c>
      <c r="AL641">
        <v>1</v>
      </c>
    </row>
    <row r="642" spans="1:38" x14ac:dyDescent="0.3">
      <c r="A642" t="s">
        <v>975</v>
      </c>
      <c r="B642">
        <v>135683</v>
      </c>
      <c r="C642">
        <v>3</v>
      </c>
      <c r="D642" t="s">
        <v>976</v>
      </c>
      <c r="E642" t="s">
        <v>977</v>
      </c>
      <c r="F642">
        <v>9</v>
      </c>
      <c r="G642">
        <v>24.02</v>
      </c>
      <c r="H642">
        <v>79.41</v>
      </c>
      <c r="I642">
        <v>20.94</v>
      </c>
      <c r="J642">
        <v>69.25</v>
      </c>
      <c r="K642">
        <v>3</v>
      </c>
      <c r="T642">
        <v>3</v>
      </c>
      <c r="U642">
        <v>1</v>
      </c>
      <c r="V642" t="s">
        <v>93</v>
      </c>
      <c r="W642">
        <v>79</v>
      </c>
      <c r="X642">
        <v>5</v>
      </c>
      <c r="Y642">
        <v>5</v>
      </c>
      <c r="Z642" t="s">
        <v>978</v>
      </c>
      <c r="AA642" t="s">
        <v>979</v>
      </c>
      <c r="AB642" t="s">
        <v>96</v>
      </c>
      <c r="AC642" t="s">
        <v>97</v>
      </c>
      <c r="AD642" t="s">
        <v>98</v>
      </c>
      <c r="AE642" t="s">
        <v>980</v>
      </c>
      <c r="AG642" t="s">
        <v>981</v>
      </c>
      <c r="AH642">
        <v>0</v>
      </c>
      <c r="AI642">
        <v>257</v>
      </c>
      <c r="AJ642">
        <v>69</v>
      </c>
      <c r="AK642">
        <v>9</v>
      </c>
      <c r="AL642">
        <v>1</v>
      </c>
    </row>
    <row r="643" spans="1:38" x14ac:dyDescent="0.3">
      <c r="A643" t="s">
        <v>982</v>
      </c>
      <c r="B643">
        <v>3644</v>
      </c>
      <c r="C643">
        <v>1</v>
      </c>
      <c r="D643" t="s">
        <v>983</v>
      </c>
      <c r="E643" t="s">
        <v>984</v>
      </c>
      <c r="F643">
        <v>260</v>
      </c>
      <c r="G643">
        <v>35.54</v>
      </c>
      <c r="H643">
        <v>117.51</v>
      </c>
      <c r="I643">
        <v>26.05</v>
      </c>
      <c r="J643">
        <v>86.12</v>
      </c>
      <c r="K643">
        <v>172</v>
      </c>
      <c r="T643">
        <v>3</v>
      </c>
      <c r="U643">
        <v>2</v>
      </c>
      <c r="V643" t="s">
        <v>93</v>
      </c>
      <c r="W643">
        <v>117</v>
      </c>
      <c r="X643">
        <v>23</v>
      </c>
      <c r="Y643">
        <v>21</v>
      </c>
      <c r="Z643" t="s">
        <v>985</v>
      </c>
      <c r="AA643" t="s">
        <v>986</v>
      </c>
      <c r="AB643" t="s">
        <v>96</v>
      </c>
      <c r="AC643" t="s">
        <v>97</v>
      </c>
      <c r="AD643" t="s">
        <v>98</v>
      </c>
      <c r="AE643" t="s">
        <v>987</v>
      </c>
      <c r="AG643" t="s">
        <v>988</v>
      </c>
      <c r="AH643">
        <v>0</v>
      </c>
      <c r="AI643">
        <v>187</v>
      </c>
      <c r="AJ643">
        <v>13</v>
      </c>
      <c r="AK643">
        <v>407</v>
      </c>
      <c r="AL643">
        <v>1.57</v>
      </c>
    </row>
    <row r="644" spans="1:38" x14ac:dyDescent="0.3">
      <c r="A644" t="s">
        <v>982</v>
      </c>
      <c r="B644">
        <v>3644</v>
      </c>
      <c r="C644">
        <v>2</v>
      </c>
      <c r="D644" t="s">
        <v>983</v>
      </c>
      <c r="E644" t="s">
        <v>984</v>
      </c>
      <c r="F644">
        <v>260</v>
      </c>
      <c r="G644">
        <v>45.07</v>
      </c>
      <c r="H644">
        <v>149</v>
      </c>
      <c r="I644">
        <v>35.14</v>
      </c>
      <c r="J644">
        <v>116.18</v>
      </c>
      <c r="K644">
        <v>88</v>
      </c>
      <c r="T644">
        <v>4</v>
      </c>
      <c r="U644">
        <v>2</v>
      </c>
      <c r="V644" t="s">
        <v>93</v>
      </c>
      <c r="W644">
        <v>149</v>
      </c>
      <c r="X644">
        <v>23</v>
      </c>
      <c r="Y644">
        <v>21</v>
      </c>
      <c r="Z644" t="s">
        <v>985</v>
      </c>
      <c r="AA644" t="s">
        <v>986</v>
      </c>
      <c r="AB644" t="s">
        <v>96</v>
      </c>
      <c r="AC644" t="s">
        <v>97</v>
      </c>
      <c r="AD644" t="s">
        <v>98</v>
      </c>
      <c r="AE644" t="s">
        <v>987</v>
      </c>
      <c r="AG644" t="s">
        <v>988</v>
      </c>
      <c r="AH644">
        <v>0</v>
      </c>
      <c r="AI644">
        <v>187</v>
      </c>
      <c r="AJ644">
        <v>13</v>
      </c>
      <c r="AK644">
        <v>407</v>
      </c>
      <c r="AL644">
        <v>1.57</v>
      </c>
    </row>
    <row r="645" spans="1:38" x14ac:dyDescent="0.3">
      <c r="A645" t="s">
        <v>982</v>
      </c>
      <c r="B645">
        <v>24615</v>
      </c>
      <c r="C645">
        <v>1</v>
      </c>
      <c r="D645" t="s">
        <v>989</v>
      </c>
      <c r="E645" t="s">
        <v>714</v>
      </c>
      <c r="F645">
        <v>1744</v>
      </c>
      <c r="G645">
        <v>25.81</v>
      </c>
      <c r="H645">
        <v>85.33</v>
      </c>
      <c r="I645">
        <v>17.97</v>
      </c>
      <c r="J645">
        <v>59.41</v>
      </c>
      <c r="K645">
        <v>417</v>
      </c>
      <c r="T645">
        <v>3</v>
      </c>
      <c r="U645">
        <v>2</v>
      </c>
      <c r="V645" t="s">
        <v>93</v>
      </c>
      <c r="W645">
        <v>85</v>
      </c>
      <c r="X645">
        <v>18</v>
      </c>
      <c r="Y645">
        <v>7</v>
      </c>
      <c r="Z645" t="s">
        <v>990</v>
      </c>
      <c r="AA645" t="s">
        <v>991</v>
      </c>
      <c r="AB645" t="s">
        <v>96</v>
      </c>
      <c r="AC645" t="s">
        <v>97</v>
      </c>
      <c r="AD645" t="s">
        <v>98</v>
      </c>
      <c r="AE645" t="s">
        <v>987</v>
      </c>
      <c r="AG645" t="s">
        <v>992</v>
      </c>
      <c r="AH645">
        <v>0</v>
      </c>
      <c r="AI645">
        <v>223</v>
      </c>
      <c r="AJ645">
        <v>19</v>
      </c>
      <c r="AK645">
        <v>1983</v>
      </c>
      <c r="AL645">
        <v>1.1399999999999999</v>
      </c>
    </row>
    <row r="646" spans="1:38" x14ac:dyDescent="0.3">
      <c r="A646" t="s">
        <v>982</v>
      </c>
      <c r="B646">
        <v>24615</v>
      </c>
      <c r="C646">
        <v>2</v>
      </c>
      <c r="D646" t="s">
        <v>989</v>
      </c>
      <c r="E646" t="s">
        <v>714</v>
      </c>
      <c r="F646">
        <v>1744</v>
      </c>
      <c r="G646">
        <v>33.14</v>
      </c>
      <c r="H646">
        <v>109.58</v>
      </c>
      <c r="I646">
        <v>25.69</v>
      </c>
      <c r="J646">
        <v>84.94</v>
      </c>
      <c r="K646">
        <v>825</v>
      </c>
      <c r="T646">
        <v>3</v>
      </c>
      <c r="U646">
        <v>2</v>
      </c>
      <c r="V646" t="s">
        <v>93</v>
      </c>
      <c r="W646" t="s">
        <v>924</v>
      </c>
      <c r="X646">
        <v>18</v>
      </c>
      <c r="Y646">
        <v>7</v>
      </c>
      <c r="Z646" t="s">
        <v>990</v>
      </c>
      <c r="AA646" t="s">
        <v>991</v>
      </c>
      <c r="AB646" t="s">
        <v>96</v>
      </c>
      <c r="AC646" t="s">
        <v>97</v>
      </c>
      <c r="AD646" t="s">
        <v>98</v>
      </c>
      <c r="AE646" t="s">
        <v>987</v>
      </c>
      <c r="AG646" t="s">
        <v>992</v>
      </c>
      <c r="AH646">
        <v>0</v>
      </c>
      <c r="AI646">
        <v>223</v>
      </c>
      <c r="AJ646">
        <v>19</v>
      </c>
      <c r="AK646">
        <v>1983</v>
      </c>
      <c r="AL646">
        <v>1.1399999999999999</v>
      </c>
    </row>
    <row r="647" spans="1:38" x14ac:dyDescent="0.3">
      <c r="A647" t="s">
        <v>982</v>
      </c>
      <c r="B647">
        <v>24615</v>
      </c>
      <c r="C647">
        <v>3</v>
      </c>
      <c r="D647" t="s">
        <v>989</v>
      </c>
      <c r="E647" t="s">
        <v>714</v>
      </c>
      <c r="F647">
        <v>1744</v>
      </c>
      <c r="G647">
        <v>33.659999999999997</v>
      </c>
      <c r="H647">
        <v>111.28</v>
      </c>
      <c r="I647">
        <v>25.68</v>
      </c>
      <c r="J647">
        <v>84.91</v>
      </c>
      <c r="K647">
        <v>157</v>
      </c>
      <c r="T647">
        <v>3</v>
      </c>
      <c r="U647">
        <v>2</v>
      </c>
      <c r="V647" t="s">
        <v>93</v>
      </c>
      <c r="W647" t="s">
        <v>925</v>
      </c>
      <c r="X647">
        <v>18</v>
      </c>
      <c r="Y647">
        <v>7</v>
      </c>
      <c r="Z647" t="s">
        <v>990</v>
      </c>
      <c r="AA647" t="s">
        <v>991</v>
      </c>
      <c r="AB647" t="s">
        <v>96</v>
      </c>
      <c r="AC647" t="s">
        <v>97</v>
      </c>
      <c r="AD647" t="s">
        <v>98</v>
      </c>
      <c r="AE647" t="s">
        <v>987</v>
      </c>
      <c r="AG647" t="s">
        <v>992</v>
      </c>
      <c r="AH647">
        <v>0</v>
      </c>
      <c r="AI647">
        <v>223</v>
      </c>
      <c r="AJ647">
        <v>19</v>
      </c>
      <c r="AK647">
        <v>1983</v>
      </c>
      <c r="AL647">
        <v>1.1399999999999999</v>
      </c>
    </row>
    <row r="648" spans="1:38" x14ac:dyDescent="0.3">
      <c r="A648" t="s">
        <v>982</v>
      </c>
      <c r="B648">
        <v>24615</v>
      </c>
      <c r="C648">
        <v>4</v>
      </c>
      <c r="D648" t="s">
        <v>989</v>
      </c>
      <c r="E648" t="s">
        <v>714</v>
      </c>
      <c r="F648">
        <v>1744</v>
      </c>
      <c r="G648">
        <v>33.93</v>
      </c>
      <c r="H648">
        <v>112.18</v>
      </c>
      <c r="I648">
        <v>25.44</v>
      </c>
      <c r="J648">
        <v>84.11</v>
      </c>
      <c r="K648">
        <v>140</v>
      </c>
      <c r="T648">
        <v>3</v>
      </c>
      <c r="U648">
        <v>2</v>
      </c>
      <c r="V648" t="s">
        <v>93</v>
      </c>
      <c r="W648" t="s">
        <v>452</v>
      </c>
      <c r="X648">
        <v>18</v>
      </c>
      <c r="Y648">
        <v>7</v>
      </c>
      <c r="Z648" t="s">
        <v>990</v>
      </c>
      <c r="AA648" t="s">
        <v>991</v>
      </c>
      <c r="AB648" t="s">
        <v>96</v>
      </c>
      <c r="AC648" t="s">
        <v>97</v>
      </c>
      <c r="AD648" t="s">
        <v>98</v>
      </c>
      <c r="AE648" t="s">
        <v>987</v>
      </c>
      <c r="AG648" t="s">
        <v>992</v>
      </c>
      <c r="AH648">
        <v>0</v>
      </c>
      <c r="AI648">
        <v>223</v>
      </c>
      <c r="AJ648">
        <v>19</v>
      </c>
      <c r="AK648">
        <v>1983</v>
      </c>
      <c r="AL648">
        <v>1.1399999999999999</v>
      </c>
    </row>
    <row r="649" spans="1:38" x14ac:dyDescent="0.3">
      <c r="A649" t="s">
        <v>982</v>
      </c>
      <c r="B649">
        <v>24615</v>
      </c>
      <c r="C649">
        <v>5</v>
      </c>
      <c r="D649" t="s">
        <v>989</v>
      </c>
      <c r="E649" t="s">
        <v>714</v>
      </c>
      <c r="F649">
        <v>1744</v>
      </c>
      <c r="G649">
        <v>38.56</v>
      </c>
      <c r="H649">
        <v>127.48</v>
      </c>
      <c r="I649">
        <v>30.77</v>
      </c>
      <c r="J649">
        <v>101.73</v>
      </c>
      <c r="K649">
        <v>57</v>
      </c>
      <c r="T649">
        <v>3</v>
      </c>
      <c r="U649">
        <v>2</v>
      </c>
      <c r="V649" t="s">
        <v>93</v>
      </c>
      <c r="W649">
        <v>127</v>
      </c>
      <c r="X649">
        <v>18</v>
      </c>
      <c r="Y649">
        <v>7</v>
      </c>
      <c r="Z649" t="s">
        <v>990</v>
      </c>
      <c r="AA649" t="s">
        <v>991</v>
      </c>
      <c r="AB649" t="s">
        <v>96</v>
      </c>
      <c r="AC649" t="s">
        <v>97</v>
      </c>
      <c r="AD649" t="s">
        <v>98</v>
      </c>
      <c r="AE649" t="s">
        <v>987</v>
      </c>
      <c r="AG649" t="s">
        <v>992</v>
      </c>
      <c r="AH649">
        <v>0</v>
      </c>
      <c r="AI649">
        <v>223</v>
      </c>
      <c r="AJ649">
        <v>19</v>
      </c>
      <c r="AK649">
        <v>1983</v>
      </c>
      <c r="AL649">
        <v>1.1399999999999999</v>
      </c>
    </row>
    <row r="650" spans="1:38" x14ac:dyDescent="0.3">
      <c r="A650" t="s">
        <v>982</v>
      </c>
      <c r="B650">
        <v>24615</v>
      </c>
      <c r="C650">
        <v>6</v>
      </c>
      <c r="D650" t="s">
        <v>989</v>
      </c>
      <c r="E650" t="s">
        <v>714</v>
      </c>
      <c r="F650">
        <v>1744</v>
      </c>
      <c r="G650">
        <v>45.56</v>
      </c>
      <c r="H650">
        <v>150.62</v>
      </c>
      <c r="I650">
        <v>36.93</v>
      </c>
      <c r="J650">
        <v>122.11</v>
      </c>
      <c r="K650">
        <v>148</v>
      </c>
      <c r="T650">
        <v>4</v>
      </c>
      <c r="U650">
        <v>2</v>
      </c>
      <c r="V650" t="s">
        <v>93</v>
      </c>
      <c r="W650">
        <v>150</v>
      </c>
      <c r="X650">
        <v>18</v>
      </c>
      <c r="Y650">
        <v>7</v>
      </c>
      <c r="Z650" t="s">
        <v>990</v>
      </c>
      <c r="AA650" t="s">
        <v>991</v>
      </c>
      <c r="AB650" t="s">
        <v>96</v>
      </c>
      <c r="AC650" t="s">
        <v>97</v>
      </c>
      <c r="AD650" t="s">
        <v>98</v>
      </c>
      <c r="AE650" t="s">
        <v>987</v>
      </c>
      <c r="AG650" t="s">
        <v>992</v>
      </c>
      <c r="AH650">
        <v>0</v>
      </c>
      <c r="AI650">
        <v>223</v>
      </c>
      <c r="AJ650">
        <v>19</v>
      </c>
      <c r="AK650">
        <v>1983</v>
      </c>
      <c r="AL650">
        <v>1.1399999999999999</v>
      </c>
    </row>
    <row r="651" spans="1:38" x14ac:dyDescent="0.3">
      <c r="A651" t="s">
        <v>982</v>
      </c>
      <c r="B651">
        <v>10398</v>
      </c>
      <c r="C651">
        <v>1</v>
      </c>
      <c r="D651" t="s">
        <v>993</v>
      </c>
      <c r="E651" t="s">
        <v>994</v>
      </c>
      <c r="F651">
        <v>386</v>
      </c>
      <c r="G651">
        <v>17.82</v>
      </c>
      <c r="H651">
        <v>58.94</v>
      </c>
      <c r="I651">
        <v>12.09</v>
      </c>
      <c r="J651">
        <v>39.99</v>
      </c>
      <c r="K651">
        <v>89</v>
      </c>
      <c r="T651">
        <v>2</v>
      </c>
      <c r="U651">
        <v>1</v>
      </c>
      <c r="V651" t="s">
        <v>118</v>
      </c>
      <c r="W651">
        <v>58</v>
      </c>
      <c r="X651">
        <v>20</v>
      </c>
      <c r="Y651">
        <v>15</v>
      </c>
      <c r="Z651" t="s">
        <v>995</v>
      </c>
      <c r="AA651" t="s">
        <v>996</v>
      </c>
      <c r="AB651" t="s">
        <v>96</v>
      </c>
      <c r="AC651" t="s">
        <v>97</v>
      </c>
      <c r="AD651" t="s">
        <v>98</v>
      </c>
      <c r="AE651" t="s">
        <v>987</v>
      </c>
      <c r="AG651" t="s">
        <v>997</v>
      </c>
      <c r="AH651">
        <v>0</v>
      </c>
      <c r="AI651">
        <v>0</v>
      </c>
      <c r="AJ651">
        <v>0</v>
      </c>
      <c r="AK651">
        <v>386</v>
      </c>
      <c r="AL651">
        <v>1</v>
      </c>
    </row>
    <row r="652" spans="1:38" x14ac:dyDescent="0.3">
      <c r="A652" t="s">
        <v>982</v>
      </c>
      <c r="B652">
        <v>10398</v>
      </c>
      <c r="C652">
        <v>2</v>
      </c>
      <c r="D652" t="s">
        <v>993</v>
      </c>
      <c r="E652" t="s">
        <v>994</v>
      </c>
      <c r="F652">
        <v>386</v>
      </c>
      <c r="G652">
        <v>22.28</v>
      </c>
      <c r="H652">
        <v>73.680000000000007</v>
      </c>
      <c r="I652">
        <v>15.12</v>
      </c>
      <c r="J652">
        <v>49.99</v>
      </c>
      <c r="K652">
        <v>297</v>
      </c>
      <c r="T652">
        <v>2</v>
      </c>
      <c r="U652">
        <v>1</v>
      </c>
      <c r="V652" t="s">
        <v>93</v>
      </c>
      <c r="W652">
        <v>73</v>
      </c>
      <c r="X652">
        <v>20</v>
      </c>
      <c r="Y652">
        <v>15</v>
      </c>
      <c r="Z652" t="s">
        <v>995</v>
      </c>
      <c r="AA652" t="s">
        <v>996</v>
      </c>
      <c r="AB652" t="s">
        <v>96</v>
      </c>
      <c r="AC652" t="s">
        <v>97</v>
      </c>
      <c r="AD652" t="s">
        <v>98</v>
      </c>
      <c r="AE652" t="s">
        <v>987</v>
      </c>
      <c r="AG652" t="s">
        <v>997</v>
      </c>
      <c r="AH652">
        <v>0</v>
      </c>
      <c r="AI652">
        <v>0</v>
      </c>
      <c r="AJ652">
        <v>0</v>
      </c>
      <c r="AK652">
        <v>386</v>
      </c>
      <c r="AL652">
        <v>1</v>
      </c>
    </row>
    <row r="653" spans="1:38" x14ac:dyDescent="0.3">
      <c r="A653" t="s">
        <v>982</v>
      </c>
      <c r="B653">
        <v>9279</v>
      </c>
      <c r="C653">
        <v>1</v>
      </c>
      <c r="D653" t="s">
        <v>998</v>
      </c>
      <c r="E653" t="s">
        <v>999</v>
      </c>
      <c r="F653">
        <v>824</v>
      </c>
      <c r="G653">
        <v>26.32</v>
      </c>
      <c r="H653">
        <v>87.01</v>
      </c>
      <c r="I653">
        <v>18.13</v>
      </c>
      <c r="J653">
        <v>59.96</v>
      </c>
      <c r="K653">
        <v>824</v>
      </c>
      <c r="T653">
        <v>3</v>
      </c>
      <c r="U653">
        <v>2</v>
      </c>
      <c r="V653" t="s">
        <v>93</v>
      </c>
      <c r="W653">
        <v>87</v>
      </c>
      <c r="X653">
        <v>25</v>
      </c>
      <c r="Y653">
        <v>16</v>
      </c>
      <c r="Z653" t="s">
        <v>1000</v>
      </c>
      <c r="AA653" t="s">
        <v>1001</v>
      </c>
      <c r="AB653" t="s">
        <v>96</v>
      </c>
      <c r="AC653" t="s">
        <v>97</v>
      </c>
      <c r="AD653" t="s">
        <v>98</v>
      </c>
      <c r="AE653" t="s">
        <v>987</v>
      </c>
      <c r="AG653" t="s">
        <v>1002</v>
      </c>
      <c r="AH653">
        <v>0</v>
      </c>
      <c r="AI653">
        <v>217</v>
      </c>
      <c r="AJ653">
        <v>15</v>
      </c>
      <c r="AK653">
        <v>828</v>
      </c>
      <c r="AL653">
        <v>1</v>
      </c>
    </row>
    <row r="654" spans="1:38" x14ac:dyDescent="0.3">
      <c r="A654" t="s">
        <v>982</v>
      </c>
      <c r="B654">
        <v>12954</v>
      </c>
      <c r="C654">
        <v>1</v>
      </c>
      <c r="D654" t="s">
        <v>1003</v>
      </c>
      <c r="E654" t="s">
        <v>1004</v>
      </c>
      <c r="F654">
        <v>48</v>
      </c>
      <c r="G654">
        <v>13.04</v>
      </c>
      <c r="H654">
        <v>43.13</v>
      </c>
      <c r="I654">
        <v>9.32</v>
      </c>
      <c r="J654">
        <v>30.82</v>
      </c>
      <c r="K654">
        <v>35</v>
      </c>
      <c r="T654">
        <v>2</v>
      </c>
      <c r="U654">
        <v>1</v>
      </c>
      <c r="V654" t="s">
        <v>93</v>
      </c>
      <c r="W654">
        <v>43</v>
      </c>
      <c r="X654">
        <v>8</v>
      </c>
      <c r="Y654">
        <v>6</v>
      </c>
      <c r="Z654" t="s">
        <v>1005</v>
      </c>
      <c r="AA654" t="s">
        <v>1006</v>
      </c>
      <c r="AB654" t="s">
        <v>96</v>
      </c>
      <c r="AC654" t="s">
        <v>97</v>
      </c>
      <c r="AD654" t="s">
        <v>98</v>
      </c>
      <c r="AE654" t="s">
        <v>987</v>
      </c>
      <c r="AG654" t="s">
        <v>1007</v>
      </c>
      <c r="AH654">
        <v>0</v>
      </c>
      <c r="AI654">
        <v>196</v>
      </c>
      <c r="AJ654">
        <v>33</v>
      </c>
      <c r="AK654">
        <v>34</v>
      </c>
      <c r="AL654">
        <v>0.71</v>
      </c>
    </row>
    <row r="655" spans="1:38" x14ac:dyDescent="0.3">
      <c r="A655" t="s">
        <v>982</v>
      </c>
      <c r="B655">
        <v>12954</v>
      </c>
      <c r="C655">
        <v>2</v>
      </c>
      <c r="D655" t="s">
        <v>1003</v>
      </c>
      <c r="E655" t="s">
        <v>1004</v>
      </c>
      <c r="F655">
        <v>48</v>
      </c>
      <c r="G655">
        <v>25.06</v>
      </c>
      <c r="H655">
        <v>82.87</v>
      </c>
      <c r="I655">
        <v>18.09</v>
      </c>
      <c r="J655">
        <v>59.81</v>
      </c>
      <c r="K655">
        <v>13</v>
      </c>
      <c r="T655">
        <v>3</v>
      </c>
      <c r="U655">
        <v>2</v>
      </c>
      <c r="V655" t="s">
        <v>93</v>
      </c>
      <c r="W655">
        <v>82</v>
      </c>
      <c r="X655">
        <v>8</v>
      </c>
      <c r="Y655">
        <v>6</v>
      </c>
      <c r="Z655" t="s">
        <v>1005</v>
      </c>
      <c r="AA655" t="s">
        <v>1006</v>
      </c>
      <c r="AB655" t="s">
        <v>96</v>
      </c>
      <c r="AC655" t="s">
        <v>97</v>
      </c>
      <c r="AD655" t="s">
        <v>98</v>
      </c>
      <c r="AE655" t="s">
        <v>987</v>
      </c>
      <c r="AG655" t="s">
        <v>1007</v>
      </c>
      <c r="AH655">
        <v>0</v>
      </c>
      <c r="AI655">
        <v>196</v>
      </c>
      <c r="AJ655">
        <v>33</v>
      </c>
      <c r="AK655">
        <v>34</v>
      </c>
      <c r="AL655">
        <v>0.71</v>
      </c>
    </row>
    <row r="656" spans="1:38" x14ac:dyDescent="0.3">
      <c r="A656" t="s">
        <v>982</v>
      </c>
      <c r="B656">
        <v>3643</v>
      </c>
      <c r="C656">
        <v>1</v>
      </c>
      <c r="D656" t="s">
        <v>1008</v>
      </c>
      <c r="E656" t="s">
        <v>1009</v>
      </c>
      <c r="F656">
        <v>538</v>
      </c>
      <c r="G656">
        <v>35.08</v>
      </c>
      <c r="H656">
        <v>115.98</v>
      </c>
      <c r="I656">
        <v>25.62</v>
      </c>
      <c r="J656">
        <v>84.72</v>
      </c>
      <c r="K656">
        <v>538</v>
      </c>
      <c r="T656">
        <v>3</v>
      </c>
      <c r="U656">
        <v>2</v>
      </c>
      <c r="V656" t="s">
        <v>93</v>
      </c>
      <c r="W656">
        <v>115</v>
      </c>
      <c r="X656">
        <v>24</v>
      </c>
      <c r="Y656">
        <v>20</v>
      </c>
      <c r="Z656" t="s">
        <v>1010</v>
      </c>
      <c r="AA656" t="s">
        <v>1011</v>
      </c>
      <c r="AB656" t="s">
        <v>96</v>
      </c>
      <c r="AC656" t="s">
        <v>97</v>
      </c>
      <c r="AD656" t="s">
        <v>98</v>
      </c>
      <c r="AE656" t="s">
        <v>987</v>
      </c>
      <c r="AG656" t="s">
        <v>1012</v>
      </c>
      <c r="AH656">
        <v>0</v>
      </c>
      <c r="AI656">
        <v>219</v>
      </c>
      <c r="AJ656">
        <v>14</v>
      </c>
      <c r="AK656">
        <v>685</v>
      </c>
      <c r="AL656">
        <v>1.27</v>
      </c>
    </row>
    <row r="657" spans="1:38" x14ac:dyDescent="0.3">
      <c r="A657" t="s">
        <v>982</v>
      </c>
      <c r="B657">
        <v>112406</v>
      </c>
      <c r="C657">
        <v>1</v>
      </c>
      <c r="D657" t="s">
        <v>663</v>
      </c>
      <c r="E657" t="s">
        <v>1013</v>
      </c>
      <c r="F657">
        <v>77</v>
      </c>
      <c r="G657">
        <v>26.36</v>
      </c>
      <c r="H657">
        <v>87.15</v>
      </c>
      <c r="I657">
        <v>17.71</v>
      </c>
      <c r="J657">
        <v>58.57</v>
      </c>
      <c r="K657">
        <v>37</v>
      </c>
      <c r="T657">
        <v>3</v>
      </c>
      <c r="U657">
        <v>1</v>
      </c>
      <c r="V657" t="s">
        <v>93</v>
      </c>
      <c r="W657">
        <v>87</v>
      </c>
      <c r="X657">
        <v>5</v>
      </c>
      <c r="Y657">
        <v>5</v>
      </c>
      <c r="Z657" t="s">
        <v>1014</v>
      </c>
      <c r="AA657" t="s">
        <v>1015</v>
      </c>
      <c r="AB657" t="s">
        <v>96</v>
      </c>
      <c r="AC657" t="s">
        <v>97</v>
      </c>
      <c r="AD657" t="s">
        <v>98</v>
      </c>
      <c r="AE657" t="s">
        <v>987</v>
      </c>
      <c r="AG657" t="s">
        <v>1016</v>
      </c>
      <c r="AH657">
        <v>0</v>
      </c>
      <c r="AI657">
        <v>0</v>
      </c>
      <c r="AJ657">
        <v>0</v>
      </c>
      <c r="AK657">
        <v>0</v>
      </c>
      <c r="AL657">
        <v>0</v>
      </c>
    </row>
    <row r="658" spans="1:38" x14ac:dyDescent="0.3">
      <c r="A658" t="s">
        <v>982</v>
      </c>
      <c r="B658">
        <v>112406</v>
      </c>
      <c r="C658">
        <v>2</v>
      </c>
      <c r="D658" t="s">
        <v>663</v>
      </c>
      <c r="E658" t="s">
        <v>1013</v>
      </c>
      <c r="F658">
        <v>77</v>
      </c>
      <c r="G658">
        <v>26.65</v>
      </c>
      <c r="H658">
        <v>88.12</v>
      </c>
      <c r="I658">
        <v>18.059999999999999</v>
      </c>
      <c r="J658">
        <v>59.71</v>
      </c>
      <c r="K658">
        <v>40</v>
      </c>
      <c r="T658">
        <v>3</v>
      </c>
      <c r="U658">
        <v>1</v>
      </c>
      <c r="V658" t="s">
        <v>93</v>
      </c>
      <c r="W658">
        <v>88</v>
      </c>
      <c r="X658">
        <v>5</v>
      </c>
      <c r="Y658">
        <v>5</v>
      </c>
      <c r="Z658" t="s">
        <v>1014</v>
      </c>
      <c r="AA658" t="s">
        <v>1015</v>
      </c>
      <c r="AB658" t="s">
        <v>96</v>
      </c>
      <c r="AC658" t="s">
        <v>97</v>
      </c>
      <c r="AD658" t="s">
        <v>98</v>
      </c>
      <c r="AE658" t="s">
        <v>987</v>
      </c>
      <c r="AG658" t="s">
        <v>1016</v>
      </c>
      <c r="AH658">
        <v>0</v>
      </c>
      <c r="AI658">
        <v>0</v>
      </c>
      <c r="AJ658">
        <v>0</v>
      </c>
      <c r="AK658">
        <v>0</v>
      </c>
      <c r="AL658">
        <v>0</v>
      </c>
    </row>
    <row r="659" spans="1:38" x14ac:dyDescent="0.3">
      <c r="A659" t="s">
        <v>982</v>
      </c>
      <c r="B659">
        <v>8496</v>
      </c>
      <c r="C659">
        <v>1</v>
      </c>
      <c r="D659" t="s">
        <v>1017</v>
      </c>
      <c r="E659" t="s">
        <v>1018</v>
      </c>
      <c r="F659">
        <v>508</v>
      </c>
      <c r="G659">
        <v>25.65</v>
      </c>
      <c r="H659">
        <v>84.81</v>
      </c>
      <c r="I659">
        <v>18.010000000000002</v>
      </c>
      <c r="J659">
        <v>59.55</v>
      </c>
      <c r="K659">
        <v>198</v>
      </c>
      <c r="T659">
        <v>3</v>
      </c>
      <c r="U659">
        <v>1</v>
      </c>
      <c r="V659" t="s">
        <v>118</v>
      </c>
      <c r="W659" t="s">
        <v>552</v>
      </c>
      <c r="X659">
        <v>17</v>
      </c>
      <c r="Y659">
        <v>8</v>
      </c>
      <c r="Z659" t="s">
        <v>1019</v>
      </c>
      <c r="AA659" t="s">
        <v>1020</v>
      </c>
      <c r="AB659" t="s">
        <v>96</v>
      </c>
      <c r="AC659" t="s">
        <v>97</v>
      </c>
      <c r="AD659" t="s">
        <v>98</v>
      </c>
      <c r="AE659" t="s">
        <v>987</v>
      </c>
      <c r="AG659" t="s">
        <v>1021</v>
      </c>
      <c r="AH659">
        <v>0</v>
      </c>
      <c r="AI659">
        <v>238</v>
      </c>
      <c r="AJ659">
        <v>22</v>
      </c>
      <c r="AK659">
        <v>515</v>
      </c>
      <c r="AL659">
        <v>1.01</v>
      </c>
    </row>
    <row r="660" spans="1:38" x14ac:dyDescent="0.3">
      <c r="A660" t="s">
        <v>982</v>
      </c>
      <c r="B660">
        <v>8496</v>
      </c>
      <c r="C660">
        <v>2</v>
      </c>
      <c r="D660" t="s">
        <v>1017</v>
      </c>
      <c r="E660" t="s">
        <v>1018</v>
      </c>
      <c r="F660">
        <v>508</v>
      </c>
      <c r="G660">
        <v>25.53</v>
      </c>
      <c r="H660">
        <v>84.41</v>
      </c>
      <c r="I660">
        <v>17.920000000000002</v>
      </c>
      <c r="J660">
        <v>59.27</v>
      </c>
      <c r="K660">
        <v>13</v>
      </c>
      <c r="T660">
        <v>3</v>
      </c>
      <c r="U660">
        <v>1</v>
      </c>
      <c r="V660" t="s">
        <v>118</v>
      </c>
      <c r="W660" t="s">
        <v>610</v>
      </c>
      <c r="X660">
        <v>17</v>
      </c>
      <c r="Y660">
        <v>8</v>
      </c>
      <c r="Z660" t="s">
        <v>1019</v>
      </c>
      <c r="AA660" t="s">
        <v>1020</v>
      </c>
      <c r="AB660" t="s">
        <v>96</v>
      </c>
      <c r="AC660" t="s">
        <v>97</v>
      </c>
      <c r="AD660" t="s">
        <v>98</v>
      </c>
      <c r="AE660" t="s">
        <v>987</v>
      </c>
      <c r="AG660" t="s">
        <v>1021</v>
      </c>
      <c r="AH660">
        <v>0</v>
      </c>
      <c r="AI660">
        <v>238</v>
      </c>
      <c r="AJ660">
        <v>22</v>
      </c>
      <c r="AK660">
        <v>515</v>
      </c>
      <c r="AL660">
        <v>1.01</v>
      </c>
    </row>
    <row r="661" spans="1:38" x14ac:dyDescent="0.3">
      <c r="A661" t="s">
        <v>982</v>
      </c>
      <c r="B661">
        <v>8496</v>
      </c>
      <c r="C661">
        <v>3</v>
      </c>
      <c r="D661" t="s">
        <v>1017</v>
      </c>
      <c r="E661" t="s">
        <v>1018</v>
      </c>
      <c r="F661">
        <v>508</v>
      </c>
      <c r="G661">
        <v>25.9</v>
      </c>
      <c r="H661">
        <v>85.64</v>
      </c>
      <c r="I661">
        <v>20.04</v>
      </c>
      <c r="J661">
        <v>66.27</v>
      </c>
      <c r="K661">
        <v>48</v>
      </c>
      <c r="T661">
        <v>3</v>
      </c>
      <c r="U661">
        <v>1</v>
      </c>
      <c r="V661" t="s">
        <v>93</v>
      </c>
      <c r="W661" t="s">
        <v>1022</v>
      </c>
      <c r="X661">
        <v>17</v>
      </c>
      <c r="Y661">
        <v>8</v>
      </c>
      <c r="Z661" t="s">
        <v>1019</v>
      </c>
      <c r="AA661" t="s">
        <v>1020</v>
      </c>
      <c r="AB661" t="s">
        <v>96</v>
      </c>
      <c r="AC661" t="s">
        <v>97</v>
      </c>
      <c r="AD661" t="s">
        <v>98</v>
      </c>
      <c r="AE661" t="s">
        <v>987</v>
      </c>
      <c r="AG661" t="s">
        <v>1021</v>
      </c>
      <c r="AH661">
        <v>0</v>
      </c>
      <c r="AI661">
        <v>238</v>
      </c>
      <c r="AJ661">
        <v>22</v>
      </c>
      <c r="AK661">
        <v>515</v>
      </c>
      <c r="AL661">
        <v>1.01</v>
      </c>
    </row>
    <row r="662" spans="1:38" x14ac:dyDescent="0.3">
      <c r="A662" t="s">
        <v>982</v>
      </c>
      <c r="B662">
        <v>8496</v>
      </c>
      <c r="C662">
        <v>4</v>
      </c>
      <c r="D662" t="s">
        <v>1017</v>
      </c>
      <c r="E662" t="s">
        <v>1018</v>
      </c>
      <c r="F662">
        <v>508</v>
      </c>
      <c r="G662">
        <v>27.93</v>
      </c>
      <c r="H662">
        <v>92.34</v>
      </c>
      <c r="I662">
        <v>21.61</v>
      </c>
      <c r="J662">
        <v>71.45</v>
      </c>
      <c r="K662">
        <v>32</v>
      </c>
      <c r="T662">
        <v>3</v>
      </c>
      <c r="U662">
        <v>2</v>
      </c>
      <c r="V662" t="s">
        <v>93</v>
      </c>
      <c r="W662">
        <v>92</v>
      </c>
      <c r="X662">
        <v>17</v>
      </c>
      <c r="Y662">
        <v>8</v>
      </c>
      <c r="Z662" t="s">
        <v>1019</v>
      </c>
      <c r="AA662" t="s">
        <v>1020</v>
      </c>
      <c r="AB662" t="s">
        <v>96</v>
      </c>
      <c r="AC662" t="s">
        <v>97</v>
      </c>
      <c r="AD662" t="s">
        <v>98</v>
      </c>
      <c r="AE662" t="s">
        <v>987</v>
      </c>
      <c r="AG662" t="s">
        <v>1021</v>
      </c>
      <c r="AH662">
        <v>0</v>
      </c>
      <c r="AI662">
        <v>238</v>
      </c>
      <c r="AJ662">
        <v>22</v>
      </c>
      <c r="AK662">
        <v>515</v>
      </c>
      <c r="AL662">
        <v>1.01</v>
      </c>
    </row>
    <row r="663" spans="1:38" x14ac:dyDescent="0.3">
      <c r="A663" t="s">
        <v>982</v>
      </c>
      <c r="B663">
        <v>8496</v>
      </c>
      <c r="C663">
        <v>5</v>
      </c>
      <c r="D663" t="s">
        <v>1017</v>
      </c>
      <c r="E663" t="s">
        <v>1018</v>
      </c>
      <c r="F663">
        <v>508</v>
      </c>
      <c r="G663">
        <v>33.020000000000003</v>
      </c>
      <c r="H663">
        <v>109.18</v>
      </c>
      <c r="I663">
        <v>25.55</v>
      </c>
      <c r="J663">
        <v>84.48</v>
      </c>
      <c r="K663">
        <v>217</v>
      </c>
      <c r="T663">
        <v>3</v>
      </c>
      <c r="U663">
        <v>2</v>
      </c>
      <c r="V663" t="s">
        <v>93</v>
      </c>
      <c r="W663">
        <v>109</v>
      </c>
      <c r="X663">
        <v>17</v>
      </c>
      <c r="Y663">
        <v>8</v>
      </c>
      <c r="Z663" t="s">
        <v>1019</v>
      </c>
      <c r="AA663" t="s">
        <v>1020</v>
      </c>
      <c r="AB663" t="s">
        <v>96</v>
      </c>
      <c r="AC663" t="s">
        <v>97</v>
      </c>
      <c r="AD663" t="s">
        <v>98</v>
      </c>
      <c r="AE663" t="s">
        <v>987</v>
      </c>
      <c r="AG663" t="s">
        <v>1021</v>
      </c>
      <c r="AH663">
        <v>0</v>
      </c>
      <c r="AI663">
        <v>238</v>
      </c>
      <c r="AJ663">
        <v>22</v>
      </c>
      <c r="AK663">
        <v>515</v>
      </c>
      <c r="AL663">
        <v>1.01</v>
      </c>
    </row>
    <row r="664" spans="1:38" x14ac:dyDescent="0.3">
      <c r="A664" t="s">
        <v>982</v>
      </c>
      <c r="B664">
        <v>7978</v>
      </c>
      <c r="C664">
        <v>1</v>
      </c>
      <c r="D664" t="s">
        <v>1023</v>
      </c>
      <c r="E664" t="s">
        <v>804</v>
      </c>
      <c r="F664">
        <v>665</v>
      </c>
      <c r="G664">
        <v>35.29</v>
      </c>
      <c r="H664">
        <v>116.69</v>
      </c>
      <c r="I664">
        <v>25.69</v>
      </c>
      <c r="J664">
        <v>84.93</v>
      </c>
      <c r="K664">
        <v>665</v>
      </c>
      <c r="T664">
        <v>3</v>
      </c>
      <c r="U664">
        <v>2</v>
      </c>
      <c r="V664" t="s">
        <v>93</v>
      </c>
      <c r="W664">
        <v>116</v>
      </c>
      <c r="X664">
        <v>15</v>
      </c>
      <c r="Y664">
        <v>12</v>
      </c>
      <c r="Z664" t="s">
        <v>1024</v>
      </c>
      <c r="AA664" t="s">
        <v>1025</v>
      </c>
      <c r="AB664" t="s">
        <v>96</v>
      </c>
      <c r="AC664" t="s">
        <v>97</v>
      </c>
      <c r="AD664" t="s">
        <v>98</v>
      </c>
      <c r="AE664" t="s">
        <v>987</v>
      </c>
      <c r="AG664" t="s">
        <v>1026</v>
      </c>
      <c r="AH664">
        <v>0</v>
      </c>
      <c r="AI664">
        <v>219</v>
      </c>
      <c r="AJ664">
        <v>22</v>
      </c>
      <c r="AK664">
        <v>846</v>
      </c>
      <c r="AL664">
        <v>1.27</v>
      </c>
    </row>
    <row r="665" spans="1:38" x14ac:dyDescent="0.3">
      <c r="A665" t="s">
        <v>982</v>
      </c>
      <c r="B665">
        <v>11276</v>
      </c>
      <c r="C665">
        <v>1</v>
      </c>
      <c r="D665" t="s">
        <v>1027</v>
      </c>
      <c r="E665" t="s">
        <v>1028</v>
      </c>
      <c r="F665">
        <v>115</v>
      </c>
      <c r="G665">
        <v>24.15</v>
      </c>
      <c r="H665">
        <v>79.86</v>
      </c>
      <c r="I665">
        <v>19.559999999999999</v>
      </c>
      <c r="J665">
        <v>64.69</v>
      </c>
      <c r="K665">
        <v>40</v>
      </c>
      <c r="T665">
        <v>2</v>
      </c>
      <c r="U665">
        <v>1</v>
      </c>
      <c r="V665" t="s">
        <v>93</v>
      </c>
      <c r="W665">
        <v>79</v>
      </c>
      <c r="X665">
        <v>5</v>
      </c>
      <c r="Y665">
        <v>5</v>
      </c>
      <c r="Z665" t="s">
        <v>1029</v>
      </c>
      <c r="AA665" t="s">
        <v>1030</v>
      </c>
      <c r="AB665" t="s">
        <v>96</v>
      </c>
      <c r="AC665" t="s">
        <v>97</v>
      </c>
      <c r="AD665" t="s">
        <v>98</v>
      </c>
      <c r="AE665" t="s">
        <v>987</v>
      </c>
      <c r="AG665" t="s">
        <v>1031</v>
      </c>
      <c r="AH665">
        <v>0</v>
      </c>
      <c r="AI665">
        <v>185</v>
      </c>
      <c r="AJ665">
        <v>36</v>
      </c>
      <c r="AK665">
        <v>0</v>
      </c>
      <c r="AL665">
        <v>0</v>
      </c>
    </row>
    <row r="666" spans="1:38" x14ac:dyDescent="0.3">
      <c r="A666" t="s">
        <v>982</v>
      </c>
      <c r="B666">
        <v>11276</v>
      </c>
      <c r="C666">
        <v>2</v>
      </c>
      <c r="D666" t="s">
        <v>1027</v>
      </c>
      <c r="E666" t="s">
        <v>1028</v>
      </c>
      <c r="F666">
        <v>115</v>
      </c>
      <c r="G666">
        <v>27.19</v>
      </c>
      <c r="H666">
        <v>89.91</v>
      </c>
      <c r="I666">
        <v>21.65</v>
      </c>
      <c r="J666">
        <v>71.599999999999994</v>
      </c>
      <c r="K666">
        <v>30</v>
      </c>
      <c r="T666">
        <v>3</v>
      </c>
      <c r="U666">
        <v>1</v>
      </c>
      <c r="V666" t="s">
        <v>93</v>
      </c>
      <c r="W666" t="s">
        <v>299</v>
      </c>
      <c r="X666">
        <v>5</v>
      </c>
      <c r="Y666">
        <v>5</v>
      </c>
      <c r="Z666" t="s">
        <v>1029</v>
      </c>
      <c r="AA666" t="s">
        <v>1030</v>
      </c>
      <c r="AB666" t="s">
        <v>96</v>
      </c>
      <c r="AC666" t="s">
        <v>97</v>
      </c>
      <c r="AD666" t="s">
        <v>98</v>
      </c>
      <c r="AE666" t="s">
        <v>987</v>
      </c>
      <c r="AG666" t="s">
        <v>1031</v>
      </c>
      <c r="AH666">
        <v>0</v>
      </c>
      <c r="AI666">
        <v>185</v>
      </c>
      <c r="AJ666">
        <v>36</v>
      </c>
      <c r="AK666">
        <v>0</v>
      </c>
      <c r="AL666">
        <v>0</v>
      </c>
    </row>
    <row r="667" spans="1:38" x14ac:dyDescent="0.3">
      <c r="A667" t="s">
        <v>982</v>
      </c>
      <c r="B667">
        <v>11276</v>
      </c>
      <c r="C667">
        <v>3</v>
      </c>
      <c r="D667" t="s">
        <v>1027</v>
      </c>
      <c r="E667" t="s">
        <v>1028</v>
      </c>
      <c r="F667">
        <v>115</v>
      </c>
      <c r="G667">
        <v>27.23</v>
      </c>
      <c r="H667">
        <v>90.03</v>
      </c>
      <c r="I667">
        <v>21.65</v>
      </c>
      <c r="J667">
        <v>71.599999999999994</v>
      </c>
      <c r="K667">
        <v>45</v>
      </c>
      <c r="T667">
        <v>3</v>
      </c>
      <c r="U667">
        <v>1</v>
      </c>
      <c r="V667" t="s">
        <v>93</v>
      </c>
      <c r="W667" t="s">
        <v>1032</v>
      </c>
      <c r="X667">
        <v>5</v>
      </c>
      <c r="Y667">
        <v>5</v>
      </c>
      <c r="Z667" t="s">
        <v>1029</v>
      </c>
      <c r="AA667" t="s">
        <v>1030</v>
      </c>
      <c r="AB667" t="s">
        <v>96</v>
      </c>
      <c r="AC667" t="s">
        <v>97</v>
      </c>
      <c r="AD667" t="s">
        <v>98</v>
      </c>
      <c r="AE667" t="s">
        <v>987</v>
      </c>
      <c r="AG667" t="s">
        <v>1031</v>
      </c>
      <c r="AH667">
        <v>0</v>
      </c>
      <c r="AI667">
        <v>185</v>
      </c>
      <c r="AJ667">
        <v>36</v>
      </c>
      <c r="AK667">
        <v>0</v>
      </c>
      <c r="AL667">
        <v>0</v>
      </c>
    </row>
    <row r="668" spans="1:38" x14ac:dyDescent="0.3">
      <c r="A668" t="s">
        <v>982</v>
      </c>
      <c r="B668">
        <v>2725</v>
      </c>
      <c r="C668">
        <v>1</v>
      </c>
      <c r="D668" t="s">
        <v>1033</v>
      </c>
      <c r="E668" t="s">
        <v>1034</v>
      </c>
      <c r="F668">
        <v>332</v>
      </c>
      <c r="G668">
        <v>24.58</v>
      </c>
      <c r="H668">
        <v>81.28</v>
      </c>
      <c r="I668">
        <v>18.07</v>
      </c>
      <c r="J668">
        <v>59.76</v>
      </c>
      <c r="K668">
        <v>332</v>
      </c>
      <c r="T668">
        <v>3</v>
      </c>
      <c r="U668">
        <v>1</v>
      </c>
      <c r="V668" t="s">
        <v>93</v>
      </c>
      <c r="W668">
        <v>81</v>
      </c>
      <c r="X668">
        <v>25</v>
      </c>
      <c r="Y668">
        <v>22</v>
      </c>
      <c r="Z668" t="s">
        <v>1035</v>
      </c>
      <c r="AA668" t="s">
        <v>1036</v>
      </c>
      <c r="AB668" t="s">
        <v>96</v>
      </c>
      <c r="AC668" t="s">
        <v>97</v>
      </c>
      <c r="AD668" t="s">
        <v>98</v>
      </c>
      <c r="AE668" t="s">
        <v>987</v>
      </c>
      <c r="AG668" t="s">
        <v>1037</v>
      </c>
      <c r="AH668">
        <v>0</v>
      </c>
      <c r="AI668">
        <v>229</v>
      </c>
      <c r="AJ668">
        <v>16</v>
      </c>
      <c r="AK668">
        <v>338</v>
      </c>
      <c r="AL668">
        <v>1.02</v>
      </c>
    </row>
    <row r="669" spans="1:38" x14ac:dyDescent="0.3">
      <c r="A669" t="s">
        <v>982</v>
      </c>
      <c r="B669">
        <v>2751</v>
      </c>
      <c r="C669">
        <v>1</v>
      </c>
      <c r="D669" t="s">
        <v>1038</v>
      </c>
      <c r="E669" t="s">
        <v>781</v>
      </c>
      <c r="F669">
        <v>459</v>
      </c>
      <c r="G669">
        <v>28.12</v>
      </c>
      <c r="H669">
        <v>92.98</v>
      </c>
      <c r="I669">
        <v>22.56</v>
      </c>
      <c r="J669">
        <v>74.58</v>
      </c>
      <c r="K669">
        <v>57</v>
      </c>
      <c r="T669">
        <v>3</v>
      </c>
      <c r="U669">
        <v>1</v>
      </c>
      <c r="V669" t="s">
        <v>118</v>
      </c>
      <c r="W669">
        <v>92</v>
      </c>
      <c r="X669">
        <v>20</v>
      </c>
      <c r="Y669">
        <v>14</v>
      </c>
      <c r="Z669" t="s">
        <v>1039</v>
      </c>
      <c r="AA669" t="s">
        <v>1040</v>
      </c>
      <c r="AB669" t="s">
        <v>96</v>
      </c>
      <c r="AC669" t="s">
        <v>97</v>
      </c>
      <c r="AD669" t="s">
        <v>98</v>
      </c>
      <c r="AE669" t="s">
        <v>987</v>
      </c>
      <c r="AG669" t="s">
        <v>1041</v>
      </c>
      <c r="AH669">
        <v>0</v>
      </c>
      <c r="AI669">
        <v>383</v>
      </c>
      <c r="AJ669">
        <v>26</v>
      </c>
      <c r="AK669">
        <v>203</v>
      </c>
      <c r="AL669">
        <v>0.44</v>
      </c>
    </row>
    <row r="670" spans="1:38" x14ac:dyDescent="0.3">
      <c r="A670" t="s">
        <v>982</v>
      </c>
      <c r="B670">
        <v>2751</v>
      </c>
      <c r="C670">
        <v>2</v>
      </c>
      <c r="D670" t="s">
        <v>1038</v>
      </c>
      <c r="E670" t="s">
        <v>781</v>
      </c>
      <c r="F670">
        <v>459</v>
      </c>
      <c r="G670">
        <v>31.12</v>
      </c>
      <c r="H670">
        <v>102.89</v>
      </c>
      <c r="I670">
        <v>24.96</v>
      </c>
      <c r="J670">
        <v>82.52</v>
      </c>
      <c r="K670">
        <v>31</v>
      </c>
      <c r="T670">
        <v>3</v>
      </c>
      <c r="U670">
        <v>2</v>
      </c>
      <c r="V670" t="s">
        <v>118</v>
      </c>
      <c r="W670" t="s">
        <v>373</v>
      </c>
      <c r="X670">
        <v>20</v>
      </c>
      <c r="Y670">
        <v>14</v>
      </c>
      <c r="Z670" t="s">
        <v>1039</v>
      </c>
      <c r="AA670" t="s">
        <v>1040</v>
      </c>
      <c r="AB670" t="s">
        <v>96</v>
      </c>
      <c r="AC670" t="s">
        <v>97</v>
      </c>
      <c r="AD670" t="s">
        <v>98</v>
      </c>
      <c r="AE670" t="s">
        <v>987</v>
      </c>
      <c r="AG670" t="s">
        <v>1041</v>
      </c>
      <c r="AH670">
        <v>0</v>
      </c>
      <c r="AI670">
        <v>383</v>
      </c>
      <c r="AJ670">
        <v>26</v>
      </c>
      <c r="AK670">
        <v>203</v>
      </c>
      <c r="AL670">
        <v>0.44</v>
      </c>
    </row>
    <row r="671" spans="1:38" x14ac:dyDescent="0.3">
      <c r="A671" t="s">
        <v>982</v>
      </c>
      <c r="B671">
        <v>2751</v>
      </c>
      <c r="C671">
        <v>3</v>
      </c>
      <c r="D671" t="s">
        <v>1038</v>
      </c>
      <c r="E671" t="s">
        <v>781</v>
      </c>
      <c r="F671">
        <v>459</v>
      </c>
      <c r="G671">
        <v>31.45</v>
      </c>
      <c r="H671">
        <v>103.98</v>
      </c>
      <c r="I671">
        <v>25.22</v>
      </c>
      <c r="J671">
        <v>83.4</v>
      </c>
      <c r="K671">
        <v>371</v>
      </c>
      <c r="T671">
        <v>3</v>
      </c>
      <c r="U671">
        <v>2</v>
      </c>
      <c r="V671" t="s">
        <v>118</v>
      </c>
      <c r="W671" t="s">
        <v>424</v>
      </c>
      <c r="X671">
        <v>20</v>
      </c>
      <c r="Y671">
        <v>14</v>
      </c>
      <c r="Z671" t="s">
        <v>1039</v>
      </c>
      <c r="AA671" t="s">
        <v>1040</v>
      </c>
      <c r="AB671" t="s">
        <v>96</v>
      </c>
      <c r="AC671" t="s">
        <v>97</v>
      </c>
      <c r="AD671" t="s">
        <v>98</v>
      </c>
      <c r="AE671" t="s">
        <v>987</v>
      </c>
      <c r="AG671" t="s">
        <v>1041</v>
      </c>
      <c r="AH671">
        <v>0</v>
      </c>
      <c r="AI671">
        <v>383</v>
      </c>
      <c r="AJ671">
        <v>26</v>
      </c>
      <c r="AK671">
        <v>203</v>
      </c>
      <c r="AL671">
        <v>0.44</v>
      </c>
    </row>
    <row r="672" spans="1:38" x14ac:dyDescent="0.3">
      <c r="A672" t="s">
        <v>982</v>
      </c>
      <c r="B672">
        <v>24672</v>
      </c>
      <c r="C672">
        <v>1</v>
      </c>
      <c r="D672" t="s">
        <v>1042</v>
      </c>
      <c r="E672" t="s">
        <v>1043</v>
      </c>
      <c r="F672">
        <v>807</v>
      </c>
      <c r="G672">
        <v>25.6</v>
      </c>
      <c r="H672">
        <v>84.63</v>
      </c>
      <c r="I672">
        <v>18.11</v>
      </c>
      <c r="J672">
        <v>59.9</v>
      </c>
      <c r="K672">
        <v>166</v>
      </c>
      <c r="T672">
        <v>3</v>
      </c>
      <c r="U672">
        <v>2</v>
      </c>
      <c r="V672" t="s">
        <v>93</v>
      </c>
      <c r="W672">
        <v>84</v>
      </c>
      <c r="X672">
        <v>25</v>
      </c>
      <c r="Y672">
        <v>14</v>
      </c>
      <c r="Z672" t="s">
        <v>1044</v>
      </c>
      <c r="AA672" t="s">
        <v>1045</v>
      </c>
      <c r="AB672" t="s">
        <v>96</v>
      </c>
      <c r="AC672" t="s">
        <v>97</v>
      </c>
      <c r="AD672" t="s">
        <v>98</v>
      </c>
      <c r="AE672" t="s">
        <v>987</v>
      </c>
      <c r="AG672" t="s">
        <v>1046</v>
      </c>
      <c r="AH672">
        <v>0</v>
      </c>
      <c r="AI672">
        <v>244</v>
      </c>
      <c r="AJ672">
        <v>14</v>
      </c>
      <c r="AK672">
        <v>945</v>
      </c>
      <c r="AL672">
        <v>1.17</v>
      </c>
    </row>
    <row r="673" spans="1:38" x14ac:dyDescent="0.3">
      <c r="A673" t="s">
        <v>982</v>
      </c>
      <c r="B673">
        <v>24672</v>
      </c>
      <c r="C673">
        <v>2</v>
      </c>
      <c r="D673" t="s">
        <v>1042</v>
      </c>
      <c r="E673" t="s">
        <v>1043</v>
      </c>
      <c r="F673">
        <v>807</v>
      </c>
      <c r="G673">
        <v>34.61</v>
      </c>
      <c r="H673">
        <v>114.44</v>
      </c>
      <c r="I673">
        <v>25.7</v>
      </c>
      <c r="J673">
        <v>84.96</v>
      </c>
      <c r="K673">
        <v>250</v>
      </c>
      <c r="T673">
        <v>3</v>
      </c>
      <c r="U673">
        <v>2</v>
      </c>
      <c r="V673" t="s">
        <v>93</v>
      </c>
      <c r="W673" t="s">
        <v>112</v>
      </c>
      <c r="X673">
        <v>25</v>
      </c>
      <c r="Y673">
        <v>14</v>
      </c>
      <c r="Z673" t="s">
        <v>1044</v>
      </c>
      <c r="AA673" t="s">
        <v>1045</v>
      </c>
      <c r="AB673" t="s">
        <v>96</v>
      </c>
      <c r="AC673" t="s">
        <v>97</v>
      </c>
      <c r="AD673" t="s">
        <v>98</v>
      </c>
      <c r="AE673" t="s">
        <v>987</v>
      </c>
      <c r="AG673" t="s">
        <v>1046</v>
      </c>
      <c r="AH673">
        <v>0</v>
      </c>
      <c r="AI673">
        <v>244</v>
      </c>
      <c r="AJ673">
        <v>14</v>
      </c>
      <c r="AK673">
        <v>945</v>
      </c>
      <c r="AL673">
        <v>1.17</v>
      </c>
    </row>
    <row r="674" spans="1:38" x14ac:dyDescent="0.3">
      <c r="A674" t="s">
        <v>982</v>
      </c>
      <c r="B674">
        <v>24672</v>
      </c>
      <c r="C674">
        <v>3</v>
      </c>
      <c r="D674" t="s">
        <v>1042</v>
      </c>
      <c r="E674" t="s">
        <v>1043</v>
      </c>
      <c r="F674">
        <v>807</v>
      </c>
      <c r="G674">
        <v>34.81</v>
      </c>
      <c r="H674">
        <v>115.08</v>
      </c>
      <c r="I674">
        <v>25.68</v>
      </c>
      <c r="J674">
        <v>84.92</v>
      </c>
      <c r="K674">
        <v>246</v>
      </c>
      <c r="T674">
        <v>3</v>
      </c>
      <c r="U674">
        <v>2</v>
      </c>
      <c r="V674" t="s">
        <v>93</v>
      </c>
      <c r="W674" t="s">
        <v>173</v>
      </c>
      <c r="X674">
        <v>25</v>
      </c>
      <c r="Y674">
        <v>14</v>
      </c>
      <c r="Z674" t="s">
        <v>1044</v>
      </c>
      <c r="AA674" t="s">
        <v>1045</v>
      </c>
      <c r="AB674" t="s">
        <v>96</v>
      </c>
      <c r="AC674" t="s">
        <v>97</v>
      </c>
      <c r="AD674" t="s">
        <v>98</v>
      </c>
      <c r="AE674" t="s">
        <v>987</v>
      </c>
      <c r="AG674" t="s">
        <v>1046</v>
      </c>
      <c r="AH674">
        <v>0</v>
      </c>
      <c r="AI674">
        <v>244</v>
      </c>
      <c r="AJ674">
        <v>14</v>
      </c>
      <c r="AK674">
        <v>945</v>
      </c>
      <c r="AL674">
        <v>1.17</v>
      </c>
    </row>
    <row r="675" spans="1:38" x14ac:dyDescent="0.3">
      <c r="A675" t="s">
        <v>982</v>
      </c>
      <c r="B675">
        <v>24672</v>
      </c>
      <c r="C675">
        <v>4</v>
      </c>
      <c r="D675" t="s">
        <v>1042</v>
      </c>
      <c r="E675" t="s">
        <v>1043</v>
      </c>
      <c r="F675">
        <v>807</v>
      </c>
      <c r="G675">
        <v>45.55</v>
      </c>
      <c r="H675">
        <v>150.58000000000001</v>
      </c>
      <c r="I675">
        <v>35.33</v>
      </c>
      <c r="J675">
        <v>116.81</v>
      </c>
      <c r="K675">
        <v>70</v>
      </c>
      <c r="T675">
        <v>4</v>
      </c>
      <c r="U675">
        <v>2</v>
      </c>
      <c r="V675" t="s">
        <v>93</v>
      </c>
      <c r="W675" t="s">
        <v>1047</v>
      </c>
      <c r="X675">
        <v>25</v>
      </c>
      <c r="Y675">
        <v>14</v>
      </c>
      <c r="Z675" t="s">
        <v>1044</v>
      </c>
      <c r="AA675" t="s">
        <v>1045</v>
      </c>
      <c r="AB675" t="s">
        <v>96</v>
      </c>
      <c r="AC675" t="s">
        <v>97</v>
      </c>
      <c r="AD675" t="s">
        <v>98</v>
      </c>
      <c r="AE675" t="s">
        <v>987</v>
      </c>
      <c r="AG675" t="s">
        <v>1046</v>
      </c>
      <c r="AH675">
        <v>0</v>
      </c>
      <c r="AI675">
        <v>244</v>
      </c>
      <c r="AJ675">
        <v>14</v>
      </c>
      <c r="AK675">
        <v>945</v>
      </c>
      <c r="AL675">
        <v>1.17</v>
      </c>
    </row>
    <row r="676" spans="1:38" x14ac:dyDescent="0.3">
      <c r="A676" t="s">
        <v>982</v>
      </c>
      <c r="B676">
        <v>24672</v>
      </c>
      <c r="C676">
        <v>5</v>
      </c>
      <c r="D676" t="s">
        <v>1042</v>
      </c>
      <c r="E676" t="s">
        <v>1043</v>
      </c>
      <c r="F676">
        <v>807</v>
      </c>
      <c r="G676">
        <v>45.92</v>
      </c>
      <c r="H676">
        <v>151.81</v>
      </c>
      <c r="I676">
        <v>35.909999999999997</v>
      </c>
      <c r="J676">
        <v>118.73</v>
      </c>
      <c r="K676">
        <v>75</v>
      </c>
      <c r="T676">
        <v>4</v>
      </c>
      <c r="U676">
        <v>2</v>
      </c>
      <c r="V676" t="s">
        <v>93</v>
      </c>
      <c r="W676" t="s">
        <v>1048</v>
      </c>
      <c r="X676">
        <v>25</v>
      </c>
      <c r="Y676">
        <v>14</v>
      </c>
      <c r="Z676" t="s">
        <v>1044</v>
      </c>
      <c r="AA676" t="s">
        <v>1045</v>
      </c>
      <c r="AB676" t="s">
        <v>96</v>
      </c>
      <c r="AC676" t="s">
        <v>97</v>
      </c>
      <c r="AD676" t="s">
        <v>98</v>
      </c>
      <c r="AE676" t="s">
        <v>987</v>
      </c>
      <c r="AG676" t="s">
        <v>1046</v>
      </c>
      <c r="AH676">
        <v>0</v>
      </c>
      <c r="AI676">
        <v>244</v>
      </c>
      <c r="AJ676">
        <v>14</v>
      </c>
      <c r="AK676">
        <v>945</v>
      </c>
      <c r="AL676">
        <v>1.17</v>
      </c>
    </row>
    <row r="677" spans="1:38" x14ac:dyDescent="0.3">
      <c r="A677" t="s">
        <v>982</v>
      </c>
      <c r="B677">
        <v>107386</v>
      </c>
      <c r="C677">
        <v>1</v>
      </c>
      <c r="D677" t="s">
        <v>276</v>
      </c>
      <c r="E677" t="s">
        <v>369</v>
      </c>
      <c r="F677">
        <v>16</v>
      </c>
      <c r="G677">
        <v>28.53</v>
      </c>
      <c r="H677">
        <v>94.33</v>
      </c>
      <c r="I677">
        <v>25.59</v>
      </c>
      <c r="J677">
        <v>84.61</v>
      </c>
      <c r="K677">
        <v>8</v>
      </c>
      <c r="T677">
        <v>3</v>
      </c>
      <c r="U677">
        <v>2</v>
      </c>
      <c r="V677" t="s">
        <v>118</v>
      </c>
      <c r="W677">
        <v>94</v>
      </c>
      <c r="X677">
        <v>10</v>
      </c>
      <c r="Y677">
        <v>10</v>
      </c>
      <c r="Z677" t="s">
        <v>1049</v>
      </c>
      <c r="AA677" t="s">
        <v>1050</v>
      </c>
      <c r="AB677" t="s">
        <v>96</v>
      </c>
      <c r="AC677" t="s">
        <v>97</v>
      </c>
      <c r="AD677" t="s">
        <v>98</v>
      </c>
      <c r="AE677" t="s">
        <v>987</v>
      </c>
      <c r="AG677" t="s">
        <v>1051</v>
      </c>
      <c r="AH677">
        <v>0</v>
      </c>
      <c r="AI677">
        <v>340</v>
      </c>
      <c r="AJ677">
        <v>45</v>
      </c>
      <c r="AK677">
        <v>16</v>
      </c>
      <c r="AL677">
        <v>1</v>
      </c>
    </row>
    <row r="678" spans="1:38" x14ac:dyDescent="0.3">
      <c r="A678" t="s">
        <v>982</v>
      </c>
      <c r="B678">
        <v>107386</v>
      </c>
      <c r="C678">
        <v>2</v>
      </c>
      <c r="D678" t="s">
        <v>276</v>
      </c>
      <c r="E678" t="s">
        <v>369</v>
      </c>
      <c r="F678">
        <v>16</v>
      </c>
      <c r="G678">
        <v>28.48</v>
      </c>
      <c r="H678">
        <v>94.17</v>
      </c>
      <c r="I678">
        <v>25.54</v>
      </c>
      <c r="J678">
        <v>84.46</v>
      </c>
      <c r="K678">
        <v>8</v>
      </c>
      <c r="T678">
        <v>3</v>
      </c>
      <c r="U678">
        <v>2</v>
      </c>
      <c r="V678" t="s">
        <v>118</v>
      </c>
      <c r="W678">
        <v>94</v>
      </c>
      <c r="X678">
        <v>10</v>
      </c>
      <c r="Y678">
        <v>10</v>
      </c>
      <c r="Z678" t="s">
        <v>1049</v>
      </c>
      <c r="AA678" t="s">
        <v>1050</v>
      </c>
      <c r="AB678" t="s">
        <v>96</v>
      </c>
      <c r="AC678" t="s">
        <v>97</v>
      </c>
      <c r="AD678" t="s">
        <v>98</v>
      </c>
      <c r="AE678" t="s">
        <v>987</v>
      </c>
      <c r="AG678" t="s">
        <v>1051</v>
      </c>
      <c r="AH678">
        <v>0</v>
      </c>
      <c r="AI678">
        <v>340</v>
      </c>
      <c r="AJ678">
        <v>45</v>
      </c>
      <c r="AK678">
        <v>16</v>
      </c>
      <c r="AL678">
        <v>1</v>
      </c>
    </row>
    <row r="679" spans="1:38" x14ac:dyDescent="0.3">
      <c r="A679" t="s">
        <v>982</v>
      </c>
      <c r="B679">
        <v>24738</v>
      </c>
      <c r="C679">
        <v>1</v>
      </c>
      <c r="D679" t="s">
        <v>1052</v>
      </c>
      <c r="E679" t="s">
        <v>1053</v>
      </c>
      <c r="F679">
        <v>516</v>
      </c>
      <c r="G679">
        <v>36.57</v>
      </c>
      <c r="H679">
        <v>120.9</v>
      </c>
      <c r="I679">
        <v>30.21</v>
      </c>
      <c r="J679">
        <v>99.88</v>
      </c>
      <c r="K679">
        <v>236</v>
      </c>
      <c r="T679">
        <v>4</v>
      </c>
      <c r="U679">
        <v>2</v>
      </c>
      <c r="V679" t="s">
        <v>93</v>
      </c>
      <c r="W679">
        <v>120</v>
      </c>
      <c r="X679">
        <v>20</v>
      </c>
      <c r="Y679">
        <v>19</v>
      </c>
      <c r="Z679" t="s">
        <v>1054</v>
      </c>
      <c r="AA679" t="s">
        <v>1055</v>
      </c>
      <c r="AB679" t="s">
        <v>96</v>
      </c>
      <c r="AC679" t="s">
        <v>97</v>
      </c>
      <c r="AD679" t="s">
        <v>98</v>
      </c>
      <c r="AE679" t="s">
        <v>987</v>
      </c>
      <c r="AG679" t="s">
        <v>1056</v>
      </c>
      <c r="AH679">
        <v>0</v>
      </c>
      <c r="AI679">
        <v>245</v>
      </c>
      <c r="AJ679">
        <v>18</v>
      </c>
      <c r="AK679">
        <v>866</v>
      </c>
      <c r="AL679">
        <v>1.68</v>
      </c>
    </row>
    <row r="680" spans="1:38" x14ac:dyDescent="0.3">
      <c r="A680" t="s">
        <v>982</v>
      </c>
      <c r="B680">
        <v>24738</v>
      </c>
      <c r="C680">
        <v>2</v>
      </c>
      <c r="D680" t="s">
        <v>1052</v>
      </c>
      <c r="E680" t="s">
        <v>1053</v>
      </c>
      <c r="F680">
        <v>516</v>
      </c>
      <c r="G680">
        <v>42.75</v>
      </c>
      <c r="H680">
        <v>141.34</v>
      </c>
      <c r="I680">
        <v>35.32</v>
      </c>
      <c r="J680">
        <v>116.77</v>
      </c>
      <c r="K680">
        <v>160</v>
      </c>
      <c r="T680">
        <v>4</v>
      </c>
      <c r="U680">
        <v>2</v>
      </c>
      <c r="V680" t="s">
        <v>93</v>
      </c>
      <c r="W680">
        <v>141</v>
      </c>
      <c r="X680">
        <v>20</v>
      </c>
      <c r="Y680">
        <v>19</v>
      </c>
      <c r="Z680" t="s">
        <v>1054</v>
      </c>
      <c r="AA680" t="s">
        <v>1055</v>
      </c>
      <c r="AB680" t="s">
        <v>96</v>
      </c>
      <c r="AC680" t="s">
        <v>97</v>
      </c>
      <c r="AD680" t="s">
        <v>98</v>
      </c>
      <c r="AE680" t="s">
        <v>987</v>
      </c>
      <c r="AG680" t="s">
        <v>1056</v>
      </c>
      <c r="AH680">
        <v>0</v>
      </c>
      <c r="AI680">
        <v>245</v>
      </c>
      <c r="AJ680">
        <v>18</v>
      </c>
      <c r="AK680">
        <v>866</v>
      </c>
      <c r="AL680">
        <v>1.68</v>
      </c>
    </row>
    <row r="681" spans="1:38" x14ac:dyDescent="0.3">
      <c r="A681" t="s">
        <v>982</v>
      </c>
      <c r="B681">
        <v>24738</v>
      </c>
      <c r="C681">
        <v>3</v>
      </c>
      <c r="D681" t="s">
        <v>1052</v>
      </c>
      <c r="E681" t="s">
        <v>1053</v>
      </c>
      <c r="F681">
        <v>516</v>
      </c>
      <c r="G681">
        <v>49.42</v>
      </c>
      <c r="H681">
        <v>163.38999999999999</v>
      </c>
      <c r="I681">
        <v>40.83</v>
      </c>
      <c r="J681">
        <v>134.97999999999999</v>
      </c>
      <c r="K681">
        <v>120</v>
      </c>
      <c r="T681">
        <v>4</v>
      </c>
      <c r="U681">
        <v>2</v>
      </c>
      <c r="V681" t="s">
        <v>93</v>
      </c>
      <c r="W681">
        <v>163</v>
      </c>
      <c r="X681">
        <v>20</v>
      </c>
      <c r="Y681">
        <v>19</v>
      </c>
      <c r="Z681" t="s">
        <v>1054</v>
      </c>
      <c r="AA681" t="s">
        <v>1055</v>
      </c>
      <c r="AB681" t="s">
        <v>96</v>
      </c>
      <c r="AC681" t="s">
        <v>97</v>
      </c>
      <c r="AD681" t="s">
        <v>98</v>
      </c>
      <c r="AE681" t="s">
        <v>987</v>
      </c>
      <c r="AG681" t="s">
        <v>1056</v>
      </c>
      <c r="AH681">
        <v>0</v>
      </c>
      <c r="AI681">
        <v>245</v>
      </c>
      <c r="AJ681">
        <v>18</v>
      </c>
      <c r="AK681">
        <v>866</v>
      </c>
      <c r="AL681">
        <v>1.68</v>
      </c>
    </row>
    <row r="682" spans="1:38" x14ac:dyDescent="0.3">
      <c r="A682" t="s">
        <v>982</v>
      </c>
      <c r="B682">
        <v>2728</v>
      </c>
      <c r="C682">
        <v>1</v>
      </c>
      <c r="D682" t="s">
        <v>1057</v>
      </c>
      <c r="E682" t="s">
        <v>994</v>
      </c>
      <c r="F682">
        <v>1314</v>
      </c>
      <c r="G682">
        <v>22.34</v>
      </c>
      <c r="H682">
        <v>73.88</v>
      </c>
      <c r="I682">
        <v>15.12</v>
      </c>
      <c r="J682">
        <v>49.99</v>
      </c>
      <c r="K682">
        <v>238</v>
      </c>
      <c r="T682">
        <v>2</v>
      </c>
      <c r="U682">
        <v>1</v>
      </c>
      <c r="V682" t="s">
        <v>93</v>
      </c>
      <c r="W682">
        <v>73</v>
      </c>
      <c r="X682">
        <v>20</v>
      </c>
      <c r="Y682">
        <v>15</v>
      </c>
      <c r="Z682" t="s">
        <v>1058</v>
      </c>
      <c r="AA682" t="s">
        <v>996</v>
      </c>
      <c r="AB682" t="s">
        <v>96</v>
      </c>
      <c r="AC682" t="s">
        <v>97</v>
      </c>
      <c r="AD682" t="s">
        <v>98</v>
      </c>
      <c r="AE682" t="s">
        <v>987</v>
      </c>
      <c r="AG682" t="s">
        <v>997</v>
      </c>
      <c r="AH682">
        <v>0</v>
      </c>
      <c r="AI682">
        <v>219</v>
      </c>
      <c r="AJ682">
        <v>16</v>
      </c>
      <c r="AK682">
        <v>1369</v>
      </c>
      <c r="AL682">
        <v>1.04</v>
      </c>
    </row>
    <row r="683" spans="1:38" x14ac:dyDescent="0.3">
      <c r="A683" t="s">
        <v>982</v>
      </c>
      <c r="B683">
        <v>2728</v>
      </c>
      <c r="C683">
        <v>2</v>
      </c>
      <c r="D683" t="s">
        <v>1057</v>
      </c>
      <c r="E683" t="s">
        <v>994</v>
      </c>
      <c r="F683">
        <v>1314</v>
      </c>
      <c r="G683">
        <v>24.38</v>
      </c>
      <c r="H683">
        <v>80.62</v>
      </c>
      <c r="I683">
        <v>18.010000000000002</v>
      </c>
      <c r="J683">
        <v>59.57</v>
      </c>
      <c r="K683">
        <v>129</v>
      </c>
      <c r="T683">
        <v>3</v>
      </c>
      <c r="U683">
        <v>1</v>
      </c>
      <c r="V683" t="s">
        <v>93</v>
      </c>
      <c r="W683" t="s">
        <v>243</v>
      </c>
      <c r="X683">
        <v>20</v>
      </c>
      <c r="Y683">
        <v>15</v>
      </c>
      <c r="Z683" t="s">
        <v>1058</v>
      </c>
      <c r="AA683" t="s">
        <v>996</v>
      </c>
      <c r="AB683" t="s">
        <v>96</v>
      </c>
      <c r="AC683" t="s">
        <v>97</v>
      </c>
      <c r="AD683" t="s">
        <v>98</v>
      </c>
      <c r="AE683" t="s">
        <v>987</v>
      </c>
      <c r="AG683" t="s">
        <v>997</v>
      </c>
      <c r="AH683">
        <v>0</v>
      </c>
      <c r="AI683">
        <v>219</v>
      </c>
      <c r="AJ683">
        <v>16</v>
      </c>
      <c r="AK683">
        <v>1369</v>
      </c>
      <c r="AL683">
        <v>1.04</v>
      </c>
    </row>
    <row r="684" spans="1:38" x14ac:dyDescent="0.3">
      <c r="A684" t="s">
        <v>982</v>
      </c>
      <c r="B684">
        <v>2728</v>
      </c>
      <c r="C684">
        <v>3</v>
      </c>
      <c r="D684" t="s">
        <v>1057</v>
      </c>
      <c r="E684" t="s">
        <v>994</v>
      </c>
      <c r="F684">
        <v>1314</v>
      </c>
      <c r="G684">
        <v>24.55</v>
      </c>
      <c r="H684">
        <v>81.180000000000007</v>
      </c>
      <c r="I684">
        <v>18.14</v>
      </c>
      <c r="J684">
        <v>59.98</v>
      </c>
      <c r="K684">
        <v>947</v>
      </c>
      <c r="T684">
        <v>3</v>
      </c>
      <c r="U684">
        <v>1</v>
      </c>
      <c r="V684" t="s">
        <v>93</v>
      </c>
      <c r="W684" t="s">
        <v>103</v>
      </c>
      <c r="X684">
        <v>20</v>
      </c>
      <c r="Y684">
        <v>15</v>
      </c>
      <c r="Z684" t="s">
        <v>1058</v>
      </c>
      <c r="AA684" t="s">
        <v>996</v>
      </c>
      <c r="AB684" t="s">
        <v>96</v>
      </c>
      <c r="AC684" t="s">
        <v>97</v>
      </c>
      <c r="AD684" t="s">
        <v>98</v>
      </c>
      <c r="AE684" t="s">
        <v>987</v>
      </c>
      <c r="AG684" t="s">
        <v>997</v>
      </c>
      <c r="AH684">
        <v>0</v>
      </c>
      <c r="AI684">
        <v>219</v>
      </c>
      <c r="AJ684">
        <v>16</v>
      </c>
      <c r="AK684">
        <v>1369</v>
      </c>
      <c r="AL684">
        <v>1.04</v>
      </c>
    </row>
    <row r="685" spans="1:38" x14ac:dyDescent="0.3">
      <c r="A685" t="s">
        <v>982</v>
      </c>
      <c r="B685">
        <v>3639</v>
      </c>
      <c r="C685">
        <v>1</v>
      </c>
      <c r="D685" t="s">
        <v>1059</v>
      </c>
      <c r="E685" t="s">
        <v>1060</v>
      </c>
      <c r="F685">
        <v>312</v>
      </c>
      <c r="G685">
        <v>34.909999999999997</v>
      </c>
      <c r="H685">
        <v>115.43</v>
      </c>
      <c r="I685">
        <v>25.7</v>
      </c>
      <c r="J685">
        <v>84.96</v>
      </c>
      <c r="K685">
        <v>312</v>
      </c>
      <c r="T685">
        <v>3</v>
      </c>
      <c r="U685">
        <v>2</v>
      </c>
      <c r="V685" t="s">
        <v>93</v>
      </c>
      <c r="W685">
        <v>115</v>
      </c>
      <c r="X685">
        <v>25</v>
      </c>
      <c r="Y685">
        <v>16</v>
      </c>
      <c r="Z685" t="s">
        <v>1061</v>
      </c>
      <c r="AA685" t="s">
        <v>1062</v>
      </c>
      <c r="AB685" t="s">
        <v>96</v>
      </c>
      <c r="AC685" t="s">
        <v>97</v>
      </c>
      <c r="AD685" t="s">
        <v>98</v>
      </c>
      <c r="AE685" t="s">
        <v>987</v>
      </c>
      <c r="AG685" t="s">
        <v>1063</v>
      </c>
      <c r="AH685">
        <v>0</v>
      </c>
      <c r="AI685">
        <v>219</v>
      </c>
      <c r="AJ685">
        <v>13</v>
      </c>
      <c r="AK685">
        <v>405</v>
      </c>
      <c r="AL685">
        <v>1.3</v>
      </c>
    </row>
    <row r="686" spans="1:38" x14ac:dyDescent="0.3">
      <c r="A686" t="s">
        <v>982</v>
      </c>
      <c r="B686">
        <v>9278</v>
      </c>
      <c r="C686">
        <v>1</v>
      </c>
      <c r="D686" t="s">
        <v>1064</v>
      </c>
      <c r="E686" t="s">
        <v>1053</v>
      </c>
      <c r="F686">
        <v>39</v>
      </c>
      <c r="G686">
        <v>20.61</v>
      </c>
      <c r="H686">
        <v>68.150000000000006</v>
      </c>
      <c r="I686">
        <v>14.81</v>
      </c>
      <c r="J686">
        <v>48.96</v>
      </c>
      <c r="K686">
        <v>1</v>
      </c>
      <c r="T686">
        <v>2</v>
      </c>
      <c r="U686">
        <v>1</v>
      </c>
      <c r="V686" t="s">
        <v>118</v>
      </c>
      <c r="W686">
        <v>68</v>
      </c>
      <c r="X686">
        <v>8</v>
      </c>
      <c r="Y686">
        <v>7</v>
      </c>
      <c r="Z686" t="s">
        <v>1065</v>
      </c>
      <c r="AA686" t="s">
        <v>1066</v>
      </c>
      <c r="AB686" t="s">
        <v>96</v>
      </c>
      <c r="AC686" t="s">
        <v>97</v>
      </c>
      <c r="AD686" t="s">
        <v>98</v>
      </c>
      <c r="AE686" t="s">
        <v>987</v>
      </c>
      <c r="AG686" t="s">
        <v>1067</v>
      </c>
      <c r="AH686">
        <v>0</v>
      </c>
      <c r="AI686">
        <v>301</v>
      </c>
      <c r="AJ686">
        <v>59</v>
      </c>
      <c r="AK686">
        <v>53</v>
      </c>
      <c r="AL686">
        <v>1.36</v>
      </c>
    </row>
    <row r="687" spans="1:38" x14ac:dyDescent="0.3">
      <c r="A687" t="s">
        <v>982</v>
      </c>
      <c r="B687">
        <v>9278</v>
      </c>
      <c r="C687">
        <v>2</v>
      </c>
      <c r="D687" t="s">
        <v>1064</v>
      </c>
      <c r="E687" t="s">
        <v>1053</v>
      </c>
      <c r="F687">
        <v>39</v>
      </c>
      <c r="G687">
        <v>23.64</v>
      </c>
      <c r="H687">
        <v>78.17</v>
      </c>
      <c r="I687">
        <v>16.989999999999998</v>
      </c>
      <c r="J687">
        <v>56.17</v>
      </c>
      <c r="K687">
        <v>4</v>
      </c>
      <c r="T687">
        <v>2</v>
      </c>
      <c r="U687">
        <v>1</v>
      </c>
      <c r="V687" t="s">
        <v>118</v>
      </c>
      <c r="W687">
        <v>78</v>
      </c>
      <c r="X687">
        <v>8</v>
      </c>
      <c r="Y687">
        <v>7</v>
      </c>
      <c r="Z687" t="s">
        <v>1065</v>
      </c>
      <c r="AA687" t="s">
        <v>1066</v>
      </c>
      <c r="AB687" t="s">
        <v>96</v>
      </c>
      <c r="AC687" t="s">
        <v>97</v>
      </c>
      <c r="AD687" t="s">
        <v>98</v>
      </c>
      <c r="AE687" t="s">
        <v>987</v>
      </c>
      <c r="AG687" t="s">
        <v>1067</v>
      </c>
      <c r="AH687">
        <v>0</v>
      </c>
      <c r="AI687">
        <v>301</v>
      </c>
      <c r="AJ687">
        <v>59</v>
      </c>
      <c r="AK687">
        <v>53</v>
      </c>
      <c r="AL687">
        <v>1.36</v>
      </c>
    </row>
    <row r="688" spans="1:38" x14ac:dyDescent="0.3">
      <c r="A688" t="s">
        <v>982</v>
      </c>
      <c r="B688">
        <v>9278</v>
      </c>
      <c r="C688">
        <v>3</v>
      </c>
      <c r="D688" t="s">
        <v>1064</v>
      </c>
      <c r="E688" t="s">
        <v>1053</v>
      </c>
      <c r="F688">
        <v>39</v>
      </c>
      <c r="G688">
        <v>25.65</v>
      </c>
      <c r="H688">
        <v>84.8</v>
      </c>
      <c r="I688">
        <v>18.43</v>
      </c>
      <c r="J688">
        <v>60.93</v>
      </c>
      <c r="K688">
        <v>6</v>
      </c>
      <c r="T688">
        <v>3</v>
      </c>
      <c r="U688">
        <v>1</v>
      </c>
      <c r="V688" t="s">
        <v>118</v>
      </c>
      <c r="W688">
        <v>84</v>
      </c>
      <c r="X688">
        <v>8</v>
      </c>
      <c r="Y688">
        <v>7</v>
      </c>
      <c r="Z688" t="s">
        <v>1065</v>
      </c>
      <c r="AA688" t="s">
        <v>1066</v>
      </c>
      <c r="AB688" t="s">
        <v>96</v>
      </c>
      <c r="AC688" t="s">
        <v>97</v>
      </c>
      <c r="AD688" t="s">
        <v>98</v>
      </c>
      <c r="AE688" t="s">
        <v>987</v>
      </c>
      <c r="AG688" t="s">
        <v>1067</v>
      </c>
      <c r="AH688">
        <v>0</v>
      </c>
      <c r="AI688">
        <v>301</v>
      </c>
      <c r="AJ688">
        <v>59</v>
      </c>
      <c r="AK688">
        <v>53</v>
      </c>
      <c r="AL688">
        <v>1.36</v>
      </c>
    </row>
    <row r="689" spans="1:38" x14ac:dyDescent="0.3">
      <c r="A689" t="s">
        <v>982</v>
      </c>
      <c r="B689">
        <v>9278</v>
      </c>
      <c r="C689">
        <v>4</v>
      </c>
      <c r="D689" t="s">
        <v>1064</v>
      </c>
      <c r="E689" t="s">
        <v>1053</v>
      </c>
      <c r="F689">
        <v>39</v>
      </c>
      <c r="G689">
        <v>28.93</v>
      </c>
      <c r="H689">
        <v>95.65</v>
      </c>
      <c r="I689">
        <v>20.79</v>
      </c>
      <c r="J689">
        <v>68.75</v>
      </c>
      <c r="K689">
        <v>28</v>
      </c>
      <c r="T689">
        <v>3</v>
      </c>
      <c r="U689">
        <v>1</v>
      </c>
      <c r="V689" t="s">
        <v>118</v>
      </c>
      <c r="W689">
        <v>95</v>
      </c>
      <c r="X689">
        <v>8</v>
      </c>
      <c r="Y689">
        <v>7</v>
      </c>
      <c r="Z689" t="s">
        <v>1065</v>
      </c>
      <c r="AA689" t="s">
        <v>1066</v>
      </c>
      <c r="AB689" t="s">
        <v>96</v>
      </c>
      <c r="AC689" t="s">
        <v>97</v>
      </c>
      <c r="AD689" t="s">
        <v>98</v>
      </c>
      <c r="AE689" t="s">
        <v>987</v>
      </c>
      <c r="AG689" t="s">
        <v>1067</v>
      </c>
      <c r="AH689">
        <v>0</v>
      </c>
      <c r="AI689">
        <v>301</v>
      </c>
      <c r="AJ689">
        <v>59</v>
      </c>
      <c r="AK689">
        <v>53</v>
      </c>
      <c r="AL689">
        <v>1.36</v>
      </c>
    </row>
    <row r="690" spans="1:38" x14ac:dyDescent="0.3">
      <c r="A690" t="s">
        <v>982</v>
      </c>
      <c r="B690">
        <v>108025</v>
      </c>
      <c r="C690">
        <v>1</v>
      </c>
      <c r="D690" t="s">
        <v>1068</v>
      </c>
      <c r="E690" t="s">
        <v>1069</v>
      </c>
      <c r="F690">
        <v>198</v>
      </c>
      <c r="G690">
        <v>28.56</v>
      </c>
      <c r="H690">
        <v>94.43</v>
      </c>
      <c r="I690">
        <v>21.02</v>
      </c>
      <c r="J690">
        <v>69.510000000000005</v>
      </c>
      <c r="K690">
        <v>54</v>
      </c>
      <c r="T690">
        <v>3</v>
      </c>
      <c r="U690">
        <v>2</v>
      </c>
      <c r="V690" t="s">
        <v>93</v>
      </c>
      <c r="W690" t="s">
        <v>534</v>
      </c>
      <c r="X690">
        <v>19</v>
      </c>
      <c r="Y690">
        <v>13</v>
      </c>
      <c r="Z690" t="s">
        <v>1070</v>
      </c>
      <c r="AA690" t="s">
        <v>1071</v>
      </c>
      <c r="AB690" t="s">
        <v>96</v>
      </c>
      <c r="AC690" t="s">
        <v>97</v>
      </c>
      <c r="AD690" t="s">
        <v>98</v>
      </c>
      <c r="AE690" t="s">
        <v>987</v>
      </c>
      <c r="AG690" t="s">
        <v>1072</v>
      </c>
      <c r="AH690">
        <v>0</v>
      </c>
      <c r="AI690">
        <v>220</v>
      </c>
      <c r="AJ690">
        <v>18</v>
      </c>
      <c r="AK690">
        <v>211</v>
      </c>
      <c r="AL690">
        <v>1.07</v>
      </c>
    </row>
    <row r="691" spans="1:38" x14ac:dyDescent="0.3">
      <c r="A691" t="s">
        <v>982</v>
      </c>
      <c r="B691">
        <v>108025</v>
      </c>
      <c r="C691">
        <v>2</v>
      </c>
      <c r="D691" t="s">
        <v>1068</v>
      </c>
      <c r="E691" t="s">
        <v>1069</v>
      </c>
      <c r="F691">
        <v>198</v>
      </c>
      <c r="G691">
        <v>33.090000000000003</v>
      </c>
      <c r="H691">
        <v>109.41</v>
      </c>
      <c r="I691">
        <v>25.7</v>
      </c>
      <c r="J691">
        <v>84.98</v>
      </c>
      <c r="K691">
        <v>72</v>
      </c>
      <c r="T691">
        <v>3</v>
      </c>
      <c r="U691">
        <v>2</v>
      </c>
      <c r="V691" t="s">
        <v>93</v>
      </c>
      <c r="W691" t="s">
        <v>1073</v>
      </c>
      <c r="X691">
        <v>19</v>
      </c>
      <c r="Y691">
        <v>13</v>
      </c>
      <c r="Z691" t="s">
        <v>1070</v>
      </c>
      <c r="AA691" t="s">
        <v>1071</v>
      </c>
      <c r="AB691" t="s">
        <v>96</v>
      </c>
      <c r="AC691" t="s">
        <v>97</v>
      </c>
      <c r="AD691" t="s">
        <v>98</v>
      </c>
      <c r="AE691" t="s">
        <v>987</v>
      </c>
      <c r="AG691" t="s">
        <v>1072</v>
      </c>
      <c r="AH691">
        <v>0</v>
      </c>
      <c r="AI691">
        <v>220</v>
      </c>
      <c r="AJ691">
        <v>18</v>
      </c>
      <c r="AK691">
        <v>211</v>
      </c>
      <c r="AL691">
        <v>1.07</v>
      </c>
    </row>
    <row r="692" spans="1:38" x14ac:dyDescent="0.3">
      <c r="A692" t="s">
        <v>982</v>
      </c>
      <c r="B692">
        <v>108025</v>
      </c>
      <c r="C692">
        <v>3</v>
      </c>
      <c r="D692" t="s">
        <v>1068</v>
      </c>
      <c r="E692" t="s">
        <v>1069</v>
      </c>
      <c r="F692">
        <v>198</v>
      </c>
      <c r="G692">
        <v>33.11</v>
      </c>
      <c r="H692">
        <v>109.46</v>
      </c>
      <c r="I692">
        <v>25.7</v>
      </c>
      <c r="J692">
        <v>84.98</v>
      </c>
      <c r="K692">
        <v>46</v>
      </c>
      <c r="T692">
        <v>3</v>
      </c>
      <c r="U692">
        <v>2</v>
      </c>
      <c r="V692" t="s">
        <v>93</v>
      </c>
      <c r="W692" t="s">
        <v>924</v>
      </c>
      <c r="X692">
        <v>19</v>
      </c>
      <c r="Y692">
        <v>13</v>
      </c>
      <c r="Z692" t="s">
        <v>1070</v>
      </c>
      <c r="AA692" t="s">
        <v>1071</v>
      </c>
      <c r="AB692" t="s">
        <v>96</v>
      </c>
      <c r="AC692" t="s">
        <v>97</v>
      </c>
      <c r="AD692" t="s">
        <v>98</v>
      </c>
      <c r="AE692" t="s">
        <v>987</v>
      </c>
      <c r="AG692" t="s">
        <v>1072</v>
      </c>
      <c r="AH692">
        <v>0</v>
      </c>
      <c r="AI692">
        <v>220</v>
      </c>
      <c r="AJ692">
        <v>18</v>
      </c>
      <c r="AK692">
        <v>211</v>
      </c>
      <c r="AL692">
        <v>1.07</v>
      </c>
    </row>
    <row r="693" spans="1:38" x14ac:dyDescent="0.3">
      <c r="A693" t="s">
        <v>982</v>
      </c>
      <c r="B693">
        <v>108025</v>
      </c>
      <c r="C693">
        <v>4</v>
      </c>
      <c r="D693" t="s">
        <v>1068</v>
      </c>
      <c r="E693" t="s">
        <v>1069</v>
      </c>
      <c r="F693">
        <v>198</v>
      </c>
      <c r="G693">
        <v>33.17</v>
      </c>
      <c r="H693">
        <v>109.66</v>
      </c>
      <c r="I693">
        <v>25.7</v>
      </c>
      <c r="J693">
        <v>84.98</v>
      </c>
      <c r="K693">
        <v>14</v>
      </c>
      <c r="T693">
        <v>3</v>
      </c>
      <c r="U693">
        <v>2</v>
      </c>
      <c r="V693" t="s">
        <v>93</v>
      </c>
      <c r="W693" t="s">
        <v>171</v>
      </c>
      <c r="X693">
        <v>19</v>
      </c>
      <c r="Y693">
        <v>13</v>
      </c>
      <c r="Z693" t="s">
        <v>1070</v>
      </c>
      <c r="AA693" t="s">
        <v>1071</v>
      </c>
      <c r="AB693" t="s">
        <v>96</v>
      </c>
      <c r="AC693" t="s">
        <v>97</v>
      </c>
      <c r="AD693" t="s">
        <v>98</v>
      </c>
      <c r="AE693" t="s">
        <v>987</v>
      </c>
      <c r="AG693" t="s">
        <v>1072</v>
      </c>
      <c r="AH693">
        <v>0</v>
      </c>
      <c r="AI693">
        <v>220</v>
      </c>
      <c r="AJ693">
        <v>18</v>
      </c>
      <c r="AK693">
        <v>211</v>
      </c>
      <c r="AL693">
        <v>1.07</v>
      </c>
    </row>
    <row r="694" spans="1:38" x14ac:dyDescent="0.3">
      <c r="A694" t="s">
        <v>982</v>
      </c>
      <c r="B694">
        <v>108025</v>
      </c>
      <c r="C694">
        <v>5</v>
      </c>
      <c r="D694" t="s">
        <v>1068</v>
      </c>
      <c r="E694" t="s">
        <v>1069</v>
      </c>
      <c r="F694">
        <v>198</v>
      </c>
      <c r="G694">
        <v>33.159999999999997</v>
      </c>
      <c r="H694">
        <v>109.62</v>
      </c>
      <c r="I694">
        <v>25.7</v>
      </c>
      <c r="J694">
        <v>84.98</v>
      </c>
      <c r="K694">
        <v>12</v>
      </c>
      <c r="T694">
        <v>3</v>
      </c>
      <c r="U694">
        <v>2</v>
      </c>
      <c r="V694" t="s">
        <v>93</v>
      </c>
      <c r="W694" t="s">
        <v>1074</v>
      </c>
      <c r="X694">
        <v>19</v>
      </c>
      <c r="Y694">
        <v>13</v>
      </c>
      <c r="Z694" t="s">
        <v>1070</v>
      </c>
      <c r="AA694" t="s">
        <v>1071</v>
      </c>
      <c r="AB694" t="s">
        <v>96</v>
      </c>
      <c r="AC694" t="s">
        <v>97</v>
      </c>
      <c r="AD694" t="s">
        <v>98</v>
      </c>
      <c r="AE694" t="s">
        <v>987</v>
      </c>
      <c r="AG694" t="s">
        <v>1072</v>
      </c>
      <c r="AH694">
        <v>0</v>
      </c>
      <c r="AI694">
        <v>220</v>
      </c>
      <c r="AJ694">
        <v>18</v>
      </c>
      <c r="AK694">
        <v>211</v>
      </c>
      <c r="AL694">
        <v>1.07</v>
      </c>
    </row>
    <row r="695" spans="1:38" x14ac:dyDescent="0.3">
      <c r="A695" t="s">
        <v>982</v>
      </c>
      <c r="B695">
        <v>2727</v>
      </c>
      <c r="C695">
        <v>1</v>
      </c>
      <c r="D695" t="s">
        <v>1075</v>
      </c>
      <c r="E695" t="s">
        <v>1076</v>
      </c>
      <c r="F695">
        <v>582</v>
      </c>
      <c r="G695">
        <v>31.53</v>
      </c>
      <c r="H695">
        <v>104.24</v>
      </c>
      <c r="I695">
        <v>25.68</v>
      </c>
      <c r="J695">
        <v>84.9</v>
      </c>
      <c r="K695">
        <v>150</v>
      </c>
      <c r="T695">
        <v>3</v>
      </c>
      <c r="U695">
        <v>2</v>
      </c>
      <c r="V695" t="s">
        <v>93</v>
      </c>
      <c r="W695">
        <v>104</v>
      </c>
      <c r="X695">
        <v>18</v>
      </c>
      <c r="Y695">
        <v>15</v>
      </c>
      <c r="Z695" t="s">
        <v>1077</v>
      </c>
      <c r="AA695" t="s">
        <v>1078</v>
      </c>
      <c r="AB695" t="s">
        <v>96</v>
      </c>
      <c r="AC695" t="s">
        <v>97</v>
      </c>
      <c r="AD695" t="s">
        <v>98</v>
      </c>
      <c r="AE695" t="s">
        <v>987</v>
      </c>
      <c r="AG695" t="s">
        <v>1079</v>
      </c>
      <c r="AH695">
        <v>0</v>
      </c>
      <c r="AI695">
        <v>236</v>
      </c>
      <c r="AJ695">
        <v>20</v>
      </c>
      <c r="AK695">
        <v>619</v>
      </c>
      <c r="AL695">
        <v>1.06</v>
      </c>
    </row>
    <row r="696" spans="1:38" x14ac:dyDescent="0.3">
      <c r="A696" t="s">
        <v>982</v>
      </c>
      <c r="B696">
        <v>2727</v>
      </c>
      <c r="C696">
        <v>2</v>
      </c>
      <c r="D696" t="s">
        <v>1075</v>
      </c>
      <c r="E696" t="s">
        <v>1076</v>
      </c>
      <c r="F696">
        <v>582</v>
      </c>
      <c r="G696">
        <v>33.22</v>
      </c>
      <c r="H696">
        <v>109.83</v>
      </c>
      <c r="I696">
        <v>25.64</v>
      </c>
      <c r="J696">
        <v>84.79</v>
      </c>
      <c r="K696">
        <v>432</v>
      </c>
      <c r="T696">
        <v>3</v>
      </c>
      <c r="U696">
        <v>2</v>
      </c>
      <c r="V696" t="s">
        <v>93</v>
      </c>
      <c r="W696">
        <v>109</v>
      </c>
      <c r="X696">
        <v>18</v>
      </c>
      <c r="Y696">
        <v>15</v>
      </c>
      <c r="Z696" t="s">
        <v>1077</v>
      </c>
      <c r="AA696" t="s">
        <v>1078</v>
      </c>
      <c r="AB696" t="s">
        <v>96</v>
      </c>
      <c r="AC696" t="s">
        <v>97</v>
      </c>
      <c r="AD696" t="s">
        <v>98</v>
      </c>
      <c r="AE696" t="s">
        <v>987</v>
      </c>
      <c r="AG696" t="s">
        <v>1079</v>
      </c>
      <c r="AH696">
        <v>0</v>
      </c>
      <c r="AI696">
        <v>236</v>
      </c>
      <c r="AJ696">
        <v>20</v>
      </c>
      <c r="AK696">
        <v>619</v>
      </c>
      <c r="AL696">
        <v>1.06</v>
      </c>
    </row>
    <row r="697" spans="1:38" x14ac:dyDescent="0.3">
      <c r="A697" t="s">
        <v>982</v>
      </c>
      <c r="B697">
        <v>119387</v>
      </c>
      <c r="C697">
        <v>1</v>
      </c>
      <c r="D697" t="s">
        <v>1080</v>
      </c>
      <c r="E697" t="s">
        <v>659</v>
      </c>
      <c r="F697">
        <v>60</v>
      </c>
      <c r="G697">
        <v>19.8</v>
      </c>
      <c r="H697">
        <v>65.48</v>
      </c>
      <c r="I697">
        <v>14.61</v>
      </c>
      <c r="J697">
        <v>48.3</v>
      </c>
      <c r="K697">
        <v>36</v>
      </c>
      <c r="T697">
        <v>3</v>
      </c>
      <c r="U697">
        <v>1</v>
      </c>
      <c r="V697" t="s">
        <v>93</v>
      </c>
      <c r="W697" t="s">
        <v>1081</v>
      </c>
      <c r="X697">
        <v>14</v>
      </c>
      <c r="Y697">
        <v>14</v>
      </c>
      <c r="Z697" t="s">
        <v>1082</v>
      </c>
      <c r="AA697" t="s">
        <v>1083</v>
      </c>
      <c r="AB697" t="s">
        <v>96</v>
      </c>
      <c r="AC697" t="s">
        <v>97</v>
      </c>
      <c r="AD697" t="s">
        <v>98</v>
      </c>
      <c r="AE697" t="s">
        <v>987</v>
      </c>
      <c r="AG697" t="s">
        <v>1084</v>
      </c>
      <c r="AH697">
        <v>0</v>
      </c>
      <c r="AI697">
        <v>499</v>
      </c>
      <c r="AJ697">
        <v>68</v>
      </c>
      <c r="AK697">
        <v>66</v>
      </c>
      <c r="AL697">
        <v>1.1000000000000001</v>
      </c>
    </row>
    <row r="698" spans="1:38" x14ac:dyDescent="0.3">
      <c r="A698" t="s">
        <v>982</v>
      </c>
      <c r="B698">
        <v>119387</v>
      </c>
      <c r="C698">
        <v>2</v>
      </c>
      <c r="D698" t="s">
        <v>1080</v>
      </c>
      <c r="E698" t="s">
        <v>659</v>
      </c>
      <c r="F698">
        <v>60</v>
      </c>
      <c r="G698">
        <v>19.87</v>
      </c>
      <c r="H698">
        <v>65.69</v>
      </c>
      <c r="I698">
        <v>14.6</v>
      </c>
      <c r="J698">
        <v>48.29</v>
      </c>
      <c r="K698">
        <v>12</v>
      </c>
      <c r="T698">
        <v>3</v>
      </c>
      <c r="U698">
        <v>1</v>
      </c>
      <c r="V698" t="s">
        <v>93</v>
      </c>
      <c r="W698" t="s">
        <v>313</v>
      </c>
      <c r="X698">
        <v>14</v>
      </c>
      <c r="Y698">
        <v>14</v>
      </c>
      <c r="Z698" t="s">
        <v>1082</v>
      </c>
      <c r="AA698" t="s">
        <v>1083</v>
      </c>
      <c r="AB698" t="s">
        <v>96</v>
      </c>
      <c r="AC698" t="s">
        <v>97</v>
      </c>
      <c r="AD698" t="s">
        <v>98</v>
      </c>
      <c r="AE698" t="s">
        <v>987</v>
      </c>
      <c r="AG698" t="s">
        <v>1084</v>
      </c>
      <c r="AH698">
        <v>0</v>
      </c>
      <c r="AI698">
        <v>499</v>
      </c>
      <c r="AJ698">
        <v>68</v>
      </c>
      <c r="AK698">
        <v>66</v>
      </c>
      <c r="AL698">
        <v>1.1000000000000001</v>
      </c>
    </row>
    <row r="699" spans="1:38" x14ac:dyDescent="0.3">
      <c r="A699" t="s">
        <v>982</v>
      </c>
      <c r="B699">
        <v>119387</v>
      </c>
      <c r="C699">
        <v>3</v>
      </c>
      <c r="D699" t="s">
        <v>1080</v>
      </c>
      <c r="E699" t="s">
        <v>659</v>
      </c>
      <c r="F699">
        <v>60</v>
      </c>
      <c r="G699">
        <v>20.07</v>
      </c>
      <c r="H699">
        <v>66.349999999999994</v>
      </c>
      <c r="I699">
        <v>14.71</v>
      </c>
      <c r="J699">
        <v>48.64</v>
      </c>
      <c r="K699">
        <v>12</v>
      </c>
      <c r="T699">
        <v>3</v>
      </c>
      <c r="U699">
        <v>1</v>
      </c>
      <c r="V699" t="s">
        <v>93</v>
      </c>
      <c r="W699" t="s">
        <v>941</v>
      </c>
      <c r="X699">
        <v>14</v>
      </c>
      <c r="Y699">
        <v>14</v>
      </c>
      <c r="Z699" t="s">
        <v>1082</v>
      </c>
      <c r="AA699" t="s">
        <v>1083</v>
      </c>
      <c r="AB699" t="s">
        <v>96</v>
      </c>
      <c r="AC699" t="s">
        <v>97</v>
      </c>
      <c r="AD699" t="s">
        <v>98</v>
      </c>
      <c r="AE699" t="s">
        <v>987</v>
      </c>
      <c r="AG699" t="s">
        <v>1084</v>
      </c>
      <c r="AH699">
        <v>0</v>
      </c>
      <c r="AI699">
        <v>499</v>
      </c>
      <c r="AJ699">
        <v>68</v>
      </c>
      <c r="AK699">
        <v>66</v>
      </c>
      <c r="AL699">
        <v>1.1000000000000001</v>
      </c>
    </row>
    <row r="700" spans="1:38" x14ac:dyDescent="0.3">
      <c r="A700" t="s">
        <v>982</v>
      </c>
      <c r="B700">
        <v>14261</v>
      </c>
      <c r="C700">
        <v>1</v>
      </c>
      <c r="D700" t="s">
        <v>1085</v>
      </c>
      <c r="E700" t="s">
        <v>1086</v>
      </c>
      <c r="F700">
        <v>32</v>
      </c>
      <c r="G700">
        <v>18.39</v>
      </c>
      <c r="H700">
        <v>60.81</v>
      </c>
      <c r="I700">
        <v>16.5</v>
      </c>
      <c r="J700">
        <v>54.57</v>
      </c>
      <c r="K700">
        <v>32</v>
      </c>
      <c r="T700">
        <v>3</v>
      </c>
      <c r="U700">
        <v>2</v>
      </c>
      <c r="V700" t="s">
        <v>93</v>
      </c>
      <c r="W700">
        <v>60</v>
      </c>
      <c r="X700">
        <v>4</v>
      </c>
      <c r="Y700">
        <v>4</v>
      </c>
      <c r="Z700" t="s">
        <v>1087</v>
      </c>
      <c r="AA700" t="s">
        <v>1088</v>
      </c>
      <c r="AB700" t="s">
        <v>96</v>
      </c>
      <c r="AC700" t="s">
        <v>97</v>
      </c>
      <c r="AD700" t="s">
        <v>98</v>
      </c>
      <c r="AE700" t="s">
        <v>987</v>
      </c>
      <c r="AG700" t="s">
        <v>1089</v>
      </c>
      <c r="AH700">
        <v>0</v>
      </c>
      <c r="AI700">
        <v>0</v>
      </c>
      <c r="AJ700">
        <v>0</v>
      </c>
      <c r="AK700">
        <v>0</v>
      </c>
      <c r="AL700">
        <v>0</v>
      </c>
    </row>
    <row r="701" spans="1:38" x14ac:dyDescent="0.3">
      <c r="A701" t="s">
        <v>982</v>
      </c>
      <c r="B701">
        <v>8648</v>
      </c>
      <c r="C701">
        <v>1</v>
      </c>
      <c r="D701" t="s">
        <v>1090</v>
      </c>
      <c r="E701" t="s">
        <v>1091</v>
      </c>
      <c r="F701">
        <v>238</v>
      </c>
      <c r="G701">
        <v>27.48</v>
      </c>
      <c r="H701">
        <v>90.87</v>
      </c>
      <c r="I701">
        <v>19.29</v>
      </c>
      <c r="J701">
        <v>63.78</v>
      </c>
      <c r="K701">
        <v>74</v>
      </c>
      <c r="T701">
        <v>2</v>
      </c>
      <c r="U701">
        <v>1</v>
      </c>
      <c r="V701" t="s">
        <v>118</v>
      </c>
      <c r="W701">
        <v>90</v>
      </c>
      <c r="X701">
        <v>15</v>
      </c>
      <c r="Y701">
        <v>9</v>
      </c>
      <c r="Z701" t="s">
        <v>1092</v>
      </c>
      <c r="AA701" t="s">
        <v>1093</v>
      </c>
      <c r="AB701" t="s">
        <v>96</v>
      </c>
      <c r="AC701" t="s">
        <v>97</v>
      </c>
      <c r="AD701" t="s">
        <v>98</v>
      </c>
      <c r="AE701" t="s">
        <v>987</v>
      </c>
      <c r="AG701" t="s">
        <v>1094</v>
      </c>
      <c r="AH701">
        <v>0</v>
      </c>
      <c r="AI701">
        <v>245</v>
      </c>
      <c r="AJ701">
        <v>22</v>
      </c>
      <c r="AK701">
        <v>0</v>
      </c>
      <c r="AL701">
        <v>0</v>
      </c>
    </row>
    <row r="702" spans="1:38" x14ac:dyDescent="0.3">
      <c r="A702" t="s">
        <v>982</v>
      </c>
      <c r="B702">
        <v>8648</v>
      </c>
      <c r="C702">
        <v>2</v>
      </c>
      <c r="D702" t="s">
        <v>1090</v>
      </c>
      <c r="E702" t="s">
        <v>1091</v>
      </c>
      <c r="F702">
        <v>238</v>
      </c>
      <c r="G702">
        <v>31.17</v>
      </c>
      <c r="H702">
        <v>103.06</v>
      </c>
      <c r="I702">
        <v>25.62</v>
      </c>
      <c r="J702">
        <v>84.7</v>
      </c>
      <c r="K702">
        <v>126</v>
      </c>
      <c r="T702">
        <v>3</v>
      </c>
      <c r="U702">
        <v>2</v>
      </c>
      <c r="V702" t="s">
        <v>93</v>
      </c>
      <c r="W702">
        <v>103</v>
      </c>
      <c r="X702">
        <v>15</v>
      </c>
      <c r="Y702">
        <v>9</v>
      </c>
      <c r="Z702" t="s">
        <v>1092</v>
      </c>
      <c r="AA702" t="s">
        <v>1093</v>
      </c>
      <c r="AB702" t="s">
        <v>96</v>
      </c>
      <c r="AC702" t="s">
        <v>97</v>
      </c>
      <c r="AD702" t="s">
        <v>98</v>
      </c>
      <c r="AE702" t="s">
        <v>987</v>
      </c>
      <c r="AG702" t="s">
        <v>1094</v>
      </c>
      <c r="AH702">
        <v>0</v>
      </c>
      <c r="AI702">
        <v>245</v>
      </c>
      <c r="AJ702">
        <v>22</v>
      </c>
      <c r="AK702">
        <v>0</v>
      </c>
      <c r="AL702">
        <v>0</v>
      </c>
    </row>
    <row r="703" spans="1:38" x14ac:dyDescent="0.3">
      <c r="A703" t="s">
        <v>982</v>
      </c>
      <c r="B703">
        <v>8648</v>
      </c>
      <c r="C703">
        <v>3</v>
      </c>
      <c r="D703" t="s">
        <v>1090</v>
      </c>
      <c r="E703" t="s">
        <v>1091</v>
      </c>
      <c r="F703">
        <v>238</v>
      </c>
      <c r="G703">
        <v>42.07</v>
      </c>
      <c r="H703">
        <v>139.09</v>
      </c>
      <c r="I703">
        <v>34.75</v>
      </c>
      <c r="J703">
        <v>114.9</v>
      </c>
      <c r="K703">
        <v>38</v>
      </c>
      <c r="T703">
        <v>4</v>
      </c>
      <c r="U703">
        <v>2</v>
      </c>
      <c r="V703" t="s">
        <v>93</v>
      </c>
      <c r="W703">
        <v>139</v>
      </c>
      <c r="X703">
        <v>15</v>
      </c>
      <c r="Y703">
        <v>9</v>
      </c>
      <c r="Z703" t="s">
        <v>1092</v>
      </c>
      <c r="AA703" t="s">
        <v>1093</v>
      </c>
      <c r="AB703" t="s">
        <v>96</v>
      </c>
      <c r="AC703" t="s">
        <v>97</v>
      </c>
      <c r="AD703" t="s">
        <v>98</v>
      </c>
      <c r="AE703" t="s">
        <v>987</v>
      </c>
      <c r="AG703" t="s">
        <v>1094</v>
      </c>
      <c r="AH703">
        <v>0</v>
      </c>
      <c r="AI703">
        <v>245</v>
      </c>
      <c r="AJ703">
        <v>22</v>
      </c>
      <c r="AK703">
        <v>0</v>
      </c>
      <c r="AL703">
        <v>0</v>
      </c>
    </row>
    <row r="704" spans="1:38" x14ac:dyDescent="0.3">
      <c r="A704" t="s">
        <v>982</v>
      </c>
      <c r="B704">
        <v>8087</v>
      </c>
      <c r="C704">
        <v>1</v>
      </c>
      <c r="D704" t="s">
        <v>1095</v>
      </c>
      <c r="E704" t="s">
        <v>1096</v>
      </c>
      <c r="F704">
        <v>275</v>
      </c>
      <c r="G704">
        <v>24.46</v>
      </c>
      <c r="H704">
        <v>80.86</v>
      </c>
      <c r="I704">
        <v>18.13</v>
      </c>
      <c r="J704">
        <v>59.96</v>
      </c>
      <c r="K704">
        <v>275</v>
      </c>
      <c r="T704">
        <v>3</v>
      </c>
      <c r="U704">
        <v>2</v>
      </c>
      <c r="V704" t="s">
        <v>93</v>
      </c>
      <c r="W704" t="s">
        <v>831</v>
      </c>
      <c r="X704">
        <v>20</v>
      </c>
      <c r="Y704">
        <v>13</v>
      </c>
      <c r="Z704" t="s">
        <v>1097</v>
      </c>
      <c r="AA704" t="s">
        <v>1098</v>
      </c>
      <c r="AB704" t="s">
        <v>96</v>
      </c>
      <c r="AC704" t="s">
        <v>97</v>
      </c>
      <c r="AD704" t="s">
        <v>98</v>
      </c>
      <c r="AE704" t="s">
        <v>987</v>
      </c>
      <c r="AG704" t="s">
        <v>1099</v>
      </c>
      <c r="AH704">
        <v>0</v>
      </c>
      <c r="AI704">
        <v>229</v>
      </c>
      <c r="AJ704">
        <v>20</v>
      </c>
      <c r="AK704">
        <v>284</v>
      </c>
      <c r="AL704">
        <v>1.03</v>
      </c>
    </row>
    <row r="705" spans="1:38" x14ac:dyDescent="0.3">
      <c r="A705" t="s">
        <v>982</v>
      </c>
      <c r="B705">
        <v>3640</v>
      </c>
      <c r="C705">
        <v>1</v>
      </c>
      <c r="D705" t="s">
        <v>1100</v>
      </c>
      <c r="E705" t="s">
        <v>1101</v>
      </c>
      <c r="F705">
        <v>236</v>
      </c>
      <c r="G705">
        <v>34.07</v>
      </c>
      <c r="H705">
        <v>112.66</v>
      </c>
      <c r="I705">
        <v>25.69</v>
      </c>
      <c r="J705">
        <v>84.94</v>
      </c>
      <c r="K705">
        <v>56</v>
      </c>
      <c r="T705">
        <v>3</v>
      </c>
      <c r="U705">
        <v>2</v>
      </c>
      <c r="V705" t="s">
        <v>93</v>
      </c>
      <c r="W705">
        <v>112</v>
      </c>
      <c r="X705">
        <v>15</v>
      </c>
      <c r="Y705">
        <v>13</v>
      </c>
      <c r="Z705" t="s">
        <v>1102</v>
      </c>
      <c r="AA705" t="s">
        <v>1103</v>
      </c>
      <c r="AB705" t="s">
        <v>96</v>
      </c>
      <c r="AC705" t="s">
        <v>97</v>
      </c>
      <c r="AD705" t="s">
        <v>98</v>
      </c>
      <c r="AE705" t="s">
        <v>987</v>
      </c>
      <c r="AG705" t="s">
        <v>1104</v>
      </c>
      <c r="AH705">
        <v>0</v>
      </c>
      <c r="AI705">
        <v>201</v>
      </c>
      <c r="AJ705">
        <v>19</v>
      </c>
      <c r="AK705">
        <v>361</v>
      </c>
      <c r="AL705">
        <v>1.53</v>
      </c>
    </row>
    <row r="706" spans="1:38" x14ac:dyDescent="0.3">
      <c r="A706" t="s">
        <v>982</v>
      </c>
      <c r="B706">
        <v>3640</v>
      </c>
      <c r="C706">
        <v>2</v>
      </c>
      <c r="D706" t="s">
        <v>1100</v>
      </c>
      <c r="E706" t="s">
        <v>1101</v>
      </c>
      <c r="F706">
        <v>236</v>
      </c>
      <c r="G706">
        <v>44.85</v>
      </c>
      <c r="H706">
        <v>148.29</v>
      </c>
      <c r="I706">
        <v>35.54</v>
      </c>
      <c r="J706">
        <v>117.51</v>
      </c>
      <c r="K706">
        <v>180</v>
      </c>
      <c r="T706">
        <v>4</v>
      </c>
      <c r="U706">
        <v>2</v>
      </c>
      <c r="V706" t="s">
        <v>93</v>
      </c>
      <c r="W706">
        <v>148</v>
      </c>
      <c r="X706">
        <v>15</v>
      </c>
      <c r="Y706">
        <v>13</v>
      </c>
      <c r="Z706" t="s">
        <v>1102</v>
      </c>
      <c r="AA706" t="s">
        <v>1103</v>
      </c>
      <c r="AB706" t="s">
        <v>96</v>
      </c>
      <c r="AC706" t="s">
        <v>97</v>
      </c>
      <c r="AD706" t="s">
        <v>98</v>
      </c>
      <c r="AE706" t="s">
        <v>987</v>
      </c>
      <c r="AG706" t="s">
        <v>1104</v>
      </c>
      <c r="AH706">
        <v>0</v>
      </c>
      <c r="AI706">
        <v>201</v>
      </c>
      <c r="AJ706">
        <v>19</v>
      </c>
      <c r="AK706">
        <v>361</v>
      </c>
      <c r="AL706">
        <v>1.53</v>
      </c>
    </row>
    <row r="707" spans="1:38" x14ac:dyDescent="0.3">
      <c r="A707" t="s">
        <v>982</v>
      </c>
      <c r="B707">
        <v>19017</v>
      </c>
      <c r="C707">
        <v>1</v>
      </c>
      <c r="D707" t="s">
        <v>1105</v>
      </c>
      <c r="E707" t="s">
        <v>1106</v>
      </c>
      <c r="F707">
        <v>59</v>
      </c>
      <c r="G707">
        <v>18.36</v>
      </c>
      <c r="H707">
        <v>60.7</v>
      </c>
      <c r="I707">
        <v>14.73</v>
      </c>
      <c r="J707">
        <v>48.7</v>
      </c>
      <c r="K707">
        <v>1</v>
      </c>
      <c r="T707">
        <v>2</v>
      </c>
      <c r="U707">
        <v>1</v>
      </c>
      <c r="V707" t="s">
        <v>93</v>
      </c>
      <c r="W707">
        <v>60</v>
      </c>
      <c r="X707">
        <v>11</v>
      </c>
      <c r="Y707">
        <v>9</v>
      </c>
      <c r="Z707" t="s">
        <v>1107</v>
      </c>
      <c r="AA707" t="s">
        <v>1108</v>
      </c>
      <c r="AB707" t="s">
        <v>96</v>
      </c>
      <c r="AC707" t="s">
        <v>97</v>
      </c>
      <c r="AD707" t="s">
        <v>98</v>
      </c>
      <c r="AE707" t="s">
        <v>987</v>
      </c>
      <c r="AG707" t="s">
        <v>1109</v>
      </c>
      <c r="AH707">
        <v>0</v>
      </c>
      <c r="AI707">
        <v>212</v>
      </c>
      <c r="AJ707">
        <v>25</v>
      </c>
      <c r="AK707">
        <v>60</v>
      </c>
      <c r="AL707">
        <v>1.02</v>
      </c>
    </row>
    <row r="708" spans="1:38" x14ac:dyDescent="0.3">
      <c r="A708" t="s">
        <v>982</v>
      </c>
      <c r="B708">
        <v>19017</v>
      </c>
      <c r="C708">
        <v>2</v>
      </c>
      <c r="D708" t="s">
        <v>1105</v>
      </c>
      <c r="E708" t="s">
        <v>1106</v>
      </c>
      <c r="F708">
        <v>59</v>
      </c>
      <c r="G708">
        <v>24.83</v>
      </c>
      <c r="H708">
        <v>82.1</v>
      </c>
      <c r="I708">
        <v>19.34</v>
      </c>
      <c r="J708">
        <v>63.95</v>
      </c>
      <c r="K708">
        <v>1</v>
      </c>
      <c r="T708">
        <v>3</v>
      </c>
      <c r="U708">
        <v>1</v>
      </c>
      <c r="V708" t="s">
        <v>93</v>
      </c>
      <c r="W708" t="s">
        <v>913</v>
      </c>
      <c r="X708">
        <v>11</v>
      </c>
      <c r="Y708">
        <v>9</v>
      </c>
      <c r="Z708" t="s">
        <v>1107</v>
      </c>
      <c r="AA708" t="s">
        <v>1108</v>
      </c>
      <c r="AB708" t="s">
        <v>96</v>
      </c>
      <c r="AC708" t="s">
        <v>97</v>
      </c>
      <c r="AD708" t="s">
        <v>98</v>
      </c>
      <c r="AE708" t="s">
        <v>987</v>
      </c>
      <c r="AG708" t="s">
        <v>1109</v>
      </c>
      <c r="AH708">
        <v>0</v>
      </c>
      <c r="AI708">
        <v>212</v>
      </c>
      <c r="AJ708">
        <v>25</v>
      </c>
      <c r="AK708">
        <v>60</v>
      </c>
      <c r="AL708">
        <v>1.02</v>
      </c>
    </row>
    <row r="709" spans="1:38" x14ac:dyDescent="0.3">
      <c r="A709" t="s">
        <v>982</v>
      </c>
      <c r="B709">
        <v>19017</v>
      </c>
      <c r="C709">
        <v>3</v>
      </c>
      <c r="D709" t="s">
        <v>1105</v>
      </c>
      <c r="E709" t="s">
        <v>1106</v>
      </c>
      <c r="F709">
        <v>59</v>
      </c>
      <c r="G709">
        <v>24.85</v>
      </c>
      <c r="H709">
        <v>82.16</v>
      </c>
      <c r="I709">
        <v>20.059999999999999</v>
      </c>
      <c r="J709">
        <v>66.33</v>
      </c>
      <c r="K709">
        <v>1</v>
      </c>
      <c r="T709">
        <v>3</v>
      </c>
      <c r="U709">
        <v>1</v>
      </c>
      <c r="V709" t="s">
        <v>93</v>
      </c>
      <c r="W709" t="s">
        <v>107</v>
      </c>
      <c r="X709">
        <v>11</v>
      </c>
      <c r="Y709">
        <v>9</v>
      </c>
      <c r="Z709" t="s">
        <v>1107</v>
      </c>
      <c r="AA709" t="s">
        <v>1108</v>
      </c>
      <c r="AB709" t="s">
        <v>96</v>
      </c>
      <c r="AC709" t="s">
        <v>97</v>
      </c>
      <c r="AD709" t="s">
        <v>98</v>
      </c>
      <c r="AE709" t="s">
        <v>987</v>
      </c>
      <c r="AG709" t="s">
        <v>1109</v>
      </c>
      <c r="AH709">
        <v>0</v>
      </c>
      <c r="AI709">
        <v>212</v>
      </c>
      <c r="AJ709">
        <v>25</v>
      </c>
      <c r="AK709">
        <v>60</v>
      </c>
      <c r="AL709">
        <v>1.02</v>
      </c>
    </row>
    <row r="710" spans="1:38" x14ac:dyDescent="0.3">
      <c r="A710" t="s">
        <v>982</v>
      </c>
      <c r="B710">
        <v>19017</v>
      </c>
      <c r="C710">
        <v>4</v>
      </c>
      <c r="D710" t="s">
        <v>1105</v>
      </c>
      <c r="E710" t="s">
        <v>1106</v>
      </c>
      <c r="F710">
        <v>59</v>
      </c>
      <c r="G710">
        <v>26.51</v>
      </c>
      <c r="H710">
        <v>87.64</v>
      </c>
      <c r="I710">
        <v>21.68</v>
      </c>
      <c r="J710">
        <v>71.67</v>
      </c>
      <c r="K710">
        <v>1</v>
      </c>
      <c r="T710">
        <v>3</v>
      </c>
      <c r="U710">
        <v>2</v>
      </c>
      <c r="V710" t="s">
        <v>93</v>
      </c>
      <c r="W710" t="s">
        <v>150</v>
      </c>
      <c r="X710">
        <v>11</v>
      </c>
      <c r="Y710">
        <v>9</v>
      </c>
      <c r="Z710" t="s">
        <v>1107</v>
      </c>
      <c r="AA710" t="s">
        <v>1108</v>
      </c>
      <c r="AB710" t="s">
        <v>96</v>
      </c>
      <c r="AC710" t="s">
        <v>97</v>
      </c>
      <c r="AD710" t="s">
        <v>98</v>
      </c>
      <c r="AE710" t="s">
        <v>987</v>
      </c>
      <c r="AG710" t="s">
        <v>1109</v>
      </c>
      <c r="AH710">
        <v>0</v>
      </c>
      <c r="AI710">
        <v>212</v>
      </c>
      <c r="AJ710">
        <v>25</v>
      </c>
      <c r="AK710">
        <v>60</v>
      </c>
      <c r="AL710">
        <v>1.02</v>
      </c>
    </row>
    <row r="711" spans="1:38" x14ac:dyDescent="0.3">
      <c r="A711" t="s">
        <v>982</v>
      </c>
      <c r="B711">
        <v>19017</v>
      </c>
      <c r="C711">
        <v>5</v>
      </c>
      <c r="D711" t="s">
        <v>1105</v>
      </c>
      <c r="E711" t="s">
        <v>1106</v>
      </c>
      <c r="F711">
        <v>59</v>
      </c>
      <c r="G711">
        <v>26.55</v>
      </c>
      <c r="H711">
        <v>87.77</v>
      </c>
      <c r="I711">
        <v>21.17</v>
      </c>
      <c r="J711">
        <v>70.010000000000005</v>
      </c>
      <c r="K711">
        <v>1</v>
      </c>
      <c r="T711">
        <v>3</v>
      </c>
      <c r="U711">
        <v>2</v>
      </c>
      <c r="V711" t="s">
        <v>93</v>
      </c>
      <c r="W711" t="s">
        <v>149</v>
      </c>
      <c r="X711">
        <v>11</v>
      </c>
      <c r="Y711">
        <v>9</v>
      </c>
      <c r="Z711" t="s">
        <v>1107</v>
      </c>
      <c r="AA711" t="s">
        <v>1108</v>
      </c>
      <c r="AB711" t="s">
        <v>96</v>
      </c>
      <c r="AC711" t="s">
        <v>97</v>
      </c>
      <c r="AD711" t="s">
        <v>98</v>
      </c>
      <c r="AE711" t="s">
        <v>987</v>
      </c>
      <c r="AG711" t="s">
        <v>1109</v>
      </c>
      <c r="AH711">
        <v>0</v>
      </c>
      <c r="AI711">
        <v>212</v>
      </c>
      <c r="AJ711">
        <v>25</v>
      </c>
      <c r="AK711">
        <v>60</v>
      </c>
      <c r="AL711">
        <v>1.02</v>
      </c>
    </row>
    <row r="712" spans="1:38" x14ac:dyDescent="0.3">
      <c r="A712" t="s">
        <v>982</v>
      </c>
      <c r="B712">
        <v>19017</v>
      </c>
      <c r="C712">
        <v>6</v>
      </c>
      <c r="D712" t="s">
        <v>1105</v>
      </c>
      <c r="E712" t="s">
        <v>1106</v>
      </c>
      <c r="F712">
        <v>59</v>
      </c>
      <c r="G712">
        <v>27.83</v>
      </c>
      <c r="H712">
        <v>92.02</v>
      </c>
      <c r="I712">
        <v>21.76</v>
      </c>
      <c r="J712">
        <v>71.94</v>
      </c>
      <c r="K712">
        <v>1</v>
      </c>
      <c r="T712">
        <v>3</v>
      </c>
      <c r="U712">
        <v>2</v>
      </c>
      <c r="V712" t="s">
        <v>93</v>
      </c>
      <c r="W712">
        <v>92</v>
      </c>
      <c r="X712">
        <v>11</v>
      </c>
      <c r="Y712">
        <v>9</v>
      </c>
      <c r="Z712" t="s">
        <v>1107</v>
      </c>
      <c r="AA712" t="s">
        <v>1108</v>
      </c>
      <c r="AB712" t="s">
        <v>96</v>
      </c>
      <c r="AC712" t="s">
        <v>97</v>
      </c>
      <c r="AD712" t="s">
        <v>98</v>
      </c>
      <c r="AE712" t="s">
        <v>987</v>
      </c>
      <c r="AG712" t="s">
        <v>1109</v>
      </c>
      <c r="AH712">
        <v>0</v>
      </c>
      <c r="AI712">
        <v>212</v>
      </c>
      <c r="AJ712">
        <v>25</v>
      </c>
      <c r="AK712">
        <v>60</v>
      </c>
      <c r="AL712">
        <v>1.02</v>
      </c>
    </row>
    <row r="713" spans="1:38" x14ac:dyDescent="0.3">
      <c r="A713" t="s">
        <v>982</v>
      </c>
      <c r="B713">
        <v>19017</v>
      </c>
      <c r="C713">
        <v>7</v>
      </c>
      <c r="D713" t="s">
        <v>1105</v>
      </c>
      <c r="E713" t="s">
        <v>1106</v>
      </c>
      <c r="F713">
        <v>59</v>
      </c>
      <c r="G713">
        <v>29.67</v>
      </c>
      <c r="H713">
        <v>98.09</v>
      </c>
      <c r="I713">
        <v>23.26</v>
      </c>
      <c r="J713">
        <v>76.900000000000006</v>
      </c>
      <c r="K713">
        <v>1</v>
      </c>
      <c r="T713">
        <v>3</v>
      </c>
      <c r="U713">
        <v>2</v>
      </c>
      <c r="V713" t="s">
        <v>93</v>
      </c>
      <c r="W713" t="s">
        <v>605</v>
      </c>
      <c r="X713">
        <v>11</v>
      </c>
      <c r="Y713">
        <v>9</v>
      </c>
      <c r="Z713" t="s">
        <v>1107</v>
      </c>
      <c r="AA713" t="s">
        <v>1108</v>
      </c>
      <c r="AB713" t="s">
        <v>96</v>
      </c>
      <c r="AC713" t="s">
        <v>97</v>
      </c>
      <c r="AD713" t="s">
        <v>98</v>
      </c>
      <c r="AE713" t="s">
        <v>987</v>
      </c>
      <c r="AG713" t="s">
        <v>1109</v>
      </c>
      <c r="AH713">
        <v>0</v>
      </c>
      <c r="AI713">
        <v>212</v>
      </c>
      <c r="AJ713">
        <v>25</v>
      </c>
      <c r="AK713">
        <v>60</v>
      </c>
      <c r="AL713">
        <v>1.02</v>
      </c>
    </row>
    <row r="714" spans="1:38" x14ac:dyDescent="0.3">
      <c r="A714" t="s">
        <v>982</v>
      </c>
      <c r="B714">
        <v>19017</v>
      </c>
      <c r="C714">
        <v>8</v>
      </c>
      <c r="D714" t="s">
        <v>1105</v>
      </c>
      <c r="E714" t="s">
        <v>1106</v>
      </c>
      <c r="F714">
        <v>59</v>
      </c>
      <c r="G714">
        <v>29.98</v>
      </c>
      <c r="H714">
        <v>99.11</v>
      </c>
      <c r="I714">
        <v>23.78</v>
      </c>
      <c r="J714">
        <v>78.63</v>
      </c>
      <c r="K714">
        <v>1</v>
      </c>
      <c r="T714">
        <v>3</v>
      </c>
      <c r="U714">
        <v>2</v>
      </c>
      <c r="V714" t="s">
        <v>93</v>
      </c>
      <c r="W714" t="s">
        <v>389</v>
      </c>
      <c r="X714">
        <v>11</v>
      </c>
      <c r="Y714">
        <v>9</v>
      </c>
      <c r="Z714" t="s">
        <v>1107</v>
      </c>
      <c r="AA714" t="s">
        <v>1108</v>
      </c>
      <c r="AB714" t="s">
        <v>96</v>
      </c>
      <c r="AC714" t="s">
        <v>97</v>
      </c>
      <c r="AD714" t="s">
        <v>98</v>
      </c>
      <c r="AE714" t="s">
        <v>987</v>
      </c>
      <c r="AG714" t="s">
        <v>1109</v>
      </c>
      <c r="AH714">
        <v>0</v>
      </c>
      <c r="AI714">
        <v>212</v>
      </c>
      <c r="AJ714">
        <v>25</v>
      </c>
      <c r="AK714">
        <v>60</v>
      </c>
      <c r="AL714">
        <v>1.02</v>
      </c>
    </row>
    <row r="715" spans="1:38" x14ac:dyDescent="0.3">
      <c r="A715" t="s">
        <v>982</v>
      </c>
      <c r="B715">
        <v>19017</v>
      </c>
      <c r="C715">
        <v>9</v>
      </c>
      <c r="D715" t="s">
        <v>1105</v>
      </c>
      <c r="E715" t="s">
        <v>1106</v>
      </c>
      <c r="F715">
        <v>59</v>
      </c>
      <c r="G715">
        <v>31.13</v>
      </c>
      <c r="H715">
        <v>102.92</v>
      </c>
      <c r="I715">
        <v>24.36</v>
      </c>
      <c r="J715">
        <v>80.540000000000006</v>
      </c>
      <c r="K715">
        <v>1</v>
      </c>
      <c r="T715">
        <v>3</v>
      </c>
      <c r="U715">
        <v>2</v>
      </c>
      <c r="V715" t="s">
        <v>93</v>
      </c>
      <c r="W715">
        <v>102</v>
      </c>
      <c r="X715">
        <v>11</v>
      </c>
      <c r="Y715">
        <v>9</v>
      </c>
      <c r="Z715" t="s">
        <v>1107</v>
      </c>
      <c r="AA715" t="s">
        <v>1108</v>
      </c>
      <c r="AB715" t="s">
        <v>96</v>
      </c>
      <c r="AC715" t="s">
        <v>97</v>
      </c>
      <c r="AD715" t="s">
        <v>98</v>
      </c>
      <c r="AE715" t="s">
        <v>987</v>
      </c>
      <c r="AG715" t="s">
        <v>1109</v>
      </c>
      <c r="AH715">
        <v>0</v>
      </c>
      <c r="AI715">
        <v>212</v>
      </c>
      <c r="AJ715">
        <v>25</v>
      </c>
      <c r="AK715">
        <v>60</v>
      </c>
      <c r="AL715">
        <v>1.02</v>
      </c>
    </row>
    <row r="716" spans="1:38" x14ac:dyDescent="0.3">
      <c r="A716" t="s">
        <v>982</v>
      </c>
      <c r="B716">
        <v>19017</v>
      </c>
      <c r="C716">
        <v>10</v>
      </c>
      <c r="D716" t="s">
        <v>1105</v>
      </c>
      <c r="E716" t="s">
        <v>1106</v>
      </c>
      <c r="F716">
        <v>59</v>
      </c>
      <c r="G716">
        <v>32.21</v>
      </c>
      <c r="H716">
        <v>106.5</v>
      </c>
      <c r="I716">
        <v>25.66</v>
      </c>
      <c r="J716">
        <v>84.83</v>
      </c>
      <c r="K716">
        <v>50</v>
      </c>
      <c r="T716">
        <v>3</v>
      </c>
      <c r="U716">
        <v>2</v>
      </c>
      <c r="V716" t="s">
        <v>93</v>
      </c>
      <c r="W716">
        <v>106</v>
      </c>
      <c r="X716">
        <v>11</v>
      </c>
      <c r="Y716">
        <v>9</v>
      </c>
      <c r="Z716" t="s">
        <v>1107</v>
      </c>
      <c r="AA716" t="s">
        <v>1108</v>
      </c>
      <c r="AB716" t="s">
        <v>96</v>
      </c>
      <c r="AC716" t="s">
        <v>97</v>
      </c>
      <c r="AD716" t="s">
        <v>98</v>
      </c>
      <c r="AE716" t="s">
        <v>987</v>
      </c>
      <c r="AG716" t="s">
        <v>1109</v>
      </c>
      <c r="AH716">
        <v>0</v>
      </c>
      <c r="AI716">
        <v>212</v>
      </c>
      <c r="AJ716">
        <v>25</v>
      </c>
      <c r="AK716">
        <v>60</v>
      </c>
      <c r="AL716">
        <v>1.02</v>
      </c>
    </row>
    <row r="717" spans="1:38" x14ac:dyDescent="0.3">
      <c r="A717" t="s">
        <v>982</v>
      </c>
      <c r="B717">
        <v>27464</v>
      </c>
      <c r="C717">
        <v>1</v>
      </c>
      <c r="D717" t="s">
        <v>1110</v>
      </c>
      <c r="E717" t="s">
        <v>1111</v>
      </c>
      <c r="F717">
        <v>48</v>
      </c>
      <c r="G717">
        <v>50.29</v>
      </c>
      <c r="H717">
        <v>166.25</v>
      </c>
      <c r="I717">
        <v>42.25</v>
      </c>
      <c r="J717">
        <v>139.66999999999999</v>
      </c>
      <c r="K717">
        <v>4</v>
      </c>
      <c r="T717">
        <v>4</v>
      </c>
      <c r="U717">
        <v>2</v>
      </c>
      <c r="V717" t="s">
        <v>93</v>
      </c>
      <c r="W717">
        <v>166</v>
      </c>
      <c r="X717">
        <v>4</v>
      </c>
      <c r="Y717">
        <v>4</v>
      </c>
      <c r="Z717" t="s">
        <v>1112</v>
      </c>
      <c r="AA717" t="s">
        <v>1113</v>
      </c>
      <c r="AB717" t="s">
        <v>96</v>
      </c>
      <c r="AC717" t="s">
        <v>97</v>
      </c>
      <c r="AD717" t="s">
        <v>98</v>
      </c>
      <c r="AE717" t="s">
        <v>987</v>
      </c>
      <c r="AG717" t="s">
        <v>1114</v>
      </c>
      <c r="AH717">
        <v>0</v>
      </c>
      <c r="AI717">
        <v>114</v>
      </c>
      <c r="AJ717">
        <v>38</v>
      </c>
      <c r="AK717">
        <v>116</v>
      </c>
      <c r="AL717">
        <v>2.42</v>
      </c>
    </row>
    <row r="718" spans="1:38" x14ac:dyDescent="0.3">
      <c r="A718" t="s">
        <v>982</v>
      </c>
      <c r="B718">
        <v>27464</v>
      </c>
      <c r="C718">
        <v>2</v>
      </c>
      <c r="D718" t="s">
        <v>1110</v>
      </c>
      <c r="E718" t="s">
        <v>1111</v>
      </c>
      <c r="F718">
        <v>48</v>
      </c>
      <c r="G718">
        <v>56.77</v>
      </c>
      <c r="H718">
        <v>187.7</v>
      </c>
      <c r="I718">
        <v>47.54</v>
      </c>
      <c r="J718">
        <v>157.16999999999999</v>
      </c>
      <c r="K718">
        <v>12</v>
      </c>
      <c r="T718">
        <v>5</v>
      </c>
      <c r="U718">
        <v>2</v>
      </c>
      <c r="V718" t="s">
        <v>93</v>
      </c>
      <c r="W718">
        <v>187</v>
      </c>
      <c r="X718">
        <v>4</v>
      </c>
      <c r="Y718">
        <v>4</v>
      </c>
      <c r="Z718" t="s">
        <v>1112</v>
      </c>
      <c r="AA718" t="s">
        <v>1113</v>
      </c>
      <c r="AB718" t="s">
        <v>96</v>
      </c>
      <c r="AC718" t="s">
        <v>97</v>
      </c>
      <c r="AD718" t="s">
        <v>98</v>
      </c>
      <c r="AE718" t="s">
        <v>987</v>
      </c>
      <c r="AG718" t="s">
        <v>1114</v>
      </c>
      <c r="AH718">
        <v>0</v>
      </c>
      <c r="AI718">
        <v>114</v>
      </c>
      <c r="AJ718">
        <v>38</v>
      </c>
      <c r="AK718">
        <v>116</v>
      </c>
      <c r="AL718">
        <v>2.42</v>
      </c>
    </row>
    <row r="719" spans="1:38" x14ac:dyDescent="0.3">
      <c r="A719" t="s">
        <v>982</v>
      </c>
      <c r="B719">
        <v>27464</v>
      </c>
      <c r="C719">
        <v>3</v>
      </c>
      <c r="D719" t="s">
        <v>1110</v>
      </c>
      <c r="E719" t="s">
        <v>1111</v>
      </c>
      <c r="F719">
        <v>48</v>
      </c>
      <c r="G719">
        <v>57.81</v>
      </c>
      <c r="H719">
        <v>191.12</v>
      </c>
      <c r="I719">
        <v>48.67</v>
      </c>
      <c r="J719">
        <v>160.91</v>
      </c>
      <c r="K719">
        <v>4</v>
      </c>
      <c r="T719">
        <v>5</v>
      </c>
      <c r="U719">
        <v>2</v>
      </c>
      <c r="V719" t="s">
        <v>93</v>
      </c>
      <c r="W719">
        <v>191</v>
      </c>
      <c r="X719">
        <v>4</v>
      </c>
      <c r="Y719">
        <v>4</v>
      </c>
      <c r="Z719" t="s">
        <v>1112</v>
      </c>
      <c r="AA719" t="s">
        <v>1113</v>
      </c>
      <c r="AB719" t="s">
        <v>96</v>
      </c>
      <c r="AC719" t="s">
        <v>97</v>
      </c>
      <c r="AD719" t="s">
        <v>98</v>
      </c>
      <c r="AE719" t="s">
        <v>987</v>
      </c>
      <c r="AG719" t="s">
        <v>1114</v>
      </c>
      <c r="AH719">
        <v>0</v>
      </c>
      <c r="AI719">
        <v>114</v>
      </c>
      <c r="AJ719">
        <v>38</v>
      </c>
      <c r="AK719">
        <v>116</v>
      </c>
      <c r="AL719">
        <v>2.42</v>
      </c>
    </row>
    <row r="720" spans="1:38" x14ac:dyDescent="0.3">
      <c r="A720" t="s">
        <v>982</v>
      </c>
      <c r="B720">
        <v>27464</v>
      </c>
      <c r="C720">
        <v>4</v>
      </c>
      <c r="D720" t="s">
        <v>1110</v>
      </c>
      <c r="E720" t="s">
        <v>1111</v>
      </c>
      <c r="F720">
        <v>48</v>
      </c>
      <c r="G720">
        <v>60.14</v>
      </c>
      <c r="H720">
        <v>198.83</v>
      </c>
      <c r="I720">
        <v>51.32</v>
      </c>
      <c r="J720">
        <v>169.68</v>
      </c>
      <c r="K720">
        <v>4</v>
      </c>
      <c r="T720">
        <v>5</v>
      </c>
      <c r="U720">
        <v>2</v>
      </c>
      <c r="V720" t="s">
        <v>93</v>
      </c>
      <c r="W720" t="s">
        <v>1115</v>
      </c>
      <c r="X720">
        <v>4</v>
      </c>
      <c r="Y720">
        <v>4</v>
      </c>
      <c r="Z720" t="s">
        <v>1112</v>
      </c>
      <c r="AA720" t="s">
        <v>1113</v>
      </c>
      <c r="AB720" t="s">
        <v>96</v>
      </c>
      <c r="AC720" t="s">
        <v>97</v>
      </c>
      <c r="AD720" t="s">
        <v>98</v>
      </c>
      <c r="AE720" t="s">
        <v>987</v>
      </c>
      <c r="AG720" t="s">
        <v>1114</v>
      </c>
      <c r="AH720">
        <v>0</v>
      </c>
      <c r="AI720">
        <v>114</v>
      </c>
      <c r="AJ720">
        <v>38</v>
      </c>
      <c r="AK720">
        <v>116</v>
      </c>
      <c r="AL720">
        <v>2.42</v>
      </c>
    </row>
    <row r="721" spans="1:38" x14ac:dyDescent="0.3">
      <c r="A721" t="s">
        <v>982</v>
      </c>
      <c r="B721">
        <v>27464</v>
      </c>
      <c r="C721">
        <v>5</v>
      </c>
      <c r="D721" t="s">
        <v>1110</v>
      </c>
      <c r="E721" t="s">
        <v>1111</v>
      </c>
      <c r="F721">
        <v>48</v>
      </c>
      <c r="G721">
        <v>60.14</v>
      </c>
      <c r="H721">
        <v>198.84</v>
      </c>
      <c r="I721">
        <v>50.9</v>
      </c>
      <c r="J721">
        <v>168.29</v>
      </c>
      <c r="K721">
        <v>4</v>
      </c>
      <c r="T721">
        <v>5</v>
      </c>
      <c r="U721">
        <v>2</v>
      </c>
      <c r="V721" t="s">
        <v>93</v>
      </c>
      <c r="W721" t="s">
        <v>1116</v>
      </c>
      <c r="X721">
        <v>4</v>
      </c>
      <c r="Y721">
        <v>4</v>
      </c>
      <c r="Z721" t="s">
        <v>1112</v>
      </c>
      <c r="AA721" t="s">
        <v>1113</v>
      </c>
      <c r="AB721" t="s">
        <v>96</v>
      </c>
      <c r="AC721" t="s">
        <v>97</v>
      </c>
      <c r="AD721" t="s">
        <v>98</v>
      </c>
      <c r="AE721" t="s">
        <v>987</v>
      </c>
      <c r="AG721" t="s">
        <v>1114</v>
      </c>
      <c r="AH721">
        <v>0</v>
      </c>
      <c r="AI721">
        <v>114</v>
      </c>
      <c r="AJ721">
        <v>38</v>
      </c>
      <c r="AK721">
        <v>116</v>
      </c>
      <c r="AL721">
        <v>2.42</v>
      </c>
    </row>
    <row r="722" spans="1:38" x14ac:dyDescent="0.3">
      <c r="A722" t="s">
        <v>982</v>
      </c>
      <c r="B722">
        <v>27464</v>
      </c>
      <c r="C722">
        <v>6</v>
      </c>
      <c r="D722" t="s">
        <v>1110</v>
      </c>
      <c r="E722" t="s">
        <v>1111</v>
      </c>
      <c r="F722">
        <v>48</v>
      </c>
      <c r="G722">
        <v>60.11</v>
      </c>
      <c r="H722">
        <v>198.74</v>
      </c>
      <c r="I722">
        <v>50.66</v>
      </c>
      <c r="J722">
        <v>167.48</v>
      </c>
      <c r="K722">
        <v>4</v>
      </c>
      <c r="T722">
        <v>5</v>
      </c>
      <c r="U722">
        <v>2</v>
      </c>
      <c r="V722" t="s">
        <v>93</v>
      </c>
      <c r="W722" t="s">
        <v>1117</v>
      </c>
      <c r="X722">
        <v>4</v>
      </c>
      <c r="Y722">
        <v>4</v>
      </c>
      <c r="Z722" t="s">
        <v>1112</v>
      </c>
      <c r="AA722" t="s">
        <v>1113</v>
      </c>
      <c r="AB722" t="s">
        <v>96</v>
      </c>
      <c r="AC722" t="s">
        <v>97</v>
      </c>
      <c r="AD722" t="s">
        <v>98</v>
      </c>
      <c r="AE722" t="s">
        <v>987</v>
      </c>
      <c r="AG722" t="s">
        <v>1114</v>
      </c>
      <c r="AH722">
        <v>0</v>
      </c>
      <c r="AI722">
        <v>114</v>
      </c>
      <c r="AJ722">
        <v>38</v>
      </c>
      <c r="AK722">
        <v>116</v>
      </c>
      <c r="AL722">
        <v>2.42</v>
      </c>
    </row>
    <row r="723" spans="1:38" x14ac:dyDescent="0.3">
      <c r="A723" t="s">
        <v>982</v>
      </c>
      <c r="B723">
        <v>27464</v>
      </c>
      <c r="C723">
        <v>7</v>
      </c>
      <c r="D723" t="s">
        <v>1110</v>
      </c>
      <c r="E723" t="s">
        <v>1111</v>
      </c>
      <c r="F723">
        <v>48</v>
      </c>
      <c r="G723">
        <v>62.39</v>
      </c>
      <c r="H723">
        <v>206.25</v>
      </c>
      <c r="I723">
        <v>52.16</v>
      </c>
      <c r="J723">
        <v>172.43</v>
      </c>
      <c r="K723">
        <v>4</v>
      </c>
      <c r="T723">
        <v>5</v>
      </c>
      <c r="U723">
        <v>2</v>
      </c>
      <c r="V723" t="s">
        <v>93</v>
      </c>
      <c r="W723" t="s">
        <v>1118</v>
      </c>
      <c r="X723">
        <v>4</v>
      </c>
      <c r="Y723">
        <v>4</v>
      </c>
      <c r="Z723" t="s">
        <v>1112</v>
      </c>
      <c r="AA723" t="s">
        <v>1113</v>
      </c>
      <c r="AB723" t="s">
        <v>96</v>
      </c>
      <c r="AC723" t="s">
        <v>97</v>
      </c>
      <c r="AD723" t="s">
        <v>98</v>
      </c>
      <c r="AE723" t="s">
        <v>987</v>
      </c>
      <c r="AG723" t="s">
        <v>1114</v>
      </c>
      <c r="AH723">
        <v>0</v>
      </c>
      <c r="AI723">
        <v>114</v>
      </c>
      <c r="AJ723">
        <v>38</v>
      </c>
      <c r="AK723">
        <v>116</v>
      </c>
      <c r="AL723">
        <v>2.42</v>
      </c>
    </row>
    <row r="724" spans="1:38" x14ac:dyDescent="0.3">
      <c r="A724" t="s">
        <v>982</v>
      </c>
      <c r="B724">
        <v>27464</v>
      </c>
      <c r="C724">
        <v>8</v>
      </c>
      <c r="D724" t="s">
        <v>1110</v>
      </c>
      <c r="E724" t="s">
        <v>1111</v>
      </c>
      <c r="F724">
        <v>48</v>
      </c>
      <c r="G724">
        <v>62.64</v>
      </c>
      <c r="H724">
        <v>207.09</v>
      </c>
      <c r="I724">
        <v>52.61</v>
      </c>
      <c r="J724">
        <v>173.94</v>
      </c>
      <c r="K724">
        <v>4</v>
      </c>
      <c r="T724">
        <v>5</v>
      </c>
      <c r="U724">
        <v>2</v>
      </c>
      <c r="V724" t="s">
        <v>93</v>
      </c>
      <c r="W724" t="s">
        <v>1119</v>
      </c>
      <c r="X724">
        <v>4</v>
      </c>
      <c r="Y724">
        <v>4</v>
      </c>
      <c r="Z724" t="s">
        <v>1112</v>
      </c>
      <c r="AA724" t="s">
        <v>1113</v>
      </c>
      <c r="AB724" t="s">
        <v>96</v>
      </c>
      <c r="AC724" t="s">
        <v>97</v>
      </c>
      <c r="AD724" t="s">
        <v>98</v>
      </c>
      <c r="AE724" t="s">
        <v>987</v>
      </c>
      <c r="AG724" t="s">
        <v>1114</v>
      </c>
      <c r="AH724">
        <v>0</v>
      </c>
      <c r="AI724">
        <v>114</v>
      </c>
      <c r="AJ724">
        <v>38</v>
      </c>
      <c r="AK724">
        <v>116</v>
      </c>
      <c r="AL724">
        <v>2.42</v>
      </c>
    </row>
    <row r="725" spans="1:38" x14ac:dyDescent="0.3">
      <c r="A725" t="s">
        <v>982</v>
      </c>
      <c r="B725">
        <v>27464</v>
      </c>
      <c r="C725">
        <v>9</v>
      </c>
      <c r="D725" t="s">
        <v>1110</v>
      </c>
      <c r="E725" t="s">
        <v>1111</v>
      </c>
      <c r="F725">
        <v>48</v>
      </c>
      <c r="G725">
        <v>63.16</v>
      </c>
      <c r="H725">
        <v>208.81</v>
      </c>
      <c r="I725">
        <v>53.7</v>
      </c>
      <c r="J725">
        <v>177.54</v>
      </c>
      <c r="K725">
        <v>4</v>
      </c>
      <c r="T725">
        <v>5</v>
      </c>
      <c r="U725">
        <v>2</v>
      </c>
      <c r="V725" t="s">
        <v>93</v>
      </c>
      <c r="W725" t="s">
        <v>1120</v>
      </c>
      <c r="X725">
        <v>4</v>
      </c>
      <c r="Y725">
        <v>4</v>
      </c>
      <c r="Z725" t="s">
        <v>1112</v>
      </c>
      <c r="AA725" t="s">
        <v>1113</v>
      </c>
      <c r="AB725" t="s">
        <v>96</v>
      </c>
      <c r="AC725" t="s">
        <v>97</v>
      </c>
      <c r="AD725" t="s">
        <v>98</v>
      </c>
      <c r="AE725" t="s">
        <v>987</v>
      </c>
      <c r="AG725" t="s">
        <v>1114</v>
      </c>
      <c r="AH725">
        <v>0</v>
      </c>
      <c r="AI725">
        <v>114</v>
      </c>
      <c r="AJ725">
        <v>38</v>
      </c>
      <c r="AK725">
        <v>116</v>
      </c>
      <c r="AL725">
        <v>2.42</v>
      </c>
    </row>
    <row r="726" spans="1:38" x14ac:dyDescent="0.3">
      <c r="A726" t="s">
        <v>982</v>
      </c>
      <c r="B726">
        <v>27464</v>
      </c>
      <c r="C726">
        <v>10</v>
      </c>
      <c r="D726" t="s">
        <v>1110</v>
      </c>
      <c r="E726" t="s">
        <v>1111</v>
      </c>
      <c r="F726">
        <v>48</v>
      </c>
      <c r="G726">
        <v>63.34</v>
      </c>
      <c r="H726">
        <v>209.41</v>
      </c>
      <c r="I726">
        <v>53.56</v>
      </c>
      <c r="J726">
        <v>177.07</v>
      </c>
      <c r="K726">
        <v>4</v>
      </c>
      <c r="T726">
        <v>5</v>
      </c>
      <c r="U726">
        <v>2</v>
      </c>
      <c r="V726" t="s">
        <v>93</v>
      </c>
      <c r="W726" t="s">
        <v>1121</v>
      </c>
      <c r="X726">
        <v>4</v>
      </c>
      <c r="Y726">
        <v>4</v>
      </c>
      <c r="Z726" t="s">
        <v>1112</v>
      </c>
      <c r="AA726" t="s">
        <v>1113</v>
      </c>
      <c r="AB726" t="s">
        <v>96</v>
      </c>
      <c r="AC726" t="s">
        <v>97</v>
      </c>
      <c r="AD726" t="s">
        <v>98</v>
      </c>
      <c r="AE726" t="s">
        <v>987</v>
      </c>
      <c r="AG726" t="s">
        <v>1114</v>
      </c>
      <c r="AH726">
        <v>0</v>
      </c>
      <c r="AI726">
        <v>114</v>
      </c>
      <c r="AJ726">
        <v>38</v>
      </c>
      <c r="AK726">
        <v>116</v>
      </c>
      <c r="AL726">
        <v>2.42</v>
      </c>
    </row>
    <row r="727" spans="1:38" x14ac:dyDescent="0.3">
      <c r="A727" t="s">
        <v>982</v>
      </c>
      <c r="B727">
        <v>12843</v>
      </c>
      <c r="C727">
        <v>1</v>
      </c>
      <c r="D727" t="s">
        <v>1122</v>
      </c>
      <c r="E727" t="s">
        <v>1123</v>
      </c>
      <c r="F727">
        <v>39</v>
      </c>
      <c r="G727">
        <v>25</v>
      </c>
      <c r="H727">
        <v>82.65</v>
      </c>
      <c r="I727">
        <v>20.41</v>
      </c>
      <c r="J727">
        <v>67.5</v>
      </c>
      <c r="K727">
        <v>38</v>
      </c>
      <c r="T727">
        <v>3</v>
      </c>
      <c r="U727">
        <v>1</v>
      </c>
      <c r="V727" t="s">
        <v>118</v>
      </c>
      <c r="W727">
        <v>82</v>
      </c>
      <c r="X727">
        <v>5</v>
      </c>
      <c r="Y727">
        <v>4</v>
      </c>
      <c r="Z727" t="s">
        <v>1124</v>
      </c>
      <c r="AA727" t="s">
        <v>1125</v>
      </c>
      <c r="AB727" t="s">
        <v>96</v>
      </c>
      <c r="AC727" t="s">
        <v>97</v>
      </c>
      <c r="AD727" t="s">
        <v>98</v>
      </c>
      <c r="AE727" t="s">
        <v>987</v>
      </c>
      <c r="AG727" t="s">
        <v>1126</v>
      </c>
      <c r="AH727">
        <v>0</v>
      </c>
      <c r="AI727">
        <v>0</v>
      </c>
      <c r="AJ727">
        <v>0</v>
      </c>
      <c r="AK727">
        <v>0</v>
      </c>
      <c r="AL727">
        <v>0</v>
      </c>
    </row>
    <row r="728" spans="1:38" x14ac:dyDescent="0.3">
      <c r="A728" t="s">
        <v>982</v>
      </c>
      <c r="B728">
        <v>12843</v>
      </c>
      <c r="C728">
        <v>2</v>
      </c>
      <c r="D728" t="s">
        <v>1122</v>
      </c>
      <c r="E728" t="s">
        <v>1123</v>
      </c>
      <c r="F728">
        <v>39</v>
      </c>
      <c r="G728">
        <v>29.99</v>
      </c>
      <c r="H728">
        <v>99.17</v>
      </c>
      <c r="I728">
        <v>20.420000000000002</v>
      </c>
      <c r="J728">
        <v>67.510000000000005</v>
      </c>
      <c r="K728">
        <v>1</v>
      </c>
      <c r="T728">
        <v>3</v>
      </c>
      <c r="U728">
        <v>1</v>
      </c>
      <c r="V728" t="s">
        <v>118</v>
      </c>
      <c r="W728">
        <v>99</v>
      </c>
      <c r="X728">
        <v>5</v>
      </c>
      <c r="Y728">
        <v>4</v>
      </c>
      <c r="Z728" t="s">
        <v>1124</v>
      </c>
      <c r="AA728" t="s">
        <v>1125</v>
      </c>
      <c r="AB728" t="s">
        <v>96</v>
      </c>
      <c r="AC728" t="s">
        <v>97</v>
      </c>
      <c r="AD728" t="s">
        <v>98</v>
      </c>
      <c r="AE728" t="s">
        <v>987</v>
      </c>
      <c r="AG728" t="s">
        <v>1126</v>
      </c>
      <c r="AH728">
        <v>0</v>
      </c>
      <c r="AI728">
        <v>0</v>
      </c>
      <c r="AJ728">
        <v>0</v>
      </c>
      <c r="AK728">
        <v>0</v>
      </c>
      <c r="AL728">
        <v>0</v>
      </c>
    </row>
    <row r="729" spans="1:38" x14ac:dyDescent="0.3">
      <c r="A729" t="s">
        <v>982</v>
      </c>
      <c r="B729">
        <v>26431</v>
      </c>
      <c r="C729">
        <v>1</v>
      </c>
      <c r="D729" t="s">
        <v>1127</v>
      </c>
      <c r="E729" t="s">
        <v>1128</v>
      </c>
      <c r="F729">
        <v>293</v>
      </c>
      <c r="G729">
        <v>33.229999999999997</v>
      </c>
      <c r="H729">
        <v>109.87</v>
      </c>
      <c r="I729">
        <v>25.68</v>
      </c>
      <c r="J729">
        <v>84.9</v>
      </c>
      <c r="K729">
        <v>79</v>
      </c>
      <c r="T729">
        <v>3</v>
      </c>
      <c r="U729">
        <v>2</v>
      </c>
      <c r="V729" t="s">
        <v>93</v>
      </c>
      <c r="W729" t="s">
        <v>171</v>
      </c>
      <c r="X729">
        <v>28</v>
      </c>
      <c r="Y729">
        <v>27</v>
      </c>
      <c r="Z729" t="s">
        <v>1129</v>
      </c>
      <c r="AA729" t="s">
        <v>1130</v>
      </c>
      <c r="AB729" t="s">
        <v>96</v>
      </c>
      <c r="AC729" t="s">
        <v>97</v>
      </c>
      <c r="AD729" t="s">
        <v>98</v>
      </c>
      <c r="AE729" t="s">
        <v>987</v>
      </c>
      <c r="AG729" t="s">
        <v>1131</v>
      </c>
      <c r="AH729">
        <v>0</v>
      </c>
      <c r="AI729">
        <v>223</v>
      </c>
      <c r="AJ729">
        <v>13</v>
      </c>
      <c r="AK729">
        <v>355</v>
      </c>
      <c r="AL729">
        <v>1.21</v>
      </c>
    </row>
    <row r="730" spans="1:38" x14ac:dyDescent="0.3">
      <c r="A730" t="s">
        <v>982</v>
      </c>
      <c r="B730">
        <v>26431</v>
      </c>
      <c r="C730">
        <v>2</v>
      </c>
      <c r="D730" t="s">
        <v>1127</v>
      </c>
      <c r="E730" t="s">
        <v>1128</v>
      </c>
      <c r="F730">
        <v>293</v>
      </c>
      <c r="G730">
        <v>33.369999999999997</v>
      </c>
      <c r="H730">
        <v>110.34</v>
      </c>
      <c r="I730">
        <v>25.63</v>
      </c>
      <c r="J730">
        <v>84.73</v>
      </c>
      <c r="K730">
        <v>106</v>
      </c>
      <c r="T730">
        <v>3</v>
      </c>
      <c r="U730">
        <v>2</v>
      </c>
      <c r="V730" t="s">
        <v>93</v>
      </c>
      <c r="W730" t="s">
        <v>1132</v>
      </c>
      <c r="X730">
        <v>28</v>
      </c>
      <c r="Y730">
        <v>27</v>
      </c>
      <c r="Z730" t="s">
        <v>1129</v>
      </c>
      <c r="AA730" t="s">
        <v>1130</v>
      </c>
      <c r="AB730" t="s">
        <v>96</v>
      </c>
      <c r="AC730" t="s">
        <v>97</v>
      </c>
      <c r="AD730" t="s">
        <v>98</v>
      </c>
      <c r="AE730" t="s">
        <v>987</v>
      </c>
      <c r="AG730" t="s">
        <v>1131</v>
      </c>
      <c r="AH730">
        <v>0</v>
      </c>
      <c r="AI730">
        <v>223</v>
      </c>
      <c r="AJ730">
        <v>13</v>
      </c>
      <c r="AK730">
        <v>355</v>
      </c>
      <c r="AL730">
        <v>1.21</v>
      </c>
    </row>
    <row r="731" spans="1:38" x14ac:dyDescent="0.3">
      <c r="A731" t="s">
        <v>982</v>
      </c>
      <c r="B731">
        <v>26431</v>
      </c>
      <c r="C731">
        <v>3</v>
      </c>
      <c r="D731" t="s">
        <v>1127</v>
      </c>
      <c r="E731" t="s">
        <v>1128</v>
      </c>
      <c r="F731">
        <v>293</v>
      </c>
      <c r="G731">
        <v>33.33</v>
      </c>
      <c r="H731">
        <v>110.21</v>
      </c>
      <c r="I731">
        <v>25.7</v>
      </c>
      <c r="J731">
        <v>84.99</v>
      </c>
      <c r="K731">
        <v>54</v>
      </c>
      <c r="T731">
        <v>3</v>
      </c>
      <c r="U731">
        <v>2</v>
      </c>
      <c r="V731" t="s">
        <v>93</v>
      </c>
      <c r="W731" t="s">
        <v>1133</v>
      </c>
      <c r="X731">
        <v>28</v>
      </c>
      <c r="Y731">
        <v>27</v>
      </c>
      <c r="Z731" t="s">
        <v>1129</v>
      </c>
      <c r="AA731" t="s">
        <v>1130</v>
      </c>
      <c r="AB731" t="s">
        <v>96</v>
      </c>
      <c r="AC731" t="s">
        <v>97</v>
      </c>
      <c r="AD731" t="s">
        <v>98</v>
      </c>
      <c r="AE731" t="s">
        <v>987</v>
      </c>
      <c r="AG731" t="s">
        <v>1131</v>
      </c>
      <c r="AH731">
        <v>0</v>
      </c>
      <c r="AI731">
        <v>223</v>
      </c>
      <c r="AJ731">
        <v>13</v>
      </c>
      <c r="AK731">
        <v>355</v>
      </c>
      <c r="AL731">
        <v>1.21</v>
      </c>
    </row>
    <row r="732" spans="1:38" x14ac:dyDescent="0.3">
      <c r="A732" t="s">
        <v>982</v>
      </c>
      <c r="B732">
        <v>26431</v>
      </c>
      <c r="C732">
        <v>4</v>
      </c>
      <c r="D732" t="s">
        <v>1127</v>
      </c>
      <c r="E732" t="s">
        <v>1128</v>
      </c>
      <c r="F732">
        <v>293</v>
      </c>
      <c r="G732">
        <v>43.31</v>
      </c>
      <c r="H732">
        <v>143.19</v>
      </c>
      <c r="I732">
        <v>35.450000000000003</v>
      </c>
      <c r="J732">
        <v>117.21</v>
      </c>
      <c r="K732">
        <v>54</v>
      </c>
      <c r="T732">
        <v>4</v>
      </c>
      <c r="U732">
        <v>2</v>
      </c>
      <c r="V732" t="s">
        <v>93</v>
      </c>
      <c r="W732">
        <v>143</v>
      </c>
      <c r="X732">
        <v>28</v>
      </c>
      <c r="Y732">
        <v>27</v>
      </c>
      <c r="Z732" t="s">
        <v>1129</v>
      </c>
      <c r="AA732" t="s">
        <v>1130</v>
      </c>
      <c r="AB732" t="s">
        <v>96</v>
      </c>
      <c r="AC732" t="s">
        <v>97</v>
      </c>
      <c r="AD732" t="s">
        <v>98</v>
      </c>
      <c r="AE732" t="s">
        <v>987</v>
      </c>
      <c r="AG732" t="s">
        <v>1131</v>
      </c>
      <c r="AH732">
        <v>0</v>
      </c>
      <c r="AI732">
        <v>223</v>
      </c>
      <c r="AJ732">
        <v>13</v>
      </c>
      <c r="AK732">
        <v>355</v>
      </c>
      <c r="AL732">
        <v>1.21</v>
      </c>
    </row>
    <row r="733" spans="1:38" x14ac:dyDescent="0.3">
      <c r="A733" t="s">
        <v>982</v>
      </c>
      <c r="B733">
        <v>103917</v>
      </c>
      <c r="C733">
        <v>1</v>
      </c>
      <c r="D733" t="s">
        <v>1134</v>
      </c>
      <c r="E733" t="s">
        <v>1135</v>
      </c>
      <c r="F733">
        <v>18</v>
      </c>
      <c r="G733">
        <v>15</v>
      </c>
      <c r="H733">
        <v>49.59</v>
      </c>
      <c r="I733">
        <v>13.36</v>
      </c>
      <c r="J733">
        <v>44.19</v>
      </c>
      <c r="K733">
        <v>8</v>
      </c>
      <c r="T733">
        <v>2</v>
      </c>
      <c r="U733">
        <v>1</v>
      </c>
      <c r="V733" t="s">
        <v>93</v>
      </c>
      <c r="W733">
        <v>49</v>
      </c>
      <c r="X733">
        <v>5</v>
      </c>
      <c r="Y733">
        <v>4</v>
      </c>
      <c r="Z733" t="s">
        <v>1136</v>
      </c>
      <c r="AA733" t="s">
        <v>1137</v>
      </c>
      <c r="AB733" t="s">
        <v>96</v>
      </c>
      <c r="AC733" t="s">
        <v>97</v>
      </c>
      <c r="AD733" t="s">
        <v>98</v>
      </c>
      <c r="AE733" t="s">
        <v>987</v>
      </c>
      <c r="AG733" t="s">
        <v>1138</v>
      </c>
      <c r="AH733">
        <v>0</v>
      </c>
      <c r="AI733">
        <v>0</v>
      </c>
      <c r="AJ733">
        <v>0</v>
      </c>
      <c r="AK733">
        <v>0</v>
      </c>
      <c r="AL733">
        <v>0</v>
      </c>
    </row>
    <row r="734" spans="1:38" x14ac:dyDescent="0.3">
      <c r="A734" t="s">
        <v>982</v>
      </c>
      <c r="B734">
        <v>103917</v>
      </c>
      <c r="C734">
        <v>2</v>
      </c>
      <c r="D734" t="s">
        <v>1134</v>
      </c>
      <c r="E734" t="s">
        <v>1135</v>
      </c>
      <c r="F734">
        <v>18</v>
      </c>
      <c r="G734">
        <v>16.12</v>
      </c>
      <c r="H734">
        <v>53.3</v>
      </c>
      <c r="I734">
        <v>14.48</v>
      </c>
      <c r="J734">
        <v>47.9</v>
      </c>
      <c r="K734">
        <v>10</v>
      </c>
      <c r="T734">
        <v>2</v>
      </c>
      <c r="U734">
        <v>1</v>
      </c>
      <c r="V734" t="s">
        <v>93</v>
      </c>
      <c r="W734">
        <v>53</v>
      </c>
      <c r="X734">
        <v>5</v>
      </c>
      <c r="Y734">
        <v>4</v>
      </c>
      <c r="Z734" t="s">
        <v>1136</v>
      </c>
      <c r="AA734" t="s">
        <v>1137</v>
      </c>
      <c r="AB734" t="s">
        <v>96</v>
      </c>
      <c r="AC734" t="s">
        <v>97</v>
      </c>
      <c r="AD734" t="s">
        <v>98</v>
      </c>
      <c r="AE734" t="s">
        <v>987</v>
      </c>
      <c r="AG734" t="s">
        <v>1138</v>
      </c>
      <c r="AH734">
        <v>0</v>
      </c>
      <c r="AI734">
        <v>0</v>
      </c>
      <c r="AJ734">
        <v>0</v>
      </c>
      <c r="AK734">
        <v>0</v>
      </c>
      <c r="AL734">
        <v>0</v>
      </c>
    </row>
  </sheetData>
  <sortState ref="A1:W740">
    <sortCondition ref="A1:A740"/>
    <sortCondition descending="1" ref="F1:F740"/>
    <sortCondition ref="G1:G740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4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5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고등동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1139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고등동 수원역푸르지오자이('21.02.,4086^)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1140</v>
      </c>
      <c r="B6" s="16" t="s">
        <v>1141</v>
      </c>
      <c r="C6" s="28">
        <v>4086</v>
      </c>
      <c r="D6" s="25">
        <v>81.5</v>
      </c>
      <c r="E6" s="106">
        <v>25</v>
      </c>
      <c r="F6" s="25">
        <v>60</v>
      </c>
      <c r="G6" s="27">
        <v>18</v>
      </c>
      <c r="H6" s="28">
        <v>525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64</v>
      </c>
      <c r="T6" s="8" t="s">
        <v>103</v>
      </c>
      <c r="U6" s="13"/>
      <c r="W6" s="25">
        <f>D6</f>
        <v>81.5</v>
      </c>
      <c r="X6" s="106">
        <f>E6</f>
        <v>25</v>
      </c>
      <c r="Y6" s="32">
        <f>H6</f>
        <v>525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수원역푸르지오자이</v>
      </c>
      <c r="AI6" s="106">
        <f>IF(E6="","",E6)</f>
        <v>25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1142</v>
      </c>
      <c r="B7" s="16" t="s">
        <v>1141</v>
      </c>
      <c r="C7" s="28">
        <v>4086</v>
      </c>
      <c r="D7" s="25">
        <v>82.6</v>
      </c>
      <c r="E7" s="106">
        <v>25</v>
      </c>
      <c r="F7" s="25">
        <v>60</v>
      </c>
      <c r="G7" s="27">
        <v>18</v>
      </c>
      <c r="H7" s="28">
        <v>109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1143</v>
      </c>
      <c r="T7" s="8" t="s">
        <v>1144</v>
      </c>
      <c r="U7" s="13"/>
      <c r="W7" s="25">
        <f>D7</f>
        <v>82.6</v>
      </c>
      <c r="X7" s="106">
        <f>E7</f>
        <v>25</v>
      </c>
      <c r="Y7" s="32">
        <f>H7</f>
        <v>109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수원역푸르지오자이</v>
      </c>
      <c r="AI7" s="106">
        <f>IF(E7="","",E7)</f>
        <v>25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1142</v>
      </c>
      <c r="B8" s="16" t="s">
        <v>1141</v>
      </c>
      <c r="C8" s="28">
        <v>4086</v>
      </c>
      <c r="D8" s="25">
        <v>82.6</v>
      </c>
      <c r="E8" s="106">
        <v>25</v>
      </c>
      <c r="F8" s="25">
        <v>60</v>
      </c>
      <c r="G8" s="27">
        <v>18</v>
      </c>
      <c r="H8" s="28">
        <v>18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1143</v>
      </c>
      <c r="T8" s="8" t="s">
        <v>1145</v>
      </c>
      <c r="U8" s="13"/>
      <c r="W8" s="25">
        <f>D8</f>
        <v>82.6</v>
      </c>
      <c r="X8" s="106">
        <f>E8</f>
        <v>25</v>
      </c>
      <c r="Y8" s="32">
        <f>H8</f>
        <v>18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수원역푸르지오자이</v>
      </c>
      <c r="AI8" s="106">
        <f>IF(E8="","",E8)</f>
        <v>25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1142</v>
      </c>
      <c r="B9" s="16" t="s">
        <v>1141</v>
      </c>
      <c r="C9" s="28">
        <v>4086</v>
      </c>
      <c r="D9" s="25">
        <v>100.9</v>
      </c>
      <c r="E9" s="106">
        <v>31</v>
      </c>
      <c r="F9" s="25">
        <v>75</v>
      </c>
      <c r="G9" s="27">
        <v>23</v>
      </c>
      <c r="H9" s="28">
        <v>1294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1143</v>
      </c>
      <c r="T9" s="8" t="s">
        <v>1146</v>
      </c>
      <c r="U9" s="13"/>
      <c r="W9" s="25">
        <f>D9</f>
        <v>100.9</v>
      </c>
      <c r="X9" s="106">
        <f>E9</f>
        <v>31</v>
      </c>
      <c r="Y9" s="32">
        <f>H9</f>
        <v>1294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수원역푸르지오자이</v>
      </c>
      <c r="AI9" s="106">
        <f>IF(E9="","",E9)</f>
        <v>31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1142</v>
      </c>
      <c r="B10" s="16" t="s">
        <v>1141</v>
      </c>
      <c r="C10" s="28">
        <v>4086</v>
      </c>
      <c r="D10" s="25">
        <v>101.8</v>
      </c>
      <c r="E10" s="106">
        <v>31</v>
      </c>
      <c r="F10" s="25">
        <v>75</v>
      </c>
      <c r="G10" s="27">
        <v>23</v>
      </c>
      <c r="H10" s="28">
        <v>288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1143</v>
      </c>
      <c r="T10" s="8" t="s">
        <v>1147</v>
      </c>
      <c r="U10" s="13"/>
      <c r="W10" s="25">
        <f>D10</f>
        <v>101.8</v>
      </c>
      <c r="X10" s="106">
        <f>E10</f>
        <v>31</v>
      </c>
      <c r="Y10" s="32">
        <f>H10</f>
        <v>288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수원역푸르지오자이</v>
      </c>
      <c r="AI10" s="106">
        <f>IF(E10="","",E10)</f>
        <v>31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1142</v>
      </c>
      <c r="B11" s="16" t="s">
        <v>1141</v>
      </c>
      <c r="C11" s="28">
        <v>4086</v>
      </c>
      <c r="D11" s="25">
        <v>101.7</v>
      </c>
      <c r="E11" s="106">
        <v>31</v>
      </c>
      <c r="F11" s="25">
        <v>75</v>
      </c>
      <c r="G11" s="27">
        <v>23</v>
      </c>
      <c r="H11" s="28">
        <v>49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1143</v>
      </c>
      <c r="T11" s="8" t="s">
        <v>1148</v>
      </c>
      <c r="U11" s="13"/>
      <c r="W11" s="25">
        <f>D11</f>
        <v>101.7</v>
      </c>
      <c r="X11" s="106">
        <f>E11</f>
        <v>31</v>
      </c>
      <c r="Y11" s="32">
        <f>H11</f>
        <v>49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수원역푸르지오자이</v>
      </c>
      <c r="AI11" s="106">
        <f>IF(E11="","",E11)</f>
        <v>31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1142</v>
      </c>
      <c r="B12" s="16" t="s">
        <v>1141</v>
      </c>
      <c r="C12" s="28">
        <v>4086</v>
      </c>
      <c r="D12" s="25">
        <v>114.5</v>
      </c>
      <c r="E12" s="106">
        <v>35</v>
      </c>
      <c r="F12" s="25">
        <v>85</v>
      </c>
      <c r="G12" s="27">
        <v>26</v>
      </c>
      <c r="H12" s="28">
        <v>448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3" t="s">
        <v>1143</v>
      </c>
      <c r="T12" s="8" t="s">
        <v>1149</v>
      </c>
      <c r="U12" s="13"/>
      <c r="W12" s="25">
        <f>D12</f>
        <v>114.5</v>
      </c>
      <c r="X12" s="106">
        <f>E12</f>
        <v>35</v>
      </c>
      <c r="Y12" s="32">
        <f>H12</f>
        <v>448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3/2</v>
      </c>
      <c r="AH12" s="36" t="str">
        <f>IF(A12="","",A12)</f>
        <v>수원역푸르지오자이</v>
      </c>
      <c r="AI12" s="106">
        <f>IF(E12="","",E12)</f>
        <v>35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1142</v>
      </c>
      <c r="B13" s="16" t="s">
        <v>1141</v>
      </c>
      <c r="C13" s="28">
        <v>4086</v>
      </c>
      <c r="D13" s="25">
        <v>114.7</v>
      </c>
      <c r="E13" s="106">
        <v>35</v>
      </c>
      <c r="F13" s="25">
        <v>85</v>
      </c>
      <c r="G13" s="27">
        <v>26</v>
      </c>
      <c r="H13" s="28">
        <v>436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1143</v>
      </c>
      <c r="T13" s="8" t="s">
        <v>1150</v>
      </c>
      <c r="U13" s="13"/>
      <c r="W13" s="25">
        <f>D13</f>
        <v>114.7</v>
      </c>
      <c r="X13" s="106">
        <f>E13</f>
        <v>35</v>
      </c>
      <c r="Y13" s="32">
        <f>H13</f>
        <v>436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수원역푸르지오자이</v>
      </c>
      <c r="AI13" s="106">
        <f>IF(E13="","",E13)</f>
        <v>35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1142</v>
      </c>
      <c r="B14" s="16" t="s">
        <v>1141</v>
      </c>
      <c r="C14" s="28">
        <v>4086</v>
      </c>
      <c r="D14" s="25">
        <v>114.6</v>
      </c>
      <c r="E14" s="106">
        <v>35</v>
      </c>
      <c r="F14" s="25">
        <v>85</v>
      </c>
      <c r="G14" s="27">
        <v>26</v>
      </c>
      <c r="H14" s="28">
        <v>272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4</v>
      </c>
      <c r="R14" s="15">
        <v>2</v>
      </c>
      <c r="S14" s="113" t="s">
        <v>1143</v>
      </c>
      <c r="T14" s="8" t="s">
        <v>1151</v>
      </c>
      <c r="U14" s="13"/>
      <c r="W14" s="25">
        <f>D14</f>
        <v>114.6</v>
      </c>
      <c r="X14" s="106">
        <f>E14</f>
        <v>35</v>
      </c>
      <c r="Y14" s="32">
        <f>H14</f>
        <v>272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4/2</v>
      </c>
      <c r="AH14" s="36" t="str">
        <f>IF(A14="","",A14)</f>
        <v>수원역푸르지오자이</v>
      </c>
      <c r="AI14" s="106">
        <f>IF(E14="","",E14)</f>
        <v>35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1142</v>
      </c>
      <c r="B15" s="16" t="s">
        <v>1141</v>
      </c>
      <c r="C15" s="28">
        <v>4086</v>
      </c>
      <c r="D15" s="25">
        <v>114.8</v>
      </c>
      <c r="E15" s="106">
        <v>35</v>
      </c>
      <c r="F15" s="25">
        <v>85</v>
      </c>
      <c r="G15" s="27">
        <v>26</v>
      </c>
      <c r="H15" s="28">
        <v>33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1143</v>
      </c>
      <c r="T15" s="8" t="s">
        <v>1152</v>
      </c>
      <c r="U15" s="13"/>
      <c r="W15" s="25">
        <f>D15</f>
        <v>114.8</v>
      </c>
      <c r="X15" s="106">
        <f>E15</f>
        <v>35</v>
      </c>
      <c r="Y15" s="32">
        <f>H15</f>
        <v>33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수원역푸르지오자이</v>
      </c>
      <c r="AI15" s="106">
        <f>IF(E15="","",E15)</f>
        <v>35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</sheetData>
  <mergeCells count="1">
    <mergeCell ref="AJ1:AN1"/>
  </mergeCells>
  <phoneticPr fontId="2" type="noConversion"/>
  <conditionalFormatting sqref="AV4:AV6">
    <cfRule type="expression" dxfId="3527" priority="191">
      <formula>AV4="X"</formula>
    </cfRule>
    <cfRule type="expression" dxfId="3526" priority="192">
      <formula>AV4="후보"</formula>
    </cfRule>
  </conditionalFormatting>
  <conditionalFormatting sqref="Z2:Z6">
    <cfRule type="colorScale" priority="1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3525" priority="188" operator="greaterThan">
      <formula>0.9</formula>
    </cfRule>
    <cfRule type="cellIs" dxfId="3524" priority="189" operator="greaterThan">
      <formula>0.85</formula>
    </cfRule>
  </conditionalFormatting>
  <conditionalFormatting sqref="N1:N2">
    <cfRule type="cellIs" dxfId="3523" priority="186" operator="greaterThan">
      <formula>0.9</formula>
    </cfRule>
    <cfRule type="cellIs" dxfId="3522" priority="187" operator="greaterThan">
      <formula>0.85</formula>
    </cfRule>
  </conditionalFormatting>
  <conditionalFormatting sqref="N6">
    <cfRule type="cellIs" dxfId="3521" priority="184" operator="greaterThan">
      <formula>0.9</formula>
    </cfRule>
    <cfRule type="cellIs" dxfId="3520" priority="185" operator="greaterThan">
      <formula>0.85</formula>
    </cfRule>
  </conditionalFormatting>
  <conditionalFormatting sqref="E6">
    <cfRule type="expression" dxfId="3519" priority="180">
      <formula>AND(IF(OR($Q6=1,$Q6=2),1,0),IF($X6&lt;=20,1,0))</formula>
    </cfRule>
    <cfRule type="expression" dxfId="3518" priority="181">
      <formula>AND(IF($Q6=2,1,0),IF($X6&lt;30,1,0))</formula>
    </cfRule>
    <cfRule type="expression" dxfId="3517" priority="182">
      <formula>AND(IF($Q6=3,1,0),IF($X6&lt;30,1,0))</formula>
    </cfRule>
    <cfRule type="expression" dxfId="3516" priority="183">
      <formula>AND(IF($Q6=3,1,IF($Q6=4,1,0)),IF($F6&lt;=85,1,0))</formula>
    </cfRule>
  </conditionalFormatting>
  <conditionalFormatting sqref="X6">
    <cfRule type="expression" dxfId="3515" priority="176">
      <formula>AND(IF(OR($Q6=1,$Q6=2),1,0),IF($X6&lt;=20,1,0))</formula>
    </cfRule>
    <cfRule type="expression" dxfId="3514" priority="177">
      <formula>AND(IF($Q6=2,1,0),IF($X6&lt;30,1,0))</formula>
    </cfRule>
    <cfRule type="expression" dxfId="3513" priority="178">
      <formula>AND(IF($Q6=3,1,0),IF($X6&lt;30,1,0))</formula>
    </cfRule>
    <cfRule type="expression" dxfId="3512" priority="179">
      <formula>AND(IF($Q6=3,1,IF($Q6=4,1,0)),IF($F6&lt;=85,1,0))</formula>
    </cfRule>
  </conditionalFormatting>
  <conditionalFormatting sqref="AI6">
    <cfRule type="expression" dxfId="3511" priority="172">
      <formula>AND(IF(OR($Q6=1,$Q6=2),1,0),IF($X6&lt;=20,1,0))</formula>
    </cfRule>
    <cfRule type="expression" dxfId="3510" priority="173">
      <formula>AND(IF($Q6=2,1,0),IF($X6&lt;30,1,0))</formula>
    </cfRule>
    <cfRule type="expression" dxfId="3509" priority="174">
      <formula>AND(IF($Q6=3,1,0),IF($X6&lt;30,1,0))</formula>
    </cfRule>
    <cfRule type="expression" dxfId="3508" priority="175">
      <formula>AND(IF($Q6=3,1,IF($Q6=4,1,0)),IF($F6&lt;=85,1,0))</formula>
    </cfRule>
  </conditionalFormatting>
  <conditionalFormatting sqref="AV7">
    <cfRule type="expression" dxfId="3507" priority="170">
      <formula>AV7="X"</formula>
    </cfRule>
    <cfRule type="expression" dxfId="3506" priority="171">
      <formula>AV7="후보"</formula>
    </cfRule>
  </conditionalFormatting>
  <conditionalFormatting sqref="Z7">
    <cfRule type="colorScale" priority="1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3505" priority="167" operator="greaterThan">
      <formula>0.9</formula>
    </cfRule>
    <cfRule type="cellIs" dxfId="3504" priority="168" operator="greaterThan">
      <formula>0.85</formula>
    </cfRule>
  </conditionalFormatting>
  <conditionalFormatting sqref="N7">
    <cfRule type="cellIs" dxfId="3503" priority="165" operator="greaterThan">
      <formula>0.9</formula>
    </cfRule>
    <cfRule type="cellIs" dxfId="3502" priority="166" operator="greaterThan">
      <formula>0.85</formula>
    </cfRule>
  </conditionalFormatting>
  <conditionalFormatting sqref="E7">
    <cfRule type="expression" dxfId="3501" priority="161">
      <formula>AND(IF(OR($Q7=1,$Q7=2),1,0),IF($X7&lt;=20,1,0))</formula>
    </cfRule>
    <cfRule type="expression" dxfId="3500" priority="162">
      <formula>AND(IF($Q7=2,1,0),IF($X7&lt;30,1,0))</formula>
    </cfRule>
    <cfRule type="expression" dxfId="3499" priority="163">
      <formula>AND(IF($Q7=3,1,0),IF($X7&lt;30,1,0))</formula>
    </cfRule>
    <cfRule type="expression" dxfId="3498" priority="164">
      <formula>AND(IF($Q7=3,1,IF($Q7=4,1,0)),IF($F7&lt;=85,1,0))</formula>
    </cfRule>
  </conditionalFormatting>
  <conditionalFormatting sqref="X7">
    <cfRule type="expression" dxfId="3497" priority="157">
      <formula>AND(IF(OR($Q7=1,$Q7=2),1,0),IF($X7&lt;=20,1,0))</formula>
    </cfRule>
    <cfRule type="expression" dxfId="3496" priority="158">
      <formula>AND(IF($Q7=2,1,0),IF($X7&lt;30,1,0))</formula>
    </cfRule>
    <cfRule type="expression" dxfId="3495" priority="159">
      <formula>AND(IF($Q7=3,1,0),IF($X7&lt;30,1,0))</formula>
    </cfRule>
    <cfRule type="expression" dxfId="3494" priority="160">
      <formula>AND(IF($Q7=3,1,IF($Q7=4,1,0)),IF($F7&lt;=85,1,0))</formula>
    </cfRule>
  </conditionalFormatting>
  <conditionalFormatting sqref="AI7">
    <cfRule type="expression" dxfId="3493" priority="153">
      <formula>AND(IF(OR($Q7=1,$Q7=2),1,0),IF($X7&lt;=20,1,0))</formula>
    </cfRule>
    <cfRule type="expression" dxfId="3492" priority="154">
      <formula>AND(IF($Q7=2,1,0),IF($X7&lt;30,1,0))</formula>
    </cfRule>
    <cfRule type="expression" dxfId="3491" priority="155">
      <formula>AND(IF($Q7=3,1,0),IF($X7&lt;30,1,0))</formula>
    </cfRule>
    <cfRule type="expression" dxfId="3490" priority="156">
      <formula>AND(IF($Q7=3,1,IF($Q7=4,1,0)),IF($F7&lt;=85,1,0))</formula>
    </cfRule>
  </conditionalFormatting>
  <conditionalFormatting sqref="AV8">
    <cfRule type="expression" dxfId="3489" priority="151">
      <formula>AV8="X"</formula>
    </cfRule>
    <cfRule type="expression" dxfId="3488" priority="152">
      <formula>AV8="후보"</formula>
    </cfRule>
  </conditionalFormatting>
  <conditionalFormatting sqref="Z8">
    <cfRule type="colorScale" priority="1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3487" priority="148" operator="greaterThan">
      <formula>0.9</formula>
    </cfRule>
    <cfRule type="cellIs" dxfId="3486" priority="149" operator="greaterThan">
      <formula>0.85</formula>
    </cfRule>
  </conditionalFormatting>
  <conditionalFormatting sqref="N8">
    <cfRule type="cellIs" dxfId="3485" priority="146" operator="greaterThan">
      <formula>0.9</formula>
    </cfRule>
    <cfRule type="cellIs" dxfId="3484" priority="147" operator="greaterThan">
      <formula>0.85</formula>
    </cfRule>
  </conditionalFormatting>
  <conditionalFormatting sqref="E8">
    <cfRule type="expression" dxfId="3483" priority="142">
      <formula>AND(IF(OR($Q8=1,$Q8=2),1,0),IF($X8&lt;=20,1,0))</formula>
    </cfRule>
    <cfRule type="expression" dxfId="3482" priority="143">
      <formula>AND(IF($Q8=2,1,0),IF($X8&lt;30,1,0))</formula>
    </cfRule>
    <cfRule type="expression" dxfId="3481" priority="144">
      <formula>AND(IF($Q8=3,1,0),IF($X8&lt;30,1,0))</formula>
    </cfRule>
    <cfRule type="expression" dxfId="3480" priority="145">
      <formula>AND(IF($Q8=3,1,IF($Q8=4,1,0)),IF($F8&lt;=85,1,0))</formula>
    </cfRule>
  </conditionalFormatting>
  <conditionalFormatting sqref="X8">
    <cfRule type="expression" dxfId="3479" priority="138">
      <formula>AND(IF(OR($Q8=1,$Q8=2),1,0),IF($X8&lt;=20,1,0))</formula>
    </cfRule>
    <cfRule type="expression" dxfId="3478" priority="139">
      <formula>AND(IF($Q8=2,1,0),IF($X8&lt;30,1,0))</formula>
    </cfRule>
    <cfRule type="expression" dxfId="3477" priority="140">
      <formula>AND(IF($Q8=3,1,0),IF($X8&lt;30,1,0))</formula>
    </cfRule>
    <cfRule type="expression" dxfId="3476" priority="141">
      <formula>AND(IF($Q8=3,1,IF($Q8=4,1,0)),IF($F8&lt;=85,1,0))</formula>
    </cfRule>
  </conditionalFormatting>
  <conditionalFormatting sqref="AI8">
    <cfRule type="expression" dxfId="3475" priority="134">
      <formula>AND(IF(OR($Q8=1,$Q8=2),1,0),IF($X8&lt;=20,1,0))</formula>
    </cfRule>
    <cfRule type="expression" dxfId="3474" priority="135">
      <formula>AND(IF($Q8=2,1,0),IF($X8&lt;30,1,0))</formula>
    </cfRule>
    <cfRule type="expression" dxfId="3473" priority="136">
      <formula>AND(IF($Q8=3,1,0),IF($X8&lt;30,1,0))</formula>
    </cfRule>
    <cfRule type="expression" dxfId="3472" priority="137">
      <formula>AND(IF($Q8=3,1,IF($Q8=4,1,0)),IF($F8&lt;=85,1,0))</formula>
    </cfRule>
  </conditionalFormatting>
  <conditionalFormatting sqref="AV9">
    <cfRule type="expression" dxfId="3471" priority="132">
      <formula>AV9="X"</formula>
    </cfRule>
    <cfRule type="expression" dxfId="3470" priority="133">
      <formula>AV9="후보"</formula>
    </cfRule>
  </conditionalFormatting>
  <conditionalFormatting sqref="Z9">
    <cfRule type="colorScale" priority="1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3469" priority="129" operator="greaterThan">
      <formula>0.9</formula>
    </cfRule>
    <cfRule type="cellIs" dxfId="3468" priority="130" operator="greaterThan">
      <formula>0.85</formula>
    </cfRule>
  </conditionalFormatting>
  <conditionalFormatting sqref="N9">
    <cfRule type="cellIs" dxfId="3467" priority="127" operator="greaterThan">
      <formula>0.9</formula>
    </cfRule>
    <cfRule type="cellIs" dxfId="3466" priority="128" operator="greaterThan">
      <formula>0.85</formula>
    </cfRule>
  </conditionalFormatting>
  <conditionalFormatting sqref="E9">
    <cfRule type="expression" dxfId="3465" priority="123">
      <formula>AND(IF(OR($Q9=1,$Q9=2),1,0),IF($X9&lt;=20,1,0))</formula>
    </cfRule>
    <cfRule type="expression" dxfId="3464" priority="124">
      <formula>AND(IF($Q9=2,1,0),IF($X9&lt;30,1,0))</formula>
    </cfRule>
    <cfRule type="expression" dxfId="3463" priority="125">
      <formula>AND(IF($Q9=3,1,0),IF($X9&lt;30,1,0))</formula>
    </cfRule>
    <cfRule type="expression" dxfId="3462" priority="126">
      <formula>AND(IF($Q9=3,1,IF($Q9=4,1,0)),IF($F9&lt;=85,1,0))</formula>
    </cfRule>
  </conditionalFormatting>
  <conditionalFormatting sqref="X9">
    <cfRule type="expression" dxfId="3461" priority="119">
      <formula>AND(IF(OR($Q9=1,$Q9=2),1,0),IF($X9&lt;=20,1,0))</formula>
    </cfRule>
    <cfRule type="expression" dxfId="3460" priority="120">
      <formula>AND(IF($Q9=2,1,0),IF($X9&lt;30,1,0))</formula>
    </cfRule>
    <cfRule type="expression" dxfId="3459" priority="121">
      <formula>AND(IF($Q9=3,1,0),IF($X9&lt;30,1,0))</formula>
    </cfRule>
    <cfRule type="expression" dxfId="3458" priority="122">
      <formula>AND(IF($Q9=3,1,IF($Q9=4,1,0)),IF($F9&lt;=85,1,0))</formula>
    </cfRule>
  </conditionalFormatting>
  <conditionalFormatting sqref="AI9">
    <cfRule type="expression" dxfId="3457" priority="115">
      <formula>AND(IF(OR($Q9=1,$Q9=2),1,0),IF($X9&lt;=20,1,0))</formula>
    </cfRule>
    <cfRule type="expression" dxfId="3456" priority="116">
      <formula>AND(IF($Q9=2,1,0),IF($X9&lt;30,1,0))</formula>
    </cfRule>
    <cfRule type="expression" dxfId="3455" priority="117">
      <formula>AND(IF($Q9=3,1,0),IF($X9&lt;30,1,0))</formula>
    </cfRule>
    <cfRule type="expression" dxfId="3454" priority="118">
      <formula>AND(IF($Q9=3,1,IF($Q9=4,1,0)),IF($F9&lt;=85,1,0))</formula>
    </cfRule>
  </conditionalFormatting>
  <conditionalFormatting sqref="AV10">
    <cfRule type="expression" dxfId="3453" priority="113">
      <formula>AV10="X"</formula>
    </cfRule>
    <cfRule type="expression" dxfId="3452" priority="114">
      <formula>AV10="후보"</formula>
    </cfRule>
  </conditionalFormatting>
  <conditionalFormatting sqref="Z10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3451" priority="110" operator="greaterThan">
      <formula>0.9</formula>
    </cfRule>
    <cfRule type="cellIs" dxfId="3450" priority="111" operator="greaterThan">
      <formula>0.85</formula>
    </cfRule>
  </conditionalFormatting>
  <conditionalFormatting sqref="N10">
    <cfRule type="cellIs" dxfId="3449" priority="108" operator="greaterThan">
      <formula>0.9</formula>
    </cfRule>
    <cfRule type="cellIs" dxfId="3448" priority="109" operator="greaterThan">
      <formula>0.85</formula>
    </cfRule>
  </conditionalFormatting>
  <conditionalFormatting sqref="E10">
    <cfRule type="expression" dxfId="3447" priority="104">
      <formula>AND(IF(OR($Q10=1,$Q10=2),1,0),IF($X10&lt;=20,1,0))</formula>
    </cfRule>
    <cfRule type="expression" dxfId="3446" priority="105">
      <formula>AND(IF($Q10=2,1,0),IF($X10&lt;30,1,0))</formula>
    </cfRule>
    <cfRule type="expression" dxfId="3445" priority="106">
      <formula>AND(IF($Q10=3,1,0),IF($X10&lt;30,1,0))</formula>
    </cfRule>
    <cfRule type="expression" dxfId="3444" priority="107">
      <formula>AND(IF($Q10=3,1,IF($Q10=4,1,0)),IF($F10&lt;=85,1,0))</formula>
    </cfRule>
  </conditionalFormatting>
  <conditionalFormatting sqref="X10">
    <cfRule type="expression" dxfId="3443" priority="100">
      <formula>AND(IF(OR($Q10=1,$Q10=2),1,0),IF($X10&lt;=20,1,0))</formula>
    </cfRule>
    <cfRule type="expression" dxfId="3442" priority="101">
      <formula>AND(IF($Q10=2,1,0),IF($X10&lt;30,1,0))</formula>
    </cfRule>
    <cfRule type="expression" dxfId="3441" priority="102">
      <formula>AND(IF($Q10=3,1,0),IF($X10&lt;30,1,0))</formula>
    </cfRule>
    <cfRule type="expression" dxfId="3440" priority="103">
      <formula>AND(IF($Q10=3,1,IF($Q10=4,1,0)),IF($F10&lt;=85,1,0))</formula>
    </cfRule>
  </conditionalFormatting>
  <conditionalFormatting sqref="AI10">
    <cfRule type="expression" dxfId="3439" priority="96">
      <formula>AND(IF(OR($Q10=1,$Q10=2),1,0),IF($X10&lt;=20,1,0))</formula>
    </cfRule>
    <cfRule type="expression" dxfId="3438" priority="97">
      <formula>AND(IF($Q10=2,1,0),IF($X10&lt;30,1,0))</formula>
    </cfRule>
    <cfRule type="expression" dxfId="3437" priority="98">
      <formula>AND(IF($Q10=3,1,0),IF($X10&lt;30,1,0))</formula>
    </cfRule>
    <cfRule type="expression" dxfId="3436" priority="99">
      <formula>AND(IF($Q10=3,1,IF($Q10=4,1,0)),IF($F10&lt;=85,1,0))</formula>
    </cfRule>
  </conditionalFormatting>
  <conditionalFormatting sqref="AV11">
    <cfRule type="expression" dxfId="3435" priority="94">
      <formula>AV11="X"</formula>
    </cfRule>
    <cfRule type="expression" dxfId="3434" priority="95">
      <formula>AV11="후보"</formula>
    </cfRule>
  </conditionalFormatting>
  <conditionalFormatting sqref="Z11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3433" priority="91" operator="greaterThan">
      <formula>0.9</formula>
    </cfRule>
    <cfRule type="cellIs" dxfId="3432" priority="92" operator="greaterThan">
      <formula>0.85</formula>
    </cfRule>
  </conditionalFormatting>
  <conditionalFormatting sqref="N11">
    <cfRule type="cellIs" dxfId="3431" priority="89" operator="greaterThan">
      <formula>0.9</formula>
    </cfRule>
    <cfRule type="cellIs" dxfId="3430" priority="90" operator="greaterThan">
      <formula>0.85</formula>
    </cfRule>
  </conditionalFormatting>
  <conditionalFormatting sqref="E11">
    <cfRule type="expression" dxfId="3429" priority="85">
      <formula>AND(IF(OR($Q11=1,$Q11=2),1,0),IF($X11&lt;=20,1,0))</formula>
    </cfRule>
    <cfRule type="expression" dxfId="3428" priority="86">
      <formula>AND(IF($Q11=2,1,0),IF($X11&lt;30,1,0))</formula>
    </cfRule>
    <cfRule type="expression" dxfId="3427" priority="87">
      <formula>AND(IF($Q11=3,1,0),IF($X11&lt;30,1,0))</formula>
    </cfRule>
    <cfRule type="expression" dxfId="3426" priority="88">
      <formula>AND(IF($Q11=3,1,IF($Q11=4,1,0)),IF($F11&lt;=85,1,0))</formula>
    </cfRule>
  </conditionalFormatting>
  <conditionalFormatting sqref="X11">
    <cfRule type="expression" dxfId="3425" priority="81">
      <formula>AND(IF(OR($Q11=1,$Q11=2),1,0),IF($X11&lt;=20,1,0))</formula>
    </cfRule>
    <cfRule type="expression" dxfId="3424" priority="82">
      <formula>AND(IF($Q11=2,1,0),IF($X11&lt;30,1,0))</formula>
    </cfRule>
    <cfRule type="expression" dxfId="3423" priority="83">
      <formula>AND(IF($Q11=3,1,0),IF($X11&lt;30,1,0))</formula>
    </cfRule>
    <cfRule type="expression" dxfId="3422" priority="84">
      <formula>AND(IF($Q11=3,1,IF($Q11=4,1,0)),IF($F11&lt;=85,1,0))</formula>
    </cfRule>
  </conditionalFormatting>
  <conditionalFormatting sqref="AI11">
    <cfRule type="expression" dxfId="3421" priority="77">
      <formula>AND(IF(OR($Q11=1,$Q11=2),1,0),IF($X11&lt;=20,1,0))</formula>
    </cfRule>
    <cfRule type="expression" dxfId="3420" priority="78">
      <formula>AND(IF($Q11=2,1,0),IF($X11&lt;30,1,0))</formula>
    </cfRule>
    <cfRule type="expression" dxfId="3419" priority="79">
      <formula>AND(IF($Q11=3,1,0),IF($X11&lt;30,1,0))</formula>
    </cfRule>
    <cfRule type="expression" dxfId="3418" priority="80">
      <formula>AND(IF($Q11=3,1,IF($Q11=4,1,0)),IF($F11&lt;=85,1,0))</formula>
    </cfRule>
  </conditionalFormatting>
  <conditionalFormatting sqref="AV12">
    <cfRule type="expression" dxfId="3417" priority="75">
      <formula>AV12="X"</formula>
    </cfRule>
    <cfRule type="expression" dxfId="3416" priority="76">
      <formula>AV12="후보"</formula>
    </cfRule>
  </conditionalFormatting>
  <conditionalFormatting sqref="Z12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3415" priority="72" operator="greaterThan">
      <formula>0.9</formula>
    </cfRule>
    <cfRule type="cellIs" dxfId="3414" priority="73" operator="greaterThan">
      <formula>0.85</formula>
    </cfRule>
  </conditionalFormatting>
  <conditionalFormatting sqref="N12">
    <cfRule type="cellIs" dxfId="3413" priority="70" operator="greaterThan">
      <formula>0.9</formula>
    </cfRule>
    <cfRule type="cellIs" dxfId="3412" priority="71" operator="greaterThan">
      <formula>0.85</formula>
    </cfRule>
  </conditionalFormatting>
  <conditionalFormatting sqref="E12">
    <cfRule type="expression" dxfId="3411" priority="66">
      <formula>AND(IF(OR($Q12=1,$Q12=2),1,0),IF($X12&lt;=20,1,0))</formula>
    </cfRule>
    <cfRule type="expression" dxfId="3410" priority="67">
      <formula>AND(IF($Q12=2,1,0),IF($X12&lt;30,1,0))</formula>
    </cfRule>
    <cfRule type="expression" dxfId="3409" priority="68">
      <formula>AND(IF($Q12=3,1,0),IF($X12&lt;30,1,0))</formula>
    </cfRule>
    <cfRule type="expression" dxfId="3408" priority="69">
      <formula>AND(IF($Q12=3,1,IF($Q12=4,1,0)),IF($F12&lt;=85,1,0))</formula>
    </cfRule>
  </conditionalFormatting>
  <conditionalFormatting sqref="X12">
    <cfRule type="expression" dxfId="3407" priority="62">
      <formula>AND(IF(OR($Q12=1,$Q12=2),1,0),IF($X12&lt;=20,1,0))</formula>
    </cfRule>
    <cfRule type="expression" dxfId="3406" priority="63">
      <formula>AND(IF($Q12=2,1,0),IF($X12&lt;30,1,0))</formula>
    </cfRule>
    <cfRule type="expression" dxfId="3405" priority="64">
      <formula>AND(IF($Q12=3,1,0),IF($X12&lt;30,1,0))</formula>
    </cfRule>
    <cfRule type="expression" dxfId="3404" priority="65">
      <formula>AND(IF($Q12=3,1,IF($Q12=4,1,0)),IF($F12&lt;=85,1,0))</formula>
    </cfRule>
  </conditionalFormatting>
  <conditionalFormatting sqref="AI12">
    <cfRule type="expression" dxfId="3403" priority="58">
      <formula>AND(IF(OR($Q12=1,$Q12=2),1,0),IF($X12&lt;=20,1,0))</formula>
    </cfRule>
    <cfRule type="expression" dxfId="3402" priority="59">
      <formula>AND(IF($Q12=2,1,0),IF($X12&lt;30,1,0))</formula>
    </cfRule>
    <cfRule type="expression" dxfId="3401" priority="60">
      <formula>AND(IF($Q12=3,1,0),IF($X12&lt;30,1,0))</formula>
    </cfRule>
    <cfRule type="expression" dxfId="3400" priority="61">
      <formula>AND(IF($Q12=3,1,IF($Q12=4,1,0)),IF($F12&lt;=85,1,0))</formula>
    </cfRule>
  </conditionalFormatting>
  <conditionalFormatting sqref="AV13">
    <cfRule type="expression" dxfId="3399" priority="56">
      <formula>AV13="X"</formula>
    </cfRule>
    <cfRule type="expression" dxfId="3398" priority="57">
      <formula>AV13="후보"</formula>
    </cfRule>
  </conditionalFormatting>
  <conditionalFormatting sqref="Z13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3397" priority="53" operator="greaterThan">
      <formula>0.9</formula>
    </cfRule>
    <cfRule type="cellIs" dxfId="3396" priority="54" operator="greaterThan">
      <formula>0.85</formula>
    </cfRule>
  </conditionalFormatting>
  <conditionalFormatting sqref="N13">
    <cfRule type="cellIs" dxfId="3395" priority="51" operator="greaterThan">
      <formula>0.9</formula>
    </cfRule>
    <cfRule type="cellIs" dxfId="3394" priority="52" operator="greaterThan">
      <formula>0.85</formula>
    </cfRule>
  </conditionalFormatting>
  <conditionalFormatting sqref="E13">
    <cfRule type="expression" dxfId="3393" priority="47">
      <formula>AND(IF(OR($Q13=1,$Q13=2),1,0),IF($X13&lt;=20,1,0))</formula>
    </cfRule>
    <cfRule type="expression" dxfId="3392" priority="48">
      <formula>AND(IF($Q13=2,1,0),IF($X13&lt;30,1,0))</formula>
    </cfRule>
    <cfRule type="expression" dxfId="3391" priority="49">
      <formula>AND(IF($Q13=3,1,0),IF($X13&lt;30,1,0))</formula>
    </cfRule>
    <cfRule type="expression" dxfId="3390" priority="50">
      <formula>AND(IF($Q13=3,1,IF($Q13=4,1,0)),IF($F13&lt;=85,1,0))</formula>
    </cfRule>
  </conditionalFormatting>
  <conditionalFormatting sqref="X13">
    <cfRule type="expression" dxfId="3389" priority="43">
      <formula>AND(IF(OR($Q13=1,$Q13=2),1,0),IF($X13&lt;=20,1,0))</formula>
    </cfRule>
    <cfRule type="expression" dxfId="3388" priority="44">
      <formula>AND(IF($Q13=2,1,0),IF($X13&lt;30,1,0))</formula>
    </cfRule>
    <cfRule type="expression" dxfId="3387" priority="45">
      <formula>AND(IF($Q13=3,1,0),IF($X13&lt;30,1,0))</formula>
    </cfRule>
    <cfRule type="expression" dxfId="3386" priority="46">
      <formula>AND(IF($Q13=3,1,IF($Q13=4,1,0)),IF($F13&lt;=85,1,0))</formula>
    </cfRule>
  </conditionalFormatting>
  <conditionalFormatting sqref="AI13">
    <cfRule type="expression" dxfId="3385" priority="39">
      <formula>AND(IF(OR($Q13=1,$Q13=2),1,0),IF($X13&lt;=20,1,0))</formula>
    </cfRule>
    <cfRule type="expression" dxfId="3384" priority="40">
      <formula>AND(IF($Q13=2,1,0),IF($X13&lt;30,1,0))</formula>
    </cfRule>
    <cfRule type="expression" dxfId="3383" priority="41">
      <formula>AND(IF($Q13=3,1,0),IF($X13&lt;30,1,0))</formula>
    </cfRule>
    <cfRule type="expression" dxfId="3382" priority="42">
      <formula>AND(IF($Q13=3,1,IF($Q13=4,1,0)),IF($F13&lt;=85,1,0))</formula>
    </cfRule>
  </conditionalFormatting>
  <conditionalFormatting sqref="AV14">
    <cfRule type="expression" dxfId="3381" priority="37">
      <formula>AV14="X"</formula>
    </cfRule>
    <cfRule type="expression" dxfId="3380" priority="38">
      <formula>AV14="후보"</formula>
    </cfRule>
  </conditionalFormatting>
  <conditionalFormatting sqref="Z14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3379" priority="34" operator="greaterThan">
      <formula>0.9</formula>
    </cfRule>
    <cfRule type="cellIs" dxfId="3378" priority="35" operator="greaterThan">
      <formula>0.85</formula>
    </cfRule>
  </conditionalFormatting>
  <conditionalFormatting sqref="N14">
    <cfRule type="cellIs" dxfId="3377" priority="32" operator="greaterThan">
      <formula>0.9</formula>
    </cfRule>
    <cfRule type="cellIs" dxfId="3376" priority="33" operator="greaterThan">
      <formula>0.85</formula>
    </cfRule>
  </conditionalFormatting>
  <conditionalFormatting sqref="E14">
    <cfRule type="expression" dxfId="3375" priority="28">
      <formula>AND(IF(OR($Q14=1,$Q14=2),1,0),IF($X14&lt;=20,1,0))</formula>
    </cfRule>
    <cfRule type="expression" dxfId="3374" priority="29">
      <formula>AND(IF($Q14=2,1,0),IF($X14&lt;30,1,0))</formula>
    </cfRule>
    <cfRule type="expression" dxfId="3373" priority="30">
      <formula>AND(IF($Q14=3,1,0),IF($X14&lt;30,1,0))</formula>
    </cfRule>
    <cfRule type="expression" dxfId="3372" priority="31">
      <formula>AND(IF($Q14=3,1,IF($Q14=4,1,0)),IF($F14&lt;=85,1,0))</formula>
    </cfRule>
  </conditionalFormatting>
  <conditionalFormatting sqref="X14">
    <cfRule type="expression" dxfId="3371" priority="24">
      <formula>AND(IF(OR($Q14=1,$Q14=2),1,0),IF($X14&lt;=20,1,0))</formula>
    </cfRule>
    <cfRule type="expression" dxfId="3370" priority="25">
      <formula>AND(IF($Q14=2,1,0),IF($X14&lt;30,1,0))</formula>
    </cfRule>
    <cfRule type="expression" dxfId="3369" priority="26">
      <formula>AND(IF($Q14=3,1,0),IF($X14&lt;30,1,0))</formula>
    </cfRule>
    <cfRule type="expression" dxfId="3368" priority="27">
      <formula>AND(IF($Q14=3,1,IF($Q14=4,1,0)),IF($F14&lt;=85,1,0))</formula>
    </cfRule>
  </conditionalFormatting>
  <conditionalFormatting sqref="AI14">
    <cfRule type="expression" dxfId="3367" priority="20">
      <formula>AND(IF(OR($Q14=1,$Q14=2),1,0),IF($X14&lt;=20,1,0))</formula>
    </cfRule>
    <cfRule type="expression" dxfId="3366" priority="21">
      <formula>AND(IF($Q14=2,1,0),IF($X14&lt;30,1,0))</formula>
    </cfRule>
    <cfRule type="expression" dxfId="3365" priority="22">
      <formula>AND(IF($Q14=3,1,0),IF($X14&lt;30,1,0))</formula>
    </cfRule>
    <cfRule type="expression" dxfId="3364" priority="23">
      <formula>AND(IF($Q14=3,1,IF($Q14=4,1,0)),IF($F14&lt;=85,1,0))</formula>
    </cfRule>
  </conditionalFormatting>
  <conditionalFormatting sqref="AV15">
    <cfRule type="expression" dxfId="3363" priority="18">
      <formula>AV15="X"</formula>
    </cfRule>
    <cfRule type="expression" dxfId="3362" priority="19">
      <formula>AV15="후보"</formula>
    </cfRule>
  </conditionalFormatting>
  <conditionalFormatting sqref="Z15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3361" priority="15" operator="greaterThan">
      <formula>0.9</formula>
    </cfRule>
    <cfRule type="cellIs" dxfId="3360" priority="16" operator="greaterThan">
      <formula>0.85</formula>
    </cfRule>
  </conditionalFormatting>
  <conditionalFormatting sqref="N15">
    <cfRule type="cellIs" dxfId="3359" priority="13" operator="greaterThan">
      <formula>0.9</formula>
    </cfRule>
    <cfRule type="cellIs" dxfId="3358" priority="14" operator="greaterThan">
      <formula>0.85</formula>
    </cfRule>
  </conditionalFormatting>
  <conditionalFormatting sqref="E15">
    <cfRule type="expression" dxfId="3357" priority="9">
      <formula>AND(IF(OR($Q15=1,$Q15=2),1,0),IF($X15&lt;=20,1,0))</formula>
    </cfRule>
    <cfRule type="expression" dxfId="3356" priority="10">
      <formula>AND(IF($Q15=2,1,0),IF($X15&lt;30,1,0))</formula>
    </cfRule>
    <cfRule type="expression" dxfId="3355" priority="11">
      <formula>AND(IF($Q15=3,1,0),IF($X15&lt;30,1,0))</formula>
    </cfRule>
    <cfRule type="expression" dxfId="3354" priority="12">
      <formula>AND(IF($Q15=3,1,IF($Q15=4,1,0)),IF($F15&lt;=85,1,0))</formula>
    </cfRule>
  </conditionalFormatting>
  <conditionalFormatting sqref="X15">
    <cfRule type="expression" dxfId="3353" priority="5">
      <formula>AND(IF(OR($Q15=1,$Q15=2),1,0),IF($X15&lt;=20,1,0))</formula>
    </cfRule>
    <cfRule type="expression" dxfId="3352" priority="6">
      <formula>AND(IF($Q15=2,1,0),IF($X15&lt;30,1,0))</formula>
    </cfRule>
    <cfRule type="expression" dxfId="3351" priority="7">
      <formula>AND(IF($Q15=3,1,0),IF($X15&lt;30,1,0))</formula>
    </cfRule>
    <cfRule type="expression" dxfId="3350" priority="8">
      <formula>AND(IF($Q15=3,1,IF($Q15=4,1,0)),IF($F15&lt;=85,1,0))</formula>
    </cfRule>
  </conditionalFormatting>
  <conditionalFormatting sqref="AI15">
    <cfRule type="expression" dxfId="3349" priority="1">
      <formula>AND(IF(OR($Q15=1,$Q15=2),1,0),IF($X15&lt;=20,1,0))</formula>
    </cfRule>
    <cfRule type="expression" dxfId="3348" priority="2">
      <formula>AND(IF($Q15=2,1,0),IF($X15&lt;30,1,0))</formula>
    </cfRule>
    <cfRule type="expression" dxfId="3347" priority="3">
      <formula>AND(IF($Q15=3,1,0),IF($X15&lt;30,1,0))</formula>
    </cfRule>
    <cfRule type="expression" dxfId="3346" priority="4">
      <formula>AND(IF($Q15=3,1,IF($Q15=4,1,0)),IF($F15&lt;=85,1,0))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교동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1153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교동 힐스테이트푸르지오수원('22.08.,2586^)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1154</v>
      </c>
      <c r="B6" s="16" t="s">
        <v>1155</v>
      </c>
      <c r="C6" s="28">
        <v>2586</v>
      </c>
      <c r="D6" s="25">
        <v>58.2</v>
      </c>
      <c r="E6" s="106">
        <v>18</v>
      </c>
      <c r="F6" s="25">
        <v>39.700000000000003</v>
      </c>
      <c r="G6" s="27">
        <v>12</v>
      </c>
      <c r="H6" s="28">
        <v>166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1</v>
      </c>
      <c r="R6" s="15">
        <v>1</v>
      </c>
      <c r="S6" s="113" t="s">
        <v>1143</v>
      </c>
      <c r="T6" s="8">
        <v>58</v>
      </c>
      <c r="U6" s="13"/>
      <c r="W6" s="25">
        <f>D6</f>
        <v>58.2</v>
      </c>
      <c r="X6" s="106">
        <f>E6</f>
        <v>18</v>
      </c>
      <c r="Y6" s="32">
        <f>H6</f>
        <v>166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1/1</v>
      </c>
      <c r="AH6" s="36" t="str">
        <f>IF(A6="","",A6)</f>
        <v>힐스테이트푸르지오수원</v>
      </c>
      <c r="AI6" s="106">
        <f>IF(E6="","",E6)</f>
        <v>18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1154</v>
      </c>
      <c r="B7" s="16" t="s">
        <v>1155</v>
      </c>
      <c r="C7" s="28">
        <v>2586</v>
      </c>
      <c r="D7" s="25">
        <v>63.5</v>
      </c>
      <c r="E7" s="106">
        <v>19</v>
      </c>
      <c r="F7" s="25">
        <v>43.5</v>
      </c>
      <c r="G7" s="27">
        <v>13</v>
      </c>
      <c r="H7" s="28">
        <v>273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1</v>
      </c>
      <c r="R7" s="15">
        <v>1</v>
      </c>
      <c r="S7" s="113" t="s">
        <v>1143</v>
      </c>
      <c r="T7" s="8">
        <v>63</v>
      </c>
      <c r="U7" s="13"/>
      <c r="W7" s="25">
        <f>D7</f>
        <v>63.5</v>
      </c>
      <c r="X7" s="106">
        <f>E7</f>
        <v>19</v>
      </c>
      <c r="Y7" s="32">
        <f>H7</f>
        <v>273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1/1</v>
      </c>
      <c r="AH7" s="36" t="str">
        <f>IF(A7="","",A7)</f>
        <v>힐스테이트푸르지오수원</v>
      </c>
      <c r="AI7" s="106">
        <f>IF(E7="","",E7)</f>
        <v>19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1154</v>
      </c>
      <c r="B8" s="16" t="s">
        <v>1155</v>
      </c>
      <c r="C8" s="28">
        <v>2586</v>
      </c>
      <c r="D8" s="25">
        <v>74.099999999999994</v>
      </c>
      <c r="E8" s="106">
        <v>22</v>
      </c>
      <c r="F8" s="25">
        <v>49.9</v>
      </c>
      <c r="G8" s="27">
        <v>15</v>
      </c>
      <c r="H8" s="28">
        <v>197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1</v>
      </c>
      <c r="S8" s="113" t="s">
        <v>1143</v>
      </c>
      <c r="T8" s="8">
        <v>74</v>
      </c>
      <c r="U8" s="13"/>
      <c r="W8" s="25">
        <f>D8</f>
        <v>74.099999999999994</v>
      </c>
      <c r="X8" s="106">
        <f>E8</f>
        <v>22</v>
      </c>
      <c r="Y8" s="32">
        <f>H8</f>
        <v>197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3/1</v>
      </c>
      <c r="AH8" s="36" t="str">
        <f>IF(A8="","",A8)</f>
        <v>힐스테이트푸르지오수원</v>
      </c>
      <c r="AI8" s="106">
        <f>IF(E8="","",E8)</f>
        <v>22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1154</v>
      </c>
      <c r="B9" s="16" t="s">
        <v>1155</v>
      </c>
      <c r="C9" s="28">
        <v>2586</v>
      </c>
      <c r="D9" s="25">
        <v>87.8</v>
      </c>
      <c r="E9" s="106">
        <v>27</v>
      </c>
      <c r="F9" s="25">
        <v>60</v>
      </c>
      <c r="G9" s="27">
        <v>18</v>
      </c>
      <c r="H9" s="28">
        <v>503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1143</v>
      </c>
      <c r="T9" s="8" t="s">
        <v>150</v>
      </c>
      <c r="U9" s="13"/>
      <c r="W9" s="25">
        <f>D9</f>
        <v>87.8</v>
      </c>
      <c r="X9" s="106">
        <f>E9</f>
        <v>27</v>
      </c>
      <c r="Y9" s="32">
        <f>H9</f>
        <v>503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힐스테이트푸르지오수원</v>
      </c>
      <c r="AI9" s="106">
        <f>IF(E9="","",E9)</f>
        <v>27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1154</v>
      </c>
      <c r="B10" s="16" t="s">
        <v>1155</v>
      </c>
      <c r="C10" s="28">
        <v>2586</v>
      </c>
      <c r="D10" s="25">
        <v>88.6</v>
      </c>
      <c r="E10" s="106">
        <v>27</v>
      </c>
      <c r="F10" s="25">
        <v>59.9</v>
      </c>
      <c r="G10" s="27">
        <v>18</v>
      </c>
      <c r="H10" s="28">
        <v>512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1143</v>
      </c>
      <c r="T10" s="8" t="s">
        <v>191</v>
      </c>
      <c r="U10" s="13"/>
      <c r="W10" s="25">
        <f>D10</f>
        <v>88.6</v>
      </c>
      <c r="X10" s="106">
        <f>E10</f>
        <v>27</v>
      </c>
      <c r="Y10" s="32">
        <f>H10</f>
        <v>512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힐스테이트푸르지오수원</v>
      </c>
      <c r="AI10" s="106">
        <f>IF(E10="","",E10)</f>
        <v>27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1154</v>
      </c>
      <c r="B11" s="16" t="s">
        <v>1155</v>
      </c>
      <c r="C11" s="28">
        <v>2586</v>
      </c>
      <c r="D11" s="25">
        <v>101.3</v>
      </c>
      <c r="E11" s="106">
        <v>31</v>
      </c>
      <c r="F11" s="25">
        <v>75</v>
      </c>
      <c r="G11" s="27">
        <v>23</v>
      </c>
      <c r="H11" s="28">
        <v>356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1143</v>
      </c>
      <c r="T11" s="8">
        <v>101</v>
      </c>
      <c r="U11" s="13"/>
      <c r="W11" s="25">
        <f>D11</f>
        <v>101.3</v>
      </c>
      <c r="X11" s="106">
        <f>E11</f>
        <v>31</v>
      </c>
      <c r="Y11" s="32">
        <f>H11</f>
        <v>356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힐스테이트푸르지오수원</v>
      </c>
      <c r="AI11" s="106">
        <f>IF(E11="","",E11)</f>
        <v>31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1154</v>
      </c>
      <c r="B12" s="16" t="s">
        <v>1155</v>
      </c>
      <c r="C12" s="28">
        <v>2586</v>
      </c>
      <c r="D12" s="25">
        <v>111.7</v>
      </c>
      <c r="E12" s="106">
        <v>34</v>
      </c>
      <c r="F12" s="25">
        <v>84.9</v>
      </c>
      <c r="G12" s="27">
        <v>26</v>
      </c>
      <c r="H12" s="28">
        <v>552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3" t="s">
        <v>1143</v>
      </c>
      <c r="T12" s="8">
        <v>111</v>
      </c>
      <c r="U12" s="13"/>
      <c r="W12" s="25">
        <f>D12</f>
        <v>111.7</v>
      </c>
      <c r="X12" s="106">
        <f>E12</f>
        <v>34</v>
      </c>
      <c r="Y12" s="32">
        <f>H12</f>
        <v>552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3/2</v>
      </c>
      <c r="AH12" s="36" t="str">
        <f>IF(A12="","",A12)</f>
        <v>힐스테이트푸르지오수원</v>
      </c>
      <c r="AI12" s="106">
        <f>IF(E12="","",E12)</f>
        <v>34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1154</v>
      </c>
      <c r="B13" s="16" t="s">
        <v>1155</v>
      </c>
      <c r="C13" s="28">
        <v>2586</v>
      </c>
      <c r="D13" s="25">
        <v>128.80000000000001</v>
      </c>
      <c r="E13" s="106">
        <v>39</v>
      </c>
      <c r="F13" s="25">
        <v>99</v>
      </c>
      <c r="G13" s="27">
        <v>30</v>
      </c>
      <c r="H13" s="28">
        <v>28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4</v>
      </c>
      <c r="R13" s="15">
        <v>2</v>
      </c>
      <c r="S13" s="113" t="s">
        <v>1143</v>
      </c>
      <c r="T13" s="8">
        <v>128</v>
      </c>
      <c r="U13" s="13"/>
      <c r="W13" s="25">
        <f>D13</f>
        <v>128.80000000000001</v>
      </c>
      <c r="X13" s="106">
        <f>E13</f>
        <v>39</v>
      </c>
      <c r="Y13" s="32">
        <f>H13</f>
        <v>28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4/2</v>
      </c>
      <c r="AH13" s="36" t="str">
        <f>IF(A13="","",A13)</f>
        <v>힐스테이트푸르지오수원</v>
      </c>
      <c r="AI13" s="106">
        <f>IF(E13="","",E13)</f>
        <v>39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X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</sheetData>
  <mergeCells count="1">
    <mergeCell ref="AJ1:AN1"/>
  </mergeCells>
  <phoneticPr fontId="2" type="noConversion"/>
  <conditionalFormatting sqref="AV4:AV6">
    <cfRule type="expression" dxfId="3345" priority="153">
      <formula>AV4="X"</formula>
    </cfRule>
    <cfRule type="expression" dxfId="3344" priority="154">
      <formula>AV4="후보"</formula>
    </cfRule>
  </conditionalFormatting>
  <conditionalFormatting sqref="Z2:Z6">
    <cfRule type="colorScale" priority="1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3343" priority="150" operator="greaterThan">
      <formula>0.9</formula>
    </cfRule>
    <cfRule type="cellIs" dxfId="3342" priority="151" operator="greaterThan">
      <formula>0.85</formula>
    </cfRule>
  </conditionalFormatting>
  <conditionalFormatting sqref="N1:N2">
    <cfRule type="cellIs" dxfId="3341" priority="148" operator="greaterThan">
      <formula>0.9</formula>
    </cfRule>
    <cfRule type="cellIs" dxfId="3340" priority="149" operator="greaterThan">
      <formula>0.85</formula>
    </cfRule>
  </conditionalFormatting>
  <conditionalFormatting sqref="N6">
    <cfRule type="cellIs" dxfId="3339" priority="146" operator="greaterThan">
      <formula>0.9</formula>
    </cfRule>
    <cfRule type="cellIs" dxfId="3338" priority="147" operator="greaterThan">
      <formula>0.85</formula>
    </cfRule>
  </conditionalFormatting>
  <conditionalFormatting sqref="E6">
    <cfRule type="expression" dxfId="3337" priority="142">
      <formula>AND(IF(OR($Q6=1,$Q6=2),1,0),IF($X6&lt;=20,1,0))</formula>
    </cfRule>
    <cfRule type="expression" dxfId="3336" priority="143">
      <formula>AND(IF($Q6=2,1,0),IF($X6&lt;30,1,0))</formula>
    </cfRule>
    <cfRule type="expression" dxfId="3335" priority="144">
      <formula>AND(IF($Q6=3,1,0),IF($X6&lt;30,1,0))</formula>
    </cfRule>
    <cfRule type="expression" dxfId="3334" priority="145">
      <formula>AND(IF($Q6=3,1,IF($Q6=4,1,0)),IF($F6&lt;=85,1,0))</formula>
    </cfRule>
  </conditionalFormatting>
  <conditionalFormatting sqref="X6">
    <cfRule type="expression" dxfId="3333" priority="138">
      <formula>AND(IF(OR($Q6=1,$Q6=2),1,0),IF($X6&lt;=20,1,0))</formula>
    </cfRule>
    <cfRule type="expression" dxfId="3332" priority="139">
      <formula>AND(IF($Q6=2,1,0),IF($X6&lt;30,1,0))</formula>
    </cfRule>
    <cfRule type="expression" dxfId="3331" priority="140">
      <formula>AND(IF($Q6=3,1,0),IF($X6&lt;30,1,0))</formula>
    </cfRule>
    <cfRule type="expression" dxfId="3330" priority="141">
      <formula>AND(IF($Q6=3,1,IF($Q6=4,1,0)),IF($F6&lt;=85,1,0))</formula>
    </cfRule>
  </conditionalFormatting>
  <conditionalFormatting sqref="AI6">
    <cfRule type="expression" dxfId="3329" priority="134">
      <formula>AND(IF(OR($Q6=1,$Q6=2),1,0),IF($X6&lt;=20,1,0))</formula>
    </cfRule>
    <cfRule type="expression" dxfId="3328" priority="135">
      <formula>AND(IF($Q6=2,1,0),IF($X6&lt;30,1,0))</formula>
    </cfRule>
    <cfRule type="expression" dxfId="3327" priority="136">
      <formula>AND(IF($Q6=3,1,0),IF($X6&lt;30,1,0))</formula>
    </cfRule>
    <cfRule type="expression" dxfId="3326" priority="137">
      <formula>AND(IF($Q6=3,1,IF($Q6=4,1,0)),IF($F6&lt;=85,1,0))</formula>
    </cfRule>
  </conditionalFormatting>
  <conditionalFormatting sqref="AV7">
    <cfRule type="expression" dxfId="3325" priority="132">
      <formula>AV7="X"</formula>
    </cfRule>
    <cfRule type="expression" dxfId="3324" priority="133">
      <formula>AV7="후보"</formula>
    </cfRule>
  </conditionalFormatting>
  <conditionalFormatting sqref="Z7">
    <cfRule type="colorScale" priority="1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3323" priority="129" operator="greaterThan">
      <formula>0.9</formula>
    </cfRule>
    <cfRule type="cellIs" dxfId="3322" priority="130" operator="greaterThan">
      <formula>0.85</formula>
    </cfRule>
  </conditionalFormatting>
  <conditionalFormatting sqref="N7">
    <cfRule type="cellIs" dxfId="3321" priority="127" operator="greaterThan">
      <formula>0.9</formula>
    </cfRule>
    <cfRule type="cellIs" dxfId="3320" priority="128" operator="greaterThan">
      <formula>0.85</formula>
    </cfRule>
  </conditionalFormatting>
  <conditionalFormatting sqref="E7">
    <cfRule type="expression" dxfId="3319" priority="123">
      <formula>AND(IF(OR($Q7=1,$Q7=2),1,0),IF($X7&lt;=20,1,0))</formula>
    </cfRule>
    <cfRule type="expression" dxfId="3318" priority="124">
      <formula>AND(IF($Q7=2,1,0),IF($X7&lt;30,1,0))</formula>
    </cfRule>
    <cfRule type="expression" dxfId="3317" priority="125">
      <formula>AND(IF($Q7=3,1,0),IF($X7&lt;30,1,0))</formula>
    </cfRule>
    <cfRule type="expression" dxfId="3316" priority="126">
      <formula>AND(IF($Q7=3,1,IF($Q7=4,1,0)),IF($F7&lt;=85,1,0))</formula>
    </cfRule>
  </conditionalFormatting>
  <conditionalFormatting sqref="X7">
    <cfRule type="expression" dxfId="3315" priority="119">
      <formula>AND(IF(OR($Q7=1,$Q7=2),1,0),IF($X7&lt;=20,1,0))</formula>
    </cfRule>
    <cfRule type="expression" dxfId="3314" priority="120">
      <formula>AND(IF($Q7=2,1,0),IF($X7&lt;30,1,0))</formula>
    </cfRule>
    <cfRule type="expression" dxfId="3313" priority="121">
      <formula>AND(IF($Q7=3,1,0),IF($X7&lt;30,1,0))</formula>
    </cfRule>
    <cfRule type="expression" dxfId="3312" priority="122">
      <formula>AND(IF($Q7=3,1,IF($Q7=4,1,0)),IF($F7&lt;=85,1,0))</formula>
    </cfRule>
  </conditionalFormatting>
  <conditionalFormatting sqref="AI7">
    <cfRule type="expression" dxfId="3311" priority="115">
      <formula>AND(IF(OR($Q7=1,$Q7=2),1,0),IF($X7&lt;=20,1,0))</formula>
    </cfRule>
    <cfRule type="expression" dxfId="3310" priority="116">
      <formula>AND(IF($Q7=2,1,0),IF($X7&lt;30,1,0))</formula>
    </cfRule>
    <cfRule type="expression" dxfId="3309" priority="117">
      <formula>AND(IF($Q7=3,1,0),IF($X7&lt;30,1,0))</formula>
    </cfRule>
    <cfRule type="expression" dxfId="3308" priority="118">
      <formula>AND(IF($Q7=3,1,IF($Q7=4,1,0)),IF($F7&lt;=85,1,0))</formula>
    </cfRule>
  </conditionalFormatting>
  <conditionalFormatting sqref="AV8">
    <cfRule type="expression" dxfId="3307" priority="113">
      <formula>AV8="X"</formula>
    </cfRule>
    <cfRule type="expression" dxfId="3306" priority="114">
      <formula>AV8="후보"</formula>
    </cfRule>
  </conditionalFormatting>
  <conditionalFormatting sqref="Z8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3305" priority="110" operator="greaterThan">
      <formula>0.9</formula>
    </cfRule>
    <cfRule type="cellIs" dxfId="3304" priority="111" operator="greaterThan">
      <formula>0.85</formula>
    </cfRule>
  </conditionalFormatting>
  <conditionalFormatting sqref="N8">
    <cfRule type="cellIs" dxfId="3303" priority="108" operator="greaterThan">
      <formula>0.9</formula>
    </cfRule>
    <cfRule type="cellIs" dxfId="3302" priority="109" operator="greaterThan">
      <formula>0.85</formula>
    </cfRule>
  </conditionalFormatting>
  <conditionalFormatting sqref="E8">
    <cfRule type="expression" dxfId="3301" priority="104">
      <formula>AND(IF(OR($Q8=1,$Q8=2),1,0),IF($X8&lt;=20,1,0))</formula>
    </cfRule>
    <cfRule type="expression" dxfId="3300" priority="105">
      <formula>AND(IF($Q8=2,1,0),IF($X8&lt;30,1,0))</formula>
    </cfRule>
    <cfRule type="expression" dxfId="3299" priority="106">
      <formula>AND(IF($Q8=3,1,0),IF($X8&lt;30,1,0))</formula>
    </cfRule>
    <cfRule type="expression" dxfId="3298" priority="107">
      <formula>AND(IF($Q8=3,1,IF($Q8=4,1,0)),IF($F8&lt;=85,1,0))</formula>
    </cfRule>
  </conditionalFormatting>
  <conditionalFormatting sqref="X8">
    <cfRule type="expression" dxfId="3297" priority="100">
      <formula>AND(IF(OR($Q8=1,$Q8=2),1,0),IF($X8&lt;=20,1,0))</formula>
    </cfRule>
    <cfRule type="expression" dxfId="3296" priority="101">
      <formula>AND(IF($Q8=2,1,0),IF($X8&lt;30,1,0))</formula>
    </cfRule>
    <cfRule type="expression" dxfId="3295" priority="102">
      <formula>AND(IF($Q8=3,1,0),IF($X8&lt;30,1,0))</formula>
    </cfRule>
    <cfRule type="expression" dxfId="3294" priority="103">
      <formula>AND(IF($Q8=3,1,IF($Q8=4,1,0)),IF($F8&lt;=85,1,0))</formula>
    </cfRule>
  </conditionalFormatting>
  <conditionalFormatting sqref="AI8">
    <cfRule type="expression" dxfId="3293" priority="96">
      <formula>AND(IF(OR($Q8=1,$Q8=2),1,0),IF($X8&lt;=20,1,0))</formula>
    </cfRule>
    <cfRule type="expression" dxfId="3292" priority="97">
      <formula>AND(IF($Q8=2,1,0),IF($X8&lt;30,1,0))</formula>
    </cfRule>
    <cfRule type="expression" dxfId="3291" priority="98">
      <formula>AND(IF($Q8=3,1,0),IF($X8&lt;30,1,0))</formula>
    </cfRule>
    <cfRule type="expression" dxfId="3290" priority="99">
      <formula>AND(IF($Q8=3,1,IF($Q8=4,1,0)),IF($F8&lt;=85,1,0))</formula>
    </cfRule>
  </conditionalFormatting>
  <conditionalFormatting sqref="AV9">
    <cfRule type="expression" dxfId="3289" priority="94">
      <formula>AV9="X"</formula>
    </cfRule>
    <cfRule type="expression" dxfId="3288" priority="95">
      <formula>AV9="후보"</formula>
    </cfRule>
  </conditionalFormatting>
  <conditionalFormatting sqref="Z9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3287" priority="91" operator="greaterThan">
      <formula>0.9</formula>
    </cfRule>
    <cfRule type="cellIs" dxfId="3286" priority="92" operator="greaterThan">
      <formula>0.85</formula>
    </cfRule>
  </conditionalFormatting>
  <conditionalFormatting sqref="N9">
    <cfRule type="cellIs" dxfId="3285" priority="89" operator="greaterThan">
      <formula>0.9</formula>
    </cfRule>
    <cfRule type="cellIs" dxfId="3284" priority="90" operator="greaterThan">
      <formula>0.85</formula>
    </cfRule>
  </conditionalFormatting>
  <conditionalFormatting sqref="E9">
    <cfRule type="expression" dxfId="3283" priority="85">
      <formula>AND(IF(OR($Q9=1,$Q9=2),1,0),IF($X9&lt;=20,1,0))</formula>
    </cfRule>
    <cfRule type="expression" dxfId="3282" priority="86">
      <formula>AND(IF($Q9=2,1,0),IF($X9&lt;30,1,0))</formula>
    </cfRule>
    <cfRule type="expression" dxfId="3281" priority="87">
      <formula>AND(IF($Q9=3,1,0),IF($X9&lt;30,1,0))</formula>
    </cfRule>
    <cfRule type="expression" dxfId="3280" priority="88">
      <formula>AND(IF($Q9=3,1,IF($Q9=4,1,0)),IF($F9&lt;=85,1,0))</formula>
    </cfRule>
  </conditionalFormatting>
  <conditionalFormatting sqref="X9">
    <cfRule type="expression" dxfId="3279" priority="81">
      <formula>AND(IF(OR($Q9=1,$Q9=2),1,0),IF($X9&lt;=20,1,0))</formula>
    </cfRule>
    <cfRule type="expression" dxfId="3278" priority="82">
      <formula>AND(IF($Q9=2,1,0),IF($X9&lt;30,1,0))</formula>
    </cfRule>
    <cfRule type="expression" dxfId="3277" priority="83">
      <formula>AND(IF($Q9=3,1,0),IF($X9&lt;30,1,0))</formula>
    </cfRule>
    <cfRule type="expression" dxfId="3276" priority="84">
      <formula>AND(IF($Q9=3,1,IF($Q9=4,1,0)),IF($F9&lt;=85,1,0))</formula>
    </cfRule>
  </conditionalFormatting>
  <conditionalFormatting sqref="AI9">
    <cfRule type="expression" dxfId="3275" priority="77">
      <formula>AND(IF(OR($Q9=1,$Q9=2),1,0),IF($X9&lt;=20,1,0))</formula>
    </cfRule>
    <cfRule type="expression" dxfId="3274" priority="78">
      <formula>AND(IF($Q9=2,1,0),IF($X9&lt;30,1,0))</formula>
    </cfRule>
    <cfRule type="expression" dxfId="3273" priority="79">
      <formula>AND(IF($Q9=3,1,0),IF($X9&lt;30,1,0))</formula>
    </cfRule>
    <cfRule type="expression" dxfId="3272" priority="80">
      <formula>AND(IF($Q9=3,1,IF($Q9=4,1,0)),IF($F9&lt;=85,1,0))</formula>
    </cfRule>
  </conditionalFormatting>
  <conditionalFormatting sqref="AV10">
    <cfRule type="expression" dxfId="3271" priority="75">
      <formula>AV10="X"</formula>
    </cfRule>
    <cfRule type="expression" dxfId="3270" priority="76">
      <formula>AV10="후보"</formula>
    </cfRule>
  </conditionalFormatting>
  <conditionalFormatting sqref="Z10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3269" priority="72" operator="greaterThan">
      <formula>0.9</formula>
    </cfRule>
    <cfRule type="cellIs" dxfId="3268" priority="73" operator="greaterThan">
      <formula>0.85</formula>
    </cfRule>
  </conditionalFormatting>
  <conditionalFormatting sqref="N10">
    <cfRule type="cellIs" dxfId="3267" priority="70" operator="greaterThan">
      <formula>0.9</formula>
    </cfRule>
    <cfRule type="cellIs" dxfId="3266" priority="71" operator="greaterThan">
      <formula>0.85</formula>
    </cfRule>
  </conditionalFormatting>
  <conditionalFormatting sqref="E10">
    <cfRule type="expression" dxfId="3265" priority="66">
      <formula>AND(IF(OR($Q10=1,$Q10=2),1,0),IF($X10&lt;=20,1,0))</formula>
    </cfRule>
    <cfRule type="expression" dxfId="3264" priority="67">
      <formula>AND(IF($Q10=2,1,0),IF($X10&lt;30,1,0))</formula>
    </cfRule>
    <cfRule type="expression" dxfId="3263" priority="68">
      <formula>AND(IF($Q10=3,1,0),IF($X10&lt;30,1,0))</formula>
    </cfRule>
    <cfRule type="expression" dxfId="3262" priority="69">
      <formula>AND(IF($Q10=3,1,IF($Q10=4,1,0)),IF($F10&lt;=85,1,0))</formula>
    </cfRule>
  </conditionalFormatting>
  <conditionalFormatting sqref="X10">
    <cfRule type="expression" dxfId="3261" priority="62">
      <formula>AND(IF(OR($Q10=1,$Q10=2),1,0),IF($X10&lt;=20,1,0))</formula>
    </cfRule>
    <cfRule type="expression" dxfId="3260" priority="63">
      <formula>AND(IF($Q10=2,1,0),IF($X10&lt;30,1,0))</formula>
    </cfRule>
    <cfRule type="expression" dxfId="3259" priority="64">
      <formula>AND(IF($Q10=3,1,0),IF($X10&lt;30,1,0))</formula>
    </cfRule>
    <cfRule type="expression" dxfId="3258" priority="65">
      <formula>AND(IF($Q10=3,1,IF($Q10=4,1,0)),IF($F10&lt;=85,1,0))</formula>
    </cfRule>
  </conditionalFormatting>
  <conditionalFormatting sqref="AI10">
    <cfRule type="expression" dxfId="3257" priority="58">
      <formula>AND(IF(OR($Q10=1,$Q10=2),1,0),IF($X10&lt;=20,1,0))</formula>
    </cfRule>
    <cfRule type="expression" dxfId="3256" priority="59">
      <formula>AND(IF($Q10=2,1,0),IF($X10&lt;30,1,0))</formula>
    </cfRule>
    <cfRule type="expression" dxfId="3255" priority="60">
      <formula>AND(IF($Q10=3,1,0),IF($X10&lt;30,1,0))</formula>
    </cfRule>
    <cfRule type="expression" dxfId="3254" priority="61">
      <formula>AND(IF($Q10=3,1,IF($Q10=4,1,0)),IF($F10&lt;=85,1,0))</formula>
    </cfRule>
  </conditionalFormatting>
  <conditionalFormatting sqref="AV11">
    <cfRule type="expression" dxfId="3253" priority="56">
      <formula>AV11="X"</formula>
    </cfRule>
    <cfRule type="expression" dxfId="3252" priority="57">
      <formula>AV11="후보"</formula>
    </cfRule>
  </conditionalFormatting>
  <conditionalFormatting sqref="Z11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3251" priority="53" operator="greaterThan">
      <formula>0.9</formula>
    </cfRule>
    <cfRule type="cellIs" dxfId="3250" priority="54" operator="greaterThan">
      <formula>0.85</formula>
    </cfRule>
  </conditionalFormatting>
  <conditionalFormatting sqref="N11">
    <cfRule type="cellIs" dxfId="3249" priority="51" operator="greaterThan">
      <formula>0.9</formula>
    </cfRule>
    <cfRule type="cellIs" dxfId="3248" priority="52" operator="greaterThan">
      <formula>0.85</formula>
    </cfRule>
  </conditionalFormatting>
  <conditionalFormatting sqref="E11">
    <cfRule type="expression" dxfId="3247" priority="47">
      <formula>AND(IF(OR($Q11=1,$Q11=2),1,0),IF($X11&lt;=20,1,0))</formula>
    </cfRule>
    <cfRule type="expression" dxfId="3246" priority="48">
      <formula>AND(IF($Q11=2,1,0),IF($X11&lt;30,1,0))</formula>
    </cfRule>
    <cfRule type="expression" dxfId="3245" priority="49">
      <formula>AND(IF($Q11=3,1,0),IF($X11&lt;30,1,0))</formula>
    </cfRule>
    <cfRule type="expression" dxfId="3244" priority="50">
      <formula>AND(IF($Q11=3,1,IF($Q11=4,1,0)),IF($F11&lt;=85,1,0))</formula>
    </cfRule>
  </conditionalFormatting>
  <conditionalFormatting sqref="X11">
    <cfRule type="expression" dxfId="3243" priority="43">
      <formula>AND(IF(OR($Q11=1,$Q11=2),1,0),IF($X11&lt;=20,1,0))</formula>
    </cfRule>
    <cfRule type="expression" dxfId="3242" priority="44">
      <formula>AND(IF($Q11=2,1,0),IF($X11&lt;30,1,0))</formula>
    </cfRule>
    <cfRule type="expression" dxfId="3241" priority="45">
      <formula>AND(IF($Q11=3,1,0),IF($X11&lt;30,1,0))</formula>
    </cfRule>
    <cfRule type="expression" dxfId="3240" priority="46">
      <formula>AND(IF($Q11=3,1,IF($Q11=4,1,0)),IF($F11&lt;=85,1,0))</formula>
    </cfRule>
  </conditionalFormatting>
  <conditionalFormatting sqref="AI11">
    <cfRule type="expression" dxfId="3239" priority="39">
      <formula>AND(IF(OR($Q11=1,$Q11=2),1,0),IF($X11&lt;=20,1,0))</formula>
    </cfRule>
    <cfRule type="expression" dxfId="3238" priority="40">
      <formula>AND(IF($Q11=2,1,0),IF($X11&lt;30,1,0))</formula>
    </cfRule>
    <cfRule type="expression" dxfId="3237" priority="41">
      <formula>AND(IF($Q11=3,1,0),IF($X11&lt;30,1,0))</formula>
    </cfRule>
    <cfRule type="expression" dxfId="3236" priority="42">
      <formula>AND(IF($Q11=3,1,IF($Q11=4,1,0)),IF($F11&lt;=85,1,0))</formula>
    </cfRule>
  </conditionalFormatting>
  <conditionalFormatting sqref="AV12">
    <cfRule type="expression" dxfId="3235" priority="37">
      <formula>AV12="X"</formula>
    </cfRule>
    <cfRule type="expression" dxfId="3234" priority="38">
      <formula>AV12="후보"</formula>
    </cfRule>
  </conditionalFormatting>
  <conditionalFormatting sqref="Z12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3233" priority="34" operator="greaterThan">
      <formula>0.9</formula>
    </cfRule>
    <cfRule type="cellIs" dxfId="3232" priority="35" operator="greaterThan">
      <formula>0.85</formula>
    </cfRule>
  </conditionalFormatting>
  <conditionalFormatting sqref="N12">
    <cfRule type="cellIs" dxfId="3231" priority="32" operator="greaterThan">
      <formula>0.9</formula>
    </cfRule>
    <cfRule type="cellIs" dxfId="3230" priority="33" operator="greaterThan">
      <formula>0.85</formula>
    </cfRule>
  </conditionalFormatting>
  <conditionalFormatting sqref="E12">
    <cfRule type="expression" dxfId="3229" priority="28">
      <formula>AND(IF(OR($Q12=1,$Q12=2),1,0),IF($X12&lt;=20,1,0))</formula>
    </cfRule>
    <cfRule type="expression" dxfId="3228" priority="29">
      <formula>AND(IF($Q12=2,1,0),IF($X12&lt;30,1,0))</formula>
    </cfRule>
    <cfRule type="expression" dxfId="3227" priority="30">
      <formula>AND(IF($Q12=3,1,0),IF($X12&lt;30,1,0))</formula>
    </cfRule>
    <cfRule type="expression" dxfId="3226" priority="31">
      <formula>AND(IF($Q12=3,1,IF($Q12=4,1,0)),IF($F12&lt;=85,1,0))</formula>
    </cfRule>
  </conditionalFormatting>
  <conditionalFormatting sqref="X12">
    <cfRule type="expression" dxfId="3225" priority="24">
      <formula>AND(IF(OR($Q12=1,$Q12=2),1,0),IF($X12&lt;=20,1,0))</formula>
    </cfRule>
    <cfRule type="expression" dxfId="3224" priority="25">
      <formula>AND(IF($Q12=2,1,0),IF($X12&lt;30,1,0))</formula>
    </cfRule>
    <cfRule type="expression" dxfId="3223" priority="26">
      <formula>AND(IF($Q12=3,1,0),IF($X12&lt;30,1,0))</formula>
    </cfRule>
    <cfRule type="expression" dxfId="3222" priority="27">
      <formula>AND(IF($Q12=3,1,IF($Q12=4,1,0)),IF($F12&lt;=85,1,0))</formula>
    </cfRule>
  </conditionalFormatting>
  <conditionalFormatting sqref="AI12">
    <cfRule type="expression" dxfId="3221" priority="20">
      <formula>AND(IF(OR($Q12=1,$Q12=2),1,0),IF($X12&lt;=20,1,0))</formula>
    </cfRule>
    <cfRule type="expression" dxfId="3220" priority="21">
      <formula>AND(IF($Q12=2,1,0),IF($X12&lt;30,1,0))</formula>
    </cfRule>
    <cfRule type="expression" dxfId="3219" priority="22">
      <formula>AND(IF($Q12=3,1,0),IF($X12&lt;30,1,0))</formula>
    </cfRule>
    <cfRule type="expression" dxfId="3218" priority="23">
      <formula>AND(IF($Q12=3,1,IF($Q12=4,1,0)),IF($F12&lt;=85,1,0))</formula>
    </cfRule>
  </conditionalFormatting>
  <conditionalFormatting sqref="AV13">
    <cfRule type="expression" dxfId="3217" priority="18">
      <formula>AV13="X"</formula>
    </cfRule>
    <cfRule type="expression" dxfId="3216" priority="19">
      <formula>AV13="후보"</formula>
    </cfRule>
  </conditionalFormatting>
  <conditionalFormatting sqref="Z13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3215" priority="15" operator="greaterThan">
      <formula>0.9</formula>
    </cfRule>
    <cfRule type="cellIs" dxfId="3214" priority="16" operator="greaterThan">
      <formula>0.85</formula>
    </cfRule>
  </conditionalFormatting>
  <conditionalFormatting sqref="N13">
    <cfRule type="cellIs" dxfId="3213" priority="13" operator="greaterThan">
      <formula>0.9</formula>
    </cfRule>
    <cfRule type="cellIs" dxfId="3212" priority="14" operator="greaterThan">
      <formula>0.85</formula>
    </cfRule>
  </conditionalFormatting>
  <conditionalFormatting sqref="E13">
    <cfRule type="expression" dxfId="3211" priority="9">
      <formula>AND(IF(OR($Q13=1,$Q13=2),1,0),IF($X13&lt;=20,1,0))</formula>
    </cfRule>
    <cfRule type="expression" dxfId="3210" priority="10">
      <formula>AND(IF($Q13=2,1,0),IF($X13&lt;30,1,0))</formula>
    </cfRule>
    <cfRule type="expression" dxfId="3209" priority="11">
      <formula>AND(IF($Q13=3,1,0),IF($X13&lt;30,1,0))</formula>
    </cfRule>
    <cfRule type="expression" dxfId="3208" priority="12">
      <formula>AND(IF($Q13=3,1,IF($Q13=4,1,0)),IF($F13&lt;=85,1,0))</formula>
    </cfRule>
  </conditionalFormatting>
  <conditionalFormatting sqref="X13">
    <cfRule type="expression" dxfId="3207" priority="5">
      <formula>AND(IF(OR($Q13=1,$Q13=2),1,0),IF($X13&lt;=20,1,0))</formula>
    </cfRule>
    <cfRule type="expression" dxfId="3206" priority="6">
      <formula>AND(IF($Q13=2,1,0),IF($X13&lt;30,1,0))</formula>
    </cfRule>
    <cfRule type="expression" dxfId="3205" priority="7">
      <formula>AND(IF($Q13=3,1,0),IF($X13&lt;30,1,0))</formula>
    </cfRule>
    <cfRule type="expression" dxfId="3204" priority="8">
      <formula>AND(IF($Q13=3,1,IF($Q13=4,1,0)),IF($F13&lt;=85,1,0))</formula>
    </cfRule>
  </conditionalFormatting>
  <conditionalFormatting sqref="AI13">
    <cfRule type="expression" dxfId="3203" priority="1">
      <formula>AND(IF(OR($Q13=1,$Q13=2),1,0),IF($X13&lt;=20,1,0))</formula>
    </cfRule>
    <cfRule type="expression" dxfId="3202" priority="2">
      <formula>AND(IF($Q13=2,1,0),IF($X13&lt;30,1,0))</formula>
    </cfRule>
    <cfRule type="expression" dxfId="3201" priority="3">
      <formula>AND(IF($Q13=3,1,0),IF($X13&lt;30,1,0))</formula>
    </cfRule>
    <cfRule type="expression" dxfId="3200" priority="4">
      <formula>AND(IF($Q13=3,1,IF($Q13=4,1,0)),IF($F13&lt;=85,1,0))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매교동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1156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매교동 매교역푸르지오SK뷰('22.07.,3603^)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1157</v>
      </c>
      <c r="B6" s="16" t="s">
        <v>1158</v>
      </c>
      <c r="C6" s="28">
        <v>3603</v>
      </c>
      <c r="D6" s="25">
        <v>81.900000000000006</v>
      </c>
      <c r="E6" s="106">
        <v>25</v>
      </c>
      <c r="F6" s="25">
        <v>59.9</v>
      </c>
      <c r="G6" s="27">
        <v>18</v>
      </c>
      <c r="H6" s="28">
        <v>854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 t="s">
        <v>332</v>
      </c>
      <c r="R6" s="15" t="s">
        <v>332</v>
      </c>
      <c r="S6" s="113" t="s">
        <v>64</v>
      </c>
      <c r="T6" s="8" t="s">
        <v>103</v>
      </c>
      <c r="U6" s="13"/>
      <c r="W6" s="25">
        <f>D6</f>
        <v>81.900000000000006</v>
      </c>
      <c r="X6" s="106">
        <f>E6</f>
        <v>25</v>
      </c>
      <c r="Y6" s="32">
        <f>H6</f>
        <v>854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-/-</v>
      </c>
      <c r="AH6" s="36" t="str">
        <f>IF(A6="","",A6)</f>
        <v>매교역푸르지오SK뷰</v>
      </c>
      <c r="AI6" s="106">
        <f>IF(E6="","",E6)</f>
        <v>25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1159</v>
      </c>
      <c r="B7" s="16" t="s">
        <v>1160</v>
      </c>
      <c r="C7" s="28">
        <v>3603</v>
      </c>
      <c r="D7" s="25">
        <v>81.8</v>
      </c>
      <c r="E7" s="106">
        <v>25</v>
      </c>
      <c r="F7" s="25">
        <v>59.8</v>
      </c>
      <c r="G7" s="27">
        <v>18</v>
      </c>
      <c r="H7" s="28">
        <v>85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 t="s">
        <v>1161</v>
      </c>
      <c r="R7" s="15" t="s">
        <v>1161</v>
      </c>
      <c r="S7" s="113" t="s">
        <v>1143</v>
      </c>
      <c r="T7" s="8" t="s">
        <v>1162</v>
      </c>
      <c r="U7" s="13"/>
      <c r="W7" s="25">
        <f>D7</f>
        <v>81.8</v>
      </c>
      <c r="X7" s="106">
        <f>E7</f>
        <v>25</v>
      </c>
      <c r="Y7" s="32">
        <f>H7</f>
        <v>85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-/-</v>
      </c>
      <c r="AH7" s="36" t="str">
        <f>IF(A7="","",A7)</f>
        <v>매교역푸르지오SK뷰</v>
      </c>
      <c r="AI7" s="106">
        <f>IF(E7="","",E7)</f>
        <v>25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1159</v>
      </c>
      <c r="B8" s="16" t="s">
        <v>1160</v>
      </c>
      <c r="C8" s="28">
        <v>3603</v>
      </c>
      <c r="D8" s="25">
        <v>82.6</v>
      </c>
      <c r="E8" s="106">
        <v>25</v>
      </c>
      <c r="F8" s="25">
        <v>59.9</v>
      </c>
      <c r="G8" s="27">
        <v>18</v>
      </c>
      <c r="H8" s="28">
        <v>369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 t="s">
        <v>1161</v>
      </c>
      <c r="R8" s="15" t="s">
        <v>1161</v>
      </c>
      <c r="S8" s="113" t="s">
        <v>1143</v>
      </c>
      <c r="T8" s="8" t="s">
        <v>1144</v>
      </c>
      <c r="U8" s="13"/>
      <c r="W8" s="25">
        <f>D8</f>
        <v>82.6</v>
      </c>
      <c r="X8" s="106">
        <f>E8</f>
        <v>25</v>
      </c>
      <c r="Y8" s="32">
        <f>H8</f>
        <v>369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-/-</v>
      </c>
      <c r="AH8" s="36" t="str">
        <f>IF(A8="","",A8)</f>
        <v>매교역푸르지오SK뷰</v>
      </c>
      <c r="AI8" s="106">
        <f>IF(E8="","",E8)</f>
        <v>25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1159</v>
      </c>
      <c r="B9" s="16" t="s">
        <v>1160</v>
      </c>
      <c r="C9" s="28">
        <v>3603</v>
      </c>
      <c r="D9" s="25">
        <v>101.2</v>
      </c>
      <c r="E9" s="106">
        <v>31</v>
      </c>
      <c r="F9" s="25">
        <v>74.7</v>
      </c>
      <c r="G9" s="27">
        <v>23</v>
      </c>
      <c r="H9" s="28">
        <v>381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 t="s">
        <v>1161</v>
      </c>
      <c r="R9" s="15" t="s">
        <v>1161</v>
      </c>
      <c r="S9" s="113" t="s">
        <v>1143</v>
      </c>
      <c r="T9" s="8" t="s">
        <v>1163</v>
      </c>
      <c r="U9" s="13"/>
      <c r="W9" s="25">
        <f>D9</f>
        <v>101.2</v>
      </c>
      <c r="X9" s="106">
        <f>E9</f>
        <v>31</v>
      </c>
      <c r="Y9" s="32">
        <f>H9</f>
        <v>381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-/-</v>
      </c>
      <c r="AH9" s="36" t="str">
        <f>IF(A9="","",A9)</f>
        <v>매교역푸르지오SK뷰</v>
      </c>
      <c r="AI9" s="106">
        <f>IF(E9="","",E9)</f>
        <v>31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1159</v>
      </c>
      <c r="B10" s="16" t="s">
        <v>1160</v>
      </c>
      <c r="C10" s="28">
        <v>3603</v>
      </c>
      <c r="D10" s="25">
        <v>102.3</v>
      </c>
      <c r="E10" s="106">
        <v>31</v>
      </c>
      <c r="F10" s="25">
        <v>74.900000000000006</v>
      </c>
      <c r="G10" s="27">
        <v>23</v>
      </c>
      <c r="H10" s="28">
        <v>434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 t="s">
        <v>1161</v>
      </c>
      <c r="R10" s="15" t="s">
        <v>1161</v>
      </c>
      <c r="S10" s="113" t="s">
        <v>1143</v>
      </c>
      <c r="T10" s="8" t="s">
        <v>1164</v>
      </c>
      <c r="U10" s="13"/>
      <c r="W10" s="25">
        <f>D10</f>
        <v>102.3</v>
      </c>
      <c r="X10" s="106">
        <f>E10</f>
        <v>31</v>
      </c>
      <c r="Y10" s="32">
        <f>H10</f>
        <v>434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-/-</v>
      </c>
      <c r="AH10" s="36" t="str">
        <f>IF(A10="","",A10)</f>
        <v>매교역푸르지오SK뷰</v>
      </c>
      <c r="AI10" s="106">
        <f>IF(E10="","",E10)</f>
        <v>31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1159</v>
      </c>
      <c r="B11" s="16" t="s">
        <v>1160</v>
      </c>
      <c r="C11" s="28">
        <v>3603</v>
      </c>
      <c r="D11" s="25">
        <v>115.8</v>
      </c>
      <c r="E11" s="106">
        <v>35</v>
      </c>
      <c r="F11" s="25">
        <v>85</v>
      </c>
      <c r="G11" s="27">
        <v>26</v>
      </c>
      <c r="H11" s="28">
        <v>1181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 t="s">
        <v>1161</v>
      </c>
      <c r="R11" s="15" t="s">
        <v>1161</v>
      </c>
      <c r="S11" s="113" t="s">
        <v>1143</v>
      </c>
      <c r="T11" s="8">
        <v>115</v>
      </c>
      <c r="U11" s="13"/>
      <c r="W11" s="25">
        <f>D11</f>
        <v>115.8</v>
      </c>
      <c r="X11" s="106">
        <f>E11</f>
        <v>35</v>
      </c>
      <c r="Y11" s="32">
        <f>H11</f>
        <v>1181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-/-</v>
      </c>
      <c r="AH11" s="36" t="str">
        <f>IF(A11="","",A11)</f>
        <v>매교역푸르지오SK뷰</v>
      </c>
      <c r="AI11" s="106">
        <f>IF(E11="","",E11)</f>
        <v>35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1159</v>
      </c>
      <c r="B12" s="16" t="s">
        <v>1160</v>
      </c>
      <c r="C12" s="28">
        <v>3603</v>
      </c>
      <c r="D12" s="25">
        <v>134.30000000000001</v>
      </c>
      <c r="E12" s="106">
        <v>41</v>
      </c>
      <c r="F12" s="25">
        <v>99.9</v>
      </c>
      <c r="G12" s="27">
        <v>30</v>
      </c>
      <c r="H12" s="28">
        <v>140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 t="s">
        <v>1161</v>
      </c>
      <c r="R12" s="15" t="s">
        <v>1161</v>
      </c>
      <c r="S12" s="113" t="s">
        <v>1143</v>
      </c>
      <c r="T12" s="8">
        <v>134</v>
      </c>
      <c r="U12" s="13"/>
      <c r="W12" s="25">
        <f>D12</f>
        <v>134.30000000000001</v>
      </c>
      <c r="X12" s="106">
        <f>E12</f>
        <v>41</v>
      </c>
      <c r="Y12" s="32">
        <f>H12</f>
        <v>140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-/-</v>
      </c>
      <c r="AH12" s="36" t="str">
        <f>IF(A12="","",A12)</f>
        <v>매교역푸르지오SK뷰</v>
      </c>
      <c r="AI12" s="106">
        <f>IF(E12="","",E12)</f>
        <v>41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X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1159</v>
      </c>
      <c r="B13" s="16" t="s">
        <v>1160</v>
      </c>
      <c r="C13" s="28">
        <v>3603</v>
      </c>
      <c r="D13" s="25">
        <v>149.9</v>
      </c>
      <c r="E13" s="106">
        <v>45</v>
      </c>
      <c r="F13" s="25">
        <v>110.2</v>
      </c>
      <c r="G13" s="27">
        <v>33</v>
      </c>
      <c r="H13" s="28">
        <v>38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 t="s">
        <v>1161</v>
      </c>
      <c r="R13" s="15" t="s">
        <v>1161</v>
      </c>
      <c r="S13" s="113" t="s">
        <v>1143</v>
      </c>
      <c r="T13" s="8">
        <v>149</v>
      </c>
      <c r="U13" s="13"/>
      <c r="W13" s="25">
        <f>D13</f>
        <v>149.9</v>
      </c>
      <c r="X13" s="106">
        <f>E13</f>
        <v>45</v>
      </c>
      <c r="Y13" s="32">
        <f>H13</f>
        <v>38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-/-</v>
      </c>
      <c r="AH13" s="36" t="str">
        <f>IF(A13="","",A13)</f>
        <v>매교역푸르지오SK뷰</v>
      </c>
      <c r="AI13" s="106">
        <f>IF(E13="","",E13)</f>
        <v>45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X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</sheetData>
  <mergeCells count="1">
    <mergeCell ref="AJ1:AN1"/>
  </mergeCells>
  <phoneticPr fontId="2" type="noConversion"/>
  <conditionalFormatting sqref="AV4:AV6">
    <cfRule type="expression" dxfId="3199" priority="153">
      <formula>AV4="X"</formula>
    </cfRule>
    <cfRule type="expression" dxfId="3198" priority="154">
      <formula>AV4="후보"</formula>
    </cfRule>
  </conditionalFormatting>
  <conditionalFormatting sqref="Z2:Z6">
    <cfRule type="colorScale" priority="1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3197" priority="150" operator="greaterThan">
      <formula>0.9</formula>
    </cfRule>
    <cfRule type="cellIs" dxfId="3196" priority="151" operator="greaterThan">
      <formula>0.85</formula>
    </cfRule>
  </conditionalFormatting>
  <conditionalFormatting sqref="N1:N2">
    <cfRule type="cellIs" dxfId="3195" priority="148" operator="greaterThan">
      <formula>0.9</formula>
    </cfRule>
    <cfRule type="cellIs" dxfId="3194" priority="149" operator="greaterThan">
      <formula>0.85</formula>
    </cfRule>
  </conditionalFormatting>
  <conditionalFormatting sqref="N6">
    <cfRule type="cellIs" dxfId="3193" priority="146" operator="greaterThan">
      <formula>0.9</formula>
    </cfRule>
    <cfRule type="cellIs" dxfId="3192" priority="147" operator="greaterThan">
      <formula>0.85</formula>
    </cfRule>
  </conditionalFormatting>
  <conditionalFormatting sqref="E6">
    <cfRule type="expression" dxfId="3191" priority="142">
      <formula>AND(IF(OR($Q6=1,$Q6=2),1,0),IF($X6&lt;=20,1,0))</formula>
    </cfRule>
    <cfRule type="expression" dxfId="3190" priority="143">
      <formula>AND(IF($Q6=2,1,0),IF($X6&lt;30,1,0))</formula>
    </cfRule>
    <cfRule type="expression" dxfId="3189" priority="144">
      <formula>AND(IF($Q6=3,1,0),IF($X6&lt;30,1,0))</formula>
    </cfRule>
    <cfRule type="expression" dxfId="3188" priority="145">
      <formula>AND(IF($Q6=3,1,IF($Q6=4,1,0)),IF($F6&lt;=85,1,0))</formula>
    </cfRule>
  </conditionalFormatting>
  <conditionalFormatting sqref="X6">
    <cfRule type="expression" dxfId="3187" priority="138">
      <formula>AND(IF(OR($Q6=1,$Q6=2),1,0),IF($X6&lt;=20,1,0))</formula>
    </cfRule>
    <cfRule type="expression" dxfId="3186" priority="139">
      <formula>AND(IF($Q6=2,1,0),IF($X6&lt;30,1,0))</formula>
    </cfRule>
    <cfRule type="expression" dxfId="3185" priority="140">
      <formula>AND(IF($Q6=3,1,0),IF($X6&lt;30,1,0))</formula>
    </cfRule>
    <cfRule type="expression" dxfId="3184" priority="141">
      <formula>AND(IF($Q6=3,1,IF($Q6=4,1,0)),IF($F6&lt;=85,1,0))</formula>
    </cfRule>
  </conditionalFormatting>
  <conditionalFormatting sqref="AI6">
    <cfRule type="expression" dxfId="3183" priority="134">
      <formula>AND(IF(OR($Q6=1,$Q6=2),1,0),IF($X6&lt;=20,1,0))</formula>
    </cfRule>
    <cfRule type="expression" dxfId="3182" priority="135">
      <formula>AND(IF($Q6=2,1,0),IF($X6&lt;30,1,0))</formula>
    </cfRule>
    <cfRule type="expression" dxfId="3181" priority="136">
      <formula>AND(IF($Q6=3,1,0),IF($X6&lt;30,1,0))</formula>
    </cfRule>
    <cfRule type="expression" dxfId="3180" priority="137">
      <formula>AND(IF($Q6=3,1,IF($Q6=4,1,0)),IF($F6&lt;=85,1,0))</formula>
    </cfRule>
  </conditionalFormatting>
  <conditionalFormatting sqref="AV7">
    <cfRule type="expression" dxfId="3179" priority="132">
      <formula>AV7="X"</formula>
    </cfRule>
    <cfRule type="expression" dxfId="3178" priority="133">
      <formula>AV7="후보"</formula>
    </cfRule>
  </conditionalFormatting>
  <conditionalFormatting sqref="Z7">
    <cfRule type="colorScale" priority="1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3177" priority="129" operator="greaterThan">
      <formula>0.9</formula>
    </cfRule>
    <cfRule type="cellIs" dxfId="3176" priority="130" operator="greaterThan">
      <formula>0.85</formula>
    </cfRule>
  </conditionalFormatting>
  <conditionalFormatting sqref="N7">
    <cfRule type="cellIs" dxfId="3175" priority="127" operator="greaterThan">
      <formula>0.9</formula>
    </cfRule>
    <cfRule type="cellIs" dxfId="3174" priority="128" operator="greaterThan">
      <formula>0.85</formula>
    </cfRule>
  </conditionalFormatting>
  <conditionalFormatting sqref="E7">
    <cfRule type="expression" dxfId="3173" priority="123">
      <formula>AND(IF(OR($Q7=1,$Q7=2),1,0),IF($X7&lt;=20,1,0))</formula>
    </cfRule>
    <cfRule type="expression" dxfId="3172" priority="124">
      <formula>AND(IF($Q7=2,1,0),IF($X7&lt;30,1,0))</formula>
    </cfRule>
    <cfRule type="expression" dxfId="3171" priority="125">
      <formula>AND(IF($Q7=3,1,0),IF($X7&lt;30,1,0))</formula>
    </cfRule>
    <cfRule type="expression" dxfId="3170" priority="126">
      <formula>AND(IF($Q7=3,1,IF($Q7=4,1,0)),IF($F7&lt;=85,1,0))</formula>
    </cfRule>
  </conditionalFormatting>
  <conditionalFormatting sqref="X7">
    <cfRule type="expression" dxfId="3169" priority="119">
      <formula>AND(IF(OR($Q7=1,$Q7=2),1,0),IF($X7&lt;=20,1,0))</formula>
    </cfRule>
    <cfRule type="expression" dxfId="3168" priority="120">
      <formula>AND(IF($Q7=2,1,0),IF($X7&lt;30,1,0))</formula>
    </cfRule>
    <cfRule type="expression" dxfId="3167" priority="121">
      <formula>AND(IF($Q7=3,1,0),IF($X7&lt;30,1,0))</formula>
    </cfRule>
    <cfRule type="expression" dxfId="3166" priority="122">
      <formula>AND(IF($Q7=3,1,IF($Q7=4,1,0)),IF($F7&lt;=85,1,0))</formula>
    </cfRule>
  </conditionalFormatting>
  <conditionalFormatting sqref="AI7">
    <cfRule type="expression" dxfId="3165" priority="115">
      <formula>AND(IF(OR($Q7=1,$Q7=2),1,0),IF($X7&lt;=20,1,0))</formula>
    </cfRule>
    <cfRule type="expression" dxfId="3164" priority="116">
      <formula>AND(IF($Q7=2,1,0),IF($X7&lt;30,1,0))</formula>
    </cfRule>
    <cfRule type="expression" dxfId="3163" priority="117">
      <formula>AND(IF($Q7=3,1,0),IF($X7&lt;30,1,0))</formula>
    </cfRule>
    <cfRule type="expression" dxfId="3162" priority="118">
      <formula>AND(IF($Q7=3,1,IF($Q7=4,1,0)),IF($F7&lt;=85,1,0))</formula>
    </cfRule>
  </conditionalFormatting>
  <conditionalFormatting sqref="AV8">
    <cfRule type="expression" dxfId="3161" priority="113">
      <formula>AV8="X"</formula>
    </cfRule>
    <cfRule type="expression" dxfId="3160" priority="114">
      <formula>AV8="후보"</formula>
    </cfRule>
  </conditionalFormatting>
  <conditionalFormatting sqref="Z8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3159" priority="110" operator="greaterThan">
      <formula>0.9</formula>
    </cfRule>
    <cfRule type="cellIs" dxfId="3158" priority="111" operator="greaterThan">
      <formula>0.85</formula>
    </cfRule>
  </conditionalFormatting>
  <conditionalFormatting sqref="N8">
    <cfRule type="cellIs" dxfId="3157" priority="108" operator="greaterThan">
      <formula>0.9</formula>
    </cfRule>
    <cfRule type="cellIs" dxfId="3156" priority="109" operator="greaterThan">
      <formula>0.85</formula>
    </cfRule>
  </conditionalFormatting>
  <conditionalFormatting sqref="E8">
    <cfRule type="expression" dxfId="3155" priority="104">
      <formula>AND(IF(OR($Q8=1,$Q8=2),1,0),IF($X8&lt;=20,1,0))</formula>
    </cfRule>
    <cfRule type="expression" dxfId="3154" priority="105">
      <formula>AND(IF($Q8=2,1,0),IF($X8&lt;30,1,0))</formula>
    </cfRule>
    <cfRule type="expression" dxfId="3153" priority="106">
      <formula>AND(IF($Q8=3,1,0),IF($X8&lt;30,1,0))</formula>
    </cfRule>
    <cfRule type="expression" dxfId="3152" priority="107">
      <formula>AND(IF($Q8=3,1,IF($Q8=4,1,0)),IF($F8&lt;=85,1,0))</formula>
    </cfRule>
  </conditionalFormatting>
  <conditionalFormatting sqref="X8">
    <cfRule type="expression" dxfId="3151" priority="100">
      <formula>AND(IF(OR($Q8=1,$Q8=2),1,0),IF($X8&lt;=20,1,0))</formula>
    </cfRule>
    <cfRule type="expression" dxfId="3150" priority="101">
      <formula>AND(IF($Q8=2,1,0),IF($X8&lt;30,1,0))</formula>
    </cfRule>
    <cfRule type="expression" dxfId="3149" priority="102">
      <formula>AND(IF($Q8=3,1,0),IF($X8&lt;30,1,0))</formula>
    </cfRule>
    <cfRule type="expression" dxfId="3148" priority="103">
      <formula>AND(IF($Q8=3,1,IF($Q8=4,1,0)),IF($F8&lt;=85,1,0))</formula>
    </cfRule>
  </conditionalFormatting>
  <conditionalFormatting sqref="AI8">
    <cfRule type="expression" dxfId="3147" priority="96">
      <formula>AND(IF(OR($Q8=1,$Q8=2),1,0),IF($X8&lt;=20,1,0))</formula>
    </cfRule>
    <cfRule type="expression" dxfId="3146" priority="97">
      <formula>AND(IF($Q8=2,1,0),IF($X8&lt;30,1,0))</formula>
    </cfRule>
    <cfRule type="expression" dxfId="3145" priority="98">
      <formula>AND(IF($Q8=3,1,0),IF($X8&lt;30,1,0))</formula>
    </cfRule>
    <cfRule type="expression" dxfId="3144" priority="99">
      <formula>AND(IF($Q8=3,1,IF($Q8=4,1,0)),IF($F8&lt;=85,1,0))</formula>
    </cfRule>
  </conditionalFormatting>
  <conditionalFormatting sqref="AV9">
    <cfRule type="expression" dxfId="3143" priority="94">
      <formula>AV9="X"</formula>
    </cfRule>
    <cfRule type="expression" dxfId="3142" priority="95">
      <formula>AV9="후보"</formula>
    </cfRule>
  </conditionalFormatting>
  <conditionalFormatting sqref="Z9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3141" priority="91" operator="greaterThan">
      <formula>0.9</formula>
    </cfRule>
    <cfRule type="cellIs" dxfId="3140" priority="92" operator="greaterThan">
      <formula>0.85</formula>
    </cfRule>
  </conditionalFormatting>
  <conditionalFormatting sqref="N9">
    <cfRule type="cellIs" dxfId="3139" priority="89" operator="greaterThan">
      <formula>0.9</formula>
    </cfRule>
    <cfRule type="cellIs" dxfId="3138" priority="90" operator="greaterThan">
      <formula>0.85</formula>
    </cfRule>
  </conditionalFormatting>
  <conditionalFormatting sqref="E9">
    <cfRule type="expression" dxfId="3137" priority="85">
      <formula>AND(IF(OR($Q9=1,$Q9=2),1,0),IF($X9&lt;=20,1,0))</formula>
    </cfRule>
    <cfRule type="expression" dxfId="3136" priority="86">
      <formula>AND(IF($Q9=2,1,0),IF($X9&lt;30,1,0))</formula>
    </cfRule>
    <cfRule type="expression" dxfId="3135" priority="87">
      <formula>AND(IF($Q9=3,1,0),IF($X9&lt;30,1,0))</formula>
    </cfRule>
    <cfRule type="expression" dxfId="3134" priority="88">
      <formula>AND(IF($Q9=3,1,IF($Q9=4,1,0)),IF($F9&lt;=85,1,0))</formula>
    </cfRule>
  </conditionalFormatting>
  <conditionalFormatting sqref="X9">
    <cfRule type="expression" dxfId="3133" priority="81">
      <formula>AND(IF(OR($Q9=1,$Q9=2),1,0),IF($X9&lt;=20,1,0))</formula>
    </cfRule>
    <cfRule type="expression" dxfId="3132" priority="82">
      <formula>AND(IF($Q9=2,1,0),IF($X9&lt;30,1,0))</formula>
    </cfRule>
    <cfRule type="expression" dxfId="3131" priority="83">
      <formula>AND(IF($Q9=3,1,0),IF($X9&lt;30,1,0))</formula>
    </cfRule>
    <cfRule type="expression" dxfId="3130" priority="84">
      <formula>AND(IF($Q9=3,1,IF($Q9=4,1,0)),IF($F9&lt;=85,1,0))</formula>
    </cfRule>
  </conditionalFormatting>
  <conditionalFormatting sqref="AI9">
    <cfRule type="expression" dxfId="3129" priority="77">
      <formula>AND(IF(OR($Q9=1,$Q9=2),1,0),IF($X9&lt;=20,1,0))</formula>
    </cfRule>
    <cfRule type="expression" dxfId="3128" priority="78">
      <formula>AND(IF($Q9=2,1,0),IF($X9&lt;30,1,0))</formula>
    </cfRule>
    <cfRule type="expression" dxfId="3127" priority="79">
      <formula>AND(IF($Q9=3,1,0),IF($X9&lt;30,1,0))</formula>
    </cfRule>
    <cfRule type="expression" dxfId="3126" priority="80">
      <formula>AND(IF($Q9=3,1,IF($Q9=4,1,0)),IF($F9&lt;=85,1,0))</formula>
    </cfRule>
  </conditionalFormatting>
  <conditionalFormatting sqref="AV10">
    <cfRule type="expression" dxfId="3125" priority="75">
      <formula>AV10="X"</formula>
    </cfRule>
    <cfRule type="expression" dxfId="3124" priority="76">
      <formula>AV10="후보"</formula>
    </cfRule>
  </conditionalFormatting>
  <conditionalFormatting sqref="Z10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3123" priority="72" operator="greaterThan">
      <formula>0.9</formula>
    </cfRule>
    <cfRule type="cellIs" dxfId="3122" priority="73" operator="greaterThan">
      <formula>0.85</formula>
    </cfRule>
  </conditionalFormatting>
  <conditionalFormatting sqref="N10">
    <cfRule type="cellIs" dxfId="3121" priority="70" operator="greaterThan">
      <formula>0.9</formula>
    </cfRule>
    <cfRule type="cellIs" dxfId="3120" priority="71" operator="greaterThan">
      <formula>0.85</formula>
    </cfRule>
  </conditionalFormatting>
  <conditionalFormatting sqref="E10">
    <cfRule type="expression" dxfId="3119" priority="66">
      <formula>AND(IF(OR($Q10=1,$Q10=2),1,0),IF($X10&lt;=20,1,0))</formula>
    </cfRule>
    <cfRule type="expression" dxfId="3118" priority="67">
      <formula>AND(IF($Q10=2,1,0),IF($X10&lt;30,1,0))</formula>
    </cfRule>
    <cfRule type="expression" dxfId="3117" priority="68">
      <formula>AND(IF($Q10=3,1,0),IF($X10&lt;30,1,0))</formula>
    </cfRule>
    <cfRule type="expression" dxfId="3116" priority="69">
      <formula>AND(IF($Q10=3,1,IF($Q10=4,1,0)),IF($F10&lt;=85,1,0))</formula>
    </cfRule>
  </conditionalFormatting>
  <conditionalFormatting sqref="X10">
    <cfRule type="expression" dxfId="3115" priority="62">
      <formula>AND(IF(OR($Q10=1,$Q10=2),1,0),IF($X10&lt;=20,1,0))</formula>
    </cfRule>
    <cfRule type="expression" dxfId="3114" priority="63">
      <formula>AND(IF($Q10=2,1,0),IF($X10&lt;30,1,0))</formula>
    </cfRule>
    <cfRule type="expression" dxfId="3113" priority="64">
      <formula>AND(IF($Q10=3,1,0),IF($X10&lt;30,1,0))</formula>
    </cfRule>
    <cfRule type="expression" dxfId="3112" priority="65">
      <formula>AND(IF($Q10=3,1,IF($Q10=4,1,0)),IF($F10&lt;=85,1,0))</formula>
    </cfRule>
  </conditionalFormatting>
  <conditionalFormatting sqref="AI10">
    <cfRule type="expression" dxfId="3111" priority="58">
      <formula>AND(IF(OR($Q10=1,$Q10=2),1,0),IF($X10&lt;=20,1,0))</formula>
    </cfRule>
    <cfRule type="expression" dxfId="3110" priority="59">
      <formula>AND(IF($Q10=2,1,0),IF($X10&lt;30,1,0))</formula>
    </cfRule>
    <cfRule type="expression" dxfId="3109" priority="60">
      <formula>AND(IF($Q10=3,1,0),IF($X10&lt;30,1,0))</formula>
    </cfRule>
    <cfRule type="expression" dxfId="3108" priority="61">
      <formula>AND(IF($Q10=3,1,IF($Q10=4,1,0)),IF($F10&lt;=85,1,0))</formula>
    </cfRule>
  </conditionalFormatting>
  <conditionalFormatting sqref="AV11">
    <cfRule type="expression" dxfId="3107" priority="56">
      <formula>AV11="X"</formula>
    </cfRule>
    <cfRule type="expression" dxfId="3106" priority="57">
      <formula>AV11="후보"</formula>
    </cfRule>
  </conditionalFormatting>
  <conditionalFormatting sqref="Z11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3105" priority="53" operator="greaterThan">
      <formula>0.9</formula>
    </cfRule>
    <cfRule type="cellIs" dxfId="3104" priority="54" operator="greaterThan">
      <formula>0.85</formula>
    </cfRule>
  </conditionalFormatting>
  <conditionalFormatting sqref="N11">
    <cfRule type="cellIs" dxfId="3103" priority="51" operator="greaterThan">
      <formula>0.9</formula>
    </cfRule>
    <cfRule type="cellIs" dxfId="3102" priority="52" operator="greaterThan">
      <formula>0.85</formula>
    </cfRule>
  </conditionalFormatting>
  <conditionalFormatting sqref="E11">
    <cfRule type="expression" dxfId="3101" priority="47">
      <formula>AND(IF(OR($Q11=1,$Q11=2),1,0),IF($X11&lt;=20,1,0))</formula>
    </cfRule>
    <cfRule type="expression" dxfId="3100" priority="48">
      <formula>AND(IF($Q11=2,1,0),IF($X11&lt;30,1,0))</formula>
    </cfRule>
    <cfRule type="expression" dxfId="3099" priority="49">
      <formula>AND(IF($Q11=3,1,0),IF($X11&lt;30,1,0))</formula>
    </cfRule>
    <cfRule type="expression" dxfId="3098" priority="50">
      <formula>AND(IF($Q11=3,1,IF($Q11=4,1,0)),IF($F11&lt;=85,1,0))</formula>
    </cfRule>
  </conditionalFormatting>
  <conditionalFormatting sqref="X11">
    <cfRule type="expression" dxfId="3097" priority="43">
      <formula>AND(IF(OR($Q11=1,$Q11=2),1,0),IF($X11&lt;=20,1,0))</formula>
    </cfRule>
    <cfRule type="expression" dxfId="3096" priority="44">
      <formula>AND(IF($Q11=2,1,0),IF($X11&lt;30,1,0))</formula>
    </cfRule>
    <cfRule type="expression" dxfId="3095" priority="45">
      <formula>AND(IF($Q11=3,1,0),IF($X11&lt;30,1,0))</formula>
    </cfRule>
    <cfRule type="expression" dxfId="3094" priority="46">
      <formula>AND(IF($Q11=3,1,IF($Q11=4,1,0)),IF($F11&lt;=85,1,0))</formula>
    </cfRule>
  </conditionalFormatting>
  <conditionalFormatting sqref="AI11">
    <cfRule type="expression" dxfId="3093" priority="39">
      <formula>AND(IF(OR($Q11=1,$Q11=2),1,0),IF($X11&lt;=20,1,0))</formula>
    </cfRule>
    <cfRule type="expression" dxfId="3092" priority="40">
      <formula>AND(IF($Q11=2,1,0),IF($X11&lt;30,1,0))</formula>
    </cfRule>
    <cfRule type="expression" dxfId="3091" priority="41">
      <formula>AND(IF($Q11=3,1,0),IF($X11&lt;30,1,0))</formula>
    </cfRule>
    <cfRule type="expression" dxfId="3090" priority="42">
      <formula>AND(IF($Q11=3,1,IF($Q11=4,1,0)),IF($F11&lt;=85,1,0))</formula>
    </cfRule>
  </conditionalFormatting>
  <conditionalFormatting sqref="AV12">
    <cfRule type="expression" dxfId="3089" priority="37">
      <formula>AV12="X"</formula>
    </cfRule>
    <cfRule type="expression" dxfId="3088" priority="38">
      <formula>AV12="후보"</formula>
    </cfRule>
  </conditionalFormatting>
  <conditionalFormatting sqref="Z12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3087" priority="34" operator="greaterThan">
      <formula>0.9</formula>
    </cfRule>
    <cfRule type="cellIs" dxfId="3086" priority="35" operator="greaterThan">
      <formula>0.85</formula>
    </cfRule>
  </conditionalFormatting>
  <conditionalFormatting sqref="N12">
    <cfRule type="cellIs" dxfId="3085" priority="32" operator="greaterThan">
      <formula>0.9</formula>
    </cfRule>
    <cfRule type="cellIs" dxfId="3084" priority="33" operator="greaterThan">
      <formula>0.85</formula>
    </cfRule>
  </conditionalFormatting>
  <conditionalFormatting sqref="E12">
    <cfRule type="expression" dxfId="3083" priority="28">
      <formula>AND(IF(OR($Q12=1,$Q12=2),1,0),IF($X12&lt;=20,1,0))</formula>
    </cfRule>
    <cfRule type="expression" dxfId="3082" priority="29">
      <formula>AND(IF($Q12=2,1,0),IF($X12&lt;30,1,0))</formula>
    </cfRule>
    <cfRule type="expression" dxfId="3081" priority="30">
      <formula>AND(IF($Q12=3,1,0),IF($X12&lt;30,1,0))</formula>
    </cfRule>
    <cfRule type="expression" dxfId="3080" priority="31">
      <formula>AND(IF($Q12=3,1,IF($Q12=4,1,0)),IF($F12&lt;=85,1,0))</formula>
    </cfRule>
  </conditionalFormatting>
  <conditionalFormatting sqref="X12">
    <cfRule type="expression" dxfId="3079" priority="24">
      <formula>AND(IF(OR($Q12=1,$Q12=2),1,0),IF($X12&lt;=20,1,0))</formula>
    </cfRule>
    <cfRule type="expression" dxfId="3078" priority="25">
      <formula>AND(IF($Q12=2,1,0),IF($X12&lt;30,1,0))</formula>
    </cfRule>
    <cfRule type="expression" dxfId="3077" priority="26">
      <formula>AND(IF($Q12=3,1,0),IF($X12&lt;30,1,0))</formula>
    </cfRule>
    <cfRule type="expression" dxfId="3076" priority="27">
      <formula>AND(IF($Q12=3,1,IF($Q12=4,1,0)),IF($F12&lt;=85,1,0))</formula>
    </cfRule>
  </conditionalFormatting>
  <conditionalFormatting sqref="AI12">
    <cfRule type="expression" dxfId="3075" priority="20">
      <formula>AND(IF(OR($Q12=1,$Q12=2),1,0),IF($X12&lt;=20,1,0))</formula>
    </cfRule>
    <cfRule type="expression" dxfId="3074" priority="21">
      <formula>AND(IF($Q12=2,1,0),IF($X12&lt;30,1,0))</formula>
    </cfRule>
    <cfRule type="expression" dxfId="3073" priority="22">
      <formula>AND(IF($Q12=3,1,0),IF($X12&lt;30,1,0))</formula>
    </cfRule>
    <cfRule type="expression" dxfId="3072" priority="23">
      <formula>AND(IF($Q12=3,1,IF($Q12=4,1,0)),IF($F12&lt;=85,1,0))</formula>
    </cfRule>
  </conditionalFormatting>
  <conditionalFormatting sqref="AV13">
    <cfRule type="expression" dxfId="3071" priority="18">
      <formula>AV13="X"</formula>
    </cfRule>
    <cfRule type="expression" dxfId="3070" priority="19">
      <formula>AV13="후보"</formula>
    </cfRule>
  </conditionalFormatting>
  <conditionalFormatting sqref="Z13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3069" priority="15" operator="greaterThan">
      <formula>0.9</formula>
    </cfRule>
    <cfRule type="cellIs" dxfId="3068" priority="16" operator="greaterThan">
      <formula>0.85</formula>
    </cfRule>
  </conditionalFormatting>
  <conditionalFormatting sqref="N13">
    <cfRule type="cellIs" dxfId="3067" priority="13" operator="greaterThan">
      <formula>0.9</formula>
    </cfRule>
    <cfRule type="cellIs" dxfId="3066" priority="14" operator="greaterThan">
      <formula>0.85</formula>
    </cfRule>
  </conditionalFormatting>
  <conditionalFormatting sqref="E13">
    <cfRule type="expression" dxfId="3065" priority="9">
      <formula>AND(IF(OR($Q13=1,$Q13=2),1,0),IF($X13&lt;=20,1,0))</formula>
    </cfRule>
    <cfRule type="expression" dxfId="3064" priority="10">
      <formula>AND(IF($Q13=2,1,0),IF($X13&lt;30,1,0))</formula>
    </cfRule>
    <cfRule type="expression" dxfId="3063" priority="11">
      <formula>AND(IF($Q13=3,1,0),IF($X13&lt;30,1,0))</formula>
    </cfRule>
    <cfRule type="expression" dxfId="3062" priority="12">
      <formula>AND(IF($Q13=3,1,IF($Q13=4,1,0)),IF($F13&lt;=85,1,0))</formula>
    </cfRule>
  </conditionalFormatting>
  <conditionalFormatting sqref="X13">
    <cfRule type="expression" dxfId="3061" priority="5">
      <formula>AND(IF(OR($Q13=1,$Q13=2),1,0),IF($X13&lt;=20,1,0))</formula>
    </cfRule>
    <cfRule type="expression" dxfId="3060" priority="6">
      <formula>AND(IF($Q13=2,1,0),IF($X13&lt;30,1,0))</formula>
    </cfRule>
    <cfRule type="expression" dxfId="3059" priority="7">
      <formula>AND(IF($Q13=3,1,0),IF($X13&lt;30,1,0))</formula>
    </cfRule>
    <cfRule type="expression" dxfId="3058" priority="8">
      <formula>AND(IF($Q13=3,1,IF($Q13=4,1,0)),IF($F13&lt;=85,1,0))</formula>
    </cfRule>
  </conditionalFormatting>
  <conditionalFormatting sqref="AI13">
    <cfRule type="expression" dxfId="3057" priority="1">
      <formula>AND(IF(OR($Q13=1,$Q13=2),1,0),IF($X13&lt;=20,1,0))</formula>
    </cfRule>
    <cfRule type="expression" dxfId="3056" priority="2">
      <formula>AND(IF($Q13=2,1,0),IF($X13&lt;30,1,0))</formula>
    </cfRule>
    <cfRule type="expression" dxfId="3055" priority="3">
      <formula>AND(IF($Q13=3,1,0),IF($X13&lt;30,1,0))</formula>
    </cfRule>
    <cfRule type="expression" dxfId="3054" priority="4">
      <formula>AND(IF($Q13=3,1,IF($Q13=4,1,0)),IF($F13&lt;=85,1,0))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매산로2가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1165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매산로2가 대한대우('99.12.,1293^)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1166</v>
      </c>
      <c r="B6" s="16" t="s">
        <v>1167</v>
      </c>
      <c r="C6" s="28">
        <v>1293</v>
      </c>
      <c r="D6" s="25">
        <v>78.400000000000006</v>
      </c>
      <c r="E6" s="106">
        <v>24</v>
      </c>
      <c r="F6" s="25">
        <v>59.8</v>
      </c>
      <c r="G6" s="27">
        <v>18</v>
      </c>
      <c r="H6" s="28">
        <v>132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1</v>
      </c>
      <c r="S6" s="113" t="s">
        <v>1168</v>
      </c>
      <c r="T6" s="8" t="s">
        <v>128</v>
      </c>
      <c r="U6" s="13"/>
      <c r="W6" s="25">
        <f>D6</f>
        <v>78.400000000000006</v>
      </c>
      <c r="X6" s="106">
        <f>E6</f>
        <v>24</v>
      </c>
      <c r="Y6" s="32">
        <f>H6</f>
        <v>132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3/1</v>
      </c>
      <c r="AH6" s="36" t="str">
        <f>IF(A6="","",A6)</f>
        <v>대한대우</v>
      </c>
      <c r="AI6" s="106">
        <f>IF(E6="","",E6)</f>
        <v>24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1169</v>
      </c>
      <c r="B7" s="16" t="s">
        <v>1170</v>
      </c>
      <c r="C7" s="28">
        <v>1293</v>
      </c>
      <c r="D7" s="25">
        <v>78.5</v>
      </c>
      <c r="E7" s="106">
        <v>24</v>
      </c>
      <c r="F7" s="25">
        <v>60</v>
      </c>
      <c r="G7" s="27">
        <v>18</v>
      </c>
      <c r="H7" s="28">
        <v>120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2</v>
      </c>
      <c r="R7" s="15">
        <v>1</v>
      </c>
      <c r="S7" s="113" t="s">
        <v>1171</v>
      </c>
      <c r="T7" s="8" t="s">
        <v>1172</v>
      </c>
      <c r="U7" s="13"/>
      <c r="W7" s="25">
        <f>D7</f>
        <v>78.5</v>
      </c>
      <c r="X7" s="106">
        <f>E7</f>
        <v>24</v>
      </c>
      <c r="Y7" s="32">
        <f>H7</f>
        <v>120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2/1</v>
      </c>
      <c r="AH7" s="36" t="str">
        <f>IF(A7="","",A7)</f>
        <v>대한대우</v>
      </c>
      <c r="AI7" s="106">
        <f>IF(E7="","",E7)</f>
        <v>24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1173</v>
      </c>
      <c r="B8" s="16" t="s">
        <v>1174</v>
      </c>
      <c r="C8" s="28">
        <v>1293</v>
      </c>
      <c r="D8" s="25">
        <v>78.5</v>
      </c>
      <c r="E8" s="106">
        <v>24</v>
      </c>
      <c r="F8" s="25">
        <v>59.9</v>
      </c>
      <c r="G8" s="27">
        <v>18</v>
      </c>
      <c r="H8" s="28">
        <v>12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1</v>
      </c>
      <c r="S8" s="113" t="s">
        <v>1175</v>
      </c>
      <c r="T8" s="8" t="s">
        <v>1176</v>
      </c>
      <c r="U8" s="13"/>
      <c r="W8" s="25">
        <f>D8</f>
        <v>78.5</v>
      </c>
      <c r="X8" s="106">
        <f>E8</f>
        <v>24</v>
      </c>
      <c r="Y8" s="32">
        <f>H8</f>
        <v>12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3/1</v>
      </c>
      <c r="AH8" s="36" t="str">
        <f>IF(A8="","",A8)</f>
        <v>대한대우</v>
      </c>
      <c r="AI8" s="106">
        <f>IF(E8="","",E8)</f>
        <v>24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1173</v>
      </c>
      <c r="B9" s="16" t="s">
        <v>1174</v>
      </c>
      <c r="C9" s="28">
        <v>1293</v>
      </c>
      <c r="D9" s="25">
        <v>105.7</v>
      </c>
      <c r="E9" s="106">
        <v>32</v>
      </c>
      <c r="F9" s="25">
        <v>85</v>
      </c>
      <c r="G9" s="27">
        <v>26</v>
      </c>
      <c r="H9" s="28">
        <v>321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1175</v>
      </c>
      <c r="T9" s="8" t="s">
        <v>1177</v>
      </c>
      <c r="U9" s="13"/>
      <c r="W9" s="25">
        <f>D9</f>
        <v>105.7</v>
      </c>
      <c r="X9" s="106">
        <f>E9</f>
        <v>32</v>
      </c>
      <c r="Y9" s="32">
        <f>H9</f>
        <v>321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대한대우</v>
      </c>
      <c r="AI9" s="106">
        <f>IF(E9="","",E9)</f>
        <v>32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1178</v>
      </c>
      <c r="B10" s="16" t="s">
        <v>1179</v>
      </c>
      <c r="C10" s="28">
        <v>1293</v>
      </c>
      <c r="D10" s="25">
        <v>105.7</v>
      </c>
      <c r="E10" s="106">
        <v>32</v>
      </c>
      <c r="F10" s="25">
        <v>85</v>
      </c>
      <c r="G10" s="27">
        <v>26</v>
      </c>
      <c r="H10" s="28">
        <v>212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64</v>
      </c>
      <c r="T10" s="8" t="s">
        <v>1180</v>
      </c>
      <c r="U10" s="13"/>
      <c r="W10" s="25">
        <f>D10</f>
        <v>105.7</v>
      </c>
      <c r="X10" s="106">
        <f>E10</f>
        <v>32</v>
      </c>
      <c r="Y10" s="32">
        <f>H10</f>
        <v>212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대한대우</v>
      </c>
      <c r="AI10" s="106">
        <f>IF(E10="","",E10)</f>
        <v>32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1181</v>
      </c>
      <c r="B11" s="16" t="s">
        <v>1182</v>
      </c>
      <c r="C11" s="28">
        <v>1293</v>
      </c>
      <c r="D11" s="25">
        <v>160.80000000000001</v>
      </c>
      <c r="E11" s="106">
        <v>49</v>
      </c>
      <c r="F11" s="25">
        <v>134.9</v>
      </c>
      <c r="G11" s="27">
        <v>41</v>
      </c>
      <c r="H11" s="28">
        <v>352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4</v>
      </c>
      <c r="R11" s="15">
        <v>2</v>
      </c>
      <c r="S11" s="113" t="s">
        <v>1183</v>
      </c>
      <c r="T11" s="8">
        <v>160</v>
      </c>
      <c r="U11" s="13"/>
      <c r="W11" s="25">
        <f>D11</f>
        <v>160.80000000000001</v>
      </c>
      <c r="X11" s="106">
        <f>E11</f>
        <v>49</v>
      </c>
      <c r="Y11" s="32">
        <f>H11</f>
        <v>352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4/2</v>
      </c>
      <c r="AH11" s="36" t="str">
        <f>IF(A11="","",A11)</f>
        <v>대한대우</v>
      </c>
      <c r="AI11" s="106">
        <f>IF(E11="","",E11)</f>
        <v>49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X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1181</v>
      </c>
      <c r="B12" s="16" t="s">
        <v>1182</v>
      </c>
      <c r="C12" s="28">
        <v>1293</v>
      </c>
      <c r="D12" s="25">
        <v>181.8</v>
      </c>
      <c r="E12" s="106">
        <v>55</v>
      </c>
      <c r="F12" s="25">
        <v>154.1</v>
      </c>
      <c r="G12" s="27">
        <v>47</v>
      </c>
      <c r="H12" s="28">
        <v>144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4</v>
      </c>
      <c r="R12" s="15">
        <v>2</v>
      </c>
      <c r="S12" s="113" t="s">
        <v>1183</v>
      </c>
      <c r="T12" s="8">
        <v>181</v>
      </c>
      <c r="U12" s="13"/>
      <c r="W12" s="25">
        <f>D12</f>
        <v>181.8</v>
      </c>
      <c r="X12" s="106">
        <f>E12</f>
        <v>55</v>
      </c>
      <c r="Y12" s="32">
        <f>H12</f>
        <v>144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4/2</v>
      </c>
      <c r="AH12" s="36" t="str">
        <f>IF(A12="","",A12)</f>
        <v>대한대우</v>
      </c>
      <c r="AI12" s="106">
        <f>IF(E12="","",E12)</f>
        <v>55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X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</sheetData>
  <mergeCells count="1">
    <mergeCell ref="AJ1:AN1"/>
  </mergeCells>
  <phoneticPr fontId="2" type="noConversion"/>
  <conditionalFormatting sqref="AV4:AV6">
    <cfRule type="expression" dxfId="3053" priority="134">
      <formula>AV4="X"</formula>
    </cfRule>
    <cfRule type="expression" dxfId="3052" priority="135">
      <formula>AV4="후보"</formula>
    </cfRule>
  </conditionalFormatting>
  <conditionalFormatting sqref="Z2:Z6">
    <cfRule type="colorScale" priority="1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3051" priority="131" operator="greaterThan">
      <formula>0.9</formula>
    </cfRule>
    <cfRule type="cellIs" dxfId="3050" priority="132" operator="greaterThan">
      <formula>0.85</formula>
    </cfRule>
  </conditionalFormatting>
  <conditionalFormatting sqref="N1:N2">
    <cfRule type="cellIs" dxfId="3049" priority="129" operator="greaterThan">
      <formula>0.9</formula>
    </cfRule>
    <cfRule type="cellIs" dxfId="3048" priority="130" operator="greaterThan">
      <formula>0.85</formula>
    </cfRule>
  </conditionalFormatting>
  <conditionalFormatting sqref="N6">
    <cfRule type="cellIs" dxfId="3047" priority="127" operator="greaterThan">
      <formula>0.9</formula>
    </cfRule>
    <cfRule type="cellIs" dxfId="3046" priority="128" operator="greaterThan">
      <formula>0.85</formula>
    </cfRule>
  </conditionalFormatting>
  <conditionalFormatting sqref="E6">
    <cfRule type="expression" dxfId="3045" priority="123">
      <formula>AND(IF(OR($Q6=1,$Q6=2),1,0),IF($X6&lt;=20,1,0))</formula>
    </cfRule>
    <cfRule type="expression" dxfId="3044" priority="124">
      <formula>AND(IF($Q6=2,1,0),IF($X6&lt;30,1,0))</formula>
    </cfRule>
    <cfRule type="expression" dxfId="3043" priority="125">
      <formula>AND(IF($Q6=3,1,0),IF($X6&lt;30,1,0))</formula>
    </cfRule>
    <cfRule type="expression" dxfId="3042" priority="126">
      <formula>AND(IF($Q6=3,1,IF($Q6=4,1,0)),IF($F6&lt;=85,1,0))</formula>
    </cfRule>
  </conditionalFormatting>
  <conditionalFormatting sqref="X6">
    <cfRule type="expression" dxfId="3041" priority="119">
      <formula>AND(IF(OR($Q6=1,$Q6=2),1,0),IF($X6&lt;=20,1,0))</formula>
    </cfRule>
    <cfRule type="expression" dxfId="3040" priority="120">
      <formula>AND(IF($Q6=2,1,0),IF($X6&lt;30,1,0))</formula>
    </cfRule>
    <cfRule type="expression" dxfId="3039" priority="121">
      <formula>AND(IF($Q6=3,1,0),IF($X6&lt;30,1,0))</formula>
    </cfRule>
    <cfRule type="expression" dxfId="3038" priority="122">
      <formula>AND(IF($Q6=3,1,IF($Q6=4,1,0)),IF($F6&lt;=85,1,0))</formula>
    </cfRule>
  </conditionalFormatting>
  <conditionalFormatting sqref="AI6">
    <cfRule type="expression" dxfId="3037" priority="115">
      <formula>AND(IF(OR($Q6=1,$Q6=2),1,0),IF($X6&lt;=20,1,0))</formula>
    </cfRule>
    <cfRule type="expression" dxfId="3036" priority="116">
      <formula>AND(IF($Q6=2,1,0),IF($X6&lt;30,1,0))</formula>
    </cfRule>
    <cfRule type="expression" dxfId="3035" priority="117">
      <formula>AND(IF($Q6=3,1,0),IF($X6&lt;30,1,0))</formula>
    </cfRule>
    <cfRule type="expression" dxfId="3034" priority="118">
      <formula>AND(IF($Q6=3,1,IF($Q6=4,1,0)),IF($F6&lt;=85,1,0))</formula>
    </cfRule>
  </conditionalFormatting>
  <conditionalFormatting sqref="AV7">
    <cfRule type="expression" dxfId="3033" priority="113">
      <formula>AV7="X"</formula>
    </cfRule>
    <cfRule type="expression" dxfId="3032" priority="114">
      <formula>AV7="후보"</formula>
    </cfRule>
  </conditionalFormatting>
  <conditionalFormatting sqref="Z7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3031" priority="110" operator="greaterThan">
      <formula>0.9</formula>
    </cfRule>
    <cfRule type="cellIs" dxfId="3030" priority="111" operator="greaterThan">
      <formula>0.85</formula>
    </cfRule>
  </conditionalFormatting>
  <conditionalFormatting sqref="N7">
    <cfRule type="cellIs" dxfId="3029" priority="108" operator="greaterThan">
      <formula>0.9</formula>
    </cfRule>
    <cfRule type="cellIs" dxfId="3028" priority="109" operator="greaterThan">
      <formula>0.85</formula>
    </cfRule>
  </conditionalFormatting>
  <conditionalFormatting sqref="E7">
    <cfRule type="expression" dxfId="3027" priority="104">
      <formula>AND(IF(OR($Q7=1,$Q7=2),1,0),IF($X7&lt;=20,1,0))</formula>
    </cfRule>
    <cfRule type="expression" dxfId="3026" priority="105">
      <formula>AND(IF($Q7=2,1,0),IF($X7&lt;30,1,0))</formula>
    </cfRule>
    <cfRule type="expression" dxfId="3025" priority="106">
      <formula>AND(IF($Q7=3,1,0),IF($X7&lt;30,1,0))</formula>
    </cfRule>
    <cfRule type="expression" dxfId="3024" priority="107">
      <formula>AND(IF($Q7=3,1,IF($Q7=4,1,0)),IF($F7&lt;=85,1,0))</formula>
    </cfRule>
  </conditionalFormatting>
  <conditionalFormatting sqref="X7">
    <cfRule type="expression" dxfId="3023" priority="100">
      <formula>AND(IF(OR($Q7=1,$Q7=2),1,0),IF($X7&lt;=20,1,0))</formula>
    </cfRule>
    <cfRule type="expression" dxfId="3022" priority="101">
      <formula>AND(IF($Q7=2,1,0),IF($X7&lt;30,1,0))</formula>
    </cfRule>
    <cfRule type="expression" dxfId="3021" priority="102">
      <formula>AND(IF($Q7=3,1,0),IF($X7&lt;30,1,0))</formula>
    </cfRule>
    <cfRule type="expression" dxfId="3020" priority="103">
      <formula>AND(IF($Q7=3,1,IF($Q7=4,1,0)),IF($F7&lt;=85,1,0))</formula>
    </cfRule>
  </conditionalFormatting>
  <conditionalFormatting sqref="AI7">
    <cfRule type="expression" dxfId="3019" priority="96">
      <formula>AND(IF(OR($Q7=1,$Q7=2),1,0),IF($X7&lt;=20,1,0))</formula>
    </cfRule>
    <cfRule type="expression" dxfId="3018" priority="97">
      <formula>AND(IF($Q7=2,1,0),IF($X7&lt;30,1,0))</formula>
    </cfRule>
    <cfRule type="expression" dxfId="3017" priority="98">
      <formula>AND(IF($Q7=3,1,0),IF($X7&lt;30,1,0))</formula>
    </cfRule>
    <cfRule type="expression" dxfId="3016" priority="99">
      <formula>AND(IF($Q7=3,1,IF($Q7=4,1,0)),IF($F7&lt;=85,1,0))</formula>
    </cfRule>
  </conditionalFormatting>
  <conditionalFormatting sqref="AV8">
    <cfRule type="expression" dxfId="3015" priority="94">
      <formula>AV8="X"</formula>
    </cfRule>
    <cfRule type="expression" dxfId="3014" priority="95">
      <formula>AV8="후보"</formula>
    </cfRule>
  </conditionalFormatting>
  <conditionalFormatting sqref="Z8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3013" priority="91" operator="greaterThan">
      <formula>0.9</formula>
    </cfRule>
    <cfRule type="cellIs" dxfId="3012" priority="92" operator="greaterThan">
      <formula>0.85</formula>
    </cfRule>
  </conditionalFormatting>
  <conditionalFormatting sqref="N8">
    <cfRule type="cellIs" dxfId="3011" priority="89" operator="greaterThan">
      <formula>0.9</formula>
    </cfRule>
    <cfRule type="cellIs" dxfId="3010" priority="90" operator="greaterThan">
      <formula>0.85</formula>
    </cfRule>
  </conditionalFormatting>
  <conditionalFormatting sqref="E8">
    <cfRule type="expression" dxfId="3009" priority="85">
      <formula>AND(IF(OR($Q8=1,$Q8=2),1,0),IF($X8&lt;=20,1,0))</formula>
    </cfRule>
    <cfRule type="expression" dxfId="3008" priority="86">
      <formula>AND(IF($Q8=2,1,0),IF($X8&lt;30,1,0))</formula>
    </cfRule>
    <cfRule type="expression" dxfId="3007" priority="87">
      <formula>AND(IF($Q8=3,1,0),IF($X8&lt;30,1,0))</formula>
    </cfRule>
    <cfRule type="expression" dxfId="3006" priority="88">
      <formula>AND(IF($Q8=3,1,IF($Q8=4,1,0)),IF($F8&lt;=85,1,0))</formula>
    </cfRule>
  </conditionalFormatting>
  <conditionalFormatting sqref="X8">
    <cfRule type="expression" dxfId="3005" priority="81">
      <formula>AND(IF(OR($Q8=1,$Q8=2),1,0),IF($X8&lt;=20,1,0))</formula>
    </cfRule>
    <cfRule type="expression" dxfId="3004" priority="82">
      <formula>AND(IF($Q8=2,1,0),IF($X8&lt;30,1,0))</formula>
    </cfRule>
    <cfRule type="expression" dxfId="3003" priority="83">
      <formula>AND(IF($Q8=3,1,0),IF($X8&lt;30,1,0))</formula>
    </cfRule>
    <cfRule type="expression" dxfId="3002" priority="84">
      <formula>AND(IF($Q8=3,1,IF($Q8=4,1,0)),IF($F8&lt;=85,1,0))</formula>
    </cfRule>
  </conditionalFormatting>
  <conditionalFormatting sqref="AI8">
    <cfRule type="expression" dxfId="3001" priority="77">
      <formula>AND(IF(OR($Q8=1,$Q8=2),1,0),IF($X8&lt;=20,1,0))</formula>
    </cfRule>
    <cfRule type="expression" dxfId="3000" priority="78">
      <formula>AND(IF($Q8=2,1,0),IF($X8&lt;30,1,0))</formula>
    </cfRule>
    <cfRule type="expression" dxfId="2999" priority="79">
      <formula>AND(IF($Q8=3,1,0),IF($X8&lt;30,1,0))</formula>
    </cfRule>
    <cfRule type="expression" dxfId="2998" priority="80">
      <formula>AND(IF($Q8=3,1,IF($Q8=4,1,0)),IF($F8&lt;=85,1,0))</formula>
    </cfRule>
  </conditionalFormatting>
  <conditionalFormatting sqref="AV9">
    <cfRule type="expression" dxfId="2997" priority="75">
      <formula>AV9="X"</formula>
    </cfRule>
    <cfRule type="expression" dxfId="2996" priority="76">
      <formula>AV9="후보"</formula>
    </cfRule>
  </conditionalFormatting>
  <conditionalFormatting sqref="Z9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2995" priority="72" operator="greaterThan">
      <formula>0.9</formula>
    </cfRule>
    <cfRule type="cellIs" dxfId="2994" priority="73" operator="greaterThan">
      <formula>0.85</formula>
    </cfRule>
  </conditionalFormatting>
  <conditionalFormatting sqref="N9">
    <cfRule type="cellIs" dxfId="2993" priority="70" operator="greaterThan">
      <formula>0.9</formula>
    </cfRule>
    <cfRule type="cellIs" dxfId="2992" priority="71" operator="greaterThan">
      <formula>0.85</formula>
    </cfRule>
  </conditionalFormatting>
  <conditionalFormatting sqref="E9">
    <cfRule type="expression" dxfId="2991" priority="66">
      <formula>AND(IF(OR($Q9=1,$Q9=2),1,0),IF($X9&lt;=20,1,0))</formula>
    </cfRule>
    <cfRule type="expression" dxfId="2990" priority="67">
      <formula>AND(IF($Q9=2,1,0),IF($X9&lt;30,1,0))</formula>
    </cfRule>
    <cfRule type="expression" dxfId="2989" priority="68">
      <formula>AND(IF($Q9=3,1,0),IF($X9&lt;30,1,0))</formula>
    </cfRule>
    <cfRule type="expression" dxfId="2988" priority="69">
      <formula>AND(IF($Q9=3,1,IF($Q9=4,1,0)),IF($F9&lt;=85,1,0))</formula>
    </cfRule>
  </conditionalFormatting>
  <conditionalFormatting sqref="X9">
    <cfRule type="expression" dxfId="2987" priority="62">
      <formula>AND(IF(OR($Q9=1,$Q9=2),1,0),IF($X9&lt;=20,1,0))</formula>
    </cfRule>
    <cfRule type="expression" dxfId="2986" priority="63">
      <formula>AND(IF($Q9=2,1,0),IF($X9&lt;30,1,0))</formula>
    </cfRule>
    <cfRule type="expression" dxfId="2985" priority="64">
      <formula>AND(IF($Q9=3,1,0),IF($X9&lt;30,1,0))</formula>
    </cfRule>
    <cfRule type="expression" dxfId="2984" priority="65">
      <formula>AND(IF($Q9=3,1,IF($Q9=4,1,0)),IF($F9&lt;=85,1,0))</formula>
    </cfRule>
  </conditionalFormatting>
  <conditionalFormatting sqref="AI9">
    <cfRule type="expression" dxfId="2983" priority="58">
      <formula>AND(IF(OR($Q9=1,$Q9=2),1,0),IF($X9&lt;=20,1,0))</formula>
    </cfRule>
    <cfRule type="expression" dxfId="2982" priority="59">
      <formula>AND(IF($Q9=2,1,0),IF($X9&lt;30,1,0))</formula>
    </cfRule>
    <cfRule type="expression" dxfId="2981" priority="60">
      <formula>AND(IF($Q9=3,1,0),IF($X9&lt;30,1,0))</formula>
    </cfRule>
    <cfRule type="expression" dxfId="2980" priority="61">
      <formula>AND(IF($Q9=3,1,IF($Q9=4,1,0)),IF($F9&lt;=85,1,0))</formula>
    </cfRule>
  </conditionalFormatting>
  <conditionalFormatting sqref="AV10">
    <cfRule type="expression" dxfId="2979" priority="56">
      <formula>AV10="X"</formula>
    </cfRule>
    <cfRule type="expression" dxfId="2978" priority="57">
      <formula>AV10="후보"</formula>
    </cfRule>
  </conditionalFormatting>
  <conditionalFormatting sqref="Z10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2977" priority="53" operator="greaterThan">
      <formula>0.9</formula>
    </cfRule>
    <cfRule type="cellIs" dxfId="2976" priority="54" operator="greaterThan">
      <formula>0.85</formula>
    </cfRule>
  </conditionalFormatting>
  <conditionalFormatting sqref="N10">
    <cfRule type="cellIs" dxfId="2975" priority="51" operator="greaterThan">
      <formula>0.9</formula>
    </cfRule>
    <cfRule type="cellIs" dxfId="2974" priority="52" operator="greaterThan">
      <formula>0.85</formula>
    </cfRule>
  </conditionalFormatting>
  <conditionalFormatting sqref="E10">
    <cfRule type="expression" dxfId="2973" priority="47">
      <formula>AND(IF(OR($Q10=1,$Q10=2),1,0),IF($X10&lt;=20,1,0))</formula>
    </cfRule>
    <cfRule type="expression" dxfId="2972" priority="48">
      <formula>AND(IF($Q10=2,1,0),IF($X10&lt;30,1,0))</formula>
    </cfRule>
    <cfRule type="expression" dxfId="2971" priority="49">
      <formula>AND(IF($Q10=3,1,0),IF($X10&lt;30,1,0))</formula>
    </cfRule>
    <cfRule type="expression" dxfId="2970" priority="50">
      <formula>AND(IF($Q10=3,1,IF($Q10=4,1,0)),IF($F10&lt;=85,1,0))</formula>
    </cfRule>
  </conditionalFormatting>
  <conditionalFormatting sqref="X10">
    <cfRule type="expression" dxfId="2969" priority="43">
      <formula>AND(IF(OR($Q10=1,$Q10=2),1,0),IF($X10&lt;=20,1,0))</formula>
    </cfRule>
    <cfRule type="expression" dxfId="2968" priority="44">
      <formula>AND(IF($Q10=2,1,0),IF($X10&lt;30,1,0))</formula>
    </cfRule>
    <cfRule type="expression" dxfId="2967" priority="45">
      <formula>AND(IF($Q10=3,1,0),IF($X10&lt;30,1,0))</formula>
    </cfRule>
    <cfRule type="expression" dxfId="2966" priority="46">
      <formula>AND(IF($Q10=3,1,IF($Q10=4,1,0)),IF($F10&lt;=85,1,0))</formula>
    </cfRule>
  </conditionalFormatting>
  <conditionalFormatting sqref="AI10">
    <cfRule type="expression" dxfId="2965" priority="39">
      <formula>AND(IF(OR($Q10=1,$Q10=2),1,0),IF($X10&lt;=20,1,0))</formula>
    </cfRule>
    <cfRule type="expression" dxfId="2964" priority="40">
      <formula>AND(IF($Q10=2,1,0),IF($X10&lt;30,1,0))</formula>
    </cfRule>
    <cfRule type="expression" dxfId="2963" priority="41">
      <formula>AND(IF($Q10=3,1,0),IF($X10&lt;30,1,0))</formula>
    </cfRule>
    <cfRule type="expression" dxfId="2962" priority="42">
      <formula>AND(IF($Q10=3,1,IF($Q10=4,1,0)),IF($F10&lt;=85,1,0))</formula>
    </cfRule>
  </conditionalFormatting>
  <conditionalFormatting sqref="AV11">
    <cfRule type="expression" dxfId="2961" priority="37">
      <formula>AV11="X"</formula>
    </cfRule>
    <cfRule type="expression" dxfId="2960" priority="38">
      <formula>AV11="후보"</formula>
    </cfRule>
  </conditionalFormatting>
  <conditionalFormatting sqref="Z11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2959" priority="34" operator="greaterThan">
      <formula>0.9</formula>
    </cfRule>
    <cfRule type="cellIs" dxfId="2958" priority="35" operator="greaterThan">
      <formula>0.85</formula>
    </cfRule>
  </conditionalFormatting>
  <conditionalFormatting sqref="N11">
    <cfRule type="cellIs" dxfId="2957" priority="32" operator="greaterThan">
      <formula>0.9</formula>
    </cfRule>
    <cfRule type="cellIs" dxfId="2956" priority="33" operator="greaterThan">
      <formula>0.85</formula>
    </cfRule>
  </conditionalFormatting>
  <conditionalFormatting sqref="E11">
    <cfRule type="expression" dxfId="2955" priority="28">
      <formula>AND(IF(OR($Q11=1,$Q11=2),1,0),IF($X11&lt;=20,1,0))</formula>
    </cfRule>
    <cfRule type="expression" dxfId="2954" priority="29">
      <formula>AND(IF($Q11=2,1,0),IF($X11&lt;30,1,0))</formula>
    </cfRule>
    <cfRule type="expression" dxfId="2953" priority="30">
      <formula>AND(IF($Q11=3,1,0),IF($X11&lt;30,1,0))</formula>
    </cfRule>
    <cfRule type="expression" dxfId="2952" priority="31">
      <formula>AND(IF($Q11=3,1,IF($Q11=4,1,0)),IF($F11&lt;=85,1,0))</formula>
    </cfRule>
  </conditionalFormatting>
  <conditionalFormatting sqref="X11">
    <cfRule type="expression" dxfId="2951" priority="24">
      <formula>AND(IF(OR($Q11=1,$Q11=2),1,0),IF($X11&lt;=20,1,0))</formula>
    </cfRule>
    <cfRule type="expression" dxfId="2950" priority="25">
      <formula>AND(IF($Q11=2,1,0),IF($X11&lt;30,1,0))</formula>
    </cfRule>
    <cfRule type="expression" dxfId="2949" priority="26">
      <formula>AND(IF($Q11=3,1,0),IF($X11&lt;30,1,0))</formula>
    </cfRule>
    <cfRule type="expression" dxfId="2948" priority="27">
      <formula>AND(IF($Q11=3,1,IF($Q11=4,1,0)),IF($F11&lt;=85,1,0))</formula>
    </cfRule>
  </conditionalFormatting>
  <conditionalFormatting sqref="AI11">
    <cfRule type="expression" dxfId="2947" priority="20">
      <formula>AND(IF(OR($Q11=1,$Q11=2),1,0),IF($X11&lt;=20,1,0))</formula>
    </cfRule>
    <cfRule type="expression" dxfId="2946" priority="21">
      <formula>AND(IF($Q11=2,1,0),IF($X11&lt;30,1,0))</formula>
    </cfRule>
    <cfRule type="expression" dxfId="2945" priority="22">
      <formula>AND(IF($Q11=3,1,0),IF($X11&lt;30,1,0))</formula>
    </cfRule>
    <cfRule type="expression" dxfId="2944" priority="23">
      <formula>AND(IF($Q11=3,1,IF($Q11=4,1,0)),IF($F11&lt;=85,1,0))</formula>
    </cfRule>
  </conditionalFormatting>
  <conditionalFormatting sqref="AV12">
    <cfRule type="expression" dxfId="2943" priority="18">
      <formula>AV12="X"</formula>
    </cfRule>
    <cfRule type="expression" dxfId="2942" priority="19">
      <formula>AV12="후보"</formula>
    </cfRule>
  </conditionalFormatting>
  <conditionalFormatting sqref="Z12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2941" priority="15" operator="greaterThan">
      <formula>0.9</formula>
    </cfRule>
    <cfRule type="cellIs" dxfId="2940" priority="16" operator="greaterThan">
      <formula>0.85</formula>
    </cfRule>
  </conditionalFormatting>
  <conditionalFormatting sqref="N12">
    <cfRule type="cellIs" dxfId="2939" priority="13" operator="greaterThan">
      <formula>0.9</formula>
    </cfRule>
    <cfRule type="cellIs" dxfId="2938" priority="14" operator="greaterThan">
      <formula>0.85</formula>
    </cfRule>
  </conditionalFormatting>
  <conditionalFormatting sqref="E12">
    <cfRule type="expression" dxfId="2937" priority="9">
      <formula>AND(IF(OR($Q12=1,$Q12=2),1,0),IF($X12&lt;=20,1,0))</formula>
    </cfRule>
    <cfRule type="expression" dxfId="2936" priority="10">
      <formula>AND(IF($Q12=2,1,0),IF($X12&lt;30,1,0))</formula>
    </cfRule>
    <cfRule type="expression" dxfId="2935" priority="11">
      <formula>AND(IF($Q12=3,1,0),IF($X12&lt;30,1,0))</formula>
    </cfRule>
    <cfRule type="expression" dxfId="2934" priority="12">
      <formula>AND(IF($Q12=3,1,IF($Q12=4,1,0)),IF($F12&lt;=85,1,0))</formula>
    </cfRule>
  </conditionalFormatting>
  <conditionalFormatting sqref="X12">
    <cfRule type="expression" dxfId="2933" priority="5">
      <formula>AND(IF(OR($Q12=1,$Q12=2),1,0),IF($X12&lt;=20,1,0))</formula>
    </cfRule>
    <cfRule type="expression" dxfId="2932" priority="6">
      <formula>AND(IF($Q12=2,1,0),IF($X12&lt;30,1,0))</formula>
    </cfRule>
    <cfRule type="expression" dxfId="2931" priority="7">
      <formula>AND(IF($Q12=3,1,0),IF($X12&lt;30,1,0))</formula>
    </cfRule>
    <cfRule type="expression" dxfId="2930" priority="8">
      <formula>AND(IF($Q12=3,1,IF($Q12=4,1,0)),IF($F12&lt;=85,1,0))</formula>
    </cfRule>
  </conditionalFormatting>
  <conditionalFormatting sqref="AI12">
    <cfRule type="expression" dxfId="2929" priority="1">
      <formula>AND(IF(OR($Q12=1,$Q12=2),1,0),IF($X12&lt;=20,1,0))</formula>
    </cfRule>
    <cfRule type="expression" dxfId="2928" priority="2">
      <formula>AND(IF($Q12=2,1,0),IF($X12&lt;30,1,0))</formula>
    </cfRule>
    <cfRule type="expression" dxfId="2927" priority="3">
      <formula>AND(IF($Q12=3,1,0),IF($X12&lt;30,1,0))</formula>
    </cfRule>
    <cfRule type="expression" dxfId="2926" priority="4">
      <formula>AND(IF($Q12=3,1,IF($Q12=4,1,0)),IF($F12&lt;=85,1,0))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우만동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1184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우만동 신성미소지움('02.12.,272^)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1185</v>
      </c>
      <c r="B6" s="16" t="s">
        <v>1186</v>
      </c>
      <c r="C6" s="28">
        <v>272</v>
      </c>
      <c r="D6" s="25">
        <v>116.1</v>
      </c>
      <c r="E6" s="106">
        <v>35</v>
      </c>
      <c r="F6" s="25">
        <v>84.7</v>
      </c>
      <c r="G6" s="27">
        <v>26</v>
      </c>
      <c r="H6" s="28">
        <v>180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1183</v>
      </c>
      <c r="T6" s="8">
        <v>116</v>
      </c>
      <c r="U6" s="13"/>
      <c r="W6" s="25">
        <f>D6</f>
        <v>116.1</v>
      </c>
      <c r="X6" s="106">
        <f>E6</f>
        <v>35</v>
      </c>
      <c r="Y6" s="32">
        <f>H6</f>
        <v>180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신성미소지움</v>
      </c>
      <c r="AI6" s="106">
        <f>IF(E6="","",E6)</f>
        <v>35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X</v>
      </c>
      <c r="AV6" s="113" t="str">
        <f>IF(AO6="","",IF(AND(AO6="O",AP6="O",AR6="O",AT6="O",AU6="O"),"후보","X"))</f>
        <v/>
      </c>
    </row>
    <row r="7" spans="1:48" x14ac:dyDescent="0.3">
      <c r="A7" s="5" t="s">
        <v>1187</v>
      </c>
      <c r="B7" s="16" t="s">
        <v>1188</v>
      </c>
      <c r="C7" s="28">
        <v>272</v>
      </c>
      <c r="D7" s="25">
        <v>152.80000000000001</v>
      </c>
      <c r="E7" s="106">
        <v>46</v>
      </c>
      <c r="F7" s="25">
        <v>118.6</v>
      </c>
      <c r="G7" s="27">
        <v>36</v>
      </c>
      <c r="H7" s="28">
        <v>92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4</v>
      </c>
      <c r="R7" s="15">
        <v>2</v>
      </c>
      <c r="S7" s="113" t="s">
        <v>1189</v>
      </c>
      <c r="T7" s="8">
        <v>152</v>
      </c>
      <c r="U7" s="13"/>
      <c r="W7" s="25">
        <f>D7</f>
        <v>152.80000000000001</v>
      </c>
      <c r="X7" s="106">
        <f>E7</f>
        <v>46</v>
      </c>
      <c r="Y7" s="32">
        <f>H7</f>
        <v>92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4/2</v>
      </c>
      <c r="AH7" s="36" t="str">
        <f>IF(A7="","",A7)</f>
        <v>신성미소지움</v>
      </c>
      <c r="AI7" s="106">
        <f>IF(E7="","",E7)</f>
        <v>46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X</v>
      </c>
      <c r="AU7" s="113" t="str">
        <f>IF(C7="","",IF(C7&gt;=$AU$1,"O","X"))</f>
        <v>X</v>
      </c>
      <c r="AV7" s="113" t="str">
        <f>IF(AO7="","",IF(AND(AO7="O",AP7="O",AR7="O",AT7="O",AU7="O"),"후보","X"))</f>
        <v/>
      </c>
    </row>
    <row r="8" spans="1:48" x14ac:dyDescent="0.3">
      <c r="A8" s="9"/>
      <c r="B8" s="113"/>
      <c r="C8" s="10"/>
      <c r="D8" s="13"/>
      <c r="E8" s="20"/>
      <c r="F8" s="26"/>
      <c r="G8" s="13"/>
      <c r="H8" s="13"/>
      <c r="I8" s="13"/>
      <c r="J8" s="13"/>
      <c r="K8" s="13"/>
      <c r="L8" s="13"/>
      <c r="M8" s="13"/>
      <c r="N8" s="13"/>
      <c r="O8" s="29"/>
      <c r="P8" s="29"/>
      <c r="Q8" s="23"/>
      <c r="R8" s="23"/>
      <c r="S8" s="13"/>
      <c r="T8" s="70"/>
      <c r="U8" s="13"/>
      <c r="W8" s="107" t="str">
        <f>$A$4&amp;" "&amp;A9&amp;"("&amp;B9&amp;","&amp;C9&amp;"^)"</f>
        <v>우만동 선경('95.10.,372^)</v>
      </c>
      <c r="X8" s="108"/>
      <c r="Y8" s="108"/>
      <c r="Z8" s="108"/>
      <c r="AA8" s="108"/>
      <c r="AB8" s="108"/>
      <c r="AC8" s="108"/>
      <c r="AD8" s="108"/>
      <c r="AE8" s="108"/>
      <c r="AF8" s="109"/>
      <c r="AH8" s="36" t="str">
        <f>IF(A8="","",A8)</f>
        <v/>
      </c>
      <c r="AI8" s="37" t="str">
        <f>IF(E8="","",E8)</f>
        <v/>
      </c>
      <c r="AJ8" s="113"/>
      <c r="AK8" s="113"/>
      <c r="AL8" s="113"/>
      <c r="AM8" s="113"/>
      <c r="AN8" s="113"/>
      <c r="AO8" s="113"/>
      <c r="AP8" s="113"/>
      <c r="AQ8" s="113"/>
      <c r="AR8" s="113"/>
      <c r="AS8" s="113"/>
      <c r="AT8" s="113"/>
      <c r="AU8" s="113"/>
      <c r="AV8" s="113"/>
    </row>
    <row r="9" spans="1:48" x14ac:dyDescent="0.3">
      <c r="A9" s="5" t="s">
        <v>1190</v>
      </c>
      <c r="B9" s="16" t="s">
        <v>1191</v>
      </c>
      <c r="C9" s="28">
        <v>372</v>
      </c>
      <c r="D9" s="25">
        <v>58.7</v>
      </c>
      <c r="E9" s="106">
        <v>18</v>
      </c>
      <c r="F9" s="25">
        <v>42.2</v>
      </c>
      <c r="G9" s="27">
        <v>13</v>
      </c>
      <c r="H9" s="28">
        <v>90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2</v>
      </c>
      <c r="R9" s="15">
        <v>1</v>
      </c>
      <c r="S9" s="113" t="s">
        <v>1192</v>
      </c>
      <c r="T9" s="8">
        <v>58</v>
      </c>
      <c r="U9" s="13"/>
      <c r="W9" s="25">
        <f>D9</f>
        <v>58.7</v>
      </c>
      <c r="X9" s="106">
        <f>E9</f>
        <v>18</v>
      </c>
      <c r="Y9" s="32">
        <f>H9</f>
        <v>90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복</v>
      </c>
      <c r="AF9" s="15" t="str">
        <f>Q9&amp;"/"&amp;R9</f>
        <v>2/1</v>
      </c>
      <c r="AH9" s="36" t="str">
        <f>IF(A9="","",A9)</f>
        <v>선경</v>
      </c>
      <c r="AI9" s="106">
        <f>IF(E9="","",E9)</f>
        <v>18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1190</v>
      </c>
      <c r="B10" s="16" t="s">
        <v>1191</v>
      </c>
      <c r="C10" s="28">
        <v>372</v>
      </c>
      <c r="D10" s="25">
        <v>82.4</v>
      </c>
      <c r="E10" s="106">
        <v>25</v>
      </c>
      <c r="F10" s="25">
        <v>59.3</v>
      </c>
      <c r="G10" s="27">
        <v>18</v>
      </c>
      <c r="H10" s="28">
        <v>144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2</v>
      </c>
      <c r="R10" s="15">
        <v>1</v>
      </c>
      <c r="S10" s="113" t="s">
        <v>1192</v>
      </c>
      <c r="T10" s="8">
        <v>82</v>
      </c>
      <c r="U10" s="13"/>
      <c r="W10" s="25">
        <f>D10</f>
        <v>82.4</v>
      </c>
      <c r="X10" s="106">
        <f>E10</f>
        <v>25</v>
      </c>
      <c r="Y10" s="32">
        <f>H10</f>
        <v>144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복</v>
      </c>
      <c r="AF10" s="15" t="str">
        <f>Q10&amp;"/"&amp;R10</f>
        <v>2/1</v>
      </c>
      <c r="AH10" s="36" t="str">
        <f>IF(A10="","",A10)</f>
        <v>선경</v>
      </c>
      <c r="AI10" s="106">
        <f>IF(E10="","",E10)</f>
        <v>25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1190</v>
      </c>
      <c r="B11" s="16" t="s">
        <v>1191</v>
      </c>
      <c r="C11" s="28">
        <v>372</v>
      </c>
      <c r="D11" s="25">
        <v>108.3</v>
      </c>
      <c r="E11" s="106">
        <v>33</v>
      </c>
      <c r="F11" s="25">
        <v>84.9</v>
      </c>
      <c r="G11" s="27">
        <v>26</v>
      </c>
      <c r="H11" s="28">
        <v>108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1193</v>
      </c>
      <c r="T11" s="8">
        <v>108</v>
      </c>
      <c r="U11" s="13"/>
      <c r="W11" s="25">
        <f>D11</f>
        <v>108.3</v>
      </c>
      <c r="X11" s="106">
        <f>E11</f>
        <v>33</v>
      </c>
      <c r="Y11" s="32">
        <f>H11</f>
        <v>108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선경</v>
      </c>
      <c r="AI11" s="106">
        <f>IF(E11="","",E11)</f>
        <v>33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1190</v>
      </c>
      <c r="B12" s="16" t="s">
        <v>1191</v>
      </c>
      <c r="C12" s="28">
        <v>372</v>
      </c>
      <c r="D12" s="25">
        <v>164.9</v>
      </c>
      <c r="E12" s="106">
        <v>50</v>
      </c>
      <c r="F12" s="25">
        <v>134.1</v>
      </c>
      <c r="G12" s="27">
        <v>41</v>
      </c>
      <c r="H12" s="28">
        <v>30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4</v>
      </c>
      <c r="R12" s="15">
        <v>2</v>
      </c>
      <c r="S12" s="113" t="s">
        <v>1193</v>
      </c>
      <c r="T12" s="8">
        <v>164</v>
      </c>
      <c r="U12" s="13"/>
      <c r="W12" s="25">
        <f>D12</f>
        <v>164.9</v>
      </c>
      <c r="X12" s="106">
        <f>E12</f>
        <v>50</v>
      </c>
      <c r="Y12" s="32">
        <f>H12</f>
        <v>30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4/2</v>
      </c>
      <c r="AH12" s="36" t="str">
        <f>IF(A12="","",A12)</f>
        <v>선경</v>
      </c>
      <c r="AI12" s="106">
        <f>IF(E12="","",E12)</f>
        <v>50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X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9"/>
      <c r="B13" s="113"/>
      <c r="C13" s="10"/>
      <c r="D13" s="13"/>
      <c r="E13" s="20"/>
      <c r="F13" s="26"/>
      <c r="G13" s="13"/>
      <c r="H13" s="13"/>
      <c r="I13" s="13"/>
      <c r="J13" s="13"/>
      <c r="K13" s="13"/>
      <c r="L13" s="13"/>
      <c r="M13" s="13"/>
      <c r="N13" s="13"/>
      <c r="O13" s="29"/>
      <c r="P13" s="29"/>
      <c r="Q13" s="23"/>
      <c r="R13" s="23"/>
      <c r="S13" s="13"/>
      <c r="T13" s="70"/>
      <c r="U13" s="13"/>
      <c r="W13" s="107" t="str">
        <f>$A$4&amp;" "&amp;A14&amp;"("&amp;B14&amp;","&amp;C14&amp;"^)"</f>
        <v>우만동 풍림('87.12.,390^)</v>
      </c>
      <c r="X13" s="108"/>
      <c r="Y13" s="108"/>
      <c r="Z13" s="108"/>
      <c r="AA13" s="108"/>
      <c r="AB13" s="108"/>
      <c r="AC13" s="108"/>
      <c r="AD13" s="108"/>
      <c r="AE13" s="108"/>
      <c r="AF13" s="109"/>
      <c r="AH13" s="36" t="str">
        <f>IF(A13="","",A13)</f>
        <v/>
      </c>
      <c r="AI13" s="37" t="str">
        <f>IF(E13="","",E13)</f>
        <v/>
      </c>
      <c r="AJ13" s="113"/>
      <c r="AK13" s="113"/>
      <c r="AL13" s="113"/>
      <c r="AM13" s="113"/>
      <c r="AN13" s="113"/>
      <c r="AO13" s="113"/>
      <c r="AP13" s="113"/>
      <c r="AQ13" s="113"/>
      <c r="AR13" s="113"/>
      <c r="AS13" s="113"/>
      <c r="AT13" s="113"/>
      <c r="AU13" s="113"/>
      <c r="AV13" s="113"/>
    </row>
    <row r="14" spans="1:48" x14ac:dyDescent="0.3">
      <c r="A14" s="5" t="s">
        <v>1194</v>
      </c>
      <c r="B14" s="16" t="s">
        <v>1195</v>
      </c>
      <c r="C14" s="28">
        <v>390</v>
      </c>
      <c r="D14" s="25">
        <v>49.3</v>
      </c>
      <c r="E14" s="106">
        <v>15</v>
      </c>
      <c r="F14" s="25">
        <v>39.6</v>
      </c>
      <c r="G14" s="27">
        <v>12</v>
      </c>
      <c r="H14" s="28">
        <v>310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2</v>
      </c>
      <c r="R14" s="15">
        <v>1</v>
      </c>
      <c r="S14" s="113" t="s">
        <v>1193</v>
      </c>
      <c r="T14" s="8">
        <v>49</v>
      </c>
      <c r="U14" s="13"/>
      <c r="W14" s="25">
        <f>D14</f>
        <v>49.3</v>
      </c>
      <c r="X14" s="106">
        <f>E14</f>
        <v>15</v>
      </c>
      <c r="Y14" s="32">
        <f>H14</f>
        <v>310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2/1</v>
      </c>
      <c r="AH14" s="36" t="str">
        <f>IF(A14="","",A14)</f>
        <v>풍림</v>
      </c>
      <c r="AI14" s="106">
        <f>IF(E14="","",E14)</f>
        <v>15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1196</v>
      </c>
      <c r="B15" s="16" t="s">
        <v>1197</v>
      </c>
      <c r="C15" s="28">
        <v>390</v>
      </c>
      <c r="D15" s="25">
        <v>60.7</v>
      </c>
      <c r="E15" s="106">
        <v>18</v>
      </c>
      <c r="F15" s="25">
        <v>49.8</v>
      </c>
      <c r="G15" s="27">
        <v>15</v>
      </c>
      <c r="H15" s="28">
        <v>80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1</v>
      </c>
      <c r="S15" s="113" t="s">
        <v>64</v>
      </c>
      <c r="T15" s="8">
        <v>60</v>
      </c>
      <c r="U15" s="13"/>
      <c r="W15" s="25">
        <f>D15</f>
        <v>60.7</v>
      </c>
      <c r="X15" s="106">
        <f>E15</f>
        <v>18</v>
      </c>
      <c r="Y15" s="32">
        <f>H15</f>
        <v>80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3/1</v>
      </c>
      <c r="AH15" s="36" t="str">
        <f>IF(A15="","",A15)</f>
        <v>풍림</v>
      </c>
      <c r="AI15" s="106">
        <f>IF(E15="","",E15)</f>
        <v>18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9"/>
      <c r="B16" s="113"/>
      <c r="C16" s="10"/>
      <c r="D16" s="13"/>
      <c r="E16" s="20"/>
      <c r="F16" s="26"/>
      <c r="G16" s="13"/>
      <c r="H16" s="13"/>
      <c r="I16" s="13"/>
      <c r="J16" s="13"/>
      <c r="K16" s="13"/>
      <c r="L16" s="13"/>
      <c r="M16" s="13"/>
      <c r="N16" s="13"/>
      <c r="O16" s="29"/>
      <c r="P16" s="29"/>
      <c r="Q16" s="23"/>
      <c r="R16" s="23"/>
      <c r="S16" s="13"/>
      <c r="T16" s="70"/>
      <c r="U16" s="13"/>
      <c r="W16" s="107" t="str">
        <f>$A$4&amp;" "&amp;A17&amp;"("&amp;B17&amp;","&amp;C17&amp;"^)"</f>
        <v>우만동 동수원신도브래뉴('07.08.,200^)</v>
      </c>
      <c r="X16" s="108"/>
      <c r="Y16" s="108"/>
      <c r="Z16" s="108"/>
      <c r="AA16" s="108"/>
      <c r="AB16" s="108"/>
      <c r="AC16" s="108"/>
      <c r="AD16" s="108"/>
      <c r="AE16" s="108"/>
      <c r="AF16" s="109"/>
      <c r="AH16" s="36" t="str">
        <f>IF(A16="","",A16)</f>
        <v/>
      </c>
      <c r="AI16" s="37" t="str">
        <f>IF(E16="","",E16)</f>
        <v/>
      </c>
      <c r="AJ16" s="113"/>
      <c r="AK16" s="113"/>
      <c r="AL16" s="113"/>
      <c r="AM16" s="113"/>
      <c r="AN16" s="113"/>
      <c r="AO16" s="113"/>
      <c r="AP16" s="113"/>
      <c r="AQ16" s="113"/>
      <c r="AR16" s="113"/>
      <c r="AS16" s="113"/>
      <c r="AT16" s="113"/>
      <c r="AU16" s="113"/>
      <c r="AV16" s="113"/>
    </row>
    <row r="17" spans="1:48" x14ac:dyDescent="0.3">
      <c r="A17" s="5" t="s">
        <v>1198</v>
      </c>
      <c r="B17" s="16" t="s">
        <v>1199</v>
      </c>
      <c r="C17" s="28">
        <v>200</v>
      </c>
      <c r="D17" s="25">
        <v>111.1</v>
      </c>
      <c r="E17" s="106">
        <v>34</v>
      </c>
      <c r="F17" s="25">
        <v>84.9</v>
      </c>
      <c r="G17" s="27">
        <v>26</v>
      </c>
      <c r="H17" s="28">
        <v>163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1200</v>
      </c>
      <c r="T17" s="8" t="s">
        <v>448</v>
      </c>
      <c r="U17" s="13"/>
      <c r="W17" s="25">
        <f>D17</f>
        <v>111.1</v>
      </c>
      <c r="X17" s="106">
        <f>E17</f>
        <v>34</v>
      </c>
      <c r="Y17" s="32">
        <f>H17</f>
        <v>163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동수원신도브래뉴</v>
      </c>
      <c r="AI17" s="106">
        <f>IF(E17="","",E17)</f>
        <v>34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X</v>
      </c>
      <c r="AV17" s="113" t="str">
        <f>IF(AO17="","",IF(AND(AO17="O",AP17="O",AR17="O",AT17="O",AU17="O"),"후보","X"))</f>
        <v/>
      </c>
    </row>
    <row r="18" spans="1:48" x14ac:dyDescent="0.3">
      <c r="A18" s="5" t="s">
        <v>1198</v>
      </c>
      <c r="B18" s="16" t="s">
        <v>1199</v>
      </c>
      <c r="C18" s="28">
        <v>200</v>
      </c>
      <c r="D18" s="25">
        <v>112.1</v>
      </c>
      <c r="E18" s="106">
        <v>34</v>
      </c>
      <c r="F18" s="25">
        <v>84.7</v>
      </c>
      <c r="G18" s="27">
        <v>26</v>
      </c>
      <c r="H18" s="28">
        <v>37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1200</v>
      </c>
      <c r="T18" s="8" t="s">
        <v>452</v>
      </c>
      <c r="U18" s="13"/>
      <c r="W18" s="25">
        <f>D18</f>
        <v>112.1</v>
      </c>
      <c r="X18" s="106">
        <f>E18</f>
        <v>34</v>
      </c>
      <c r="Y18" s="32">
        <f>H18</f>
        <v>37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동수원신도브래뉴</v>
      </c>
      <c r="AI18" s="106">
        <f>IF(E18="","",E18)</f>
        <v>34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X</v>
      </c>
      <c r="AV18" s="113" t="str">
        <f>IF(AO18="","",IF(AND(AO18="O",AP18="O",AR18="O",AT18="O",AU18="O"),"후보","X"))</f>
        <v/>
      </c>
    </row>
    <row r="19" spans="1:48" x14ac:dyDescent="0.3">
      <c r="A19" s="9"/>
      <c r="B19" s="113"/>
      <c r="C19" s="10"/>
      <c r="D19" s="13"/>
      <c r="E19" s="20"/>
      <c r="F19" s="26"/>
      <c r="G19" s="13"/>
      <c r="H19" s="13"/>
      <c r="I19" s="13"/>
      <c r="J19" s="13"/>
      <c r="K19" s="13"/>
      <c r="L19" s="13"/>
      <c r="M19" s="13"/>
      <c r="N19" s="13"/>
      <c r="O19" s="29"/>
      <c r="P19" s="29"/>
      <c r="Q19" s="23"/>
      <c r="R19" s="23"/>
      <c r="S19" s="13"/>
      <c r="T19" s="70"/>
      <c r="U19" s="13"/>
      <c r="W19" s="107" t="str">
        <f>$A$4&amp;" "&amp;A20&amp;"("&amp;B20&amp;","&amp;C20&amp;"^)"</f>
        <v>우만동 주공1단지('88.06.,500^)</v>
      </c>
      <c r="X19" s="108"/>
      <c r="Y19" s="108"/>
      <c r="Z19" s="108"/>
      <c r="AA19" s="108"/>
      <c r="AB19" s="108"/>
      <c r="AC19" s="108"/>
      <c r="AD19" s="108"/>
      <c r="AE19" s="108"/>
      <c r="AF19" s="109"/>
      <c r="AH19" s="36" t="str">
        <f>IF(A19="","",A19)</f>
        <v/>
      </c>
      <c r="AI19" s="37" t="str">
        <f>IF(E19="","",E19)</f>
        <v/>
      </c>
      <c r="AJ19" s="113"/>
      <c r="AK19" s="113"/>
      <c r="AL19" s="113"/>
      <c r="AM19" s="113"/>
      <c r="AN19" s="113"/>
      <c r="AO19" s="113"/>
      <c r="AP19" s="113"/>
      <c r="AQ19" s="113"/>
      <c r="AR19" s="113"/>
      <c r="AS19" s="113"/>
      <c r="AT19" s="113"/>
      <c r="AU19" s="113"/>
      <c r="AV19" s="113"/>
    </row>
    <row r="20" spans="1:48" x14ac:dyDescent="0.3">
      <c r="A20" s="5" t="s">
        <v>1201</v>
      </c>
      <c r="B20" s="16" t="s">
        <v>1202</v>
      </c>
      <c r="C20" s="28">
        <v>500</v>
      </c>
      <c r="D20" s="25">
        <v>43.9</v>
      </c>
      <c r="E20" s="106">
        <v>13</v>
      </c>
      <c r="F20" s="25">
        <v>38.5</v>
      </c>
      <c r="G20" s="27">
        <v>12</v>
      </c>
      <c r="H20" s="28">
        <v>300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2</v>
      </c>
      <c r="R20" s="15">
        <v>1</v>
      </c>
      <c r="S20" s="113" t="s">
        <v>1200</v>
      </c>
      <c r="T20" s="8">
        <v>43</v>
      </c>
      <c r="U20" s="13"/>
      <c r="W20" s="25">
        <f>D20</f>
        <v>43.9</v>
      </c>
      <c r="X20" s="106">
        <f>E20</f>
        <v>13</v>
      </c>
      <c r="Y20" s="32">
        <f>H20</f>
        <v>300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2/1</v>
      </c>
      <c r="AH20" s="36" t="str">
        <f>IF(A20="","",A20)</f>
        <v>주공1단지</v>
      </c>
      <c r="AI20" s="106">
        <f>IF(E20="","",E20)</f>
        <v>13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X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1201</v>
      </c>
      <c r="B21" s="16" t="s">
        <v>1202</v>
      </c>
      <c r="C21" s="28">
        <v>500</v>
      </c>
      <c r="D21" s="25">
        <v>52.7</v>
      </c>
      <c r="E21" s="106">
        <v>16</v>
      </c>
      <c r="F21" s="25">
        <v>47.3</v>
      </c>
      <c r="G21" s="27">
        <v>14</v>
      </c>
      <c r="H21" s="28">
        <v>200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2</v>
      </c>
      <c r="R21" s="15">
        <v>1</v>
      </c>
      <c r="S21" s="113" t="s">
        <v>1200</v>
      </c>
      <c r="T21" s="8">
        <v>52</v>
      </c>
      <c r="U21" s="13"/>
      <c r="W21" s="25">
        <f>D21</f>
        <v>52.7</v>
      </c>
      <c r="X21" s="106">
        <f>E21</f>
        <v>16</v>
      </c>
      <c r="Y21" s="32">
        <f>H21</f>
        <v>200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2/1</v>
      </c>
      <c r="AH21" s="36" t="str">
        <f>IF(A21="","",A21)</f>
        <v>주공1단지</v>
      </c>
      <c r="AI21" s="106">
        <f>IF(E21="","",E21)</f>
        <v>16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9"/>
      <c r="B22" s="113"/>
      <c r="C22" s="10"/>
      <c r="D22" s="13"/>
      <c r="E22" s="20"/>
      <c r="F22" s="26"/>
      <c r="G22" s="13"/>
      <c r="H22" s="13"/>
      <c r="I22" s="13"/>
      <c r="J22" s="13"/>
      <c r="K22" s="13"/>
      <c r="L22" s="13"/>
      <c r="M22" s="13"/>
      <c r="N22" s="13"/>
      <c r="O22" s="29"/>
      <c r="P22" s="29"/>
      <c r="Q22" s="23"/>
      <c r="R22" s="23"/>
      <c r="S22" s="13"/>
      <c r="T22" s="70"/>
      <c r="U22" s="13"/>
      <c r="W22" s="107" t="str">
        <f>$A$4&amp;" "&amp;A23&amp;"("&amp;B23&amp;","&amp;C23&amp;"^)"</f>
        <v>우만동 주공2단지('89.08.,984^)</v>
      </c>
      <c r="X22" s="108"/>
      <c r="Y22" s="108"/>
      <c r="Z22" s="108"/>
      <c r="AA22" s="108"/>
      <c r="AB22" s="108"/>
      <c r="AC22" s="108"/>
      <c r="AD22" s="108"/>
      <c r="AE22" s="108"/>
      <c r="AF22" s="109"/>
      <c r="AH22" s="36" t="str">
        <f>IF(A22="","",A22)</f>
        <v/>
      </c>
      <c r="AI22" s="37" t="str">
        <f>IF(E22="","",E22)</f>
        <v/>
      </c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13"/>
    </row>
    <row r="23" spans="1:48" x14ac:dyDescent="0.3">
      <c r="A23" s="5" t="s">
        <v>1203</v>
      </c>
      <c r="B23" s="16" t="s">
        <v>1204</v>
      </c>
      <c r="C23" s="28">
        <v>984</v>
      </c>
      <c r="D23" s="25">
        <v>60.6</v>
      </c>
      <c r="E23" s="106">
        <v>18</v>
      </c>
      <c r="F23" s="25">
        <v>41.3</v>
      </c>
      <c r="G23" s="27">
        <v>12</v>
      </c>
      <c r="H23" s="28">
        <v>60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2</v>
      </c>
      <c r="R23" s="15">
        <v>1</v>
      </c>
      <c r="S23" s="113" t="s">
        <v>1205</v>
      </c>
      <c r="T23" s="8">
        <v>60</v>
      </c>
      <c r="U23" s="13"/>
      <c r="W23" s="25">
        <f>D23</f>
        <v>60.6</v>
      </c>
      <c r="X23" s="106">
        <f>E23</f>
        <v>18</v>
      </c>
      <c r="Y23" s="32">
        <f>H23</f>
        <v>60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복</v>
      </c>
      <c r="AF23" s="15" t="str">
        <f>Q23&amp;"/"&amp;R23</f>
        <v>2/1</v>
      </c>
      <c r="AH23" s="36" t="str">
        <f>IF(A23="","",A23)</f>
        <v>주공2단지</v>
      </c>
      <c r="AI23" s="106">
        <f>IF(E23="","",E23)</f>
        <v>18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1206</v>
      </c>
      <c r="B24" s="16" t="s">
        <v>1207</v>
      </c>
      <c r="C24" s="28">
        <v>984</v>
      </c>
      <c r="D24" s="25">
        <v>63.6</v>
      </c>
      <c r="E24" s="106">
        <v>19</v>
      </c>
      <c r="F24" s="25">
        <v>45.8</v>
      </c>
      <c r="G24" s="27">
        <v>14</v>
      </c>
      <c r="H24" s="28">
        <v>60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2</v>
      </c>
      <c r="R24" s="15">
        <v>1</v>
      </c>
      <c r="S24" s="113" t="s">
        <v>1208</v>
      </c>
      <c r="T24" s="8">
        <v>63</v>
      </c>
      <c r="U24" s="13"/>
      <c r="W24" s="25">
        <f>D24</f>
        <v>63.6</v>
      </c>
      <c r="X24" s="106">
        <f>E24</f>
        <v>19</v>
      </c>
      <c r="Y24" s="32">
        <f>H24</f>
        <v>60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복</v>
      </c>
      <c r="AF24" s="15" t="str">
        <f>Q24&amp;"/"&amp;R24</f>
        <v>2/1</v>
      </c>
      <c r="AH24" s="36" t="str">
        <f>IF(A24="","",A24)</f>
        <v>주공2단지</v>
      </c>
      <c r="AI24" s="106">
        <f>IF(E24="","",E24)</f>
        <v>19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1206</v>
      </c>
      <c r="B25" s="16" t="s">
        <v>1207</v>
      </c>
      <c r="C25" s="28">
        <v>984</v>
      </c>
      <c r="D25" s="25">
        <v>64.8</v>
      </c>
      <c r="E25" s="106">
        <v>20</v>
      </c>
      <c r="F25" s="25">
        <v>45.9</v>
      </c>
      <c r="G25" s="27">
        <v>14</v>
      </c>
      <c r="H25" s="28">
        <v>90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2</v>
      </c>
      <c r="R25" s="15">
        <v>1</v>
      </c>
      <c r="S25" s="113" t="s">
        <v>1208</v>
      </c>
      <c r="T25" s="8">
        <v>64</v>
      </c>
      <c r="U25" s="13"/>
      <c r="W25" s="25">
        <f>D25</f>
        <v>64.8</v>
      </c>
      <c r="X25" s="106">
        <f>E25</f>
        <v>20</v>
      </c>
      <c r="Y25" s="32">
        <f>H25</f>
        <v>90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복</v>
      </c>
      <c r="AF25" s="15" t="str">
        <f>Q25&amp;"/"&amp;R25</f>
        <v>2/1</v>
      </c>
      <c r="AH25" s="36" t="str">
        <f>IF(A25="","",A25)</f>
        <v>주공2단지</v>
      </c>
      <c r="AI25" s="106">
        <f>IF(E25="","",E25)</f>
        <v>20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1206</v>
      </c>
      <c r="B26" s="16" t="s">
        <v>1207</v>
      </c>
      <c r="C26" s="28">
        <v>984</v>
      </c>
      <c r="D26" s="25">
        <v>73.2</v>
      </c>
      <c r="E26" s="106">
        <v>22</v>
      </c>
      <c r="F26" s="25">
        <v>49.9</v>
      </c>
      <c r="G26" s="27">
        <v>15</v>
      </c>
      <c r="H26" s="28">
        <v>300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2</v>
      </c>
      <c r="R26" s="15">
        <v>1</v>
      </c>
      <c r="S26" s="113" t="s">
        <v>1208</v>
      </c>
      <c r="T26" s="8">
        <v>73</v>
      </c>
      <c r="U26" s="13"/>
      <c r="W26" s="25">
        <f>D26</f>
        <v>73.2</v>
      </c>
      <c r="X26" s="106">
        <f>E26</f>
        <v>22</v>
      </c>
      <c r="Y26" s="32">
        <f>H26</f>
        <v>300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복</v>
      </c>
      <c r="AF26" s="15" t="str">
        <f>Q26&amp;"/"&amp;R26</f>
        <v>2/1</v>
      </c>
      <c r="AH26" s="36" t="str">
        <f>IF(A26="","",A26)</f>
        <v>주공2단지</v>
      </c>
      <c r="AI26" s="106">
        <f>IF(E26="","",E26)</f>
        <v>22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1206</v>
      </c>
      <c r="B27" s="16" t="s">
        <v>1207</v>
      </c>
      <c r="C27" s="28">
        <v>984</v>
      </c>
      <c r="D27" s="25">
        <v>80.2</v>
      </c>
      <c r="E27" s="106">
        <v>24</v>
      </c>
      <c r="F27" s="25">
        <v>58</v>
      </c>
      <c r="G27" s="27">
        <v>18</v>
      </c>
      <c r="H27" s="28">
        <v>264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2</v>
      </c>
      <c r="R27" s="15">
        <v>1</v>
      </c>
      <c r="S27" s="113" t="s">
        <v>1208</v>
      </c>
      <c r="T27" s="8">
        <v>80</v>
      </c>
      <c r="U27" s="13"/>
      <c r="W27" s="25">
        <f>D27</f>
        <v>80.2</v>
      </c>
      <c r="X27" s="106">
        <f>E27</f>
        <v>24</v>
      </c>
      <c r="Y27" s="32">
        <f>H27</f>
        <v>264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복</v>
      </c>
      <c r="AF27" s="15" t="str">
        <f>Q27&amp;"/"&amp;R27</f>
        <v>2/1</v>
      </c>
      <c r="AH27" s="36" t="str">
        <f>IF(A27="","",A27)</f>
        <v>주공2단지</v>
      </c>
      <c r="AI27" s="106">
        <f>IF(E27="","",E27)</f>
        <v>24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1206</v>
      </c>
      <c r="B28" s="16" t="s">
        <v>1207</v>
      </c>
      <c r="C28" s="28">
        <v>984</v>
      </c>
      <c r="D28" s="25">
        <v>82.6</v>
      </c>
      <c r="E28" s="106">
        <v>25</v>
      </c>
      <c r="F28" s="25">
        <v>59.4</v>
      </c>
      <c r="G28" s="27">
        <v>18</v>
      </c>
      <c r="H28" s="28">
        <v>90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2</v>
      </c>
      <c r="R28" s="15">
        <v>1</v>
      </c>
      <c r="S28" s="113" t="s">
        <v>1208</v>
      </c>
      <c r="T28" s="8">
        <v>82</v>
      </c>
      <c r="U28" s="13"/>
      <c r="W28" s="25">
        <f>D28</f>
        <v>82.6</v>
      </c>
      <c r="X28" s="106">
        <f>E28</f>
        <v>25</v>
      </c>
      <c r="Y28" s="32">
        <f>H28</f>
        <v>90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복</v>
      </c>
      <c r="AF28" s="15" t="str">
        <f>Q28&amp;"/"&amp;R28</f>
        <v>2/1</v>
      </c>
      <c r="AH28" s="36" t="str">
        <f>IF(A28="","",A28)</f>
        <v>주공2단지</v>
      </c>
      <c r="AI28" s="106">
        <f>IF(E28="","",E28)</f>
        <v>25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1206</v>
      </c>
      <c r="B29" s="16" t="s">
        <v>1207</v>
      </c>
      <c r="C29" s="28">
        <v>984</v>
      </c>
      <c r="D29" s="25">
        <v>85.7</v>
      </c>
      <c r="E29" s="106">
        <v>26</v>
      </c>
      <c r="F29" s="25">
        <v>61.5</v>
      </c>
      <c r="G29" s="27">
        <v>19</v>
      </c>
      <c r="H29" s="28">
        <v>60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2</v>
      </c>
      <c r="R29" s="15">
        <v>1</v>
      </c>
      <c r="S29" s="113" t="s">
        <v>1208</v>
      </c>
      <c r="T29" s="8">
        <v>85</v>
      </c>
      <c r="U29" s="13"/>
      <c r="W29" s="25">
        <f>D29</f>
        <v>85.7</v>
      </c>
      <c r="X29" s="106">
        <f>E29</f>
        <v>26</v>
      </c>
      <c r="Y29" s="32">
        <f>H29</f>
        <v>60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복</v>
      </c>
      <c r="AF29" s="15" t="str">
        <f>Q29&amp;"/"&amp;R29</f>
        <v>2/1</v>
      </c>
      <c r="AH29" s="36" t="str">
        <f>IF(A29="","",A29)</f>
        <v>주공2단지</v>
      </c>
      <c r="AI29" s="106">
        <f>IF(E29="","",E29)</f>
        <v>26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1209</v>
      </c>
      <c r="B30" s="16" t="s">
        <v>1210</v>
      </c>
      <c r="C30" s="28">
        <v>984</v>
      </c>
      <c r="D30" s="25">
        <v>92.7</v>
      </c>
      <c r="E30" s="106">
        <v>28</v>
      </c>
      <c r="F30" s="25">
        <v>66.599999999999994</v>
      </c>
      <c r="G30" s="27">
        <v>20</v>
      </c>
      <c r="H30" s="28">
        <v>60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1</v>
      </c>
      <c r="S30" s="113" t="s">
        <v>1211</v>
      </c>
      <c r="T30" s="8">
        <v>92</v>
      </c>
      <c r="U30" s="13"/>
      <c r="W30" s="25">
        <f>D30</f>
        <v>92.7</v>
      </c>
      <c r="X30" s="106">
        <f>E30</f>
        <v>28</v>
      </c>
      <c r="Y30" s="32">
        <f>H30</f>
        <v>60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복</v>
      </c>
      <c r="AF30" s="15" t="str">
        <f>Q30&amp;"/"&amp;R30</f>
        <v>3/1</v>
      </c>
      <c r="AH30" s="36" t="str">
        <f>IF(A30="","",A30)</f>
        <v>주공2단지</v>
      </c>
      <c r="AI30" s="106">
        <f>IF(E30="","",E30)</f>
        <v>28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9"/>
      <c r="B31" s="113"/>
      <c r="C31" s="10"/>
      <c r="D31" s="13"/>
      <c r="E31" s="20"/>
      <c r="F31" s="26"/>
      <c r="G31" s="13"/>
      <c r="H31" s="13"/>
      <c r="I31" s="13"/>
      <c r="J31" s="13"/>
      <c r="K31" s="13"/>
      <c r="L31" s="13"/>
      <c r="M31" s="13"/>
      <c r="N31" s="13"/>
      <c r="O31" s="29"/>
      <c r="P31" s="29"/>
      <c r="Q31" s="23"/>
      <c r="R31" s="23"/>
      <c r="S31" s="13"/>
      <c r="T31" s="70"/>
      <c r="U31" s="13"/>
      <c r="W31" s="107" t="str">
        <f>$A$4&amp;" "&amp;A32&amp;"("&amp;B32&amp;","&amp;C32&amp;"^)"</f>
        <v>우만동 우만한일베라체ECOPLUS(아)('22.06.,202^)</v>
      </c>
      <c r="X31" s="108"/>
      <c r="Y31" s="108"/>
      <c r="Z31" s="108"/>
      <c r="AA31" s="108"/>
      <c r="AB31" s="108"/>
      <c r="AC31" s="108"/>
      <c r="AD31" s="108"/>
      <c r="AE31" s="108"/>
      <c r="AF31" s="109"/>
      <c r="AH31" s="36" t="str">
        <f>IF(A31="","",A31)</f>
        <v/>
      </c>
      <c r="AI31" s="37" t="str">
        <f>IF(E31="","",E31)</f>
        <v/>
      </c>
      <c r="AJ31" s="113"/>
      <c r="AK31" s="113"/>
      <c r="AL31" s="113"/>
      <c r="AM31" s="113"/>
      <c r="AN31" s="113"/>
      <c r="AO31" s="113"/>
      <c r="AP31" s="113"/>
      <c r="AQ31" s="113"/>
      <c r="AR31" s="113"/>
      <c r="AS31" s="113"/>
      <c r="AT31" s="113"/>
      <c r="AU31" s="113"/>
      <c r="AV31" s="113"/>
    </row>
    <row r="32" spans="1:48" x14ac:dyDescent="0.3">
      <c r="A32" s="5" t="s">
        <v>1212</v>
      </c>
      <c r="B32" s="16" t="s">
        <v>1213</v>
      </c>
      <c r="C32" s="28">
        <v>202</v>
      </c>
      <c r="D32" s="25">
        <v>82.9</v>
      </c>
      <c r="E32" s="106">
        <v>25</v>
      </c>
      <c r="F32" s="25">
        <v>63</v>
      </c>
      <c r="G32" s="27">
        <v>19</v>
      </c>
      <c r="H32" s="28">
        <v>31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2</v>
      </c>
      <c r="S32" s="113" t="s">
        <v>1214</v>
      </c>
      <c r="T32" s="8">
        <v>82</v>
      </c>
      <c r="U32" s="13"/>
      <c r="W32" s="25">
        <f>D32</f>
        <v>82.9</v>
      </c>
      <c r="X32" s="106">
        <f>E32</f>
        <v>25</v>
      </c>
      <c r="Y32" s="32">
        <f>H32</f>
        <v>31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3/2</v>
      </c>
      <c r="AH32" s="36" t="str">
        <f>IF(A32="","",A32)</f>
        <v>우만한일베라체ECOPLUS(아)</v>
      </c>
      <c r="AI32" s="106">
        <f>IF(E32="","",E32)</f>
        <v>25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X</v>
      </c>
      <c r="AV32" s="113" t="str">
        <f>IF(AO32="","",IF(AND(AO32="O",AP32="O",AR32="O",AT32="O",AU32="O"),"후보","X"))</f>
        <v/>
      </c>
    </row>
    <row r="33" spans="1:48" x14ac:dyDescent="0.3">
      <c r="A33" s="5" t="s">
        <v>1212</v>
      </c>
      <c r="B33" s="16" t="s">
        <v>1213</v>
      </c>
      <c r="C33" s="28">
        <v>202</v>
      </c>
      <c r="D33" s="25">
        <v>90.6</v>
      </c>
      <c r="E33" s="106">
        <v>27</v>
      </c>
      <c r="F33" s="25">
        <v>70</v>
      </c>
      <c r="G33" s="27">
        <v>21</v>
      </c>
      <c r="H33" s="28">
        <v>33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2</v>
      </c>
      <c r="S33" s="113" t="s">
        <v>1214</v>
      </c>
      <c r="T33" s="8">
        <v>90</v>
      </c>
      <c r="U33" s="13"/>
      <c r="W33" s="25">
        <f>D33</f>
        <v>90.6</v>
      </c>
      <c r="X33" s="106">
        <f>E33</f>
        <v>27</v>
      </c>
      <c r="Y33" s="32">
        <f>H33</f>
        <v>33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3/2</v>
      </c>
      <c r="AH33" s="36" t="str">
        <f>IF(A33="","",A33)</f>
        <v>우만한일베라체ECOPLUS(아)</v>
      </c>
      <c r="AI33" s="106">
        <f>IF(E33="","",E33)</f>
        <v>27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X</v>
      </c>
      <c r="AV33" s="113" t="str">
        <f>IF(AO33="","",IF(AND(AO33="O",AP33="O",AR33="O",AT33="O",AU33="O"),"후보","X"))</f>
        <v/>
      </c>
    </row>
    <row r="34" spans="1:48" x14ac:dyDescent="0.3">
      <c r="A34" s="5" t="s">
        <v>1212</v>
      </c>
      <c r="B34" s="16" t="s">
        <v>1213</v>
      </c>
      <c r="C34" s="28">
        <v>202</v>
      </c>
      <c r="D34" s="25">
        <v>106</v>
      </c>
      <c r="E34" s="106">
        <v>32</v>
      </c>
      <c r="F34" s="25">
        <v>81.900000000000006</v>
      </c>
      <c r="G34" s="27">
        <v>25</v>
      </c>
      <c r="H34" s="28">
        <v>138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1214</v>
      </c>
      <c r="T34" s="8">
        <v>106</v>
      </c>
      <c r="U34" s="13"/>
      <c r="W34" s="25">
        <f>D34</f>
        <v>106</v>
      </c>
      <c r="X34" s="106">
        <f>E34</f>
        <v>32</v>
      </c>
      <c r="Y34" s="32">
        <f>H34</f>
        <v>138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3/2</v>
      </c>
      <c r="AH34" s="36" t="str">
        <f>IF(A34="","",A34)</f>
        <v>우만한일베라체ECOPLUS(아)</v>
      </c>
      <c r="AI34" s="106">
        <f>IF(E34="","",E34)</f>
        <v>32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X</v>
      </c>
      <c r="AV34" s="113" t="str">
        <f>IF(AO34="","",IF(AND(AO34="O",AP34="O",AR34="O",AT34="O",AU34="O"),"후보","X"))</f>
        <v/>
      </c>
    </row>
    <row r="35" spans="1:48" x14ac:dyDescent="0.3">
      <c r="A35" s="9"/>
      <c r="B35" s="113"/>
      <c r="C35" s="10"/>
      <c r="D35" s="13"/>
      <c r="E35" s="20"/>
      <c r="F35" s="26"/>
      <c r="G35" s="13"/>
      <c r="H35" s="13"/>
      <c r="I35" s="13"/>
      <c r="J35" s="13"/>
      <c r="K35" s="13"/>
      <c r="L35" s="13"/>
      <c r="M35" s="13"/>
      <c r="N35" s="13"/>
      <c r="O35" s="29"/>
      <c r="P35" s="29"/>
      <c r="Q35" s="23"/>
      <c r="R35" s="23"/>
      <c r="S35" s="13"/>
      <c r="T35" s="70"/>
      <c r="U35" s="13"/>
      <c r="W35" s="107" t="str">
        <f>$A$4&amp;" "&amp;A36&amp;"("&amp;B36&amp;","&amp;C36&amp;"^)"</f>
        <v>우만동 월드메르디앙('04.06.,2063^)</v>
      </c>
      <c r="X35" s="108"/>
      <c r="Y35" s="108"/>
      <c r="Z35" s="108"/>
      <c r="AA35" s="108"/>
      <c r="AB35" s="108"/>
      <c r="AC35" s="108"/>
      <c r="AD35" s="108"/>
      <c r="AE35" s="108"/>
      <c r="AF35" s="109"/>
      <c r="AH35" s="36" t="str">
        <f>IF(A35="","",A35)</f>
        <v/>
      </c>
      <c r="AI35" s="37" t="str">
        <f>IF(E35="","",E35)</f>
        <v/>
      </c>
      <c r="AJ35" s="113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  <c r="AU35" s="113"/>
      <c r="AV35" s="113"/>
    </row>
    <row r="36" spans="1:48" x14ac:dyDescent="0.3">
      <c r="A36" s="5" t="s">
        <v>1215</v>
      </c>
      <c r="B36" s="16" t="s">
        <v>1216</v>
      </c>
      <c r="C36" s="28">
        <v>2063</v>
      </c>
      <c r="D36" s="25">
        <v>105.6</v>
      </c>
      <c r="E36" s="106">
        <v>32</v>
      </c>
      <c r="F36" s="25">
        <v>76.900000000000006</v>
      </c>
      <c r="G36" s="27">
        <v>23</v>
      </c>
      <c r="H36" s="28">
        <v>345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2</v>
      </c>
      <c r="S36" s="113" t="s">
        <v>1214</v>
      </c>
      <c r="T36" s="8">
        <v>105</v>
      </c>
      <c r="U36" s="13"/>
      <c r="W36" s="25">
        <f>D36</f>
        <v>105.6</v>
      </c>
      <c r="X36" s="106">
        <f>E36</f>
        <v>32</v>
      </c>
      <c r="Y36" s="32">
        <f>H36</f>
        <v>345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3/2</v>
      </c>
      <c r="AH36" s="36" t="str">
        <f>IF(A36="","",A36)</f>
        <v>월드메르디앙</v>
      </c>
      <c r="AI36" s="106">
        <f>IF(E36="","",E36)</f>
        <v>32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O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5" t="s">
        <v>1215</v>
      </c>
      <c r="B37" s="16" t="s">
        <v>1216</v>
      </c>
      <c r="C37" s="28">
        <v>2063</v>
      </c>
      <c r="D37" s="25">
        <v>113.7</v>
      </c>
      <c r="E37" s="106">
        <v>34</v>
      </c>
      <c r="F37" s="25">
        <v>84.6</v>
      </c>
      <c r="G37" s="27">
        <v>26</v>
      </c>
      <c r="H37" s="28">
        <v>233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2</v>
      </c>
      <c r="S37" s="113" t="s">
        <v>1214</v>
      </c>
      <c r="T37" s="8">
        <v>113</v>
      </c>
      <c r="U37" s="13"/>
      <c r="W37" s="25">
        <f>D37</f>
        <v>113.7</v>
      </c>
      <c r="X37" s="106">
        <f>E37</f>
        <v>34</v>
      </c>
      <c r="Y37" s="32">
        <f>H37</f>
        <v>233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3/2</v>
      </c>
      <c r="AH37" s="36" t="str">
        <f>IF(A37="","",A37)</f>
        <v>월드메르디앙</v>
      </c>
      <c r="AI37" s="106">
        <f>IF(E37="","",E37)</f>
        <v>34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O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5" t="s">
        <v>1215</v>
      </c>
      <c r="B38" s="16" t="s">
        <v>1216</v>
      </c>
      <c r="C38" s="28">
        <v>2063</v>
      </c>
      <c r="D38" s="25">
        <v>118.4</v>
      </c>
      <c r="E38" s="106">
        <v>36</v>
      </c>
      <c r="F38" s="25">
        <v>84.2</v>
      </c>
      <c r="G38" s="27">
        <v>25</v>
      </c>
      <c r="H38" s="28">
        <v>569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3" t="s">
        <v>1214</v>
      </c>
      <c r="T38" s="8">
        <v>118</v>
      </c>
      <c r="U38" s="13"/>
      <c r="W38" s="25">
        <f>D38</f>
        <v>118.4</v>
      </c>
      <c r="X38" s="106">
        <f>E38</f>
        <v>36</v>
      </c>
      <c r="Y38" s="32">
        <f>H38</f>
        <v>569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3/2</v>
      </c>
      <c r="AH38" s="36" t="str">
        <f>IF(A38="","",A38)</f>
        <v>월드메르디앙</v>
      </c>
      <c r="AI38" s="106">
        <f>IF(E38="","",E38)</f>
        <v>36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1215</v>
      </c>
      <c r="B39" s="16" t="s">
        <v>1216</v>
      </c>
      <c r="C39" s="28">
        <v>2063</v>
      </c>
      <c r="D39" s="25">
        <v>131.69999999999999</v>
      </c>
      <c r="E39" s="106">
        <v>40</v>
      </c>
      <c r="F39" s="25">
        <v>101.3</v>
      </c>
      <c r="G39" s="27">
        <v>31</v>
      </c>
      <c r="H39" s="28">
        <v>443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4</v>
      </c>
      <c r="R39" s="15">
        <v>2</v>
      </c>
      <c r="S39" s="113" t="s">
        <v>1214</v>
      </c>
      <c r="T39" s="8">
        <v>131</v>
      </c>
      <c r="U39" s="13"/>
      <c r="W39" s="25">
        <f>D39</f>
        <v>131.69999999999999</v>
      </c>
      <c r="X39" s="106">
        <f>E39</f>
        <v>40</v>
      </c>
      <c r="Y39" s="32">
        <f>H39</f>
        <v>443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4/2</v>
      </c>
      <c r="AH39" s="36" t="str">
        <f>IF(A39="","",A39)</f>
        <v>월드메르디앙</v>
      </c>
      <c r="AI39" s="106">
        <f>IF(E39="","",E39)</f>
        <v>40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X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1215</v>
      </c>
      <c r="B40" s="16" t="s">
        <v>1216</v>
      </c>
      <c r="C40" s="28">
        <v>2063</v>
      </c>
      <c r="D40" s="25">
        <v>156.80000000000001</v>
      </c>
      <c r="E40" s="106">
        <v>47</v>
      </c>
      <c r="F40" s="25">
        <v>122.3</v>
      </c>
      <c r="G40" s="27">
        <v>37</v>
      </c>
      <c r="H40" s="28">
        <v>261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4</v>
      </c>
      <c r="R40" s="15">
        <v>2</v>
      </c>
      <c r="S40" s="113" t="s">
        <v>1214</v>
      </c>
      <c r="T40" s="8">
        <v>156</v>
      </c>
      <c r="U40" s="13"/>
      <c r="W40" s="25">
        <f>D40</f>
        <v>156.80000000000001</v>
      </c>
      <c r="X40" s="106">
        <f>E40</f>
        <v>47</v>
      </c>
      <c r="Y40" s="32">
        <f>H40</f>
        <v>261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4/2</v>
      </c>
      <c r="AH40" s="36" t="str">
        <f>IF(A40="","",A40)</f>
        <v>월드메르디앙</v>
      </c>
      <c r="AI40" s="106">
        <f>IF(E40="","",E40)</f>
        <v>47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X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5" t="s">
        <v>1215</v>
      </c>
      <c r="B41" s="16" t="s">
        <v>1216</v>
      </c>
      <c r="C41" s="28">
        <v>2063</v>
      </c>
      <c r="D41" s="25">
        <v>191.4</v>
      </c>
      <c r="E41" s="106">
        <v>58</v>
      </c>
      <c r="F41" s="25">
        <v>155.30000000000001</v>
      </c>
      <c r="G41" s="27">
        <v>47</v>
      </c>
      <c r="H41" s="28">
        <v>152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5</v>
      </c>
      <c r="R41" s="15">
        <v>2</v>
      </c>
      <c r="S41" s="113" t="s">
        <v>1214</v>
      </c>
      <c r="T41" s="8">
        <v>191</v>
      </c>
      <c r="U41" s="13"/>
      <c r="W41" s="25">
        <f>D41</f>
        <v>191.4</v>
      </c>
      <c r="X41" s="106">
        <f>E41</f>
        <v>58</v>
      </c>
      <c r="Y41" s="32">
        <f>H41</f>
        <v>152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5/2</v>
      </c>
      <c r="AH41" s="36" t="str">
        <f>IF(A41="","",A41)</f>
        <v>월드메르디앙</v>
      </c>
      <c r="AI41" s="106">
        <f>IF(E41="","",E41)</f>
        <v>58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X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1215</v>
      </c>
      <c r="B42" s="16" t="s">
        <v>1216</v>
      </c>
      <c r="C42" s="28">
        <v>2063</v>
      </c>
      <c r="D42" s="25">
        <v>230.4</v>
      </c>
      <c r="E42" s="106">
        <v>70</v>
      </c>
      <c r="F42" s="25">
        <v>190</v>
      </c>
      <c r="G42" s="27">
        <v>57</v>
      </c>
      <c r="H42" s="28">
        <v>60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4</v>
      </c>
      <c r="R42" s="15">
        <v>3</v>
      </c>
      <c r="S42" s="113" t="s">
        <v>1214</v>
      </c>
      <c r="T42" s="8">
        <v>230</v>
      </c>
      <c r="U42" s="13"/>
      <c r="W42" s="25">
        <f>D42</f>
        <v>230.4</v>
      </c>
      <c r="X42" s="106">
        <f>E42</f>
        <v>70</v>
      </c>
      <c r="Y42" s="32">
        <f>H42</f>
        <v>60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4/3</v>
      </c>
      <c r="AH42" s="36" t="str">
        <f>IF(A42="","",A42)</f>
        <v>월드메르디앙</v>
      </c>
      <c r="AI42" s="106">
        <f>IF(E42="","",E42)</f>
        <v>70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X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9"/>
      <c r="B43" s="113"/>
      <c r="C43" s="10"/>
      <c r="D43" s="13"/>
      <c r="E43" s="20"/>
      <c r="F43" s="26"/>
      <c r="G43" s="13"/>
      <c r="H43" s="13"/>
      <c r="I43" s="13"/>
      <c r="J43" s="13"/>
      <c r="K43" s="13"/>
      <c r="L43" s="13"/>
      <c r="M43" s="13"/>
      <c r="N43" s="13"/>
      <c r="O43" s="29"/>
      <c r="P43" s="29"/>
      <c r="Q43" s="23"/>
      <c r="R43" s="23"/>
      <c r="S43" s="13"/>
      <c r="T43" s="70"/>
      <c r="U43" s="13"/>
      <c r="W43" s="107" t="str">
        <f>$A$4&amp;" "&amp;A44&amp;"("&amp;B44&amp;","&amp;C44&amp;"^)"</f>
        <v>우만동 현대('85.06.,404^)</v>
      </c>
      <c r="X43" s="108"/>
      <c r="Y43" s="108"/>
      <c r="Z43" s="108"/>
      <c r="AA43" s="108"/>
      <c r="AB43" s="108"/>
      <c r="AC43" s="108"/>
      <c r="AD43" s="108"/>
      <c r="AE43" s="108"/>
      <c r="AF43" s="109"/>
      <c r="AH43" s="36" t="str">
        <f>IF(A43="","",A43)</f>
        <v/>
      </c>
      <c r="AI43" s="37" t="str">
        <f>IF(E43="","",E43)</f>
        <v/>
      </c>
      <c r="AJ43" s="113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  <c r="AU43" s="113"/>
      <c r="AV43" s="113"/>
    </row>
    <row r="44" spans="1:48" x14ac:dyDescent="0.3">
      <c r="A44" s="5" t="s">
        <v>1217</v>
      </c>
      <c r="B44" s="16" t="s">
        <v>1218</v>
      </c>
      <c r="C44" s="28">
        <v>404</v>
      </c>
      <c r="D44" s="25">
        <v>90.3</v>
      </c>
      <c r="E44" s="106">
        <v>27</v>
      </c>
      <c r="F44" s="25">
        <v>73.5</v>
      </c>
      <c r="G44" s="27">
        <v>22</v>
      </c>
      <c r="H44" s="28">
        <v>114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3</v>
      </c>
      <c r="R44" s="15">
        <v>1</v>
      </c>
      <c r="S44" s="113" t="s">
        <v>64</v>
      </c>
      <c r="T44" s="8">
        <v>90</v>
      </c>
      <c r="U44" s="13"/>
      <c r="W44" s="25">
        <f>D44</f>
        <v>90.3</v>
      </c>
      <c r="X44" s="106">
        <f>E44</f>
        <v>27</v>
      </c>
      <c r="Y44" s="32">
        <f>H44</f>
        <v>114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3/1</v>
      </c>
      <c r="AH44" s="36" t="str">
        <f>IF(A44="","",A44)</f>
        <v>현대</v>
      </c>
      <c r="AI44" s="106">
        <f>IF(E44="","",E44)</f>
        <v>27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O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1219</v>
      </c>
      <c r="B45" s="16" t="s">
        <v>1220</v>
      </c>
      <c r="C45" s="28">
        <v>404</v>
      </c>
      <c r="D45" s="25">
        <v>103.3</v>
      </c>
      <c r="E45" s="106">
        <v>31</v>
      </c>
      <c r="F45" s="25">
        <v>84.9</v>
      </c>
      <c r="G45" s="27">
        <v>26</v>
      </c>
      <c r="H45" s="28">
        <v>150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1</v>
      </c>
      <c r="S45" s="113" t="s">
        <v>1221</v>
      </c>
      <c r="T45" s="8">
        <v>103</v>
      </c>
      <c r="U45" s="13"/>
      <c r="W45" s="25">
        <f>D45</f>
        <v>103.3</v>
      </c>
      <c r="X45" s="106">
        <f>E45</f>
        <v>31</v>
      </c>
      <c r="Y45" s="32">
        <f>H45</f>
        <v>150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3/1</v>
      </c>
      <c r="AH45" s="36" t="str">
        <f>IF(A45="","",A45)</f>
        <v>현대</v>
      </c>
      <c r="AI45" s="106">
        <f>IF(E45="","",E45)</f>
        <v>31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1219</v>
      </c>
      <c r="B46" s="16" t="s">
        <v>1220</v>
      </c>
      <c r="C46" s="28">
        <v>404</v>
      </c>
      <c r="D46" s="25">
        <v>148</v>
      </c>
      <c r="E46" s="106">
        <v>45</v>
      </c>
      <c r="F46" s="25">
        <v>126.5</v>
      </c>
      <c r="G46" s="27">
        <v>38</v>
      </c>
      <c r="H46" s="28">
        <v>140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4</v>
      </c>
      <c r="R46" s="15">
        <v>2</v>
      </c>
      <c r="S46" s="113" t="s">
        <v>1221</v>
      </c>
      <c r="T46" s="8">
        <v>147</v>
      </c>
      <c r="U46" s="13"/>
      <c r="W46" s="25">
        <f>D46</f>
        <v>148</v>
      </c>
      <c r="X46" s="106">
        <f>E46</f>
        <v>45</v>
      </c>
      <c r="Y46" s="32">
        <f>H46</f>
        <v>140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4/2</v>
      </c>
      <c r="AH46" s="36" t="str">
        <f>IF(A46="","",A46)</f>
        <v>현대</v>
      </c>
      <c r="AI46" s="106">
        <f>IF(E46="","",E46)</f>
        <v>45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X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9"/>
      <c r="B47" s="113"/>
      <c r="C47" s="10"/>
      <c r="D47" s="13"/>
      <c r="E47" s="20"/>
      <c r="F47" s="26"/>
      <c r="G47" s="13"/>
      <c r="H47" s="13"/>
      <c r="I47" s="13"/>
      <c r="J47" s="13"/>
      <c r="K47" s="13"/>
      <c r="L47" s="13"/>
      <c r="M47" s="13"/>
      <c r="N47" s="13"/>
      <c r="O47" s="29"/>
      <c r="P47" s="29"/>
      <c r="Q47" s="23"/>
      <c r="R47" s="23"/>
      <c r="S47" s="13"/>
      <c r="T47" s="70"/>
      <c r="U47" s="13"/>
      <c r="W47" s="107" t="str">
        <f>$A$4&amp;" "&amp;A48&amp;"("&amp;B48&amp;","&amp;C48&amp;"^)"</f>
        <v>우만동 주공4단지('92.03.,1152^)</v>
      </c>
      <c r="X47" s="108"/>
      <c r="Y47" s="108"/>
      <c r="Z47" s="108"/>
      <c r="AA47" s="108"/>
      <c r="AB47" s="108"/>
      <c r="AC47" s="108"/>
      <c r="AD47" s="108"/>
      <c r="AE47" s="108"/>
      <c r="AF47" s="109"/>
      <c r="AH47" s="36" t="str">
        <f>IF(A47="","",A47)</f>
        <v/>
      </c>
      <c r="AI47" s="37" t="str">
        <f>IF(E47="","",E47)</f>
        <v/>
      </c>
      <c r="AJ47" s="113"/>
      <c r="AK47" s="113"/>
      <c r="AL47" s="113"/>
      <c r="AM47" s="113"/>
      <c r="AN47" s="113"/>
      <c r="AO47" s="113"/>
      <c r="AP47" s="113"/>
      <c r="AQ47" s="113"/>
      <c r="AR47" s="113"/>
      <c r="AS47" s="113"/>
      <c r="AT47" s="113"/>
      <c r="AU47" s="113"/>
      <c r="AV47" s="113"/>
    </row>
    <row r="48" spans="1:48" x14ac:dyDescent="0.3">
      <c r="A48" s="5" t="s">
        <v>1222</v>
      </c>
      <c r="B48" s="16" t="s">
        <v>1223</v>
      </c>
      <c r="C48" s="28">
        <v>1152</v>
      </c>
      <c r="D48" s="25">
        <v>52.6</v>
      </c>
      <c r="E48" s="106">
        <v>16</v>
      </c>
      <c r="F48" s="25">
        <v>36.200000000000003</v>
      </c>
      <c r="G48" s="27">
        <v>11</v>
      </c>
      <c r="H48" s="28">
        <v>300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2</v>
      </c>
      <c r="R48" s="15">
        <v>1</v>
      </c>
      <c r="S48" s="113" t="s">
        <v>1224</v>
      </c>
      <c r="T48" s="8" t="s">
        <v>537</v>
      </c>
      <c r="U48" s="13"/>
      <c r="W48" s="25">
        <f>D48</f>
        <v>52.6</v>
      </c>
      <c r="X48" s="106">
        <f>E48</f>
        <v>16</v>
      </c>
      <c r="Y48" s="32">
        <f>H48</f>
        <v>300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복</v>
      </c>
      <c r="AF48" s="15" t="str">
        <f>Q48&amp;"/"&amp;R48</f>
        <v>2/1</v>
      </c>
      <c r="AH48" s="36" t="str">
        <f>IF(A48="","",A48)</f>
        <v>주공4단지</v>
      </c>
      <c r="AI48" s="106">
        <f>IF(E48="","",E48)</f>
        <v>16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O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5" t="s">
        <v>1222</v>
      </c>
      <c r="B49" s="16" t="s">
        <v>1223</v>
      </c>
      <c r="C49" s="28">
        <v>1152</v>
      </c>
      <c r="D49" s="25">
        <v>52.8</v>
      </c>
      <c r="E49" s="106">
        <v>16</v>
      </c>
      <c r="F49" s="25">
        <v>36.299999999999997</v>
      </c>
      <c r="G49" s="27">
        <v>11</v>
      </c>
      <c r="H49" s="28">
        <v>60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2</v>
      </c>
      <c r="R49" s="15">
        <v>1</v>
      </c>
      <c r="S49" s="113" t="s">
        <v>1224</v>
      </c>
      <c r="T49" s="8" t="s">
        <v>541</v>
      </c>
      <c r="U49" s="13"/>
      <c r="W49" s="25">
        <f>D49</f>
        <v>52.8</v>
      </c>
      <c r="X49" s="106">
        <f>E49</f>
        <v>16</v>
      </c>
      <c r="Y49" s="32">
        <f>H49</f>
        <v>60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복</v>
      </c>
      <c r="AF49" s="15" t="str">
        <f>Q49&amp;"/"&amp;R49</f>
        <v>2/1</v>
      </c>
      <c r="AH49" s="36" t="str">
        <f>IF(A49="","",A49)</f>
        <v>주공4단지</v>
      </c>
      <c r="AI49" s="106">
        <f>IF(E49="","",E49)</f>
        <v>16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O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5" t="s">
        <v>1222</v>
      </c>
      <c r="B50" s="16" t="s">
        <v>1223</v>
      </c>
      <c r="C50" s="28">
        <v>1152</v>
      </c>
      <c r="D50" s="25">
        <v>57.2</v>
      </c>
      <c r="E50" s="106">
        <v>17</v>
      </c>
      <c r="F50" s="25">
        <v>41.3</v>
      </c>
      <c r="G50" s="27">
        <v>12</v>
      </c>
      <c r="H50" s="28">
        <v>180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2</v>
      </c>
      <c r="R50" s="15">
        <v>1</v>
      </c>
      <c r="S50" s="113" t="s">
        <v>1224</v>
      </c>
      <c r="T50" s="8" t="s">
        <v>542</v>
      </c>
      <c r="U50" s="13"/>
      <c r="W50" s="25">
        <f>D50</f>
        <v>57.2</v>
      </c>
      <c r="X50" s="106">
        <f>E50</f>
        <v>17</v>
      </c>
      <c r="Y50" s="32">
        <f>H50</f>
        <v>180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복</v>
      </c>
      <c r="AF50" s="15" t="str">
        <f>Q50&amp;"/"&amp;R50</f>
        <v>2/1</v>
      </c>
      <c r="AH50" s="36" t="str">
        <f>IF(A50="","",A50)</f>
        <v>주공4단지</v>
      </c>
      <c r="AI50" s="106">
        <f>IF(E50="","",E50)</f>
        <v>17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O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5" t="s">
        <v>1225</v>
      </c>
      <c r="B51" s="16" t="s">
        <v>1226</v>
      </c>
      <c r="C51" s="28">
        <v>1152</v>
      </c>
      <c r="D51" s="25">
        <v>60.3</v>
      </c>
      <c r="E51" s="106">
        <v>18</v>
      </c>
      <c r="F51" s="25">
        <v>41.3</v>
      </c>
      <c r="G51" s="27">
        <v>12</v>
      </c>
      <c r="H51" s="28">
        <v>56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2</v>
      </c>
      <c r="R51" s="15">
        <v>1</v>
      </c>
      <c r="S51" s="113" t="s">
        <v>1211</v>
      </c>
      <c r="T51" s="8" t="s">
        <v>543</v>
      </c>
      <c r="U51" s="13"/>
      <c r="W51" s="25">
        <f>D51</f>
        <v>60.3</v>
      </c>
      <c r="X51" s="106">
        <f>E51</f>
        <v>18</v>
      </c>
      <c r="Y51" s="32">
        <f>H51</f>
        <v>56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복</v>
      </c>
      <c r="AF51" s="15" t="str">
        <f>Q51&amp;"/"&amp;R51</f>
        <v>2/1</v>
      </c>
      <c r="AH51" s="36" t="str">
        <f>IF(A51="","",A51)</f>
        <v>주공4단지</v>
      </c>
      <c r="AI51" s="106">
        <f>IF(E51="","",E51)</f>
        <v>18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O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5" t="s">
        <v>1227</v>
      </c>
      <c r="B52" s="16" t="s">
        <v>1228</v>
      </c>
      <c r="C52" s="28">
        <v>1152</v>
      </c>
      <c r="D52" s="25">
        <v>60.4</v>
      </c>
      <c r="E52" s="106">
        <v>18</v>
      </c>
      <c r="F52" s="25">
        <v>41.3</v>
      </c>
      <c r="G52" s="27">
        <v>12</v>
      </c>
      <c r="H52" s="28">
        <v>4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2</v>
      </c>
      <c r="R52" s="15">
        <v>1</v>
      </c>
      <c r="S52" s="113" t="s">
        <v>1229</v>
      </c>
      <c r="T52" s="8" t="s">
        <v>544</v>
      </c>
      <c r="U52" s="13"/>
      <c r="W52" s="25">
        <f>D52</f>
        <v>60.4</v>
      </c>
      <c r="X52" s="106">
        <f>E52</f>
        <v>18</v>
      </c>
      <c r="Y52" s="32">
        <f>H52</f>
        <v>4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복</v>
      </c>
      <c r="AF52" s="15" t="str">
        <f>Q52&amp;"/"&amp;R52</f>
        <v>2/1</v>
      </c>
      <c r="AH52" s="36" t="str">
        <f>IF(A52="","",A52)</f>
        <v>주공4단지</v>
      </c>
      <c r="AI52" s="106">
        <f>IF(E52="","",E52)</f>
        <v>18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O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1227</v>
      </c>
      <c r="B53" s="16" t="s">
        <v>1228</v>
      </c>
      <c r="C53" s="28">
        <v>1152</v>
      </c>
      <c r="D53" s="25">
        <v>61.3</v>
      </c>
      <c r="E53" s="106">
        <v>19</v>
      </c>
      <c r="F53" s="25">
        <v>41.3</v>
      </c>
      <c r="G53" s="27">
        <v>12</v>
      </c>
      <c r="H53" s="28">
        <v>48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2</v>
      </c>
      <c r="R53" s="15">
        <v>1</v>
      </c>
      <c r="S53" s="113" t="s">
        <v>1229</v>
      </c>
      <c r="T53" s="8">
        <v>61</v>
      </c>
      <c r="U53" s="13"/>
      <c r="W53" s="25">
        <f>D53</f>
        <v>61.3</v>
      </c>
      <c r="X53" s="106">
        <f>E53</f>
        <v>19</v>
      </c>
      <c r="Y53" s="32">
        <f>H53</f>
        <v>48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복</v>
      </c>
      <c r="AF53" s="15" t="str">
        <f>Q53&amp;"/"&amp;R53</f>
        <v>2/1</v>
      </c>
      <c r="AH53" s="36" t="str">
        <f>IF(A53="","",A53)</f>
        <v>주공4단지</v>
      </c>
      <c r="AI53" s="106">
        <f>IF(E53="","",E53)</f>
        <v>19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1227</v>
      </c>
      <c r="B54" s="16" t="s">
        <v>1228</v>
      </c>
      <c r="C54" s="28">
        <v>1152</v>
      </c>
      <c r="D54" s="25">
        <v>69.099999999999994</v>
      </c>
      <c r="E54" s="106">
        <v>21</v>
      </c>
      <c r="F54" s="25">
        <v>49.9</v>
      </c>
      <c r="G54" s="27">
        <v>15</v>
      </c>
      <c r="H54" s="28">
        <v>180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2</v>
      </c>
      <c r="R54" s="15">
        <v>1</v>
      </c>
      <c r="S54" s="113" t="s">
        <v>1229</v>
      </c>
      <c r="T54" s="8">
        <v>69</v>
      </c>
      <c r="U54" s="13"/>
      <c r="W54" s="25">
        <f>D54</f>
        <v>69.099999999999994</v>
      </c>
      <c r="X54" s="106">
        <f>E54</f>
        <v>21</v>
      </c>
      <c r="Y54" s="32">
        <f>H54</f>
        <v>180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복</v>
      </c>
      <c r="AF54" s="15" t="str">
        <f>Q54&amp;"/"&amp;R54</f>
        <v>2/1</v>
      </c>
      <c r="AH54" s="36" t="str">
        <f>IF(A54="","",A54)</f>
        <v>주공4단지</v>
      </c>
      <c r="AI54" s="106">
        <f>IF(E54="","",E54)</f>
        <v>21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O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5" t="s">
        <v>1227</v>
      </c>
      <c r="B55" s="16" t="s">
        <v>1228</v>
      </c>
      <c r="C55" s="28">
        <v>1152</v>
      </c>
      <c r="D55" s="25">
        <v>73</v>
      </c>
      <c r="E55" s="106">
        <v>22</v>
      </c>
      <c r="F55" s="25">
        <v>49.9</v>
      </c>
      <c r="G55" s="27">
        <v>15</v>
      </c>
      <c r="H55" s="28">
        <v>168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1</v>
      </c>
      <c r="S55" s="113" t="s">
        <v>1229</v>
      </c>
      <c r="T55" s="8" t="s">
        <v>267</v>
      </c>
      <c r="U55" s="13"/>
      <c r="W55" s="25">
        <f>D55</f>
        <v>73</v>
      </c>
      <c r="X55" s="106">
        <f>E55</f>
        <v>22</v>
      </c>
      <c r="Y55" s="32">
        <f>H55</f>
        <v>168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복</v>
      </c>
      <c r="AF55" s="15" t="str">
        <f>Q55&amp;"/"&amp;R55</f>
        <v>3/1</v>
      </c>
      <c r="AH55" s="36" t="str">
        <f>IF(A55="","",A55)</f>
        <v>주공4단지</v>
      </c>
      <c r="AI55" s="106">
        <f>IF(E55="","",E55)</f>
        <v>22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O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5" t="s">
        <v>1227</v>
      </c>
      <c r="B56" s="16" t="s">
        <v>1228</v>
      </c>
      <c r="C56" s="28">
        <v>1152</v>
      </c>
      <c r="D56" s="25">
        <v>73</v>
      </c>
      <c r="E56" s="106">
        <v>22</v>
      </c>
      <c r="F56" s="25">
        <v>49.9</v>
      </c>
      <c r="G56" s="27">
        <v>15</v>
      </c>
      <c r="H56" s="28">
        <v>12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1</v>
      </c>
      <c r="S56" s="113" t="s">
        <v>1229</v>
      </c>
      <c r="T56" s="8" t="s">
        <v>545</v>
      </c>
      <c r="U56" s="13"/>
      <c r="W56" s="25">
        <f>D56</f>
        <v>73</v>
      </c>
      <c r="X56" s="106">
        <f>E56</f>
        <v>22</v>
      </c>
      <c r="Y56" s="32">
        <f>H56</f>
        <v>12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복</v>
      </c>
      <c r="AF56" s="15" t="str">
        <f>Q56&amp;"/"&amp;R56</f>
        <v>3/1</v>
      </c>
      <c r="AH56" s="36" t="str">
        <f>IF(A56="","",A56)</f>
        <v>주공4단지</v>
      </c>
      <c r="AI56" s="106">
        <f>IF(E56="","",E56)</f>
        <v>22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5" t="s">
        <v>1227</v>
      </c>
      <c r="B57" s="16" t="s">
        <v>1228</v>
      </c>
      <c r="C57" s="28">
        <v>1152</v>
      </c>
      <c r="D57" s="25">
        <v>74.099999999999994</v>
      </c>
      <c r="E57" s="106">
        <v>22</v>
      </c>
      <c r="F57" s="25">
        <v>49.9</v>
      </c>
      <c r="G57" s="27">
        <v>15</v>
      </c>
      <c r="H57" s="28">
        <v>144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2</v>
      </c>
      <c r="R57" s="15">
        <v>1</v>
      </c>
      <c r="S57" s="113" t="s">
        <v>1229</v>
      </c>
      <c r="T57" s="8" t="s">
        <v>546</v>
      </c>
      <c r="U57" s="13"/>
      <c r="W57" s="25">
        <f>D57</f>
        <v>74.099999999999994</v>
      </c>
      <c r="X57" s="106">
        <f>E57</f>
        <v>22</v>
      </c>
      <c r="Y57" s="32">
        <f>H57</f>
        <v>144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복</v>
      </c>
      <c r="AF57" s="15" t="str">
        <f>Q57&amp;"/"&amp;R57</f>
        <v>2/1</v>
      </c>
      <c r="AH57" s="36" t="str">
        <f>IF(A57="","",A57)</f>
        <v>주공4단지</v>
      </c>
      <c r="AI57" s="106">
        <f>IF(E57="","",E57)</f>
        <v>22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</sheetData>
  <mergeCells count="1">
    <mergeCell ref="AJ1:AN1"/>
  </mergeCells>
  <phoneticPr fontId="2" type="noConversion"/>
  <conditionalFormatting sqref="AV4:AV6">
    <cfRule type="expression" dxfId="2925" priority="863">
      <formula>AV4="X"</formula>
    </cfRule>
    <cfRule type="expression" dxfId="2924" priority="864">
      <formula>AV4="후보"</formula>
    </cfRule>
  </conditionalFormatting>
  <conditionalFormatting sqref="Z2:Z6">
    <cfRule type="colorScale" priority="8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2923" priority="860" operator="greaterThan">
      <formula>0.9</formula>
    </cfRule>
    <cfRule type="cellIs" dxfId="2922" priority="861" operator="greaterThan">
      <formula>0.85</formula>
    </cfRule>
  </conditionalFormatting>
  <conditionalFormatting sqref="N1:N2">
    <cfRule type="cellIs" dxfId="2921" priority="858" operator="greaterThan">
      <formula>0.9</formula>
    </cfRule>
    <cfRule type="cellIs" dxfId="2920" priority="859" operator="greaterThan">
      <formula>0.85</formula>
    </cfRule>
  </conditionalFormatting>
  <conditionalFormatting sqref="N6">
    <cfRule type="cellIs" dxfId="2919" priority="856" operator="greaterThan">
      <formula>0.9</formula>
    </cfRule>
    <cfRule type="cellIs" dxfId="2918" priority="857" operator="greaterThan">
      <formula>0.85</formula>
    </cfRule>
  </conditionalFormatting>
  <conditionalFormatting sqref="E6">
    <cfRule type="expression" dxfId="2917" priority="852">
      <formula>AND(IF(OR($Q6=1,$Q6=2),1,0),IF($X6&lt;=20,1,0))</formula>
    </cfRule>
    <cfRule type="expression" dxfId="2916" priority="853">
      <formula>AND(IF($Q6=2,1,0),IF($X6&lt;30,1,0))</formula>
    </cfRule>
    <cfRule type="expression" dxfId="2915" priority="854">
      <formula>AND(IF($Q6=3,1,0),IF($X6&lt;30,1,0))</formula>
    </cfRule>
    <cfRule type="expression" dxfId="2914" priority="855">
      <formula>AND(IF($Q6=3,1,IF($Q6=4,1,0)),IF($F6&lt;=85,1,0))</formula>
    </cfRule>
  </conditionalFormatting>
  <conditionalFormatting sqref="X6">
    <cfRule type="expression" dxfId="2913" priority="848">
      <formula>AND(IF(OR($Q6=1,$Q6=2),1,0),IF($X6&lt;=20,1,0))</formula>
    </cfRule>
    <cfRule type="expression" dxfId="2912" priority="849">
      <formula>AND(IF($Q6=2,1,0),IF($X6&lt;30,1,0))</formula>
    </cfRule>
    <cfRule type="expression" dxfId="2911" priority="850">
      <formula>AND(IF($Q6=3,1,0),IF($X6&lt;30,1,0))</formula>
    </cfRule>
    <cfRule type="expression" dxfId="2910" priority="851">
      <formula>AND(IF($Q6=3,1,IF($Q6=4,1,0)),IF($F6&lt;=85,1,0))</formula>
    </cfRule>
  </conditionalFormatting>
  <conditionalFormatting sqref="AI6">
    <cfRule type="expression" dxfId="2909" priority="844">
      <formula>AND(IF(OR($Q6=1,$Q6=2),1,0),IF($X6&lt;=20,1,0))</formula>
    </cfRule>
    <cfRule type="expression" dxfId="2908" priority="845">
      <formula>AND(IF($Q6=2,1,0),IF($X6&lt;30,1,0))</formula>
    </cfRule>
    <cfRule type="expression" dxfId="2907" priority="846">
      <formula>AND(IF($Q6=3,1,0),IF($X6&lt;30,1,0))</formula>
    </cfRule>
    <cfRule type="expression" dxfId="2906" priority="847">
      <formula>AND(IF($Q6=3,1,IF($Q6=4,1,0)),IF($F6&lt;=85,1,0))</formula>
    </cfRule>
  </conditionalFormatting>
  <conditionalFormatting sqref="AV7">
    <cfRule type="expression" dxfId="2905" priority="842">
      <formula>AV7="X"</formula>
    </cfRule>
    <cfRule type="expression" dxfId="2904" priority="843">
      <formula>AV7="후보"</formula>
    </cfRule>
  </conditionalFormatting>
  <conditionalFormatting sqref="Z7">
    <cfRule type="colorScale" priority="8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2903" priority="839" operator="greaterThan">
      <formula>0.9</formula>
    </cfRule>
    <cfRule type="cellIs" dxfId="2902" priority="840" operator="greaterThan">
      <formula>0.85</formula>
    </cfRule>
  </conditionalFormatting>
  <conditionalFormatting sqref="N7">
    <cfRule type="cellIs" dxfId="2901" priority="837" operator="greaterThan">
      <formula>0.9</formula>
    </cfRule>
    <cfRule type="cellIs" dxfId="2900" priority="838" operator="greaterThan">
      <formula>0.85</formula>
    </cfRule>
  </conditionalFormatting>
  <conditionalFormatting sqref="E7">
    <cfRule type="expression" dxfId="2899" priority="833">
      <formula>AND(IF(OR($Q7=1,$Q7=2),1,0),IF($X7&lt;=20,1,0))</formula>
    </cfRule>
    <cfRule type="expression" dxfId="2898" priority="834">
      <formula>AND(IF($Q7=2,1,0),IF($X7&lt;30,1,0))</formula>
    </cfRule>
    <cfRule type="expression" dxfId="2897" priority="835">
      <formula>AND(IF($Q7=3,1,0),IF($X7&lt;30,1,0))</formula>
    </cfRule>
    <cfRule type="expression" dxfId="2896" priority="836">
      <formula>AND(IF($Q7=3,1,IF($Q7=4,1,0)),IF($F7&lt;=85,1,0))</formula>
    </cfRule>
  </conditionalFormatting>
  <conditionalFormatting sqref="X7">
    <cfRule type="expression" dxfId="2895" priority="829">
      <formula>AND(IF(OR($Q7=1,$Q7=2),1,0),IF($X7&lt;=20,1,0))</formula>
    </cfRule>
    <cfRule type="expression" dxfId="2894" priority="830">
      <formula>AND(IF($Q7=2,1,0),IF($X7&lt;30,1,0))</formula>
    </cfRule>
    <cfRule type="expression" dxfId="2893" priority="831">
      <formula>AND(IF($Q7=3,1,0),IF($X7&lt;30,1,0))</formula>
    </cfRule>
    <cfRule type="expression" dxfId="2892" priority="832">
      <formula>AND(IF($Q7=3,1,IF($Q7=4,1,0)),IF($F7&lt;=85,1,0))</formula>
    </cfRule>
  </conditionalFormatting>
  <conditionalFormatting sqref="AI7">
    <cfRule type="expression" dxfId="2891" priority="825">
      <formula>AND(IF(OR($Q7=1,$Q7=2),1,0),IF($X7&lt;=20,1,0))</formula>
    </cfRule>
    <cfRule type="expression" dxfId="2890" priority="826">
      <formula>AND(IF($Q7=2,1,0),IF($X7&lt;30,1,0))</formula>
    </cfRule>
    <cfRule type="expression" dxfId="2889" priority="827">
      <formula>AND(IF($Q7=3,1,0),IF($X7&lt;30,1,0))</formula>
    </cfRule>
    <cfRule type="expression" dxfId="2888" priority="828">
      <formula>AND(IF($Q7=3,1,IF($Q7=4,1,0)),IF($F7&lt;=85,1,0))</formula>
    </cfRule>
  </conditionalFormatting>
  <conditionalFormatting sqref="AV8">
    <cfRule type="expression" dxfId="2887" priority="823">
      <formula>AV8="X"</formula>
    </cfRule>
    <cfRule type="expression" dxfId="2886" priority="824">
      <formula>AV8="후보"</formula>
    </cfRule>
  </conditionalFormatting>
  <conditionalFormatting sqref="Z8">
    <cfRule type="colorScale" priority="8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 N8">
    <cfRule type="cellIs" dxfId="2885" priority="820" operator="greaterThan">
      <formula>0.9</formula>
    </cfRule>
    <cfRule type="cellIs" dxfId="2884" priority="821" operator="greaterThan">
      <formula>0.85</formula>
    </cfRule>
  </conditionalFormatting>
  <conditionalFormatting sqref="AV9">
    <cfRule type="expression" dxfId="2883" priority="818">
      <formula>AV9="X"</formula>
    </cfRule>
    <cfRule type="expression" dxfId="2882" priority="819">
      <formula>AV9="후보"</formula>
    </cfRule>
  </conditionalFormatting>
  <conditionalFormatting sqref="Z9">
    <cfRule type="colorScale" priority="8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2881" priority="815" operator="greaterThan">
      <formula>0.9</formula>
    </cfRule>
    <cfRule type="cellIs" dxfId="2880" priority="816" operator="greaterThan">
      <formula>0.85</formula>
    </cfRule>
  </conditionalFormatting>
  <conditionalFormatting sqref="N9">
    <cfRule type="cellIs" dxfId="2879" priority="813" operator="greaterThan">
      <formula>0.9</formula>
    </cfRule>
    <cfRule type="cellIs" dxfId="2878" priority="814" operator="greaterThan">
      <formula>0.85</formula>
    </cfRule>
  </conditionalFormatting>
  <conditionalFormatting sqref="E9">
    <cfRule type="expression" dxfId="2877" priority="809">
      <formula>AND(IF(OR($Q9=1,$Q9=2),1,0),IF($X9&lt;=20,1,0))</formula>
    </cfRule>
    <cfRule type="expression" dxfId="2876" priority="810">
      <formula>AND(IF($Q9=2,1,0),IF($X9&lt;30,1,0))</formula>
    </cfRule>
    <cfRule type="expression" dxfId="2875" priority="811">
      <formula>AND(IF($Q9=3,1,0),IF($X9&lt;30,1,0))</formula>
    </cfRule>
    <cfRule type="expression" dxfId="2874" priority="812">
      <formula>AND(IF($Q9=3,1,IF($Q9=4,1,0)),IF($F9&lt;=85,1,0))</formula>
    </cfRule>
  </conditionalFormatting>
  <conditionalFormatting sqref="X9">
    <cfRule type="expression" dxfId="2873" priority="805">
      <formula>AND(IF(OR($Q9=1,$Q9=2),1,0),IF($X9&lt;=20,1,0))</formula>
    </cfRule>
    <cfRule type="expression" dxfId="2872" priority="806">
      <formula>AND(IF($Q9=2,1,0),IF($X9&lt;30,1,0))</formula>
    </cfRule>
    <cfRule type="expression" dxfId="2871" priority="807">
      <formula>AND(IF($Q9=3,1,0),IF($X9&lt;30,1,0))</formula>
    </cfRule>
    <cfRule type="expression" dxfId="2870" priority="808">
      <formula>AND(IF($Q9=3,1,IF($Q9=4,1,0)),IF($F9&lt;=85,1,0))</formula>
    </cfRule>
  </conditionalFormatting>
  <conditionalFormatting sqref="AI9">
    <cfRule type="expression" dxfId="2869" priority="801">
      <formula>AND(IF(OR($Q9=1,$Q9=2),1,0),IF($X9&lt;=20,1,0))</formula>
    </cfRule>
    <cfRule type="expression" dxfId="2868" priority="802">
      <formula>AND(IF($Q9=2,1,0),IF($X9&lt;30,1,0))</formula>
    </cfRule>
    <cfRule type="expression" dxfId="2867" priority="803">
      <formula>AND(IF($Q9=3,1,0),IF($X9&lt;30,1,0))</formula>
    </cfRule>
    <cfRule type="expression" dxfId="2866" priority="804">
      <formula>AND(IF($Q9=3,1,IF($Q9=4,1,0)),IF($F9&lt;=85,1,0))</formula>
    </cfRule>
  </conditionalFormatting>
  <conditionalFormatting sqref="AV10">
    <cfRule type="expression" dxfId="2865" priority="799">
      <formula>AV10="X"</formula>
    </cfRule>
    <cfRule type="expression" dxfId="2864" priority="800">
      <formula>AV10="후보"</formula>
    </cfRule>
  </conditionalFormatting>
  <conditionalFormatting sqref="Z10">
    <cfRule type="colorScale" priority="7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2863" priority="796" operator="greaterThan">
      <formula>0.9</formula>
    </cfRule>
    <cfRule type="cellIs" dxfId="2862" priority="797" operator="greaterThan">
      <formula>0.85</formula>
    </cfRule>
  </conditionalFormatting>
  <conditionalFormatting sqref="N10">
    <cfRule type="cellIs" dxfId="2861" priority="794" operator="greaterThan">
      <formula>0.9</formula>
    </cfRule>
    <cfRule type="cellIs" dxfId="2860" priority="795" operator="greaterThan">
      <formula>0.85</formula>
    </cfRule>
  </conditionalFormatting>
  <conditionalFormatting sqref="E10">
    <cfRule type="expression" dxfId="2859" priority="790">
      <formula>AND(IF(OR($Q10=1,$Q10=2),1,0),IF($X10&lt;=20,1,0))</formula>
    </cfRule>
    <cfRule type="expression" dxfId="2858" priority="791">
      <formula>AND(IF($Q10=2,1,0),IF($X10&lt;30,1,0))</formula>
    </cfRule>
    <cfRule type="expression" dxfId="2857" priority="792">
      <formula>AND(IF($Q10=3,1,0),IF($X10&lt;30,1,0))</formula>
    </cfRule>
    <cfRule type="expression" dxfId="2856" priority="793">
      <formula>AND(IF($Q10=3,1,IF($Q10=4,1,0)),IF($F10&lt;=85,1,0))</formula>
    </cfRule>
  </conditionalFormatting>
  <conditionalFormatting sqref="X10">
    <cfRule type="expression" dxfId="2855" priority="786">
      <formula>AND(IF(OR($Q10=1,$Q10=2),1,0),IF($X10&lt;=20,1,0))</formula>
    </cfRule>
    <cfRule type="expression" dxfId="2854" priority="787">
      <formula>AND(IF($Q10=2,1,0),IF($X10&lt;30,1,0))</formula>
    </cfRule>
    <cfRule type="expression" dxfId="2853" priority="788">
      <formula>AND(IF($Q10=3,1,0),IF($X10&lt;30,1,0))</formula>
    </cfRule>
    <cfRule type="expression" dxfId="2852" priority="789">
      <formula>AND(IF($Q10=3,1,IF($Q10=4,1,0)),IF($F10&lt;=85,1,0))</formula>
    </cfRule>
  </conditionalFormatting>
  <conditionalFormatting sqref="AI10">
    <cfRule type="expression" dxfId="2851" priority="782">
      <formula>AND(IF(OR($Q10=1,$Q10=2),1,0),IF($X10&lt;=20,1,0))</formula>
    </cfRule>
    <cfRule type="expression" dxfId="2850" priority="783">
      <formula>AND(IF($Q10=2,1,0),IF($X10&lt;30,1,0))</formula>
    </cfRule>
    <cfRule type="expression" dxfId="2849" priority="784">
      <formula>AND(IF($Q10=3,1,0),IF($X10&lt;30,1,0))</formula>
    </cfRule>
    <cfRule type="expression" dxfId="2848" priority="785">
      <formula>AND(IF($Q10=3,1,IF($Q10=4,1,0)),IF($F10&lt;=85,1,0))</formula>
    </cfRule>
  </conditionalFormatting>
  <conditionalFormatting sqref="AV11">
    <cfRule type="expression" dxfId="2847" priority="780">
      <formula>AV11="X"</formula>
    </cfRule>
    <cfRule type="expression" dxfId="2846" priority="781">
      <formula>AV11="후보"</formula>
    </cfRule>
  </conditionalFormatting>
  <conditionalFormatting sqref="Z11">
    <cfRule type="colorScale" priority="7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2845" priority="777" operator="greaterThan">
      <formula>0.9</formula>
    </cfRule>
    <cfRule type="cellIs" dxfId="2844" priority="778" operator="greaterThan">
      <formula>0.85</formula>
    </cfRule>
  </conditionalFormatting>
  <conditionalFormatting sqref="N11">
    <cfRule type="cellIs" dxfId="2843" priority="775" operator="greaterThan">
      <formula>0.9</formula>
    </cfRule>
    <cfRule type="cellIs" dxfId="2842" priority="776" operator="greaterThan">
      <formula>0.85</formula>
    </cfRule>
  </conditionalFormatting>
  <conditionalFormatting sqref="E11">
    <cfRule type="expression" dxfId="2841" priority="771">
      <formula>AND(IF(OR($Q11=1,$Q11=2),1,0),IF($X11&lt;=20,1,0))</formula>
    </cfRule>
    <cfRule type="expression" dxfId="2840" priority="772">
      <formula>AND(IF($Q11=2,1,0),IF($X11&lt;30,1,0))</formula>
    </cfRule>
    <cfRule type="expression" dxfId="2839" priority="773">
      <formula>AND(IF($Q11=3,1,0),IF($X11&lt;30,1,0))</formula>
    </cfRule>
    <cfRule type="expression" dxfId="2838" priority="774">
      <formula>AND(IF($Q11=3,1,IF($Q11=4,1,0)),IF($F11&lt;=85,1,0))</formula>
    </cfRule>
  </conditionalFormatting>
  <conditionalFormatting sqref="X11">
    <cfRule type="expression" dxfId="2837" priority="767">
      <formula>AND(IF(OR($Q11=1,$Q11=2),1,0),IF($X11&lt;=20,1,0))</formula>
    </cfRule>
    <cfRule type="expression" dxfId="2836" priority="768">
      <formula>AND(IF($Q11=2,1,0),IF($X11&lt;30,1,0))</formula>
    </cfRule>
    <cfRule type="expression" dxfId="2835" priority="769">
      <formula>AND(IF($Q11=3,1,0),IF($X11&lt;30,1,0))</formula>
    </cfRule>
    <cfRule type="expression" dxfId="2834" priority="770">
      <formula>AND(IF($Q11=3,1,IF($Q11=4,1,0)),IF($F11&lt;=85,1,0))</formula>
    </cfRule>
  </conditionalFormatting>
  <conditionalFormatting sqref="AI11">
    <cfRule type="expression" dxfId="2833" priority="763">
      <formula>AND(IF(OR($Q11=1,$Q11=2),1,0),IF($X11&lt;=20,1,0))</formula>
    </cfRule>
    <cfRule type="expression" dxfId="2832" priority="764">
      <formula>AND(IF($Q11=2,1,0),IF($X11&lt;30,1,0))</formula>
    </cfRule>
    <cfRule type="expression" dxfId="2831" priority="765">
      <formula>AND(IF($Q11=3,1,0),IF($X11&lt;30,1,0))</formula>
    </cfRule>
    <cfRule type="expression" dxfId="2830" priority="766">
      <formula>AND(IF($Q11=3,1,IF($Q11=4,1,0)),IF($F11&lt;=85,1,0))</formula>
    </cfRule>
  </conditionalFormatting>
  <conditionalFormatting sqref="AV12">
    <cfRule type="expression" dxfId="2829" priority="761">
      <formula>AV12="X"</formula>
    </cfRule>
    <cfRule type="expression" dxfId="2828" priority="762">
      <formula>AV12="후보"</formula>
    </cfRule>
  </conditionalFormatting>
  <conditionalFormatting sqref="Z12">
    <cfRule type="colorScale" priority="7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2827" priority="758" operator="greaterThan">
      <formula>0.9</formula>
    </cfRule>
    <cfRule type="cellIs" dxfId="2826" priority="759" operator="greaterThan">
      <formula>0.85</formula>
    </cfRule>
  </conditionalFormatting>
  <conditionalFormatting sqref="N12">
    <cfRule type="cellIs" dxfId="2825" priority="756" operator="greaterThan">
      <formula>0.9</formula>
    </cfRule>
    <cfRule type="cellIs" dxfId="2824" priority="757" operator="greaterThan">
      <formula>0.85</formula>
    </cfRule>
  </conditionalFormatting>
  <conditionalFormatting sqref="E12">
    <cfRule type="expression" dxfId="2823" priority="752">
      <formula>AND(IF(OR($Q12=1,$Q12=2),1,0),IF($X12&lt;=20,1,0))</formula>
    </cfRule>
    <cfRule type="expression" dxfId="2822" priority="753">
      <formula>AND(IF($Q12=2,1,0),IF($X12&lt;30,1,0))</formula>
    </cfRule>
    <cfRule type="expression" dxfId="2821" priority="754">
      <formula>AND(IF($Q12=3,1,0),IF($X12&lt;30,1,0))</formula>
    </cfRule>
    <cfRule type="expression" dxfId="2820" priority="755">
      <formula>AND(IF($Q12=3,1,IF($Q12=4,1,0)),IF($F12&lt;=85,1,0))</formula>
    </cfRule>
  </conditionalFormatting>
  <conditionalFormatting sqref="X12">
    <cfRule type="expression" dxfId="2819" priority="748">
      <formula>AND(IF(OR($Q12=1,$Q12=2),1,0),IF($X12&lt;=20,1,0))</formula>
    </cfRule>
    <cfRule type="expression" dxfId="2818" priority="749">
      <formula>AND(IF($Q12=2,1,0),IF($X12&lt;30,1,0))</formula>
    </cfRule>
    <cfRule type="expression" dxfId="2817" priority="750">
      <formula>AND(IF($Q12=3,1,0),IF($X12&lt;30,1,0))</formula>
    </cfRule>
    <cfRule type="expression" dxfId="2816" priority="751">
      <formula>AND(IF($Q12=3,1,IF($Q12=4,1,0)),IF($F12&lt;=85,1,0))</formula>
    </cfRule>
  </conditionalFormatting>
  <conditionalFormatting sqref="AI12">
    <cfRule type="expression" dxfId="2815" priority="744">
      <formula>AND(IF(OR($Q12=1,$Q12=2),1,0),IF($X12&lt;=20,1,0))</formula>
    </cfRule>
    <cfRule type="expression" dxfId="2814" priority="745">
      <formula>AND(IF($Q12=2,1,0),IF($X12&lt;30,1,0))</formula>
    </cfRule>
    <cfRule type="expression" dxfId="2813" priority="746">
      <formula>AND(IF($Q12=3,1,0),IF($X12&lt;30,1,0))</formula>
    </cfRule>
    <cfRule type="expression" dxfId="2812" priority="747">
      <formula>AND(IF($Q12=3,1,IF($Q12=4,1,0)),IF($F12&lt;=85,1,0))</formula>
    </cfRule>
  </conditionalFormatting>
  <conditionalFormatting sqref="AV13">
    <cfRule type="expression" dxfId="2811" priority="742">
      <formula>AV13="X"</formula>
    </cfRule>
    <cfRule type="expression" dxfId="2810" priority="743">
      <formula>AV13="후보"</formula>
    </cfRule>
  </conditionalFormatting>
  <conditionalFormatting sqref="Z13">
    <cfRule type="colorScale" priority="7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 N13">
    <cfRule type="cellIs" dxfId="2809" priority="739" operator="greaterThan">
      <formula>0.9</formula>
    </cfRule>
    <cfRule type="cellIs" dxfId="2808" priority="740" operator="greaterThan">
      <formula>0.85</formula>
    </cfRule>
  </conditionalFormatting>
  <conditionalFormatting sqref="AV14">
    <cfRule type="expression" dxfId="2807" priority="737">
      <formula>AV14="X"</formula>
    </cfRule>
    <cfRule type="expression" dxfId="2806" priority="738">
      <formula>AV14="후보"</formula>
    </cfRule>
  </conditionalFormatting>
  <conditionalFormatting sqref="Z14">
    <cfRule type="colorScale" priority="7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2805" priority="734" operator="greaterThan">
      <formula>0.9</formula>
    </cfRule>
    <cfRule type="cellIs" dxfId="2804" priority="735" operator="greaterThan">
      <formula>0.85</formula>
    </cfRule>
  </conditionalFormatting>
  <conditionalFormatting sqref="N14">
    <cfRule type="cellIs" dxfId="2803" priority="732" operator="greaterThan">
      <formula>0.9</formula>
    </cfRule>
    <cfRule type="cellIs" dxfId="2802" priority="733" operator="greaterThan">
      <formula>0.85</formula>
    </cfRule>
  </conditionalFormatting>
  <conditionalFormatting sqref="E14">
    <cfRule type="expression" dxfId="2801" priority="728">
      <formula>AND(IF(OR($Q14=1,$Q14=2),1,0),IF($X14&lt;=20,1,0))</formula>
    </cfRule>
    <cfRule type="expression" dxfId="2800" priority="729">
      <formula>AND(IF($Q14=2,1,0),IF($X14&lt;30,1,0))</formula>
    </cfRule>
    <cfRule type="expression" dxfId="2799" priority="730">
      <formula>AND(IF($Q14=3,1,0),IF($X14&lt;30,1,0))</formula>
    </cfRule>
    <cfRule type="expression" dxfId="2798" priority="731">
      <formula>AND(IF($Q14=3,1,IF($Q14=4,1,0)),IF($F14&lt;=85,1,0))</formula>
    </cfRule>
  </conditionalFormatting>
  <conditionalFormatting sqref="X14">
    <cfRule type="expression" dxfId="2797" priority="724">
      <formula>AND(IF(OR($Q14=1,$Q14=2),1,0),IF($X14&lt;=20,1,0))</formula>
    </cfRule>
    <cfRule type="expression" dxfId="2796" priority="725">
      <formula>AND(IF($Q14=2,1,0),IF($X14&lt;30,1,0))</formula>
    </cfRule>
    <cfRule type="expression" dxfId="2795" priority="726">
      <formula>AND(IF($Q14=3,1,0),IF($X14&lt;30,1,0))</formula>
    </cfRule>
    <cfRule type="expression" dxfId="2794" priority="727">
      <formula>AND(IF($Q14=3,1,IF($Q14=4,1,0)),IF($F14&lt;=85,1,0))</formula>
    </cfRule>
  </conditionalFormatting>
  <conditionalFormatting sqref="AI14">
    <cfRule type="expression" dxfId="2793" priority="720">
      <formula>AND(IF(OR($Q14=1,$Q14=2),1,0),IF($X14&lt;=20,1,0))</formula>
    </cfRule>
    <cfRule type="expression" dxfId="2792" priority="721">
      <formula>AND(IF($Q14=2,1,0),IF($X14&lt;30,1,0))</formula>
    </cfRule>
    <cfRule type="expression" dxfId="2791" priority="722">
      <formula>AND(IF($Q14=3,1,0),IF($X14&lt;30,1,0))</formula>
    </cfRule>
    <cfRule type="expression" dxfId="2790" priority="723">
      <formula>AND(IF($Q14=3,1,IF($Q14=4,1,0)),IF($F14&lt;=85,1,0))</formula>
    </cfRule>
  </conditionalFormatting>
  <conditionalFormatting sqref="AV15">
    <cfRule type="expression" dxfId="2789" priority="718">
      <formula>AV15="X"</formula>
    </cfRule>
    <cfRule type="expression" dxfId="2788" priority="719">
      <formula>AV15="후보"</formula>
    </cfRule>
  </conditionalFormatting>
  <conditionalFormatting sqref="Z15">
    <cfRule type="colorScale" priority="7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2787" priority="715" operator="greaterThan">
      <formula>0.9</formula>
    </cfRule>
    <cfRule type="cellIs" dxfId="2786" priority="716" operator="greaterThan">
      <formula>0.85</formula>
    </cfRule>
  </conditionalFormatting>
  <conditionalFormatting sqref="N15">
    <cfRule type="cellIs" dxfId="2785" priority="713" operator="greaterThan">
      <formula>0.9</formula>
    </cfRule>
    <cfRule type="cellIs" dxfId="2784" priority="714" operator="greaterThan">
      <formula>0.85</formula>
    </cfRule>
  </conditionalFormatting>
  <conditionalFormatting sqref="E15">
    <cfRule type="expression" dxfId="2783" priority="709">
      <formula>AND(IF(OR($Q15=1,$Q15=2),1,0),IF($X15&lt;=20,1,0))</formula>
    </cfRule>
    <cfRule type="expression" dxfId="2782" priority="710">
      <formula>AND(IF($Q15=2,1,0),IF($X15&lt;30,1,0))</formula>
    </cfRule>
    <cfRule type="expression" dxfId="2781" priority="711">
      <formula>AND(IF($Q15=3,1,0),IF($X15&lt;30,1,0))</formula>
    </cfRule>
    <cfRule type="expression" dxfId="2780" priority="712">
      <formula>AND(IF($Q15=3,1,IF($Q15=4,1,0)),IF($F15&lt;=85,1,0))</formula>
    </cfRule>
  </conditionalFormatting>
  <conditionalFormatting sqref="X15">
    <cfRule type="expression" dxfId="2779" priority="705">
      <formula>AND(IF(OR($Q15=1,$Q15=2),1,0),IF($X15&lt;=20,1,0))</formula>
    </cfRule>
    <cfRule type="expression" dxfId="2778" priority="706">
      <formula>AND(IF($Q15=2,1,0),IF($X15&lt;30,1,0))</formula>
    </cfRule>
    <cfRule type="expression" dxfId="2777" priority="707">
      <formula>AND(IF($Q15=3,1,0),IF($X15&lt;30,1,0))</formula>
    </cfRule>
    <cfRule type="expression" dxfId="2776" priority="708">
      <formula>AND(IF($Q15=3,1,IF($Q15=4,1,0)),IF($F15&lt;=85,1,0))</formula>
    </cfRule>
  </conditionalFormatting>
  <conditionalFormatting sqref="AI15">
    <cfRule type="expression" dxfId="2775" priority="701">
      <formula>AND(IF(OR($Q15=1,$Q15=2),1,0),IF($X15&lt;=20,1,0))</formula>
    </cfRule>
    <cfRule type="expression" dxfId="2774" priority="702">
      <formula>AND(IF($Q15=2,1,0),IF($X15&lt;30,1,0))</formula>
    </cfRule>
    <cfRule type="expression" dxfId="2773" priority="703">
      <formula>AND(IF($Q15=3,1,0),IF($X15&lt;30,1,0))</formula>
    </cfRule>
    <cfRule type="expression" dxfId="2772" priority="704">
      <formula>AND(IF($Q15=3,1,IF($Q15=4,1,0)),IF($F15&lt;=85,1,0))</formula>
    </cfRule>
  </conditionalFormatting>
  <conditionalFormatting sqref="AV16">
    <cfRule type="expression" dxfId="2771" priority="699">
      <formula>AV16="X"</formula>
    </cfRule>
    <cfRule type="expression" dxfId="2770" priority="700">
      <formula>AV16="후보"</formula>
    </cfRule>
  </conditionalFormatting>
  <conditionalFormatting sqref="Z16">
    <cfRule type="colorScale" priority="6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 N16">
    <cfRule type="cellIs" dxfId="2769" priority="696" operator="greaterThan">
      <formula>0.9</formula>
    </cfRule>
    <cfRule type="cellIs" dxfId="2768" priority="697" operator="greaterThan">
      <formula>0.85</formula>
    </cfRule>
  </conditionalFormatting>
  <conditionalFormatting sqref="AV17">
    <cfRule type="expression" dxfId="2767" priority="694">
      <formula>AV17="X"</formula>
    </cfRule>
    <cfRule type="expression" dxfId="2766" priority="695">
      <formula>AV17="후보"</formula>
    </cfRule>
  </conditionalFormatting>
  <conditionalFormatting sqref="Z17">
    <cfRule type="colorScale" priority="6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2765" priority="691" operator="greaterThan">
      <formula>0.9</formula>
    </cfRule>
    <cfRule type="cellIs" dxfId="2764" priority="692" operator="greaterThan">
      <formula>0.85</formula>
    </cfRule>
  </conditionalFormatting>
  <conditionalFormatting sqref="N17">
    <cfRule type="cellIs" dxfId="2763" priority="689" operator="greaterThan">
      <formula>0.9</formula>
    </cfRule>
    <cfRule type="cellIs" dxfId="2762" priority="690" operator="greaterThan">
      <formula>0.85</formula>
    </cfRule>
  </conditionalFormatting>
  <conditionalFormatting sqref="E17">
    <cfRule type="expression" dxfId="2761" priority="685">
      <formula>AND(IF(OR($Q17=1,$Q17=2),1,0),IF($X17&lt;=20,1,0))</formula>
    </cfRule>
    <cfRule type="expression" dxfId="2760" priority="686">
      <formula>AND(IF($Q17=2,1,0),IF($X17&lt;30,1,0))</formula>
    </cfRule>
    <cfRule type="expression" dxfId="2759" priority="687">
      <formula>AND(IF($Q17=3,1,0),IF($X17&lt;30,1,0))</formula>
    </cfRule>
    <cfRule type="expression" dxfId="2758" priority="688">
      <formula>AND(IF($Q17=3,1,IF($Q17=4,1,0)),IF($F17&lt;=85,1,0))</formula>
    </cfRule>
  </conditionalFormatting>
  <conditionalFormatting sqref="X17">
    <cfRule type="expression" dxfId="2757" priority="681">
      <formula>AND(IF(OR($Q17=1,$Q17=2),1,0),IF($X17&lt;=20,1,0))</formula>
    </cfRule>
    <cfRule type="expression" dxfId="2756" priority="682">
      <formula>AND(IF($Q17=2,1,0),IF($X17&lt;30,1,0))</formula>
    </cfRule>
    <cfRule type="expression" dxfId="2755" priority="683">
      <formula>AND(IF($Q17=3,1,0),IF($X17&lt;30,1,0))</formula>
    </cfRule>
    <cfRule type="expression" dxfId="2754" priority="684">
      <formula>AND(IF($Q17=3,1,IF($Q17=4,1,0)),IF($F17&lt;=85,1,0))</formula>
    </cfRule>
  </conditionalFormatting>
  <conditionalFormatting sqref="AI17">
    <cfRule type="expression" dxfId="2753" priority="677">
      <formula>AND(IF(OR($Q17=1,$Q17=2),1,0),IF($X17&lt;=20,1,0))</formula>
    </cfRule>
    <cfRule type="expression" dxfId="2752" priority="678">
      <formula>AND(IF($Q17=2,1,0),IF($X17&lt;30,1,0))</formula>
    </cfRule>
    <cfRule type="expression" dxfId="2751" priority="679">
      <formula>AND(IF($Q17=3,1,0),IF($X17&lt;30,1,0))</formula>
    </cfRule>
    <cfRule type="expression" dxfId="2750" priority="680">
      <formula>AND(IF($Q17=3,1,IF($Q17=4,1,0)),IF($F17&lt;=85,1,0))</formula>
    </cfRule>
  </conditionalFormatting>
  <conditionalFormatting sqref="AV18">
    <cfRule type="expression" dxfId="2749" priority="675">
      <formula>AV18="X"</formula>
    </cfRule>
    <cfRule type="expression" dxfId="2748" priority="676">
      <formula>AV18="후보"</formula>
    </cfRule>
  </conditionalFormatting>
  <conditionalFormatting sqref="Z18">
    <cfRule type="colorScale" priority="6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2747" priority="672" operator="greaterThan">
      <formula>0.9</formula>
    </cfRule>
    <cfRule type="cellIs" dxfId="2746" priority="673" operator="greaterThan">
      <formula>0.85</formula>
    </cfRule>
  </conditionalFormatting>
  <conditionalFormatting sqref="N18">
    <cfRule type="cellIs" dxfId="2745" priority="670" operator="greaterThan">
      <formula>0.9</formula>
    </cfRule>
    <cfRule type="cellIs" dxfId="2744" priority="671" operator="greaterThan">
      <formula>0.85</formula>
    </cfRule>
  </conditionalFormatting>
  <conditionalFormatting sqref="E18">
    <cfRule type="expression" dxfId="2743" priority="666">
      <formula>AND(IF(OR($Q18=1,$Q18=2),1,0),IF($X18&lt;=20,1,0))</formula>
    </cfRule>
    <cfRule type="expression" dxfId="2742" priority="667">
      <formula>AND(IF($Q18=2,1,0),IF($X18&lt;30,1,0))</formula>
    </cfRule>
    <cfRule type="expression" dxfId="2741" priority="668">
      <formula>AND(IF($Q18=3,1,0),IF($X18&lt;30,1,0))</formula>
    </cfRule>
    <cfRule type="expression" dxfId="2740" priority="669">
      <formula>AND(IF($Q18=3,1,IF($Q18=4,1,0)),IF($F18&lt;=85,1,0))</formula>
    </cfRule>
  </conditionalFormatting>
  <conditionalFormatting sqref="X18">
    <cfRule type="expression" dxfId="2739" priority="662">
      <formula>AND(IF(OR($Q18=1,$Q18=2),1,0),IF($X18&lt;=20,1,0))</formula>
    </cfRule>
    <cfRule type="expression" dxfId="2738" priority="663">
      <formula>AND(IF($Q18=2,1,0),IF($X18&lt;30,1,0))</formula>
    </cfRule>
    <cfRule type="expression" dxfId="2737" priority="664">
      <formula>AND(IF($Q18=3,1,0),IF($X18&lt;30,1,0))</formula>
    </cfRule>
    <cfRule type="expression" dxfId="2736" priority="665">
      <formula>AND(IF($Q18=3,1,IF($Q18=4,1,0)),IF($F18&lt;=85,1,0))</formula>
    </cfRule>
  </conditionalFormatting>
  <conditionalFormatting sqref="AI18">
    <cfRule type="expression" dxfId="2735" priority="658">
      <formula>AND(IF(OR($Q18=1,$Q18=2),1,0),IF($X18&lt;=20,1,0))</formula>
    </cfRule>
    <cfRule type="expression" dxfId="2734" priority="659">
      <formula>AND(IF($Q18=2,1,0),IF($X18&lt;30,1,0))</formula>
    </cfRule>
    <cfRule type="expression" dxfId="2733" priority="660">
      <formula>AND(IF($Q18=3,1,0),IF($X18&lt;30,1,0))</formula>
    </cfRule>
    <cfRule type="expression" dxfId="2732" priority="661">
      <formula>AND(IF($Q18=3,1,IF($Q18=4,1,0)),IF($F18&lt;=85,1,0))</formula>
    </cfRule>
  </conditionalFormatting>
  <conditionalFormatting sqref="AV19">
    <cfRule type="expression" dxfId="2731" priority="656">
      <formula>AV19="X"</formula>
    </cfRule>
    <cfRule type="expression" dxfId="2730" priority="657">
      <formula>AV19="후보"</formula>
    </cfRule>
  </conditionalFormatting>
  <conditionalFormatting sqref="Z19">
    <cfRule type="colorScale" priority="6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 N19">
    <cfRule type="cellIs" dxfId="2729" priority="653" operator="greaterThan">
      <formula>0.9</formula>
    </cfRule>
    <cfRule type="cellIs" dxfId="2728" priority="654" operator="greaterThan">
      <formula>0.85</formula>
    </cfRule>
  </conditionalFormatting>
  <conditionalFormatting sqref="AV20">
    <cfRule type="expression" dxfId="2727" priority="651">
      <formula>AV20="X"</formula>
    </cfRule>
    <cfRule type="expression" dxfId="2726" priority="652">
      <formula>AV20="후보"</formula>
    </cfRule>
  </conditionalFormatting>
  <conditionalFormatting sqref="Z20">
    <cfRule type="colorScale" priority="6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2725" priority="648" operator="greaterThan">
      <formula>0.9</formula>
    </cfRule>
    <cfRule type="cellIs" dxfId="2724" priority="649" operator="greaterThan">
      <formula>0.85</formula>
    </cfRule>
  </conditionalFormatting>
  <conditionalFormatting sqref="N20">
    <cfRule type="cellIs" dxfId="2723" priority="646" operator="greaterThan">
      <formula>0.9</formula>
    </cfRule>
    <cfRule type="cellIs" dxfId="2722" priority="647" operator="greaterThan">
      <formula>0.85</formula>
    </cfRule>
  </conditionalFormatting>
  <conditionalFormatting sqref="E20">
    <cfRule type="expression" dxfId="2721" priority="642">
      <formula>AND(IF(OR($Q20=1,$Q20=2),1,0),IF($X20&lt;=20,1,0))</formula>
    </cfRule>
    <cfRule type="expression" dxfId="2720" priority="643">
      <formula>AND(IF($Q20=2,1,0),IF($X20&lt;30,1,0))</formula>
    </cfRule>
    <cfRule type="expression" dxfId="2719" priority="644">
      <formula>AND(IF($Q20=3,1,0),IF($X20&lt;30,1,0))</formula>
    </cfRule>
    <cfRule type="expression" dxfId="2718" priority="645">
      <formula>AND(IF($Q20=3,1,IF($Q20=4,1,0)),IF($F20&lt;=85,1,0))</formula>
    </cfRule>
  </conditionalFormatting>
  <conditionalFormatting sqref="X20">
    <cfRule type="expression" dxfId="2717" priority="638">
      <formula>AND(IF(OR($Q20=1,$Q20=2),1,0),IF($X20&lt;=20,1,0))</formula>
    </cfRule>
    <cfRule type="expression" dxfId="2716" priority="639">
      <formula>AND(IF($Q20=2,1,0),IF($X20&lt;30,1,0))</formula>
    </cfRule>
    <cfRule type="expression" dxfId="2715" priority="640">
      <formula>AND(IF($Q20=3,1,0),IF($X20&lt;30,1,0))</formula>
    </cfRule>
    <cfRule type="expression" dxfId="2714" priority="641">
      <formula>AND(IF($Q20=3,1,IF($Q20=4,1,0)),IF($F20&lt;=85,1,0))</formula>
    </cfRule>
  </conditionalFormatting>
  <conditionalFormatting sqref="AI20">
    <cfRule type="expression" dxfId="2713" priority="634">
      <formula>AND(IF(OR($Q20=1,$Q20=2),1,0),IF($X20&lt;=20,1,0))</formula>
    </cfRule>
    <cfRule type="expression" dxfId="2712" priority="635">
      <formula>AND(IF($Q20=2,1,0),IF($X20&lt;30,1,0))</formula>
    </cfRule>
    <cfRule type="expression" dxfId="2711" priority="636">
      <formula>AND(IF($Q20=3,1,0),IF($X20&lt;30,1,0))</formula>
    </cfRule>
    <cfRule type="expression" dxfId="2710" priority="637">
      <formula>AND(IF($Q20=3,1,IF($Q20=4,1,0)),IF($F20&lt;=85,1,0))</formula>
    </cfRule>
  </conditionalFormatting>
  <conditionalFormatting sqref="AV21">
    <cfRule type="expression" dxfId="2709" priority="632">
      <formula>AV21="X"</formula>
    </cfRule>
    <cfRule type="expression" dxfId="2708" priority="633">
      <formula>AV21="후보"</formula>
    </cfRule>
  </conditionalFormatting>
  <conditionalFormatting sqref="Z21">
    <cfRule type="colorScale" priority="6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2707" priority="629" operator="greaterThan">
      <formula>0.9</formula>
    </cfRule>
    <cfRule type="cellIs" dxfId="2706" priority="630" operator="greaterThan">
      <formula>0.85</formula>
    </cfRule>
  </conditionalFormatting>
  <conditionalFormatting sqref="N21">
    <cfRule type="cellIs" dxfId="2705" priority="627" operator="greaterThan">
      <formula>0.9</formula>
    </cfRule>
    <cfRule type="cellIs" dxfId="2704" priority="628" operator="greaterThan">
      <formula>0.85</formula>
    </cfRule>
  </conditionalFormatting>
  <conditionalFormatting sqref="E21">
    <cfRule type="expression" dxfId="2703" priority="623">
      <formula>AND(IF(OR($Q21=1,$Q21=2),1,0),IF($X21&lt;=20,1,0))</formula>
    </cfRule>
    <cfRule type="expression" dxfId="2702" priority="624">
      <formula>AND(IF($Q21=2,1,0),IF($X21&lt;30,1,0))</formula>
    </cfRule>
    <cfRule type="expression" dxfId="2701" priority="625">
      <formula>AND(IF($Q21=3,1,0),IF($X21&lt;30,1,0))</formula>
    </cfRule>
    <cfRule type="expression" dxfId="2700" priority="626">
      <formula>AND(IF($Q21=3,1,IF($Q21=4,1,0)),IF($F21&lt;=85,1,0))</formula>
    </cfRule>
  </conditionalFormatting>
  <conditionalFormatting sqref="X21">
    <cfRule type="expression" dxfId="2699" priority="619">
      <formula>AND(IF(OR($Q21=1,$Q21=2),1,0),IF($X21&lt;=20,1,0))</formula>
    </cfRule>
    <cfRule type="expression" dxfId="2698" priority="620">
      <formula>AND(IF($Q21=2,1,0),IF($X21&lt;30,1,0))</formula>
    </cfRule>
    <cfRule type="expression" dxfId="2697" priority="621">
      <formula>AND(IF($Q21=3,1,0),IF($X21&lt;30,1,0))</formula>
    </cfRule>
    <cfRule type="expression" dxfId="2696" priority="622">
      <formula>AND(IF($Q21=3,1,IF($Q21=4,1,0)),IF($F21&lt;=85,1,0))</formula>
    </cfRule>
  </conditionalFormatting>
  <conditionalFormatting sqref="AI21">
    <cfRule type="expression" dxfId="2695" priority="615">
      <formula>AND(IF(OR($Q21=1,$Q21=2),1,0),IF($X21&lt;=20,1,0))</formula>
    </cfRule>
    <cfRule type="expression" dxfId="2694" priority="616">
      <formula>AND(IF($Q21=2,1,0),IF($X21&lt;30,1,0))</formula>
    </cfRule>
    <cfRule type="expression" dxfId="2693" priority="617">
      <formula>AND(IF($Q21=3,1,0),IF($X21&lt;30,1,0))</formula>
    </cfRule>
    <cfRule type="expression" dxfId="2692" priority="618">
      <formula>AND(IF($Q21=3,1,IF($Q21=4,1,0)),IF($F21&lt;=85,1,0))</formula>
    </cfRule>
  </conditionalFormatting>
  <conditionalFormatting sqref="AV22">
    <cfRule type="expression" dxfId="2691" priority="613">
      <formula>AV22="X"</formula>
    </cfRule>
    <cfRule type="expression" dxfId="2690" priority="614">
      <formula>AV22="후보"</formula>
    </cfRule>
  </conditionalFormatting>
  <conditionalFormatting sqref="Z22">
    <cfRule type="colorScale" priority="6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 N22">
    <cfRule type="cellIs" dxfId="2689" priority="610" operator="greaterThan">
      <formula>0.9</formula>
    </cfRule>
    <cfRule type="cellIs" dxfId="2688" priority="611" operator="greaterThan">
      <formula>0.85</formula>
    </cfRule>
  </conditionalFormatting>
  <conditionalFormatting sqref="AV23">
    <cfRule type="expression" dxfId="2687" priority="608">
      <formula>AV23="X"</formula>
    </cfRule>
    <cfRule type="expression" dxfId="2686" priority="609">
      <formula>AV23="후보"</formula>
    </cfRule>
  </conditionalFormatting>
  <conditionalFormatting sqref="Z23">
    <cfRule type="colorScale" priority="6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2685" priority="605" operator="greaterThan">
      <formula>0.9</formula>
    </cfRule>
    <cfRule type="cellIs" dxfId="2684" priority="606" operator="greaterThan">
      <formula>0.85</formula>
    </cfRule>
  </conditionalFormatting>
  <conditionalFormatting sqref="N23">
    <cfRule type="cellIs" dxfId="2683" priority="603" operator="greaterThan">
      <formula>0.9</formula>
    </cfRule>
    <cfRule type="cellIs" dxfId="2682" priority="604" operator="greaterThan">
      <formula>0.85</formula>
    </cfRule>
  </conditionalFormatting>
  <conditionalFormatting sqref="E23">
    <cfRule type="expression" dxfId="2681" priority="599">
      <formula>AND(IF(OR($Q23=1,$Q23=2),1,0),IF($X23&lt;=20,1,0))</formula>
    </cfRule>
    <cfRule type="expression" dxfId="2680" priority="600">
      <formula>AND(IF($Q23=2,1,0),IF($X23&lt;30,1,0))</formula>
    </cfRule>
    <cfRule type="expression" dxfId="2679" priority="601">
      <formula>AND(IF($Q23=3,1,0),IF($X23&lt;30,1,0))</formula>
    </cfRule>
    <cfRule type="expression" dxfId="2678" priority="602">
      <formula>AND(IF($Q23=3,1,IF($Q23=4,1,0)),IF($F23&lt;=85,1,0))</formula>
    </cfRule>
  </conditionalFormatting>
  <conditionalFormatting sqref="X23">
    <cfRule type="expression" dxfId="2677" priority="595">
      <formula>AND(IF(OR($Q23=1,$Q23=2),1,0),IF($X23&lt;=20,1,0))</formula>
    </cfRule>
    <cfRule type="expression" dxfId="2676" priority="596">
      <formula>AND(IF($Q23=2,1,0),IF($X23&lt;30,1,0))</formula>
    </cfRule>
    <cfRule type="expression" dxfId="2675" priority="597">
      <formula>AND(IF($Q23=3,1,0),IF($X23&lt;30,1,0))</formula>
    </cfRule>
    <cfRule type="expression" dxfId="2674" priority="598">
      <formula>AND(IF($Q23=3,1,IF($Q23=4,1,0)),IF($F23&lt;=85,1,0))</formula>
    </cfRule>
  </conditionalFormatting>
  <conditionalFormatting sqref="AI23">
    <cfRule type="expression" dxfId="2673" priority="591">
      <formula>AND(IF(OR($Q23=1,$Q23=2),1,0),IF($X23&lt;=20,1,0))</formula>
    </cfRule>
    <cfRule type="expression" dxfId="2672" priority="592">
      <formula>AND(IF($Q23=2,1,0),IF($X23&lt;30,1,0))</formula>
    </cfRule>
    <cfRule type="expression" dxfId="2671" priority="593">
      <formula>AND(IF($Q23=3,1,0),IF($X23&lt;30,1,0))</formula>
    </cfRule>
    <cfRule type="expression" dxfId="2670" priority="594">
      <formula>AND(IF($Q23=3,1,IF($Q23=4,1,0)),IF($F23&lt;=85,1,0))</formula>
    </cfRule>
  </conditionalFormatting>
  <conditionalFormatting sqref="AV24">
    <cfRule type="expression" dxfId="2669" priority="589">
      <formula>AV24="X"</formula>
    </cfRule>
    <cfRule type="expression" dxfId="2668" priority="590">
      <formula>AV24="후보"</formula>
    </cfRule>
  </conditionalFormatting>
  <conditionalFormatting sqref="Z24">
    <cfRule type="colorScale" priority="5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2667" priority="586" operator="greaterThan">
      <formula>0.9</formula>
    </cfRule>
    <cfRule type="cellIs" dxfId="2666" priority="587" operator="greaterThan">
      <formula>0.85</formula>
    </cfRule>
  </conditionalFormatting>
  <conditionalFormatting sqref="N24">
    <cfRule type="cellIs" dxfId="2665" priority="584" operator="greaterThan">
      <formula>0.9</formula>
    </cfRule>
    <cfRule type="cellIs" dxfId="2664" priority="585" operator="greaterThan">
      <formula>0.85</formula>
    </cfRule>
  </conditionalFormatting>
  <conditionalFormatting sqref="E24">
    <cfRule type="expression" dxfId="2663" priority="580">
      <formula>AND(IF(OR($Q24=1,$Q24=2),1,0),IF($X24&lt;=20,1,0))</formula>
    </cfRule>
    <cfRule type="expression" dxfId="2662" priority="581">
      <formula>AND(IF($Q24=2,1,0),IF($X24&lt;30,1,0))</formula>
    </cfRule>
    <cfRule type="expression" dxfId="2661" priority="582">
      <formula>AND(IF($Q24=3,1,0),IF($X24&lt;30,1,0))</formula>
    </cfRule>
    <cfRule type="expression" dxfId="2660" priority="583">
      <formula>AND(IF($Q24=3,1,IF($Q24=4,1,0)),IF($F24&lt;=85,1,0))</formula>
    </cfRule>
  </conditionalFormatting>
  <conditionalFormatting sqref="X24">
    <cfRule type="expression" dxfId="2659" priority="576">
      <formula>AND(IF(OR($Q24=1,$Q24=2),1,0),IF($X24&lt;=20,1,0))</formula>
    </cfRule>
    <cfRule type="expression" dxfId="2658" priority="577">
      <formula>AND(IF($Q24=2,1,0),IF($X24&lt;30,1,0))</formula>
    </cfRule>
    <cfRule type="expression" dxfId="2657" priority="578">
      <formula>AND(IF($Q24=3,1,0),IF($X24&lt;30,1,0))</formula>
    </cfRule>
    <cfRule type="expression" dxfId="2656" priority="579">
      <formula>AND(IF($Q24=3,1,IF($Q24=4,1,0)),IF($F24&lt;=85,1,0))</formula>
    </cfRule>
  </conditionalFormatting>
  <conditionalFormatting sqref="AI24">
    <cfRule type="expression" dxfId="2655" priority="572">
      <formula>AND(IF(OR($Q24=1,$Q24=2),1,0),IF($X24&lt;=20,1,0))</formula>
    </cfRule>
    <cfRule type="expression" dxfId="2654" priority="573">
      <formula>AND(IF($Q24=2,1,0),IF($X24&lt;30,1,0))</formula>
    </cfRule>
    <cfRule type="expression" dxfId="2653" priority="574">
      <formula>AND(IF($Q24=3,1,0),IF($X24&lt;30,1,0))</formula>
    </cfRule>
    <cfRule type="expression" dxfId="2652" priority="575">
      <formula>AND(IF($Q24=3,1,IF($Q24=4,1,0)),IF($F24&lt;=85,1,0))</formula>
    </cfRule>
  </conditionalFormatting>
  <conditionalFormatting sqref="AV25">
    <cfRule type="expression" dxfId="2651" priority="570">
      <formula>AV25="X"</formula>
    </cfRule>
    <cfRule type="expression" dxfId="2650" priority="571">
      <formula>AV25="후보"</formula>
    </cfRule>
  </conditionalFormatting>
  <conditionalFormatting sqref="Z25">
    <cfRule type="colorScale" priority="5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2649" priority="567" operator="greaterThan">
      <formula>0.9</formula>
    </cfRule>
    <cfRule type="cellIs" dxfId="2648" priority="568" operator="greaterThan">
      <formula>0.85</formula>
    </cfRule>
  </conditionalFormatting>
  <conditionalFormatting sqref="N25">
    <cfRule type="cellIs" dxfId="2647" priority="565" operator="greaterThan">
      <formula>0.9</formula>
    </cfRule>
    <cfRule type="cellIs" dxfId="2646" priority="566" operator="greaterThan">
      <formula>0.85</formula>
    </cfRule>
  </conditionalFormatting>
  <conditionalFormatting sqref="E25">
    <cfRule type="expression" dxfId="2645" priority="561">
      <formula>AND(IF(OR($Q25=1,$Q25=2),1,0),IF($X25&lt;=20,1,0))</formula>
    </cfRule>
    <cfRule type="expression" dxfId="2644" priority="562">
      <formula>AND(IF($Q25=2,1,0),IF($X25&lt;30,1,0))</formula>
    </cfRule>
    <cfRule type="expression" dxfId="2643" priority="563">
      <formula>AND(IF($Q25=3,1,0),IF($X25&lt;30,1,0))</formula>
    </cfRule>
    <cfRule type="expression" dxfId="2642" priority="564">
      <formula>AND(IF($Q25=3,1,IF($Q25=4,1,0)),IF($F25&lt;=85,1,0))</formula>
    </cfRule>
  </conditionalFormatting>
  <conditionalFormatting sqref="X25">
    <cfRule type="expression" dxfId="2641" priority="557">
      <formula>AND(IF(OR($Q25=1,$Q25=2),1,0),IF($X25&lt;=20,1,0))</formula>
    </cfRule>
    <cfRule type="expression" dxfId="2640" priority="558">
      <formula>AND(IF($Q25=2,1,0),IF($X25&lt;30,1,0))</formula>
    </cfRule>
    <cfRule type="expression" dxfId="2639" priority="559">
      <formula>AND(IF($Q25=3,1,0),IF($X25&lt;30,1,0))</formula>
    </cfRule>
    <cfRule type="expression" dxfId="2638" priority="560">
      <formula>AND(IF($Q25=3,1,IF($Q25=4,1,0)),IF($F25&lt;=85,1,0))</formula>
    </cfRule>
  </conditionalFormatting>
  <conditionalFormatting sqref="AI25">
    <cfRule type="expression" dxfId="2637" priority="553">
      <formula>AND(IF(OR($Q25=1,$Q25=2),1,0),IF($X25&lt;=20,1,0))</formula>
    </cfRule>
    <cfRule type="expression" dxfId="2636" priority="554">
      <formula>AND(IF($Q25=2,1,0),IF($X25&lt;30,1,0))</formula>
    </cfRule>
    <cfRule type="expression" dxfId="2635" priority="555">
      <formula>AND(IF($Q25=3,1,0),IF($X25&lt;30,1,0))</formula>
    </cfRule>
    <cfRule type="expression" dxfId="2634" priority="556">
      <formula>AND(IF($Q25=3,1,IF($Q25=4,1,0)),IF($F25&lt;=85,1,0))</formula>
    </cfRule>
  </conditionalFormatting>
  <conditionalFormatting sqref="AV26">
    <cfRule type="expression" dxfId="2633" priority="551">
      <formula>AV26="X"</formula>
    </cfRule>
    <cfRule type="expression" dxfId="2632" priority="552">
      <formula>AV26="후보"</formula>
    </cfRule>
  </conditionalFormatting>
  <conditionalFormatting sqref="Z26">
    <cfRule type="colorScale" priority="5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2631" priority="548" operator="greaterThan">
      <formula>0.9</formula>
    </cfRule>
    <cfRule type="cellIs" dxfId="2630" priority="549" operator="greaterThan">
      <formula>0.85</formula>
    </cfRule>
  </conditionalFormatting>
  <conditionalFormatting sqref="N26">
    <cfRule type="cellIs" dxfId="2629" priority="546" operator="greaterThan">
      <formula>0.9</formula>
    </cfRule>
    <cfRule type="cellIs" dxfId="2628" priority="547" operator="greaterThan">
      <formula>0.85</formula>
    </cfRule>
  </conditionalFormatting>
  <conditionalFormatting sqref="E26">
    <cfRule type="expression" dxfId="2627" priority="542">
      <formula>AND(IF(OR($Q26=1,$Q26=2),1,0),IF($X26&lt;=20,1,0))</formula>
    </cfRule>
    <cfRule type="expression" dxfId="2626" priority="543">
      <formula>AND(IF($Q26=2,1,0),IF($X26&lt;30,1,0))</formula>
    </cfRule>
    <cfRule type="expression" dxfId="2625" priority="544">
      <formula>AND(IF($Q26=3,1,0),IF($X26&lt;30,1,0))</formula>
    </cfRule>
    <cfRule type="expression" dxfId="2624" priority="545">
      <formula>AND(IF($Q26=3,1,IF($Q26=4,1,0)),IF($F26&lt;=85,1,0))</formula>
    </cfRule>
  </conditionalFormatting>
  <conditionalFormatting sqref="X26">
    <cfRule type="expression" dxfId="2623" priority="538">
      <formula>AND(IF(OR($Q26=1,$Q26=2),1,0),IF($X26&lt;=20,1,0))</formula>
    </cfRule>
    <cfRule type="expression" dxfId="2622" priority="539">
      <formula>AND(IF($Q26=2,1,0),IF($X26&lt;30,1,0))</formula>
    </cfRule>
    <cfRule type="expression" dxfId="2621" priority="540">
      <formula>AND(IF($Q26=3,1,0),IF($X26&lt;30,1,0))</formula>
    </cfRule>
    <cfRule type="expression" dxfId="2620" priority="541">
      <formula>AND(IF($Q26=3,1,IF($Q26=4,1,0)),IF($F26&lt;=85,1,0))</formula>
    </cfRule>
  </conditionalFormatting>
  <conditionalFormatting sqref="AI26">
    <cfRule type="expression" dxfId="2619" priority="534">
      <formula>AND(IF(OR($Q26=1,$Q26=2),1,0),IF($X26&lt;=20,1,0))</formula>
    </cfRule>
    <cfRule type="expression" dxfId="2618" priority="535">
      <formula>AND(IF($Q26=2,1,0),IF($X26&lt;30,1,0))</formula>
    </cfRule>
    <cfRule type="expression" dxfId="2617" priority="536">
      <formula>AND(IF($Q26=3,1,0),IF($X26&lt;30,1,0))</formula>
    </cfRule>
    <cfRule type="expression" dxfId="2616" priority="537">
      <formula>AND(IF($Q26=3,1,IF($Q26=4,1,0)),IF($F26&lt;=85,1,0))</formula>
    </cfRule>
  </conditionalFormatting>
  <conditionalFormatting sqref="AV27">
    <cfRule type="expression" dxfId="2615" priority="532">
      <formula>AV27="X"</formula>
    </cfRule>
    <cfRule type="expression" dxfId="2614" priority="533">
      <formula>AV27="후보"</formula>
    </cfRule>
  </conditionalFormatting>
  <conditionalFormatting sqref="Z27">
    <cfRule type="colorScale" priority="5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2613" priority="529" operator="greaterThan">
      <formula>0.9</formula>
    </cfRule>
    <cfRule type="cellIs" dxfId="2612" priority="530" operator="greaterThan">
      <formula>0.85</formula>
    </cfRule>
  </conditionalFormatting>
  <conditionalFormatting sqref="N27">
    <cfRule type="cellIs" dxfId="2611" priority="527" operator="greaterThan">
      <formula>0.9</formula>
    </cfRule>
    <cfRule type="cellIs" dxfId="2610" priority="528" operator="greaterThan">
      <formula>0.85</formula>
    </cfRule>
  </conditionalFormatting>
  <conditionalFormatting sqref="E27">
    <cfRule type="expression" dxfId="2609" priority="523">
      <formula>AND(IF(OR($Q27=1,$Q27=2),1,0),IF($X27&lt;=20,1,0))</formula>
    </cfRule>
    <cfRule type="expression" dxfId="2608" priority="524">
      <formula>AND(IF($Q27=2,1,0),IF($X27&lt;30,1,0))</formula>
    </cfRule>
    <cfRule type="expression" dxfId="2607" priority="525">
      <formula>AND(IF($Q27=3,1,0),IF($X27&lt;30,1,0))</formula>
    </cfRule>
    <cfRule type="expression" dxfId="2606" priority="526">
      <formula>AND(IF($Q27=3,1,IF($Q27=4,1,0)),IF($F27&lt;=85,1,0))</formula>
    </cfRule>
  </conditionalFormatting>
  <conditionalFormatting sqref="X27">
    <cfRule type="expression" dxfId="2605" priority="519">
      <formula>AND(IF(OR($Q27=1,$Q27=2),1,0),IF($X27&lt;=20,1,0))</formula>
    </cfRule>
    <cfRule type="expression" dxfId="2604" priority="520">
      <formula>AND(IF($Q27=2,1,0),IF($X27&lt;30,1,0))</formula>
    </cfRule>
    <cfRule type="expression" dxfId="2603" priority="521">
      <formula>AND(IF($Q27=3,1,0),IF($X27&lt;30,1,0))</formula>
    </cfRule>
    <cfRule type="expression" dxfId="2602" priority="522">
      <formula>AND(IF($Q27=3,1,IF($Q27=4,1,0)),IF($F27&lt;=85,1,0))</formula>
    </cfRule>
  </conditionalFormatting>
  <conditionalFormatting sqref="AI27">
    <cfRule type="expression" dxfId="2601" priority="515">
      <formula>AND(IF(OR($Q27=1,$Q27=2),1,0),IF($X27&lt;=20,1,0))</formula>
    </cfRule>
    <cfRule type="expression" dxfId="2600" priority="516">
      <formula>AND(IF($Q27=2,1,0),IF($X27&lt;30,1,0))</formula>
    </cfRule>
    <cfRule type="expression" dxfId="2599" priority="517">
      <formula>AND(IF($Q27=3,1,0),IF($X27&lt;30,1,0))</formula>
    </cfRule>
    <cfRule type="expression" dxfId="2598" priority="518">
      <formula>AND(IF($Q27=3,1,IF($Q27=4,1,0)),IF($F27&lt;=85,1,0))</formula>
    </cfRule>
  </conditionalFormatting>
  <conditionalFormatting sqref="AV28">
    <cfRule type="expression" dxfId="2597" priority="513">
      <formula>AV28="X"</formula>
    </cfRule>
    <cfRule type="expression" dxfId="2596" priority="514">
      <formula>AV28="후보"</formula>
    </cfRule>
  </conditionalFormatting>
  <conditionalFormatting sqref="Z28">
    <cfRule type="colorScale" priority="5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2595" priority="510" operator="greaterThan">
      <formula>0.9</formula>
    </cfRule>
    <cfRule type="cellIs" dxfId="2594" priority="511" operator="greaterThan">
      <formula>0.85</formula>
    </cfRule>
  </conditionalFormatting>
  <conditionalFormatting sqref="N28">
    <cfRule type="cellIs" dxfId="2593" priority="508" operator="greaterThan">
      <formula>0.9</formula>
    </cfRule>
    <cfRule type="cellIs" dxfId="2592" priority="509" operator="greaterThan">
      <formula>0.85</formula>
    </cfRule>
  </conditionalFormatting>
  <conditionalFormatting sqref="E28">
    <cfRule type="expression" dxfId="2591" priority="504">
      <formula>AND(IF(OR($Q28=1,$Q28=2),1,0),IF($X28&lt;=20,1,0))</formula>
    </cfRule>
    <cfRule type="expression" dxfId="2590" priority="505">
      <formula>AND(IF($Q28=2,1,0),IF($X28&lt;30,1,0))</formula>
    </cfRule>
    <cfRule type="expression" dxfId="2589" priority="506">
      <formula>AND(IF($Q28=3,1,0),IF($X28&lt;30,1,0))</formula>
    </cfRule>
    <cfRule type="expression" dxfId="2588" priority="507">
      <formula>AND(IF($Q28=3,1,IF($Q28=4,1,0)),IF($F28&lt;=85,1,0))</formula>
    </cfRule>
  </conditionalFormatting>
  <conditionalFormatting sqref="X28">
    <cfRule type="expression" dxfId="2587" priority="500">
      <formula>AND(IF(OR($Q28=1,$Q28=2),1,0),IF($X28&lt;=20,1,0))</formula>
    </cfRule>
    <cfRule type="expression" dxfId="2586" priority="501">
      <formula>AND(IF($Q28=2,1,0),IF($X28&lt;30,1,0))</formula>
    </cfRule>
    <cfRule type="expression" dxfId="2585" priority="502">
      <formula>AND(IF($Q28=3,1,0),IF($X28&lt;30,1,0))</formula>
    </cfRule>
    <cfRule type="expression" dxfId="2584" priority="503">
      <formula>AND(IF($Q28=3,1,IF($Q28=4,1,0)),IF($F28&lt;=85,1,0))</formula>
    </cfRule>
  </conditionalFormatting>
  <conditionalFormatting sqref="AI28">
    <cfRule type="expression" dxfId="2583" priority="496">
      <formula>AND(IF(OR($Q28=1,$Q28=2),1,0),IF($X28&lt;=20,1,0))</formula>
    </cfRule>
    <cfRule type="expression" dxfId="2582" priority="497">
      <formula>AND(IF($Q28=2,1,0),IF($X28&lt;30,1,0))</formula>
    </cfRule>
    <cfRule type="expression" dxfId="2581" priority="498">
      <formula>AND(IF($Q28=3,1,0),IF($X28&lt;30,1,0))</formula>
    </cfRule>
    <cfRule type="expression" dxfId="2580" priority="499">
      <formula>AND(IF($Q28=3,1,IF($Q28=4,1,0)),IF($F28&lt;=85,1,0))</formula>
    </cfRule>
  </conditionalFormatting>
  <conditionalFormatting sqref="AV29">
    <cfRule type="expression" dxfId="2579" priority="494">
      <formula>AV29="X"</formula>
    </cfRule>
    <cfRule type="expression" dxfId="2578" priority="495">
      <formula>AV29="후보"</formula>
    </cfRule>
  </conditionalFormatting>
  <conditionalFormatting sqref="Z29">
    <cfRule type="colorScale" priority="4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2577" priority="491" operator="greaterThan">
      <formula>0.9</formula>
    </cfRule>
    <cfRule type="cellIs" dxfId="2576" priority="492" operator="greaterThan">
      <formula>0.85</formula>
    </cfRule>
  </conditionalFormatting>
  <conditionalFormatting sqref="N29">
    <cfRule type="cellIs" dxfId="2575" priority="489" operator="greaterThan">
      <formula>0.9</formula>
    </cfRule>
    <cfRule type="cellIs" dxfId="2574" priority="490" operator="greaterThan">
      <formula>0.85</formula>
    </cfRule>
  </conditionalFormatting>
  <conditionalFormatting sqref="E29">
    <cfRule type="expression" dxfId="2573" priority="485">
      <formula>AND(IF(OR($Q29=1,$Q29=2),1,0),IF($X29&lt;=20,1,0))</formula>
    </cfRule>
    <cfRule type="expression" dxfId="2572" priority="486">
      <formula>AND(IF($Q29=2,1,0),IF($X29&lt;30,1,0))</formula>
    </cfRule>
    <cfRule type="expression" dxfId="2571" priority="487">
      <formula>AND(IF($Q29=3,1,0),IF($X29&lt;30,1,0))</formula>
    </cfRule>
    <cfRule type="expression" dxfId="2570" priority="488">
      <formula>AND(IF($Q29=3,1,IF($Q29=4,1,0)),IF($F29&lt;=85,1,0))</formula>
    </cfRule>
  </conditionalFormatting>
  <conditionalFormatting sqref="X29">
    <cfRule type="expression" dxfId="2569" priority="481">
      <formula>AND(IF(OR($Q29=1,$Q29=2),1,0),IF($X29&lt;=20,1,0))</formula>
    </cfRule>
    <cfRule type="expression" dxfId="2568" priority="482">
      <formula>AND(IF($Q29=2,1,0),IF($X29&lt;30,1,0))</formula>
    </cfRule>
    <cfRule type="expression" dxfId="2567" priority="483">
      <formula>AND(IF($Q29=3,1,0),IF($X29&lt;30,1,0))</formula>
    </cfRule>
    <cfRule type="expression" dxfId="2566" priority="484">
      <formula>AND(IF($Q29=3,1,IF($Q29=4,1,0)),IF($F29&lt;=85,1,0))</formula>
    </cfRule>
  </conditionalFormatting>
  <conditionalFormatting sqref="AI29">
    <cfRule type="expression" dxfId="2565" priority="477">
      <formula>AND(IF(OR($Q29=1,$Q29=2),1,0),IF($X29&lt;=20,1,0))</formula>
    </cfRule>
    <cfRule type="expression" dxfId="2564" priority="478">
      <formula>AND(IF($Q29=2,1,0),IF($X29&lt;30,1,0))</formula>
    </cfRule>
    <cfRule type="expression" dxfId="2563" priority="479">
      <formula>AND(IF($Q29=3,1,0),IF($X29&lt;30,1,0))</formula>
    </cfRule>
    <cfRule type="expression" dxfId="2562" priority="480">
      <formula>AND(IF($Q29=3,1,IF($Q29=4,1,0)),IF($F29&lt;=85,1,0))</formula>
    </cfRule>
  </conditionalFormatting>
  <conditionalFormatting sqref="AV30">
    <cfRule type="expression" dxfId="2561" priority="475">
      <formula>AV30="X"</formula>
    </cfRule>
    <cfRule type="expression" dxfId="2560" priority="476">
      <formula>AV30="후보"</formula>
    </cfRule>
  </conditionalFormatting>
  <conditionalFormatting sqref="Z30">
    <cfRule type="colorScale" priority="4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2559" priority="472" operator="greaterThan">
      <formula>0.9</formula>
    </cfRule>
    <cfRule type="cellIs" dxfId="2558" priority="473" operator="greaterThan">
      <formula>0.85</formula>
    </cfRule>
  </conditionalFormatting>
  <conditionalFormatting sqref="N30">
    <cfRule type="cellIs" dxfId="2557" priority="470" operator="greaterThan">
      <formula>0.9</formula>
    </cfRule>
    <cfRule type="cellIs" dxfId="2556" priority="471" operator="greaterThan">
      <formula>0.85</formula>
    </cfRule>
  </conditionalFormatting>
  <conditionalFormatting sqref="E30">
    <cfRule type="expression" dxfId="2555" priority="466">
      <formula>AND(IF(OR($Q30=1,$Q30=2),1,0),IF($X30&lt;=20,1,0))</formula>
    </cfRule>
    <cfRule type="expression" dxfId="2554" priority="467">
      <formula>AND(IF($Q30=2,1,0),IF($X30&lt;30,1,0))</formula>
    </cfRule>
    <cfRule type="expression" dxfId="2553" priority="468">
      <formula>AND(IF($Q30=3,1,0),IF($X30&lt;30,1,0))</formula>
    </cfRule>
    <cfRule type="expression" dxfId="2552" priority="469">
      <formula>AND(IF($Q30=3,1,IF($Q30=4,1,0)),IF($F30&lt;=85,1,0))</formula>
    </cfRule>
  </conditionalFormatting>
  <conditionalFormatting sqref="X30">
    <cfRule type="expression" dxfId="2551" priority="462">
      <formula>AND(IF(OR($Q30=1,$Q30=2),1,0),IF($X30&lt;=20,1,0))</formula>
    </cfRule>
    <cfRule type="expression" dxfId="2550" priority="463">
      <formula>AND(IF($Q30=2,1,0),IF($X30&lt;30,1,0))</formula>
    </cfRule>
    <cfRule type="expression" dxfId="2549" priority="464">
      <formula>AND(IF($Q30=3,1,0),IF($X30&lt;30,1,0))</formula>
    </cfRule>
    <cfRule type="expression" dxfId="2548" priority="465">
      <formula>AND(IF($Q30=3,1,IF($Q30=4,1,0)),IF($F30&lt;=85,1,0))</formula>
    </cfRule>
  </conditionalFormatting>
  <conditionalFormatting sqref="AI30">
    <cfRule type="expression" dxfId="2547" priority="458">
      <formula>AND(IF(OR($Q30=1,$Q30=2),1,0),IF($X30&lt;=20,1,0))</formula>
    </cfRule>
    <cfRule type="expression" dxfId="2546" priority="459">
      <formula>AND(IF($Q30=2,1,0),IF($X30&lt;30,1,0))</formula>
    </cfRule>
    <cfRule type="expression" dxfId="2545" priority="460">
      <formula>AND(IF($Q30=3,1,0),IF($X30&lt;30,1,0))</formula>
    </cfRule>
    <cfRule type="expression" dxfId="2544" priority="461">
      <formula>AND(IF($Q30=3,1,IF($Q30=4,1,0)),IF($F30&lt;=85,1,0))</formula>
    </cfRule>
  </conditionalFormatting>
  <conditionalFormatting sqref="AV31">
    <cfRule type="expression" dxfId="2543" priority="456">
      <formula>AV31="X"</formula>
    </cfRule>
    <cfRule type="expression" dxfId="2542" priority="457">
      <formula>AV31="후보"</formula>
    </cfRule>
  </conditionalFormatting>
  <conditionalFormatting sqref="Z31">
    <cfRule type="colorScale" priority="4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 N31">
    <cfRule type="cellIs" dxfId="2541" priority="453" operator="greaterThan">
      <formula>0.9</formula>
    </cfRule>
    <cfRule type="cellIs" dxfId="2540" priority="454" operator="greaterThan">
      <formula>0.85</formula>
    </cfRule>
  </conditionalFormatting>
  <conditionalFormatting sqref="AV32">
    <cfRule type="expression" dxfId="2539" priority="451">
      <formula>AV32="X"</formula>
    </cfRule>
    <cfRule type="expression" dxfId="2538" priority="452">
      <formula>AV32="후보"</formula>
    </cfRule>
  </conditionalFormatting>
  <conditionalFormatting sqref="Z32">
    <cfRule type="colorScale" priority="4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2537" priority="448" operator="greaterThan">
      <formula>0.9</formula>
    </cfRule>
    <cfRule type="cellIs" dxfId="2536" priority="449" operator="greaterThan">
      <formula>0.85</formula>
    </cfRule>
  </conditionalFormatting>
  <conditionalFormatting sqref="N32">
    <cfRule type="cellIs" dxfId="2535" priority="446" operator="greaterThan">
      <formula>0.9</formula>
    </cfRule>
    <cfRule type="cellIs" dxfId="2534" priority="447" operator="greaterThan">
      <formula>0.85</formula>
    </cfRule>
  </conditionalFormatting>
  <conditionalFormatting sqref="E32">
    <cfRule type="expression" dxfId="2533" priority="442">
      <formula>AND(IF(OR($Q32=1,$Q32=2),1,0),IF($X32&lt;=20,1,0))</formula>
    </cfRule>
    <cfRule type="expression" dxfId="2532" priority="443">
      <formula>AND(IF($Q32=2,1,0),IF($X32&lt;30,1,0))</formula>
    </cfRule>
    <cfRule type="expression" dxfId="2531" priority="444">
      <formula>AND(IF($Q32=3,1,0),IF($X32&lt;30,1,0))</formula>
    </cfRule>
    <cfRule type="expression" dxfId="2530" priority="445">
      <formula>AND(IF($Q32=3,1,IF($Q32=4,1,0)),IF($F32&lt;=85,1,0))</formula>
    </cfRule>
  </conditionalFormatting>
  <conditionalFormatting sqref="X32">
    <cfRule type="expression" dxfId="2529" priority="438">
      <formula>AND(IF(OR($Q32=1,$Q32=2),1,0),IF($X32&lt;=20,1,0))</formula>
    </cfRule>
    <cfRule type="expression" dxfId="2528" priority="439">
      <formula>AND(IF($Q32=2,1,0),IF($X32&lt;30,1,0))</formula>
    </cfRule>
    <cfRule type="expression" dxfId="2527" priority="440">
      <formula>AND(IF($Q32=3,1,0),IF($X32&lt;30,1,0))</formula>
    </cfRule>
    <cfRule type="expression" dxfId="2526" priority="441">
      <formula>AND(IF($Q32=3,1,IF($Q32=4,1,0)),IF($F32&lt;=85,1,0))</formula>
    </cfRule>
  </conditionalFormatting>
  <conditionalFormatting sqref="AI32">
    <cfRule type="expression" dxfId="2525" priority="434">
      <formula>AND(IF(OR($Q32=1,$Q32=2),1,0),IF($X32&lt;=20,1,0))</formula>
    </cfRule>
    <cfRule type="expression" dxfId="2524" priority="435">
      <formula>AND(IF($Q32=2,1,0),IF($X32&lt;30,1,0))</formula>
    </cfRule>
    <cfRule type="expression" dxfId="2523" priority="436">
      <formula>AND(IF($Q32=3,1,0),IF($X32&lt;30,1,0))</formula>
    </cfRule>
    <cfRule type="expression" dxfId="2522" priority="437">
      <formula>AND(IF($Q32=3,1,IF($Q32=4,1,0)),IF($F32&lt;=85,1,0))</formula>
    </cfRule>
  </conditionalFormatting>
  <conditionalFormatting sqref="AV33">
    <cfRule type="expression" dxfId="2521" priority="432">
      <formula>AV33="X"</formula>
    </cfRule>
    <cfRule type="expression" dxfId="2520" priority="433">
      <formula>AV33="후보"</formula>
    </cfRule>
  </conditionalFormatting>
  <conditionalFormatting sqref="Z33">
    <cfRule type="colorScale" priority="4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2519" priority="429" operator="greaterThan">
      <formula>0.9</formula>
    </cfRule>
    <cfRule type="cellIs" dxfId="2518" priority="430" operator="greaterThan">
      <formula>0.85</formula>
    </cfRule>
  </conditionalFormatting>
  <conditionalFormatting sqref="N33">
    <cfRule type="cellIs" dxfId="2517" priority="427" operator="greaterThan">
      <formula>0.9</formula>
    </cfRule>
    <cfRule type="cellIs" dxfId="2516" priority="428" operator="greaterThan">
      <formula>0.85</formula>
    </cfRule>
  </conditionalFormatting>
  <conditionalFormatting sqref="E33">
    <cfRule type="expression" dxfId="2515" priority="423">
      <formula>AND(IF(OR($Q33=1,$Q33=2),1,0),IF($X33&lt;=20,1,0))</formula>
    </cfRule>
    <cfRule type="expression" dxfId="2514" priority="424">
      <formula>AND(IF($Q33=2,1,0),IF($X33&lt;30,1,0))</formula>
    </cfRule>
    <cfRule type="expression" dxfId="2513" priority="425">
      <formula>AND(IF($Q33=3,1,0),IF($X33&lt;30,1,0))</formula>
    </cfRule>
    <cfRule type="expression" dxfId="2512" priority="426">
      <formula>AND(IF($Q33=3,1,IF($Q33=4,1,0)),IF($F33&lt;=85,1,0))</formula>
    </cfRule>
  </conditionalFormatting>
  <conditionalFormatting sqref="X33">
    <cfRule type="expression" dxfId="2511" priority="419">
      <formula>AND(IF(OR($Q33=1,$Q33=2),1,0),IF($X33&lt;=20,1,0))</formula>
    </cfRule>
    <cfRule type="expression" dxfId="2510" priority="420">
      <formula>AND(IF($Q33=2,1,0),IF($X33&lt;30,1,0))</formula>
    </cfRule>
    <cfRule type="expression" dxfId="2509" priority="421">
      <formula>AND(IF($Q33=3,1,0),IF($X33&lt;30,1,0))</formula>
    </cfRule>
    <cfRule type="expression" dxfId="2508" priority="422">
      <formula>AND(IF($Q33=3,1,IF($Q33=4,1,0)),IF($F33&lt;=85,1,0))</formula>
    </cfRule>
  </conditionalFormatting>
  <conditionalFormatting sqref="AI33">
    <cfRule type="expression" dxfId="2507" priority="415">
      <formula>AND(IF(OR($Q33=1,$Q33=2),1,0),IF($X33&lt;=20,1,0))</formula>
    </cfRule>
    <cfRule type="expression" dxfId="2506" priority="416">
      <formula>AND(IF($Q33=2,1,0),IF($X33&lt;30,1,0))</formula>
    </cfRule>
    <cfRule type="expression" dxfId="2505" priority="417">
      <formula>AND(IF($Q33=3,1,0),IF($X33&lt;30,1,0))</formula>
    </cfRule>
    <cfRule type="expression" dxfId="2504" priority="418">
      <formula>AND(IF($Q33=3,1,IF($Q33=4,1,0)),IF($F33&lt;=85,1,0))</formula>
    </cfRule>
  </conditionalFormatting>
  <conditionalFormatting sqref="AV34">
    <cfRule type="expression" dxfId="2503" priority="413">
      <formula>AV34="X"</formula>
    </cfRule>
    <cfRule type="expression" dxfId="2502" priority="414">
      <formula>AV34="후보"</formula>
    </cfRule>
  </conditionalFormatting>
  <conditionalFormatting sqref="Z34">
    <cfRule type="colorScale" priority="4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2501" priority="410" operator="greaterThan">
      <formula>0.9</formula>
    </cfRule>
    <cfRule type="cellIs" dxfId="2500" priority="411" operator="greaterThan">
      <formula>0.85</formula>
    </cfRule>
  </conditionalFormatting>
  <conditionalFormatting sqref="N34">
    <cfRule type="cellIs" dxfId="2499" priority="408" operator="greaterThan">
      <formula>0.9</formula>
    </cfRule>
    <cfRule type="cellIs" dxfId="2498" priority="409" operator="greaterThan">
      <formula>0.85</formula>
    </cfRule>
  </conditionalFormatting>
  <conditionalFormatting sqref="E34">
    <cfRule type="expression" dxfId="2497" priority="404">
      <formula>AND(IF(OR($Q34=1,$Q34=2),1,0),IF($X34&lt;=20,1,0))</formula>
    </cfRule>
    <cfRule type="expression" dxfId="2496" priority="405">
      <formula>AND(IF($Q34=2,1,0),IF($X34&lt;30,1,0))</formula>
    </cfRule>
    <cfRule type="expression" dxfId="2495" priority="406">
      <formula>AND(IF($Q34=3,1,0),IF($X34&lt;30,1,0))</formula>
    </cfRule>
    <cfRule type="expression" dxfId="2494" priority="407">
      <formula>AND(IF($Q34=3,1,IF($Q34=4,1,0)),IF($F34&lt;=85,1,0))</formula>
    </cfRule>
  </conditionalFormatting>
  <conditionalFormatting sqref="X34">
    <cfRule type="expression" dxfId="2493" priority="400">
      <formula>AND(IF(OR($Q34=1,$Q34=2),1,0),IF($X34&lt;=20,1,0))</formula>
    </cfRule>
    <cfRule type="expression" dxfId="2492" priority="401">
      <formula>AND(IF($Q34=2,1,0),IF($X34&lt;30,1,0))</formula>
    </cfRule>
    <cfRule type="expression" dxfId="2491" priority="402">
      <formula>AND(IF($Q34=3,1,0),IF($X34&lt;30,1,0))</formula>
    </cfRule>
    <cfRule type="expression" dxfId="2490" priority="403">
      <formula>AND(IF($Q34=3,1,IF($Q34=4,1,0)),IF($F34&lt;=85,1,0))</formula>
    </cfRule>
  </conditionalFormatting>
  <conditionalFormatting sqref="AI34">
    <cfRule type="expression" dxfId="2489" priority="396">
      <formula>AND(IF(OR($Q34=1,$Q34=2),1,0),IF($X34&lt;=20,1,0))</formula>
    </cfRule>
    <cfRule type="expression" dxfId="2488" priority="397">
      <formula>AND(IF($Q34=2,1,0),IF($X34&lt;30,1,0))</formula>
    </cfRule>
    <cfRule type="expression" dxfId="2487" priority="398">
      <formula>AND(IF($Q34=3,1,0),IF($X34&lt;30,1,0))</formula>
    </cfRule>
    <cfRule type="expression" dxfId="2486" priority="399">
      <formula>AND(IF($Q34=3,1,IF($Q34=4,1,0)),IF($F34&lt;=85,1,0))</formula>
    </cfRule>
  </conditionalFormatting>
  <conditionalFormatting sqref="AV35">
    <cfRule type="expression" dxfId="2485" priority="394">
      <formula>AV35="X"</formula>
    </cfRule>
    <cfRule type="expression" dxfId="2484" priority="395">
      <formula>AV35="후보"</formula>
    </cfRule>
  </conditionalFormatting>
  <conditionalFormatting sqref="Z35">
    <cfRule type="colorScale" priority="3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 N35">
    <cfRule type="cellIs" dxfId="2483" priority="391" operator="greaterThan">
      <formula>0.9</formula>
    </cfRule>
    <cfRule type="cellIs" dxfId="2482" priority="392" operator="greaterThan">
      <formula>0.85</formula>
    </cfRule>
  </conditionalFormatting>
  <conditionalFormatting sqref="AV36">
    <cfRule type="expression" dxfId="2481" priority="389">
      <formula>AV36="X"</formula>
    </cfRule>
    <cfRule type="expression" dxfId="2480" priority="390">
      <formula>AV36="후보"</formula>
    </cfRule>
  </conditionalFormatting>
  <conditionalFormatting sqref="Z36">
    <cfRule type="colorScale" priority="3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2479" priority="386" operator="greaterThan">
      <formula>0.9</formula>
    </cfRule>
    <cfRule type="cellIs" dxfId="2478" priority="387" operator="greaterThan">
      <formula>0.85</formula>
    </cfRule>
  </conditionalFormatting>
  <conditionalFormatting sqref="N36">
    <cfRule type="cellIs" dxfId="2477" priority="384" operator="greaterThan">
      <formula>0.9</formula>
    </cfRule>
    <cfRule type="cellIs" dxfId="2476" priority="385" operator="greaterThan">
      <formula>0.85</formula>
    </cfRule>
  </conditionalFormatting>
  <conditionalFormatting sqref="E36">
    <cfRule type="expression" dxfId="2475" priority="380">
      <formula>AND(IF(OR($Q36=1,$Q36=2),1,0),IF($X36&lt;=20,1,0))</formula>
    </cfRule>
    <cfRule type="expression" dxfId="2474" priority="381">
      <formula>AND(IF($Q36=2,1,0),IF($X36&lt;30,1,0))</formula>
    </cfRule>
    <cfRule type="expression" dxfId="2473" priority="382">
      <formula>AND(IF($Q36=3,1,0),IF($X36&lt;30,1,0))</formula>
    </cfRule>
    <cfRule type="expression" dxfId="2472" priority="383">
      <formula>AND(IF($Q36=3,1,IF($Q36=4,1,0)),IF($F36&lt;=85,1,0))</formula>
    </cfRule>
  </conditionalFormatting>
  <conditionalFormatting sqref="X36">
    <cfRule type="expression" dxfId="2471" priority="376">
      <formula>AND(IF(OR($Q36=1,$Q36=2),1,0),IF($X36&lt;=20,1,0))</formula>
    </cfRule>
    <cfRule type="expression" dxfId="2470" priority="377">
      <formula>AND(IF($Q36=2,1,0),IF($X36&lt;30,1,0))</formula>
    </cfRule>
    <cfRule type="expression" dxfId="2469" priority="378">
      <formula>AND(IF($Q36=3,1,0),IF($X36&lt;30,1,0))</formula>
    </cfRule>
    <cfRule type="expression" dxfId="2468" priority="379">
      <formula>AND(IF($Q36=3,1,IF($Q36=4,1,0)),IF($F36&lt;=85,1,0))</formula>
    </cfRule>
  </conditionalFormatting>
  <conditionalFormatting sqref="AI36">
    <cfRule type="expression" dxfId="2467" priority="372">
      <formula>AND(IF(OR($Q36=1,$Q36=2),1,0),IF($X36&lt;=20,1,0))</formula>
    </cfRule>
    <cfRule type="expression" dxfId="2466" priority="373">
      <formula>AND(IF($Q36=2,1,0),IF($X36&lt;30,1,0))</formula>
    </cfRule>
    <cfRule type="expression" dxfId="2465" priority="374">
      <formula>AND(IF($Q36=3,1,0),IF($X36&lt;30,1,0))</formula>
    </cfRule>
    <cfRule type="expression" dxfId="2464" priority="375">
      <formula>AND(IF($Q36=3,1,IF($Q36=4,1,0)),IF($F36&lt;=85,1,0))</formula>
    </cfRule>
  </conditionalFormatting>
  <conditionalFormatting sqref="AV37">
    <cfRule type="expression" dxfId="2463" priority="370">
      <formula>AV37="X"</formula>
    </cfRule>
    <cfRule type="expression" dxfId="2462" priority="371">
      <formula>AV37="후보"</formula>
    </cfRule>
  </conditionalFormatting>
  <conditionalFormatting sqref="Z37">
    <cfRule type="colorScale" priority="3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2461" priority="367" operator="greaterThan">
      <formula>0.9</formula>
    </cfRule>
    <cfRule type="cellIs" dxfId="2460" priority="368" operator="greaterThan">
      <formula>0.85</formula>
    </cfRule>
  </conditionalFormatting>
  <conditionalFormatting sqref="N37">
    <cfRule type="cellIs" dxfId="2459" priority="365" operator="greaterThan">
      <formula>0.9</formula>
    </cfRule>
    <cfRule type="cellIs" dxfId="2458" priority="366" operator="greaterThan">
      <formula>0.85</formula>
    </cfRule>
  </conditionalFormatting>
  <conditionalFormatting sqref="E37">
    <cfRule type="expression" dxfId="2457" priority="361">
      <formula>AND(IF(OR($Q37=1,$Q37=2),1,0),IF($X37&lt;=20,1,0))</formula>
    </cfRule>
    <cfRule type="expression" dxfId="2456" priority="362">
      <formula>AND(IF($Q37=2,1,0),IF($X37&lt;30,1,0))</formula>
    </cfRule>
    <cfRule type="expression" dxfId="2455" priority="363">
      <formula>AND(IF($Q37=3,1,0),IF($X37&lt;30,1,0))</formula>
    </cfRule>
    <cfRule type="expression" dxfId="2454" priority="364">
      <formula>AND(IF($Q37=3,1,IF($Q37=4,1,0)),IF($F37&lt;=85,1,0))</formula>
    </cfRule>
  </conditionalFormatting>
  <conditionalFormatting sqref="X37">
    <cfRule type="expression" dxfId="2453" priority="357">
      <formula>AND(IF(OR($Q37=1,$Q37=2),1,0),IF($X37&lt;=20,1,0))</formula>
    </cfRule>
    <cfRule type="expression" dxfId="2452" priority="358">
      <formula>AND(IF($Q37=2,1,0),IF($X37&lt;30,1,0))</formula>
    </cfRule>
    <cfRule type="expression" dxfId="2451" priority="359">
      <formula>AND(IF($Q37=3,1,0),IF($X37&lt;30,1,0))</formula>
    </cfRule>
    <cfRule type="expression" dxfId="2450" priority="360">
      <formula>AND(IF($Q37=3,1,IF($Q37=4,1,0)),IF($F37&lt;=85,1,0))</formula>
    </cfRule>
  </conditionalFormatting>
  <conditionalFormatting sqref="AI37">
    <cfRule type="expression" dxfId="2449" priority="353">
      <formula>AND(IF(OR($Q37=1,$Q37=2),1,0),IF($X37&lt;=20,1,0))</formula>
    </cfRule>
    <cfRule type="expression" dxfId="2448" priority="354">
      <formula>AND(IF($Q37=2,1,0),IF($X37&lt;30,1,0))</formula>
    </cfRule>
    <cfRule type="expression" dxfId="2447" priority="355">
      <formula>AND(IF($Q37=3,1,0),IF($X37&lt;30,1,0))</formula>
    </cfRule>
    <cfRule type="expression" dxfId="2446" priority="356">
      <formula>AND(IF($Q37=3,1,IF($Q37=4,1,0)),IF($F37&lt;=85,1,0))</formula>
    </cfRule>
  </conditionalFormatting>
  <conditionalFormatting sqref="AV38">
    <cfRule type="expression" dxfId="2445" priority="351">
      <formula>AV38="X"</formula>
    </cfRule>
    <cfRule type="expression" dxfId="2444" priority="352">
      <formula>AV38="후보"</formula>
    </cfRule>
  </conditionalFormatting>
  <conditionalFormatting sqref="Z38">
    <cfRule type="colorScale" priority="3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2443" priority="348" operator="greaterThan">
      <formula>0.9</formula>
    </cfRule>
    <cfRule type="cellIs" dxfId="2442" priority="349" operator="greaterThan">
      <formula>0.85</formula>
    </cfRule>
  </conditionalFormatting>
  <conditionalFormatting sqref="N38">
    <cfRule type="cellIs" dxfId="2441" priority="346" operator="greaterThan">
      <formula>0.9</formula>
    </cfRule>
    <cfRule type="cellIs" dxfId="2440" priority="347" operator="greaterThan">
      <formula>0.85</formula>
    </cfRule>
  </conditionalFormatting>
  <conditionalFormatting sqref="E38">
    <cfRule type="expression" dxfId="2439" priority="342">
      <formula>AND(IF(OR($Q38=1,$Q38=2),1,0),IF($X38&lt;=20,1,0))</formula>
    </cfRule>
    <cfRule type="expression" dxfId="2438" priority="343">
      <formula>AND(IF($Q38=2,1,0),IF($X38&lt;30,1,0))</formula>
    </cfRule>
    <cfRule type="expression" dxfId="2437" priority="344">
      <formula>AND(IF($Q38=3,1,0),IF($X38&lt;30,1,0))</formula>
    </cfRule>
    <cfRule type="expression" dxfId="2436" priority="345">
      <formula>AND(IF($Q38=3,1,IF($Q38=4,1,0)),IF($F38&lt;=85,1,0))</formula>
    </cfRule>
  </conditionalFormatting>
  <conditionalFormatting sqref="X38">
    <cfRule type="expression" dxfId="2435" priority="338">
      <formula>AND(IF(OR($Q38=1,$Q38=2),1,0),IF($X38&lt;=20,1,0))</formula>
    </cfRule>
    <cfRule type="expression" dxfId="2434" priority="339">
      <formula>AND(IF($Q38=2,1,0),IF($X38&lt;30,1,0))</formula>
    </cfRule>
    <cfRule type="expression" dxfId="2433" priority="340">
      <formula>AND(IF($Q38=3,1,0),IF($X38&lt;30,1,0))</formula>
    </cfRule>
    <cfRule type="expression" dxfId="2432" priority="341">
      <formula>AND(IF($Q38=3,1,IF($Q38=4,1,0)),IF($F38&lt;=85,1,0))</formula>
    </cfRule>
  </conditionalFormatting>
  <conditionalFormatting sqref="AI38">
    <cfRule type="expression" dxfId="2431" priority="334">
      <formula>AND(IF(OR($Q38=1,$Q38=2),1,0),IF($X38&lt;=20,1,0))</formula>
    </cfRule>
    <cfRule type="expression" dxfId="2430" priority="335">
      <formula>AND(IF($Q38=2,1,0),IF($X38&lt;30,1,0))</formula>
    </cfRule>
    <cfRule type="expression" dxfId="2429" priority="336">
      <formula>AND(IF($Q38=3,1,0),IF($X38&lt;30,1,0))</formula>
    </cfRule>
    <cfRule type="expression" dxfId="2428" priority="337">
      <formula>AND(IF($Q38=3,1,IF($Q38=4,1,0)),IF($F38&lt;=85,1,0))</formula>
    </cfRule>
  </conditionalFormatting>
  <conditionalFormatting sqref="AV39">
    <cfRule type="expression" dxfId="2427" priority="332">
      <formula>AV39="X"</formula>
    </cfRule>
    <cfRule type="expression" dxfId="2426" priority="333">
      <formula>AV39="후보"</formula>
    </cfRule>
  </conditionalFormatting>
  <conditionalFormatting sqref="Z39">
    <cfRule type="colorScale" priority="3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2425" priority="329" operator="greaterThan">
      <formula>0.9</formula>
    </cfRule>
    <cfRule type="cellIs" dxfId="2424" priority="330" operator="greaterThan">
      <formula>0.85</formula>
    </cfRule>
  </conditionalFormatting>
  <conditionalFormatting sqref="N39">
    <cfRule type="cellIs" dxfId="2423" priority="327" operator="greaterThan">
      <formula>0.9</formula>
    </cfRule>
    <cfRule type="cellIs" dxfId="2422" priority="328" operator="greaterThan">
      <formula>0.85</formula>
    </cfRule>
  </conditionalFormatting>
  <conditionalFormatting sqref="E39">
    <cfRule type="expression" dxfId="2421" priority="323">
      <formula>AND(IF(OR($Q39=1,$Q39=2),1,0),IF($X39&lt;=20,1,0))</formula>
    </cfRule>
    <cfRule type="expression" dxfId="2420" priority="324">
      <formula>AND(IF($Q39=2,1,0),IF($X39&lt;30,1,0))</formula>
    </cfRule>
    <cfRule type="expression" dxfId="2419" priority="325">
      <formula>AND(IF($Q39=3,1,0),IF($X39&lt;30,1,0))</formula>
    </cfRule>
    <cfRule type="expression" dxfId="2418" priority="326">
      <formula>AND(IF($Q39=3,1,IF($Q39=4,1,0)),IF($F39&lt;=85,1,0))</formula>
    </cfRule>
  </conditionalFormatting>
  <conditionalFormatting sqref="X39">
    <cfRule type="expression" dxfId="2417" priority="319">
      <formula>AND(IF(OR($Q39=1,$Q39=2),1,0),IF($X39&lt;=20,1,0))</formula>
    </cfRule>
    <cfRule type="expression" dxfId="2416" priority="320">
      <formula>AND(IF($Q39=2,1,0),IF($X39&lt;30,1,0))</formula>
    </cfRule>
    <cfRule type="expression" dxfId="2415" priority="321">
      <formula>AND(IF($Q39=3,1,0),IF($X39&lt;30,1,0))</formula>
    </cfRule>
    <cfRule type="expression" dxfId="2414" priority="322">
      <formula>AND(IF($Q39=3,1,IF($Q39=4,1,0)),IF($F39&lt;=85,1,0))</formula>
    </cfRule>
  </conditionalFormatting>
  <conditionalFormatting sqref="AI39">
    <cfRule type="expression" dxfId="2413" priority="315">
      <formula>AND(IF(OR($Q39=1,$Q39=2),1,0),IF($X39&lt;=20,1,0))</formula>
    </cfRule>
    <cfRule type="expression" dxfId="2412" priority="316">
      <formula>AND(IF($Q39=2,1,0),IF($X39&lt;30,1,0))</formula>
    </cfRule>
    <cfRule type="expression" dxfId="2411" priority="317">
      <formula>AND(IF($Q39=3,1,0),IF($X39&lt;30,1,0))</formula>
    </cfRule>
    <cfRule type="expression" dxfId="2410" priority="318">
      <formula>AND(IF($Q39=3,1,IF($Q39=4,1,0)),IF($F39&lt;=85,1,0))</formula>
    </cfRule>
  </conditionalFormatting>
  <conditionalFormatting sqref="AV40">
    <cfRule type="expression" dxfId="2409" priority="313">
      <formula>AV40="X"</formula>
    </cfRule>
    <cfRule type="expression" dxfId="2408" priority="314">
      <formula>AV40="후보"</formula>
    </cfRule>
  </conditionalFormatting>
  <conditionalFormatting sqref="Z40">
    <cfRule type="colorScale" priority="3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2407" priority="310" operator="greaterThan">
      <formula>0.9</formula>
    </cfRule>
    <cfRule type="cellIs" dxfId="2406" priority="311" operator="greaterThan">
      <formula>0.85</formula>
    </cfRule>
  </conditionalFormatting>
  <conditionalFormatting sqref="N40">
    <cfRule type="cellIs" dxfId="2405" priority="308" operator="greaterThan">
      <formula>0.9</formula>
    </cfRule>
    <cfRule type="cellIs" dxfId="2404" priority="309" operator="greaterThan">
      <formula>0.85</formula>
    </cfRule>
  </conditionalFormatting>
  <conditionalFormatting sqref="E40">
    <cfRule type="expression" dxfId="2403" priority="304">
      <formula>AND(IF(OR($Q40=1,$Q40=2),1,0),IF($X40&lt;=20,1,0))</formula>
    </cfRule>
    <cfRule type="expression" dxfId="2402" priority="305">
      <formula>AND(IF($Q40=2,1,0),IF($X40&lt;30,1,0))</formula>
    </cfRule>
    <cfRule type="expression" dxfId="2401" priority="306">
      <formula>AND(IF($Q40=3,1,0),IF($X40&lt;30,1,0))</formula>
    </cfRule>
    <cfRule type="expression" dxfId="2400" priority="307">
      <formula>AND(IF($Q40=3,1,IF($Q40=4,1,0)),IF($F40&lt;=85,1,0))</formula>
    </cfRule>
  </conditionalFormatting>
  <conditionalFormatting sqref="X40">
    <cfRule type="expression" dxfId="2399" priority="300">
      <formula>AND(IF(OR($Q40=1,$Q40=2),1,0),IF($X40&lt;=20,1,0))</formula>
    </cfRule>
    <cfRule type="expression" dxfId="2398" priority="301">
      <formula>AND(IF($Q40=2,1,0),IF($X40&lt;30,1,0))</formula>
    </cfRule>
    <cfRule type="expression" dxfId="2397" priority="302">
      <formula>AND(IF($Q40=3,1,0),IF($X40&lt;30,1,0))</formula>
    </cfRule>
    <cfRule type="expression" dxfId="2396" priority="303">
      <formula>AND(IF($Q40=3,1,IF($Q40=4,1,0)),IF($F40&lt;=85,1,0))</formula>
    </cfRule>
  </conditionalFormatting>
  <conditionalFormatting sqref="AI40">
    <cfRule type="expression" dxfId="2395" priority="296">
      <formula>AND(IF(OR($Q40=1,$Q40=2),1,0),IF($X40&lt;=20,1,0))</formula>
    </cfRule>
    <cfRule type="expression" dxfId="2394" priority="297">
      <formula>AND(IF($Q40=2,1,0),IF($X40&lt;30,1,0))</formula>
    </cfRule>
    <cfRule type="expression" dxfId="2393" priority="298">
      <formula>AND(IF($Q40=3,1,0),IF($X40&lt;30,1,0))</formula>
    </cfRule>
    <cfRule type="expression" dxfId="2392" priority="299">
      <formula>AND(IF($Q40=3,1,IF($Q40=4,1,0)),IF($F40&lt;=85,1,0))</formula>
    </cfRule>
  </conditionalFormatting>
  <conditionalFormatting sqref="AV41">
    <cfRule type="expression" dxfId="2391" priority="294">
      <formula>AV41="X"</formula>
    </cfRule>
    <cfRule type="expression" dxfId="2390" priority="295">
      <formula>AV41="후보"</formula>
    </cfRule>
  </conditionalFormatting>
  <conditionalFormatting sqref="Z41">
    <cfRule type="colorScale" priority="2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2389" priority="291" operator="greaterThan">
      <formula>0.9</formula>
    </cfRule>
    <cfRule type="cellIs" dxfId="2388" priority="292" operator="greaterThan">
      <formula>0.85</formula>
    </cfRule>
  </conditionalFormatting>
  <conditionalFormatting sqref="N41">
    <cfRule type="cellIs" dxfId="2387" priority="289" operator="greaterThan">
      <formula>0.9</formula>
    </cfRule>
    <cfRule type="cellIs" dxfId="2386" priority="290" operator="greaterThan">
      <formula>0.85</formula>
    </cfRule>
  </conditionalFormatting>
  <conditionalFormatting sqref="E41">
    <cfRule type="expression" dxfId="2385" priority="285">
      <formula>AND(IF(OR($Q41=1,$Q41=2),1,0),IF($X41&lt;=20,1,0))</formula>
    </cfRule>
    <cfRule type="expression" dxfId="2384" priority="286">
      <formula>AND(IF($Q41=2,1,0),IF($X41&lt;30,1,0))</formula>
    </cfRule>
    <cfRule type="expression" dxfId="2383" priority="287">
      <formula>AND(IF($Q41=3,1,0),IF($X41&lt;30,1,0))</formula>
    </cfRule>
    <cfRule type="expression" dxfId="2382" priority="288">
      <formula>AND(IF($Q41=3,1,IF($Q41=4,1,0)),IF($F41&lt;=85,1,0))</formula>
    </cfRule>
  </conditionalFormatting>
  <conditionalFormatting sqref="X41">
    <cfRule type="expression" dxfId="2381" priority="281">
      <formula>AND(IF(OR($Q41=1,$Q41=2),1,0),IF($X41&lt;=20,1,0))</formula>
    </cfRule>
    <cfRule type="expression" dxfId="2380" priority="282">
      <formula>AND(IF($Q41=2,1,0),IF($X41&lt;30,1,0))</formula>
    </cfRule>
    <cfRule type="expression" dxfId="2379" priority="283">
      <formula>AND(IF($Q41=3,1,0),IF($X41&lt;30,1,0))</formula>
    </cfRule>
    <cfRule type="expression" dxfId="2378" priority="284">
      <formula>AND(IF($Q41=3,1,IF($Q41=4,1,0)),IF($F41&lt;=85,1,0))</formula>
    </cfRule>
  </conditionalFormatting>
  <conditionalFormatting sqref="AI41">
    <cfRule type="expression" dxfId="2377" priority="277">
      <formula>AND(IF(OR($Q41=1,$Q41=2),1,0),IF($X41&lt;=20,1,0))</formula>
    </cfRule>
    <cfRule type="expression" dxfId="2376" priority="278">
      <formula>AND(IF($Q41=2,1,0),IF($X41&lt;30,1,0))</formula>
    </cfRule>
    <cfRule type="expression" dxfId="2375" priority="279">
      <formula>AND(IF($Q41=3,1,0),IF($X41&lt;30,1,0))</formula>
    </cfRule>
    <cfRule type="expression" dxfId="2374" priority="280">
      <formula>AND(IF($Q41=3,1,IF($Q41=4,1,0)),IF($F41&lt;=85,1,0))</formula>
    </cfRule>
  </conditionalFormatting>
  <conditionalFormatting sqref="AV42">
    <cfRule type="expression" dxfId="2373" priority="275">
      <formula>AV42="X"</formula>
    </cfRule>
    <cfRule type="expression" dxfId="2372" priority="276">
      <formula>AV42="후보"</formula>
    </cfRule>
  </conditionalFormatting>
  <conditionalFormatting sqref="Z42">
    <cfRule type="colorScale" priority="2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2371" priority="272" operator="greaterThan">
      <formula>0.9</formula>
    </cfRule>
    <cfRule type="cellIs" dxfId="2370" priority="273" operator="greaterThan">
      <formula>0.85</formula>
    </cfRule>
  </conditionalFormatting>
  <conditionalFormatting sqref="N42">
    <cfRule type="cellIs" dxfId="2369" priority="270" operator="greaterThan">
      <formula>0.9</formula>
    </cfRule>
    <cfRule type="cellIs" dxfId="2368" priority="271" operator="greaterThan">
      <formula>0.85</formula>
    </cfRule>
  </conditionalFormatting>
  <conditionalFormatting sqref="E42">
    <cfRule type="expression" dxfId="2367" priority="266">
      <formula>AND(IF(OR($Q42=1,$Q42=2),1,0),IF($X42&lt;=20,1,0))</formula>
    </cfRule>
    <cfRule type="expression" dxfId="2366" priority="267">
      <formula>AND(IF($Q42=2,1,0),IF($X42&lt;30,1,0))</formula>
    </cfRule>
    <cfRule type="expression" dxfId="2365" priority="268">
      <formula>AND(IF($Q42=3,1,0),IF($X42&lt;30,1,0))</formula>
    </cfRule>
    <cfRule type="expression" dxfId="2364" priority="269">
      <formula>AND(IF($Q42=3,1,IF($Q42=4,1,0)),IF($F42&lt;=85,1,0))</formula>
    </cfRule>
  </conditionalFormatting>
  <conditionalFormatting sqref="X42">
    <cfRule type="expression" dxfId="2363" priority="262">
      <formula>AND(IF(OR($Q42=1,$Q42=2),1,0),IF($X42&lt;=20,1,0))</formula>
    </cfRule>
    <cfRule type="expression" dxfId="2362" priority="263">
      <formula>AND(IF($Q42=2,1,0),IF($X42&lt;30,1,0))</formula>
    </cfRule>
    <cfRule type="expression" dxfId="2361" priority="264">
      <formula>AND(IF($Q42=3,1,0),IF($X42&lt;30,1,0))</formula>
    </cfRule>
    <cfRule type="expression" dxfId="2360" priority="265">
      <formula>AND(IF($Q42=3,1,IF($Q42=4,1,0)),IF($F42&lt;=85,1,0))</formula>
    </cfRule>
  </conditionalFormatting>
  <conditionalFormatting sqref="AI42">
    <cfRule type="expression" dxfId="2359" priority="258">
      <formula>AND(IF(OR($Q42=1,$Q42=2),1,0),IF($X42&lt;=20,1,0))</formula>
    </cfRule>
    <cfRule type="expression" dxfId="2358" priority="259">
      <formula>AND(IF($Q42=2,1,0),IF($X42&lt;30,1,0))</formula>
    </cfRule>
    <cfRule type="expression" dxfId="2357" priority="260">
      <formula>AND(IF($Q42=3,1,0),IF($X42&lt;30,1,0))</formula>
    </cfRule>
    <cfRule type="expression" dxfId="2356" priority="261">
      <formula>AND(IF($Q42=3,1,IF($Q42=4,1,0)),IF($F42&lt;=85,1,0))</formula>
    </cfRule>
  </conditionalFormatting>
  <conditionalFormatting sqref="AV43">
    <cfRule type="expression" dxfId="2355" priority="256">
      <formula>AV43="X"</formula>
    </cfRule>
    <cfRule type="expression" dxfId="2354" priority="257">
      <formula>AV43="후보"</formula>
    </cfRule>
  </conditionalFormatting>
  <conditionalFormatting sqref="Z43">
    <cfRule type="colorScale" priority="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 N43">
    <cfRule type="cellIs" dxfId="2353" priority="253" operator="greaterThan">
      <formula>0.9</formula>
    </cfRule>
    <cfRule type="cellIs" dxfId="2352" priority="254" operator="greaterThan">
      <formula>0.85</formula>
    </cfRule>
  </conditionalFormatting>
  <conditionalFormatting sqref="AV44">
    <cfRule type="expression" dxfId="2351" priority="251">
      <formula>AV44="X"</formula>
    </cfRule>
    <cfRule type="expression" dxfId="2350" priority="252">
      <formula>AV44="후보"</formula>
    </cfRule>
  </conditionalFormatting>
  <conditionalFormatting sqref="Z44">
    <cfRule type="colorScale" priority="2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2349" priority="248" operator="greaterThan">
      <formula>0.9</formula>
    </cfRule>
    <cfRule type="cellIs" dxfId="2348" priority="249" operator="greaterThan">
      <formula>0.85</formula>
    </cfRule>
  </conditionalFormatting>
  <conditionalFormatting sqref="N44">
    <cfRule type="cellIs" dxfId="2347" priority="246" operator="greaterThan">
      <formula>0.9</formula>
    </cfRule>
    <cfRule type="cellIs" dxfId="2346" priority="247" operator="greaterThan">
      <formula>0.85</formula>
    </cfRule>
  </conditionalFormatting>
  <conditionalFormatting sqref="E44">
    <cfRule type="expression" dxfId="2345" priority="242">
      <formula>AND(IF(OR($Q44=1,$Q44=2),1,0),IF($X44&lt;=20,1,0))</formula>
    </cfRule>
    <cfRule type="expression" dxfId="2344" priority="243">
      <formula>AND(IF($Q44=2,1,0),IF($X44&lt;30,1,0))</formula>
    </cfRule>
    <cfRule type="expression" dxfId="2343" priority="244">
      <formula>AND(IF($Q44=3,1,0),IF($X44&lt;30,1,0))</formula>
    </cfRule>
    <cfRule type="expression" dxfId="2342" priority="245">
      <formula>AND(IF($Q44=3,1,IF($Q44=4,1,0)),IF($F44&lt;=85,1,0))</formula>
    </cfRule>
  </conditionalFormatting>
  <conditionalFormatting sqref="X44">
    <cfRule type="expression" dxfId="2341" priority="238">
      <formula>AND(IF(OR($Q44=1,$Q44=2),1,0),IF($X44&lt;=20,1,0))</formula>
    </cfRule>
    <cfRule type="expression" dxfId="2340" priority="239">
      <formula>AND(IF($Q44=2,1,0),IF($X44&lt;30,1,0))</formula>
    </cfRule>
    <cfRule type="expression" dxfId="2339" priority="240">
      <formula>AND(IF($Q44=3,1,0),IF($X44&lt;30,1,0))</formula>
    </cfRule>
    <cfRule type="expression" dxfId="2338" priority="241">
      <formula>AND(IF($Q44=3,1,IF($Q44=4,1,0)),IF($F44&lt;=85,1,0))</formula>
    </cfRule>
  </conditionalFormatting>
  <conditionalFormatting sqref="AI44">
    <cfRule type="expression" dxfId="2337" priority="234">
      <formula>AND(IF(OR($Q44=1,$Q44=2),1,0),IF($X44&lt;=20,1,0))</formula>
    </cfRule>
    <cfRule type="expression" dxfId="2336" priority="235">
      <formula>AND(IF($Q44=2,1,0),IF($X44&lt;30,1,0))</formula>
    </cfRule>
    <cfRule type="expression" dxfId="2335" priority="236">
      <formula>AND(IF($Q44=3,1,0),IF($X44&lt;30,1,0))</formula>
    </cfRule>
    <cfRule type="expression" dxfId="2334" priority="237">
      <formula>AND(IF($Q44=3,1,IF($Q44=4,1,0)),IF($F44&lt;=85,1,0))</formula>
    </cfRule>
  </conditionalFormatting>
  <conditionalFormatting sqref="AV45">
    <cfRule type="expression" dxfId="2333" priority="232">
      <formula>AV45="X"</formula>
    </cfRule>
    <cfRule type="expression" dxfId="2332" priority="233">
      <formula>AV45="후보"</formula>
    </cfRule>
  </conditionalFormatting>
  <conditionalFormatting sqref="Z45">
    <cfRule type="colorScale" priority="2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2331" priority="229" operator="greaterThan">
      <formula>0.9</formula>
    </cfRule>
    <cfRule type="cellIs" dxfId="2330" priority="230" operator="greaterThan">
      <formula>0.85</formula>
    </cfRule>
  </conditionalFormatting>
  <conditionalFormatting sqref="N45">
    <cfRule type="cellIs" dxfId="2329" priority="227" operator="greaterThan">
      <formula>0.9</formula>
    </cfRule>
    <cfRule type="cellIs" dxfId="2328" priority="228" operator="greaterThan">
      <formula>0.85</formula>
    </cfRule>
  </conditionalFormatting>
  <conditionalFormatting sqref="E45">
    <cfRule type="expression" dxfId="2327" priority="223">
      <formula>AND(IF(OR($Q45=1,$Q45=2),1,0),IF($X45&lt;=20,1,0))</formula>
    </cfRule>
    <cfRule type="expression" dxfId="2326" priority="224">
      <formula>AND(IF($Q45=2,1,0),IF($X45&lt;30,1,0))</formula>
    </cfRule>
    <cfRule type="expression" dxfId="2325" priority="225">
      <formula>AND(IF($Q45=3,1,0),IF($X45&lt;30,1,0))</formula>
    </cfRule>
    <cfRule type="expression" dxfId="2324" priority="226">
      <formula>AND(IF($Q45=3,1,IF($Q45=4,1,0)),IF($F45&lt;=85,1,0))</formula>
    </cfRule>
  </conditionalFormatting>
  <conditionalFormatting sqref="X45">
    <cfRule type="expression" dxfId="2323" priority="219">
      <formula>AND(IF(OR($Q45=1,$Q45=2),1,0),IF($X45&lt;=20,1,0))</formula>
    </cfRule>
    <cfRule type="expression" dxfId="2322" priority="220">
      <formula>AND(IF($Q45=2,1,0),IF($X45&lt;30,1,0))</formula>
    </cfRule>
    <cfRule type="expression" dxfId="2321" priority="221">
      <formula>AND(IF($Q45=3,1,0),IF($X45&lt;30,1,0))</formula>
    </cfRule>
    <cfRule type="expression" dxfId="2320" priority="222">
      <formula>AND(IF($Q45=3,1,IF($Q45=4,1,0)),IF($F45&lt;=85,1,0))</formula>
    </cfRule>
  </conditionalFormatting>
  <conditionalFormatting sqref="AI45">
    <cfRule type="expression" dxfId="2319" priority="215">
      <formula>AND(IF(OR($Q45=1,$Q45=2),1,0),IF($X45&lt;=20,1,0))</formula>
    </cfRule>
    <cfRule type="expression" dxfId="2318" priority="216">
      <formula>AND(IF($Q45=2,1,0),IF($X45&lt;30,1,0))</formula>
    </cfRule>
    <cfRule type="expression" dxfId="2317" priority="217">
      <formula>AND(IF($Q45=3,1,0),IF($X45&lt;30,1,0))</formula>
    </cfRule>
    <cfRule type="expression" dxfId="2316" priority="218">
      <formula>AND(IF($Q45=3,1,IF($Q45=4,1,0)),IF($F45&lt;=85,1,0))</formula>
    </cfRule>
  </conditionalFormatting>
  <conditionalFormatting sqref="AV46">
    <cfRule type="expression" dxfId="2315" priority="213">
      <formula>AV46="X"</formula>
    </cfRule>
    <cfRule type="expression" dxfId="2314" priority="214">
      <formula>AV46="후보"</formula>
    </cfRule>
  </conditionalFormatting>
  <conditionalFormatting sqref="Z46">
    <cfRule type="colorScale" priority="2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2313" priority="210" operator="greaterThan">
      <formula>0.9</formula>
    </cfRule>
    <cfRule type="cellIs" dxfId="2312" priority="211" operator="greaterThan">
      <formula>0.85</formula>
    </cfRule>
  </conditionalFormatting>
  <conditionalFormatting sqref="N46">
    <cfRule type="cellIs" dxfId="2311" priority="208" operator="greaterThan">
      <formula>0.9</formula>
    </cfRule>
    <cfRule type="cellIs" dxfId="2310" priority="209" operator="greaterThan">
      <formula>0.85</formula>
    </cfRule>
  </conditionalFormatting>
  <conditionalFormatting sqref="E46">
    <cfRule type="expression" dxfId="2309" priority="204">
      <formula>AND(IF(OR($Q46=1,$Q46=2),1,0),IF($X46&lt;=20,1,0))</formula>
    </cfRule>
    <cfRule type="expression" dxfId="2308" priority="205">
      <formula>AND(IF($Q46=2,1,0),IF($X46&lt;30,1,0))</formula>
    </cfRule>
    <cfRule type="expression" dxfId="2307" priority="206">
      <formula>AND(IF($Q46=3,1,0),IF($X46&lt;30,1,0))</formula>
    </cfRule>
    <cfRule type="expression" dxfId="2306" priority="207">
      <formula>AND(IF($Q46=3,1,IF($Q46=4,1,0)),IF($F46&lt;=85,1,0))</formula>
    </cfRule>
  </conditionalFormatting>
  <conditionalFormatting sqref="X46">
    <cfRule type="expression" dxfId="2305" priority="200">
      <formula>AND(IF(OR($Q46=1,$Q46=2),1,0),IF($X46&lt;=20,1,0))</formula>
    </cfRule>
    <cfRule type="expression" dxfId="2304" priority="201">
      <formula>AND(IF($Q46=2,1,0),IF($X46&lt;30,1,0))</formula>
    </cfRule>
    <cfRule type="expression" dxfId="2303" priority="202">
      <formula>AND(IF($Q46=3,1,0),IF($X46&lt;30,1,0))</formula>
    </cfRule>
    <cfRule type="expression" dxfId="2302" priority="203">
      <formula>AND(IF($Q46=3,1,IF($Q46=4,1,0)),IF($F46&lt;=85,1,0))</formula>
    </cfRule>
  </conditionalFormatting>
  <conditionalFormatting sqref="AI46">
    <cfRule type="expression" dxfId="2301" priority="196">
      <formula>AND(IF(OR($Q46=1,$Q46=2),1,0),IF($X46&lt;=20,1,0))</formula>
    </cfRule>
    <cfRule type="expression" dxfId="2300" priority="197">
      <formula>AND(IF($Q46=2,1,0),IF($X46&lt;30,1,0))</formula>
    </cfRule>
    <cfRule type="expression" dxfId="2299" priority="198">
      <formula>AND(IF($Q46=3,1,0),IF($X46&lt;30,1,0))</formula>
    </cfRule>
    <cfRule type="expression" dxfId="2298" priority="199">
      <formula>AND(IF($Q46=3,1,IF($Q46=4,1,0)),IF($F46&lt;=85,1,0))</formula>
    </cfRule>
  </conditionalFormatting>
  <conditionalFormatting sqref="AV47">
    <cfRule type="expression" dxfId="2297" priority="194">
      <formula>AV47="X"</formula>
    </cfRule>
    <cfRule type="expression" dxfId="2296" priority="195">
      <formula>AV47="후보"</formula>
    </cfRule>
  </conditionalFormatting>
  <conditionalFormatting sqref="Z47">
    <cfRule type="colorScale" priority="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 N47">
    <cfRule type="cellIs" dxfId="2295" priority="191" operator="greaterThan">
      <formula>0.9</formula>
    </cfRule>
    <cfRule type="cellIs" dxfId="2294" priority="192" operator="greaterThan">
      <formula>0.85</formula>
    </cfRule>
  </conditionalFormatting>
  <conditionalFormatting sqref="AV48">
    <cfRule type="expression" dxfId="2293" priority="189">
      <formula>AV48="X"</formula>
    </cfRule>
    <cfRule type="expression" dxfId="2292" priority="190">
      <formula>AV48="후보"</formula>
    </cfRule>
  </conditionalFormatting>
  <conditionalFormatting sqref="Z48">
    <cfRule type="colorScale" priority="1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2291" priority="186" operator="greaterThan">
      <formula>0.9</formula>
    </cfRule>
    <cfRule type="cellIs" dxfId="2290" priority="187" operator="greaterThan">
      <formula>0.85</formula>
    </cfRule>
  </conditionalFormatting>
  <conditionalFormatting sqref="N48">
    <cfRule type="cellIs" dxfId="2289" priority="184" operator="greaterThan">
      <formula>0.9</formula>
    </cfRule>
    <cfRule type="cellIs" dxfId="2288" priority="185" operator="greaterThan">
      <formula>0.85</formula>
    </cfRule>
  </conditionalFormatting>
  <conditionalFormatting sqref="E48">
    <cfRule type="expression" dxfId="2287" priority="180">
      <formula>AND(IF(OR($Q48=1,$Q48=2),1,0),IF($X48&lt;=20,1,0))</formula>
    </cfRule>
    <cfRule type="expression" dxfId="2286" priority="181">
      <formula>AND(IF($Q48=2,1,0),IF($X48&lt;30,1,0))</formula>
    </cfRule>
    <cfRule type="expression" dxfId="2285" priority="182">
      <formula>AND(IF($Q48=3,1,0),IF($X48&lt;30,1,0))</formula>
    </cfRule>
    <cfRule type="expression" dxfId="2284" priority="183">
      <formula>AND(IF($Q48=3,1,IF($Q48=4,1,0)),IF($F48&lt;=85,1,0))</formula>
    </cfRule>
  </conditionalFormatting>
  <conditionalFormatting sqref="X48">
    <cfRule type="expression" dxfId="2283" priority="176">
      <formula>AND(IF(OR($Q48=1,$Q48=2),1,0),IF($X48&lt;=20,1,0))</formula>
    </cfRule>
    <cfRule type="expression" dxfId="2282" priority="177">
      <formula>AND(IF($Q48=2,1,0),IF($X48&lt;30,1,0))</formula>
    </cfRule>
    <cfRule type="expression" dxfId="2281" priority="178">
      <formula>AND(IF($Q48=3,1,0),IF($X48&lt;30,1,0))</formula>
    </cfRule>
    <cfRule type="expression" dxfId="2280" priority="179">
      <formula>AND(IF($Q48=3,1,IF($Q48=4,1,0)),IF($F48&lt;=85,1,0))</formula>
    </cfRule>
  </conditionalFormatting>
  <conditionalFormatting sqref="AI48">
    <cfRule type="expression" dxfId="2279" priority="172">
      <formula>AND(IF(OR($Q48=1,$Q48=2),1,0),IF($X48&lt;=20,1,0))</formula>
    </cfRule>
    <cfRule type="expression" dxfId="2278" priority="173">
      <formula>AND(IF($Q48=2,1,0),IF($X48&lt;30,1,0))</formula>
    </cfRule>
    <cfRule type="expression" dxfId="2277" priority="174">
      <formula>AND(IF($Q48=3,1,0),IF($X48&lt;30,1,0))</formula>
    </cfRule>
    <cfRule type="expression" dxfId="2276" priority="175">
      <formula>AND(IF($Q48=3,1,IF($Q48=4,1,0)),IF($F48&lt;=85,1,0))</formula>
    </cfRule>
  </conditionalFormatting>
  <conditionalFormatting sqref="AV49">
    <cfRule type="expression" dxfId="2275" priority="170">
      <formula>AV49="X"</formula>
    </cfRule>
    <cfRule type="expression" dxfId="2274" priority="171">
      <formula>AV49="후보"</formula>
    </cfRule>
  </conditionalFormatting>
  <conditionalFormatting sqref="Z49">
    <cfRule type="colorScale" priority="1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2273" priority="167" operator="greaterThan">
      <formula>0.9</formula>
    </cfRule>
    <cfRule type="cellIs" dxfId="2272" priority="168" operator="greaterThan">
      <formula>0.85</formula>
    </cfRule>
  </conditionalFormatting>
  <conditionalFormatting sqref="N49">
    <cfRule type="cellIs" dxfId="2271" priority="165" operator="greaterThan">
      <formula>0.9</formula>
    </cfRule>
    <cfRule type="cellIs" dxfId="2270" priority="166" operator="greaterThan">
      <formula>0.85</formula>
    </cfRule>
  </conditionalFormatting>
  <conditionalFormatting sqref="E49">
    <cfRule type="expression" dxfId="2269" priority="161">
      <formula>AND(IF(OR($Q49=1,$Q49=2),1,0),IF($X49&lt;=20,1,0))</formula>
    </cfRule>
    <cfRule type="expression" dxfId="2268" priority="162">
      <formula>AND(IF($Q49=2,1,0),IF($X49&lt;30,1,0))</formula>
    </cfRule>
    <cfRule type="expression" dxfId="2267" priority="163">
      <formula>AND(IF($Q49=3,1,0),IF($X49&lt;30,1,0))</formula>
    </cfRule>
    <cfRule type="expression" dxfId="2266" priority="164">
      <formula>AND(IF($Q49=3,1,IF($Q49=4,1,0)),IF($F49&lt;=85,1,0))</formula>
    </cfRule>
  </conditionalFormatting>
  <conditionalFormatting sqref="X49">
    <cfRule type="expression" dxfId="2265" priority="157">
      <formula>AND(IF(OR($Q49=1,$Q49=2),1,0),IF($X49&lt;=20,1,0))</formula>
    </cfRule>
    <cfRule type="expression" dxfId="2264" priority="158">
      <formula>AND(IF($Q49=2,1,0),IF($X49&lt;30,1,0))</formula>
    </cfRule>
    <cfRule type="expression" dxfId="2263" priority="159">
      <formula>AND(IF($Q49=3,1,0),IF($X49&lt;30,1,0))</formula>
    </cfRule>
    <cfRule type="expression" dxfId="2262" priority="160">
      <formula>AND(IF($Q49=3,1,IF($Q49=4,1,0)),IF($F49&lt;=85,1,0))</formula>
    </cfRule>
  </conditionalFormatting>
  <conditionalFormatting sqref="AI49">
    <cfRule type="expression" dxfId="2261" priority="153">
      <formula>AND(IF(OR($Q49=1,$Q49=2),1,0),IF($X49&lt;=20,1,0))</formula>
    </cfRule>
    <cfRule type="expression" dxfId="2260" priority="154">
      <formula>AND(IF($Q49=2,1,0),IF($X49&lt;30,1,0))</formula>
    </cfRule>
    <cfRule type="expression" dxfId="2259" priority="155">
      <formula>AND(IF($Q49=3,1,0),IF($X49&lt;30,1,0))</formula>
    </cfRule>
    <cfRule type="expression" dxfId="2258" priority="156">
      <formula>AND(IF($Q49=3,1,IF($Q49=4,1,0)),IF($F49&lt;=85,1,0))</formula>
    </cfRule>
  </conditionalFormatting>
  <conditionalFormatting sqref="AV50">
    <cfRule type="expression" dxfId="2257" priority="151">
      <formula>AV50="X"</formula>
    </cfRule>
    <cfRule type="expression" dxfId="2256" priority="152">
      <formula>AV50="후보"</formula>
    </cfRule>
  </conditionalFormatting>
  <conditionalFormatting sqref="Z50">
    <cfRule type="colorScale" priority="1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2255" priority="148" operator="greaterThan">
      <formula>0.9</formula>
    </cfRule>
    <cfRule type="cellIs" dxfId="2254" priority="149" operator="greaterThan">
      <formula>0.85</formula>
    </cfRule>
  </conditionalFormatting>
  <conditionalFormatting sqref="N50">
    <cfRule type="cellIs" dxfId="2253" priority="146" operator="greaterThan">
      <formula>0.9</formula>
    </cfRule>
    <cfRule type="cellIs" dxfId="2252" priority="147" operator="greaterThan">
      <formula>0.85</formula>
    </cfRule>
  </conditionalFormatting>
  <conditionalFormatting sqref="E50">
    <cfRule type="expression" dxfId="2251" priority="142">
      <formula>AND(IF(OR($Q50=1,$Q50=2),1,0),IF($X50&lt;=20,1,0))</formula>
    </cfRule>
    <cfRule type="expression" dxfId="2250" priority="143">
      <formula>AND(IF($Q50=2,1,0),IF($X50&lt;30,1,0))</formula>
    </cfRule>
    <cfRule type="expression" dxfId="2249" priority="144">
      <formula>AND(IF($Q50=3,1,0),IF($X50&lt;30,1,0))</formula>
    </cfRule>
    <cfRule type="expression" dxfId="2248" priority="145">
      <formula>AND(IF($Q50=3,1,IF($Q50=4,1,0)),IF($F50&lt;=85,1,0))</formula>
    </cfRule>
  </conditionalFormatting>
  <conditionalFormatting sqref="X50">
    <cfRule type="expression" dxfId="2247" priority="138">
      <formula>AND(IF(OR($Q50=1,$Q50=2),1,0),IF($X50&lt;=20,1,0))</formula>
    </cfRule>
    <cfRule type="expression" dxfId="2246" priority="139">
      <formula>AND(IF($Q50=2,1,0),IF($X50&lt;30,1,0))</formula>
    </cfRule>
    <cfRule type="expression" dxfId="2245" priority="140">
      <formula>AND(IF($Q50=3,1,0),IF($X50&lt;30,1,0))</formula>
    </cfRule>
    <cfRule type="expression" dxfId="2244" priority="141">
      <formula>AND(IF($Q50=3,1,IF($Q50=4,1,0)),IF($F50&lt;=85,1,0))</formula>
    </cfRule>
  </conditionalFormatting>
  <conditionalFormatting sqref="AI50">
    <cfRule type="expression" dxfId="2243" priority="134">
      <formula>AND(IF(OR($Q50=1,$Q50=2),1,0),IF($X50&lt;=20,1,0))</formula>
    </cfRule>
    <cfRule type="expression" dxfId="2242" priority="135">
      <formula>AND(IF($Q50=2,1,0),IF($X50&lt;30,1,0))</formula>
    </cfRule>
    <cfRule type="expression" dxfId="2241" priority="136">
      <formula>AND(IF($Q50=3,1,0),IF($X50&lt;30,1,0))</formula>
    </cfRule>
    <cfRule type="expression" dxfId="2240" priority="137">
      <formula>AND(IF($Q50=3,1,IF($Q50=4,1,0)),IF($F50&lt;=85,1,0))</formula>
    </cfRule>
  </conditionalFormatting>
  <conditionalFormatting sqref="AV51">
    <cfRule type="expression" dxfId="2239" priority="132">
      <formula>AV51="X"</formula>
    </cfRule>
    <cfRule type="expression" dxfId="2238" priority="133">
      <formula>AV51="후보"</formula>
    </cfRule>
  </conditionalFormatting>
  <conditionalFormatting sqref="Z51">
    <cfRule type="colorScale" priority="1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2237" priority="129" operator="greaterThan">
      <formula>0.9</formula>
    </cfRule>
    <cfRule type="cellIs" dxfId="2236" priority="130" operator="greaterThan">
      <formula>0.85</formula>
    </cfRule>
  </conditionalFormatting>
  <conditionalFormatting sqref="N51">
    <cfRule type="cellIs" dxfId="2235" priority="127" operator="greaterThan">
      <formula>0.9</formula>
    </cfRule>
    <cfRule type="cellIs" dxfId="2234" priority="128" operator="greaterThan">
      <formula>0.85</formula>
    </cfRule>
  </conditionalFormatting>
  <conditionalFormatting sqref="E51">
    <cfRule type="expression" dxfId="2233" priority="123">
      <formula>AND(IF(OR($Q51=1,$Q51=2),1,0),IF($X51&lt;=20,1,0))</formula>
    </cfRule>
    <cfRule type="expression" dxfId="2232" priority="124">
      <formula>AND(IF($Q51=2,1,0),IF($X51&lt;30,1,0))</formula>
    </cfRule>
    <cfRule type="expression" dxfId="2231" priority="125">
      <formula>AND(IF($Q51=3,1,0),IF($X51&lt;30,1,0))</formula>
    </cfRule>
    <cfRule type="expression" dxfId="2230" priority="126">
      <formula>AND(IF($Q51=3,1,IF($Q51=4,1,0)),IF($F51&lt;=85,1,0))</formula>
    </cfRule>
  </conditionalFormatting>
  <conditionalFormatting sqref="X51">
    <cfRule type="expression" dxfId="2229" priority="119">
      <formula>AND(IF(OR($Q51=1,$Q51=2),1,0),IF($X51&lt;=20,1,0))</formula>
    </cfRule>
    <cfRule type="expression" dxfId="2228" priority="120">
      <formula>AND(IF($Q51=2,1,0),IF($X51&lt;30,1,0))</formula>
    </cfRule>
    <cfRule type="expression" dxfId="2227" priority="121">
      <formula>AND(IF($Q51=3,1,0),IF($X51&lt;30,1,0))</formula>
    </cfRule>
    <cfRule type="expression" dxfId="2226" priority="122">
      <formula>AND(IF($Q51=3,1,IF($Q51=4,1,0)),IF($F51&lt;=85,1,0))</formula>
    </cfRule>
  </conditionalFormatting>
  <conditionalFormatting sqref="AI51">
    <cfRule type="expression" dxfId="2225" priority="115">
      <formula>AND(IF(OR($Q51=1,$Q51=2),1,0),IF($X51&lt;=20,1,0))</formula>
    </cfRule>
    <cfRule type="expression" dxfId="2224" priority="116">
      <formula>AND(IF($Q51=2,1,0),IF($X51&lt;30,1,0))</formula>
    </cfRule>
    <cfRule type="expression" dxfId="2223" priority="117">
      <formula>AND(IF($Q51=3,1,0),IF($X51&lt;30,1,0))</formula>
    </cfRule>
    <cfRule type="expression" dxfId="2222" priority="118">
      <formula>AND(IF($Q51=3,1,IF($Q51=4,1,0)),IF($F51&lt;=85,1,0))</formula>
    </cfRule>
  </conditionalFormatting>
  <conditionalFormatting sqref="AV52">
    <cfRule type="expression" dxfId="2221" priority="113">
      <formula>AV52="X"</formula>
    </cfRule>
    <cfRule type="expression" dxfId="2220" priority="114">
      <formula>AV52="후보"</formula>
    </cfRule>
  </conditionalFormatting>
  <conditionalFormatting sqref="Z52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2219" priority="110" operator="greaterThan">
      <formula>0.9</formula>
    </cfRule>
    <cfRule type="cellIs" dxfId="2218" priority="111" operator="greaterThan">
      <formula>0.85</formula>
    </cfRule>
  </conditionalFormatting>
  <conditionalFormatting sqref="N52">
    <cfRule type="cellIs" dxfId="2217" priority="108" operator="greaterThan">
      <formula>0.9</formula>
    </cfRule>
    <cfRule type="cellIs" dxfId="2216" priority="109" operator="greaterThan">
      <formula>0.85</formula>
    </cfRule>
  </conditionalFormatting>
  <conditionalFormatting sqref="E52">
    <cfRule type="expression" dxfId="2215" priority="104">
      <formula>AND(IF(OR($Q52=1,$Q52=2),1,0),IF($X52&lt;=20,1,0))</formula>
    </cfRule>
    <cfRule type="expression" dxfId="2214" priority="105">
      <formula>AND(IF($Q52=2,1,0),IF($X52&lt;30,1,0))</formula>
    </cfRule>
    <cfRule type="expression" dxfId="2213" priority="106">
      <formula>AND(IF($Q52=3,1,0),IF($X52&lt;30,1,0))</formula>
    </cfRule>
    <cfRule type="expression" dxfId="2212" priority="107">
      <formula>AND(IF($Q52=3,1,IF($Q52=4,1,0)),IF($F52&lt;=85,1,0))</formula>
    </cfRule>
  </conditionalFormatting>
  <conditionalFormatting sqref="X52">
    <cfRule type="expression" dxfId="2211" priority="100">
      <formula>AND(IF(OR($Q52=1,$Q52=2),1,0),IF($X52&lt;=20,1,0))</formula>
    </cfRule>
    <cfRule type="expression" dxfId="2210" priority="101">
      <formula>AND(IF($Q52=2,1,0),IF($X52&lt;30,1,0))</formula>
    </cfRule>
    <cfRule type="expression" dxfId="2209" priority="102">
      <formula>AND(IF($Q52=3,1,0),IF($X52&lt;30,1,0))</formula>
    </cfRule>
    <cfRule type="expression" dxfId="2208" priority="103">
      <formula>AND(IF($Q52=3,1,IF($Q52=4,1,0)),IF($F52&lt;=85,1,0))</formula>
    </cfRule>
  </conditionalFormatting>
  <conditionalFormatting sqref="AI52">
    <cfRule type="expression" dxfId="2207" priority="96">
      <formula>AND(IF(OR($Q52=1,$Q52=2),1,0),IF($X52&lt;=20,1,0))</formula>
    </cfRule>
    <cfRule type="expression" dxfId="2206" priority="97">
      <formula>AND(IF($Q52=2,1,0),IF($X52&lt;30,1,0))</formula>
    </cfRule>
    <cfRule type="expression" dxfId="2205" priority="98">
      <formula>AND(IF($Q52=3,1,0),IF($X52&lt;30,1,0))</formula>
    </cfRule>
    <cfRule type="expression" dxfId="2204" priority="99">
      <formula>AND(IF($Q52=3,1,IF($Q52=4,1,0)),IF($F52&lt;=85,1,0))</formula>
    </cfRule>
  </conditionalFormatting>
  <conditionalFormatting sqref="AV53">
    <cfRule type="expression" dxfId="2203" priority="94">
      <formula>AV53="X"</formula>
    </cfRule>
    <cfRule type="expression" dxfId="2202" priority="95">
      <formula>AV53="후보"</formula>
    </cfRule>
  </conditionalFormatting>
  <conditionalFormatting sqref="Z53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2201" priority="91" operator="greaterThan">
      <formula>0.9</formula>
    </cfRule>
    <cfRule type="cellIs" dxfId="2200" priority="92" operator="greaterThan">
      <formula>0.85</formula>
    </cfRule>
  </conditionalFormatting>
  <conditionalFormatting sqref="N53">
    <cfRule type="cellIs" dxfId="2199" priority="89" operator="greaterThan">
      <formula>0.9</formula>
    </cfRule>
    <cfRule type="cellIs" dxfId="2198" priority="90" operator="greaterThan">
      <formula>0.85</formula>
    </cfRule>
  </conditionalFormatting>
  <conditionalFormatting sqref="E53">
    <cfRule type="expression" dxfId="2197" priority="85">
      <formula>AND(IF(OR($Q53=1,$Q53=2),1,0),IF($X53&lt;=20,1,0))</formula>
    </cfRule>
    <cfRule type="expression" dxfId="2196" priority="86">
      <formula>AND(IF($Q53=2,1,0),IF($X53&lt;30,1,0))</formula>
    </cfRule>
    <cfRule type="expression" dxfId="2195" priority="87">
      <formula>AND(IF($Q53=3,1,0),IF($X53&lt;30,1,0))</formula>
    </cfRule>
    <cfRule type="expression" dxfId="2194" priority="88">
      <formula>AND(IF($Q53=3,1,IF($Q53=4,1,0)),IF($F53&lt;=85,1,0))</formula>
    </cfRule>
  </conditionalFormatting>
  <conditionalFormatting sqref="X53">
    <cfRule type="expression" dxfId="2193" priority="81">
      <formula>AND(IF(OR($Q53=1,$Q53=2),1,0),IF($X53&lt;=20,1,0))</formula>
    </cfRule>
    <cfRule type="expression" dxfId="2192" priority="82">
      <formula>AND(IF($Q53=2,1,0),IF($X53&lt;30,1,0))</formula>
    </cfRule>
    <cfRule type="expression" dxfId="2191" priority="83">
      <formula>AND(IF($Q53=3,1,0),IF($X53&lt;30,1,0))</formula>
    </cfRule>
    <cfRule type="expression" dxfId="2190" priority="84">
      <formula>AND(IF($Q53=3,1,IF($Q53=4,1,0)),IF($F53&lt;=85,1,0))</formula>
    </cfRule>
  </conditionalFormatting>
  <conditionalFormatting sqref="AI53">
    <cfRule type="expression" dxfId="2189" priority="77">
      <formula>AND(IF(OR($Q53=1,$Q53=2),1,0),IF($X53&lt;=20,1,0))</formula>
    </cfRule>
    <cfRule type="expression" dxfId="2188" priority="78">
      <formula>AND(IF($Q53=2,1,0),IF($X53&lt;30,1,0))</formula>
    </cfRule>
    <cfRule type="expression" dxfId="2187" priority="79">
      <formula>AND(IF($Q53=3,1,0),IF($X53&lt;30,1,0))</formula>
    </cfRule>
    <cfRule type="expression" dxfId="2186" priority="80">
      <formula>AND(IF($Q53=3,1,IF($Q53=4,1,0)),IF($F53&lt;=85,1,0))</formula>
    </cfRule>
  </conditionalFormatting>
  <conditionalFormatting sqref="AV54">
    <cfRule type="expression" dxfId="2185" priority="75">
      <formula>AV54="X"</formula>
    </cfRule>
    <cfRule type="expression" dxfId="2184" priority="76">
      <formula>AV54="후보"</formula>
    </cfRule>
  </conditionalFormatting>
  <conditionalFormatting sqref="Z54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2183" priority="72" operator="greaterThan">
      <formula>0.9</formula>
    </cfRule>
    <cfRule type="cellIs" dxfId="2182" priority="73" operator="greaterThan">
      <formula>0.85</formula>
    </cfRule>
  </conditionalFormatting>
  <conditionalFormatting sqref="N54">
    <cfRule type="cellIs" dxfId="2181" priority="70" operator="greaterThan">
      <formula>0.9</formula>
    </cfRule>
    <cfRule type="cellIs" dxfId="2180" priority="71" operator="greaterThan">
      <formula>0.85</formula>
    </cfRule>
  </conditionalFormatting>
  <conditionalFormatting sqref="E54">
    <cfRule type="expression" dxfId="2179" priority="66">
      <formula>AND(IF(OR($Q54=1,$Q54=2),1,0),IF($X54&lt;=20,1,0))</formula>
    </cfRule>
    <cfRule type="expression" dxfId="2178" priority="67">
      <formula>AND(IF($Q54=2,1,0),IF($X54&lt;30,1,0))</formula>
    </cfRule>
    <cfRule type="expression" dxfId="2177" priority="68">
      <formula>AND(IF($Q54=3,1,0),IF($X54&lt;30,1,0))</formula>
    </cfRule>
    <cfRule type="expression" dxfId="2176" priority="69">
      <formula>AND(IF($Q54=3,1,IF($Q54=4,1,0)),IF($F54&lt;=85,1,0))</formula>
    </cfRule>
  </conditionalFormatting>
  <conditionalFormatting sqref="X54">
    <cfRule type="expression" dxfId="2175" priority="62">
      <formula>AND(IF(OR($Q54=1,$Q54=2),1,0),IF($X54&lt;=20,1,0))</formula>
    </cfRule>
    <cfRule type="expression" dxfId="2174" priority="63">
      <formula>AND(IF($Q54=2,1,0),IF($X54&lt;30,1,0))</formula>
    </cfRule>
    <cfRule type="expression" dxfId="2173" priority="64">
      <formula>AND(IF($Q54=3,1,0),IF($X54&lt;30,1,0))</formula>
    </cfRule>
    <cfRule type="expression" dxfId="2172" priority="65">
      <formula>AND(IF($Q54=3,1,IF($Q54=4,1,0)),IF($F54&lt;=85,1,0))</formula>
    </cfRule>
  </conditionalFormatting>
  <conditionalFormatting sqref="AI54">
    <cfRule type="expression" dxfId="2171" priority="58">
      <formula>AND(IF(OR($Q54=1,$Q54=2),1,0),IF($X54&lt;=20,1,0))</formula>
    </cfRule>
    <cfRule type="expression" dxfId="2170" priority="59">
      <formula>AND(IF($Q54=2,1,0),IF($X54&lt;30,1,0))</formula>
    </cfRule>
    <cfRule type="expression" dxfId="2169" priority="60">
      <formula>AND(IF($Q54=3,1,0),IF($X54&lt;30,1,0))</formula>
    </cfRule>
    <cfRule type="expression" dxfId="2168" priority="61">
      <formula>AND(IF($Q54=3,1,IF($Q54=4,1,0)),IF($F54&lt;=85,1,0))</formula>
    </cfRule>
  </conditionalFormatting>
  <conditionalFormatting sqref="AV55">
    <cfRule type="expression" dxfId="2167" priority="56">
      <formula>AV55="X"</formula>
    </cfRule>
    <cfRule type="expression" dxfId="2166" priority="57">
      <formula>AV55="후보"</formula>
    </cfRule>
  </conditionalFormatting>
  <conditionalFormatting sqref="Z55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2165" priority="53" operator="greaterThan">
      <formula>0.9</formula>
    </cfRule>
    <cfRule type="cellIs" dxfId="2164" priority="54" operator="greaterThan">
      <formula>0.85</formula>
    </cfRule>
  </conditionalFormatting>
  <conditionalFormatting sqref="N55">
    <cfRule type="cellIs" dxfId="2163" priority="51" operator="greaterThan">
      <formula>0.9</formula>
    </cfRule>
    <cfRule type="cellIs" dxfId="2162" priority="52" operator="greaterThan">
      <formula>0.85</formula>
    </cfRule>
  </conditionalFormatting>
  <conditionalFormatting sqref="E55">
    <cfRule type="expression" dxfId="2161" priority="47">
      <formula>AND(IF(OR($Q55=1,$Q55=2),1,0),IF($X55&lt;=20,1,0))</formula>
    </cfRule>
    <cfRule type="expression" dxfId="2160" priority="48">
      <formula>AND(IF($Q55=2,1,0),IF($X55&lt;30,1,0))</formula>
    </cfRule>
    <cfRule type="expression" dxfId="2159" priority="49">
      <formula>AND(IF($Q55=3,1,0),IF($X55&lt;30,1,0))</formula>
    </cfRule>
    <cfRule type="expression" dxfId="2158" priority="50">
      <formula>AND(IF($Q55=3,1,IF($Q55=4,1,0)),IF($F55&lt;=85,1,0))</formula>
    </cfRule>
  </conditionalFormatting>
  <conditionalFormatting sqref="X55">
    <cfRule type="expression" dxfId="2157" priority="43">
      <formula>AND(IF(OR($Q55=1,$Q55=2),1,0),IF($X55&lt;=20,1,0))</formula>
    </cfRule>
    <cfRule type="expression" dxfId="2156" priority="44">
      <formula>AND(IF($Q55=2,1,0),IF($X55&lt;30,1,0))</formula>
    </cfRule>
    <cfRule type="expression" dxfId="2155" priority="45">
      <formula>AND(IF($Q55=3,1,0),IF($X55&lt;30,1,0))</formula>
    </cfRule>
    <cfRule type="expression" dxfId="2154" priority="46">
      <formula>AND(IF($Q55=3,1,IF($Q55=4,1,0)),IF($F55&lt;=85,1,0))</formula>
    </cfRule>
  </conditionalFormatting>
  <conditionalFormatting sqref="AI55">
    <cfRule type="expression" dxfId="2153" priority="39">
      <formula>AND(IF(OR($Q55=1,$Q55=2),1,0),IF($X55&lt;=20,1,0))</formula>
    </cfRule>
    <cfRule type="expression" dxfId="2152" priority="40">
      <formula>AND(IF($Q55=2,1,0),IF($X55&lt;30,1,0))</formula>
    </cfRule>
    <cfRule type="expression" dxfId="2151" priority="41">
      <formula>AND(IF($Q55=3,1,0),IF($X55&lt;30,1,0))</formula>
    </cfRule>
    <cfRule type="expression" dxfId="2150" priority="42">
      <formula>AND(IF($Q55=3,1,IF($Q55=4,1,0)),IF($F55&lt;=85,1,0))</formula>
    </cfRule>
  </conditionalFormatting>
  <conditionalFormatting sqref="AV56">
    <cfRule type="expression" dxfId="2149" priority="37">
      <formula>AV56="X"</formula>
    </cfRule>
    <cfRule type="expression" dxfId="2148" priority="38">
      <formula>AV56="후보"</formula>
    </cfRule>
  </conditionalFormatting>
  <conditionalFormatting sqref="Z56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2147" priority="34" operator="greaterThan">
      <formula>0.9</formula>
    </cfRule>
    <cfRule type="cellIs" dxfId="2146" priority="35" operator="greaterThan">
      <formula>0.85</formula>
    </cfRule>
  </conditionalFormatting>
  <conditionalFormatting sqref="N56">
    <cfRule type="cellIs" dxfId="2145" priority="32" operator="greaterThan">
      <formula>0.9</formula>
    </cfRule>
    <cfRule type="cellIs" dxfId="2144" priority="33" operator="greaterThan">
      <formula>0.85</formula>
    </cfRule>
  </conditionalFormatting>
  <conditionalFormatting sqref="E56">
    <cfRule type="expression" dxfId="2143" priority="28">
      <formula>AND(IF(OR($Q56=1,$Q56=2),1,0),IF($X56&lt;=20,1,0))</formula>
    </cfRule>
    <cfRule type="expression" dxfId="2142" priority="29">
      <formula>AND(IF($Q56=2,1,0),IF($X56&lt;30,1,0))</formula>
    </cfRule>
    <cfRule type="expression" dxfId="2141" priority="30">
      <formula>AND(IF($Q56=3,1,0),IF($X56&lt;30,1,0))</formula>
    </cfRule>
    <cfRule type="expression" dxfId="2140" priority="31">
      <formula>AND(IF($Q56=3,1,IF($Q56=4,1,0)),IF($F56&lt;=85,1,0))</formula>
    </cfRule>
  </conditionalFormatting>
  <conditionalFormatting sqref="X56">
    <cfRule type="expression" dxfId="2139" priority="24">
      <formula>AND(IF(OR($Q56=1,$Q56=2),1,0),IF($X56&lt;=20,1,0))</formula>
    </cfRule>
    <cfRule type="expression" dxfId="2138" priority="25">
      <formula>AND(IF($Q56=2,1,0),IF($X56&lt;30,1,0))</formula>
    </cfRule>
    <cfRule type="expression" dxfId="2137" priority="26">
      <formula>AND(IF($Q56=3,1,0),IF($X56&lt;30,1,0))</formula>
    </cfRule>
    <cfRule type="expression" dxfId="2136" priority="27">
      <formula>AND(IF($Q56=3,1,IF($Q56=4,1,0)),IF($F56&lt;=85,1,0))</formula>
    </cfRule>
  </conditionalFormatting>
  <conditionalFormatting sqref="AI56">
    <cfRule type="expression" dxfId="2135" priority="20">
      <formula>AND(IF(OR($Q56=1,$Q56=2),1,0),IF($X56&lt;=20,1,0))</formula>
    </cfRule>
    <cfRule type="expression" dxfId="2134" priority="21">
      <formula>AND(IF($Q56=2,1,0),IF($X56&lt;30,1,0))</formula>
    </cfRule>
    <cfRule type="expression" dxfId="2133" priority="22">
      <formula>AND(IF($Q56=3,1,0),IF($X56&lt;30,1,0))</formula>
    </cfRule>
    <cfRule type="expression" dxfId="2132" priority="23">
      <formula>AND(IF($Q56=3,1,IF($Q56=4,1,0)),IF($F56&lt;=85,1,0))</formula>
    </cfRule>
  </conditionalFormatting>
  <conditionalFormatting sqref="AV57">
    <cfRule type="expression" dxfId="2131" priority="18">
      <formula>AV57="X"</formula>
    </cfRule>
    <cfRule type="expression" dxfId="2130" priority="19">
      <formula>AV57="후보"</formula>
    </cfRule>
  </conditionalFormatting>
  <conditionalFormatting sqref="Z57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2129" priority="15" operator="greaterThan">
      <formula>0.9</formula>
    </cfRule>
    <cfRule type="cellIs" dxfId="2128" priority="16" operator="greaterThan">
      <formula>0.85</formula>
    </cfRule>
  </conditionalFormatting>
  <conditionalFormatting sqref="N57">
    <cfRule type="cellIs" dxfId="2127" priority="13" operator="greaterThan">
      <formula>0.9</formula>
    </cfRule>
    <cfRule type="cellIs" dxfId="2126" priority="14" operator="greaterThan">
      <formula>0.85</formula>
    </cfRule>
  </conditionalFormatting>
  <conditionalFormatting sqref="E57">
    <cfRule type="expression" dxfId="2125" priority="9">
      <formula>AND(IF(OR($Q57=1,$Q57=2),1,0),IF($X57&lt;=20,1,0))</formula>
    </cfRule>
    <cfRule type="expression" dxfId="2124" priority="10">
      <formula>AND(IF($Q57=2,1,0),IF($X57&lt;30,1,0))</formula>
    </cfRule>
    <cfRule type="expression" dxfId="2123" priority="11">
      <formula>AND(IF($Q57=3,1,0),IF($X57&lt;30,1,0))</formula>
    </cfRule>
    <cfRule type="expression" dxfId="2122" priority="12">
      <formula>AND(IF($Q57=3,1,IF($Q57=4,1,0)),IF($F57&lt;=85,1,0))</formula>
    </cfRule>
  </conditionalFormatting>
  <conditionalFormatting sqref="X57">
    <cfRule type="expression" dxfId="2121" priority="5">
      <formula>AND(IF(OR($Q57=1,$Q57=2),1,0),IF($X57&lt;=20,1,0))</formula>
    </cfRule>
    <cfRule type="expression" dxfId="2120" priority="6">
      <formula>AND(IF($Q57=2,1,0),IF($X57&lt;30,1,0))</formula>
    </cfRule>
    <cfRule type="expression" dxfId="2119" priority="7">
      <formula>AND(IF($Q57=3,1,0),IF($X57&lt;30,1,0))</formula>
    </cfRule>
    <cfRule type="expression" dxfId="2118" priority="8">
      <formula>AND(IF($Q57=3,1,IF($Q57=4,1,0)),IF($F57&lt;=85,1,0))</formula>
    </cfRule>
  </conditionalFormatting>
  <conditionalFormatting sqref="AI57">
    <cfRule type="expression" dxfId="2117" priority="1">
      <formula>AND(IF(OR($Q57=1,$Q57=2),1,0),IF($X57&lt;=20,1,0))</formula>
    </cfRule>
    <cfRule type="expression" dxfId="2116" priority="2">
      <formula>AND(IF($Q57=2,1,0),IF($X57&lt;30,1,0))</formula>
    </cfRule>
    <cfRule type="expression" dxfId="2115" priority="3">
      <formula>AND(IF($Q57=3,1,0),IF($X57&lt;30,1,0))</formula>
    </cfRule>
    <cfRule type="expression" dxfId="2114" priority="4">
      <formula>AND(IF($Q57=3,1,IF($Q57=4,1,0)),IF($F57&lt;=85,1,0))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8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1" sqref="A81:XFD81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인계동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1230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인계동 수원센트럴아이파크자이('23.07.,3432^)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1231</v>
      </c>
      <c r="B6" s="16" t="s">
        <v>1232</v>
      </c>
      <c r="C6" s="28">
        <v>3432</v>
      </c>
      <c r="D6" s="25">
        <v>58</v>
      </c>
      <c r="E6" s="106">
        <v>18</v>
      </c>
      <c r="F6" s="25">
        <v>39.799999999999997</v>
      </c>
      <c r="G6" s="27">
        <v>12</v>
      </c>
      <c r="H6" s="28">
        <v>343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1</v>
      </c>
      <c r="R6" s="15">
        <v>1</v>
      </c>
      <c r="S6" s="113" t="s">
        <v>64</v>
      </c>
      <c r="T6" s="8">
        <v>58</v>
      </c>
      <c r="U6" s="13"/>
      <c r="W6" s="25">
        <f>D6</f>
        <v>58</v>
      </c>
      <c r="X6" s="106">
        <f>E6</f>
        <v>18</v>
      </c>
      <c r="Y6" s="32">
        <f>H6</f>
        <v>343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1/1</v>
      </c>
      <c r="AH6" s="36" t="str">
        <f>IF(A6="","",A6)</f>
        <v>수원센트럴아이파크자이</v>
      </c>
      <c r="AI6" s="106">
        <f>IF(E6="","",E6)</f>
        <v>18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1233</v>
      </c>
      <c r="B7" s="16" t="s">
        <v>1234</v>
      </c>
      <c r="C7" s="28">
        <v>3432</v>
      </c>
      <c r="D7" s="25">
        <v>84.9</v>
      </c>
      <c r="E7" s="106">
        <v>26</v>
      </c>
      <c r="F7" s="25">
        <v>60</v>
      </c>
      <c r="G7" s="27">
        <v>18</v>
      </c>
      <c r="H7" s="28">
        <v>682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1235</v>
      </c>
      <c r="T7" s="8" t="s">
        <v>552</v>
      </c>
      <c r="U7" s="13"/>
      <c r="W7" s="25">
        <f>D7</f>
        <v>84.9</v>
      </c>
      <c r="X7" s="106">
        <f>E7</f>
        <v>26</v>
      </c>
      <c r="Y7" s="32">
        <f>H7</f>
        <v>682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수원센트럴아이파크자이</v>
      </c>
      <c r="AI7" s="106">
        <f>IF(E7="","",E7)</f>
        <v>26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1233</v>
      </c>
      <c r="B8" s="16" t="s">
        <v>1234</v>
      </c>
      <c r="C8" s="28">
        <v>3432</v>
      </c>
      <c r="D8" s="25">
        <v>84.1</v>
      </c>
      <c r="E8" s="106">
        <v>25</v>
      </c>
      <c r="F8" s="25">
        <v>60</v>
      </c>
      <c r="G8" s="27">
        <v>18</v>
      </c>
      <c r="H8" s="28">
        <v>460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1235</v>
      </c>
      <c r="T8" s="8" t="s">
        <v>610</v>
      </c>
      <c r="U8" s="13"/>
      <c r="W8" s="25">
        <f>D8</f>
        <v>84.1</v>
      </c>
      <c r="X8" s="106">
        <f>E8</f>
        <v>25</v>
      </c>
      <c r="Y8" s="32">
        <f>H8</f>
        <v>460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수원센트럴아이파크자이</v>
      </c>
      <c r="AI8" s="106">
        <f>IF(E8="","",E8)</f>
        <v>25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1236</v>
      </c>
      <c r="B9" s="16" t="s">
        <v>1237</v>
      </c>
      <c r="C9" s="28">
        <v>3432</v>
      </c>
      <c r="D9" s="25">
        <v>100.7</v>
      </c>
      <c r="E9" s="106">
        <v>30</v>
      </c>
      <c r="F9" s="25">
        <v>74</v>
      </c>
      <c r="G9" s="27">
        <v>22</v>
      </c>
      <c r="H9" s="28">
        <v>731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1238</v>
      </c>
      <c r="T9" s="8" t="s">
        <v>109</v>
      </c>
      <c r="U9" s="13"/>
      <c r="W9" s="25">
        <f>D9</f>
        <v>100.7</v>
      </c>
      <c r="X9" s="106">
        <f>E9</f>
        <v>30</v>
      </c>
      <c r="Y9" s="32">
        <f>H9</f>
        <v>731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수원센트럴아이파크자이</v>
      </c>
      <c r="AI9" s="106">
        <f>IF(E9="","",E9)</f>
        <v>30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1236</v>
      </c>
      <c r="B10" s="16" t="s">
        <v>1237</v>
      </c>
      <c r="C10" s="28">
        <v>3432</v>
      </c>
      <c r="D10" s="25">
        <v>100.6</v>
      </c>
      <c r="E10" s="106">
        <v>30</v>
      </c>
      <c r="F10" s="25">
        <v>73.900000000000006</v>
      </c>
      <c r="G10" s="27">
        <v>22</v>
      </c>
      <c r="H10" s="28">
        <v>289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1238</v>
      </c>
      <c r="T10" s="8" t="s">
        <v>380</v>
      </c>
      <c r="U10" s="13"/>
      <c r="W10" s="25">
        <f>D10</f>
        <v>100.6</v>
      </c>
      <c r="X10" s="106">
        <f>E10</f>
        <v>30</v>
      </c>
      <c r="Y10" s="32">
        <f>H10</f>
        <v>289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수원센트럴아이파크자이</v>
      </c>
      <c r="AI10" s="106">
        <f>IF(E10="","",E10)</f>
        <v>30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1236</v>
      </c>
      <c r="B11" s="16" t="s">
        <v>1237</v>
      </c>
      <c r="C11" s="28">
        <v>3432</v>
      </c>
      <c r="D11" s="25">
        <v>112.1</v>
      </c>
      <c r="E11" s="106">
        <v>34</v>
      </c>
      <c r="F11" s="25">
        <v>85</v>
      </c>
      <c r="G11" s="27">
        <v>26</v>
      </c>
      <c r="H11" s="28">
        <v>501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1238</v>
      </c>
      <c r="T11" s="8" t="s">
        <v>611</v>
      </c>
      <c r="U11" s="13"/>
      <c r="W11" s="25">
        <f>D11</f>
        <v>112.1</v>
      </c>
      <c r="X11" s="106">
        <f>E11</f>
        <v>34</v>
      </c>
      <c r="Y11" s="32">
        <f>H11</f>
        <v>501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수원센트럴아이파크자이</v>
      </c>
      <c r="AI11" s="106">
        <f>IF(E11="","",E11)</f>
        <v>34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1236</v>
      </c>
      <c r="B12" s="16" t="s">
        <v>1237</v>
      </c>
      <c r="C12" s="28">
        <v>3432</v>
      </c>
      <c r="D12" s="25">
        <v>112.4</v>
      </c>
      <c r="E12" s="106">
        <v>34</v>
      </c>
      <c r="F12" s="25">
        <v>85</v>
      </c>
      <c r="G12" s="27">
        <v>26</v>
      </c>
      <c r="H12" s="28">
        <v>98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3" t="s">
        <v>1238</v>
      </c>
      <c r="T12" s="8" t="s">
        <v>452</v>
      </c>
      <c r="U12" s="13"/>
      <c r="W12" s="25">
        <f>D12</f>
        <v>112.4</v>
      </c>
      <c r="X12" s="106">
        <f>E12</f>
        <v>34</v>
      </c>
      <c r="Y12" s="32">
        <f>H12</f>
        <v>98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3/2</v>
      </c>
      <c r="AH12" s="36" t="str">
        <f>IF(A12="","",A12)</f>
        <v>수원센트럴아이파크자이</v>
      </c>
      <c r="AI12" s="106">
        <f>IF(E12="","",E12)</f>
        <v>34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1236</v>
      </c>
      <c r="B13" s="16" t="s">
        <v>1237</v>
      </c>
      <c r="C13" s="28">
        <v>3432</v>
      </c>
      <c r="D13" s="25">
        <v>131.19999999999999</v>
      </c>
      <c r="E13" s="106">
        <v>40</v>
      </c>
      <c r="F13" s="25">
        <v>103.3</v>
      </c>
      <c r="G13" s="27">
        <v>31</v>
      </c>
      <c r="H13" s="28">
        <v>87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1238</v>
      </c>
      <c r="T13" s="8">
        <v>131</v>
      </c>
      <c r="U13" s="13"/>
      <c r="W13" s="25">
        <f>D13</f>
        <v>131.19999999999999</v>
      </c>
      <c r="X13" s="106">
        <f>E13</f>
        <v>40</v>
      </c>
      <c r="Y13" s="32">
        <f>H13</f>
        <v>87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수원센트럴아이파크자이</v>
      </c>
      <c r="AI13" s="106">
        <f>IF(E13="","",E13)</f>
        <v>40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X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9"/>
      <c r="B14" s="113"/>
      <c r="C14" s="10"/>
      <c r="D14" s="13"/>
      <c r="E14" s="20"/>
      <c r="F14" s="26"/>
      <c r="G14" s="13"/>
      <c r="H14" s="13"/>
      <c r="I14" s="13"/>
      <c r="J14" s="13"/>
      <c r="K14" s="13"/>
      <c r="L14" s="13"/>
      <c r="M14" s="13"/>
      <c r="N14" s="13"/>
      <c r="O14" s="29"/>
      <c r="P14" s="29"/>
      <c r="Q14" s="23"/>
      <c r="R14" s="23"/>
      <c r="S14" s="13"/>
      <c r="T14" s="70"/>
      <c r="U14" s="13"/>
      <c r="W14" s="107" t="str">
        <f>$A$4&amp;" "&amp;A15&amp;"("&amp;B15&amp;","&amp;C15&amp;"^)"</f>
        <v>인계동 래미안노블클래스1단지('09.08.,892^)</v>
      </c>
      <c r="X14" s="108"/>
      <c r="Y14" s="108"/>
      <c r="Z14" s="108"/>
      <c r="AA14" s="108"/>
      <c r="AB14" s="108"/>
      <c r="AC14" s="108"/>
      <c r="AD14" s="108"/>
      <c r="AE14" s="108"/>
      <c r="AF14" s="109"/>
      <c r="AH14" s="36" t="str">
        <f>IF(A14="","",A14)</f>
        <v/>
      </c>
      <c r="AI14" s="37" t="str">
        <f>IF(E14="","",E14)</f>
        <v/>
      </c>
      <c r="AJ14" s="113"/>
      <c r="AK14" s="113"/>
      <c r="AL14" s="113"/>
      <c r="AM14" s="113"/>
      <c r="AN14" s="113"/>
      <c r="AO14" s="113"/>
      <c r="AP14" s="113"/>
      <c r="AQ14" s="113"/>
      <c r="AR14" s="113"/>
      <c r="AS14" s="113"/>
      <c r="AT14" s="113"/>
      <c r="AU14" s="113"/>
      <c r="AV14" s="113"/>
    </row>
    <row r="15" spans="1:48" x14ac:dyDescent="0.3">
      <c r="A15" s="5" t="s">
        <v>1239</v>
      </c>
      <c r="B15" s="16" t="s">
        <v>1240</v>
      </c>
      <c r="C15" s="28">
        <v>892</v>
      </c>
      <c r="D15" s="25">
        <v>85.6</v>
      </c>
      <c r="E15" s="106">
        <v>26</v>
      </c>
      <c r="F15" s="25">
        <v>60</v>
      </c>
      <c r="G15" s="27">
        <v>18</v>
      </c>
      <c r="H15" s="28">
        <v>170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1238</v>
      </c>
      <c r="T15" s="8">
        <v>85</v>
      </c>
      <c r="U15" s="13"/>
      <c r="W15" s="25">
        <f>D15</f>
        <v>85.6</v>
      </c>
      <c r="X15" s="106">
        <f>E15</f>
        <v>26</v>
      </c>
      <c r="Y15" s="32">
        <f>H15</f>
        <v>170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래미안노블클래스1단지</v>
      </c>
      <c r="AI15" s="106">
        <f>IF(E15="","",E15)</f>
        <v>26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1239</v>
      </c>
      <c r="B16" s="16" t="s">
        <v>1240</v>
      </c>
      <c r="C16" s="28">
        <v>892</v>
      </c>
      <c r="D16" s="25">
        <v>113.5</v>
      </c>
      <c r="E16" s="106">
        <v>34</v>
      </c>
      <c r="F16" s="25">
        <v>85</v>
      </c>
      <c r="G16" s="27">
        <v>26</v>
      </c>
      <c r="H16" s="28">
        <v>142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3" t="s">
        <v>1238</v>
      </c>
      <c r="T16" s="8" t="s">
        <v>642</v>
      </c>
      <c r="U16" s="13"/>
      <c r="W16" s="25">
        <f>D16</f>
        <v>113.5</v>
      </c>
      <c r="X16" s="106">
        <f>E16</f>
        <v>34</v>
      </c>
      <c r="Y16" s="32">
        <f>H16</f>
        <v>142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3/2</v>
      </c>
      <c r="AH16" s="36" t="str">
        <f>IF(A16="","",A16)</f>
        <v>래미안노블클래스1단지</v>
      </c>
      <c r="AI16" s="106">
        <f>IF(E16="","",E16)</f>
        <v>34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1239</v>
      </c>
      <c r="B17" s="16" t="s">
        <v>1240</v>
      </c>
      <c r="C17" s="28">
        <v>892</v>
      </c>
      <c r="D17" s="25">
        <v>113.1</v>
      </c>
      <c r="E17" s="106">
        <v>34</v>
      </c>
      <c r="F17" s="25">
        <v>85</v>
      </c>
      <c r="G17" s="27">
        <v>26</v>
      </c>
      <c r="H17" s="28">
        <v>120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1238</v>
      </c>
      <c r="T17" s="8" t="s">
        <v>643</v>
      </c>
      <c r="U17" s="13"/>
      <c r="W17" s="25">
        <f>D17</f>
        <v>113.1</v>
      </c>
      <c r="X17" s="106">
        <f>E17</f>
        <v>34</v>
      </c>
      <c r="Y17" s="32">
        <f>H17</f>
        <v>120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래미안노블클래스1단지</v>
      </c>
      <c r="AI17" s="106">
        <f>IF(E17="","",E17)</f>
        <v>34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1239</v>
      </c>
      <c r="B18" s="16" t="s">
        <v>1240</v>
      </c>
      <c r="C18" s="28">
        <v>892</v>
      </c>
      <c r="D18" s="25">
        <v>114.4</v>
      </c>
      <c r="E18" s="106">
        <v>35</v>
      </c>
      <c r="F18" s="25">
        <v>85</v>
      </c>
      <c r="G18" s="27">
        <v>26</v>
      </c>
      <c r="H18" s="28">
        <v>94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1238</v>
      </c>
      <c r="T18" s="8" t="s">
        <v>112</v>
      </c>
      <c r="U18" s="13"/>
      <c r="W18" s="25">
        <f>D18</f>
        <v>114.4</v>
      </c>
      <c r="X18" s="106">
        <f>E18</f>
        <v>35</v>
      </c>
      <c r="Y18" s="32">
        <f>H18</f>
        <v>94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래미안노블클래스1단지</v>
      </c>
      <c r="AI18" s="106">
        <f>IF(E18="","",E18)</f>
        <v>35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1239</v>
      </c>
      <c r="B19" s="16" t="s">
        <v>1240</v>
      </c>
      <c r="C19" s="28">
        <v>892</v>
      </c>
      <c r="D19" s="25">
        <v>142.1</v>
      </c>
      <c r="E19" s="106">
        <v>43</v>
      </c>
      <c r="F19" s="25">
        <v>111.1</v>
      </c>
      <c r="G19" s="27">
        <v>34</v>
      </c>
      <c r="H19" s="28">
        <v>200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4</v>
      </c>
      <c r="R19" s="15">
        <v>2</v>
      </c>
      <c r="S19" s="113" t="s">
        <v>1238</v>
      </c>
      <c r="T19" s="8">
        <v>142</v>
      </c>
      <c r="U19" s="13"/>
      <c r="W19" s="25">
        <f>D19</f>
        <v>142.1</v>
      </c>
      <c r="X19" s="106">
        <f>E19</f>
        <v>43</v>
      </c>
      <c r="Y19" s="32">
        <f>H19</f>
        <v>200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4/2</v>
      </c>
      <c r="AH19" s="36" t="str">
        <f>IF(A19="","",A19)</f>
        <v>래미안노블클래스1단지</v>
      </c>
      <c r="AI19" s="106">
        <f>IF(E19="","",E19)</f>
        <v>43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X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1239</v>
      </c>
      <c r="B20" s="16" t="s">
        <v>1240</v>
      </c>
      <c r="C20" s="28">
        <v>892</v>
      </c>
      <c r="D20" s="25">
        <v>155.1</v>
      </c>
      <c r="E20" s="106">
        <v>47</v>
      </c>
      <c r="F20" s="25">
        <v>123.4</v>
      </c>
      <c r="G20" s="27">
        <v>37</v>
      </c>
      <c r="H20" s="28">
        <v>160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4</v>
      </c>
      <c r="R20" s="15">
        <v>2</v>
      </c>
      <c r="S20" s="113" t="s">
        <v>1238</v>
      </c>
      <c r="T20" s="8">
        <v>155</v>
      </c>
      <c r="U20" s="13"/>
      <c r="W20" s="25">
        <f>D20</f>
        <v>155.1</v>
      </c>
      <c r="X20" s="106">
        <f>E20</f>
        <v>47</v>
      </c>
      <c r="Y20" s="32">
        <f>H20</f>
        <v>160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4/2</v>
      </c>
      <c r="AH20" s="36" t="str">
        <f>IF(A20="","",A20)</f>
        <v>래미안노블클래스1단지</v>
      </c>
      <c r="AI20" s="106">
        <f>IF(E20="","",E20)</f>
        <v>47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X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9"/>
      <c r="B21" s="113"/>
      <c r="C21" s="10"/>
      <c r="D21" s="13"/>
      <c r="E21" s="20"/>
      <c r="F21" s="26"/>
      <c r="G21" s="13"/>
      <c r="H21" s="13"/>
      <c r="I21" s="13"/>
      <c r="J21" s="13"/>
      <c r="K21" s="13"/>
      <c r="L21" s="13"/>
      <c r="M21" s="13"/>
      <c r="N21" s="13"/>
      <c r="O21" s="29"/>
      <c r="P21" s="29"/>
      <c r="Q21" s="23"/>
      <c r="R21" s="23"/>
      <c r="S21" s="13"/>
      <c r="T21" s="70"/>
      <c r="U21" s="13"/>
      <c r="W21" s="107" t="str">
        <f>$A$4&amp;" "&amp;A22&amp;"("&amp;B22&amp;","&amp;C22&amp;"^)"</f>
        <v>인계동 삼성('96.04.,582^)</v>
      </c>
      <c r="X21" s="108"/>
      <c r="Y21" s="108"/>
      <c r="Z21" s="108"/>
      <c r="AA21" s="108"/>
      <c r="AB21" s="108"/>
      <c r="AC21" s="108"/>
      <c r="AD21" s="108"/>
      <c r="AE21" s="108"/>
      <c r="AF21" s="109"/>
      <c r="AH21" s="36" t="str">
        <f>IF(A21="","",A21)</f>
        <v/>
      </c>
      <c r="AI21" s="37" t="str">
        <f>IF(E21="","",E21)</f>
        <v/>
      </c>
      <c r="AJ21" s="113"/>
      <c r="AK21" s="113"/>
      <c r="AL21" s="113"/>
      <c r="AM21" s="113"/>
      <c r="AN21" s="113"/>
      <c r="AO21" s="113"/>
      <c r="AP21" s="113"/>
      <c r="AQ21" s="113"/>
      <c r="AR21" s="113"/>
      <c r="AS21" s="113"/>
      <c r="AT21" s="113"/>
      <c r="AU21" s="113"/>
      <c r="AV21" s="113"/>
    </row>
    <row r="22" spans="1:48" x14ac:dyDescent="0.3">
      <c r="A22" s="5" t="s">
        <v>1241</v>
      </c>
      <c r="B22" s="16" t="s">
        <v>1242</v>
      </c>
      <c r="C22" s="28">
        <v>582</v>
      </c>
      <c r="D22" s="25">
        <v>79.3</v>
      </c>
      <c r="E22" s="106">
        <v>24</v>
      </c>
      <c r="F22" s="25">
        <v>59.9</v>
      </c>
      <c r="G22" s="27">
        <v>18</v>
      </c>
      <c r="H22" s="28">
        <v>303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1</v>
      </c>
      <c r="S22" s="113" t="s">
        <v>1238</v>
      </c>
      <c r="T22" s="8">
        <v>79</v>
      </c>
      <c r="U22" s="13"/>
      <c r="W22" s="25">
        <f>D22</f>
        <v>79.3</v>
      </c>
      <c r="X22" s="106">
        <f>E22</f>
        <v>24</v>
      </c>
      <c r="Y22" s="32">
        <f>H22</f>
        <v>303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3/1</v>
      </c>
      <c r="AH22" s="36" t="str">
        <f>IF(A22="","",A22)</f>
        <v>삼성</v>
      </c>
      <c r="AI22" s="106">
        <f>IF(E22="","",E22)</f>
        <v>24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1243</v>
      </c>
      <c r="B23" s="16" t="s">
        <v>1244</v>
      </c>
      <c r="C23" s="28">
        <v>582</v>
      </c>
      <c r="D23" s="25">
        <v>112.3</v>
      </c>
      <c r="E23" s="106">
        <v>34</v>
      </c>
      <c r="F23" s="25">
        <v>84.9</v>
      </c>
      <c r="G23" s="27">
        <v>26</v>
      </c>
      <c r="H23" s="28">
        <v>279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1245</v>
      </c>
      <c r="T23" s="8">
        <v>112</v>
      </c>
      <c r="U23" s="13"/>
      <c r="W23" s="25">
        <f>D23</f>
        <v>112.3</v>
      </c>
      <c r="X23" s="106">
        <f>E23</f>
        <v>34</v>
      </c>
      <c r="Y23" s="32">
        <f>H23</f>
        <v>279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삼성</v>
      </c>
      <c r="AI23" s="106">
        <f>IF(E23="","",E23)</f>
        <v>34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9"/>
      <c r="B24" s="113"/>
      <c r="C24" s="10"/>
      <c r="D24" s="13"/>
      <c r="E24" s="20"/>
      <c r="F24" s="26"/>
      <c r="G24" s="13"/>
      <c r="H24" s="13"/>
      <c r="I24" s="13"/>
      <c r="J24" s="13"/>
      <c r="K24" s="13"/>
      <c r="L24" s="13"/>
      <c r="M24" s="13"/>
      <c r="N24" s="13"/>
      <c r="O24" s="29"/>
      <c r="P24" s="29"/>
      <c r="Q24" s="23"/>
      <c r="R24" s="23"/>
      <c r="S24" s="13"/>
      <c r="T24" s="70"/>
      <c r="U24" s="13"/>
      <c r="W24" s="107" t="str">
        <f>$A$4&amp;" "&amp;A25&amp;"("&amp;B25&amp;","&amp;C25&amp;"^)"</f>
        <v>인계동 수원인계동문굿모닝힐('20.11.,298^)</v>
      </c>
      <c r="X24" s="108"/>
      <c r="Y24" s="108"/>
      <c r="Z24" s="108"/>
      <c r="AA24" s="108"/>
      <c r="AB24" s="108"/>
      <c r="AC24" s="108"/>
      <c r="AD24" s="108"/>
      <c r="AE24" s="108"/>
      <c r="AF24" s="109"/>
      <c r="AH24" s="36" t="str">
        <f>IF(A24="","",A24)</f>
        <v/>
      </c>
      <c r="AI24" s="37" t="str">
        <f>IF(E24="","",E24)</f>
        <v/>
      </c>
      <c r="AJ24" s="113"/>
      <c r="AK24" s="113"/>
      <c r="AL24" s="113"/>
      <c r="AM24" s="113"/>
      <c r="AN24" s="113"/>
      <c r="AO24" s="113"/>
      <c r="AP24" s="113"/>
      <c r="AQ24" s="113"/>
      <c r="AR24" s="113"/>
      <c r="AS24" s="113"/>
      <c r="AT24" s="113"/>
      <c r="AU24" s="113"/>
      <c r="AV24" s="113"/>
    </row>
    <row r="25" spans="1:48" x14ac:dyDescent="0.3">
      <c r="A25" s="5" t="s">
        <v>1246</v>
      </c>
      <c r="B25" s="16" t="s">
        <v>1247</v>
      </c>
      <c r="C25" s="28">
        <v>298</v>
      </c>
      <c r="D25" s="25">
        <v>84.7</v>
      </c>
      <c r="E25" s="106">
        <v>26</v>
      </c>
      <c r="F25" s="25">
        <v>63.5</v>
      </c>
      <c r="G25" s="27">
        <v>19</v>
      </c>
      <c r="H25" s="28">
        <v>115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1245</v>
      </c>
      <c r="T25" s="8">
        <v>84</v>
      </c>
      <c r="U25" s="13"/>
      <c r="W25" s="25">
        <f>D25</f>
        <v>84.7</v>
      </c>
      <c r="X25" s="106">
        <f>E25</f>
        <v>26</v>
      </c>
      <c r="Y25" s="32">
        <f>H25</f>
        <v>115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수원인계동문굿모닝힐</v>
      </c>
      <c r="AI25" s="106">
        <f>IF(E25="","",E25)</f>
        <v>26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X</v>
      </c>
      <c r="AV25" s="113" t="str">
        <f>IF(AO25="","",IF(AND(AO25="O",AP25="O",AR25="O",AT25="O",AU25="O"),"후보","X"))</f>
        <v/>
      </c>
    </row>
    <row r="26" spans="1:48" x14ac:dyDescent="0.3">
      <c r="A26" s="5" t="s">
        <v>1246</v>
      </c>
      <c r="B26" s="16" t="s">
        <v>1247</v>
      </c>
      <c r="C26" s="28">
        <v>298</v>
      </c>
      <c r="D26" s="25">
        <v>94.6</v>
      </c>
      <c r="E26" s="106">
        <v>29</v>
      </c>
      <c r="F26" s="25">
        <v>71.900000000000006</v>
      </c>
      <c r="G26" s="27">
        <v>22</v>
      </c>
      <c r="H26" s="28">
        <v>57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1245</v>
      </c>
      <c r="T26" s="8">
        <v>94</v>
      </c>
      <c r="U26" s="13"/>
      <c r="W26" s="25">
        <f>D26</f>
        <v>94.6</v>
      </c>
      <c r="X26" s="106">
        <f>E26</f>
        <v>29</v>
      </c>
      <c r="Y26" s="32">
        <f>H26</f>
        <v>57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수원인계동문굿모닝힐</v>
      </c>
      <c r="AI26" s="106">
        <f>IF(E26="","",E26)</f>
        <v>29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X</v>
      </c>
      <c r="AV26" s="113" t="str">
        <f>IF(AO26="","",IF(AND(AO26="O",AP26="O",AR26="O",AT26="O",AU26="O"),"후보","X"))</f>
        <v/>
      </c>
    </row>
    <row r="27" spans="1:48" x14ac:dyDescent="0.3">
      <c r="A27" s="5" t="s">
        <v>1246</v>
      </c>
      <c r="B27" s="16" t="s">
        <v>1247</v>
      </c>
      <c r="C27" s="28">
        <v>298</v>
      </c>
      <c r="D27" s="25">
        <v>104.8</v>
      </c>
      <c r="E27" s="106">
        <v>32</v>
      </c>
      <c r="F27" s="25">
        <v>79.8</v>
      </c>
      <c r="G27" s="27">
        <v>24</v>
      </c>
      <c r="H27" s="28">
        <v>64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1245</v>
      </c>
      <c r="T27" s="8" t="s">
        <v>198</v>
      </c>
      <c r="U27" s="13"/>
      <c r="W27" s="25">
        <f>D27</f>
        <v>104.8</v>
      </c>
      <c r="X27" s="106">
        <f>E27</f>
        <v>32</v>
      </c>
      <c r="Y27" s="32">
        <f>H27</f>
        <v>64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수원인계동문굿모닝힐</v>
      </c>
      <c r="AI27" s="106">
        <f>IF(E27="","",E27)</f>
        <v>32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X</v>
      </c>
      <c r="AV27" s="113" t="str">
        <f>IF(AO27="","",IF(AND(AO27="O",AP27="O",AR27="O",AT27="O",AU27="O"),"후보","X"))</f>
        <v/>
      </c>
    </row>
    <row r="28" spans="1:48" x14ac:dyDescent="0.3">
      <c r="A28" s="5" t="s">
        <v>1246</v>
      </c>
      <c r="B28" s="16" t="s">
        <v>1247</v>
      </c>
      <c r="C28" s="28">
        <v>298</v>
      </c>
      <c r="D28" s="25">
        <v>105.9</v>
      </c>
      <c r="E28" s="106">
        <v>32</v>
      </c>
      <c r="F28" s="25">
        <v>79.7</v>
      </c>
      <c r="G28" s="27">
        <v>24</v>
      </c>
      <c r="H28" s="28">
        <v>62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3" t="s">
        <v>1245</v>
      </c>
      <c r="T28" s="8" t="s">
        <v>367</v>
      </c>
      <c r="U28" s="13"/>
      <c r="W28" s="25">
        <f>D28</f>
        <v>105.9</v>
      </c>
      <c r="X28" s="106">
        <f>E28</f>
        <v>32</v>
      </c>
      <c r="Y28" s="32">
        <f>H28</f>
        <v>62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3/2</v>
      </c>
      <c r="AH28" s="36" t="str">
        <f>IF(A28="","",A28)</f>
        <v>수원인계동문굿모닝힐</v>
      </c>
      <c r="AI28" s="106">
        <f>IF(E28="","",E28)</f>
        <v>32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X</v>
      </c>
      <c r="AV28" s="113" t="str">
        <f>IF(AO28="","",IF(AND(AO28="O",AP28="O",AR28="O",AT28="O",AU28="O"),"후보","X"))</f>
        <v/>
      </c>
    </row>
    <row r="29" spans="1:48" x14ac:dyDescent="0.3">
      <c r="A29" s="9"/>
      <c r="B29" s="113"/>
      <c r="C29" s="10"/>
      <c r="D29" s="13"/>
      <c r="E29" s="20"/>
      <c r="F29" s="26"/>
      <c r="G29" s="13"/>
      <c r="H29" s="13"/>
      <c r="I29" s="13"/>
      <c r="J29" s="13"/>
      <c r="K29" s="13"/>
      <c r="L29" s="13"/>
      <c r="M29" s="13"/>
      <c r="N29" s="13"/>
      <c r="O29" s="29"/>
      <c r="P29" s="29"/>
      <c r="Q29" s="23"/>
      <c r="R29" s="23"/>
      <c r="S29" s="13"/>
      <c r="T29" s="70"/>
      <c r="U29" s="13"/>
      <c r="W29" s="107" t="str">
        <f>$A$4&amp;" "&amp;A30&amp;"("&amp;B30&amp;","&amp;C30&amp;"^)"</f>
        <v>인계동 신반포(한신)('80.12.,1185^)</v>
      </c>
      <c r="X29" s="108"/>
      <c r="Y29" s="108"/>
      <c r="Z29" s="108"/>
      <c r="AA29" s="108"/>
      <c r="AB29" s="108"/>
      <c r="AC29" s="108"/>
      <c r="AD29" s="108"/>
      <c r="AE29" s="108"/>
      <c r="AF29" s="109"/>
      <c r="AH29" s="36" t="str">
        <f>IF(A29="","",A29)</f>
        <v/>
      </c>
      <c r="AI29" s="37" t="str">
        <f>IF(E29="","",E29)</f>
        <v/>
      </c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</row>
    <row r="30" spans="1:48" x14ac:dyDescent="0.3">
      <c r="A30" s="5" t="s">
        <v>1248</v>
      </c>
      <c r="B30" s="16" t="s">
        <v>1249</v>
      </c>
      <c r="C30" s="28">
        <v>1185</v>
      </c>
      <c r="D30" s="25">
        <v>58.9</v>
      </c>
      <c r="E30" s="106">
        <v>18</v>
      </c>
      <c r="F30" s="25">
        <v>41.9</v>
      </c>
      <c r="G30" s="27">
        <v>13</v>
      </c>
      <c r="H30" s="28">
        <v>179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2</v>
      </c>
      <c r="R30" s="15">
        <v>1</v>
      </c>
      <c r="S30" s="113" t="s">
        <v>1211</v>
      </c>
      <c r="T30" s="8" t="s">
        <v>751</v>
      </c>
      <c r="U30" s="13"/>
      <c r="W30" s="25">
        <f>D30</f>
        <v>58.9</v>
      </c>
      <c r="X30" s="106">
        <f>E30</f>
        <v>18</v>
      </c>
      <c r="Y30" s="32">
        <f>H30</f>
        <v>179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복</v>
      </c>
      <c r="AF30" s="15" t="str">
        <f>Q30&amp;"/"&amp;R30</f>
        <v>2/1</v>
      </c>
      <c r="AH30" s="36" t="str">
        <f>IF(A30="","",A30)</f>
        <v>신반포(한신)</v>
      </c>
      <c r="AI30" s="106">
        <f>IF(E30="","",E30)</f>
        <v>18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1250</v>
      </c>
      <c r="B31" s="16" t="s">
        <v>1251</v>
      </c>
      <c r="C31" s="28">
        <v>1185</v>
      </c>
      <c r="D31" s="25">
        <v>58.9</v>
      </c>
      <c r="E31" s="106">
        <v>18</v>
      </c>
      <c r="F31" s="25">
        <v>41.7</v>
      </c>
      <c r="G31" s="27">
        <v>13</v>
      </c>
      <c r="H31" s="28">
        <v>88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2</v>
      </c>
      <c r="R31" s="15">
        <v>1</v>
      </c>
      <c r="S31" s="113" t="s">
        <v>1252</v>
      </c>
      <c r="T31" s="8" t="s">
        <v>755</v>
      </c>
      <c r="U31" s="13"/>
      <c r="W31" s="25">
        <f>D31</f>
        <v>58.9</v>
      </c>
      <c r="X31" s="106">
        <f>E31</f>
        <v>18</v>
      </c>
      <c r="Y31" s="32">
        <f>H31</f>
        <v>88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복</v>
      </c>
      <c r="AF31" s="15" t="str">
        <f>Q31&amp;"/"&amp;R31</f>
        <v>2/1</v>
      </c>
      <c r="AH31" s="36" t="str">
        <f>IF(A31="","",A31)</f>
        <v>신반포(한신)</v>
      </c>
      <c r="AI31" s="106">
        <f>IF(E31="","",E31)</f>
        <v>18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1250</v>
      </c>
      <c r="B32" s="16" t="s">
        <v>1251</v>
      </c>
      <c r="C32" s="28">
        <v>1185</v>
      </c>
      <c r="D32" s="25">
        <v>59.4</v>
      </c>
      <c r="E32" s="106">
        <v>18</v>
      </c>
      <c r="F32" s="25">
        <v>41.8</v>
      </c>
      <c r="G32" s="27">
        <v>13</v>
      </c>
      <c r="H32" s="28">
        <v>156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2</v>
      </c>
      <c r="R32" s="15">
        <v>1</v>
      </c>
      <c r="S32" s="113" t="s">
        <v>1252</v>
      </c>
      <c r="T32" s="8" t="s">
        <v>756</v>
      </c>
      <c r="U32" s="13"/>
      <c r="W32" s="25">
        <f>D32</f>
        <v>59.4</v>
      </c>
      <c r="X32" s="106">
        <f>E32</f>
        <v>18</v>
      </c>
      <c r="Y32" s="32">
        <f>H32</f>
        <v>156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복</v>
      </c>
      <c r="AF32" s="15" t="str">
        <f>Q32&amp;"/"&amp;R32</f>
        <v>2/1</v>
      </c>
      <c r="AH32" s="36" t="str">
        <f>IF(A32="","",A32)</f>
        <v>신반포(한신)</v>
      </c>
      <c r="AI32" s="106">
        <f>IF(E32="","",E32)</f>
        <v>18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1250</v>
      </c>
      <c r="B33" s="16" t="s">
        <v>1251</v>
      </c>
      <c r="C33" s="28">
        <v>1185</v>
      </c>
      <c r="D33" s="25">
        <v>68.599999999999994</v>
      </c>
      <c r="E33" s="106">
        <v>21</v>
      </c>
      <c r="F33" s="25">
        <v>42.1</v>
      </c>
      <c r="G33" s="27">
        <v>13</v>
      </c>
      <c r="H33" s="28">
        <v>60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2</v>
      </c>
      <c r="R33" s="15">
        <v>1</v>
      </c>
      <c r="S33" s="113" t="s">
        <v>1252</v>
      </c>
      <c r="T33" s="8" t="s">
        <v>517</v>
      </c>
      <c r="U33" s="13"/>
      <c r="W33" s="25">
        <f>D33</f>
        <v>68.599999999999994</v>
      </c>
      <c r="X33" s="106">
        <f>E33</f>
        <v>21</v>
      </c>
      <c r="Y33" s="32">
        <f>H33</f>
        <v>60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복</v>
      </c>
      <c r="AF33" s="15" t="str">
        <f>Q33&amp;"/"&amp;R33</f>
        <v>2/1</v>
      </c>
      <c r="AH33" s="36" t="str">
        <f>IF(A33="","",A33)</f>
        <v>신반포(한신)</v>
      </c>
      <c r="AI33" s="106">
        <f>IF(E33="","",E33)</f>
        <v>21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1250</v>
      </c>
      <c r="B34" s="16" t="s">
        <v>1251</v>
      </c>
      <c r="C34" s="28">
        <v>1185</v>
      </c>
      <c r="D34" s="25">
        <v>68.7</v>
      </c>
      <c r="E34" s="106">
        <v>21</v>
      </c>
      <c r="F34" s="25">
        <v>42.1</v>
      </c>
      <c r="G34" s="27">
        <v>13</v>
      </c>
      <c r="H34" s="28">
        <v>24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2</v>
      </c>
      <c r="R34" s="15">
        <v>1</v>
      </c>
      <c r="S34" s="113" t="s">
        <v>1253</v>
      </c>
      <c r="T34" s="8" t="s">
        <v>757</v>
      </c>
      <c r="U34" s="13"/>
      <c r="W34" s="25">
        <f>D34</f>
        <v>68.7</v>
      </c>
      <c r="X34" s="106">
        <f>E34</f>
        <v>21</v>
      </c>
      <c r="Y34" s="32">
        <f>H34</f>
        <v>24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2/1</v>
      </c>
      <c r="AH34" s="36" t="str">
        <f>IF(A34="","",A34)</f>
        <v>신반포(한신)</v>
      </c>
      <c r="AI34" s="106">
        <f>IF(E34="","",E34)</f>
        <v>21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1250</v>
      </c>
      <c r="B35" s="16" t="s">
        <v>1251</v>
      </c>
      <c r="C35" s="28">
        <v>1185</v>
      </c>
      <c r="D35" s="25">
        <v>70.7</v>
      </c>
      <c r="E35" s="106">
        <v>21</v>
      </c>
      <c r="F35" s="25">
        <v>42.2</v>
      </c>
      <c r="G35" s="27">
        <v>13</v>
      </c>
      <c r="H35" s="28">
        <v>72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2</v>
      </c>
      <c r="R35" s="15">
        <v>1</v>
      </c>
      <c r="S35" s="113" t="s">
        <v>1252</v>
      </c>
      <c r="T35" s="8" t="s">
        <v>265</v>
      </c>
      <c r="U35" s="13"/>
      <c r="W35" s="25">
        <f>D35</f>
        <v>70.7</v>
      </c>
      <c r="X35" s="106">
        <f>E35</f>
        <v>21</v>
      </c>
      <c r="Y35" s="32">
        <f>H35</f>
        <v>72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복</v>
      </c>
      <c r="AF35" s="15" t="str">
        <f>Q35&amp;"/"&amp;R35</f>
        <v>2/1</v>
      </c>
      <c r="AH35" s="36" t="str">
        <f>IF(A35="","",A35)</f>
        <v>신반포(한신)</v>
      </c>
      <c r="AI35" s="106">
        <f>IF(E35="","",E35)</f>
        <v>21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O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1250</v>
      </c>
      <c r="B36" s="16" t="s">
        <v>1251</v>
      </c>
      <c r="C36" s="28">
        <v>1185</v>
      </c>
      <c r="D36" s="25">
        <v>70.7</v>
      </c>
      <c r="E36" s="106">
        <v>21</v>
      </c>
      <c r="F36" s="25">
        <v>42.2</v>
      </c>
      <c r="G36" s="27">
        <v>13</v>
      </c>
      <c r="H36" s="28">
        <v>12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2</v>
      </c>
      <c r="R36" s="15">
        <v>1</v>
      </c>
      <c r="S36" s="113" t="s">
        <v>1252</v>
      </c>
      <c r="T36" s="8" t="s">
        <v>758</v>
      </c>
      <c r="U36" s="13"/>
      <c r="W36" s="25">
        <f>D36</f>
        <v>70.7</v>
      </c>
      <c r="X36" s="106">
        <f>E36</f>
        <v>21</v>
      </c>
      <c r="Y36" s="32">
        <f>H36</f>
        <v>12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복</v>
      </c>
      <c r="AF36" s="15" t="str">
        <f>Q36&amp;"/"&amp;R36</f>
        <v>2/1</v>
      </c>
      <c r="AH36" s="36" t="str">
        <f>IF(A36="","",A36)</f>
        <v>신반포(한신)</v>
      </c>
      <c r="AI36" s="106">
        <f>IF(E36="","",E36)</f>
        <v>21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O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5" t="s">
        <v>1250</v>
      </c>
      <c r="B37" s="16" t="s">
        <v>1251</v>
      </c>
      <c r="C37" s="28">
        <v>1185</v>
      </c>
      <c r="D37" s="25">
        <v>72.2</v>
      </c>
      <c r="E37" s="106">
        <v>22</v>
      </c>
      <c r="F37" s="25">
        <v>52.7</v>
      </c>
      <c r="G37" s="27">
        <v>16</v>
      </c>
      <c r="H37" s="28">
        <v>144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2</v>
      </c>
      <c r="R37" s="15">
        <v>1</v>
      </c>
      <c r="S37" s="113" t="s">
        <v>1252</v>
      </c>
      <c r="T37" s="8" t="s">
        <v>759</v>
      </c>
      <c r="U37" s="13"/>
      <c r="W37" s="25">
        <f>D37</f>
        <v>72.2</v>
      </c>
      <c r="X37" s="106">
        <f>E37</f>
        <v>22</v>
      </c>
      <c r="Y37" s="32">
        <f>H37</f>
        <v>144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복</v>
      </c>
      <c r="AF37" s="15" t="str">
        <f>Q37&amp;"/"&amp;R37</f>
        <v>2/1</v>
      </c>
      <c r="AH37" s="36" t="str">
        <f>IF(A37="","",A37)</f>
        <v>신반포(한신)</v>
      </c>
      <c r="AI37" s="106">
        <f>IF(E37="","",E37)</f>
        <v>22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O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5" t="s">
        <v>1250</v>
      </c>
      <c r="B38" s="16" t="s">
        <v>1251</v>
      </c>
      <c r="C38" s="28">
        <v>1185</v>
      </c>
      <c r="D38" s="25">
        <v>72.3</v>
      </c>
      <c r="E38" s="106">
        <v>22</v>
      </c>
      <c r="F38" s="25">
        <v>52.7</v>
      </c>
      <c r="G38" s="27">
        <v>16</v>
      </c>
      <c r="H38" s="28">
        <v>107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2</v>
      </c>
      <c r="R38" s="15">
        <v>1</v>
      </c>
      <c r="S38" s="113" t="s">
        <v>1252</v>
      </c>
      <c r="T38" s="8" t="s">
        <v>267</v>
      </c>
      <c r="U38" s="13"/>
      <c r="W38" s="25">
        <f>D38</f>
        <v>72.3</v>
      </c>
      <c r="X38" s="106">
        <f>E38</f>
        <v>22</v>
      </c>
      <c r="Y38" s="32">
        <f>H38</f>
        <v>107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복</v>
      </c>
      <c r="AF38" s="15" t="str">
        <f>Q38&amp;"/"&amp;R38</f>
        <v>2/1</v>
      </c>
      <c r="AH38" s="36" t="str">
        <f>IF(A38="","",A38)</f>
        <v>신반포(한신)</v>
      </c>
      <c r="AI38" s="106">
        <f>IF(E38="","",E38)</f>
        <v>22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1250</v>
      </c>
      <c r="B39" s="16" t="s">
        <v>1251</v>
      </c>
      <c r="C39" s="28">
        <v>1185</v>
      </c>
      <c r="D39" s="25">
        <v>72.2</v>
      </c>
      <c r="E39" s="106">
        <v>22</v>
      </c>
      <c r="F39" s="25">
        <v>52.7</v>
      </c>
      <c r="G39" s="27">
        <v>16</v>
      </c>
      <c r="H39" s="28">
        <v>37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2</v>
      </c>
      <c r="R39" s="15">
        <v>1</v>
      </c>
      <c r="S39" s="113" t="s">
        <v>1252</v>
      </c>
      <c r="T39" s="8" t="s">
        <v>760</v>
      </c>
      <c r="U39" s="13"/>
      <c r="W39" s="25">
        <f>D39</f>
        <v>72.2</v>
      </c>
      <c r="X39" s="106">
        <f>E39</f>
        <v>22</v>
      </c>
      <c r="Y39" s="32">
        <f>H39</f>
        <v>37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복</v>
      </c>
      <c r="AF39" s="15" t="str">
        <f>Q39&amp;"/"&amp;R39</f>
        <v>2/1</v>
      </c>
      <c r="AH39" s="36" t="str">
        <f>IF(A39="","",A39)</f>
        <v>신반포(한신)</v>
      </c>
      <c r="AI39" s="106">
        <f>IF(E39="","",E39)</f>
        <v>22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O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1250</v>
      </c>
      <c r="B40" s="16" t="s">
        <v>1251</v>
      </c>
      <c r="C40" s="28">
        <v>1185</v>
      </c>
      <c r="D40" s="25">
        <v>73.2</v>
      </c>
      <c r="E40" s="106">
        <v>22</v>
      </c>
      <c r="F40" s="25">
        <v>55.3</v>
      </c>
      <c r="G40" s="27">
        <v>17</v>
      </c>
      <c r="H40" s="28">
        <v>90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2</v>
      </c>
      <c r="R40" s="15">
        <v>1</v>
      </c>
      <c r="S40" s="113" t="s">
        <v>1252</v>
      </c>
      <c r="T40" s="8" t="s">
        <v>205</v>
      </c>
      <c r="U40" s="13"/>
      <c r="W40" s="25">
        <f>D40</f>
        <v>73.2</v>
      </c>
      <c r="X40" s="106">
        <f>E40</f>
        <v>22</v>
      </c>
      <c r="Y40" s="32">
        <f>H40</f>
        <v>90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복</v>
      </c>
      <c r="AF40" s="15" t="str">
        <f>Q40&amp;"/"&amp;R40</f>
        <v>2/1</v>
      </c>
      <c r="AH40" s="36" t="str">
        <f>IF(A40="","",A40)</f>
        <v>신반포(한신)</v>
      </c>
      <c r="AI40" s="106">
        <f>IF(E40="","",E40)</f>
        <v>22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O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5" t="s">
        <v>1250</v>
      </c>
      <c r="B41" s="16" t="s">
        <v>1251</v>
      </c>
      <c r="C41" s="28">
        <v>1185</v>
      </c>
      <c r="D41" s="25">
        <v>88.7</v>
      </c>
      <c r="E41" s="106">
        <v>27</v>
      </c>
      <c r="F41" s="25">
        <v>60.5</v>
      </c>
      <c r="G41" s="27">
        <v>18</v>
      </c>
      <c r="H41" s="28">
        <v>99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1</v>
      </c>
      <c r="S41" s="113" t="s">
        <v>1252</v>
      </c>
      <c r="T41" s="8" t="s">
        <v>281</v>
      </c>
      <c r="U41" s="13"/>
      <c r="W41" s="25">
        <f>D41</f>
        <v>88.7</v>
      </c>
      <c r="X41" s="106">
        <f>E41</f>
        <v>27</v>
      </c>
      <c r="Y41" s="32">
        <f>H41</f>
        <v>99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복</v>
      </c>
      <c r="AF41" s="15" t="str">
        <f>Q41&amp;"/"&amp;R41</f>
        <v>3/1</v>
      </c>
      <c r="AH41" s="36" t="str">
        <f>IF(A41="","",A41)</f>
        <v>신반포(한신)</v>
      </c>
      <c r="AI41" s="106">
        <f>IF(E41="","",E41)</f>
        <v>27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O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1250</v>
      </c>
      <c r="B42" s="16" t="s">
        <v>1251</v>
      </c>
      <c r="C42" s="28">
        <v>1185</v>
      </c>
      <c r="D42" s="25">
        <v>88.7</v>
      </c>
      <c r="E42" s="106">
        <v>27</v>
      </c>
      <c r="F42" s="25">
        <v>60.5</v>
      </c>
      <c r="G42" s="27">
        <v>18</v>
      </c>
      <c r="H42" s="28">
        <v>11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3</v>
      </c>
      <c r="R42" s="15">
        <v>1</v>
      </c>
      <c r="S42" s="113" t="s">
        <v>1252</v>
      </c>
      <c r="T42" s="8" t="s">
        <v>191</v>
      </c>
      <c r="U42" s="13"/>
      <c r="W42" s="25">
        <f>D42</f>
        <v>88.7</v>
      </c>
      <c r="X42" s="106">
        <f>E42</f>
        <v>27</v>
      </c>
      <c r="Y42" s="32">
        <f>H42</f>
        <v>11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복</v>
      </c>
      <c r="AF42" s="15" t="str">
        <f>Q42&amp;"/"&amp;R42</f>
        <v>3/1</v>
      </c>
      <c r="AH42" s="36" t="str">
        <f>IF(A42="","",A42)</f>
        <v>신반포(한신)</v>
      </c>
      <c r="AI42" s="106">
        <f>IF(E42="","",E42)</f>
        <v>27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O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1250</v>
      </c>
      <c r="B43" s="16" t="s">
        <v>1251</v>
      </c>
      <c r="C43" s="28">
        <v>1185</v>
      </c>
      <c r="D43" s="25">
        <v>88.9</v>
      </c>
      <c r="E43" s="106">
        <v>27</v>
      </c>
      <c r="F43" s="25">
        <v>60.7</v>
      </c>
      <c r="G43" s="27">
        <v>18</v>
      </c>
      <c r="H43" s="28">
        <v>7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1</v>
      </c>
      <c r="S43" s="113" t="s">
        <v>1252</v>
      </c>
      <c r="T43" s="8" t="s">
        <v>151</v>
      </c>
      <c r="U43" s="13"/>
      <c r="W43" s="25">
        <f>D43</f>
        <v>88.9</v>
      </c>
      <c r="X43" s="106">
        <f>E43</f>
        <v>27</v>
      </c>
      <c r="Y43" s="32">
        <f>H43</f>
        <v>7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복</v>
      </c>
      <c r="AF43" s="15" t="str">
        <f>Q43&amp;"/"&amp;R43</f>
        <v>3/1</v>
      </c>
      <c r="AH43" s="36" t="str">
        <f>IF(A43="","",A43)</f>
        <v>신반포(한신)</v>
      </c>
      <c r="AI43" s="106">
        <f>IF(E43="","",E43)</f>
        <v>27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O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1250</v>
      </c>
      <c r="B44" s="16" t="s">
        <v>1251</v>
      </c>
      <c r="C44" s="28">
        <v>1185</v>
      </c>
      <c r="D44" s="25">
        <v>88.9</v>
      </c>
      <c r="E44" s="106">
        <v>27</v>
      </c>
      <c r="F44" s="25">
        <v>60.7</v>
      </c>
      <c r="G44" s="27">
        <v>18</v>
      </c>
      <c r="H44" s="28">
        <v>3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 t="s">
        <v>332</v>
      </c>
      <c r="R44" s="15" t="s">
        <v>332</v>
      </c>
      <c r="S44" s="113" t="s">
        <v>1253</v>
      </c>
      <c r="T44" s="8" t="s">
        <v>761</v>
      </c>
      <c r="U44" s="13"/>
      <c r="W44" s="25">
        <f>D44</f>
        <v>88.9</v>
      </c>
      <c r="X44" s="106">
        <f>E44</f>
        <v>27</v>
      </c>
      <c r="Y44" s="32">
        <f>H44</f>
        <v>3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-/-</v>
      </c>
      <c r="AH44" s="36" t="str">
        <f>IF(A44="","",A44)</f>
        <v>신반포(한신)</v>
      </c>
      <c r="AI44" s="106">
        <f>IF(E44="","",E44)</f>
        <v>27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O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1250</v>
      </c>
      <c r="B45" s="16" t="s">
        <v>1251</v>
      </c>
      <c r="C45" s="28">
        <v>1185</v>
      </c>
      <c r="D45" s="25">
        <v>117.8</v>
      </c>
      <c r="E45" s="106">
        <v>36</v>
      </c>
      <c r="F45" s="25">
        <v>82.7</v>
      </c>
      <c r="G45" s="27">
        <v>25</v>
      </c>
      <c r="H45" s="28">
        <v>96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1</v>
      </c>
      <c r="S45" s="113" t="s">
        <v>1252</v>
      </c>
      <c r="T45" s="8">
        <v>117</v>
      </c>
      <c r="U45" s="13"/>
      <c r="W45" s="25">
        <f>D45</f>
        <v>117.8</v>
      </c>
      <c r="X45" s="106">
        <f>E45</f>
        <v>36</v>
      </c>
      <c r="Y45" s="32">
        <f>H45</f>
        <v>96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복</v>
      </c>
      <c r="AF45" s="15" t="str">
        <f>Q45&amp;"/"&amp;R45</f>
        <v>3/1</v>
      </c>
      <c r="AH45" s="36" t="str">
        <f>IF(A45="","",A45)</f>
        <v>신반포(한신)</v>
      </c>
      <c r="AI45" s="106">
        <f>IF(E45="","",E45)</f>
        <v>36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9"/>
      <c r="B46" s="113"/>
      <c r="C46" s="10"/>
      <c r="D46" s="13"/>
      <c r="E46" s="20"/>
      <c r="F46" s="26"/>
      <c r="G46" s="13"/>
      <c r="H46" s="13"/>
      <c r="I46" s="13"/>
      <c r="J46" s="13"/>
      <c r="K46" s="13"/>
      <c r="L46" s="13"/>
      <c r="M46" s="13"/>
      <c r="N46" s="13"/>
      <c r="O46" s="29"/>
      <c r="P46" s="29"/>
      <c r="Q46" s="23"/>
      <c r="R46" s="23"/>
      <c r="S46" s="13"/>
      <c r="T46" s="70"/>
      <c r="U46" s="13"/>
      <c r="W46" s="107" t="str">
        <f>$A$4&amp;" "&amp;A47&amp;"("&amp;B47&amp;","&amp;C47&amp;"^)"</f>
        <v>인계동 선경3차('96.04.,604^)</v>
      </c>
      <c r="X46" s="108"/>
      <c r="Y46" s="108"/>
      <c r="Z46" s="108"/>
      <c r="AA46" s="108"/>
      <c r="AB46" s="108"/>
      <c r="AC46" s="108"/>
      <c r="AD46" s="108"/>
      <c r="AE46" s="108"/>
      <c r="AF46" s="109"/>
      <c r="AH46" s="36" t="str">
        <f>IF(A46="","",A46)</f>
        <v/>
      </c>
      <c r="AI46" s="37" t="str">
        <f>IF(E46="","",E46)</f>
        <v/>
      </c>
      <c r="AJ46" s="113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  <c r="AU46" s="113"/>
      <c r="AV46" s="113"/>
    </row>
    <row r="47" spans="1:48" x14ac:dyDescent="0.3">
      <c r="A47" s="5" t="s">
        <v>1254</v>
      </c>
      <c r="B47" s="16" t="s">
        <v>1255</v>
      </c>
      <c r="C47" s="28">
        <v>604</v>
      </c>
      <c r="D47" s="25">
        <v>81.900000000000006</v>
      </c>
      <c r="E47" s="106">
        <v>25</v>
      </c>
      <c r="F47" s="25">
        <v>59.3</v>
      </c>
      <c r="G47" s="27">
        <v>18</v>
      </c>
      <c r="H47" s="28">
        <v>300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2</v>
      </c>
      <c r="R47" s="15">
        <v>1</v>
      </c>
      <c r="S47" s="113" t="s">
        <v>1252</v>
      </c>
      <c r="T47" s="8">
        <v>81</v>
      </c>
      <c r="U47" s="13"/>
      <c r="W47" s="25">
        <f>D47</f>
        <v>81.900000000000006</v>
      </c>
      <c r="X47" s="106">
        <f>E47</f>
        <v>25</v>
      </c>
      <c r="Y47" s="32">
        <f>H47</f>
        <v>300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복</v>
      </c>
      <c r="AF47" s="15" t="str">
        <f>Q47&amp;"/"&amp;R47</f>
        <v>2/1</v>
      </c>
      <c r="AH47" s="36" t="str">
        <f>IF(A47="","",A47)</f>
        <v>선경3차</v>
      </c>
      <c r="AI47" s="106">
        <f>IF(E47="","",E47)</f>
        <v>25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O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1254</v>
      </c>
      <c r="B48" s="16" t="s">
        <v>1255</v>
      </c>
      <c r="C48" s="28">
        <v>604</v>
      </c>
      <c r="D48" s="25">
        <v>108.4</v>
      </c>
      <c r="E48" s="106">
        <v>33</v>
      </c>
      <c r="F48" s="25">
        <v>84.8</v>
      </c>
      <c r="G48" s="27">
        <v>26</v>
      </c>
      <c r="H48" s="28">
        <v>202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3</v>
      </c>
      <c r="R48" s="15">
        <v>2</v>
      </c>
      <c r="S48" s="113" t="s">
        <v>1253</v>
      </c>
      <c r="T48" s="8">
        <v>108</v>
      </c>
      <c r="U48" s="13"/>
      <c r="W48" s="25">
        <f>D48</f>
        <v>108.4</v>
      </c>
      <c r="X48" s="106">
        <f>E48</f>
        <v>33</v>
      </c>
      <c r="Y48" s="32">
        <f>H48</f>
        <v>202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3/2</v>
      </c>
      <c r="AH48" s="36" t="str">
        <f>IF(A48="","",A48)</f>
        <v>선경3차</v>
      </c>
      <c r="AI48" s="106">
        <f>IF(E48="","",E48)</f>
        <v>33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O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5" t="s">
        <v>1254</v>
      </c>
      <c r="B49" s="16" t="s">
        <v>1255</v>
      </c>
      <c r="C49" s="28">
        <v>604</v>
      </c>
      <c r="D49" s="25">
        <v>163.30000000000001</v>
      </c>
      <c r="E49" s="106">
        <v>49</v>
      </c>
      <c r="F49" s="25">
        <v>133.80000000000001</v>
      </c>
      <c r="G49" s="27">
        <v>40</v>
      </c>
      <c r="H49" s="28">
        <v>102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4</v>
      </c>
      <c r="R49" s="15">
        <v>2</v>
      </c>
      <c r="S49" s="113" t="s">
        <v>1253</v>
      </c>
      <c r="T49" s="8">
        <v>163</v>
      </c>
      <c r="U49" s="13"/>
      <c r="W49" s="25">
        <f>D49</f>
        <v>163.30000000000001</v>
      </c>
      <c r="X49" s="106">
        <f>E49</f>
        <v>49</v>
      </c>
      <c r="Y49" s="32">
        <f>H49</f>
        <v>102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4/2</v>
      </c>
      <c r="AH49" s="36" t="str">
        <f>IF(A49="","",A49)</f>
        <v>선경3차</v>
      </c>
      <c r="AI49" s="106">
        <f>IF(E49="","",E49)</f>
        <v>49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X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9"/>
      <c r="B50" s="113"/>
      <c r="C50" s="10"/>
      <c r="D50" s="13"/>
      <c r="E50" s="20"/>
      <c r="F50" s="26"/>
      <c r="G50" s="13"/>
      <c r="H50" s="13"/>
      <c r="I50" s="13"/>
      <c r="J50" s="13"/>
      <c r="K50" s="13"/>
      <c r="L50" s="13"/>
      <c r="M50" s="13"/>
      <c r="N50" s="13"/>
      <c r="O50" s="29"/>
      <c r="P50" s="29"/>
      <c r="Q50" s="23"/>
      <c r="R50" s="23"/>
      <c r="S50" s="13"/>
      <c r="T50" s="70"/>
      <c r="U50" s="13"/>
      <c r="W50" s="107" t="str">
        <f>$A$4&amp;" "&amp;A51&amp;"("&amp;B51&amp;","&amp;C51&amp;"^)"</f>
        <v>인계동 래미안노블클래스2단지('09.08.,459^)</v>
      </c>
      <c r="X50" s="108"/>
      <c r="Y50" s="108"/>
      <c r="Z50" s="108"/>
      <c r="AA50" s="108"/>
      <c r="AB50" s="108"/>
      <c r="AC50" s="108"/>
      <c r="AD50" s="108"/>
      <c r="AE50" s="108"/>
      <c r="AF50" s="109"/>
      <c r="AH50" s="36" t="str">
        <f>IF(A50="","",A50)</f>
        <v/>
      </c>
      <c r="AI50" s="37" t="str">
        <f>IF(E50="","",E50)</f>
        <v/>
      </c>
      <c r="AJ50" s="113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  <c r="AU50" s="113"/>
      <c r="AV50" s="113"/>
    </row>
    <row r="51" spans="1:48" x14ac:dyDescent="0.3">
      <c r="A51" s="5" t="s">
        <v>1256</v>
      </c>
      <c r="B51" s="16" t="s">
        <v>1257</v>
      </c>
      <c r="C51" s="28">
        <v>459</v>
      </c>
      <c r="D51" s="25">
        <v>85.7</v>
      </c>
      <c r="E51" s="106">
        <v>26</v>
      </c>
      <c r="F51" s="25">
        <v>60</v>
      </c>
      <c r="G51" s="27">
        <v>18</v>
      </c>
      <c r="H51" s="28">
        <v>64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2</v>
      </c>
      <c r="S51" s="113" t="s">
        <v>1253</v>
      </c>
      <c r="T51" s="8">
        <v>85</v>
      </c>
      <c r="U51" s="13"/>
      <c r="W51" s="25">
        <f>D51</f>
        <v>85.7</v>
      </c>
      <c r="X51" s="106">
        <f>E51</f>
        <v>26</v>
      </c>
      <c r="Y51" s="32">
        <f>H51</f>
        <v>64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3/2</v>
      </c>
      <c r="AH51" s="36" t="str">
        <f>IF(A51="","",A51)</f>
        <v>래미안노블클래스2단지</v>
      </c>
      <c r="AI51" s="106">
        <f>IF(E51="","",E51)</f>
        <v>26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O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5" t="s">
        <v>1256</v>
      </c>
      <c r="B52" s="16" t="s">
        <v>1257</v>
      </c>
      <c r="C52" s="28">
        <v>459</v>
      </c>
      <c r="D52" s="25">
        <v>112.8</v>
      </c>
      <c r="E52" s="106">
        <v>34</v>
      </c>
      <c r="F52" s="25">
        <v>85</v>
      </c>
      <c r="G52" s="27">
        <v>26</v>
      </c>
      <c r="H52" s="28">
        <v>96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3</v>
      </c>
      <c r="R52" s="15">
        <v>2</v>
      </c>
      <c r="S52" s="113" t="s">
        <v>1253</v>
      </c>
      <c r="T52" s="8" t="s">
        <v>632</v>
      </c>
      <c r="U52" s="13"/>
      <c r="W52" s="25">
        <f>D52</f>
        <v>112.8</v>
      </c>
      <c r="X52" s="106">
        <f>E52</f>
        <v>34</v>
      </c>
      <c r="Y52" s="32">
        <f>H52</f>
        <v>96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3/2</v>
      </c>
      <c r="AH52" s="36" t="str">
        <f>IF(A52="","",A52)</f>
        <v>래미안노블클래스2단지</v>
      </c>
      <c r="AI52" s="106">
        <f>IF(E52="","",E52)</f>
        <v>34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O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1256</v>
      </c>
      <c r="B53" s="16" t="s">
        <v>1257</v>
      </c>
      <c r="C53" s="28">
        <v>459</v>
      </c>
      <c r="D53" s="25">
        <v>113.3</v>
      </c>
      <c r="E53" s="106">
        <v>34</v>
      </c>
      <c r="F53" s="25">
        <v>85</v>
      </c>
      <c r="G53" s="27">
        <v>26</v>
      </c>
      <c r="H53" s="28">
        <v>91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2</v>
      </c>
      <c r="S53" s="113" t="s">
        <v>1253</v>
      </c>
      <c r="T53" s="8" t="s">
        <v>642</v>
      </c>
      <c r="U53" s="13"/>
      <c r="W53" s="25">
        <f>D53</f>
        <v>113.3</v>
      </c>
      <c r="X53" s="106">
        <f>E53</f>
        <v>34</v>
      </c>
      <c r="Y53" s="32">
        <f>H53</f>
        <v>91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3/2</v>
      </c>
      <c r="AH53" s="36" t="str">
        <f>IF(A53="","",A53)</f>
        <v>래미안노블클래스2단지</v>
      </c>
      <c r="AI53" s="106">
        <f>IF(E53="","",E53)</f>
        <v>34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1256</v>
      </c>
      <c r="B54" s="16" t="s">
        <v>1257</v>
      </c>
      <c r="C54" s="28">
        <v>459</v>
      </c>
      <c r="D54" s="25">
        <v>141.9</v>
      </c>
      <c r="E54" s="106">
        <v>43</v>
      </c>
      <c r="F54" s="25">
        <v>111.1</v>
      </c>
      <c r="G54" s="27">
        <v>34</v>
      </c>
      <c r="H54" s="28">
        <v>94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4</v>
      </c>
      <c r="R54" s="15">
        <v>2</v>
      </c>
      <c r="S54" s="113" t="s">
        <v>1253</v>
      </c>
      <c r="T54" s="8">
        <v>141</v>
      </c>
      <c r="U54" s="13"/>
      <c r="W54" s="25">
        <f>D54</f>
        <v>141.9</v>
      </c>
      <c r="X54" s="106">
        <f>E54</f>
        <v>43</v>
      </c>
      <c r="Y54" s="32">
        <f>H54</f>
        <v>94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4/2</v>
      </c>
      <c r="AH54" s="36" t="str">
        <f>IF(A54="","",A54)</f>
        <v>래미안노블클래스2단지</v>
      </c>
      <c r="AI54" s="106">
        <f>IF(E54="","",E54)</f>
        <v>43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X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5" t="s">
        <v>1256</v>
      </c>
      <c r="B55" s="16" t="s">
        <v>1257</v>
      </c>
      <c r="C55" s="28">
        <v>459</v>
      </c>
      <c r="D55" s="25">
        <v>155.30000000000001</v>
      </c>
      <c r="E55" s="106">
        <v>47</v>
      </c>
      <c r="F55" s="25">
        <v>123.4</v>
      </c>
      <c r="G55" s="27">
        <v>37</v>
      </c>
      <c r="H55" s="28">
        <v>68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4</v>
      </c>
      <c r="R55" s="15">
        <v>2</v>
      </c>
      <c r="S55" s="113" t="s">
        <v>1253</v>
      </c>
      <c r="T55" s="8">
        <v>155</v>
      </c>
      <c r="U55" s="13"/>
      <c r="W55" s="25">
        <f>D55</f>
        <v>155.30000000000001</v>
      </c>
      <c r="X55" s="106">
        <f>E55</f>
        <v>47</v>
      </c>
      <c r="Y55" s="32">
        <f>H55</f>
        <v>68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4/2</v>
      </c>
      <c r="AH55" s="36" t="str">
        <f>IF(A55="","",A55)</f>
        <v>래미안노블클래스2단지</v>
      </c>
      <c r="AI55" s="106">
        <f>IF(E55="","",E55)</f>
        <v>47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X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9"/>
      <c r="B56" s="113"/>
      <c r="C56" s="10"/>
      <c r="D56" s="13"/>
      <c r="E56" s="20"/>
      <c r="F56" s="26"/>
      <c r="G56" s="13"/>
      <c r="H56" s="13"/>
      <c r="I56" s="13"/>
      <c r="J56" s="13"/>
      <c r="K56" s="13"/>
      <c r="L56" s="13"/>
      <c r="M56" s="13"/>
      <c r="N56" s="13"/>
      <c r="O56" s="29"/>
      <c r="P56" s="29"/>
      <c r="Q56" s="23"/>
      <c r="R56" s="23"/>
      <c r="S56" s="13"/>
      <c r="T56" s="70"/>
      <c r="U56" s="13"/>
      <c r="W56" s="107" t="str">
        <f>$A$4&amp;" "&amp;A57&amp;"("&amp;B57&amp;","&amp;C57&amp;"^)"</f>
        <v>인계동 씨제이('01.05.,211^)</v>
      </c>
      <c r="X56" s="108"/>
      <c r="Y56" s="108"/>
      <c r="Z56" s="108"/>
      <c r="AA56" s="108"/>
      <c r="AB56" s="108"/>
      <c r="AC56" s="108"/>
      <c r="AD56" s="108"/>
      <c r="AE56" s="108"/>
      <c r="AF56" s="109"/>
      <c r="AH56" s="36" t="str">
        <f>IF(A56="","",A56)</f>
        <v/>
      </c>
      <c r="AI56" s="37" t="str">
        <f>IF(E56="","",E56)</f>
        <v/>
      </c>
      <c r="AJ56" s="113"/>
      <c r="AK56" s="113"/>
      <c r="AL56" s="113"/>
      <c r="AM56" s="113"/>
      <c r="AN56" s="113"/>
      <c r="AO56" s="113"/>
      <c r="AP56" s="113"/>
      <c r="AQ56" s="113"/>
      <c r="AR56" s="113"/>
      <c r="AS56" s="113"/>
      <c r="AT56" s="113"/>
      <c r="AU56" s="113"/>
      <c r="AV56" s="113"/>
    </row>
    <row r="57" spans="1:48" x14ac:dyDescent="0.3">
      <c r="A57" s="5" t="s">
        <v>1258</v>
      </c>
      <c r="B57" s="16" t="s">
        <v>1259</v>
      </c>
      <c r="C57" s="28">
        <v>211</v>
      </c>
      <c r="D57" s="25">
        <v>68</v>
      </c>
      <c r="E57" s="106">
        <v>21</v>
      </c>
      <c r="F57" s="25">
        <v>48.1</v>
      </c>
      <c r="G57" s="27">
        <v>15</v>
      </c>
      <c r="H57" s="28">
        <v>34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2</v>
      </c>
      <c r="R57" s="15">
        <v>1</v>
      </c>
      <c r="S57" s="113" t="s">
        <v>1260</v>
      </c>
      <c r="T57" s="8">
        <v>68</v>
      </c>
      <c r="U57" s="13"/>
      <c r="W57" s="25">
        <f>D57</f>
        <v>68</v>
      </c>
      <c r="X57" s="106">
        <f>E57</f>
        <v>21</v>
      </c>
      <c r="Y57" s="32">
        <f>H57</f>
        <v>34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복</v>
      </c>
      <c r="AF57" s="15" t="str">
        <f>Q57&amp;"/"&amp;R57</f>
        <v>2/1</v>
      </c>
      <c r="AH57" s="36" t="str">
        <f>IF(A57="","",A57)</f>
        <v>씨제이</v>
      </c>
      <c r="AI57" s="106">
        <f>IF(E57="","",E57)</f>
        <v>21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X</v>
      </c>
      <c r="AV57" s="113" t="str">
        <f>IF(AO57="","",IF(AND(AO57="O",AP57="O",AR57="O",AT57="O",AU57="O"),"후보","X"))</f>
        <v/>
      </c>
    </row>
    <row r="58" spans="1:48" x14ac:dyDescent="0.3">
      <c r="A58" s="5" t="s">
        <v>1261</v>
      </c>
      <c r="B58" s="16" t="s">
        <v>1262</v>
      </c>
      <c r="C58" s="28">
        <v>211</v>
      </c>
      <c r="D58" s="25">
        <v>79.2</v>
      </c>
      <c r="E58" s="106">
        <v>24</v>
      </c>
      <c r="F58" s="25">
        <v>57</v>
      </c>
      <c r="G58" s="27">
        <v>17</v>
      </c>
      <c r="H58" s="28">
        <v>177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3</v>
      </c>
      <c r="R58" s="15">
        <v>1</v>
      </c>
      <c r="S58" s="113" t="s">
        <v>1260</v>
      </c>
      <c r="T58" s="8">
        <v>79</v>
      </c>
      <c r="U58" s="13"/>
      <c r="W58" s="25">
        <f>D58</f>
        <v>79.2</v>
      </c>
      <c r="X58" s="106">
        <f>E58</f>
        <v>24</v>
      </c>
      <c r="Y58" s="32">
        <f>H58</f>
        <v>177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복</v>
      </c>
      <c r="AF58" s="15" t="str">
        <f>Q58&amp;"/"&amp;R58</f>
        <v>3/1</v>
      </c>
      <c r="AH58" s="36" t="str">
        <f>IF(A58="","",A58)</f>
        <v>씨제이</v>
      </c>
      <c r="AI58" s="106">
        <f>IF(E58="","",E58)</f>
        <v>24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O</v>
      </c>
      <c r="AU58" s="113" t="str">
        <f>IF(C58="","",IF(C58&gt;=$AU$1,"O","X"))</f>
        <v>X</v>
      </c>
      <c r="AV58" s="113" t="str">
        <f>IF(AO58="","",IF(AND(AO58="O",AP58="O",AR58="O",AT58="O",AU58="O"),"후보","X"))</f>
        <v/>
      </c>
    </row>
    <row r="59" spans="1:48" x14ac:dyDescent="0.3">
      <c r="A59" s="9"/>
      <c r="B59" s="113"/>
      <c r="C59" s="10"/>
      <c r="D59" s="13"/>
      <c r="E59" s="20"/>
      <c r="F59" s="26"/>
      <c r="G59" s="13"/>
      <c r="H59" s="13"/>
      <c r="I59" s="13"/>
      <c r="J59" s="13"/>
      <c r="K59" s="13"/>
      <c r="L59" s="13"/>
      <c r="M59" s="13"/>
      <c r="N59" s="13"/>
      <c r="O59" s="29"/>
      <c r="P59" s="29"/>
      <c r="Q59" s="23"/>
      <c r="R59" s="23"/>
      <c r="S59" s="13"/>
      <c r="T59" s="70"/>
      <c r="U59" s="13"/>
      <c r="W59" s="107" t="str">
        <f>$A$4&amp;" "&amp;A60&amp;"("&amp;B60&amp;","&amp;C60&amp;"^)"</f>
        <v>인계동 선경1차('93.06.,360^)</v>
      </c>
      <c r="X59" s="108"/>
      <c r="Y59" s="108"/>
      <c r="Z59" s="108"/>
      <c r="AA59" s="108"/>
      <c r="AB59" s="108"/>
      <c r="AC59" s="108"/>
      <c r="AD59" s="108"/>
      <c r="AE59" s="108"/>
      <c r="AF59" s="109"/>
      <c r="AH59" s="36" t="str">
        <f>IF(A59="","",A59)</f>
        <v/>
      </c>
      <c r="AI59" s="37" t="str">
        <f>IF(E59="","",E59)</f>
        <v/>
      </c>
      <c r="AJ59" s="113"/>
      <c r="AK59" s="113"/>
      <c r="AL59" s="113"/>
      <c r="AM59" s="113"/>
      <c r="AN59" s="113"/>
      <c r="AO59" s="113"/>
      <c r="AP59" s="113"/>
      <c r="AQ59" s="113"/>
      <c r="AR59" s="113"/>
      <c r="AS59" s="113"/>
      <c r="AT59" s="113"/>
      <c r="AU59" s="113"/>
      <c r="AV59" s="113"/>
    </row>
    <row r="60" spans="1:48" x14ac:dyDescent="0.3">
      <c r="A60" s="5" t="s">
        <v>1263</v>
      </c>
      <c r="B60" s="16" t="s">
        <v>1264</v>
      </c>
      <c r="C60" s="28">
        <v>360</v>
      </c>
      <c r="D60" s="25">
        <v>81.5</v>
      </c>
      <c r="E60" s="106">
        <v>25</v>
      </c>
      <c r="F60" s="25">
        <v>59.3</v>
      </c>
      <c r="G60" s="27">
        <v>18</v>
      </c>
      <c r="H60" s="28">
        <v>160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2</v>
      </c>
      <c r="R60" s="15">
        <v>1</v>
      </c>
      <c r="S60" s="113" t="s">
        <v>1260</v>
      </c>
      <c r="T60" s="8">
        <v>81</v>
      </c>
      <c r="U60" s="13"/>
      <c r="W60" s="25">
        <f>D60</f>
        <v>81.5</v>
      </c>
      <c r="X60" s="106">
        <f>E60</f>
        <v>25</v>
      </c>
      <c r="Y60" s="32">
        <f>H60</f>
        <v>160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복</v>
      </c>
      <c r="AF60" s="15" t="str">
        <f>Q60&amp;"/"&amp;R60</f>
        <v>2/1</v>
      </c>
      <c r="AH60" s="36" t="str">
        <f>IF(A60="","",A60)</f>
        <v>선경1차</v>
      </c>
      <c r="AI60" s="106">
        <f>IF(E60="","",E60)</f>
        <v>25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O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5" t="s">
        <v>1263</v>
      </c>
      <c r="B61" s="16" t="s">
        <v>1264</v>
      </c>
      <c r="C61" s="28">
        <v>360</v>
      </c>
      <c r="D61" s="25">
        <v>108</v>
      </c>
      <c r="E61" s="106">
        <v>33</v>
      </c>
      <c r="F61" s="25">
        <v>84.9</v>
      </c>
      <c r="G61" s="27">
        <v>26</v>
      </c>
      <c r="H61" s="28">
        <v>132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3</v>
      </c>
      <c r="R61" s="15">
        <v>2</v>
      </c>
      <c r="S61" s="113" t="s">
        <v>1265</v>
      </c>
      <c r="T61" s="8">
        <v>107</v>
      </c>
      <c r="U61" s="13"/>
      <c r="W61" s="25">
        <f>D61</f>
        <v>108</v>
      </c>
      <c r="X61" s="106">
        <f>E61</f>
        <v>33</v>
      </c>
      <c r="Y61" s="32">
        <f>H61</f>
        <v>132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3/2</v>
      </c>
      <c r="AH61" s="36" t="str">
        <f>IF(A61="","",A61)</f>
        <v>선경1차</v>
      </c>
      <c r="AI61" s="106">
        <f>IF(E61="","",E61)</f>
        <v>33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O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1263</v>
      </c>
      <c r="B62" s="16" t="s">
        <v>1264</v>
      </c>
      <c r="C62" s="28">
        <v>360</v>
      </c>
      <c r="D62" s="25">
        <v>161.69999999999999</v>
      </c>
      <c r="E62" s="106">
        <v>49</v>
      </c>
      <c r="F62" s="25">
        <v>133.9</v>
      </c>
      <c r="G62" s="27">
        <v>40</v>
      </c>
      <c r="H62" s="28">
        <v>68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4</v>
      </c>
      <c r="R62" s="15">
        <v>2</v>
      </c>
      <c r="S62" s="113" t="s">
        <v>1265</v>
      </c>
      <c r="T62" s="8">
        <v>161</v>
      </c>
      <c r="U62" s="13"/>
      <c r="W62" s="25">
        <f>D62</f>
        <v>161.69999999999999</v>
      </c>
      <c r="X62" s="106">
        <f>E62</f>
        <v>49</v>
      </c>
      <c r="Y62" s="32">
        <f>H62</f>
        <v>68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4/2</v>
      </c>
      <c r="AH62" s="36" t="str">
        <f>IF(A62="","",A62)</f>
        <v>선경1차</v>
      </c>
      <c r="AI62" s="106">
        <f>IF(E62="","",E62)</f>
        <v>49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X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9"/>
      <c r="B63" s="113"/>
      <c r="C63" s="10"/>
      <c r="D63" s="13"/>
      <c r="E63" s="20"/>
      <c r="F63" s="26"/>
      <c r="G63" s="13"/>
      <c r="H63" s="13"/>
      <c r="I63" s="13"/>
      <c r="J63" s="13"/>
      <c r="K63" s="13"/>
      <c r="L63" s="13"/>
      <c r="M63" s="13"/>
      <c r="N63" s="13"/>
      <c r="O63" s="29"/>
      <c r="P63" s="29"/>
      <c r="Q63" s="23"/>
      <c r="R63" s="23"/>
      <c r="S63" s="13"/>
      <c r="T63" s="70"/>
      <c r="U63" s="13"/>
      <c r="W63" s="107" t="str">
        <f>$A$4&amp;" "&amp;A64&amp;"("&amp;B64&amp;","&amp;C64&amp;"^)"</f>
        <v>인계동 한화꿈에그린파크('10.03.,212^)</v>
      </c>
      <c r="X63" s="108"/>
      <c r="Y63" s="108"/>
      <c r="Z63" s="108"/>
      <c r="AA63" s="108"/>
      <c r="AB63" s="108"/>
      <c r="AC63" s="108"/>
      <c r="AD63" s="108"/>
      <c r="AE63" s="108"/>
      <c r="AF63" s="109"/>
      <c r="AH63" s="36" t="str">
        <f>IF(A63="","",A63)</f>
        <v/>
      </c>
      <c r="AI63" s="37" t="str">
        <f>IF(E63="","",E63)</f>
        <v/>
      </c>
      <c r="AJ63" s="113"/>
      <c r="AK63" s="113"/>
      <c r="AL63" s="113"/>
      <c r="AM63" s="113"/>
      <c r="AN63" s="113"/>
      <c r="AO63" s="113"/>
      <c r="AP63" s="113"/>
      <c r="AQ63" s="113"/>
      <c r="AR63" s="113"/>
      <c r="AS63" s="113"/>
      <c r="AT63" s="113"/>
      <c r="AU63" s="113"/>
      <c r="AV63" s="113"/>
    </row>
    <row r="64" spans="1:48" x14ac:dyDescent="0.3">
      <c r="A64" s="5" t="s">
        <v>1266</v>
      </c>
      <c r="B64" s="16" t="s">
        <v>1267</v>
      </c>
      <c r="C64" s="28">
        <v>212</v>
      </c>
      <c r="D64" s="25">
        <v>152.1</v>
      </c>
      <c r="E64" s="106">
        <v>46</v>
      </c>
      <c r="F64" s="25">
        <v>120.9</v>
      </c>
      <c r="G64" s="27">
        <v>37</v>
      </c>
      <c r="H64" s="28">
        <v>34</v>
      </c>
      <c r="I64" s="33"/>
      <c r="J64" s="33"/>
      <c r="K64" s="33"/>
      <c r="L64" s="33"/>
      <c r="M64" s="6">
        <f>I64-K64</f>
        <v>0</v>
      </c>
      <c r="N64" s="7" t="str">
        <f>IF(ISERROR(K64/I64),"",K64/I64)</f>
        <v/>
      </c>
      <c r="O64" s="14">
        <f>I64/E64</f>
        <v>0</v>
      </c>
      <c r="P64" s="14">
        <f>K64/E64</f>
        <v>0</v>
      </c>
      <c r="Q64" s="15">
        <v>4</v>
      </c>
      <c r="R64" s="15">
        <v>2</v>
      </c>
      <c r="S64" s="113" t="s">
        <v>1265</v>
      </c>
      <c r="T64" s="8">
        <v>152</v>
      </c>
      <c r="U64" s="13"/>
      <c r="W64" s="25">
        <f>D64</f>
        <v>152.1</v>
      </c>
      <c r="X64" s="106">
        <f>E64</f>
        <v>46</v>
      </c>
      <c r="Y64" s="32">
        <f>H64</f>
        <v>34</v>
      </c>
      <c r="Z64" s="6">
        <f>I64</f>
        <v>0</v>
      </c>
      <c r="AA64" s="6">
        <f>K64</f>
        <v>0</v>
      </c>
      <c r="AB64" s="6">
        <f>M64</f>
        <v>0</v>
      </c>
      <c r="AC64" s="7" t="str">
        <f>N64</f>
        <v/>
      </c>
      <c r="AD64" s="14">
        <f>O64</f>
        <v>0</v>
      </c>
      <c r="AE64" s="113" t="str">
        <f>S64</f>
        <v>계</v>
      </c>
      <c r="AF64" s="15" t="str">
        <f>Q64&amp;"/"&amp;R64</f>
        <v>4/2</v>
      </c>
      <c r="AH64" s="36" t="str">
        <f>IF(A64="","",A64)</f>
        <v>한화꿈에그린파크</v>
      </c>
      <c r="AI64" s="106">
        <f>IF(E64="","",E64)</f>
        <v>46</v>
      </c>
      <c r="AJ64" s="113" t="str">
        <f>IF(AI64="","",$AJ$2)</f>
        <v>A-</v>
      </c>
      <c r="AK64" s="113" t="s">
        <v>42</v>
      </c>
      <c r="AL64" s="113" t="s">
        <v>45</v>
      </c>
      <c r="AM64" s="113" t="s">
        <v>46</v>
      </c>
      <c r="AN64" s="113" t="str">
        <f>IF(AI64="","",$AN$2)</f>
        <v>C</v>
      </c>
      <c r="AO64" s="113" t="str">
        <f>IF(N64="","",IF(N64&gt;=$AO$1/100,"O","X"))</f>
        <v/>
      </c>
      <c r="AP64" s="113" t="str">
        <f>IF(I64="","",IF(I64&lt;=$AP$1,"O","X"))</f>
        <v/>
      </c>
      <c r="AQ64" s="113" t="str">
        <f>IF(O64="","",IF(O64&lt;=$AQ$1,"O","X"))</f>
        <v>O</v>
      </c>
      <c r="AR64" s="113" t="str">
        <f>IF(M64="","",IF(M64&lt;=$AR$1,"O","X"))</f>
        <v>O</v>
      </c>
      <c r="AS64" s="113" t="s">
        <v>32</v>
      </c>
      <c r="AT64" s="113" t="str">
        <f>IF(OR(F64="",AI64=""),"",IF(AND((F64&lt;=85),(AI64&gt;=15)),"O","X"))</f>
        <v>X</v>
      </c>
      <c r="AU64" s="113" t="str">
        <f>IF(C64="","",IF(C64&gt;=$AU$1,"O","X"))</f>
        <v>X</v>
      </c>
      <c r="AV64" s="113" t="str">
        <f>IF(AO64="","",IF(AND(AO64="O",AP64="O",AR64="O",AT64="O",AU64="O"),"후보","X"))</f>
        <v/>
      </c>
    </row>
    <row r="65" spans="1:48" x14ac:dyDescent="0.3">
      <c r="A65" s="5" t="s">
        <v>1266</v>
      </c>
      <c r="B65" s="16" t="s">
        <v>1267</v>
      </c>
      <c r="C65" s="28">
        <v>212</v>
      </c>
      <c r="D65" s="25">
        <v>159.19999999999999</v>
      </c>
      <c r="E65" s="106">
        <v>48</v>
      </c>
      <c r="F65" s="25">
        <v>126</v>
      </c>
      <c r="G65" s="27">
        <v>38</v>
      </c>
      <c r="H65" s="28">
        <v>70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4</v>
      </c>
      <c r="R65" s="15">
        <v>2</v>
      </c>
      <c r="S65" s="113" t="s">
        <v>1265</v>
      </c>
      <c r="T65" s="8">
        <v>159</v>
      </c>
      <c r="U65" s="13"/>
      <c r="W65" s="25">
        <f>D65</f>
        <v>159.19999999999999</v>
      </c>
      <c r="X65" s="106">
        <f>E65</f>
        <v>48</v>
      </c>
      <c r="Y65" s="32">
        <f>H65</f>
        <v>70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4/2</v>
      </c>
      <c r="AH65" s="36" t="str">
        <f>IF(A65="","",A65)</f>
        <v>한화꿈에그린파크</v>
      </c>
      <c r="AI65" s="106">
        <f>IF(E65="","",E65)</f>
        <v>48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X</v>
      </c>
      <c r="AU65" s="113" t="str">
        <f>IF(C65="","",IF(C65&gt;=$AU$1,"O","X"))</f>
        <v>X</v>
      </c>
      <c r="AV65" s="113" t="str">
        <f>IF(AO65="","",IF(AND(AO65="O",AP65="O",AR65="O",AT65="O",AU65="O"),"후보","X"))</f>
        <v/>
      </c>
    </row>
    <row r="66" spans="1:48" x14ac:dyDescent="0.3">
      <c r="A66" s="5" t="s">
        <v>1266</v>
      </c>
      <c r="B66" s="16" t="s">
        <v>1267</v>
      </c>
      <c r="C66" s="28">
        <v>212</v>
      </c>
      <c r="D66" s="25">
        <v>169.5</v>
      </c>
      <c r="E66" s="106">
        <v>51</v>
      </c>
      <c r="F66" s="25">
        <v>134.80000000000001</v>
      </c>
      <c r="G66" s="27">
        <v>41</v>
      </c>
      <c r="H66" s="28">
        <v>36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4</v>
      </c>
      <c r="R66" s="15">
        <v>2</v>
      </c>
      <c r="S66" s="113" t="s">
        <v>1265</v>
      </c>
      <c r="T66" s="8">
        <v>169</v>
      </c>
      <c r="U66" s="13"/>
      <c r="W66" s="25">
        <f>D66</f>
        <v>169.5</v>
      </c>
      <c r="X66" s="106">
        <f>E66</f>
        <v>51</v>
      </c>
      <c r="Y66" s="32">
        <f>H66</f>
        <v>36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4/2</v>
      </c>
      <c r="AH66" s="36" t="str">
        <f>IF(A66="","",A66)</f>
        <v>한화꿈에그린파크</v>
      </c>
      <c r="AI66" s="106">
        <f>IF(E66="","",E66)</f>
        <v>51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X</v>
      </c>
      <c r="AU66" s="113" t="str">
        <f>IF(C66="","",IF(C66&gt;=$AU$1,"O","X"))</f>
        <v>X</v>
      </c>
      <c r="AV66" s="113" t="str">
        <f>IF(AO66="","",IF(AND(AO66="O",AP66="O",AR66="O",AT66="O",AU66="O"),"후보","X"))</f>
        <v/>
      </c>
    </row>
    <row r="67" spans="1:48" x14ac:dyDescent="0.3">
      <c r="A67" s="5" t="s">
        <v>1266</v>
      </c>
      <c r="B67" s="16" t="s">
        <v>1267</v>
      </c>
      <c r="C67" s="28">
        <v>212</v>
      </c>
      <c r="D67" s="25">
        <v>179.2</v>
      </c>
      <c r="E67" s="106">
        <v>54</v>
      </c>
      <c r="F67" s="25">
        <v>142.9</v>
      </c>
      <c r="G67" s="27">
        <v>43</v>
      </c>
      <c r="H67" s="28">
        <v>72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4</v>
      </c>
      <c r="R67" s="15">
        <v>2</v>
      </c>
      <c r="S67" s="113" t="s">
        <v>1265</v>
      </c>
      <c r="T67" s="8">
        <v>179</v>
      </c>
      <c r="U67" s="13"/>
      <c r="W67" s="25">
        <f>D67</f>
        <v>179.2</v>
      </c>
      <c r="X67" s="106">
        <f>E67</f>
        <v>54</v>
      </c>
      <c r="Y67" s="32">
        <f>H67</f>
        <v>72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4/2</v>
      </c>
      <c r="AH67" s="36" t="str">
        <f>IF(A67="","",A67)</f>
        <v>한화꿈에그린파크</v>
      </c>
      <c r="AI67" s="106">
        <f>IF(E67="","",E67)</f>
        <v>54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X</v>
      </c>
      <c r="AU67" s="113" t="str">
        <f>IF(C67="","",IF(C67&gt;=$AU$1,"O","X"))</f>
        <v>X</v>
      </c>
      <c r="AV67" s="113" t="str">
        <f>IF(AO67="","",IF(AND(AO67="O",AP67="O",AR67="O",AT67="O",AU67="O"),"후보","X"))</f>
        <v/>
      </c>
    </row>
    <row r="68" spans="1:48" x14ac:dyDescent="0.3">
      <c r="A68" s="9"/>
      <c r="B68" s="113"/>
      <c r="C68" s="10"/>
      <c r="D68" s="13"/>
      <c r="E68" s="20"/>
      <c r="F68" s="26"/>
      <c r="G68" s="13"/>
      <c r="H68" s="13"/>
      <c r="I68" s="13"/>
      <c r="J68" s="13"/>
      <c r="K68" s="13"/>
      <c r="L68" s="13"/>
      <c r="M68" s="13"/>
      <c r="N68" s="13"/>
      <c r="O68" s="29"/>
      <c r="P68" s="29"/>
      <c r="Q68" s="23"/>
      <c r="R68" s="23"/>
      <c r="S68" s="13"/>
      <c r="T68" s="70"/>
      <c r="U68" s="13"/>
      <c r="W68" s="107" t="str">
        <f>$A$4&amp;" "&amp;A69&amp;"("&amp;B69&amp;","&amp;C69&amp;"^)"</f>
        <v>인계동 인계한양수자인('19.04.,279^)</v>
      </c>
      <c r="X68" s="108"/>
      <c r="Y68" s="108"/>
      <c r="Z68" s="108"/>
      <c r="AA68" s="108"/>
      <c r="AB68" s="108"/>
      <c r="AC68" s="108"/>
      <c r="AD68" s="108"/>
      <c r="AE68" s="108"/>
      <c r="AF68" s="109"/>
      <c r="AH68" s="36" t="str">
        <f>IF(A68="","",A68)</f>
        <v/>
      </c>
      <c r="AI68" s="37" t="str">
        <f>IF(E68="","",E68)</f>
        <v/>
      </c>
      <c r="AJ68" s="113"/>
      <c r="AK68" s="113"/>
      <c r="AL68" s="113"/>
      <c r="AM68" s="113"/>
      <c r="AN68" s="113"/>
      <c r="AO68" s="113"/>
      <c r="AP68" s="113"/>
      <c r="AQ68" s="113"/>
      <c r="AR68" s="113"/>
      <c r="AS68" s="113"/>
      <c r="AT68" s="113"/>
      <c r="AU68" s="113"/>
      <c r="AV68" s="113"/>
    </row>
    <row r="69" spans="1:48" x14ac:dyDescent="0.3">
      <c r="A69" s="5" t="s">
        <v>1268</v>
      </c>
      <c r="B69" s="16" t="s">
        <v>1269</v>
      </c>
      <c r="C69" s="28">
        <v>279</v>
      </c>
      <c r="D69" s="25">
        <v>82.7</v>
      </c>
      <c r="E69" s="106">
        <v>25</v>
      </c>
      <c r="F69" s="25">
        <v>60</v>
      </c>
      <c r="G69" s="27">
        <v>18</v>
      </c>
      <c r="H69" s="28">
        <v>61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3</v>
      </c>
      <c r="R69" s="15">
        <v>2</v>
      </c>
      <c r="S69" s="113" t="s">
        <v>1265</v>
      </c>
      <c r="T69" s="8" t="s">
        <v>913</v>
      </c>
      <c r="U69" s="13"/>
      <c r="W69" s="25">
        <f>D69</f>
        <v>82.7</v>
      </c>
      <c r="X69" s="106">
        <f>E69</f>
        <v>25</v>
      </c>
      <c r="Y69" s="32">
        <f>H69</f>
        <v>61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3/2</v>
      </c>
      <c r="AH69" s="36" t="str">
        <f>IF(A69="","",A69)</f>
        <v>인계한양수자인</v>
      </c>
      <c r="AI69" s="106">
        <f>IF(E69="","",E69)</f>
        <v>25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O</v>
      </c>
      <c r="AU69" s="113" t="str">
        <f>IF(C69="","",IF(C69&gt;=$AU$1,"O","X"))</f>
        <v>X</v>
      </c>
      <c r="AV69" s="113" t="str">
        <f>IF(AO69="","",IF(AND(AO69="O",AP69="O",AR69="O",AT69="O",AU69="O"),"후보","X"))</f>
        <v/>
      </c>
    </row>
    <row r="70" spans="1:48" x14ac:dyDescent="0.3">
      <c r="A70" s="5" t="s">
        <v>1268</v>
      </c>
      <c r="B70" s="16" t="s">
        <v>1269</v>
      </c>
      <c r="C70" s="28">
        <v>279</v>
      </c>
      <c r="D70" s="25">
        <v>83.9</v>
      </c>
      <c r="E70" s="106">
        <v>25</v>
      </c>
      <c r="F70" s="25">
        <v>60</v>
      </c>
      <c r="G70" s="27">
        <v>18</v>
      </c>
      <c r="H70" s="28">
        <v>37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3</v>
      </c>
      <c r="R70" s="15">
        <v>2</v>
      </c>
      <c r="S70" s="113" t="s">
        <v>1265</v>
      </c>
      <c r="T70" s="8" t="s">
        <v>290</v>
      </c>
      <c r="U70" s="13"/>
      <c r="W70" s="25">
        <f>D70</f>
        <v>83.9</v>
      </c>
      <c r="X70" s="106">
        <f>E70</f>
        <v>25</v>
      </c>
      <c r="Y70" s="32">
        <f>H70</f>
        <v>37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3/2</v>
      </c>
      <c r="AH70" s="36" t="str">
        <f>IF(A70="","",A70)</f>
        <v>인계한양수자인</v>
      </c>
      <c r="AI70" s="106">
        <f>IF(E70="","",E70)</f>
        <v>25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O</v>
      </c>
      <c r="AU70" s="113" t="str">
        <f>IF(C70="","",IF(C70&gt;=$AU$1,"O","X"))</f>
        <v>X</v>
      </c>
      <c r="AV70" s="113" t="str">
        <f>IF(AO70="","",IF(AND(AO70="O",AP70="O",AR70="O",AT70="O",AU70="O"),"후보","X"))</f>
        <v/>
      </c>
    </row>
    <row r="71" spans="1:48" x14ac:dyDescent="0.3">
      <c r="A71" s="5" t="s">
        <v>1268</v>
      </c>
      <c r="B71" s="16" t="s">
        <v>1269</v>
      </c>
      <c r="C71" s="28">
        <v>279</v>
      </c>
      <c r="D71" s="25">
        <v>83.1</v>
      </c>
      <c r="E71" s="106">
        <v>25</v>
      </c>
      <c r="F71" s="25">
        <v>60</v>
      </c>
      <c r="G71" s="27">
        <v>18</v>
      </c>
      <c r="H71" s="28">
        <v>37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3</v>
      </c>
      <c r="R71" s="15">
        <v>2</v>
      </c>
      <c r="S71" s="113" t="s">
        <v>1265</v>
      </c>
      <c r="T71" s="8" t="s">
        <v>917</v>
      </c>
      <c r="U71" s="13"/>
      <c r="W71" s="25">
        <f>D71</f>
        <v>83.1</v>
      </c>
      <c r="X71" s="106">
        <f>E71</f>
        <v>25</v>
      </c>
      <c r="Y71" s="32">
        <f>H71</f>
        <v>37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3/2</v>
      </c>
      <c r="AH71" s="36" t="str">
        <f>IF(A71="","",A71)</f>
        <v>인계한양수자인</v>
      </c>
      <c r="AI71" s="106">
        <f>IF(E71="","",E71)</f>
        <v>25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O</v>
      </c>
      <c r="AU71" s="113" t="str">
        <f>IF(C71="","",IF(C71&gt;=$AU$1,"O","X"))</f>
        <v>X</v>
      </c>
      <c r="AV71" s="113" t="str">
        <f>IF(AO71="","",IF(AND(AO71="O",AP71="O",AR71="O",AT71="O",AU71="O"),"후보","X"))</f>
        <v/>
      </c>
    </row>
    <row r="72" spans="1:48" x14ac:dyDescent="0.3">
      <c r="A72" s="5" t="s">
        <v>1268</v>
      </c>
      <c r="B72" s="16" t="s">
        <v>1269</v>
      </c>
      <c r="C72" s="28">
        <v>279</v>
      </c>
      <c r="D72" s="25">
        <v>83.6</v>
      </c>
      <c r="E72" s="106">
        <v>25</v>
      </c>
      <c r="F72" s="25">
        <v>59.9</v>
      </c>
      <c r="G72" s="27">
        <v>18</v>
      </c>
      <c r="H72" s="28">
        <v>25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3</v>
      </c>
      <c r="R72" s="15">
        <v>2</v>
      </c>
      <c r="S72" s="113" t="s">
        <v>1265</v>
      </c>
      <c r="T72" s="8" t="s">
        <v>918</v>
      </c>
      <c r="U72" s="13"/>
      <c r="W72" s="25">
        <f>D72</f>
        <v>83.6</v>
      </c>
      <c r="X72" s="106">
        <f>E72</f>
        <v>25</v>
      </c>
      <c r="Y72" s="32">
        <f>H72</f>
        <v>25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3" t="str">
        <f>S72</f>
        <v>계</v>
      </c>
      <c r="AF72" s="15" t="str">
        <f>Q72&amp;"/"&amp;R72</f>
        <v>3/2</v>
      </c>
      <c r="AH72" s="36" t="str">
        <f>IF(A72="","",A72)</f>
        <v>인계한양수자인</v>
      </c>
      <c r="AI72" s="106">
        <f>IF(E72="","",E72)</f>
        <v>25</v>
      </c>
      <c r="AJ72" s="113" t="str">
        <f>IF(AI72="","",$AJ$2)</f>
        <v>A-</v>
      </c>
      <c r="AK72" s="113" t="s">
        <v>42</v>
      </c>
      <c r="AL72" s="113" t="s">
        <v>45</v>
      </c>
      <c r="AM72" s="113" t="s">
        <v>46</v>
      </c>
      <c r="AN72" s="113" t="str">
        <f>IF(AI72="","",$AN$2)</f>
        <v>C</v>
      </c>
      <c r="AO72" s="113" t="str">
        <f>IF(N72="","",IF(N72&gt;=$AO$1/100,"O","X"))</f>
        <v/>
      </c>
      <c r="AP72" s="113" t="str">
        <f>IF(I72="","",IF(I72&lt;=$AP$1,"O","X"))</f>
        <v/>
      </c>
      <c r="AQ72" s="113" t="str">
        <f>IF(O72="","",IF(O72&lt;=$AQ$1,"O","X"))</f>
        <v>O</v>
      </c>
      <c r="AR72" s="113" t="str">
        <f>IF(M72="","",IF(M72&lt;=$AR$1,"O","X"))</f>
        <v>O</v>
      </c>
      <c r="AS72" s="113" t="s">
        <v>32</v>
      </c>
      <c r="AT72" s="113" t="str">
        <f>IF(OR(F72="",AI72=""),"",IF(AND((F72&lt;=85),(AI72&gt;=15)),"O","X"))</f>
        <v>O</v>
      </c>
      <c r="AU72" s="113" t="str">
        <f>IF(C72="","",IF(C72&gt;=$AU$1,"O","X"))</f>
        <v>X</v>
      </c>
      <c r="AV72" s="113" t="str">
        <f>IF(AO72="","",IF(AND(AO72="O",AP72="O",AR72="O",AT72="O",AU72="O"),"후보","X"))</f>
        <v/>
      </c>
    </row>
    <row r="73" spans="1:48" x14ac:dyDescent="0.3">
      <c r="A73" s="5" t="s">
        <v>1268</v>
      </c>
      <c r="B73" s="16" t="s">
        <v>1269</v>
      </c>
      <c r="C73" s="28">
        <v>279</v>
      </c>
      <c r="D73" s="25">
        <v>83.9</v>
      </c>
      <c r="E73" s="106">
        <v>25</v>
      </c>
      <c r="F73" s="25">
        <v>60</v>
      </c>
      <c r="G73" s="27">
        <v>18</v>
      </c>
      <c r="H73" s="28">
        <v>24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3</v>
      </c>
      <c r="R73" s="15">
        <v>2</v>
      </c>
      <c r="S73" s="113" t="s">
        <v>1265</v>
      </c>
      <c r="T73" s="8" t="s">
        <v>919</v>
      </c>
      <c r="U73" s="13"/>
      <c r="W73" s="25">
        <f>D73</f>
        <v>83.9</v>
      </c>
      <c r="X73" s="106">
        <f>E73</f>
        <v>25</v>
      </c>
      <c r="Y73" s="32">
        <f>H73</f>
        <v>24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3/2</v>
      </c>
      <c r="AH73" s="36" t="str">
        <f>IF(A73="","",A73)</f>
        <v>인계한양수자인</v>
      </c>
      <c r="AI73" s="106">
        <f>IF(E73="","",E73)</f>
        <v>25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O</v>
      </c>
      <c r="AU73" s="113" t="str">
        <f>IF(C73="","",IF(C73&gt;=$AU$1,"O","X"))</f>
        <v>X</v>
      </c>
      <c r="AV73" s="113" t="str">
        <f>IF(AO73="","",IF(AND(AO73="O",AP73="O",AR73="O",AT73="O",AU73="O"),"후보","X"))</f>
        <v/>
      </c>
    </row>
    <row r="74" spans="1:48" x14ac:dyDescent="0.3">
      <c r="A74" s="5" t="s">
        <v>1268</v>
      </c>
      <c r="B74" s="16" t="s">
        <v>1269</v>
      </c>
      <c r="C74" s="28">
        <v>279</v>
      </c>
      <c r="D74" s="25">
        <v>101</v>
      </c>
      <c r="E74" s="106">
        <v>31</v>
      </c>
      <c r="F74" s="25">
        <v>75</v>
      </c>
      <c r="G74" s="27">
        <v>23</v>
      </c>
      <c r="H74" s="28">
        <v>95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3</v>
      </c>
      <c r="R74" s="15">
        <v>2</v>
      </c>
      <c r="S74" s="113" t="s">
        <v>1265</v>
      </c>
      <c r="T74" s="8">
        <v>100</v>
      </c>
      <c r="U74" s="13"/>
      <c r="W74" s="25">
        <f>D74</f>
        <v>101</v>
      </c>
      <c r="X74" s="106">
        <f>E74</f>
        <v>31</v>
      </c>
      <c r="Y74" s="32">
        <f>H74</f>
        <v>95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계</v>
      </c>
      <c r="AF74" s="15" t="str">
        <f>Q74&amp;"/"&amp;R74</f>
        <v>3/2</v>
      </c>
      <c r="AH74" s="36" t="str">
        <f>IF(A74="","",A74)</f>
        <v>인계한양수자인</v>
      </c>
      <c r="AI74" s="106">
        <f>IF(E74="","",E74)</f>
        <v>31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O</v>
      </c>
      <c r="AU74" s="113" t="str">
        <f>IF(C74="","",IF(C74&gt;=$AU$1,"O","X"))</f>
        <v>X</v>
      </c>
      <c r="AV74" s="113" t="str">
        <f>IF(AO74="","",IF(AND(AO74="O",AP74="O",AR74="O",AT74="O",AU74="O"),"후보","X"))</f>
        <v/>
      </c>
    </row>
    <row r="75" spans="1:48" x14ac:dyDescent="0.3">
      <c r="A75" s="9"/>
      <c r="B75" s="113"/>
      <c r="C75" s="10"/>
      <c r="D75" s="13"/>
      <c r="E75" s="20"/>
      <c r="F75" s="26"/>
      <c r="G75" s="13"/>
      <c r="H75" s="13"/>
      <c r="I75" s="13"/>
      <c r="J75" s="13"/>
      <c r="K75" s="13"/>
      <c r="L75" s="13"/>
      <c r="M75" s="13"/>
      <c r="N75" s="13"/>
      <c r="O75" s="29"/>
      <c r="P75" s="29"/>
      <c r="Q75" s="23"/>
      <c r="R75" s="23"/>
      <c r="S75" s="13"/>
      <c r="T75" s="70"/>
      <c r="U75" s="13"/>
      <c r="W75" s="107" t="str">
        <f>$A$4&amp;" "&amp;A76&amp;"("&amp;B76&amp;","&amp;C76&amp;"^)"</f>
        <v>인계동 인계파밀리에('09.06.,431^)</v>
      </c>
      <c r="X75" s="108"/>
      <c r="Y75" s="108"/>
      <c r="Z75" s="108"/>
      <c r="AA75" s="108"/>
      <c r="AB75" s="108"/>
      <c r="AC75" s="108"/>
      <c r="AD75" s="108"/>
      <c r="AE75" s="108"/>
      <c r="AF75" s="109"/>
      <c r="AH75" s="36" t="str">
        <f>IF(A75="","",A75)</f>
        <v/>
      </c>
      <c r="AI75" s="37" t="str">
        <f>IF(E75="","",E75)</f>
        <v/>
      </c>
      <c r="AJ75" s="113"/>
      <c r="AK75" s="113"/>
      <c r="AL75" s="113"/>
      <c r="AM75" s="113"/>
      <c r="AN75" s="113"/>
      <c r="AO75" s="113"/>
      <c r="AP75" s="113"/>
      <c r="AQ75" s="113"/>
      <c r="AR75" s="113"/>
      <c r="AS75" s="113"/>
      <c r="AT75" s="113"/>
      <c r="AU75" s="113"/>
      <c r="AV75" s="113"/>
    </row>
    <row r="76" spans="1:48" x14ac:dyDescent="0.3">
      <c r="A76" s="5" t="s">
        <v>1270</v>
      </c>
      <c r="B76" s="16" t="s">
        <v>1271</v>
      </c>
      <c r="C76" s="28">
        <v>431</v>
      </c>
      <c r="D76" s="25">
        <v>81.7</v>
      </c>
      <c r="E76" s="106">
        <v>25</v>
      </c>
      <c r="F76" s="25">
        <v>60</v>
      </c>
      <c r="G76" s="27">
        <v>18</v>
      </c>
      <c r="H76" s="28">
        <v>86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3</v>
      </c>
      <c r="R76" s="15">
        <v>2</v>
      </c>
      <c r="S76" s="113" t="s">
        <v>1265</v>
      </c>
      <c r="T76" s="8">
        <v>81</v>
      </c>
      <c r="U76" s="13"/>
      <c r="W76" s="25">
        <f>D76</f>
        <v>81.7</v>
      </c>
      <c r="X76" s="106">
        <f>E76</f>
        <v>25</v>
      </c>
      <c r="Y76" s="32">
        <f>H76</f>
        <v>86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3/2</v>
      </c>
      <c r="AH76" s="36" t="str">
        <f>IF(A76="","",A76)</f>
        <v>인계파밀리에</v>
      </c>
      <c r="AI76" s="106">
        <f>IF(E76="","",E76)</f>
        <v>25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O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5" t="s">
        <v>1270</v>
      </c>
      <c r="B77" s="16" t="s">
        <v>1271</v>
      </c>
      <c r="C77" s="28">
        <v>431</v>
      </c>
      <c r="D77" s="25">
        <v>109.1</v>
      </c>
      <c r="E77" s="106">
        <v>33</v>
      </c>
      <c r="F77" s="25">
        <v>85</v>
      </c>
      <c r="G77" s="27">
        <v>26</v>
      </c>
      <c r="H77" s="28">
        <v>164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3</v>
      </c>
      <c r="R77" s="15">
        <v>2</v>
      </c>
      <c r="S77" s="113" t="s">
        <v>1265</v>
      </c>
      <c r="T77" s="8" t="s">
        <v>924</v>
      </c>
      <c r="U77" s="13"/>
      <c r="W77" s="25">
        <f>D77</f>
        <v>109.1</v>
      </c>
      <c r="X77" s="106">
        <f>E77</f>
        <v>33</v>
      </c>
      <c r="Y77" s="32">
        <f>H77</f>
        <v>164</v>
      </c>
      <c r="Z77" s="6">
        <f>I77</f>
        <v>0</v>
      </c>
      <c r="AA77" s="6">
        <f>K77</f>
        <v>0</v>
      </c>
      <c r="AB77" s="6">
        <f>M77</f>
        <v>0</v>
      </c>
      <c r="AC77" s="7" t="str">
        <f>N77</f>
        <v/>
      </c>
      <c r="AD77" s="14">
        <f>O77</f>
        <v>0</v>
      </c>
      <c r="AE77" s="113" t="str">
        <f>S77</f>
        <v>계</v>
      </c>
      <c r="AF77" s="15" t="str">
        <f>Q77&amp;"/"&amp;R77</f>
        <v>3/2</v>
      </c>
      <c r="AH77" s="36" t="str">
        <f>IF(A77="","",A77)</f>
        <v>인계파밀리에</v>
      </c>
      <c r="AI77" s="106">
        <f>IF(E77="","",E77)</f>
        <v>33</v>
      </c>
      <c r="AJ77" s="113" t="str">
        <f>IF(AI77="","",$AJ$2)</f>
        <v>A-</v>
      </c>
      <c r="AK77" s="113" t="s">
        <v>42</v>
      </c>
      <c r="AL77" s="113" t="s">
        <v>45</v>
      </c>
      <c r="AM77" s="113" t="s">
        <v>46</v>
      </c>
      <c r="AN77" s="113" t="str">
        <f>IF(AI77="","",$AN$2)</f>
        <v>C</v>
      </c>
      <c r="AO77" s="113" t="str">
        <f>IF(N77="","",IF(N77&gt;=$AO$1/100,"O","X"))</f>
        <v/>
      </c>
      <c r="AP77" s="113" t="str">
        <f>IF(I77="","",IF(I77&lt;=$AP$1,"O","X"))</f>
        <v/>
      </c>
      <c r="AQ77" s="113" t="str">
        <f>IF(O77="","",IF(O77&lt;=$AQ$1,"O","X"))</f>
        <v>O</v>
      </c>
      <c r="AR77" s="113" t="str">
        <f>IF(M77="","",IF(M77&lt;=$AR$1,"O","X"))</f>
        <v>O</v>
      </c>
      <c r="AS77" s="113" t="s">
        <v>32</v>
      </c>
      <c r="AT77" s="113" t="str">
        <f>IF(OR(F77="",AI77=""),"",IF(AND((F77&lt;=85),(AI77&gt;=15)),"O","X"))</f>
        <v>O</v>
      </c>
      <c r="AU77" s="113" t="str">
        <f>IF(C77="","",IF(C77&gt;=$AU$1,"O","X"))</f>
        <v>O</v>
      </c>
      <c r="AV77" s="113" t="str">
        <f>IF(AO77="","",IF(AND(AO77="O",AP77="O",AR77="O",AT77="O",AU77="O"),"후보","X"))</f>
        <v/>
      </c>
    </row>
    <row r="78" spans="1:48" x14ac:dyDescent="0.3">
      <c r="A78" s="5" t="s">
        <v>1270</v>
      </c>
      <c r="B78" s="16" t="s">
        <v>1271</v>
      </c>
      <c r="C78" s="28">
        <v>431</v>
      </c>
      <c r="D78" s="25">
        <v>109.3</v>
      </c>
      <c r="E78" s="106">
        <v>33</v>
      </c>
      <c r="F78" s="25">
        <v>85</v>
      </c>
      <c r="G78" s="27">
        <v>26</v>
      </c>
      <c r="H78" s="28">
        <v>15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3</v>
      </c>
      <c r="R78" s="15">
        <v>2</v>
      </c>
      <c r="S78" s="113" t="s">
        <v>1265</v>
      </c>
      <c r="T78" s="8" t="s">
        <v>171</v>
      </c>
      <c r="U78" s="13"/>
      <c r="W78" s="25">
        <f>D78</f>
        <v>109.3</v>
      </c>
      <c r="X78" s="106">
        <f>E78</f>
        <v>33</v>
      </c>
      <c r="Y78" s="32">
        <f>H78</f>
        <v>15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3/2</v>
      </c>
      <c r="AH78" s="36" t="str">
        <f>IF(A78="","",A78)</f>
        <v>인계파밀리에</v>
      </c>
      <c r="AI78" s="106">
        <f>IF(E78="","",E78)</f>
        <v>33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O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5" t="s">
        <v>1270</v>
      </c>
      <c r="B79" s="16" t="s">
        <v>1271</v>
      </c>
      <c r="C79" s="28">
        <v>431</v>
      </c>
      <c r="D79" s="25">
        <v>111.3</v>
      </c>
      <c r="E79" s="106">
        <v>34</v>
      </c>
      <c r="F79" s="25">
        <v>85</v>
      </c>
      <c r="G79" s="27">
        <v>26</v>
      </c>
      <c r="H79" s="28">
        <v>40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3</v>
      </c>
      <c r="R79" s="15">
        <v>2</v>
      </c>
      <c r="S79" s="113" t="s">
        <v>1265</v>
      </c>
      <c r="T79" s="8" t="s">
        <v>925</v>
      </c>
      <c r="U79" s="13"/>
      <c r="W79" s="25">
        <f>D79</f>
        <v>111.3</v>
      </c>
      <c r="X79" s="106">
        <f>E79</f>
        <v>34</v>
      </c>
      <c r="Y79" s="32">
        <f>H79</f>
        <v>40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계</v>
      </c>
      <c r="AF79" s="15" t="str">
        <f>Q79&amp;"/"&amp;R79</f>
        <v>3/2</v>
      </c>
      <c r="AH79" s="36" t="str">
        <f>IF(A79="","",A79)</f>
        <v>인계파밀리에</v>
      </c>
      <c r="AI79" s="106">
        <f>IF(E79="","",E79)</f>
        <v>34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O</v>
      </c>
      <c r="AU79" s="113" t="str">
        <f>IF(C79="","",IF(C79&gt;=$AU$1,"O","X"))</f>
        <v>O</v>
      </c>
      <c r="AV79" s="113" t="str">
        <f>IF(AO79="","",IF(AND(AO79="O",AP79="O",AR79="O",AT79="O",AU79="O"),"후보","X"))</f>
        <v/>
      </c>
    </row>
    <row r="80" spans="1:48" x14ac:dyDescent="0.3">
      <c r="A80" s="5" t="s">
        <v>1270</v>
      </c>
      <c r="B80" s="16" t="s">
        <v>1271</v>
      </c>
      <c r="C80" s="28">
        <v>431</v>
      </c>
      <c r="D80" s="25">
        <v>143.19999999999999</v>
      </c>
      <c r="E80" s="106">
        <v>43</v>
      </c>
      <c r="F80" s="25">
        <v>116.6</v>
      </c>
      <c r="G80" s="27">
        <v>35</v>
      </c>
      <c r="H80" s="28">
        <v>40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4</v>
      </c>
      <c r="R80" s="15">
        <v>2</v>
      </c>
      <c r="S80" s="113" t="s">
        <v>1265</v>
      </c>
      <c r="T80" s="8" t="s">
        <v>926</v>
      </c>
      <c r="U80" s="13"/>
      <c r="W80" s="25">
        <f>D80</f>
        <v>143.19999999999999</v>
      </c>
      <c r="X80" s="106">
        <f>E80</f>
        <v>43</v>
      </c>
      <c r="Y80" s="32">
        <f>H80</f>
        <v>40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계</v>
      </c>
      <c r="AF80" s="15" t="str">
        <f>Q80&amp;"/"&amp;R80</f>
        <v>4/2</v>
      </c>
      <c r="AH80" s="36" t="str">
        <f>IF(A80="","",A80)</f>
        <v>인계파밀리에</v>
      </c>
      <c r="AI80" s="106">
        <f>IF(E80="","",E80)</f>
        <v>43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X</v>
      </c>
      <c r="AU80" s="113" t="str">
        <f>IF(C80="","",IF(C80&gt;=$AU$1,"O","X"))</f>
        <v>O</v>
      </c>
      <c r="AV80" s="113" t="str">
        <f>IF(AO80="","",IF(AND(AO80="O",AP80="O",AR80="O",AT80="O",AU80="O"),"후보","X"))</f>
        <v/>
      </c>
    </row>
    <row r="81" spans="1:48" x14ac:dyDescent="0.3">
      <c r="A81" s="5" t="s">
        <v>1270</v>
      </c>
      <c r="B81" s="16" t="s">
        <v>1271</v>
      </c>
      <c r="C81" s="28">
        <v>431</v>
      </c>
      <c r="D81" s="25">
        <v>144.4</v>
      </c>
      <c r="E81" s="106">
        <v>44</v>
      </c>
      <c r="F81" s="25">
        <v>116.3</v>
      </c>
      <c r="G81" s="27">
        <v>35</v>
      </c>
      <c r="H81" s="28">
        <v>56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4</v>
      </c>
      <c r="R81" s="15">
        <v>2</v>
      </c>
      <c r="S81" s="113" t="s">
        <v>1265</v>
      </c>
      <c r="T81" s="8" t="s">
        <v>927</v>
      </c>
      <c r="U81" s="13"/>
      <c r="W81" s="25">
        <f>D81</f>
        <v>144.4</v>
      </c>
      <c r="X81" s="106">
        <f>E81</f>
        <v>44</v>
      </c>
      <c r="Y81" s="32">
        <f>H81</f>
        <v>56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계</v>
      </c>
      <c r="AF81" s="15" t="str">
        <f>Q81&amp;"/"&amp;R81</f>
        <v>4/2</v>
      </c>
      <c r="AH81" s="36" t="str">
        <f>IF(A81="","",A81)</f>
        <v>인계파밀리에</v>
      </c>
      <c r="AI81" s="106">
        <f>IF(E81="","",E81)</f>
        <v>44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X</v>
      </c>
      <c r="AU81" s="113" t="str">
        <f>IF(C81="","",IF(C81&gt;=$AU$1,"O","X"))</f>
        <v>O</v>
      </c>
      <c r="AV81" s="113" t="str">
        <f>IF(AO81="","",IF(AND(AO81="O",AP81="O",AR81="O",AT81="O",AU81="O"),"후보","X"))</f>
        <v/>
      </c>
    </row>
  </sheetData>
  <mergeCells count="1">
    <mergeCell ref="AJ1:AN1"/>
  </mergeCells>
  <phoneticPr fontId="2" type="noConversion"/>
  <conditionalFormatting sqref="AV4:AV6">
    <cfRule type="expression" dxfId="2113" priority="1291">
      <formula>AV4="X"</formula>
    </cfRule>
    <cfRule type="expression" dxfId="2112" priority="1292">
      <formula>AV4="후보"</formula>
    </cfRule>
  </conditionalFormatting>
  <conditionalFormatting sqref="Z2:Z6">
    <cfRule type="colorScale" priority="12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2111" priority="1288" operator="greaterThan">
      <formula>0.9</formula>
    </cfRule>
    <cfRule type="cellIs" dxfId="2110" priority="1289" operator="greaterThan">
      <formula>0.85</formula>
    </cfRule>
  </conditionalFormatting>
  <conditionalFormatting sqref="N1:N2">
    <cfRule type="cellIs" dxfId="2109" priority="1286" operator="greaterThan">
      <formula>0.9</formula>
    </cfRule>
    <cfRule type="cellIs" dxfId="2108" priority="1287" operator="greaterThan">
      <formula>0.85</formula>
    </cfRule>
  </conditionalFormatting>
  <conditionalFormatting sqref="N6">
    <cfRule type="cellIs" dxfId="2107" priority="1284" operator="greaterThan">
      <formula>0.9</formula>
    </cfRule>
    <cfRule type="cellIs" dxfId="2106" priority="1285" operator="greaterThan">
      <formula>0.85</formula>
    </cfRule>
  </conditionalFormatting>
  <conditionalFormatting sqref="E6">
    <cfRule type="expression" dxfId="2105" priority="1280">
      <formula>AND(IF(OR($Q6=1,$Q6=2),1,0),IF($X6&lt;=20,1,0))</formula>
    </cfRule>
    <cfRule type="expression" dxfId="2104" priority="1281">
      <formula>AND(IF($Q6=2,1,0),IF($X6&lt;30,1,0))</formula>
    </cfRule>
    <cfRule type="expression" dxfId="2103" priority="1282">
      <formula>AND(IF($Q6=3,1,0),IF($X6&lt;30,1,0))</formula>
    </cfRule>
    <cfRule type="expression" dxfId="2102" priority="1283">
      <formula>AND(IF($Q6=3,1,IF($Q6=4,1,0)),IF($F6&lt;=85,1,0))</formula>
    </cfRule>
  </conditionalFormatting>
  <conditionalFormatting sqref="X6">
    <cfRule type="expression" dxfId="2101" priority="1276">
      <formula>AND(IF(OR($Q6=1,$Q6=2),1,0),IF($X6&lt;=20,1,0))</formula>
    </cfRule>
    <cfRule type="expression" dxfId="2100" priority="1277">
      <formula>AND(IF($Q6=2,1,0),IF($X6&lt;30,1,0))</formula>
    </cfRule>
    <cfRule type="expression" dxfId="2099" priority="1278">
      <formula>AND(IF($Q6=3,1,0),IF($X6&lt;30,1,0))</formula>
    </cfRule>
    <cfRule type="expression" dxfId="2098" priority="1279">
      <formula>AND(IF($Q6=3,1,IF($Q6=4,1,0)),IF($F6&lt;=85,1,0))</formula>
    </cfRule>
  </conditionalFormatting>
  <conditionalFormatting sqref="AI6">
    <cfRule type="expression" dxfId="2097" priority="1272">
      <formula>AND(IF(OR($Q6=1,$Q6=2),1,0),IF($X6&lt;=20,1,0))</formula>
    </cfRule>
    <cfRule type="expression" dxfId="2096" priority="1273">
      <formula>AND(IF($Q6=2,1,0),IF($X6&lt;30,1,0))</formula>
    </cfRule>
    <cfRule type="expression" dxfId="2095" priority="1274">
      <formula>AND(IF($Q6=3,1,0),IF($X6&lt;30,1,0))</formula>
    </cfRule>
    <cfRule type="expression" dxfId="2094" priority="1275">
      <formula>AND(IF($Q6=3,1,IF($Q6=4,1,0)),IF($F6&lt;=85,1,0))</formula>
    </cfRule>
  </conditionalFormatting>
  <conditionalFormatting sqref="AV7">
    <cfRule type="expression" dxfId="2093" priority="1270">
      <formula>AV7="X"</formula>
    </cfRule>
    <cfRule type="expression" dxfId="2092" priority="1271">
      <formula>AV7="후보"</formula>
    </cfRule>
  </conditionalFormatting>
  <conditionalFormatting sqref="Z7">
    <cfRule type="colorScale" priority="12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2091" priority="1267" operator="greaterThan">
      <formula>0.9</formula>
    </cfRule>
    <cfRule type="cellIs" dxfId="2090" priority="1268" operator="greaterThan">
      <formula>0.85</formula>
    </cfRule>
  </conditionalFormatting>
  <conditionalFormatting sqref="N7">
    <cfRule type="cellIs" dxfId="2089" priority="1265" operator="greaterThan">
      <formula>0.9</formula>
    </cfRule>
    <cfRule type="cellIs" dxfId="2088" priority="1266" operator="greaterThan">
      <formula>0.85</formula>
    </cfRule>
  </conditionalFormatting>
  <conditionalFormatting sqref="E7">
    <cfRule type="expression" dxfId="2087" priority="1261">
      <formula>AND(IF(OR($Q7=1,$Q7=2),1,0),IF($X7&lt;=20,1,0))</formula>
    </cfRule>
    <cfRule type="expression" dxfId="2086" priority="1262">
      <formula>AND(IF($Q7=2,1,0),IF($X7&lt;30,1,0))</formula>
    </cfRule>
    <cfRule type="expression" dxfId="2085" priority="1263">
      <formula>AND(IF($Q7=3,1,0),IF($X7&lt;30,1,0))</formula>
    </cfRule>
    <cfRule type="expression" dxfId="2084" priority="1264">
      <formula>AND(IF($Q7=3,1,IF($Q7=4,1,0)),IF($F7&lt;=85,1,0))</formula>
    </cfRule>
  </conditionalFormatting>
  <conditionalFormatting sqref="X7">
    <cfRule type="expression" dxfId="2083" priority="1257">
      <formula>AND(IF(OR($Q7=1,$Q7=2),1,0),IF($X7&lt;=20,1,0))</formula>
    </cfRule>
    <cfRule type="expression" dxfId="2082" priority="1258">
      <formula>AND(IF($Q7=2,1,0),IF($X7&lt;30,1,0))</formula>
    </cfRule>
    <cfRule type="expression" dxfId="2081" priority="1259">
      <formula>AND(IF($Q7=3,1,0),IF($X7&lt;30,1,0))</formula>
    </cfRule>
    <cfRule type="expression" dxfId="2080" priority="1260">
      <formula>AND(IF($Q7=3,1,IF($Q7=4,1,0)),IF($F7&lt;=85,1,0))</formula>
    </cfRule>
  </conditionalFormatting>
  <conditionalFormatting sqref="AI7">
    <cfRule type="expression" dxfId="2079" priority="1253">
      <formula>AND(IF(OR($Q7=1,$Q7=2),1,0),IF($X7&lt;=20,1,0))</formula>
    </cfRule>
    <cfRule type="expression" dxfId="2078" priority="1254">
      <formula>AND(IF($Q7=2,1,0),IF($X7&lt;30,1,0))</formula>
    </cfRule>
    <cfRule type="expression" dxfId="2077" priority="1255">
      <formula>AND(IF($Q7=3,1,0),IF($X7&lt;30,1,0))</formula>
    </cfRule>
    <cfRule type="expression" dxfId="2076" priority="1256">
      <formula>AND(IF($Q7=3,1,IF($Q7=4,1,0)),IF($F7&lt;=85,1,0))</formula>
    </cfRule>
  </conditionalFormatting>
  <conditionalFormatting sqref="AV8">
    <cfRule type="expression" dxfId="2075" priority="1251">
      <formula>AV8="X"</formula>
    </cfRule>
    <cfRule type="expression" dxfId="2074" priority="1252">
      <formula>AV8="후보"</formula>
    </cfRule>
  </conditionalFormatting>
  <conditionalFormatting sqref="Z8">
    <cfRule type="colorScale" priority="12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2073" priority="1248" operator="greaterThan">
      <formula>0.9</formula>
    </cfRule>
    <cfRule type="cellIs" dxfId="2072" priority="1249" operator="greaterThan">
      <formula>0.85</formula>
    </cfRule>
  </conditionalFormatting>
  <conditionalFormatting sqref="N8">
    <cfRule type="cellIs" dxfId="2071" priority="1246" operator="greaterThan">
      <formula>0.9</formula>
    </cfRule>
    <cfRule type="cellIs" dxfId="2070" priority="1247" operator="greaterThan">
      <formula>0.85</formula>
    </cfRule>
  </conditionalFormatting>
  <conditionalFormatting sqref="E8">
    <cfRule type="expression" dxfId="2069" priority="1242">
      <formula>AND(IF(OR($Q8=1,$Q8=2),1,0),IF($X8&lt;=20,1,0))</formula>
    </cfRule>
    <cfRule type="expression" dxfId="2068" priority="1243">
      <formula>AND(IF($Q8=2,1,0),IF($X8&lt;30,1,0))</formula>
    </cfRule>
    <cfRule type="expression" dxfId="2067" priority="1244">
      <formula>AND(IF($Q8=3,1,0),IF($X8&lt;30,1,0))</formula>
    </cfRule>
    <cfRule type="expression" dxfId="2066" priority="1245">
      <formula>AND(IF($Q8=3,1,IF($Q8=4,1,0)),IF($F8&lt;=85,1,0))</formula>
    </cfRule>
  </conditionalFormatting>
  <conditionalFormatting sqref="X8">
    <cfRule type="expression" dxfId="2065" priority="1238">
      <formula>AND(IF(OR($Q8=1,$Q8=2),1,0),IF($X8&lt;=20,1,0))</formula>
    </cfRule>
    <cfRule type="expression" dxfId="2064" priority="1239">
      <formula>AND(IF($Q8=2,1,0),IF($X8&lt;30,1,0))</formula>
    </cfRule>
    <cfRule type="expression" dxfId="2063" priority="1240">
      <formula>AND(IF($Q8=3,1,0),IF($X8&lt;30,1,0))</formula>
    </cfRule>
    <cfRule type="expression" dxfId="2062" priority="1241">
      <formula>AND(IF($Q8=3,1,IF($Q8=4,1,0)),IF($F8&lt;=85,1,0))</formula>
    </cfRule>
  </conditionalFormatting>
  <conditionalFormatting sqref="AI8">
    <cfRule type="expression" dxfId="2061" priority="1234">
      <formula>AND(IF(OR($Q8=1,$Q8=2),1,0),IF($X8&lt;=20,1,0))</formula>
    </cfRule>
    <cfRule type="expression" dxfId="2060" priority="1235">
      <formula>AND(IF($Q8=2,1,0),IF($X8&lt;30,1,0))</formula>
    </cfRule>
    <cfRule type="expression" dxfId="2059" priority="1236">
      <formula>AND(IF($Q8=3,1,0),IF($X8&lt;30,1,0))</formula>
    </cfRule>
    <cfRule type="expression" dxfId="2058" priority="1237">
      <formula>AND(IF($Q8=3,1,IF($Q8=4,1,0)),IF($F8&lt;=85,1,0))</formula>
    </cfRule>
  </conditionalFormatting>
  <conditionalFormatting sqref="AV9">
    <cfRule type="expression" dxfId="2057" priority="1232">
      <formula>AV9="X"</formula>
    </cfRule>
    <cfRule type="expression" dxfId="2056" priority="1233">
      <formula>AV9="후보"</formula>
    </cfRule>
  </conditionalFormatting>
  <conditionalFormatting sqref="Z9">
    <cfRule type="colorScale" priority="12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2055" priority="1229" operator="greaterThan">
      <formula>0.9</formula>
    </cfRule>
    <cfRule type="cellIs" dxfId="2054" priority="1230" operator="greaterThan">
      <formula>0.85</formula>
    </cfRule>
  </conditionalFormatting>
  <conditionalFormatting sqref="N9">
    <cfRule type="cellIs" dxfId="2053" priority="1227" operator="greaterThan">
      <formula>0.9</formula>
    </cfRule>
    <cfRule type="cellIs" dxfId="2052" priority="1228" operator="greaterThan">
      <formula>0.85</formula>
    </cfRule>
  </conditionalFormatting>
  <conditionalFormatting sqref="E9">
    <cfRule type="expression" dxfId="2051" priority="1223">
      <formula>AND(IF(OR($Q9=1,$Q9=2),1,0),IF($X9&lt;=20,1,0))</formula>
    </cfRule>
    <cfRule type="expression" dxfId="2050" priority="1224">
      <formula>AND(IF($Q9=2,1,0),IF($X9&lt;30,1,0))</formula>
    </cfRule>
    <cfRule type="expression" dxfId="2049" priority="1225">
      <formula>AND(IF($Q9=3,1,0),IF($X9&lt;30,1,0))</formula>
    </cfRule>
    <cfRule type="expression" dxfId="2048" priority="1226">
      <formula>AND(IF($Q9=3,1,IF($Q9=4,1,0)),IF($F9&lt;=85,1,0))</formula>
    </cfRule>
  </conditionalFormatting>
  <conditionalFormatting sqref="X9">
    <cfRule type="expression" dxfId="2047" priority="1219">
      <formula>AND(IF(OR($Q9=1,$Q9=2),1,0),IF($X9&lt;=20,1,0))</formula>
    </cfRule>
    <cfRule type="expression" dxfId="2046" priority="1220">
      <formula>AND(IF($Q9=2,1,0),IF($X9&lt;30,1,0))</formula>
    </cfRule>
    <cfRule type="expression" dxfId="2045" priority="1221">
      <formula>AND(IF($Q9=3,1,0),IF($X9&lt;30,1,0))</formula>
    </cfRule>
    <cfRule type="expression" dxfId="2044" priority="1222">
      <formula>AND(IF($Q9=3,1,IF($Q9=4,1,0)),IF($F9&lt;=85,1,0))</formula>
    </cfRule>
  </conditionalFormatting>
  <conditionalFormatting sqref="AI9">
    <cfRule type="expression" dxfId="2043" priority="1215">
      <formula>AND(IF(OR($Q9=1,$Q9=2),1,0),IF($X9&lt;=20,1,0))</formula>
    </cfRule>
    <cfRule type="expression" dxfId="2042" priority="1216">
      <formula>AND(IF($Q9=2,1,0),IF($X9&lt;30,1,0))</formula>
    </cfRule>
    <cfRule type="expression" dxfId="2041" priority="1217">
      <formula>AND(IF($Q9=3,1,0),IF($X9&lt;30,1,0))</formula>
    </cfRule>
    <cfRule type="expression" dxfId="2040" priority="1218">
      <formula>AND(IF($Q9=3,1,IF($Q9=4,1,0)),IF($F9&lt;=85,1,0))</formula>
    </cfRule>
  </conditionalFormatting>
  <conditionalFormatting sqref="AV10">
    <cfRule type="expression" dxfId="2039" priority="1213">
      <formula>AV10="X"</formula>
    </cfRule>
    <cfRule type="expression" dxfId="2038" priority="1214">
      <formula>AV10="후보"</formula>
    </cfRule>
  </conditionalFormatting>
  <conditionalFormatting sqref="Z10">
    <cfRule type="colorScale" priority="12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2037" priority="1210" operator="greaterThan">
      <formula>0.9</formula>
    </cfRule>
    <cfRule type="cellIs" dxfId="2036" priority="1211" operator="greaterThan">
      <formula>0.85</formula>
    </cfRule>
  </conditionalFormatting>
  <conditionalFormatting sqref="N10">
    <cfRule type="cellIs" dxfId="2035" priority="1208" operator="greaterThan">
      <formula>0.9</formula>
    </cfRule>
    <cfRule type="cellIs" dxfId="2034" priority="1209" operator="greaterThan">
      <formula>0.85</formula>
    </cfRule>
  </conditionalFormatting>
  <conditionalFormatting sqref="E10">
    <cfRule type="expression" dxfId="2033" priority="1204">
      <formula>AND(IF(OR($Q10=1,$Q10=2),1,0),IF($X10&lt;=20,1,0))</formula>
    </cfRule>
    <cfRule type="expression" dxfId="2032" priority="1205">
      <formula>AND(IF($Q10=2,1,0),IF($X10&lt;30,1,0))</formula>
    </cfRule>
    <cfRule type="expression" dxfId="2031" priority="1206">
      <formula>AND(IF($Q10=3,1,0),IF($X10&lt;30,1,0))</formula>
    </cfRule>
    <cfRule type="expression" dxfId="2030" priority="1207">
      <formula>AND(IF($Q10=3,1,IF($Q10=4,1,0)),IF($F10&lt;=85,1,0))</formula>
    </cfRule>
  </conditionalFormatting>
  <conditionalFormatting sqref="X10">
    <cfRule type="expression" dxfId="2029" priority="1200">
      <formula>AND(IF(OR($Q10=1,$Q10=2),1,0),IF($X10&lt;=20,1,0))</formula>
    </cfRule>
    <cfRule type="expression" dxfId="2028" priority="1201">
      <formula>AND(IF($Q10=2,1,0),IF($X10&lt;30,1,0))</formula>
    </cfRule>
    <cfRule type="expression" dxfId="2027" priority="1202">
      <formula>AND(IF($Q10=3,1,0),IF($X10&lt;30,1,0))</formula>
    </cfRule>
    <cfRule type="expression" dxfId="2026" priority="1203">
      <formula>AND(IF($Q10=3,1,IF($Q10=4,1,0)),IF($F10&lt;=85,1,0))</formula>
    </cfRule>
  </conditionalFormatting>
  <conditionalFormatting sqref="AI10">
    <cfRule type="expression" dxfId="2025" priority="1196">
      <formula>AND(IF(OR($Q10=1,$Q10=2),1,0),IF($X10&lt;=20,1,0))</formula>
    </cfRule>
    <cfRule type="expression" dxfId="2024" priority="1197">
      <formula>AND(IF($Q10=2,1,0),IF($X10&lt;30,1,0))</formula>
    </cfRule>
    <cfRule type="expression" dxfId="2023" priority="1198">
      <formula>AND(IF($Q10=3,1,0),IF($X10&lt;30,1,0))</formula>
    </cfRule>
    <cfRule type="expression" dxfId="2022" priority="1199">
      <formula>AND(IF($Q10=3,1,IF($Q10=4,1,0)),IF($F10&lt;=85,1,0))</formula>
    </cfRule>
  </conditionalFormatting>
  <conditionalFormatting sqref="AV11">
    <cfRule type="expression" dxfId="2021" priority="1194">
      <formula>AV11="X"</formula>
    </cfRule>
    <cfRule type="expression" dxfId="2020" priority="1195">
      <formula>AV11="후보"</formula>
    </cfRule>
  </conditionalFormatting>
  <conditionalFormatting sqref="Z11">
    <cfRule type="colorScale" priority="1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2019" priority="1191" operator="greaterThan">
      <formula>0.9</formula>
    </cfRule>
    <cfRule type="cellIs" dxfId="2018" priority="1192" operator="greaterThan">
      <formula>0.85</formula>
    </cfRule>
  </conditionalFormatting>
  <conditionalFormatting sqref="N11">
    <cfRule type="cellIs" dxfId="2017" priority="1189" operator="greaterThan">
      <formula>0.9</formula>
    </cfRule>
    <cfRule type="cellIs" dxfId="2016" priority="1190" operator="greaterThan">
      <formula>0.85</formula>
    </cfRule>
  </conditionalFormatting>
  <conditionalFormatting sqref="E11">
    <cfRule type="expression" dxfId="2015" priority="1185">
      <formula>AND(IF(OR($Q11=1,$Q11=2),1,0),IF($X11&lt;=20,1,0))</formula>
    </cfRule>
    <cfRule type="expression" dxfId="2014" priority="1186">
      <formula>AND(IF($Q11=2,1,0),IF($X11&lt;30,1,0))</formula>
    </cfRule>
    <cfRule type="expression" dxfId="2013" priority="1187">
      <formula>AND(IF($Q11=3,1,0),IF($X11&lt;30,1,0))</formula>
    </cfRule>
    <cfRule type="expression" dxfId="2012" priority="1188">
      <formula>AND(IF($Q11=3,1,IF($Q11=4,1,0)),IF($F11&lt;=85,1,0))</formula>
    </cfRule>
  </conditionalFormatting>
  <conditionalFormatting sqref="X11">
    <cfRule type="expression" dxfId="2011" priority="1181">
      <formula>AND(IF(OR($Q11=1,$Q11=2),1,0),IF($X11&lt;=20,1,0))</formula>
    </cfRule>
    <cfRule type="expression" dxfId="2010" priority="1182">
      <formula>AND(IF($Q11=2,1,0),IF($X11&lt;30,1,0))</formula>
    </cfRule>
    <cfRule type="expression" dxfId="2009" priority="1183">
      <formula>AND(IF($Q11=3,1,0),IF($X11&lt;30,1,0))</formula>
    </cfRule>
    <cfRule type="expression" dxfId="2008" priority="1184">
      <formula>AND(IF($Q11=3,1,IF($Q11=4,1,0)),IF($F11&lt;=85,1,0))</formula>
    </cfRule>
  </conditionalFormatting>
  <conditionalFormatting sqref="AI11">
    <cfRule type="expression" dxfId="2007" priority="1177">
      <formula>AND(IF(OR($Q11=1,$Q11=2),1,0),IF($X11&lt;=20,1,0))</formula>
    </cfRule>
    <cfRule type="expression" dxfId="2006" priority="1178">
      <formula>AND(IF($Q11=2,1,0),IF($X11&lt;30,1,0))</formula>
    </cfRule>
    <cfRule type="expression" dxfId="2005" priority="1179">
      <formula>AND(IF($Q11=3,1,0),IF($X11&lt;30,1,0))</formula>
    </cfRule>
    <cfRule type="expression" dxfId="2004" priority="1180">
      <formula>AND(IF($Q11=3,1,IF($Q11=4,1,0)),IF($F11&lt;=85,1,0))</formula>
    </cfRule>
  </conditionalFormatting>
  <conditionalFormatting sqref="AV12">
    <cfRule type="expression" dxfId="2003" priority="1175">
      <formula>AV12="X"</formula>
    </cfRule>
    <cfRule type="expression" dxfId="2002" priority="1176">
      <formula>AV12="후보"</formula>
    </cfRule>
  </conditionalFormatting>
  <conditionalFormatting sqref="Z12">
    <cfRule type="colorScale" priority="1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2001" priority="1172" operator="greaterThan">
      <formula>0.9</formula>
    </cfRule>
    <cfRule type="cellIs" dxfId="2000" priority="1173" operator="greaterThan">
      <formula>0.85</formula>
    </cfRule>
  </conditionalFormatting>
  <conditionalFormatting sqref="N12">
    <cfRule type="cellIs" dxfId="1999" priority="1170" operator="greaterThan">
      <formula>0.9</formula>
    </cfRule>
    <cfRule type="cellIs" dxfId="1998" priority="1171" operator="greaterThan">
      <formula>0.85</formula>
    </cfRule>
  </conditionalFormatting>
  <conditionalFormatting sqref="E12">
    <cfRule type="expression" dxfId="1997" priority="1166">
      <formula>AND(IF(OR($Q12=1,$Q12=2),1,0),IF($X12&lt;=20,1,0))</formula>
    </cfRule>
    <cfRule type="expression" dxfId="1996" priority="1167">
      <formula>AND(IF($Q12=2,1,0),IF($X12&lt;30,1,0))</formula>
    </cfRule>
    <cfRule type="expression" dxfId="1995" priority="1168">
      <formula>AND(IF($Q12=3,1,0),IF($X12&lt;30,1,0))</formula>
    </cfRule>
    <cfRule type="expression" dxfId="1994" priority="1169">
      <formula>AND(IF($Q12=3,1,IF($Q12=4,1,0)),IF($F12&lt;=85,1,0))</formula>
    </cfRule>
  </conditionalFormatting>
  <conditionalFormatting sqref="X12">
    <cfRule type="expression" dxfId="1993" priority="1162">
      <formula>AND(IF(OR($Q12=1,$Q12=2),1,0),IF($X12&lt;=20,1,0))</formula>
    </cfRule>
    <cfRule type="expression" dxfId="1992" priority="1163">
      <formula>AND(IF($Q12=2,1,0),IF($X12&lt;30,1,0))</formula>
    </cfRule>
    <cfRule type="expression" dxfId="1991" priority="1164">
      <formula>AND(IF($Q12=3,1,0),IF($X12&lt;30,1,0))</formula>
    </cfRule>
    <cfRule type="expression" dxfId="1990" priority="1165">
      <formula>AND(IF($Q12=3,1,IF($Q12=4,1,0)),IF($F12&lt;=85,1,0))</formula>
    </cfRule>
  </conditionalFormatting>
  <conditionalFormatting sqref="AI12">
    <cfRule type="expression" dxfId="1989" priority="1158">
      <formula>AND(IF(OR($Q12=1,$Q12=2),1,0),IF($X12&lt;=20,1,0))</formula>
    </cfRule>
    <cfRule type="expression" dxfId="1988" priority="1159">
      <formula>AND(IF($Q12=2,1,0),IF($X12&lt;30,1,0))</formula>
    </cfRule>
    <cfRule type="expression" dxfId="1987" priority="1160">
      <formula>AND(IF($Q12=3,1,0),IF($X12&lt;30,1,0))</formula>
    </cfRule>
    <cfRule type="expression" dxfId="1986" priority="1161">
      <formula>AND(IF($Q12=3,1,IF($Q12=4,1,0)),IF($F12&lt;=85,1,0))</formula>
    </cfRule>
  </conditionalFormatting>
  <conditionalFormatting sqref="AV13">
    <cfRule type="expression" dxfId="1985" priority="1156">
      <formula>AV13="X"</formula>
    </cfRule>
    <cfRule type="expression" dxfId="1984" priority="1157">
      <formula>AV13="후보"</formula>
    </cfRule>
  </conditionalFormatting>
  <conditionalFormatting sqref="Z13">
    <cfRule type="colorScale" priority="1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1983" priority="1153" operator="greaterThan">
      <formula>0.9</formula>
    </cfRule>
    <cfRule type="cellIs" dxfId="1982" priority="1154" operator="greaterThan">
      <formula>0.85</formula>
    </cfRule>
  </conditionalFormatting>
  <conditionalFormatting sqref="N13">
    <cfRule type="cellIs" dxfId="1981" priority="1151" operator="greaterThan">
      <formula>0.9</formula>
    </cfRule>
    <cfRule type="cellIs" dxfId="1980" priority="1152" operator="greaterThan">
      <formula>0.85</formula>
    </cfRule>
  </conditionalFormatting>
  <conditionalFormatting sqref="E13">
    <cfRule type="expression" dxfId="1979" priority="1147">
      <formula>AND(IF(OR($Q13=1,$Q13=2),1,0),IF($X13&lt;=20,1,0))</formula>
    </cfRule>
    <cfRule type="expression" dxfId="1978" priority="1148">
      <formula>AND(IF($Q13=2,1,0),IF($X13&lt;30,1,0))</formula>
    </cfRule>
    <cfRule type="expression" dxfId="1977" priority="1149">
      <formula>AND(IF($Q13=3,1,0),IF($X13&lt;30,1,0))</formula>
    </cfRule>
    <cfRule type="expression" dxfId="1976" priority="1150">
      <formula>AND(IF($Q13=3,1,IF($Q13=4,1,0)),IF($F13&lt;=85,1,0))</formula>
    </cfRule>
  </conditionalFormatting>
  <conditionalFormatting sqref="X13">
    <cfRule type="expression" dxfId="1975" priority="1143">
      <formula>AND(IF(OR($Q13=1,$Q13=2),1,0),IF($X13&lt;=20,1,0))</formula>
    </cfRule>
    <cfRule type="expression" dxfId="1974" priority="1144">
      <formula>AND(IF($Q13=2,1,0),IF($X13&lt;30,1,0))</formula>
    </cfRule>
    <cfRule type="expression" dxfId="1973" priority="1145">
      <formula>AND(IF($Q13=3,1,0),IF($X13&lt;30,1,0))</formula>
    </cfRule>
    <cfRule type="expression" dxfId="1972" priority="1146">
      <formula>AND(IF($Q13=3,1,IF($Q13=4,1,0)),IF($F13&lt;=85,1,0))</formula>
    </cfRule>
  </conditionalFormatting>
  <conditionalFormatting sqref="AI13">
    <cfRule type="expression" dxfId="1971" priority="1139">
      <formula>AND(IF(OR($Q13=1,$Q13=2),1,0),IF($X13&lt;=20,1,0))</formula>
    </cfRule>
    <cfRule type="expression" dxfId="1970" priority="1140">
      <formula>AND(IF($Q13=2,1,0),IF($X13&lt;30,1,0))</formula>
    </cfRule>
    <cfRule type="expression" dxfId="1969" priority="1141">
      <formula>AND(IF($Q13=3,1,0),IF($X13&lt;30,1,0))</formula>
    </cfRule>
    <cfRule type="expression" dxfId="1968" priority="1142">
      <formula>AND(IF($Q13=3,1,IF($Q13=4,1,0)),IF($F13&lt;=85,1,0))</formula>
    </cfRule>
  </conditionalFormatting>
  <conditionalFormatting sqref="AV14">
    <cfRule type="expression" dxfId="1967" priority="1137">
      <formula>AV14="X"</formula>
    </cfRule>
    <cfRule type="expression" dxfId="1966" priority="1138">
      <formula>AV14="후보"</formula>
    </cfRule>
  </conditionalFormatting>
  <conditionalFormatting sqref="Z14">
    <cfRule type="colorScale" priority="1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 N14">
    <cfRule type="cellIs" dxfId="1965" priority="1134" operator="greaterThan">
      <formula>0.9</formula>
    </cfRule>
    <cfRule type="cellIs" dxfId="1964" priority="1135" operator="greaterThan">
      <formula>0.85</formula>
    </cfRule>
  </conditionalFormatting>
  <conditionalFormatting sqref="AV15">
    <cfRule type="expression" dxfId="1963" priority="1132">
      <formula>AV15="X"</formula>
    </cfRule>
    <cfRule type="expression" dxfId="1962" priority="1133">
      <formula>AV15="후보"</formula>
    </cfRule>
  </conditionalFormatting>
  <conditionalFormatting sqref="Z15">
    <cfRule type="colorScale" priority="11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1961" priority="1129" operator="greaterThan">
      <formula>0.9</formula>
    </cfRule>
    <cfRule type="cellIs" dxfId="1960" priority="1130" operator="greaterThan">
      <formula>0.85</formula>
    </cfRule>
  </conditionalFormatting>
  <conditionalFormatting sqref="N15">
    <cfRule type="cellIs" dxfId="1959" priority="1127" operator="greaterThan">
      <formula>0.9</formula>
    </cfRule>
    <cfRule type="cellIs" dxfId="1958" priority="1128" operator="greaterThan">
      <formula>0.85</formula>
    </cfRule>
  </conditionalFormatting>
  <conditionalFormatting sqref="E15">
    <cfRule type="expression" dxfId="1957" priority="1123">
      <formula>AND(IF(OR($Q15=1,$Q15=2),1,0),IF($X15&lt;=20,1,0))</formula>
    </cfRule>
    <cfRule type="expression" dxfId="1956" priority="1124">
      <formula>AND(IF($Q15=2,1,0),IF($X15&lt;30,1,0))</formula>
    </cfRule>
    <cfRule type="expression" dxfId="1955" priority="1125">
      <formula>AND(IF($Q15=3,1,0),IF($X15&lt;30,1,0))</formula>
    </cfRule>
    <cfRule type="expression" dxfId="1954" priority="1126">
      <formula>AND(IF($Q15=3,1,IF($Q15=4,1,0)),IF($F15&lt;=85,1,0))</formula>
    </cfRule>
  </conditionalFormatting>
  <conditionalFormatting sqref="X15">
    <cfRule type="expression" dxfId="1953" priority="1119">
      <formula>AND(IF(OR($Q15=1,$Q15=2),1,0),IF($X15&lt;=20,1,0))</formula>
    </cfRule>
    <cfRule type="expression" dxfId="1952" priority="1120">
      <formula>AND(IF($Q15=2,1,0),IF($X15&lt;30,1,0))</formula>
    </cfRule>
    <cfRule type="expression" dxfId="1951" priority="1121">
      <formula>AND(IF($Q15=3,1,0),IF($X15&lt;30,1,0))</formula>
    </cfRule>
    <cfRule type="expression" dxfId="1950" priority="1122">
      <formula>AND(IF($Q15=3,1,IF($Q15=4,1,0)),IF($F15&lt;=85,1,0))</formula>
    </cfRule>
  </conditionalFormatting>
  <conditionalFormatting sqref="AI15">
    <cfRule type="expression" dxfId="1949" priority="1115">
      <formula>AND(IF(OR($Q15=1,$Q15=2),1,0),IF($X15&lt;=20,1,0))</formula>
    </cfRule>
    <cfRule type="expression" dxfId="1948" priority="1116">
      <formula>AND(IF($Q15=2,1,0),IF($X15&lt;30,1,0))</formula>
    </cfRule>
    <cfRule type="expression" dxfId="1947" priority="1117">
      <formula>AND(IF($Q15=3,1,0),IF($X15&lt;30,1,0))</formula>
    </cfRule>
    <cfRule type="expression" dxfId="1946" priority="1118">
      <formula>AND(IF($Q15=3,1,IF($Q15=4,1,0)),IF($F15&lt;=85,1,0))</formula>
    </cfRule>
  </conditionalFormatting>
  <conditionalFormatting sqref="AV16">
    <cfRule type="expression" dxfId="1945" priority="1113">
      <formula>AV16="X"</formula>
    </cfRule>
    <cfRule type="expression" dxfId="1944" priority="1114">
      <formula>AV16="후보"</formula>
    </cfRule>
  </conditionalFormatting>
  <conditionalFormatting sqref="Z16">
    <cfRule type="colorScale" priority="1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943" priority="1110" operator="greaterThan">
      <formula>0.9</formula>
    </cfRule>
    <cfRule type="cellIs" dxfId="1942" priority="1111" operator="greaterThan">
      <formula>0.85</formula>
    </cfRule>
  </conditionalFormatting>
  <conditionalFormatting sqref="N16">
    <cfRule type="cellIs" dxfId="1941" priority="1108" operator="greaterThan">
      <formula>0.9</formula>
    </cfRule>
    <cfRule type="cellIs" dxfId="1940" priority="1109" operator="greaterThan">
      <formula>0.85</formula>
    </cfRule>
  </conditionalFormatting>
  <conditionalFormatting sqref="E16">
    <cfRule type="expression" dxfId="1939" priority="1104">
      <formula>AND(IF(OR($Q16=1,$Q16=2),1,0),IF($X16&lt;=20,1,0))</formula>
    </cfRule>
    <cfRule type="expression" dxfId="1938" priority="1105">
      <formula>AND(IF($Q16=2,1,0),IF($X16&lt;30,1,0))</formula>
    </cfRule>
    <cfRule type="expression" dxfId="1937" priority="1106">
      <formula>AND(IF($Q16=3,1,0),IF($X16&lt;30,1,0))</formula>
    </cfRule>
    <cfRule type="expression" dxfId="1936" priority="1107">
      <formula>AND(IF($Q16=3,1,IF($Q16=4,1,0)),IF($F16&lt;=85,1,0))</formula>
    </cfRule>
  </conditionalFormatting>
  <conditionalFormatting sqref="X16">
    <cfRule type="expression" dxfId="1935" priority="1100">
      <formula>AND(IF(OR($Q16=1,$Q16=2),1,0),IF($X16&lt;=20,1,0))</formula>
    </cfRule>
    <cfRule type="expression" dxfId="1934" priority="1101">
      <formula>AND(IF($Q16=2,1,0),IF($X16&lt;30,1,0))</formula>
    </cfRule>
    <cfRule type="expression" dxfId="1933" priority="1102">
      <formula>AND(IF($Q16=3,1,0),IF($X16&lt;30,1,0))</formula>
    </cfRule>
    <cfRule type="expression" dxfId="1932" priority="1103">
      <formula>AND(IF($Q16=3,1,IF($Q16=4,1,0)),IF($F16&lt;=85,1,0))</formula>
    </cfRule>
  </conditionalFormatting>
  <conditionalFormatting sqref="AI16">
    <cfRule type="expression" dxfId="1931" priority="1096">
      <formula>AND(IF(OR($Q16=1,$Q16=2),1,0),IF($X16&lt;=20,1,0))</formula>
    </cfRule>
    <cfRule type="expression" dxfId="1930" priority="1097">
      <formula>AND(IF($Q16=2,1,0),IF($X16&lt;30,1,0))</formula>
    </cfRule>
    <cfRule type="expression" dxfId="1929" priority="1098">
      <formula>AND(IF($Q16=3,1,0),IF($X16&lt;30,1,0))</formula>
    </cfRule>
    <cfRule type="expression" dxfId="1928" priority="1099">
      <formula>AND(IF($Q16=3,1,IF($Q16=4,1,0)),IF($F16&lt;=85,1,0))</formula>
    </cfRule>
  </conditionalFormatting>
  <conditionalFormatting sqref="AV17">
    <cfRule type="expression" dxfId="1927" priority="1094">
      <formula>AV17="X"</formula>
    </cfRule>
    <cfRule type="expression" dxfId="1926" priority="1095">
      <formula>AV17="후보"</formula>
    </cfRule>
  </conditionalFormatting>
  <conditionalFormatting sqref="Z17">
    <cfRule type="colorScale" priority="10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1925" priority="1091" operator="greaterThan">
      <formula>0.9</formula>
    </cfRule>
    <cfRule type="cellIs" dxfId="1924" priority="1092" operator="greaterThan">
      <formula>0.85</formula>
    </cfRule>
  </conditionalFormatting>
  <conditionalFormatting sqref="N17">
    <cfRule type="cellIs" dxfId="1923" priority="1089" operator="greaterThan">
      <formula>0.9</formula>
    </cfRule>
    <cfRule type="cellIs" dxfId="1922" priority="1090" operator="greaterThan">
      <formula>0.85</formula>
    </cfRule>
  </conditionalFormatting>
  <conditionalFormatting sqref="E17">
    <cfRule type="expression" dxfId="1921" priority="1085">
      <formula>AND(IF(OR($Q17=1,$Q17=2),1,0),IF($X17&lt;=20,1,0))</formula>
    </cfRule>
    <cfRule type="expression" dxfId="1920" priority="1086">
      <formula>AND(IF($Q17=2,1,0),IF($X17&lt;30,1,0))</formula>
    </cfRule>
    <cfRule type="expression" dxfId="1919" priority="1087">
      <formula>AND(IF($Q17=3,1,0),IF($X17&lt;30,1,0))</formula>
    </cfRule>
    <cfRule type="expression" dxfId="1918" priority="1088">
      <formula>AND(IF($Q17=3,1,IF($Q17=4,1,0)),IF($F17&lt;=85,1,0))</formula>
    </cfRule>
  </conditionalFormatting>
  <conditionalFormatting sqref="X17">
    <cfRule type="expression" dxfId="1917" priority="1081">
      <formula>AND(IF(OR($Q17=1,$Q17=2),1,0),IF($X17&lt;=20,1,0))</formula>
    </cfRule>
    <cfRule type="expression" dxfId="1916" priority="1082">
      <formula>AND(IF($Q17=2,1,0),IF($X17&lt;30,1,0))</formula>
    </cfRule>
    <cfRule type="expression" dxfId="1915" priority="1083">
      <formula>AND(IF($Q17=3,1,0),IF($X17&lt;30,1,0))</formula>
    </cfRule>
    <cfRule type="expression" dxfId="1914" priority="1084">
      <formula>AND(IF($Q17=3,1,IF($Q17=4,1,0)),IF($F17&lt;=85,1,0))</formula>
    </cfRule>
  </conditionalFormatting>
  <conditionalFormatting sqref="AI17">
    <cfRule type="expression" dxfId="1913" priority="1077">
      <formula>AND(IF(OR($Q17=1,$Q17=2),1,0),IF($X17&lt;=20,1,0))</formula>
    </cfRule>
    <cfRule type="expression" dxfId="1912" priority="1078">
      <formula>AND(IF($Q17=2,1,0),IF($X17&lt;30,1,0))</formula>
    </cfRule>
    <cfRule type="expression" dxfId="1911" priority="1079">
      <formula>AND(IF($Q17=3,1,0),IF($X17&lt;30,1,0))</formula>
    </cfRule>
    <cfRule type="expression" dxfId="1910" priority="1080">
      <formula>AND(IF($Q17=3,1,IF($Q17=4,1,0)),IF($F17&lt;=85,1,0))</formula>
    </cfRule>
  </conditionalFormatting>
  <conditionalFormatting sqref="AV18">
    <cfRule type="expression" dxfId="1909" priority="1075">
      <formula>AV18="X"</formula>
    </cfRule>
    <cfRule type="expression" dxfId="1908" priority="1076">
      <formula>AV18="후보"</formula>
    </cfRule>
  </conditionalFormatting>
  <conditionalFormatting sqref="Z18">
    <cfRule type="colorScale" priority="10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1907" priority="1072" operator="greaterThan">
      <formula>0.9</formula>
    </cfRule>
    <cfRule type="cellIs" dxfId="1906" priority="1073" operator="greaterThan">
      <formula>0.85</formula>
    </cfRule>
  </conditionalFormatting>
  <conditionalFormatting sqref="N18">
    <cfRule type="cellIs" dxfId="1905" priority="1070" operator="greaterThan">
      <formula>0.9</formula>
    </cfRule>
    <cfRule type="cellIs" dxfId="1904" priority="1071" operator="greaterThan">
      <formula>0.85</formula>
    </cfRule>
  </conditionalFormatting>
  <conditionalFormatting sqref="E18">
    <cfRule type="expression" dxfId="1903" priority="1066">
      <formula>AND(IF(OR($Q18=1,$Q18=2),1,0),IF($X18&lt;=20,1,0))</formula>
    </cfRule>
    <cfRule type="expression" dxfId="1902" priority="1067">
      <formula>AND(IF($Q18=2,1,0),IF($X18&lt;30,1,0))</formula>
    </cfRule>
    <cfRule type="expression" dxfId="1901" priority="1068">
      <formula>AND(IF($Q18=3,1,0),IF($X18&lt;30,1,0))</formula>
    </cfRule>
    <cfRule type="expression" dxfId="1900" priority="1069">
      <formula>AND(IF($Q18=3,1,IF($Q18=4,1,0)),IF($F18&lt;=85,1,0))</formula>
    </cfRule>
  </conditionalFormatting>
  <conditionalFormatting sqref="X18">
    <cfRule type="expression" dxfId="1899" priority="1062">
      <formula>AND(IF(OR($Q18=1,$Q18=2),1,0),IF($X18&lt;=20,1,0))</formula>
    </cfRule>
    <cfRule type="expression" dxfId="1898" priority="1063">
      <formula>AND(IF($Q18=2,1,0),IF($X18&lt;30,1,0))</formula>
    </cfRule>
    <cfRule type="expression" dxfId="1897" priority="1064">
      <formula>AND(IF($Q18=3,1,0),IF($X18&lt;30,1,0))</formula>
    </cfRule>
    <cfRule type="expression" dxfId="1896" priority="1065">
      <formula>AND(IF($Q18=3,1,IF($Q18=4,1,0)),IF($F18&lt;=85,1,0))</formula>
    </cfRule>
  </conditionalFormatting>
  <conditionalFormatting sqref="AI18">
    <cfRule type="expression" dxfId="1895" priority="1058">
      <formula>AND(IF(OR($Q18=1,$Q18=2),1,0),IF($X18&lt;=20,1,0))</formula>
    </cfRule>
    <cfRule type="expression" dxfId="1894" priority="1059">
      <formula>AND(IF($Q18=2,1,0),IF($X18&lt;30,1,0))</formula>
    </cfRule>
    <cfRule type="expression" dxfId="1893" priority="1060">
      <formula>AND(IF($Q18=3,1,0),IF($X18&lt;30,1,0))</formula>
    </cfRule>
    <cfRule type="expression" dxfId="1892" priority="1061">
      <formula>AND(IF($Q18=3,1,IF($Q18=4,1,0)),IF($F18&lt;=85,1,0))</formula>
    </cfRule>
  </conditionalFormatting>
  <conditionalFormatting sqref="AV19">
    <cfRule type="expression" dxfId="1891" priority="1056">
      <formula>AV19="X"</formula>
    </cfRule>
    <cfRule type="expression" dxfId="1890" priority="1057">
      <formula>AV19="후보"</formula>
    </cfRule>
  </conditionalFormatting>
  <conditionalFormatting sqref="Z19">
    <cfRule type="colorScale" priority="10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1889" priority="1053" operator="greaterThan">
      <formula>0.9</formula>
    </cfRule>
    <cfRule type="cellIs" dxfId="1888" priority="1054" operator="greaterThan">
      <formula>0.85</formula>
    </cfRule>
  </conditionalFormatting>
  <conditionalFormatting sqref="N19">
    <cfRule type="cellIs" dxfId="1887" priority="1051" operator="greaterThan">
      <formula>0.9</formula>
    </cfRule>
    <cfRule type="cellIs" dxfId="1886" priority="1052" operator="greaterThan">
      <formula>0.85</formula>
    </cfRule>
  </conditionalFormatting>
  <conditionalFormatting sqref="E19">
    <cfRule type="expression" dxfId="1885" priority="1047">
      <formula>AND(IF(OR($Q19=1,$Q19=2),1,0),IF($X19&lt;=20,1,0))</formula>
    </cfRule>
    <cfRule type="expression" dxfId="1884" priority="1048">
      <formula>AND(IF($Q19=2,1,0),IF($X19&lt;30,1,0))</formula>
    </cfRule>
    <cfRule type="expression" dxfId="1883" priority="1049">
      <formula>AND(IF($Q19=3,1,0),IF($X19&lt;30,1,0))</formula>
    </cfRule>
    <cfRule type="expression" dxfId="1882" priority="1050">
      <formula>AND(IF($Q19=3,1,IF($Q19=4,1,0)),IF($F19&lt;=85,1,0))</formula>
    </cfRule>
  </conditionalFormatting>
  <conditionalFormatting sqref="X19">
    <cfRule type="expression" dxfId="1881" priority="1043">
      <formula>AND(IF(OR($Q19=1,$Q19=2),1,0),IF($X19&lt;=20,1,0))</formula>
    </cfRule>
    <cfRule type="expression" dxfId="1880" priority="1044">
      <formula>AND(IF($Q19=2,1,0),IF($X19&lt;30,1,0))</formula>
    </cfRule>
    <cfRule type="expression" dxfId="1879" priority="1045">
      <formula>AND(IF($Q19=3,1,0),IF($X19&lt;30,1,0))</formula>
    </cfRule>
    <cfRule type="expression" dxfId="1878" priority="1046">
      <formula>AND(IF($Q19=3,1,IF($Q19=4,1,0)),IF($F19&lt;=85,1,0))</formula>
    </cfRule>
  </conditionalFormatting>
  <conditionalFormatting sqref="AI19">
    <cfRule type="expression" dxfId="1877" priority="1039">
      <formula>AND(IF(OR($Q19=1,$Q19=2),1,0),IF($X19&lt;=20,1,0))</formula>
    </cfRule>
    <cfRule type="expression" dxfId="1876" priority="1040">
      <formula>AND(IF($Q19=2,1,0),IF($X19&lt;30,1,0))</formula>
    </cfRule>
    <cfRule type="expression" dxfId="1875" priority="1041">
      <formula>AND(IF($Q19=3,1,0),IF($X19&lt;30,1,0))</formula>
    </cfRule>
    <cfRule type="expression" dxfId="1874" priority="1042">
      <formula>AND(IF($Q19=3,1,IF($Q19=4,1,0)),IF($F19&lt;=85,1,0))</formula>
    </cfRule>
  </conditionalFormatting>
  <conditionalFormatting sqref="AV20">
    <cfRule type="expression" dxfId="1873" priority="1037">
      <formula>AV20="X"</formula>
    </cfRule>
    <cfRule type="expression" dxfId="1872" priority="1038">
      <formula>AV20="후보"</formula>
    </cfRule>
  </conditionalFormatting>
  <conditionalFormatting sqref="Z20">
    <cfRule type="colorScale" priority="10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1871" priority="1034" operator="greaterThan">
      <formula>0.9</formula>
    </cfRule>
    <cfRule type="cellIs" dxfId="1870" priority="1035" operator="greaterThan">
      <formula>0.85</formula>
    </cfRule>
  </conditionalFormatting>
  <conditionalFormatting sqref="N20">
    <cfRule type="cellIs" dxfId="1869" priority="1032" operator="greaterThan">
      <formula>0.9</formula>
    </cfRule>
    <cfRule type="cellIs" dxfId="1868" priority="1033" operator="greaterThan">
      <formula>0.85</formula>
    </cfRule>
  </conditionalFormatting>
  <conditionalFormatting sqref="E20">
    <cfRule type="expression" dxfId="1867" priority="1028">
      <formula>AND(IF(OR($Q20=1,$Q20=2),1,0),IF($X20&lt;=20,1,0))</formula>
    </cfRule>
    <cfRule type="expression" dxfId="1866" priority="1029">
      <formula>AND(IF($Q20=2,1,0),IF($X20&lt;30,1,0))</formula>
    </cfRule>
    <cfRule type="expression" dxfId="1865" priority="1030">
      <formula>AND(IF($Q20=3,1,0),IF($X20&lt;30,1,0))</formula>
    </cfRule>
    <cfRule type="expression" dxfId="1864" priority="1031">
      <formula>AND(IF($Q20=3,1,IF($Q20=4,1,0)),IF($F20&lt;=85,1,0))</formula>
    </cfRule>
  </conditionalFormatting>
  <conditionalFormatting sqref="X20">
    <cfRule type="expression" dxfId="1863" priority="1024">
      <formula>AND(IF(OR($Q20=1,$Q20=2),1,0),IF($X20&lt;=20,1,0))</formula>
    </cfRule>
    <cfRule type="expression" dxfId="1862" priority="1025">
      <formula>AND(IF($Q20=2,1,0),IF($X20&lt;30,1,0))</formula>
    </cfRule>
    <cfRule type="expression" dxfId="1861" priority="1026">
      <formula>AND(IF($Q20=3,1,0),IF($X20&lt;30,1,0))</formula>
    </cfRule>
    <cfRule type="expression" dxfId="1860" priority="1027">
      <formula>AND(IF($Q20=3,1,IF($Q20=4,1,0)),IF($F20&lt;=85,1,0))</formula>
    </cfRule>
  </conditionalFormatting>
  <conditionalFormatting sqref="AI20">
    <cfRule type="expression" dxfId="1859" priority="1020">
      <formula>AND(IF(OR($Q20=1,$Q20=2),1,0),IF($X20&lt;=20,1,0))</formula>
    </cfRule>
    <cfRule type="expression" dxfId="1858" priority="1021">
      <formula>AND(IF($Q20=2,1,0),IF($X20&lt;30,1,0))</formula>
    </cfRule>
    <cfRule type="expression" dxfId="1857" priority="1022">
      <formula>AND(IF($Q20=3,1,0),IF($X20&lt;30,1,0))</formula>
    </cfRule>
    <cfRule type="expression" dxfId="1856" priority="1023">
      <formula>AND(IF($Q20=3,1,IF($Q20=4,1,0)),IF($F20&lt;=85,1,0))</formula>
    </cfRule>
  </conditionalFormatting>
  <conditionalFormatting sqref="AV21">
    <cfRule type="expression" dxfId="1855" priority="1018">
      <formula>AV21="X"</formula>
    </cfRule>
    <cfRule type="expression" dxfId="1854" priority="1019">
      <formula>AV21="후보"</formula>
    </cfRule>
  </conditionalFormatting>
  <conditionalFormatting sqref="Z21">
    <cfRule type="colorScale" priority="10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 N21">
    <cfRule type="cellIs" dxfId="1853" priority="1015" operator="greaterThan">
      <formula>0.9</formula>
    </cfRule>
    <cfRule type="cellIs" dxfId="1852" priority="1016" operator="greaterThan">
      <formula>0.85</formula>
    </cfRule>
  </conditionalFormatting>
  <conditionalFormatting sqref="AV22">
    <cfRule type="expression" dxfId="1851" priority="1013">
      <formula>AV22="X"</formula>
    </cfRule>
    <cfRule type="expression" dxfId="1850" priority="1014">
      <formula>AV22="후보"</formula>
    </cfRule>
  </conditionalFormatting>
  <conditionalFormatting sqref="Z22">
    <cfRule type="colorScale" priority="10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1849" priority="1010" operator="greaterThan">
      <formula>0.9</formula>
    </cfRule>
    <cfRule type="cellIs" dxfId="1848" priority="1011" operator="greaterThan">
      <formula>0.85</formula>
    </cfRule>
  </conditionalFormatting>
  <conditionalFormatting sqref="N22">
    <cfRule type="cellIs" dxfId="1847" priority="1008" operator="greaterThan">
      <formula>0.9</formula>
    </cfRule>
    <cfRule type="cellIs" dxfId="1846" priority="1009" operator="greaterThan">
      <formula>0.85</formula>
    </cfRule>
  </conditionalFormatting>
  <conditionalFormatting sqref="E22">
    <cfRule type="expression" dxfId="1845" priority="1004">
      <formula>AND(IF(OR($Q22=1,$Q22=2),1,0),IF($X22&lt;=20,1,0))</formula>
    </cfRule>
    <cfRule type="expression" dxfId="1844" priority="1005">
      <formula>AND(IF($Q22=2,1,0),IF($X22&lt;30,1,0))</formula>
    </cfRule>
    <cfRule type="expression" dxfId="1843" priority="1006">
      <formula>AND(IF($Q22=3,1,0),IF($X22&lt;30,1,0))</formula>
    </cfRule>
    <cfRule type="expression" dxfId="1842" priority="1007">
      <formula>AND(IF($Q22=3,1,IF($Q22=4,1,0)),IF($F22&lt;=85,1,0))</formula>
    </cfRule>
  </conditionalFormatting>
  <conditionalFormatting sqref="X22">
    <cfRule type="expression" dxfId="1841" priority="1000">
      <formula>AND(IF(OR($Q22=1,$Q22=2),1,0),IF($X22&lt;=20,1,0))</formula>
    </cfRule>
    <cfRule type="expression" dxfId="1840" priority="1001">
      <formula>AND(IF($Q22=2,1,0),IF($X22&lt;30,1,0))</formula>
    </cfRule>
    <cfRule type="expression" dxfId="1839" priority="1002">
      <formula>AND(IF($Q22=3,1,0),IF($X22&lt;30,1,0))</formula>
    </cfRule>
    <cfRule type="expression" dxfId="1838" priority="1003">
      <formula>AND(IF($Q22=3,1,IF($Q22=4,1,0)),IF($F22&lt;=85,1,0))</formula>
    </cfRule>
  </conditionalFormatting>
  <conditionalFormatting sqref="AI22">
    <cfRule type="expression" dxfId="1837" priority="996">
      <formula>AND(IF(OR($Q22=1,$Q22=2),1,0),IF($X22&lt;=20,1,0))</formula>
    </cfRule>
    <cfRule type="expression" dxfId="1836" priority="997">
      <formula>AND(IF($Q22=2,1,0),IF($X22&lt;30,1,0))</formula>
    </cfRule>
    <cfRule type="expression" dxfId="1835" priority="998">
      <formula>AND(IF($Q22=3,1,0),IF($X22&lt;30,1,0))</formula>
    </cfRule>
    <cfRule type="expression" dxfId="1834" priority="999">
      <formula>AND(IF($Q22=3,1,IF($Q22=4,1,0)),IF($F22&lt;=85,1,0))</formula>
    </cfRule>
  </conditionalFormatting>
  <conditionalFormatting sqref="AV23">
    <cfRule type="expression" dxfId="1833" priority="994">
      <formula>AV23="X"</formula>
    </cfRule>
    <cfRule type="expression" dxfId="1832" priority="995">
      <formula>AV23="후보"</formula>
    </cfRule>
  </conditionalFormatting>
  <conditionalFormatting sqref="Z23">
    <cfRule type="colorScale" priority="9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1831" priority="991" operator="greaterThan">
      <formula>0.9</formula>
    </cfRule>
    <cfRule type="cellIs" dxfId="1830" priority="992" operator="greaterThan">
      <formula>0.85</formula>
    </cfRule>
  </conditionalFormatting>
  <conditionalFormatting sqref="N23">
    <cfRule type="cellIs" dxfId="1829" priority="989" operator="greaterThan">
      <formula>0.9</formula>
    </cfRule>
    <cfRule type="cellIs" dxfId="1828" priority="990" operator="greaterThan">
      <formula>0.85</formula>
    </cfRule>
  </conditionalFormatting>
  <conditionalFormatting sqref="E23">
    <cfRule type="expression" dxfId="1827" priority="985">
      <formula>AND(IF(OR($Q23=1,$Q23=2),1,0),IF($X23&lt;=20,1,0))</formula>
    </cfRule>
    <cfRule type="expression" dxfId="1826" priority="986">
      <formula>AND(IF($Q23=2,1,0),IF($X23&lt;30,1,0))</formula>
    </cfRule>
    <cfRule type="expression" dxfId="1825" priority="987">
      <formula>AND(IF($Q23=3,1,0),IF($X23&lt;30,1,0))</formula>
    </cfRule>
    <cfRule type="expression" dxfId="1824" priority="988">
      <formula>AND(IF($Q23=3,1,IF($Q23=4,1,0)),IF($F23&lt;=85,1,0))</formula>
    </cfRule>
  </conditionalFormatting>
  <conditionalFormatting sqref="X23">
    <cfRule type="expression" dxfId="1823" priority="981">
      <formula>AND(IF(OR($Q23=1,$Q23=2),1,0),IF($X23&lt;=20,1,0))</formula>
    </cfRule>
    <cfRule type="expression" dxfId="1822" priority="982">
      <formula>AND(IF($Q23=2,1,0),IF($X23&lt;30,1,0))</formula>
    </cfRule>
    <cfRule type="expression" dxfId="1821" priority="983">
      <formula>AND(IF($Q23=3,1,0),IF($X23&lt;30,1,0))</formula>
    </cfRule>
    <cfRule type="expression" dxfId="1820" priority="984">
      <formula>AND(IF($Q23=3,1,IF($Q23=4,1,0)),IF($F23&lt;=85,1,0))</formula>
    </cfRule>
  </conditionalFormatting>
  <conditionalFormatting sqref="AI23">
    <cfRule type="expression" dxfId="1819" priority="977">
      <formula>AND(IF(OR($Q23=1,$Q23=2),1,0),IF($X23&lt;=20,1,0))</formula>
    </cfRule>
    <cfRule type="expression" dxfId="1818" priority="978">
      <formula>AND(IF($Q23=2,1,0),IF($X23&lt;30,1,0))</formula>
    </cfRule>
    <cfRule type="expression" dxfId="1817" priority="979">
      <formula>AND(IF($Q23=3,1,0),IF($X23&lt;30,1,0))</formula>
    </cfRule>
    <cfRule type="expression" dxfId="1816" priority="980">
      <formula>AND(IF($Q23=3,1,IF($Q23=4,1,0)),IF($F23&lt;=85,1,0))</formula>
    </cfRule>
  </conditionalFormatting>
  <conditionalFormatting sqref="AV24">
    <cfRule type="expression" dxfId="1815" priority="975">
      <formula>AV24="X"</formula>
    </cfRule>
    <cfRule type="expression" dxfId="1814" priority="976">
      <formula>AV24="후보"</formula>
    </cfRule>
  </conditionalFormatting>
  <conditionalFormatting sqref="Z24">
    <cfRule type="colorScale" priority="9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 N24">
    <cfRule type="cellIs" dxfId="1813" priority="972" operator="greaterThan">
      <formula>0.9</formula>
    </cfRule>
    <cfRule type="cellIs" dxfId="1812" priority="973" operator="greaterThan">
      <formula>0.85</formula>
    </cfRule>
  </conditionalFormatting>
  <conditionalFormatting sqref="AV25">
    <cfRule type="expression" dxfId="1811" priority="970">
      <formula>AV25="X"</formula>
    </cfRule>
    <cfRule type="expression" dxfId="1810" priority="971">
      <formula>AV25="후보"</formula>
    </cfRule>
  </conditionalFormatting>
  <conditionalFormatting sqref="Z25">
    <cfRule type="colorScale" priority="9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1809" priority="967" operator="greaterThan">
      <formula>0.9</formula>
    </cfRule>
    <cfRule type="cellIs" dxfId="1808" priority="968" operator="greaterThan">
      <formula>0.85</formula>
    </cfRule>
  </conditionalFormatting>
  <conditionalFormatting sqref="N25">
    <cfRule type="cellIs" dxfId="1807" priority="965" operator="greaterThan">
      <formula>0.9</formula>
    </cfRule>
    <cfRule type="cellIs" dxfId="1806" priority="966" operator="greaterThan">
      <formula>0.85</formula>
    </cfRule>
  </conditionalFormatting>
  <conditionalFormatting sqref="E25">
    <cfRule type="expression" dxfId="1805" priority="961">
      <formula>AND(IF(OR($Q25=1,$Q25=2),1,0),IF($X25&lt;=20,1,0))</formula>
    </cfRule>
    <cfRule type="expression" dxfId="1804" priority="962">
      <formula>AND(IF($Q25=2,1,0),IF($X25&lt;30,1,0))</formula>
    </cfRule>
    <cfRule type="expression" dxfId="1803" priority="963">
      <formula>AND(IF($Q25=3,1,0),IF($X25&lt;30,1,0))</formula>
    </cfRule>
    <cfRule type="expression" dxfId="1802" priority="964">
      <formula>AND(IF($Q25=3,1,IF($Q25=4,1,0)),IF($F25&lt;=85,1,0))</formula>
    </cfRule>
  </conditionalFormatting>
  <conditionalFormatting sqref="X25">
    <cfRule type="expression" dxfId="1801" priority="957">
      <formula>AND(IF(OR($Q25=1,$Q25=2),1,0),IF($X25&lt;=20,1,0))</formula>
    </cfRule>
    <cfRule type="expression" dxfId="1800" priority="958">
      <formula>AND(IF($Q25=2,1,0),IF($X25&lt;30,1,0))</formula>
    </cfRule>
    <cfRule type="expression" dxfId="1799" priority="959">
      <formula>AND(IF($Q25=3,1,0),IF($X25&lt;30,1,0))</formula>
    </cfRule>
    <cfRule type="expression" dxfId="1798" priority="960">
      <formula>AND(IF($Q25=3,1,IF($Q25=4,1,0)),IF($F25&lt;=85,1,0))</formula>
    </cfRule>
  </conditionalFormatting>
  <conditionalFormatting sqref="AI25">
    <cfRule type="expression" dxfId="1797" priority="953">
      <formula>AND(IF(OR($Q25=1,$Q25=2),1,0),IF($X25&lt;=20,1,0))</formula>
    </cfRule>
    <cfRule type="expression" dxfId="1796" priority="954">
      <formula>AND(IF($Q25=2,1,0),IF($X25&lt;30,1,0))</formula>
    </cfRule>
    <cfRule type="expression" dxfId="1795" priority="955">
      <formula>AND(IF($Q25=3,1,0),IF($X25&lt;30,1,0))</formula>
    </cfRule>
    <cfRule type="expression" dxfId="1794" priority="956">
      <formula>AND(IF($Q25=3,1,IF($Q25=4,1,0)),IF($F25&lt;=85,1,0))</formula>
    </cfRule>
  </conditionalFormatting>
  <conditionalFormatting sqref="AV26">
    <cfRule type="expression" dxfId="1793" priority="951">
      <formula>AV26="X"</formula>
    </cfRule>
    <cfRule type="expression" dxfId="1792" priority="952">
      <formula>AV26="후보"</formula>
    </cfRule>
  </conditionalFormatting>
  <conditionalFormatting sqref="Z26">
    <cfRule type="colorScale" priority="9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1791" priority="948" operator="greaterThan">
      <formula>0.9</formula>
    </cfRule>
    <cfRule type="cellIs" dxfId="1790" priority="949" operator="greaterThan">
      <formula>0.85</formula>
    </cfRule>
  </conditionalFormatting>
  <conditionalFormatting sqref="N26">
    <cfRule type="cellIs" dxfId="1789" priority="946" operator="greaterThan">
      <formula>0.9</formula>
    </cfRule>
    <cfRule type="cellIs" dxfId="1788" priority="947" operator="greaterThan">
      <formula>0.85</formula>
    </cfRule>
  </conditionalFormatting>
  <conditionalFormatting sqref="E26">
    <cfRule type="expression" dxfId="1787" priority="942">
      <formula>AND(IF(OR($Q26=1,$Q26=2),1,0),IF($X26&lt;=20,1,0))</formula>
    </cfRule>
    <cfRule type="expression" dxfId="1786" priority="943">
      <formula>AND(IF($Q26=2,1,0),IF($X26&lt;30,1,0))</formula>
    </cfRule>
    <cfRule type="expression" dxfId="1785" priority="944">
      <formula>AND(IF($Q26=3,1,0),IF($X26&lt;30,1,0))</formula>
    </cfRule>
    <cfRule type="expression" dxfId="1784" priority="945">
      <formula>AND(IF($Q26=3,1,IF($Q26=4,1,0)),IF($F26&lt;=85,1,0))</formula>
    </cfRule>
  </conditionalFormatting>
  <conditionalFormatting sqref="X26">
    <cfRule type="expression" dxfId="1783" priority="938">
      <formula>AND(IF(OR($Q26=1,$Q26=2),1,0),IF($X26&lt;=20,1,0))</formula>
    </cfRule>
    <cfRule type="expression" dxfId="1782" priority="939">
      <formula>AND(IF($Q26=2,1,0),IF($X26&lt;30,1,0))</formula>
    </cfRule>
    <cfRule type="expression" dxfId="1781" priority="940">
      <formula>AND(IF($Q26=3,1,0),IF($X26&lt;30,1,0))</formula>
    </cfRule>
    <cfRule type="expression" dxfId="1780" priority="941">
      <formula>AND(IF($Q26=3,1,IF($Q26=4,1,0)),IF($F26&lt;=85,1,0))</formula>
    </cfRule>
  </conditionalFormatting>
  <conditionalFormatting sqref="AI26">
    <cfRule type="expression" dxfId="1779" priority="934">
      <formula>AND(IF(OR($Q26=1,$Q26=2),1,0),IF($X26&lt;=20,1,0))</formula>
    </cfRule>
    <cfRule type="expression" dxfId="1778" priority="935">
      <formula>AND(IF($Q26=2,1,0),IF($X26&lt;30,1,0))</formula>
    </cfRule>
    <cfRule type="expression" dxfId="1777" priority="936">
      <formula>AND(IF($Q26=3,1,0),IF($X26&lt;30,1,0))</formula>
    </cfRule>
    <cfRule type="expression" dxfId="1776" priority="937">
      <formula>AND(IF($Q26=3,1,IF($Q26=4,1,0)),IF($F26&lt;=85,1,0))</formula>
    </cfRule>
  </conditionalFormatting>
  <conditionalFormatting sqref="AV27">
    <cfRule type="expression" dxfId="1775" priority="932">
      <formula>AV27="X"</formula>
    </cfRule>
    <cfRule type="expression" dxfId="1774" priority="933">
      <formula>AV27="후보"</formula>
    </cfRule>
  </conditionalFormatting>
  <conditionalFormatting sqref="Z27">
    <cfRule type="colorScale" priority="9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1773" priority="929" operator="greaterThan">
      <formula>0.9</formula>
    </cfRule>
    <cfRule type="cellIs" dxfId="1772" priority="930" operator="greaterThan">
      <formula>0.85</formula>
    </cfRule>
  </conditionalFormatting>
  <conditionalFormatting sqref="N27">
    <cfRule type="cellIs" dxfId="1771" priority="927" operator="greaterThan">
      <formula>0.9</formula>
    </cfRule>
    <cfRule type="cellIs" dxfId="1770" priority="928" operator="greaterThan">
      <formula>0.85</formula>
    </cfRule>
  </conditionalFormatting>
  <conditionalFormatting sqref="E27">
    <cfRule type="expression" dxfId="1769" priority="923">
      <formula>AND(IF(OR($Q27=1,$Q27=2),1,0),IF($X27&lt;=20,1,0))</formula>
    </cfRule>
    <cfRule type="expression" dxfId="1768" priority="924">
      <formula>AND(IF($Q27=2,1,0),IF($X27&lt;30,1,0))</formula>
    </cfRule>
    <cfRule type="expression" dxfId="1767" priority="925">
      <formula>AND(IF($Q27=3,1,0),IF($X27&lt;30,1,0))</formula>
    </cfRule>
    <cfRule type="expression" dxfId="1766" priority="926">
      <formula>AND(IF($Q27=3,1,IF($Q27=4,1,0)),IF($F27&lt;=85,1,0))</formula>
    </cfRule>
  </conditionalFormatting>
  <conditionalFormatting sqref="X27">
    <cfRule type="expression" dxfId="1765" priority="919">
      <formula>AND(IF(OR($Q27=1,$Q27=2),1,0),IF($X27&lt;=20,1,0))</formula>
    </cfRule>
    <cfRule type="expression" dxfId="1764" priority="920">
      <formula>AND(IF($Q27=2,1,0),IF($X27&lt;30,1,0))</formula>
    </cfRule>
    <cfRule type="expression" dxfId="1763" priority="921">
      <formula>AND(IF($Q27=3,1,0),IF($X27&lt;30,1,0))</formula>
    </cfRule>
    <cfRule type="expression" dxfId="1762" priority="922">
      <formula>AND(IF($Q27=3,1,IF($Q27=4,1,0)),IF($F27&lt;=85,1,0))</formula>
    </cfRule>
  </conditionalFormatting>
  <conditionalFormatting sqref="AI27">
    <cfRule type="expression" dxfId="1761" priority="915">
      <formula>AND(IF(OR($Q27=1,$Q27=2),1,0),IF($X27&lt;=20,1,0))</formula>
    </cfRule>
    <cfRule type="expression" dxfId="1760" priority="916">
      <formula>AND(IF($Q27=2,1,0),IF($X27&lt;30,1,0))</formula>
    </cfRule>
    <cfRule type="expression" dxfId="1759" priority="917">
      <formula>AND(IF($Q27=3,1,0),IF($X27&lt;30,1,0))</formula>
    </cfRule>
    <cfRule type="expression" dxfId="1758" priority="918">
      <formula>AND(IF($Q27=3,1,IF($Q27=4,1,0)),IF($F27&lt;=85,1,0))</formula>
    </cfRule>
  </conditionalFormatting>
  <conditionalFormatting sqref="AV28">
    <cfRule type="expression" dxfId="1757" priority="913">
      <formula>AV28="X"</formula>
    </cfRule>
    <cfRule type="expression" dxfId="1756" priority="914">
      <formula>AV28="후보"</formula>
    </cfRule>
  </conditionalFormatting>
  <conditionalFormatting sqref="Z28">
    <cfRule type="colorScale" priority="9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1755" priority="910" operator="greaterThan">
      <formula>0.9</formula>
    </cfRule>
    <cfRule type="cellIs" dxfId="1754" priority="911" operator="greaterThan">
      <formula>0.85</formula>
    </cfRule>
  </conditionalFormatting>
  <conditionalFormatting sqref="N28">
    <cfRule type="cellIs" dxfId="1753" priority="908" operator="greaterThan">
      <formula>0.9</formula>
    </cfRule>
    <cfRule type="cellIs" dxfId="1752" priority="909" operator="greaterThan">
      <formula>0.85</formula>
    </cfRule>
  </conditionalFormatting>
  <conditionalFormatting sqref="E28">
    <cfRule type="expression" dxfId="1751" priority="904">
      <formula>AND(IF(OR($Q28=1,$Q28=2),1,0),IF($X28&lt;=20,1,0))</formula>
    </cfRule>
    <cfRule type="expression" dxfId="1750" priority="905">
      <formula>AND(IF($Q28=2,1,0),IF($X28&lt;30,1,0))</formula>
    </cfRule>
    <cfRule type="expression" dxfId="1749" priority="906">
      <formula>AND(IF($Q28=3,1,0),IF($X28&lt;30,1,0))</formula>
    </cfRule>
    <cfRule type="expression" dxfId="1748" priority="907">
      <formula>AND(IF($Q28=3,1,IF($Q28=4,1,0)),IF($F28&lt;=85,1,0))</formula>
    </cfRule>
  </conditionalFormatting>
  <conditionalFormatting sqref="X28">
    <cfRule type="expression" dxfId="1747" priority="900">
      <formula>AND(IF(OR($Q28=1,$Q28=2),1,0),IF($X28&lt;=20,1,0))</formula>
    </cfRule>
    <cfRule type="expression" dxfId="1746" priority="901">
      <formula>AND(IF($Q28=2,1,0),IF($X28&lt;30,1,0))</formula>
    </cfRule>
    <cfRule type="expression" dxfId="1745" priority="902">
      <formula>AND(IF($Q28=3,1,0),IF($X28&lt;30,1,0))</formula>
    </cfRule>
    <cfRule type="expression" dxfId="1744" priority="903">
      <formula>AND(IF($Q28=3,1,IF($Q28=4,1,0)),IF($F28&lt;=85,1,0))</formula>
    </cfRule>
  </conditionalFormatting>
  <conditionalFormatting sqref="AI28">
    <cfRule type="expression" dxfId="1743" priority="896">
      <formula>AND(IF(OR($Q28=1,$Q28=2),1,0),IF($X28&lt;=20,1,0))</formula>
    </cfRule>
    <cfRule type="expression" dxfId="1742" priority="897">
      <formula>AND(IF($Q28=2,1,0),IF($X28&lt;30,1,0))</formula>
    </cfRule>
    <cfRule type="expression" dxfId="1741" priority="898">
      <formula>AND(IF($Q28=3,1,0),IF($X28&lt;30,1,0))</formula>
    </cfRule>
    <cfRule type="expression" dxfId="1740" priority="899">
      <formula>AND(IF($Q28=3,1,IF($Q28=4,1,0)),IF($F28&lt;=85,1,0))</formula>
    </cfRule>
  </conditionalFormatting>
  <conditionalFormatting sqref="AV29">
    <cfRule type="expression" dxfId="1739" priority="894">
      <formula>AV29="X"</formula>
    </cfRule>
    <cfRule type="expression" dxfId="1738" priority="895">
      <formula>AV29="후보"</formula>
    </cfRule>
  </conditionalFormatting>
  <conditionalFormatting sqref="Z29">
    <cfRule type="colorScale" priority="8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 N29">
    <cfRule type="cellIs" dxfId="1737" priority="891" operator="greaterThan">
      <formula>0.9</formula>
    </cfRule>
    <cfRule type="cellIs" dxfId="1736" priority="892" operator="greaterThan">
      <formula>0.85</formula>
    </cfRule>
  </conditionalFormatting>
  <conditionalFormatting sqref="AV30">
    <cfRule type="expression" dxfId="1735" priority="889">
      <formula>AV30="X"</formula>
    </cfRule>
    <cfRule type="expression" dxfId="1734" priority="890">
      <formula>AV30="후보"</formula>
    </cfRule>
  </conditionalFormatting>
  <conditionalFormatting sqref="Z30">
    <cfRule type="colorScale" priority="8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1733" priority="886" operator="greaterThan">
      <formula>0.9</formula>
    </cfRule>
    <cfRule type="cellIs" dxfId="1732" priority="887" operator="greaterThan">
      <formula>0.85</formula>
    </cfRule>
  </conditionalFormatting>
  <conditionalFormatting sqref="N30">
    <cfRule type="cellIs" dxfId="1731" priority="884" operator="greaterThan">
      <formula>0.9</formula>
    </cfRule>
    <cfRule type="cellIs" dxfId="1730" priority="885" operator="greaterThan">
      <formula>0.85</formula>
    </cfRule>
  </conditionalFormatting>
  <conditionalFormatting sqref="E30">
    <cfRule type="expression" dxfId="1729" priority="880">
      <formula>AND(IF(OR($Q30=1,$Q30=2),1,0),IF($X30&lt;=20,1,0))</formula>
    </cfRule>
    <cfRule type="expression" dxfId="1728" priority="881">
      <formula>AND(IF($Q30=2,1,0),IF($X30&lt;30,1,0))</formula>
    </cfRule>
    <cfRule type="expression" dxfId="1727" priority="882">
      <formula>AND(IF($Q30=3,1,0),IF($X30&lt;30,1,0))</formula>
    </cfRule>
    <cfRule type="expression" dxfId="1726" priority="883">
      <formula>AND(IF($Q30=3,1,IF($Q30=4,1,0)),IF($F30&lt;=85,1,0))</formula>
    </cfRule>
  </conditionalFormatting>
  <conditionalFormatting sqref="X30">
    <cfRule type="expression" dxfId="1725" priority="876">
      <formula>AND(IF(OR($Q30=1,$Q30=2),1,0),IF($X30&lt;=20,1,0))</formula>
    </cfRule>
    <cfRule type="expression" dxfId="1724" priority="877">
      <formula>AND(IF($Q30=2,1,0),IF($X30&lt;30,1,0))</formula>
    </cfRule>
    <cfRule type="expression" dxfId="1723" priority="878">
      <formula>AND(IF($Q30=3,1,0),IF($X30&lt;30,1,0))</formula>
    </cfRule>
    <cfRule type="expression" dxfId="1722" priority="879">
      <formula>AND(IF($Q30=3,1,IF($Q30=4,1,0)),IF($F30&lt;=85,1,0))</formula>
    </cfRule>
  </conditionalFormatting>
  <conditionalFormatting sqref="AI30">
    <cfRule type="expression" dxfId="1721" priority="872">
      <formula>AND(IF(OR($Q30=1,$Q30=2),1,0),IF($X30&lt;=20,1,0))</formula>
    </cfRule>
    <cfRule type="expression" dxfId="1720" priority="873">
      <formula>AND(IF($Q30=2,1,0),IF($X30&lt;30,1,0))</formula>
    </cfRule>
    <cfRule type="expression" dxfId="1719" priority="874">
      <formula>AND(IF($Q30=3,1,0),IF($X30&lt;30,1,0))</formula>
    </cfRule>
    <cfRule type="expression" dxfId="1718" priority="875">
      <formula>AND(IF($Q30=3,1,IF($Q30=4,1,0)),IF($F30&lt;=85,1,0))</formula>
    </cfRule>
  </conditionalFormatting>
  <conditionalFormatting sqref="AV31">
    <cfRule type="expression" dxfId="1717" priority="870">
      <formula>AV31="X"</formula>
    </cfRule>
    <cfRule type="expression" dxfId="1716" priority="871">
      <formula>AV31="후보"</formula>
    </cfRule>
  </conditionalFormatting>
  <conditionalFormatting sqref="Z31">
    <cfRule type="colorScale" priority="8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1715" priority="867" operator="greaterThan">
      <formula>0.9</formula>
    </cfRule>
    <cfRule type="cellIs" dxfId="1714" priority="868" operator="greaterThan">
      <formula>0.85</formula>
    </cfRule>
  </conditionalFormatting>
  <conditionalFormatting sqref="N31">
    <cfRule type="cellIs" dxfId="1713" priority="865" operator="greaterThan">
      <formula>0.9</formula>
    </cfRule>
    <cfRule type="cellIs" dxfId="1712" priority="866" operator="greaterThan">
      <formula>0.85</formula>
    </cfRule>
  </conditionalFormatting>
  <conditionalFormatting sqref="E31">
    <cfRule type="expression" dxfId="1711" priority="861">
      <formula>AND(IF(OR($Q31=1,$Q31=2),1,0),IF($X31&lt;=20,1,0))</formula>
    </cfRule>
    <cfRule type="expression" dxfId="1710" priority="862">
      <formula>AND(IF($Q31=2,1,0),IF($X31&lt;30,1,0))</formula>
    </cfRule>
    <cfRule type="expression" dxfId="1709" priority="863">
      <formula>AND(IF($Q31=3,1,0),IF($X31&lt;30,1,0))</formula>
    </cfRule>
    <cfRule type="expression" dxfId="1708" priority="864">
      <formula>AND(IF($Q31=3,1,IF($Q31=4,1,0)),IF($F31&lt;=85,1,0))</formula>
    </cfRule>
  </conditionalFormatting>
  <conditionalFormatting sqref="X31">
    <cfRule type="expression" dxfId="1707" priority="857">
      <formula>AND(IF(OR($Q31=1,$Q31=2),1,0),IF($X31&lt;=20,1,0))</formula>
    </cfRule>
    <cfRule type="expression" dxfId="1706" priority="858">
      <formula>AND(IF($Q31=2,1,0),IF($X31&lt;30,1,0))</formula>
    </cfRule>
    <cfRule type="expression" dxfId="1705" priority="859">
      <formula>AND(IF($Q31=3,1,0),IF($X31&lt;30,1,0))</formula>
    </cfRule>
    <cfRule type="expression" dxfId="1704" priority="860">
      <formula>AND(IF($Q31=3,1,IF($Q31=4,1,0)),IF($F31&lt;=85,1,0))</formula>
    </cfRule>
  </conditionalFormatting>
  <conditionalFormatting sqref="AI31">
    <cfRule type="expression" dxfId="1703" priority="853">
      <formula>AND(IF(OR($Q31=1,$Q31=2),1,0),IF($X31&lt;=20,1,0))</formula>
    </cfRule>
    <cfRule type="expression" dxfId="1702" priority="854">
      <formula>AND(IF($Q31=2,1,0),IF($X31&lt;30,1,0))</formula>
    </cfRule>
    <cfRule type="expression" dxfId="1701" priority="855">
      <formula>AND(IF($Q31=3,1,0),IF($X31&lt;30,1,0))</formula>
    </cfRule>
    <cfRule type="expression" dxfId="1700" priority="856">
      <formula>AND(IF($Q31=3,1,IF($Q31=4,1,0)),IF($F31&lt;=85,1,0))</formula>
    </cfRule>
  </conditionalFormatting>
  <conditionalFormatting sqref="AV32">
    <cfRule type="expression" dxfId="1699" priority="851">
      <formula>AV32="X"</formula>
    </cfRule>
    <cfRule type="expression" dxfId="1698" priority="852">
      <formula>AV32="후보"</formula>
    </cfRule>
  </conditionalFormatting>
  <conditionalFormatting sqref="Z32">
    <cfRule type="colorScale" priority="8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1697" priority="848" operator="greaterThan">
      <formula>0.9</formula>
    </cfRule>
    <cfRule type="cellIs" dxfId="1696" priority="849" operator="greaterThan">
      <formula>0.85</formula>
    </cfRule>
  </conditionalFormatting>
  <conditionalFormatting sqref="N32">
    <cfRule type="cellIs" dxfId="1695" priority="846" operator="greaterThan">
      <formula>0.9</formula>
    </cfRule>
    <cfRule type="cellIs" dxfId="1694" priority="847" operator="greaterThan">
      <formula>0.85</formula>
    </cfRule>
  </conditionalFormatting>
  <conditionalFormatting sqref="E32">
    <cfRule type="expression" dxfId="1693" priority="842">
      <formula>AND(IF(OR($Q32=1,$Q32=2),1,0),IF($X32&lt;=20,1,0))</formula>
    </cfRule>
    <cfRule type="expression" dxfId="1692" priority="843">
      <formula>AND(IF($Q32=2,1,0),IF($X32&lt;30,1,0))</formula>
    </cfRule>
    <cfRule type="expression" dxfId="1691" priority="844">
      <formula>AND(IF($Q32=3,1,0),IF($X32&lt;30,1,0))</formula>
    </cfRule>
    <cfRule type="expression" dxfId="1690" priority="845">
      <formula>AND(IF($Q32=3,1,IF($Q32=4,1,0)),IF($F32&lt;=85,1,0))</formula>
    </cfRule>
  </conditionalFormatting>
  <conditionalFormatting sqref="X32">
    <cfRule type="expression" dxfId="1689" priority="838">
      <formula>AND(IF(OR($Q32=1,$Q32=2),1,0),IF($X32&lt;=20,1,0))</formula>
    </cfRule>
    <cfRule type="expression" dxfId="1688" priority="839">
      <formula>AND(IF($Q32=2,1,0),IF($X32&lt;30,1,0))</formula>
    </cfRule>
    <cfRule type="expression" dxfId="1687" priority="840">
      <formula>AND(IF($Q32=3,1,0),IF($X32&lt;30,1,0))</formula>
    </cfRule>
    <cfRule type="expression" dxfId="1686" priority="841">
      <formula>AND(IF($Q32=3,1,IF($Q32=4,1,0)),IF($F32&lt;=85,1,0))</formula>
    </cfRule>
  </conditionalFormatting>
  <conditionalFormatting sqref="AI32">
    <cfRule type="expression" dxfId="1685" priority="834">
      <formula>AND(IF(OR($Q32=1,$Q32=2),1,0),IF($X32&lt;=20,1,0))</formula>
    </cfRule>
    <cfRule type="expression" dxfId="1684" priority="835">
      <formula>AND(IF($Q32=2,1,0),IF($X32&lt;30,1,0))</formula>
    </cfRule>
    <cfRule type="expression" dxfId="1683" priority="836">
      <formula>AND(IF($Q32=3,1,0),IF($X32&lt;30,1,0))</formula>
    </cfRule>
    <cfRule type="expression" dxfId="1682" priority="837">
      <formula>AND(IF($Q32=3,1,IF($Q32=4,1,0)),IF($F32&lt;=85,1,0))</formula>
    </cfRule>
  </conditionalFormatting>
  <conditionalFormatting sqref="AV33">
    <cfRule type="expression" dxfId="1681" priority="832">
      <formula>AV33="X"</formula>
    </cfRule>
    <cfRule type="expression" dxfId="1680" priority="833">
      <formula>AV33="후보"</formula>
    </cfRule>
  </conditionalFormatting>
  <conditionalFormatting sqref="Z33">
    <cfRule type="colorScale" priority="8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1679" priority="829" operator="greaterThan">
      <formula>0.9</formula>
    </cfRule>
    <cfRule type="cellIs" dxfId="1678" priority="830" operator="greaterThan">
      <formula>0.85</formula>
    </cfRule>
  </conditionalFormatting>
  <conditionalFormatting sqref="N33">
    <cfRule type="cellIs" dxfId="1677" priority="827" operator="greaterThan">
      <formula>0.9</formula>
    </cfRule>
    <cfRule type="cellIs" dxfId="1676" priority="828" operator="greaterThan">
      <formula>0.85</formula>
    </cfRule>
  </conditionalFormatting>
  <conditionalFormatting sqref="E33">
    <cfRule type="expression" dxfId="1675" priority="823">
      <formula>AND(IF(OR($Q33=1,$Q33=2),1,0),IF($X33&lt;=20,1,0))</formula>
    </cfRule>
    <cfRule type="expression" dxfId="1674" priority="824">
      <formula>AND(IF($Q33=2,1,0),IF($X33&lt;30,1,0))</formula>
    </cfRule>
    <cfRule type="expression" dxfId="1673" priority="825">
      <formula>AND(IF($Q33=3,1,0),IF($X33&lt;30,1,0))</formula>
    </cfRule>
    <cfRule type="expression" dxfId="1672" priority="826">
      <formula>AND(IF($Q33=3,1,IF($Q33=4,1,0)),IF($F33&lt;=85,1,0))</formula>
    </cfRule>
  </conditionalFormatting>
  <conditionalFormatting sqref="X33">
    <cfRule type="expression" dxfId="1671" priority="819">
      <formula>AND(IF(OR($Q33=1,$Q33=2),1,0),IF($X33&lt;=20,1,0))</formula>
    </cfRule>
    <cfRule type="expression" dxfId="1670" priority="820">
      <formula>AND(IF($Q33=2,1,0),IF($X33&lt;30,1,0))</formula>
    </cfRule>
    <cfRule type="expression" dxfId="1669" priority="821">
      <formula>AND(IF($Q33=3,1,0),IF($X33&lt;30,1,0))</formula>
    </cfRule>
    <cfRule type="expression" dxfId="1668" priority="822">
      <formula>AND(IF($Q33=3,1,IF($Q33=4,1,0)),IF($F33&lt;=85,1,0))</formula>
    </cfRule>
  </conditionalFormatting>
  <conditionalFormatting sqref="AI33">
    <cfRule type="expression" dxfId="1667" priority="815">
      <formula>AND(IF(OR($Q33=1,$Q33=2),1,0),IF($X33&lt;=20,1,0))</formula>
    </cfRule>
    <cfRule type="expression" dxfId="1666" priority="816">
      <formula>AND(IF($Q33=2,1,0),IF($X33&lt;30,1,0))</formula>
    </cfRule>
    <cfRule type="expression" dxfId="1665" priority="817">
      <formula>AND(IF($Q33=3,1,0),IF($X33&lt;30,1,0))</formula>
    </cfRule>
    <cfRule type="expression" dxfId="1664" priority="818">
      <formula>AND(IF($Q33=3,1,IF($Q33=4,1,0)),IF($F33&lt;=85,1,0))</formula>
    </cfRule>
  </conditionalFormatting>
  <conditionalFormatting sqref="AV34">
    <cfRule type="expression" dxfId="1663" priority="813">
      <formula>AV34="X"</formula>
    </cfRule>
    <cfRule type="expression" dxfId="1662" priority="814">
      <formula>AV34="후보"</formula>
    </cfRule>
  </conditionalFormatting>
  <conditionalFormatting sqref="Z34">
    <cfRule type="colorScale" priority="8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1661" priority="810" operator="greaterThan">
      <formula>0.9</formula>
    </cfRule>
    <cfRule type="cellIs" dxfId="1660" priority="811" operator="greaterThan">
      <formula>0.85</formula>
    </cfRule>
  </conditionalFormatting>
  <conditionalFormatting sqref="N34">
    <cfRule type="cellIs" dxfId="1659" priority="808" operator="greaterThan">
      <formula>0.9</formula>
    </cfRule>
    <cfRule type="cellIs" dxfId="1658" priority="809" operator="greaterThan">
      <formula>0.85</formula>
    </cfRule>
  </conditionalFormatting>
  <conditionalFormatting sqref="E34">
    <cfRule type="expression" dxfId="1657" priority="804">
      <formula>AND(IF(OR($Q34=1,$Q34=2),1,0),IF($X34&lt;=20,1,0))</formula>
    </cfRule>
    <cfRule type="expression" dxfId="1656" priority="805">
      <formula>AND(IF($Q34=2,1,0),IF($X34&lt;30,1,0))</formula>
    </cfRule>
    <cfRule type="expression" dxfId="1655" priority="806">
      <formula>AND(IF($Q34=3,1,0),IF($X34&lt;30,1,0))</formula>
    </cfRule>
    <cfRule type="expression" dxfId="1654" priority="807">
      <formula>AND(IF($Q34=3,1,IF($Q34=4,1,0)),IF($F34&lt;=85,1,0))</formula>
    </cfRule>
  </conditionalFormatting>
  <conditionalFormatting sqref="X34">
    <cfRule type="expression" dxfId="1653" priority="800">
      <formula>AND(IF(OR($Q34=1,$Q34=2),1,0),IF($X34&lt;=20,1,0))</formula>
    </cfRule>
    <cfRule type="expression" dxfId="1652" priority="801">
      <formula>AND(IF($Q34=2,1,0),IF($X34&lt;30,1,0))</formula>
    </cfRule>
    <cfRule type="expression" dxfId="1651" priority="802">
      <formula>AND(IF($Q34=3,1,0),IF($X34&lt;30,1,0))</formula>
    </cfRule>
    <cfRule type="expression" dxfId="1650" priority="803">
      <formula>AND(IF($Q34=3,1,IF($Q34=4,1,0)),IF($F34&lt;=85,1,0))</formula>
    </cfRule>
  </conditionalFormatting>
  <conditionalFormatting sqref="AI34">
    <cfRule type="expression" dxfId="1649" priority="796">
      <formula>AND(IF(OR($Q34=1,$Q34=2),1,0),IF($X34&lt;=20,1,0))</formula>
    </cfRule>
    <cfRule type="expression" dxfId="1648" priority="797">
      <formula>AND(IF($Q34=2,1,0),IF($X34&lt;30,1,0))</formula>
    </cfRule>
    <cfRule type="expression" dxfId="1647" priority="798">
      <formula>AND(IF($Q34=3,1,0),IF($X34&lt;30,1,0))</formula>
    </cfRule>
    <cfRule type="expression" dxfId="1646" priority="799">
      <formula>AND(IF($Q34=3,1,IF($Q34=4,1,0)),IF($F34&lt;=85,1,0))</formula>
    </cfRule>
  </conditionalFormatting>
  <conditionalFormatting sqref="AV35">
    <cfRule type="expression" dxfId="1645" priority="794">
      <formula>AV35="X"</formula>
    </cfRule>
    <cfRule type="expression" dxfId="1644" priority="795">
      <formula>AV35="후보"</formula>
    </cfRule>
  </conditionalFormatting>
  <conditionalFormatting sqref="Z35">
    <cfRule type="colorScale" priority="7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1643" priority="791" operator="greaterThan">
      <formula>0.9</formula>
    </cfRule>
    <cfRule type="cellIs" dxfId="1642" priority="792" operator="greaterThan">
      <formula>0.85</formula>
    </cfRule>
  </conditionalFormatting>
  <conditionalFormatting sqref="N35">
    <cfRule type="cellIs" dxfId="1641" priority="789" operator="greaterThan">
      <formula>0.9</formula>
    </cfRule>
    <cfRule type="cellIs" dxfId="1640" priority="790" operator="greaterThan">
      <formula>0.85</formula>
    </cfRule>
  </conditionalFormatting>
  <conditionalFormatting sqref="E35">
    <cfRule type="expression" dxfId="1639" priority="785">
      <formula>AND(IF(OR($Q35=1,$Q35=2),1,0),IF($X35&lt;=20,1,0))</formula>
    </cfRule>
    <cfRule type="expression" dxfId="1638" priority="786">
      <formula>AND(IF($Q35=2,1,0),IF($X35&lt;30,1,0))</formula>
    </cfRule>
    <cfRule type="expression" dxfId="1637" priority="787">
      <formula>AND(IF($Q35=3,1,0),IF($X35&lt;30,1,0))</formula>
    </cfRule>
    <cfRule type="expression" dxfId="1636" priority="788">
      <formula>AND(IF($Q35=3,1,IF($Q35=4,1,0)),IF($F35&lt;=85,1,0))</formula>
    </cfRule>
  </conditionalFormatting>
  <conditionalFormatting sqref="X35">
    <cfRule type="expression" dxfId="1635" priority="781">
      <formula>AND(IF(OR($Q35=1,$Q35=2),1,0),IF($X35&lt;=20,1,0))</formula>
    </cfRule>
    <cfRule type="expression" dxfId="1634" priority="782">
      <formula>AND(IF($Q35=2,1,0),IF($X35&lt;30,1,0))</formula>
    </cfRule>
    <cfRule type="expression" dxfId="1633" priority="783">
      <formula>AND(IF($Q35=3,1,0),IF($X35&lt;30,1,0))</formula>
    </cfRule>
    <cfRule type="expression" dxfId="1632" priority="784">
      <formula>AND(IF($Q35=3,1,IF($Q35=4,1,0)),IF($F35&lt;=85,1,0))</formula>
    </cfRule>
  </conditionalFormatting>
  <conditionalFormatting sqref="AI35">
    <cfRule type="expression" dxfId="1631" priority="777">
      <formula>AND(IF(OR($Q35=1,$Q35=2),1,0),IF($X35&lt;=20,1,0))</formula>
    </cfRule>
    <cfRule type="expression" dxfId="1630" priority="778">
      <formula>AND(IF($Q35=2,1,0),IF($X35&lt;30,1,0))</formula>
    </cfRule>
    <cfRule type="expression" dxfId="1629" priority="779">
      <formula>AND(IF($Q35=3,1,0),IF($X35&lt;30,1,0))</formula>
    </cfRule>
    <cfRule type="expression" dxfId="1628" priority="780">
      <formula>AND(IF($Q35=3,1,IF($Q35=4,1,0)),IF($F35&lt;=85,1,0))</formula>
    </cfRule>
  </conditionalFormatting>
  <conditionalFormatting sqref="AV36">
    <cfRule type="expression" dxfId="1627" priority="775">
      <formula>AV36="X"</formula>
    </cfRule>
    <cfRule type="expression" dxfId="1626" priority="776">
      <formula>AV36="후보"</formula>
    </cfRule>
  </conditionalFormatting>
  <conditionalFormatting sqref="Z36">
    <cfRule type="colorScale" priority="7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1625" priority="772" operator="greaterThan">
      <formula>0.9</formula>
    </cfRule>
    <cfRule type="cellIs" dxfId="1624" priority="773" operator="greaterThan">
      <formula>0.85</formula>
    </cfRule>
  </conditionalFormatting>
  <conditionalFormatting sqref="N36">
    <cfRule type="cellIs" dxfId="1623" priority="770" operator="greaterThan">
      <formula>0.9</formula>
    </cfRule>
    <cfRule type="cellIs" dxfId="1622" priority="771" operator="greaterThan">
      <formula>0.85</formula>
    </cfRule>
  </conditionalFormatting>
  <conditionalFormatting sqref="E36">
    <cfRule type="expression" dxfId="1621" priority="766">
      <formula>AND(IF(OR($Q36=1,$Q36=2),1,0),IF($X36&lt;=20,1,0))</formula>
    </cfRule>
    <cfRule type="expression" dxfId="1620" priority="767">
      <formula>AND(IF($Q36=2,1,0),IF($X36&lt;30,1,0))</formula>
    </cfRule>
    <cfRule type="expression" dxfId="1619" priority="768">
      <formula>AND(IF($Q36=3,1,0),IF($X36&lt;30,1,0))</formula>
    </cfRule>
    <cfRule type="expression" dxfId="1618" priority="769">
      <formula>AND(IF($Q36=3,1,IF($Q36=4,1,0)),IF($F36&lt;=85,1,0))</formula>
    </cfRule>
  </conditionalFormatting>
  <conditionalFormatting sqref="X36">
    <cfRule type="expression" dxfId="1617" priority="762">
      <formula>AND(IF(OR($Q36=1,$Q36=2),1,0),IF($X36&lt;=20,1,0))</formula>
    </cfRule>
    <cfRule type="expression" dxfId="1616" priority="763">
      <formula>AND(IF($Q36=2,1,0),IF($X36&lt;30,1,0))</formula>
    </cfRule>
    <cfRule type="expression" dxfId="1615" priority="764">
      <formula>AND(IF($Q36=3,1,0),IF($X36&lt;30,1,0))</formula>
    </cfRule>
    <cfRule type="expression" dxfId="1614" priority="765">
      <formula>AND(IF($Q36=3,1,IF($Q36=4,1,0)),IF($F36&lt;=85,1,0))</formula>
    </cfRule>
  </conditionalFormatting>
  <conditionalFormatting sqref="AI36">
    <cfRule type="expression" dxfId="1613" priority="758">
      <formula>AND(IF(OR($Q36=1,$Q36=2),1,0),IF($X36&lt;=20,1,0))</formula>
    </cfRule>
    <cfRule type="expression" dxfId="1612" priority="759">
      <formula>AND(IF($Q36=2,1,0),IF($X36&lt;30,1,0))</formula>
    </cfRule>
    <cfRule type="expression" dxfId="1611" priority="760">
      <formula>AND(IF($Q36=3,1,0),IF($X36&lt;30,1,0))</formula>
    </cfRule>
    <cfRule type="expression" dxfId="1610" priority="761">
      <formula>AND(IF($Q36=3,1,IF($Q36=4,1,0)),IF($F36&lt;=85,1,0))</formula>
    </cfRule>
  </conditionalFormatting>
  <conditionalFormatting sqref="AV37">
    <cfRule type="expression" dxfId="1609" priority="756">
      <formula>AV37="X"</formula>
    </cfRule>
    <cfRule type="expression" dxfId="1608" priority="757">
      <formula>AV37="후보"</formula>
    </cfRule>
  </conditionalFormatting>
  <conditionalFormatting sqref="Z37">
    <cfRule type="colorScale" priority="7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1607" priority="753" operator="greaterThan">
      <formula>0.9</formula>
    </cfRule>
    <cfRule type="cellIs" dxfId="1606" priority="754" operator="greaterThan">
      <formula>0.85</formula>
    </cfRule>
  </conditionalFormatting>
  <conditionalFormatting sqref="N37">
    <cfRule type="cellIs" dxfId="1605" priority="751" operator="greaterThan">
      <formula>0.9</formula>
    </cfRule>
    <cfRule type="cellIs" dxfId="1604" priority="752" operator="greaterThan">
      <formula>0.85</formula>
    </cfRule>
  </conditionalFormatting>
  <conditionalFormatting sqref="E37">
    <cfRule type="expression" dxfId="1603" priority="747">
      <formula>AND(IF(OR($Q37=1,$Q37=2),1,0),IF($X37&lt;=20,1,0))</formula>
    </cfRule>
    <cfRule type="expression" dxfId="1602" priority="748">
      <formula>AND(IF($Q37=2,1,0),IF($X37&lt;30,1,0))</formula>
    </cfRule>
    <cfRule type="expression" dxfId="1601" priority="749">
      <formula>AND(IF($Q37=3,1,0),IF($X37&lt;30,1,0))</formula>
    </cfRule>
    <cfRule type="expression" dxfId="1600" priority="750">
      <formula>AND(IF($Q37=3,1,IF($Q37=4,1,0)),IF($F37&lt;=85,1,0))</formula>
    </cfRule>
  </conditionalFormatting>
  <conditionalFormatting sqref="X37">
    <cfRule type="expression" dxfId="1599" priority="743">
      <formula>AND(IF(OR($Q37=1,$Q37=2),1,0),IF($X37&lt;=20,1,0))</formula>
    </cfRule>
    <cfRule type="expression" dxfId="1598" priority="744">
      <formula>AND(IF($Q37=2,1,0),IF($X37&lt;30,1,0))</formula>
    </cfRule>
    <cfRule type="expression" dxfId="1597" priority="745">
      <formula>AND(IF($Q37=3,1,0),IF($X37&lt;30,1,0))</formula>
    </cfRule>
    <cfRule type="expression" dxfId="1596" priority="746">
      <formula>AND(IF($Q37=3,1,IF($Q37=4,1,0)),IF($F37&lt;=85,1,0))</formula>
    </cfRule>
  </conditionalFormatting>
  <conditionalFormatting sqref="AI37">
    <cfRule type="expression" dxfId="1595" priority="739">
      <formula>AND(IF(OR($Q37=1,$Q37=2),1,0),IF($X37&lt;=20,1,0))</formula>
    </cfRule>
    <cfRule type="expression" dxfId="1594" priority="740">
      <formula>AND(IF($Q37=2,1,0),IF($X37&lt;30,1,0))</formula>
    </cfRule>
    <cfRule type="expression" dxfId="1593" priority="741">
      <formula>AND(IF($Q37=3,1,0),IF($X37&lt;30,1,0))</formula>
    </cfRule>
    <cfRule type="expression" dxfId="1592" priority="742">
      <formula>AND(IF($Q37=3,1,IF($Q37=4,1,0)),IF($F37&lt;=85,1,0))</formula>
    </cfRule>
  </conditionalFormatting>
  <conditionalFormatting sqref="AV38">
    <cfRule type="expression" dxfId="1591" priority="737">
      <formula>AV38="X"</formula>
    </cfRule>
    <cfRule type="expression" dxfId="1590" priority="738">
      <formula>AV38="후보"</formula>
    </cfRule>
  </conditionalFormatting>
  <conditionalFormatting sqref="Z38">
    <cfRule type="colorScale" priority="7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1589" priority="734" operator="greaterThan">
      <formula>0.9</formula>
    </cfRule>
    <cfRule type="cellIs" dxfId="1588" priority="735" operator="greaterThan">
      <formula>0.85</formula>
    </cfRule>
  </conditionalFormatting>
  <conditionalFormatting sqref="N38">
    <cfRule type="cellIs" dxfId="1587" priority="732" operator="greaterThan">
      <formula>0.9</formula>
    </cfRule>
    <cfRule type="cellIs" dxfId="1586" priority="733" operator="greaterThan">
      <formula>0.85</formula>
    </cfRule>
  </conditionalFormatting>
  <conditionalFormatting sqref="E38">
    <cfRule type="expression" dxfId="1585" priority="728">
      <formula>AND(IF(OR($Q38=1,$Q38=2),1,0),IF($X38&lt;=20,1,0))</formula>
    </cfRule>
    <cfRule type="expression" dxfId="1584" priority="729">
      <formula>AND(IF($Q38=2,1,0),IF($X38&lt;30,1,0))</formula>
    </cfRule>
    <cfRule type="expression" dxfId="1583" priority="730">
      <formula>AND(IF($Q38=3,1,0),IF($X38&lt;30,1,0))</formula>
    </cfRule>
    <cfRule type="expression" dxfId="1582" priority="731">
      <formula>AND(IF($Q38=3,1,IF($Q38=4,1,0)),IF($F38&lt;=85,1,0))</formula>
    </cfRule>
  </conditionalFormatting>
  <conditionalFormatting sqref="X38">
    <cfRule type="expression" dxfId="1581" priority="724">
      <formula>AND(IF(OR($Q38=1,$Q38=2),1,0),IF($X38&lt;=20,1,0))</formula>
    </cfRule>
    <cfRule type="expression" dxfId="1580" priority="725">
      <formula>AND(IF($Q38=2,1,0),IF($X38&lt;30,1,0))</formula>
    </cfRule>
    <cfRule type="expression" dxfId="1579" priority="726">
      <formula>AND(IF($Q38=3,1,0),IF($X38&lt;30,1,0))</formula>
    </cfRule>
    <cfRule type="expression" dxfId="1578" priority="727">
      <formula>AND(IF($Q38=3,1,IF($Q38=4,1,0)),IF($F38&lt;=85,1,0))</formula>
    </cfRule>
  </conditionalFormatting>
  <conditionalFormatting sqref="AI38">
    <cfRule type="expression" dxfId="1577" priority="720">
      <formula>AND(IF(OR($Q38=1,$Q38=2),1,0),IF($X38&lt;=20,1,0))</formula>
    </cfRule>
    <cfRule type="expression" dxfId="1576" priority="721">
      <formula>AND(IF($Q38=2,1,0),IF($X38&lt;30,1,0))</formula>
    </cfRule>
    <cfRule type="expression" dxfId="1575" priority="722">
      <formula>AND(IF($Q38=3,1,0),IF($X38&lt;30,1,0))</formula>
    </cfRule>
    <cfRule type="expression" dxfId="1574" priority="723">
      <formula>AND(IF($Q38=3,1,IF($Q38=4,1,0)),IF($F38&lt;=85,1,0))</formula>
    </cfRule>
  </conditionalFormatting>
  <conditionalFormatting sqref="AV39">
    <cfRule type="expression" dxfId="1573" priority="718">
      <formula>AV39="X"</formula>
    </cfRule>
    <cfRule type="expression" dxfId="1572" priority="719">
      <formula>AV39="후보"</formula>
    </cfRule>
  </conditionalFormatting>
  <conditionalFormatting sqref="Z39">
    <cfRule type="colorScale" priority="7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1571" priority="715" operator="greaterThan">
      <formula>0.9</formula>
    </cfRule>
    <cfRule type="cellIs" dxfId="1570" priority="716" operator="greaterThan">
      <formula>0.85</formula>
    </cfRule>
  </conditionalFormatting>
  <conditionalFormatting sqref="N39">
    <cfRule type="cellIs" dxfId="1569" priority="713" operator="greaterThan">
      <formula>0.9</formula>
    </cfRule>
    <cfRule type="cellIs" dxfId="1568" priority="714" operator="greaterThan">
      <formula>0.85</formula>
    </cfRule>
  </conditionalFormatting>
  <conditionalFormatting sqref="E39">
    <cfRule type="expression" dxfId="1567" priority="709">
      <formula>AND(IF(OR($Q39=1,$Q39=2),1,0),IF($X39&lt;=20,1,0))</formula>
    </cfRule>
    <cfRule type="expression" dxfId="1566" priority="710">
      <formula>AND(IF($Q39=2,1,0),IF($X39&lt;30,1,0))</formula>
    </cfRule>
    <cfRule type="expression" dxfId="1565" priority="711">
      <formula>AND(IF($Q39=3,1,0),IF($X39&lt;30,1,0))</formula>
    </cfRule>
    <cfRule type="expression" dxfId="1564" priority="712">
      <formula>AND(IF($Q39=3,1,IF($Q39=4,1,0)),IF($F39&lt;=85,1,0))</formula>
    </cfRule>
  </conditionalFormatting>
  <conditionalFormatting sqref="X39">
    <cfRule type="expression" dxfId="1563" priority="705">
      <formula>AND(IF(OR($Q39=1,$Q39=2),1,0),IF($X39&lt;=20,1,0))</formula>
    </cfRule>
    <cfRule type="expression" dxfId="1562" priority="706">
      <formula>AND(IF($Q39=2,1,0),IF($X39&lt;30,1,0))</formula>
    </cfRule>
    <cfRule type="expression" dxfId="1561" priority="707">
      <formula>AND(IF($Q39=3,1,0),IF($X39&lt;30,1,0))</formula>
    </cfRule>
    <cfRule type="expression" dxfId="1560" priority="708">
      <formula>AND(IF($Q39=3,1,IF($Q39=4,1,0)),IF($F39&lt;=85,1,0))</formula>
    </cfRule>
  </conditionalFormatting>
  <conditionalFormatting sqref="AI39">
    <cfRule type="expression" dxfId="1559" priority="701">
      <formula>AND(IF(OR($Q39=1,$Q39=2),1,0),IF($X39&lt;=20,1,0))</formula>
    </cfRule>
    <cfRule type="expression" dxfId="1558" priority="702">
      <formula>AND(IF($Q39=2,1,0),IF($X39&lt;30,1,0))</formula>
    </cfRule>
    <cfRule type="expression" dxfId="1557" priority="703">
      <formula>AND(IF($Q39=3,1,0),IF($X39&lt;30,1,0))</formula>
    </cfRule>
    <cfRule type="expression" dxfId="1556" priority="704">
      <formula>AND(IF($Q39=3,1,IF($Q39=4,1,0)),IF($F39&lt;=85,1,0))</formula>
    </cfRule>
  </conditionalFormatting>
  <conditionalFormatting sqref="AV40">
    <cfRule type="expression" dxfId="1555" priority="699">
      <formula>AV40="X"</formula>
    </cfRule>
    <cfRule type="expression" dxfId="1554" priority="700">
      <formula>AV40="후보"</formula>
    </cfRule>
  </conditionalFormatting>
  <conditionalFormatting sqref="Z40">
    <cfRule type="colorScale" priority="6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1553" priority="696" operator="greaterThan">
      <formula>0.9</formula>
    </cfRule>
    <cfRule type="cellIs" dxfId="1552" priority="697" operator="greaterThan">
      <formula>0.85</formula>
    </cfRule>
  </conditionalFormatting>
  <conditionalFormatting sqref="N40">
    <cfRule type="cellIs" dxfId="1551" priority="694" operator="greaterThan">
      <formula>0.9</formula>
    </cfRule>
    <cfRule type="cellIs" dxfId="1550" priority="695" operator="greaterThan">
      <formula>0.85</formula>
    </cfRule>
  </conditionalFormatting>
  <conditionalFormatting sqref="E40">
    <cfRule type="expression" dxfId="1549" priority="690">
      <formula>AND(IF(OR($Q40=1,$Q40=2),1,0),IF($X40&lt;=20,1,0))</formula>
    </cfRule>
    <cfRule type="expression" dxfId="1548" priority="691">
      <formula>AND(IF($Q40=2,1,0),IF($X40&lt;30,1,0))</formula>
    </cfRule>
    <cfRule type="expression" dxfId="1547" priority="692">
      <formula>AND(IF($Q40=3,1,0),IF($X40&lt;30,1,0))</formula>
    </cfRule>
    <cfRule type="expression" dxfId="1546" priority="693">
      <formula>AND(IF($Q40=3,1,IF($Q40=4,1,0)),IF($F40&lt;=85,1,0))</formula>
    </cfRule>
  </conditionalFormatting>
  <conditionalFormatting sqref="X40">
    <cfRule type="expression" dxfId="1545" priority="686">
      <formula>AND(IF(OR($Q40=1,$Q40=2),1,0),IF($X40&lt;=20,1,0))</formula>
    </cfRule>
    <cfRule type="expression" dxfId="1544" priority="687">
      <formula>AND(IF($Q40=2,1,0),IF($X40&lt;30,1,0))</formula>
    </cfRule>
    <cfRule type="expression" dxfId="1543" priority="688">
      <formula>AND(IF($Q40=3,1,0),IF($X40&lt;30,1,0))</formula>
    </cfRule>
    <cfRule type="expression" dxfId="1542" priority="689">
      <formula>AND(IF($Q40=3,1,IF($Q40=4,1,0)),IF($F40&lt;=85,1,0))</formula>
    </cfRule>
  </conditionalFormatting>
  <conditionalFormatting sqref="AI40">
    <cfRule type="expression" dxfId="1541" priority="682">
      <formula>AND(IF(OR($Q40=1,$Q40=2),1,0),IF($X40&lt;=20,1,0))</formula>
    </cfRule>
    <cfRule type="expression" dxfId="1540" priority="683">
      <formula>AND(IF($Q40=2,1,0),IF($X40&lt;30,1,0))</formula>
    </cfRule>
    <cfRule type="expression" dxfId="1539" priority="684">
      <formula>AND(IF($Q40=3,1,0),IF($X40&lt;30,1,0))</formula>
    </cfRule>
    <cfRule type="expression" dxfId="1538" priority="685">
      <formula>AND(IF($Q40=3,1,IF($Q40=4,1,0)),IF($F40&lt;=85,1,0))</formula>
    </cfRule>
  </conditionalFormatting>
  <conditionalFormatting sqref="AV41">
    <cfRule type="expression" dxfId="1537" priority="680">
      <formula>AV41="X"</formula>
    </cfRule>
    <cfRule type="expression" dxfId="1536" priority="681">
      <formula>AV41="후보"</formula>
    </cfRule>
  </conditionalFormatting>
  <conditionalFormatting sqref="Z41">
    <cfRule type="colorScale" priority="6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1535" priority="677" operator="greaterThan">
      <formula>0.9</formula>
    </cfRule>
    <cfRule type="cellIs" dxfId="1534" priority="678" operator="greaterThan">
      <formula>0.85</formula>
    </cfRule>
  </conditionalFormatting>
  <conditionalFormatting sqref="N41">
    <cfRule type="cellIs" dxfId="1533" priority="675" operator="greaterThan">
      <formula>0.9</formula>
    </cfRule>
    <cfRule type="cellIs" dxfId="1532" priority="676" operator="greaterThan">
      <formula>0.85</formula>
    </cfRule>
  </conditionalFormatting>
  <conditionalFormatting sqref="E41">
    <cfRule type="expression" dxfId="1531" priority="671">
      <formula>AND(IF(OR($Q41=1,$Q41=2),1,0),IF($X41&lt;=20,1,0))</formula>
    </cfRule>
    <cfRule type="expression" dxfId="1530" priority="672">
      <formula>AND(IF($Q41=2,1,0),IF($X41&lt;30,1,0))</formula>
    </cfRule>
    <cfRule type="expression" dxfId="1529" priority="673">
      <formula>AND(IF($Q41=3,1,0),IF($X41&lt;30,1,0))</formula>
    </cfRule>
    <cfRule type="expression" dxfId="1528" priority="674">
      <formula>AND(IF($Q41=3,1,IF($Q41=4,1,0)),IF($F41&lt;=85,1,0))</formula>
    </cfRule>
  </conditionalFormatting>
  <conditionalFormatting sqref="X41">
    <cfRule type="expression" dxfId="1527" priority="667">
      <formula>AND(IF(OR($Q41=1,$Q41=2),1,0),IF($X41&lt;=20,1,0))</formula>
    </cfRule>
    <cfRule type="expression" dxfId="1526" priority="668">
      <formula>AND(IF($Q41=2,1,0),IF($X41&lt;30,1,0))</formula>
    </cfRule>
    <cfRule type="expression" dxfId="1525" priority="669">
      <formula>AND(IF($Q41=3,1,0),IF($X41&lt;30,1,0))</formula>
    </cfRule>
    <cfRule type="expression" dxfId="1524" priority="670">
      <formula>AND(IF($Q41=3,1,IF($Q41=4,1,0)),IF($F41&lt;=85,1,0))</formula>
    </cfRule>
  </conditionalFormatting>
  <conditionalFormatting sqref="AI41">
    <cfRule type="expression" dxfId="1523" priority="663">
      <formula>AND(IF(OR($Q41=1,$Q41=2),1,0),IF($X41&lt;=20,1,0))</formula>
    </cfRule>
    <cfRule type="expression" dxfId="1522" priority="664">
      <formula>AND(IF($Q41=2,1,0),IF($X41&lt;30,1,0))</formula>
    </cfRule>
    <cfRule type="expression" dxfId="1521" priority="665">
      <formula>AND(IF($Q41=3,1,0),IF($X41&lt;30,1,0))</formula>
    </cfRule>
    <cfRule type="expression" dxfId="1520" priority="666">
      <formula>AND(IF($Q41=3,1,IF($Q41=4,1,0)),IF($F41&lt;=85,1,0))</formula>
    </cfRule>
  </conditionalFormatting>
  <conditionalFormatting sqref="AV42">
    <cfRule type="expression" dxfId="1519" priority="661">
      <formula>AV42="X"</formula>
    </cfRule>
    <cfRule type="expression" dxfId="1518" priority="662">
      <formula>AV42="후보"</formula>
    </cfRule>
  </conditionalFormatting>
  <conditionalFormatting sqref="Z42">
    <cfRule type="colorScale" priority="6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1517" priority="658" operator="greaterThan">
      <formula>0.9</formula>
    </cfRule>
    <cfRule type="cellIs" dxfId="1516" priority="659" operator="greaterThan">
      <formula>0.85</formula>
    </cfRule>
  </conditionalFormatting>
  <conditionalFormatting sqref="N42">
    <cfRule type="cellIs" dxfId="1515" priority="656" operator="greaterThan">
      <formula>0.9</formula>
    </cfRule>
    <cfRule type="cellIs" dxfId="1514" priority="657" operator="greaterThan">
      <formula>0.85</formula>
    </cfRule>
  </conditionalFormatting>
  <conditionalFormatting sqref="E42">
    <cfRule type="expression" dxfId="1513" priority="652">
      <formula>AND(IF(OR($Q42=1,$Q42=2),1,0),IF($X42&lt;=20,1,0))</formula>
    </cfRule>
    <cfRule type="expression" dxfId="1512" priority="653">
      <formula>AND(IF($Q42=2,1,0),IF($X42&lt;30,1,0))</formula>
    </cfRule>
    <cfRule type="expression" dxfId="1511" priority="654">
      <formula>AND(IF($Q42=3,1,0),IF($X42&lt;30,1,0))</formula>
    </cfRule>
    <cfRule type="expression" dxfId="1510" priority="655">
      <formula>AND(IF($Q42=3,1,IF($Q42=4,1,0)),IF($F42&lt;=85,1,0))</formula>
    </cfRule>
  </conditionalFormatting>
  <conditionalFormatting sqref="X42">
    <cfRule type="expression" dxfId="1509" priority="648">
      <formula>AND(IF(OR($Q42=1,$Q42=2),1,0),IF($X42&lt;=20,1,0))</formula>
    </cfRule>
    <cfRule type="expression" dxfId="1508" priority="649">
      <formula>AND(IF($Q42=2,1,0),IF($X42&lt;30,1,0))</formula>
    </cfRule>
    <cfRule type="expression" dxfId="1507" priority="650">
      <formula>AND(IF($Q42=3,1,0),IF($X42&lt;30,1,0))</formula>
    </cfRule>
    <cfRule type="expression" dxfId="1506" priority="651">
      <formula>AND(IF($Q42=3,1,IF($Q42=4,1,0)),IF($F42&lt;=85,1,0))</formula>
    </cfRule>
  </conditionalFormatting>
  <conditionalFormatting sqref="AI42">
    <cfRule type="expression" dxfId="1505" priority="644">
      <formula>AND(IF(OR($Q42=1,$Q42=2),1,0),IF($X42&lt;=20,1,0))</formula>
    </cfRule>
    <cfRule type="expression" dxfId="1504" priority="645">
      <formula>AND(IF($Q42=2,1,0),IF($X42&lt;30,1,0))</formula>
    </cfRule>
    <cfRule type="expression" dxfId="1503" priority="646">
      <formula>AND(IF($Q42=3,1,0),IF($X42&lt;30,1,0))</formula>
    </cfRule>
    <cfRule type="expression" dxfId="1502" priority="647">
      <formula>AND(IF($Q42=3,1,IF($Q42=4,1,0)),IF($F42&lt;=85,1,0))</formula>
    </cfRule>
  </conditionalFormatting>
  <conditionalFormatting sqref="AV43">
    <cfRule type="expression" dxfId="1501" priority="642">
      <formula>AV43="X"</formula>
    </cfRule>
    <cfRule type="expression" dxfId="1500" priority="643">
      <formula>AV43="후보"</formula>
    </cfRule>
  </conditionalFormatting>
  <conditionalFormatting sqref="Z43">
    <cfRule type="colorScale" priority="6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1499" priority="639" operator="greaterThan">
      <formula>0.9</formula>
    </cfRule>
    <cfRule type="cellIs" dxfId="1498" priority="640" operator="greaterThan">
      <formula>0.85</formula>
    </cfRule>
  </conditionalFormatting>
  <conditionalFormatting sqref="N43">
    <cfRule type="cellIs" dxfId="1497" priority="637" operator="greaterThan">
      <formula>0.9</formula>
    </cfRule>
    <cfRule type="cellIs" dxfId="1496" priority="638" operator="greaterThan">
      <formula>0.85</formula>
    </cfRule>
  </conditionalFormatting>
  <conditionalFormatting sqref="E43">
    <cfRule type="expression" dxfId="1495" priority="633">
      <formula>AND(IF(OR($Q43=1,$Q43=2),1,0),IF($X43&lt;=20,1,0))</formula>
    </cfRule>
    <cfRule type="expression" dxfId="1494" priority="634">
      <formula>AND(IF($Q43=2,1,0),IF($X43&lt;30,1,0))</formula>
    </cfRule>
    <cfRule type="expression" dxfId="1493" priority="635">
      <formula>AND(IF($Q43=3,1,0),IF($X43&lt;30,1,0))</formula>
    </cfRule>
    <cfRule type="expression" dxfId="1492" priority="636">
      <formula>AND(IF($Q43=3,1,IF($Q43=4,1,0)),IF($F43&lt;=85,1,0))</formula>
    </cfRule>
  </conditionalFormatting>
  <conditionalFormatting sqref="X43">
    <cfRule type="expression" dxfId="1491" priority="629">
      <formula>AND(IF(OR($Q43=1,$Q43=2),1,0),IF($X43&lt;=20,1,0))</formula>
    </cfRule>
    <cfRule type="expression" dxfId="1490" priority="630">
      <formula>AND(IF($Q43=2,1,0),IF($X43&lt;30,1,0))</formula>
    </cfRule>
    <cfRule type="expression" dxfId="1489" priority="631">
      <formula>AND(IF($Q43=3,1,0),IF($X43&lt;30,1,0))</formula>
    </cfRule>
    <cfRule type="expression" dxfId="1488" priority="632">
      <formula>AND(IF($Q43=3,1,IF($Q43=4,1,0)),IF($F43&lt;=85,1,0))</formula>
    </cfRule>
  </conditionalFormatting>
  <conditionalFormatting sqref="AI43">
    <cfRule type="expression" dxfId="1487" priority="625">
      <formula>AND(IF(OR($Q43=1,$Q43=2),1,0),IF($X43&lt;=20,1,0))</formula>
    </cfRule>
    <cfRule type="expression" dxfId="1486" priority="626">
      <formula>AND(IF($Q43=2,1,0),IF($X43&lt;30,1,0))</formula>
    </cfRule>
    <cfRule type="expression" dxfId="1485" priority="627">
      <formula>AND(IF($Q43=3,1,0),IF($X43&lt;30,1,0))</formula>
    </cfRule>
    <cfRule type="expression" dxfId="1484" priority="628">
      <formula>AND(IF($Q43=3,1,IF($Q43=4,1,0)),IF($F43&lt;=85,1,0))</formula>
    </cfRule>
  </conditionalFormatting>
  <conditionalFormatting sqref="AV44">
    <cfRule type="expression" dxfId="1483" priority="623">
      <formula>AV44="X"</formula>
    </cfRule>
    <cfRule type="expression" dxfId="1482" priority="624">
      <formula>AV44="후보"</formula>
    </cfRule>
  </conditionalFormatting>
  <conditionalFormatting sqref="Z44">
    <cfRule type="colorScale" priority="6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1481" priority="620" operator="greaterThan">
      <formula>0.9</formula>
    </cfRule>
    <cfRule type="cellIs" dxfId="1480" priority="621" operator="greaterThan">
      <formula>0.85</formula>
    </cfRule>
  </conditionalFormatting>
  <conditionalFormatting sqref="N44">
    <cfRule type="cellIs" dxfId="1479" priority="618" operator="greaterThan">
      <formula>0.9</formula>
    </cfRule>
    <cfRule type="cellIs" dxfId="1478" priority="619" operator="greaterThan">
      <formula>0.85</formula>
    </cfRule>
  </conditionalFormatting>
  <conditionalFormatting sqref="E44">
    <cfRule type="expression" dxfId="1477" priority="614">
      <formula>AND(IF(OR($Q44=1,$Q44=2),1,0),IF($X44&lt;=20,1,0))</formula>
    </cfRule>
    <cfRule type="expression" dxfId="1476" priority="615">
      <formula>AND(IF($Q44=2,1,0),IF($X44&lt;30,1,0))</formula>
    </cfRule>
    <cfRule type="expression" dxfId="1475" priority="616">
      <formula>AND(IF($Q44=3,1,0),IF($X44&lt;30,1,0))</formula>
    </cfRule>
    <cfRule type="expression" dxfId="1474" priority="617">
      <formula>AND(IF($Q44=3,1,IF($Q44=4,1,0)),IF($F44&lt;=85,1,0))</formula>
    </cfRule>
  </conditionalFormatting>
  <conditionalFormatting sqref="X44">
    <cfRule type="expression" dxfId="1473" priority="610">
      <formula>AND(IF(OR($Q44=1,$Q44=2),1,0),IF($X44&lt;=20,1,0))</formula>
    </cfRule>
    <cfRule type="expression" dxfId="1472" priority="611">
      <formula>AND(IF($Q44=2,1,0),IF($X44&lt;30,1,0))</formula>
    </cfRule>
    <cfRule type="expression" dxfId="1471" priority="612">
      <formula>AND(IF($Q44=3,1,0),IF($X44&lt;30,1,0))</formula>
    </cfRule>
    <cfRule type="expression" dxfId="1470" priority="613">
      <formula>AND(IF($Q44=3,1,IF($Q44=4,1,0)),IF($F44&lt;=85,1,0))</formula>
    </cfRule>
  </conditionalFormatting>
  <conditionalFormatting sqref="AI44">
    <cfRule type="expression" dxfId="1469" priority="606">
      <formula>AND(IF(OR($Q44=1,$Q44=2),1,0),IF($X44&lt;=20,1,0))</formula>
    </cfRule>
    <cfRule type="expression" dxfId="1468" priority="607">
      <formula>AND(IF($Q44=2,1,0),IF($X44&lt;30,1,0))</formula>
    </cfRule>
    <cfRule type="expression" dxfId="1467" priority="608">
      <formula>AND(IF($Q44=3,1,0),IF($X44&lt;30,1,0))</formula>
    </cfRule>
    <cfRule type="expression" dxfId="1466" priority="609">
      <formula>AND(IF($Q44=3,1,IF($Q44=4,1,0)),IF($F44&lt;=85,1,0))</formula>
    </cfRule>
  </conditionalFormatting>
  <conditionalFormatting sqref="AV45">
    <cfRule type="expression" dxfId="1465" priority="604">
      <formula>AV45="X"</formula>
    </cfRule>
    <cfRule type="expression" dxfId="1464" priority="605">
      <formula>AV45="후보"</formula>
    </cfRule>
  </conditionalFormatting>
  <conditionalFormatting sqref="Z45">
    <cfRule type="colorScale" priority="6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1463" priority="601" operator="greaterThan">
      <formula>0.9</formula>
    </cfRule>
    <cfRule type="cellIs" dxfId="1462" priority="602" operator="greaterThan">
      <formula>0.85</formula>
    </cfRule>
  </conditionalFormatting>
  <conditionalFormatting sqref="N45">
    <cfRule type="cellIs" dxfId="1461" priority="599" operator="greaterThan">
      <formula>0.9</formula>
    </cfRule>
    <cfRule type="cellIs" dxfId="1460" priority="600" operator="greaterThan">
      <formula>0.85</formula>
    </cfRule>
  </conditionalFormatting>
  <conditionalFormatting sqref="E45">
    <cfRule type="expression" dxfId="1459" priority="595">
      <formula>AND(IF(OR($Q45=1,$Q45=2),1,0),IF($X45&lt;=20,1,0))</formula>
    </cfRule>
    <cfRule type="expression" dxfId="1458" priority="596">
      <formula>AND(IF($Q45=2,1,0),IF($X45&lt;30,1,0))</formula>
    </cfRule>
    <cfRule type="expression" dxfId="1457" priority="597">
      <formula>AND(IF($Q45=3,1,0),IF($X45&lt;30,1,0))</formula>
    </cfRule>
    <cfRule type="expression" dxfId="1456" priority="598">
      <formula>AND(IF($Q45=3,1,IF($Q45=4,1,0)),IF($F45&lt;=85,1,0))</formula>
    </cfRule>
  </conditionalFormatting>
  <conditionalFormatting sqref="X45">
    <cfRule type="expression" dxfId="1455" priority="591">
      <formula>AND(IF(OR($Q45=1,$Q45=2),1,0),IF($X45&lt;=20,1,0))</formula>
    </cfRule>
    <cfRule type="expression" dxfId="1454" priority="592">
      <formula>AND(IF($Q45=2,1,0),IF($X45&lt;30,1,0))</formula>
    </cfRule>
    <cfRule type="expression" dxfId="1453" priority="593">
      <formula>AND(IF($Q45=3,1,0),IF($X45&lt;30,1,0))</formula>
    </cfRule>
    <cfRule type="expression" dxfId="1452" priority="594">
      <formula>AND(IF($Q45=3,1,IF($Q45=4,1,0)),IF($F45&lt;=85,1,0))</formula>
    </cfRule>
  </conditionalFormatting>
  <conditionalFormatting sqref="AI45">
    <cfRule type="expression" dxfId="1451" priority="587">
      <formula>AND(IF(OR($Q45=1,$Q45=2),1,0),IF($X45&lt;=20,1,0))</formula>
    </cfRule>
    <cfRule type="expression" dxfId="1450" priority="588">
      <formula>AND(IF($Q45=2,1,0),IF($X45&lt;30,1,0))</formula>
    </cfRule>
    <cfRule type="expression" dxfId="1449" priority="589">
      <formula>AND(IF($Q45=3,1,0),IF($X45&lt;30,1,0))</formula>
    </cfRule>
    <cfRule type="expression" dxfId="1448" priority="590">
      <formula>AND(IF($Q45=3,1,IF($Q45=4,1,0)),IF($F45&lt;=85,1,0))</formula>
    </cfRule>
  </conditionalFormatting>
  <conditionalFormatting sqref="AV46">
    <cfRule type="expression" dxfId="1447" priority="585">
      <formula>AV46="X"</formula>
    </cfRule>
    <cfRule type="expression" dxfId="1446" priority="586">
      <formula>AV46="후보"</formula>
    </cfRule>
  </conditionalFormatting>
  <conditionalFormatting sqref="Z46">
    <cfRule type="colorScale" priority="5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 N46">
    <cfRule type="cellIs" dxfId="1445" priority="582" operator="greaterThan">
      <formula>0.9</formula>
    </cfRule>
    <cfRule type="cellIs" dxfId="1444" priority="583" operator="greaterThan">
      <formula>0.85</formula>
    </cfRule>
  </conditionalFormatting>
  <conditionalFormatting sqref="AV47">
    <cfRule type="expression" dxfId="1443" priority="580">
      <formula>AV47="X"</formula>
    </cfRule>
    <cfRule type="expression" dxfId="1442" priority="581">
      <formula>AV47="후보"</formula>
    </cfRule>
  </conditionalFormatting>
  <conditionalFormatting sqref="Z47">
    <cfRule type="colorScale" priority="5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1441" priority="577" operator="greaterThan">
      <formula>0.9</formula>
    </cfRule>
    <cfRule type="cellIs" dxfId="1440" priority="578" operator="greaterThan">
      <formula>0.85</formula>
    </cfRule>
  </conditionalFormatting>
  <conditionalFormatting sqref="N47">
    <cfRule type="cellIs" dxfId="1439" priority="575" operator="greaterThan">
      <formula>0.9</formula>
    </cfRule>
    <cfRule type="cellIs" dxfId="1438" priority="576" operator="greaterThan">
      <formula>0.85</formula>
    </cfRule>
  </conditionalFormatting>
  <conditionalFormatting sqref="E47">
    <cfRule type="expression" dxfId="1437" priority="571">
      <formula>AND(IF(OR($Q47=1,$Q47=2),1,0),IF($X47&lt;=20,1,0))</formula>
    </cfRule>
    <cfRule type="expression" dxfId="1436" priority="572">
      <formula>AND(IF($Q47=2,1,0),IF($X47&lt;30,1,0))</formula>
    </cfRule>
    <cfRule type="expression" dxfId="1435" priority="573">
      <formula>AND(IF($Q47=3,1,0),IF($X47&lt;30,1,0))</formula>
    </cfRule>
    <cfRule type="expression" dxfId="1434" priority="574">
      <formula>AND(IF($Q47=3,1,IF($Q47=4,1,0)),IF($F47&lt;=85,1,0))</formula>
    </cfRule>
  </conditionalFormatting>
  <conditionalFormatting sqref="X47">
    <cfRule type="expression" dxfId="1433" priority="567">
      <formula>AND(IF(OR($Q47=1,$Q47=2),1,0),IF($X47&lt;=20,1,0))</formula>
    </cfRule>
    <cfRule type="expression" dxfId="1432" priority="568">
      <formula>AND(IF($Q47=2,1,0),IF($X47&lt;30,1,0))</formula>
    </cfRule>
    <cfRule type="expression" dxfId="1431" priority="569">
      <formula>AND(IF($Q47=3,1,0),IF($X47&lt;30,1,0))</formula>
    </cfRule>
    <cfRule type="expression" dxfId="1430" priority="570">
      <formula>AND(IF($Q47=3,1,IF($Q47=4,1,0)),IF($F47&lt;=85,1,0))</formula>
    </cfRule>
  </conditionalFormatting>
  <conditionalFormatting sqref="AI47">
    <cfRule type="expression" dxfId="1429" priority="563">
      <formula>AND(IF(OR($Q47=1,$Q47=2),1,0),IF($X47&lt;=20,1,0))</formula>
    </cfRule>
    <cfRule type="expression" dxfId="1428" priority="564">
      <formula>AND(IF($Q47=2,1,0),IF($X47&lt;30,1,0))</formula>
    </cfRule>
    <cfRule type="expression" dxfId="1427" priority="565">
      <formula>AND(IF($Q47=3,1,0),IF($X47&lt;30,1,0))</formula>
    </cfRule>
    <cfRule type="expression" dxfId="1426" priority="566">
      <formula>AND(IF($Q47=3,1,IF($Q47=4,1,0)),IF($F47&lt;=85,1,0))</formula>
    </cfRule>
  </conditionalFormatting>
  <conditionalFormatting sqref="AV48">
    <cfRule type="expression" dxfId="1425" priority="561">
      <formula>AV48="X"</formula>
    </cfRule>
    <cfRule type="expression" dxfId="1424" priority="562">
      <formula>AV48="후보"</formula>
    </cfRule>
  </conditionalFormatting>
  <conditionalFormatting sqref="Z48">
    <cfRule type="colorScale" priority="5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1423" priority="558" operator="greaterThan">
      <formula>0.9</formula>
    </cfRule>
    <cfRule type="cellIs" dxfId="1422" priority="559" operator="greaterThan">
      <formula>0.85</formula>
    </cfRule>
  </conditionalFormatting>
  <conditionalFormatting sqref="N48">
    <cfRule type="cellIs" dxfId="1421" priority="556" operator="greaterThan">
      <formula>0.9</formula>
    </cfRule>
    <cfRule type="cellIs" dxfId="1420" priority="557" operator="greaterThan">
      <formula>0.85</formula>
    </cfRule>
  </conditionalFormatting>
  <conditionalFormatting sqref="E48">
    <cfRule type="expression" dxfId="1419" priority="552">
      <formula>AND(IF(OR($Q48=1,$Q48=2),1,0),IF($X48&lt;=20,1,0))</formula>
    </cfRule>
    <cfRule type="expression" dxfId="1418" priority="553">
      <formula>AND(IF($Q48=2,1,0),IF($X48&lt;30,1,0))</formula>
    </cfRule>
    <cfRule type="expression" dxfId="1417" priority="554">
      <formula>AND(IF($Q48=3,1,0),IF($X48&lt;30,1,0))</formula>
    </cfRule>
    <cfRule type="expression" dxfId="1416" priority="555">
      <formula>AND(IF($Q48=3,1,IF($Q48=4,1,0)),IF($F48&lt;=85,1,0))</formula>
    </cfRule>
  </conditionalFormatting>
  <conditionalFormatting sqref="X48">
    <cfRule type="expression" dxfId="1415" priority="548">
      <formula>AND(IF(OR($Q48=1,$Q48=2),1,0),IF($X48&lt;=20,1,0))</formula>
    </cfRule>
    <cfRule type="expression" dxfId="1414" priority="549">
      <formula>AND(IF($Q48=2,1,0),IF($X48&lt;30,1,0))</formula>
    </cfRule>
    <cfRule type="expression" dxfId="1413" priority="550">
      <formula>AND(IF($Q48=3,1,0),IF($X48&lt;30,1,0))</formula>
    </cfRule>
    <cfRule type="expression" dxfId="1412" priority="551">
      <formula>AND(IF($Q48=3,1,IF($Q48=4,1,0)),IF($F48&lt;=85,1,0))</formula>
    </cfRule>
  </conditionalFormatting>
  <conditionalFormatting sqref="AI48">
    <cfRule type="expression" dxfId="1411" priority="544">
      <formula>AND(IF(OR($Q48=1,$Q48=2),1,0),IF($X48&lt;=20,1,0))</formula>
    </cfRule>
    <cfRule type="expression" dxfId="1410" priority="545">
      <formula>AND(IF($Q48=2,1,0),IF($X48&lt;30,1,0))</formula>
    </cfRule>
    <cfRule type="expression" dxfId="1409" priority="546">
      <formula>AND(IF($Q48=3,1,0),IF($X48&lt;30,1,0))</formula>
    </cfRule>
    <cfRule type="expression" dxfId="1408" priority="547">
      <formula>AND(IF($Q48=3,1,IF($Q48=4,1,0)),IF($F48&lt;=85,1,0))</formula>
    </cfRule>
  </conditionalFormatting>
  <conditionalFormatting sqref="AV49">
    <cfRule type="expression" dxfId="1407" priority="542">
      <formula>AV49="X"</formula>
    </cfRule>
    <cfRule type="expression" dxfId="1406" priority="543">
      <formula>AV49="후보"</formula>
    </cfRule>
  </conditionalFormatting>
  <conditionalFormatting sqref="Z49">
    <cfRule type="colorScale" priority="5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1405" priority="539" operator="greaterThan">
      <formula>0.9</formula>
    </cfRule>
    <cfRule type="cellIs" dxfId="1404" priority="540" operator="greaterThan">
      <formula>0.85</formula>
    </cfRule>
  </conditionalFormatting>
  <conditionalFormatting sqref="N49">
    <cfRule type="cellIs" dxfId="1403" priority="537" operator="greaterThan">
      <formula>0.9</formula>
    </cfRule>
    <cfRule type="cellIs" dxfId="1402" priority="538" operator="greaterThan">
      <formula>0.85</formula>
    </cfRule>
  </conditionalFormatting>
  <conditionalFormatting sqref="E49">
    <cfRule type="expression" dxfId="1401" priority="533">
      <formula>AND(IF(OR($Q49=1,$Q49=2),1,0),IF($X49&lt;=20,1,0))</formula>
    </cfRule>
    <cfRule type="expression" dxfId="1400" priority="534">
      <formula>AND(IF($Q49=2,1,0),IF($X49&lt;30,1,0))</formula>
    </cfRule>
    <cfRule type="expression" dxfId="1399" priority="535">
      <formula>AND(IF($Q49=3,1,0),IF($X49&lt;30,1,0))</formula>
    </cfRule>
    <cfRule type="expression" dxfId="1398" priority="536">
      <formula>AND(IF($Q49=3,1,IF($Q49=4,1,0)),IF($F49&lt;=85,1,0))</formula>
    </cfRule>
  </conditionalFormatting>
  <conditionalFormatting sqref="X49">
    <cfRule type="expression" dxfId="1397" priority="529">
      <formula>AND(IF(OR($Q49=1,$Q49=2),1,0),IF($X49&lt;=20,1,0))</formula>
    </cfRule>
    <cfRule type="expression" dxfId="1396" priority="530">
      <formula>AND(IF($Q49=2,1,0),IF($X49&lt;30,1,0))</formula>
    </cfRule>
    <cfRule type="expression" dxfId="1395" priority="531">
      <formula>AND(IF($Q49=3,1,0),IF($X49&lt;30,1,0))</formula>
    </cfRule>
    <cfRule type="expression" dxfId="1394" priority="532">
      <formula>AND(IF($Q49=3,1,IF($Q49=4,1,0)),IF($F49&lt;=85,1,0))</formula>
    </cfRule>
  </conditionalFormatting>
  <conditionalFormatting sqref="AI49">
    <cfRule type="expression" dxfId="1393" priority="525">
      <formula>AND(IF(OR($Q49=1,$Q49=2),1,0),IF($X49&lt;=20,1,0))</formula>
    </cfRule>
    <cfRule type="expression" dxfId="1392" priority="526">
      <formula>AND(IF($Q49=2,1,0),IF($X49&lt;30,1,0))</formula>
    </cfRule>
    <cfRule type="expression" dxfId="1391" priority="527">
      <formula>AND(IF($Q49=3,1,0),IF($X49&lt;30,1,0))</formula>
    </cfRule>
    <cfRule type="expression" dxfId="1390" priority="528">
      <formula>AND(IF($Q49=3,1,IF($Q49=4,1,0)),IF($F49&lt;=85,1,0))</formula>
    </cfRule>
  </conditionalFormatting>
  <conditionalFormatting sqref="AV50">
    <cfRule type="expression" dxfId="1389" priority="523">
      <formula>AV50="X"</formula>
    </cfRule>
    <cfRule type="expression" dxfId="1388" priority="524">
      <formula>AV50="후보"</formula>
    </cfRule>
  </conditionalFormatting>
  <conditionalFormatting sqref="Z50">
    <cfRule type="colorScale" priority="5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 N50">
    <cfRule type="cellIs" dxfId="1387" priority="520" operator="greaterThan">
      <formula>0.9</formula>
    </cfRule>
    <cfRule type="cellIs" dxfId="1386" priority="521" operator="greaterThan">
      <formula>0.85</formula>
    </cfRule>
  </conditionalFormatting>
  <conditionalFormatting sqref="AV51">
    <cfRule type="expression" dxfId="1385" priority="518">
      <formula>AV51="X"</formula>
    </cfRule>
    <cfRule type="expression" dxfId="1384" priority="519">
      <formula>AV51="후보"</formula>
    </cfRule>
  </conditionalFormatting>
  <conditionalFormatting sqref="Z51">
    <cfRule type="colorScale" priority="5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1383" priority="515" operator="greaterThan">
      <formula>0.9</formula>
    </cfRule>
    <cfRule type="cellIs" dxfId="1382" priority="516" operator="greaterThan">
      <formula>0.85</formula>
    </cfRule>
  </conditionalFormatting>
  <conditionalFormatting sqref="N51">
    <cfRule type="cellIs" dxfId="1381" priority="513" operator="greaterThan">
      <formula>0.9</formula>
    </cfRule>
    <cfRule type="cellIs" dxfId="1380" priority="514" operator="greaterThan">
      <formula>0.85</formula>
    </cfRule>
  </conditionalFormatting>
  <conditionalFormatting sqref="E51">
    <cfRule type="expression" dxfId="1379" priority="509">
      <formula>AND(IF(OR($Q51=1,$Q51=2),1,0),IF($X51&lt;=20,1,0))</formula>
    </cfRule>
    <cfRule type="expression" dxfId="1378" priority="510">
      <formula>AND(IF($Q51=2,1,0),IF($X51&lt;30,1,0))</formula>
    </cfRule>
    <cfRule type="expression" dxfId="1377" priority="511">
      <formula>AND(IF($Q51=3,1,0),IF($X51&lt;30,1,0))</formula>
    </cfRule>
    <cfRule type="expression" dxfId="1376" priority="512">
      <formula>AND(IF($Q51=3,1,IF($Q51=4,1,0)),IF($F51&lt;=85,1,0))</formula>
    </cfRule>
  </conditionalFormatting>
  <conditionalFormatting sqref="X51">
    <cfRule type="expression" dxfId="1375" priority="505">
      <formula>AND(IF(OR($Q51=1,$Q51=2),1,0),IF($X51&lt;=20,1,0))</formula>
    </cfRule>
    <cfRule type="expression" dxfId="1374" priority="506">
      <formula>AND(IF($Q51=2,1,0),IF($X51&lt;30,1,0))</formula>
    </cfRule>
    <cfRule type="expression" dxfId="1373" priority="507">
      <formula>AND(IF($Q51=3,1,0),IF($X51&lt;30,1,0))</formula>
    </cfRule>
    <cfRule type="expression" dxfId="1372" priority="508">
      <formula>AND(IF($Q51=3,1,IF($Q51=4,1,0)),IF($F51&lt;=85,1,0))</formula>
    </cfRule>
  </conditionalFormatting>
  <conditionalFormatting sqref="AI51">
    <cfRule type="expression" dxfId="1371" priority="501">
      <formula>AND(IF(OR($Q51=1,$Q51=2),1,0),IF($X51&lt;=20,1,0))</formula>
    </cfRule>
    <cfRule type="expression" dxfId="1370" priority="502">
      <formula>AND(IF($Q51=2,1,0),IF($X51&lt;30,1,0))</formula>
    </cfRule>
    <cfRule type="expression" dxfId="1369" priority="503">
      <formula>AND(IF($Q51=3,1,0),IF($X51&lt;30,1,0))</formula>
    </cfRule>
    <cfRule type="expression" dxfId="1368" priority="504">
      <formula>AND(IF($Q51=3,1,IF($Q51=4,1,0)),IF($F51&lt;=85,1,0))</formula>
    </cfRule>
  </conditionalFormatting>
  <conditionalFormatting sqref="AV52">
    <cfRule type="expression" dxfId="1367" priority="499">
      <formula>AV52="X"</formula>
    </cfRule>
    <cfRule type="expression" dxfId="1366" priority="500">
      <formula>AV52="후보"</formula>
    </cfRule>
  </conditionalFormatting>
  <conditionalFormatting sqref="Z52">
    <cfRule type="colorScale" priority="4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1365" priority="496" operator="greaterThan">
      <formula>0.9</formula>
    </cfRule>
    <cfRule type="cellIs" dxfId="1364" priority="497" operator="greaterThan">
      <formula>0.85</formula>
    </cfRule>
  </conditionalFormatting>
  <conditionalFormatting sqref="N52">
    <cfRule type="cellIs" dxfId="1363" priority="494" operator="greaterThan">
      <formula>0.9</formula>
    </cfRule>
    <cfRule type="cellIs" dxfId="1362" priority="495" operator="greaterThan">
      <formula>0.85</formula>
    </cfRule>
  </conditionalFormatting>
  <conditionalFormatting sqref="E52">
    <cfRule type="expression" dxfId="1361" priority="490">
      <formula>AND(IF(OR($Q52=1,$Q52=2),1,0),IF($X52&lt;=20,1,0))</formula>
    </cfRule>
    <cfRule type="expression" dxfId="1360" priority="491">
      <formula>AND(IF($Q52=2,1,0),IF($X52&lt;30,1,0))</formula>
    </cfRule>
    <cfRule type="expression" dxfId="1359" priority="492">
      <formula>AND(IF($Q52=3,1,0),IF($X52&lt;30,1,0))</formula>
    </cfRule>
    <cfRule type="expression" dxfId="1358" priority="493">
      <formula>AND(IF($Q52=3,1,IF($Q52=4,1,0)),IF($F52&lt;=85,1,0))</formula>
    </cfRule>
  </conditionalFormatting>
  <conditionalFormatting sqref="X52">
    <cfRule type="expression" dxfId="1357" priority="486">
      <formula>AND(IF(OR($Q52=1,$Q52=2),1,0),IF($X52&lt;=20,1,0))</formula>
    </cfRule>
    <cfRule type="expression" dxfId="1356" priority="487">
      <formula>AND(IF($Q52=2,1,0),IF($X52&lt;30,1,0))</formula>
    </cfRule>
    <cfRule type="expression" dxfId="1355" priority="488">
      <formula>AND(IF($Q52=3,1,0),IF($X52&lt;30,1,0))</formula>
    </cfRule>
    <cfRule type="expression" dxfId="1354" priority="489">
      <formula>AND(IF($Q52=3,1,IF($Q52=4,1,0)),IF($F52&lt;=85,1,0))</formula>
    </cfRule>
  </conditionalFormatting>
  <conditionalFormatting sqref="AI52">
    <cfRule type="expression" dxfId="1353" priority="482">
      <formula>AND(IF(OR($Q52=1,$Q52=2),1,0),IF($X52&lt;=20,1,0))</formula>
    </cfRule>
    <cfRule type="expression" dxfId="1352" priority="483">
      <formula>AND(IF($Q52=2,1,0),IF($X52&lt;30,1,0))</formula>
    </cfRule>
    <cfRule type="expression" dxfId="1351" priority="484">
      <formula>AND(IF($Q52=3,1,0),IF($X52&lt;30,1,0))</formula>
    </cfRule>
    <cfRule type="expression" dxfId="1350" priority="485">
      <formula>AND(IF($Q52=3,1,IF($Q52=4,1,0)),IF($F52&lt;=85,1,0))</formula>
    </cfRule>
  </conditionalFormatting>
  <conditionalFormatting sqref="AV53">
    <cfRule type="expression" dxfId="1349" priority="480">
      <formula>AV53="X"</formula>
    </cfRule>
    <cfRule type="expression" dxfId="1348" priority="481">
      <formula>AV53="후보"</formula>
    </cfRule>
  </conditionalFormatting>
  <conditionalFormatting sqref="Z53">
    <cfRule type="colorScale" priority="4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1347" priority="477" operator="greaterThan">
      <formula>0.9</formula>
    </cfRule>
    <cfRule type="cellIs" dxfId="1346" priority="478" operator="greaterThan">
      <formula>0.85</formula>
    </cfRule>
  </conditionalFormatting>
  <conditionalFormatting sqref="N53">
    <cfRule type="cellIs" dxfId="1345" priority="475" operator="greaterThan">
      <formula>0.9</formula>
    </cfRule>
    <cfRule type="cellIs" dxfId="1344" priority="476" operator="greaterThan">
      <formula>0.85</formula>
    </cfRule>
  </conditionalFormatting>
  <conditionalFormatting sqref="E53">
    <cfRule type="expression" dxfId="1343" priority="471">
      <formula>AND(IF(OR($Q53=1,$Q53=2),1,0),IF($X53&lt;=20,1,0))</formula>
    </cfRule>
    <cfRule type="expression" dxfId="1342" priority="472">
      <formula>AND(IF($Q53=2,1,0),IF($X53&lt;30,1,0))</formula>
    </cfRule>
    <cfRule type="expression" dxfId="1341" priority="473">
      <formula>AND(IF($Q53=3,1,0),IF($X53&lt;30,1,0))</formula>
    </cfRule>
    <cfRule type="expression" dxfId="1340" priority="474">
      <formula>AND(IF($Q53=3,1,IF($Q53=4,1,0)),IF($F53&lt;=85,1,0))</formula>
    </cfRule>
  </conditionalFormatting>
  <conditionalFormatting sqref="X53">
    <cfRule type="expression" dxfId="1339" priority="467">
      <formula>AND(IF(OR($Q53=1,$Q53=2),1,0),IF($X53&lt;=20,1,0))</formula>
    </cfRule>
    <cfRule type="expression" dxfId="1338" priority="468">
      <formula>AND(IF($Q53=2,1,0),IF($X53&lt;30,1,0))</formula>
    </cfRule>
    <cfRule type="expression" dxfId="1337" priority="469">
      <formula>AND(IF($Q53=3,1,0),IF($X53&lt;30,1,0))</formula>
    </cfRule>
    <cfRule type="expression" dxfId="1336" priority="470">
      <formula>AND(IF($Q53=3,1,IF($Q53=4,1,0)),IF($F53&lt;=85,1,0))</formula>
    </cfRule>
  </conditionalFormatting>
  <conditionalFormatting sqref="AI53">
    <cfRule type="expression" dxfId="1335" priority="463">
      <formula>AND(IF(OR($Q53=1,$Q53=2),1,0),IF($X53&lt;=20,1,0))</formula>
    </cfRule>
    <cfRule type="expression" dxfId="1334" priority="464">
      <formula>AND(IF($Q53=2,1,0),IF($X53&lt;30,1,0))</formula>
    </cfRule>
    <cfRule type="expression" dxfId="1333" priority="465">
      <formula>AND(IF($Q53=3,1,0),IF($X53&lt;30,1,0))</formula>
    </cfRule>
    <cfRule type="expression" dxfId="1332" priority="466">
      <formula>AND(IF($Q53=3,1,IF($Q53=4,1,0)),IF($F53&lt;=85,1,0))</formula>
    </cfRule>
  </conditionalFormatting>
  <conditionalFormatting sqref="AV54">
    <cfRule type="expression" dxfId="1331" priority="461">
      <formula>AV54="X"</formula>
    </cfRule>
    <cfRule type="expression" dxfId="1330" priority="462">
      <formula>AV54="후보"</formula>
    </cfRule>
  </conditionalFormatting>
  <conditionalFormatting sqref="Z54">
    <cfRule type="colorScale" priority="4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1329" priority="458" operator="greaterThan">
      <formula>0.9</formula>
    </cfRule>
    <cfRule type="cellIs" dxfId="1328" priority="459" operator="greaterThan">
      <formula>0.85</formula>
    </cfRule>
  </conditionalFormatting>
  <conditionalFormatting sqref="N54">
    <cfRule type="cellIs" dxfId="1327" priority="456" operator="greaterThan">
      <formula>0.9</formula>
    </cfRule>
    <cfRule type="cellIs" dxfId="1326" priority="457" operator="greaterThan">
      <formula>0.85</formula>
    </cfRule>
  </conditionalFormatting>
  <conditionalFormatting sqref="E54">
    <cfRule type="expression" dxfId="1325" priority="452">
      <formula>AND(IF(OR($Q54=1,$Q54=2),1,0),IF($X54&lt;=20,1,0))</formula>
    </cfRule>
    <cfRule type="expression" dxfId="1324" priority="453">
      <formula>AND(IF($Q54=2,1,0),IF($X54&lt;30,1,0))</formula>
    </cfRule>
    <cfRule type="expression" dxfId="1323" priority="454">
      <formula>AND(IF($Q54=3,1,0),IF($X54&lt;30,1,0))</formula>
    </cfRule>
    <cfRule type="expression" dxfId="1322" priority="455">
      <formula>AND(IF($Q54=3,1,IF($Q54=4,1,0)),IF($F54&lt;=85,1,0))</formula>
    </cfRule>
  </conditionalFormatting>
  <conditionalFormatting sqref="X54">
    <cfRule type="expression" dxfId="1321" priority="448">
      <formula>AND(IF(OR($Q54=1,$Q54=2),1,0),IF($X54&lt;=20,1,0))</formula>
    </cfRule>
    <cfRule type="expression" dxfId="1320" priority="449">
      <formula>AND(IF($Q54=2,1,0),IF($X54&lt;30,1,0))</formula>
    </cfRule>
    <cfRule type="expression" dxfId="1319" priority="450">
      <formula>AND(IF($Q54=3,1,0),IF($X54&lt;30,1,0))</formula>
    </cfRule>
    <cfRule type="expression" dxfId="1318" priority="451">
      <formula>AND(IF($Q54=3,1,IF($Q54=4,1,0)),IF($F54&lt;=85,1,0))</formula>
    </cfRule>
  </conditionalFormatting>
  <conditionalFormatting sqref="AI54">
    <cfRule type="expression" dxfId="1317" priority="444">
      <formula>AND(IF(OR($Q54=1,$Q54=2),1,0),IF($X54&lt;=20,1,0))</formula>
    </cfRule>
    <cfRule type="expression" dxfId="1316" priority="445">
      <formula>AND(IF($Q54=2,1,0),IF($X54&lt;30,1,0))</formula>
    </cfRule>
    <cfRule type="expression" dxfId="1315" priority="446">
      <formula>AND(IF($Q54=3,1,0),IF($X54&lt;30,1,0))</formula>
    </cfRule>
    <cfRule type="expression" dxfId="1314" priority="447">
      <formula>AND(IF($Q54=3,1,IF($Q54=4,1,0)),IF($F54&lt;=85,1,0))</formula>
    </cfRule>
  </conditionalFormatting>
  <conditionalFormatting sqref="AV55">
    <cfRule type="expression" dxfId="1313" priority="442">
      <formula>AV55="X"</formula>
    </cfRule>
    <cfRule type="expression" dxfId="1312" priority="443">
      <formula>AV55="후보"</formula>
    </cfRule>
  </conditionalFormatting>
  <conditionalFormatting sqref="Z55">
    <cfRule type="colorScale" priority="4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1311" priority="439" operator="greaterThan">
      <formula>0.9</formula>
    </cfRule>
    <cfRule type="cellIs" dxfId="1310" priority="440" operator="greaterThan">
      <formula>0.85</formula>
    </cfRule>
  </conditionalFormatting>
  <conditionalFormatting sqref="N55">
    <cfRule type="cellIs" dxfId="1309" priority="437" operator="greaterThan">
      <formula>0.9</formula>
    </cfRule>
    <cfRule type="cellIs" dxfId="1308" priority="438" operator="greaterThan">
      <formula>0.85</formula>
    </cfRule>
  </conditionalFormatting>
  <conditionalFormatting sqref="E55">
    <cfRule type="expression" dxfId="1307" priority="433">
      <formula>AND(IF(OR($Q55=1,$Q55=2),1,0),IF($X55&lt;=20,1,0))</formula>
    </cfRule>
    <cfRule type="expression" dxfId="1306" priority="434">
      <formula>AND(IF($Q55=2,1,0),IF($X55&lt;30,1,0))</formula>
    </cfRule>
    <cfRule type="expression" dxfId="1305" priority="435">
      <formula>AND(IF($Q55=3,1,0),IF($X55&lt;30,1,0))</formula>
    </cfRule>
    <cfRule type="expression" dxfId="1304" priority="436">
      <formula>AND(IF($Q55=3,1,IF($Q55=4,1,0)),IF($F55&lt;=85,1,0))</formula>
    </cfRule>
  </conditionalFormatting>
  <conditionalFormatting sqref="X55">
    <cfRule type="expression" dxfId="1303" priority="429">
      <formula>AND(IF(OR($Q55=1,$Q55=2),1,0),IF($X55&lt;=20,1,0))</formula>
    </cfRule>
    <cfRule type="expression" dxfId="1302" priority="430">
      <formula>AND(IF($Q55=2,1,0),IF($X55&lt;30,1,0))</formula>
    </cfRule>
    <cfRule type="expression" dxfId="1301" priority="431">
      <formula>AND(IF($Q55=3,1,0),IF($X55&lt;30,1,0))</formula>
    </cfRule>
    <cfRule type="expression" dxfId="1300" priority="432">
      <formula>AND(IF($Q55=3,1,IF($Q55=4,1,0)),IF($F55&lt;=85,1,0))</formula>
    </cfRule>
  </conditionalFormatting>
  <conditionalFormatting sqref="AI55">
    <cfRule type="expression" dxfId="1299" priority="425">
      <formula>AND(IF(OR($Q55=1,$Q55=2),1,0),IF($X55&lt;=20,1,0))</formula>
    </cfRule>
    <cfRule type="expression" dxfId="1298" priority="426">
      <formula>AND(IF($Q55=2,1,0),IF($X55&lt;30,1,0))</formula>
    </cfRule>
    <cfRule type="expression" dxfId="1297" priority="427">
      <formula>AND(IF($Q55=3,1,0),IF($X55&lt;30,1,0))</formula>
    </cfRule>
    <cfRule type="expression" dxfId="1296" priority="428">
      <formula>AND(IF($Q55=3,1,IF($Q55=4,1,0)),IF($F55&lt;=85,1,0))</formula>
    </cfRule>
  </conditionalFormatting>
  <conditionalFormatting sqref="AV56">
    <cfRule type="expression" dxfId="1295" priority="423">
      <formula>AV56="X"</formula>
    </cfRule>
    <cfRule type="expression" dxfId="1294" priority="424">
      <formula>AV56="후보"</formula>
    </cfRule>
  </conditionalFormatting>
  <conditionalFormatting sqref="Z56">
    <cfRule type="colorScale" priority="4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 N56">
    <cfRule type="cellIs" dxfId="1293" priority="420" operator="greaterThan">
      <formula>0.9</formula>
    </cfRule>
    <cfRule type="cellIs" dxfId="1292" priority="421" operator="greaterThan">
      <formula>0.85</formula>
    </cfRule>
  </conditionalFormatting>
  <conditionalFormatting sqref="AV57">
    <cfRule type="expression" dxfId="1291" priority="418">
      <formula>AV57="X"</formula>
    </cfRule>
    <cfRule type="expression" dxfId="1290" priority="419">
      <formula>AV57="후보"</formula>
    </cfRule>
  </conditionalFormatting>
  <conditionalFormatting sqref="Z57">
    <cfRule type="colorScale" priority="4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1289" priority="415" operator="greaterThan">
      <formula>0.9</formula>
    </cfRule>
    <cfRule type="cellIs" dxfId="1288" priority="416" operator="greaterThan">
      <formula>0.85</formula>
    </cfRule>
  </conditionalFormatting>
  <conditionalFormatting sqref="N57">
    <cfRule type="cellIs" dxfId="1287" priority="413" operator="greaterThan">
      <formula>0.9</formula>
    </cfRule>
    <cfRule type="cellIs" dxfId="1286" priority="414" operator="greaterThan">
      <formula>0.85</formula>
    </cfRule>
  </conditionalFormatting>
  <conditionalFormatting sqref="E57">
    <cfRule type="expression" dxfId="1285" priority="409">
      <formula>AND(IF(OR($Q57=1,$Q57=2),1,0),IF($X57&lt;=20,1,0))</formula>
    </cfRule>
    <cfRule type="expression" dxfId="1284" priority="410">
      <formula>AND(IF($Q57=2,1,0),IF($X57&lt;30,1,0))</formula>
    </cfRule>
    <cfRule type="expression" dxfId="1283" priority="411">
      <formula>AND(IF($Q57=3,1,0),IF($X57&lt;30,1,0))</formula>
    </cfRule>
    <cfRule type="expression" dxfId="1282" priority="412">
      <formula>AND(IF($Q57=3,1,IF($Q57=4,1,0)),IF($F57&lt;=85,1,0))</formula>
    </cfRule>
  </conditionalFormatting>
  <conditionalFormatting sqref="X57">
    <cfRule type="expression" dxfId="1281" priority="405">
      <formula>AND(IF(OR($Q57=1,$Q57=2),1,0),IF($X57&lt;=20,1,0))</formula>
    </cfRule>
    <cfRule type="expression" dxfId="1280" priority="406">
      <formula>AND(IF($Q57=2,1,0),IF($X57&lt;30,1,0))</formula>
    </cfRule>
    <cfRule type="expression" dxfId="1279" priority="407">
      <formula>AND(IF($Q57=3,1,0),IF($X57&lt;30,1,0))</formula>
    </cfRule>
    <cfRule type="expression" dxfId="1278" priority="408">
      <formula>AND(IF($Q57=3,1,IF($Q57=4,1,0)),IF($F57&lt;=85,1,0))</formula>
    </cfRule>
  </conditionalFormatting>
  <conditionalFormatting sqref="AI57">
    <cfRule type="expression" dxfId="1277" priority="401">
      <formula>AND(IF(OR($Q57=1,$Q57=2),1,0),IF($X57&lt;=20,1,0))</formula>
    </cfRule>
    <cfRule type="expression" dxfId="1276" priority="402">
      <formula>AND(IF($Q57=2,1,0),IF($X57&lt;30,1,0))</formula>
    </cfRule>
    <cfRule type="expression" dxfId="1275" priority="403">
      <formula>AND(IF($Q57=3,1,0),IF($X57&lt;30,1,0))</formula>
    </cfRule>
    <cfRule type="expression" dxfId="1274" priority="404">
      <formula>AND(IF($Q57=3,1,IF($Q57=4,1,0)),IF($F57&lt;=85,1,0))</formula>
    </cfRule>
  </conditionalFormatting>
  <conditionalFormatting sqref="AV58">
    <cfRule type="expression" dxfId="1273" priority="399">
      <formula>AV58="X"</formula>
    </cfRule>
    <cfRule type="expression" dxfId="1272" priority="400">
      <formula>AV58="후보"</formula>
    </cfRule>
  </conditionalFormatting>
  <conditionalFormatting sqref="Z58">
    <cfRule type="colorScale" priority="3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1271" priority="396" operator="greaterThan">
      <formula>0.9</formula>
    </cfRule>
    <cfRule type="cellIs" dxfId="1270" priority="397" operator="greaterThan">
      <formula>0.85</formula>
    </cfRule>
  </conditionalFormatting>
  <conditionalFormatting sqref="N58">
    <cfRule type="cellIs" dxfId="1269" priority="394" operator="greaterThan">
      <formula>0.9</formula>
    </cfRule>
    <cfRule type="cellIs" dxfId="1268" priority="395" operator="greaterThan">
      <formula>0.85</formula>
    </cfRule>
  </conditionalFormatting>
  <conditionalFormatting sqref="E58">
    <cfRule type="expression" dxfId="1267" priority="390">
      <formula>AND(IF(OR($Q58=1,$Q58=2),1,0),IF($X58&lt;=20,1,0))</formula>
    </cfRule>
    <cfRule type="expression" dxfId="1266" priority="391">
      <formula>AND(IF($Q58=2,1,0),IF($X58&lt;30,1,0))</formula>
    </cfRule>
    <cfRule type="expression" dxfId="1265" priority="392">
      <formula>AND(IF($Q58=3,1,0),IF($X58&lt;30,1,0))</formula>
    </cfRule>
    <cfRule type="expression" dxfId="1264" priority="393">
      <formula>AND(IF($Q58=3,1,IF($Q58=4,1,0)),IF($F58&lt;=85,1,0))</formula>
    </cfRule>
  </conditionalFormatting>
  <conditionalFormatting sqref="X58">
    <cfRule type="expression" dxfId="1263" priority="386">
      <formula>AND(IF(OR($Q58=1,$Q58=2),1,0),IF($X58&lt;=20,1,0))</formula>
    </cfRule>
    <cfRule type="expression" dxfId="1262" priority="387">
      <formula>AND(IF($Q58=2,1,0),IF($X58&lt;30,1,0))</formula>
    </cfRule>
    <cfRule type="expression" dxfId="1261" priority="388">
      <formula>AND(IF($Q58=3,1,0),IF($X58&lt;30,1,0))</formula>
    </cfRule>
    <cfRule type="expression" dxfId="1260" priority="389">
      <formula>AND(IF($Q58=3,1,IF($Q58=4,1,0)),IF($F58&lt;=85,1,0))</formula>
    </cfRule>
  </conditionalFormatting>
  <conditionalFormatting sqref="AI58">
    <cfRule type="expression" dxfId="1259" priority="382">
      <formula>AND(IF(OR($Q58=1,$Q58=2),1,0),IF($X58&lt;=20,1,0))</formula>
    </cfRule>
    <cfRule type="expression" dxfId="1258" priority="383">
      <formula>AND(IF($Q58=2,1,0),IF($X58&lt;30,1,0))</formula>
    </cfRule>
    <cfRule type="expression" dxfId="1257" priority="384">
      <formula>AND(IF($Q58=3,1,0),IF($X58&lt;30,1,0))</formula>
    </cfRule>
    <cfRule type="expression" dxfId="1256" priority="385">
      <formula>AND(IF($Q58=3,1,IF($Q58=4,1,0)),IF($F58&lt;=85,1,0))</formula>
    </cfRule>
  </conditionalFormatting>
  <conditionalFormatting sqref="AV59">
    <cfRule type="expression" dxfId="1255" priority="380">
      <formula>AV59="X"</formula>
    </cfRule>
    <cfRule type="expression" dxfId="1254" priority="381">
      <formula>AV59="후보"</formula>
    </cfRule>
  </conditionalFormatting>
  <conditionalFormatting sqref="Z59">
    <cfRule type="colorScale" priority="3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 N59">
    <cfRule type="cellIs" dxfId="1253" priority="377" operator="greaterThan">
      <formula>0.9</formula>
    </cfRule>
    <cfRule type="cellIs" dxfId="1252" priority="378" operator="greaterThan">
      <formula>0.85</formula>
    </cfRule>
  </conditionalFormatting>
  <conditionalFormatting sqref="AV60">
    <cfRule type="expression" dxfId="1251" priority="375">
      <formula>AV60="X"</formula>
    </cfRule>
    <cfRule type="expression" dxfId="1250" priority="376">
      <formula>AV60="후보"</formula>
    </cfRule>
  </conditionalFormatting>
  <conditionalFormatting sqref="Z60">
    <cfRule type="colorScale" priority="3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1249" priority="372" operator="greaterThan">
      <formula>0.9</formula>
    </cfRule>
    <cfRule type="cellIs" dxfId="1248" priority="373" operator="greaterThan">
      <formula>0.85</formula>
    </cfRule>
  </conditionalFormatting>
  <conditionalFormatting sqref="N60">
    <cfRule type="cellIs" dxfId="1247" priority="370" operator="greaterThan">
      <formula>0.9</formula>
    </cfRule>
    <cfRule type="cellIs" dxfId="1246" priority="371" operator="greaterThan">
      <formula>0.85</formula>
    </cfRule>
  </conditionalFormatting>
  <conditionalFormatting sqref="E60">
    <cfRule type="expression" dxfId="1245" priority="366">
      <formula>AND(IF(OR($Q60=1,$Q60=2),1,0),IF($X60&lt;=20,1,0))</formula>
    </cfRule>
    <cfRule type="expression" dxfId="1244" priority="367">
      <formula>AND(IF($Q60=2,1,0),IF($X60&lt;30,1,0))</formula>
    </cfRule>
    <cfRule type="expression" dxfId="1243" priority="368">
      <formula>AND(IF($Q60=3,1,0),IF($X60&lt;30,1,0))</formula>
    </cfRule>
    <cfRule type="expression" dxfId="1242" priority="369">
      <formula>AND(IF($Q60=3,1,IF($Q60=4,1,0)),IF($F60&lt;=85,1,0))</formula>
    </cfRule>
  </conditionalFormatting>
  <conditionalFormatting sqref="X60">
    <cfRule type="expression" dxfId="1241" priority="362">
      <formula>AND(IF(OR($Q60=1,$Q60=2),1,0),IF($X60&lt;=20,1,0))</formula>
    </cfRule>
    <cfRule type="expression" dxfId="1240" priority="363">
      <formula>AND(IF($Q60=2,1,0),IF($X60&lt;30,1,0))</formula>
    </cfRule>
    <cfRule type="expression" dxfId="1239" priority="364">
      <formula>AND(IF($Q60=3,1,0),IF($X60&lt;30,1,0))</formula>
    </cfRule>
    <cfRule type="expression" dxfId="1238" priority="365">
      <formula>AND(IF($Q60=3,1,IF($Q60=4,1,0)),IF($F60&lt;=85,1,0))</formula>
    </cfRule>
  </conditionalFormatting>
  <conditionalFormatting sqref="AI60">
    <cfRule type="expression" dxfId="1237" priority="358">
      <formula>AND(IF(OR($Q60=1,$Q60=2),1,0),IF($X60&lt;=20,1,0))</formula>
    </cfRule>
    <cfRule type="expression" dxfId="1236" priority="359">
      <formula>AND(IF($Q60=2,1,0),IF($X60&lt;30,1,0))</formula>
    </cfRule>
    <cfRule type="expression" dxfId="1235" priority="360">
      <formula>AND(IF($Q60=3,1,0),IF($X60&lt;30,1,0))</formula>
    </cfRule>
    <cfRule type="expression" dxfId="1234" priority="361">
      <formula>AND(IF($Q60=3,1,IF($Q60=4,1,0)),IF($F60&lt;=85,1,0))</formula>
    </cfRule>
  </conditionalFormatting>
  <conditionalFormatting sqref="AV61">
    <cfRule type="expression" dxfId="1233" priority="356">
      <formula>AV61="X"</formula>
    </cfRule>
    <cfRule type="expression" dxfId="1232" priority="357">
      <formula>AV61="후보"</formula>
    </cfRule>
  </conditionalFormatting>
  <conditionalFormatting sqref="Z61">
    <cfRule type="colorScale" priority="3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1231" priority="353" operator="greaterThan">
      <formula>0.9</formula>
    </cfRule>
    <cfRule type="cellIs" dxfId="1230" priority="354" operator="greaterThan">
      <formula>0.85</formula>
    </cfRule>
  </conditionalFormatting>
  <conditionalFormatting sqref="N61">
    <cfRule type="cellIs" dxfId="1229" priority="351" operator="greaterThan">
      <formula>0.9</formula>
    </cfRule>
    <cfRule type="cellIs" dxfId="1228" priority="352" operator="greaterThan">
      <formula>0.85</formula>
    </cfRule>
  </conditionalFormatting>
  <conditionalFormatting sqref="E61">
    <cfRule type="expression" dxfId="1227" priority="347">
      <formula>AND(IF(OR($Q61=1,$Q61=2),1,0),IF($X61&lt;=20,1,0))</formula>
    </cfRule>
    <cfRule type="expression" dxfId="1226" priority="348">
      <formula>AND(IF($Q61=2,1,0),IF($X61&lt;30,1,0))</formula>
    </cfRule>
    <cfRule type="expression" dxfId="1225" priority="349">
      <formula>AND(IF($Q61=3,1,0),IF($X61&lt;30,1,0))</formula>
    </cfRule>
    <cfRule type="expression" dxfId="1224" priority="350">
      <formula>AND(IF($Q61=3,1,IF($Q61=4,1,0)),IF($F61&lt;=85,1,0))</formula>
    </cfRule>
  </conditionalFormatting>
  <conditionalFormatting sqref="X61">
    <cfRule type="expression" dxfId="1223" priority="343">
      <formula>AND(IF(OR($Q61=1,$Q61=2),1,0),IF($X61&lt;=20,1,0))</formula>
    </cfRule>
    <cfRule type="expression" dxfId="1222" priority="344">
      <formula>AND(IF($Q61=2,1,0),IF($X61&lt;30,1,0))</formula>
    </cfRule>
    <cfRule type="expression" dxfId="1221" priority="345">
      <formula>AND(IF($Q61=3,1,0),IF($X61&lt;30,1,0))</formula>
    </cfRule>
    <cfRule type="expression" dxfId="1220" priority="346">
      <formula>AND(IF($Q61=3,1,IF($Q61=4,1,0)),IF($F61&lt;=85,1,0))</formula>
    </cfRule>
  </conditionalFormatting>
  <conditionalFormatting sqref="AI61">
    <cfRule type="expression" dxfId="1219" priority="339">
      <formula>AND(IF(OR($Q61=1,$Q61=2),1,0),IF($X61&lt;=20,1,0))</formula>
    </cfRule>
    <cfRule type="expression" dxfId="1218" priority="340">
      <formula>AND(IF($Q61=2,1,0),IF($X61&lt;30,1,0))</formula>
    </cfRule>
    <cfRule type="expression" dxfId="1217" priority="341">
      <formula>AND(IF($Q61=3,1,0),IF($X61&lt;30,1,0))</formula>
    </cfRule>
    <cfRule type="expression" dxfId="1216" priority="342">
      <formula>AND(IF($Q61=3,1,IF($Q61=4,1,0)),IF($F61&lt;=85,1,0))</formula>
    </cfRule>
  </conditionalFormatting>
  <conditionalFormatting sqref="AV62">
    <cfRule type="expression" dxfId="1215" priority="337">
      <formula>AV62="X"</formula>
    </cfRule>
    <cfRule type="expression" dxfId="1214" priority="338">
      <formula>AV62="후보"</formula>
    </cfRule>
  </conditionalFormatting>
  <conditionalFormatting sqref="Z62">
    <cfRule type="colorScale" priority="3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1213" priority="334" operator="greaterThan">
      <formula>0.9</formula>
    </cfRule>
    <cfRule type="cellIs" dxfId="1212" priority="335" operator="greaterThan">
      <formula>0.85</formula>
    </cfRule>
  </conditionalFormatting>
  <conditionalFormatting sqref="N62">
    <cfRule type="cellIs" dxfId="1211" priority="332" operator="greaterThan">
      <formula>0.9</formula>
    </cfRule>
    <cfRule type="cellIs" dxfId="1210" priority="333" operator="greaterThan">
      <formula>0.85</formula>
    </cfRule>
  </conditionalFormatting>
  <conditionalFormatting sqref="E62">
    <cfRule type="expression" dxfId="1209" priority="328">
      <formula>AND(IF(OR($Q62=1,$Q62=2),1,0),IF($X62&lt;=20,1,0))</formula>
    </cfRule>
    <cfRule type="expression" dxfId="1208" priority="329">
      <formula>AND(IF($Q62=2,1,0),IF($X62&lt;30,1,0))</formula>
    </cfRule>
    <cfRule type="expression" dxfId="1207" priority="330">
      <formula>AND(IF($Q62=3,1,0),IF($X62&lt;30,1,0))</formula>
    </cfRule>
    <cfRule type="expression" dxfId="1206" priority="331">
      <formula>AND(IF($Q62=3,1,IF($Q62=4,1,0)),IF($F62&lt;=85,1,0))</formula>
    </cfRule>
  </conditionalFormatting>
  <conditionalFormatting sqref="X62">
    <cfRule type="expression" dxfId="1205" priority="324">
      <formula>AND(IF(OR($Q62=1,$Q62=2),1,0),IF($X62&lt;=20,1,0))</formula>
    </cfRule>
    <cfRule type="expression" dxfId="1204" priority="325">
      <formula>AND(IF($Q62=2,1,0),IF($X62&lt;30,1,0))</formula>
    </cfRule>
    <cfRule type="expression" dxfId="1203" priority="326">
      <formula>AND(IF($Q62=3,1,0),IF($X62&lt;30,1,0))</formula>
    </cfRule>
    <cfRule type="expression" dxfId="1202" priority="327">
      <formula>AND(IF($Q62=3,1,IF($Q62=4,1,0)),IF($F62&lt;=85,1,0))</formula>
    </cfRule>
  </conditionalFormatting>
  <conditionalFormatting sqref="AI62">
    <cfRule type="expression" dxfId="1201" priority="320">
      <formula>AND(IF(OR($Q62=1,$Q62=2),1,0),IF($X62&lt;=20,1,0))</formula>
    </cfRule>
    <cfRule type="expression" dxfId="1200" priority="321">
      <formula>AND(IF($Q62=2,1,0),IF($X62&lt;30,1,0))</formula>
    </cfRule>
    <cfRule type="expression" dxfId="1199" priority="322">
      <formula>AND(IF($Q62=3,1,0),IF($X62&lt;30,1,0))</formula>
    </cfRule>
    <cfRule type="expression" dxfId="1198" priority="323">
      <formula>AND(IF($Q62=3,1,IF($Q62=4,1,0)),IF($F62&lt;=85,1,0))</formula>
    </cfRule>
  </conditionalFormatting>
  <conditionalFormatting sqref="AV63">
    <cfRule type="expression" dxfId="1197" priority="318">
      <formula>AV63="X"</formula>
    </cfRule>
    <cfRule type="expression" dxfId="1196" priority="319">
      <formula>AV63="후보"</formula>
    </cfRule>
  </conditionalFormatting>
  <conditionalFormatting sqref="Z63">
    <cfRule type="colorScale" priority="3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 N63">
    <cfRule type="cellIs" dxfId="1195" priority="315" operator="greaterThan">
      <formula>0.9</formula>
    </cfRule>
    <cfRule type="cellIs" dxfId="1194" priority="316" operator="greaterThan">
      <formula>0.85</formula>
    </cfRule>
  </conditionalFormatting>
  <conditionalFormatting sqref="AV64">
    <cfRule type="expression" dxfId="1193" priority="313">
      <formula>AV64="X"</formula>
    </cfRule>
    <cfRule type="expression" dxfId="1192" priority="314">
      <formula>AV64="후보"</formula>
    </cfRule>
  </conditionalFormatting>
  <conditionalFormatting sqref="Z64">
    <cfRule type="colorScale" priority="3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1191" priority="310" operator="greaterThan">
      <formula>0.9</formula>
    </cfRule>
    <cfRule type="cellIs" dxfId="1190" priority="311" operator="greaterThan">
      <formula>0.85</formula>
    </cfRule>
  </conditionalFormatting>
  <conditionalFormatting sqref="N64">
    <cfRule type="cellIs" dxfId="1189" priority="308" operator="greaterThan">
      <formula>0.9</formula>
    </cfRule>
    <cfRule type="cellIs" dxfId="1188" priority="309" operator="greaterThan">
      <formula>0.85</formula>
    </cfRule>
  </conditionalFormatting>
  <conditionalFormatting sqref="E64">
    <cfRule type="expression" dxfId="1187" priority="304">
      <formula>AND(IF(OR($Q64=1,$Q64=2),1,0),IF($X64&lt;=20,1,0))</formula>
    </cfRule>
    <cfRule type="expression" dxfId="1186" priority="305">
      <formula>AND(IF($Q64=2,1,0),IF($X64&lt;30,1,0))</formula>
    </cfRule>
    <cfRule type="expression" dxfId="1185" priority="306">
      <formula>AND(IF($Q64=3,1,0),IF($X64&lt;30,1,0))</formula>
    </cfRule>
    <cfRule type="expression" dxfId="1184" priority="307">
      <formula>AND(IF($Q64=3,1,IF($Q64=4,1,0)),IF($F64&lt;=85,1,0))</formula>
    </cfRule>
  </conditionalFormatting>
  <conditionalFormatting sqref="X64">
    <cfRule type="expression" dxfId="1183" priority="300">
      <formula>AND(IF(OR($Q64=1,$Q64=2),1,0),IF($X64&lt;=20,1,0))</formula>
    </cfRule>
    <cfRule type="expression" dxfId="1182" priority="301">
      <formula>AND(IF($Q64=2,1,0),IF($X64&lt;30,1,0))</formula>
    </cfRule>
    <cfRule type="expression" dxfId="1181" priority="302">
      <formula>AND(IF($Q64=3,1,0),IF($X64&lt;30,1,0))</formula>
    </cfRule>
    <cfRule type="expression" dxfId="1180" priority="303">
      <formula>AND(IF($Q64=3,1,IF($Q64=4,1,0)),IF($F64&lt;=85,1,0))</formula>
    </cfRule>
  </conditionalFormatting>
  <conditionalFormatting sqref="AI64">
    <cfRule type="expression" dxfId="1179" priority="296">
      <formula>AND(IF(OR($Q64=1,$Q64=2),1,0),IF($X64&lt;=20,1,0))</formula>
    </cfRule>
    <cfRule type="expression" dxfId="1178" priority="297">
      <formula>AND(IF($Q64=2,1,0),IF($X64&lt;30,1,0))</formula>
    </cfRule>
    <cfRule type="expression" dxfId="1177" priority="298">
      <formula>AND(IF($Q64=3,1,0),IF($X64&lt;30,1,0))</formula>
    </cfRule>
    <cfRule type="expression" dxfId="1176" priority="299">
      <formula>AND(IF($Q64=3,1,IF($Q64=4,1,0)),IF($F64&lt;=85,1,0))</formula>
    </cfRule>
  </conditionalFormatting>
  <conditionalFormatting sqref="AV65">
    <cfRule type="expression" dxfId="1175" priority="294">
      <formula>AV65="X"</formula>
    </cfRule>
    <cfRule type="expression" dxfId="1174" priority="295">
      <formula>AV65="후보"</formula>
    </cfRule>
  </conditionalFormatting>
  <conditionalFormatting sqref="Z65">
    <cfRule type="colorScale" priority="2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1173" priority="291" operator="greaterThan">
      <formula>0.9</formula>
    </cfRule>
    <cfRule type="cellIs" dxfId="1172" priority="292" operator="greaterThan">
      <formula>0.85</formula>
    </cfRule>
  </conditionalFormatting>
  <conditionalFormatting sqref="N65">
    <cfRule type="cellIs" dxfId="1171" priority="289" operator="greaterThan">
      <formula>0.9</formula>
    </cfRule>
    <cfRule type="cellIs" dxfId="1170" priority="290" operator="greaterThan">
      <formula>0.85</formula>
    </cfRule>
  </conditionalFormatting>
  <conditionalFormatting sqref="E65">
    <cfRule type="expression" dxfId="1169" priority="285">
      <formula>AND(IF(OR($Q65=1,$Q65=2),1,0),IF($X65&lt;=20,1,0))</formula>
    </cfRule>
    <cfRule type="expression" dxfId="1168" priority="286">
      <formula>AND(IF($Q65=2,1,0),IF($X65&lt;30,1,0))</formula>
    </cfRule>
    <cfRule type="expression" dxfId="1167" priority="287">
      <formula>AND(IF($Q65=3,1,0),IF($X65&lt;30,1,0))</formula>
    </cfRule>
    <cfRule type="expression" dxfId="1166" priority="288">
      <formula>AND(IF($Q65=3,1,IF($Q65=4,1,0)),IF($F65&lt;=85,1,0))</formula>
    </cfRule>
  </conditionalFormatting>
  <conditionalFormatting sqref="X65">
    <cfRule type="expression" dxfId="1165" priority="281">
      <formula>AND(IF(OR($Q65=1,$Q65=2),1,0),IF($X65&lt;=20,1,0))</formula>
    </cfRule>
    <cfRule type="expression" dxfId="1164" priority="282">
      <formula>AND(IF($Q65=2,1,0),IF($X65&lt;30,1,0))</formula>
    </cfRule>
    <cfRule type="expression" dxfId="1163" priority="283">
      <formula>AND(IF($Q65=3,1,0),IF($X65&lt;30,1,0))</formula>
    </cfRule>
    <cfRule type="expression" dxfId="1162" priority="284">
      <formula>AND(IF($Q65=3,1,IF($Q65=4,1,0)),IF($F65&lt;=85,1,0))</formula>
    </cfRule>
  </conditionalFormatting>
  <conditionalFormatting sqref="AI65">
    <cfRule type="expression" dxfId="1161" priority="277">
      <formula>AND(IF(OR($Q65=1,$Q65=2),1,0),IF($X65&lt;=20,1,0))</formula>
    </cfRule>
    <cfRule type="expression" dxfId="1160" priority="278">
      <formula>AND(IF($Q65=2,1,0),IF($X65&lt;30,1,0))</formula>
    </cfRule>
    <cfRule type="expression" dxfId="1159" priority="279">
      <formula>AND(IF($Q65=3,1,0),IF($X65&lt;30,1,0))</formula>
    </cfRule>
    <cfRule type="expression" dxfId="1158" priority="280">
      <formula>AND(IF($Q65=3,1,IF($Q65=4,1,0)),IF($F65&lt;=85,1,0))</formula>
    </cfRule>
  </conditionalFormatting>
  <conditionalFormatting sqref="AV66">
    <cfRule type="expression" dxfId="1157" priority="275">
      <formula>AV66="X"</formula>
    </cfRule>
    <cfRule type="expression" dxfId="1156" priority="276">
      <formula>AV66="후보"</formula>
    </cfRule>
  </conditionalFormatting>
  <conditionalFormatting sqref="Z66">
    <cfRule type="colorScale" priority="2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1155" priority="272" operator="greaterThan">
      <formula>0.9</formula>
    </cfRule>
    <cfRule type="cellIs" dxfId="1154" priority="273" operator="greaterThan">
      <formula>0.85</formula>
    </cfRule>
  </conditionalFormatting>
  <conditionalFormatting sqref="N66">
    <cfRule type="cellIs" dxfId="1153" priority="270" operator="greaterThan">
      <formula>0.9</formula>
    </cfRule>
    <cfRule type="cellIs" dxfId="1152" priority="271" operator="greaterThan">
      <formula>0.85</formula>
    </cfRule>
  </conditionalFormatting>
  <conditionalFormatting sqref="E66">
    <cfRule type="expression" dxfId="1151" priority="266">
      <formula>AND(IF(OR($Q66=1,$Q66=2),1,0),IF($X66&lt;=20,1,0))</formula>
    </cfRule>
    <cfRule type="expression" dxfId="1150" priority="267">
      <formula>AND(IF($Q66=2,1,0),IF($X66&lt;30,1,0))</formula>
    </cfRule>
    <cfRule type="expression" dxfId="1149" priority="268">
      <formula>AND(IF($Q66=3,1,0),IF($X66&lt;30,1,0))</formula>
    </cfRule>
    <cfRule type="expression" dxfId="1148" priority="269">
      <formula>AND(IF($Q66=3,1,IF($Q66=4,1,0)),IF($F66&lt;=85,1,0))</formula>
    </cfRule>
  </conditionalFormatting>
  <conditionalFormatting sqref="X66">
    <cfRule type="expression" dxfId="1147" priority="262">
      <formula>AND(IF(OR($Q66=1,$Q66=2),1,0),IF($X66&lt;=20,1,0))</formula>
    </cfRule>
    <cfRule type="expression" dxfId="1146" priority="263">
      <formula>AND(IF($Q66=2,1,0),IF($X66&lt;30,1,0))</formula>
    </cfRule>
    <cfRule type="expression" dxfId="1145" priority="264">
      <formula>AND(IF($Q66=3,1,0),IF($X66&lt;30,1,0))</formula>
    </cfRule>
    <cfRule type="expression" dxfId="1144" priority="265">
      <formula>AND(IF($Q66=3,1,IF($Q66=4,1,0)),IF($F66&lt;=85,1,0))</formula>
    </cfRule>
  </conditionalFormatting>
  <conditionalFormatting sqref="AI66">
    <cfRule type="expression" dxfId="1143" priority="258">
      <formula>AND(IF(OR($Q66=1,$Q66=2),1,0),IF($X66&lt;=20,1,0))</formula>
    </cfRule>
    <cfRule type="expression" dxfId="1142" priority="259">
      <formula>AND(IF($Q66=2,1,0),IF($X66&lt;30,1,0))</formula>
    </cfRule>
    <cfRule type="expression" dxfId="1141" priority="260">
      <formula>AND(IF($Q66=3,1,0),IF($X66&lt;30,1,0))</formula>
    </cfRule>
    <cfRule type="expression" dxfId="1140" priority="261">
      <formula>AND(IF($Q66=3,1,IF($Q66=4,1,0)),IF($F66&lt;=85,1,0))</formula>
    </cfRule>
  </conditionalFormatting>
  <conditionalFormatting sqref="AV67">
    <cfRule type="expression" dxfId="1139" priority="256">
      <formula>AV67="X"</formula>
    </cfRule>
    <cfRule type="expression" dxfId="1138" priority="257">
      <formula>AV67="후보"</formula>
    </cfRule>
  </conditionalFormatting>
  <conditionalFormatting sqref="Z67">
    <cfRule type="colorScale" priority="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1137" priority="253" operator="greaterThan">
      <formula>0.9</formula>
    </cfRule>
    <cfRule type="cellIs" dxfId="1136" priority="254" operator="greaterThan">
      <formula>0.85</formula>
    </cfRule>
  </conditionalFormatting>
  <conditionalFormatting sqref="N67">
    <cfRule type="cellIs" dxfId="1135" priority="251" operator="greaterThan">
      <formula>0.9</formula>
    </cfRule>
    <cfRule type="cellIs" dxfId="1134" priority="252" operator="greaterThan">
      <formula>0.85</formula>
    </cfRule>
  </conditionalFormatting>
  <conditionalFormatting sqref="E67">
    <cfRule type="expression" dxfId="1133" priority="247">
      <formula>AND(IF(OR($Q67=1,$Q67=2),1,0),IF($X67&lt;=20,1,0))</formula>
    </cfRule>
    <cfRule type="expression" dxfId="1132" priority="248">
      <formula>AND(IF($Q67=2,1,0),IF($X67&lt;30,1,0))</formula>
    </cfRule>
    <cfRule type="expression" dxfId="1131" priority="249">
      <formula>AND(IF($Q67=3,1,0),IF($X67&lt;30,1,0))</formula>
    </cfRule>
    <cfRule type="expression" dxfId="1130" priority="250">
      <formula>AND(IF($Q67=3,1,IF($Q67=4,1,0)),IF($F67&lt;=85,1,0))</formula>
    </cfRule>
  </conditionalFormatting>
  <conditionalFormatting sqref="X67">
    <cfRule type="expression" dxfId="1129" priority="243">
      <formula>AND(IF(OR($Q67=1,$Q67=2),1,0),IF($X67&lt;=20,1,0))</formula>
    </cfRule>
    <cfRule type="expression" dxfId="1128" priority="244">
      <formula>AND(IF($Q67=2,1,0),IF($X67&lt;30,1,0))</formula>
    </cfRule>
    <cfRule type="expression" dxfId="1127" priority="245">
      <formula>AND(IF($Q67=3,1,0),IF($X67&lt;30,1,0))</formula>
    </cfRule>
    <cfRule type="expression" dxfId="1126" priority="246">
      <formula>AND(IF($Q67=3,1,IF($Q67=4,1,0)),IF($F67&lt;=85,1,0))</formula>
    </cfRule>
  </conditionalFormatting>
  <conditionalFormatting sqref="AI67">
    <cfRule type="expression" dxfId="1125" priority="239">
      <formula>AND(IF(OR($Q67=1,$Q67=2),1,0),IF($X67&lt;=20,1,0))</formula>
    </cfRule>
    <cfRule type="expression" dxfId="1124" priority="240">
      <formula>AND(IF($Q67=2,1,0),IF($X67&lt;30,1,0))</formula>
    </cfRule>
    <cfRule type="expression" dxfId="1123" priority="241">
      <formula>AND(IF($Q67=3,1,0),IF($X67&lt;30,1,0))</formula>
    </cfRule>
    <cfRule type="expression" dxfId="1122" priority="242">
      <formula>AND(IF($Q67=3,1,IF($Q67=4,1,0)),IF($F67&lt;=85,1,0))</formula>
    </cfRule>
  </conditionalFormatting>
  <conditionalFormatting sqref="AV68">
    <cfRule type="expression" dxfId="1121" priority="237">
      <formula>AV68="X"</formula>
    </cfRule>
    <cfRule type="expression" dxfId="1120" priority="238">
      <formula>AV68="후보"</formula>
    </cfRule>
  </conditionalFormatting>
  <conditionalFormatting sqref="Z68">
    <cfRule type="colorScale" priority="2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 N68">
    <cfRule type="cellIs" dxfId="1119" priority="234" operator="greaterThan">
      <formula>0.9</formula>
    </cfRule>
    <cfRule type="cellIs" dxfId="1118" priority="235" operator="greaterThan">
      <formula>0.85</formula>
    </cfRule>
  </conditionalFormatting>
  <conditionalFormatting sqref="AV69">
    <cfRule type="expression" dxfId="1117" priority="232">
      <formula>AV69="X"</formula>
    </cfRule>
    <cfRule type="expression" dxfId="1116" priority="233">
      <formula>AV69="후보"</formula>
    </cfRule>
  </conditionalFormatting>
  <conditionalFormatting sqref="Z69">
    <cfRule type="colorScale" priority="2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1115" priority="229" operator="greaterThan">
      <formula>0.9</formula>
    </cfRule>
    <cfRule type="cellIs" dxfId="1114" priority="230" operator="greaterThan">
      <formula>0.85</formula>
    </cfRule>
  </conditionalFormatting>
  <conditionalFormatting sqref="N69">
    <cfRule type="cellIs" dxfId="1113" priority="227" operator="greaterThan">
      <formula>0.9</formula>
    </cfRule>
    <cfRule type="cellIs" dxfId="1112" priority="228" operator="greaterThan">
      <formula>0.85</formula>
    </cfRule>
  </conditionalFormatting>
  <conditionalFormatting sqref="E69">
    <cfRule type="expression" dxfId="1111" priority="223">
      <formula>AND(IF(OR($Q69=1,$Q69=2),1,0),IF($X69&lt;=20,1,0))</formula>
    </cfRule>
    <cfRule type="expression" dxfId="1110" priority="224">
      <formula>AND(IF($Q69=2,1,0),IF($X69&lt;30,1,0))</formula>
    </cfRule>
    <cfRule type="expression" dxfId="1109" priority="225">
      <formula>AND(IF($Q69=3,1,0),IF($X69&lt;30,1,0))</formula>
    </cfRule>
    <cfRule type="expression" dxfId="1108" priority="226">
      <formula>AND(IF($Q69=3,1,IF($Q69=4,1,0)),IF($F69&lt;=85,1,0))</formula>
    </cfRule>
  </conditionalFormatting>
  <conditionalFormatting sqref="X69">
    <cfRule type="expression" dxfId="1107" priority="219">
      <formula>AND(IF(OR($Q69=1,$Q69=2),1,0),IF($X69&lt;=20,1,0))</formula>
    </cfRule>
    <cfRule type="expression" dxfId="1106" priority="220">
      <formula>AND(IF($Q69=2,1,0),IF($X69&lt;30,1,0))</formula>
    </cfRule>
    <cfRule type="expression" dxfId="1105" priority="221">
      <formula>AND(IF($Q69=3,1,0),IF($X69&lt;30,1,0))</formula>
    </cfRule>
    <cfRule type="expression" dxfId="1104" priority="222">
      <formula>AND(IF($Q69=3,1,IF($Q69=4,1,0)),IF($F69&lt;=85,1,0))</formula>
    </cfRule>
  </conditionalFormatting>
  <conditionalFormatting sqref="AI69">
    <cfRule type="expression" dxfId="1103" priority="215">
      <formula>AND(IF(OR($Q69=1,$Q69=2),1,0),IF($X69&lt;=20,1,0))</formula>
    </cfRule>
    <cfRule type="expression" dxfId="1102" priority="216">
      <formula>AND(IF($Q69=2,1,0),IF($X69&lt;30,1,0))</formula>
    </cfRule>
    <cfRule type="expression" dxfId="1101" priority="217">
      <formula>AND(IF($Q69=3,1,0),IF($X69&lt;30,1,0))</formula>
    </cfRule>
    <cfRule type="expression" dxfId="1100" priority="218">
      <formula>AND(IF($Q69=3,1,IF($Q69=4,1,0)),IF($F69&lt;=85,1,0))</formula>
    </cfRule>
  </conditionalFormatting>
  <conditionalFormatting sqref="AV70">
    <cfRule type="expression" dxfId="1099" priority="213">
      <formula>AV70="X"</formula>
    </cfRule>
    <cfRule type="expression" dxfId="1098" priority="214">
      <formula>AV70="후보"</formula>
    </cfRule>
  </conditionalFormatting>
  <conditionalFormatting sqref="Z70">
    <cfRule type="colorScale" priority="2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1097" priority="210" operator="greaterThan">
      <formula>0.9</formula>
    </cfRule>
    <cfRule type="cellIs" dxfId="1096" priority="211" operator="greaterThan">
      <formula>0.85</formula>
    </cfRule>
  </conditionalFormatting>
  <conditionalFormatting sqref="N70">
    <cfRule type="cellIs" dxfId="1095" priority="208" operator="greaterThan">
      <formula>0.9</formula>
    </cfRule>
    <cfRule type="cellIs" dxfId="1094" priority="209" operator="greaterThan">
      <formula>0.85</formula>
    </cfRule>
  </conditionalFormatting>
  <conditionalFormatting sqref="E70">
    <cfRule type="expression" dxfId="1093" priority="204">
      <formula>AND(IF(OR($Q70=1,$Q70=2),1,0),IF($X70&lt;=20,1,0))</formula>
    </cfRule>
    <cfRule type="expression" dxfId="1092" priority="205">
      <formula>AND(IF($Q70=2,1,0),IF($X70&lt;30,1,0))</formula>
    </cfRule>
    <cfRule type="expression" dxfId="1091" priority="206">
      <formula>AND(IF($Q70=3,1,0),IF($X70&lt;30,1,0))</formula>
    </cfRule>
    <cfRule type="expression" dxfId="1090" priority="207">
      <formula>AND(IF($Q70=3,1,IF($Q70=4,1,0)),IF($F70&lt;=85,1,0))</formula>
    </cfRule>
  </conditionalFormatting>
  <conditionalFormatting sqref="X70">
    <cfRule type="expression" dxfId="1089" priority="200">
      <formula>AND(IF(OR($Q70=1,$Q70=2),1,0),IF($X70&lt;=20,1,0))</formula>
    </cfRule>
    <cfRule type="expression" dxfId="1088" priority="201">
      <formula>AND(IF($Q70=2,1,0),IF($X70&lt;30,1,0))</formula>
    </cfRule>
    <cfRule type="expression" dxfId="1087" priority="202">
      <formula>AND(IF($Q70=3,1,0),IF($X70&lt;30,1,0))</formula>
    </cfRule>
    <cfRule type="expression" dxfId="1086" priority="203">
      <formula>AND(IF($Q70=3,1,IF($Q70=4,1,0)),IF($F70&lt;=85,1,0))</formula>
    </cfRule>
  </conditionalFormatting>
  <conditionalFormatting sqref="AI70">
    <cfRule type="expression" dxfId="1085" priority="196">
      <formula>AND(IF(OR($Q70=1,$Q70=2),1,0),IF($X70&lt;=20,1,0))</formula>
    </cfRule>
    <cfRule type="expression" dxfId="1084" priority="197">
      <formula>AND(IF($Q70=2,1,0),IF($X70&lt;30,1,0))</formula>
    </cfRule>
    <cfRule type="expression" dxfId="1083" priority="198">
      <formula>AND(IF($Q70=3,1,0),IF($X70&lt;30,1,0))</formula>
    </cfRule>
    <cfRule type="expression" dxfId="1082" priority="199">
      <formula>AND(IF($Q70=3,1,IF($Q70=4,1,0)),IF($F70&lt;=85,1,0))</formula>
    </cfRule>
  </conditionalFormatting>
  <conditionalFormatting sqref="AV71">
    <cfRule type="expression" dxfId="1081" priority="194">
      <formula>AV71="X"</formula>
    </cfRule>
    <cfRule type="expression" dxfId="1080" priority="195">
      <formula>AV71="후보"</formula>
    </cfRule>
  </conditionalFormatting>
  <conditionalFormatting sqref="Z71">
    <cfRule type="colorScale" priority="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1079" priority="191" operator="greaterThan">
      <formula>0.9</formula>
    </cfRule>
    <cfRule type="cellIs" dxfId="1078" priority="192" operator="greaterThan">
      <formula>0.85</formula>
    </cfRule>
  </conditionalFormatting>
  <conditionalFormatting sqref="N71">
    <cfRule type="cellIs" dxfId="1077" priority="189" operator="greaterThan">
      <formula>0.9</formula>
    </cfRule>
    <cfRule type="cellIs" dxfId="1076" priority="190" operator="greaterThan">
      <formula>0.85</formula>
    </cfRule>
  </conditionalFormatting>
  <conditionalFormatting sqref="E71">
    <cfRule type="expression" dxfId="1075" priority="185">
      <formula>AND(IF(OR($Q71=1,$Q71=2),1,0),IF($X71&lt;=20,1,0))</formula>
    </cfRule>
    <cfRule type="expression" dxfId="1074" priority="186">
      <formula>AND(IF($Q71=2,1,0),IF($X71&lt;30,1,0))</formula>
    </cfRule>
    <cfRule type="expression" dxfId="1073" priority="187">
      <formula>AND(IF($Q71=3,1,0),IF($X71&lt;30,1,0))</formula>
    </cfRule>
    <cfRule type="expression" dxfId="1072" priority="188">
      <formula>AND(IF($Q71=3,1,IF($Q71=4,1,0)),IF($F71&lt;=85,1,0))</formula>
    </cfRule>
  </conditionalFormatting>
  <conditionalFormatting sqref="X71">
    <cfRule type="expression" dxfId="1071" priority="181">
      <formula>AND(IF(OR($Q71=1,$Q71=2),1,0),IF($X71&lt;=20,1,0))</formula>
    </cfRule>
    <cfRule type="expression" dxfId="1070" priority="182">
      <formula>AND(IF($Q71=2,1,0),IF($X71&lt;30,1,0))</formula>
    </cfRule>
    <cfRule type="expression" dxfId="1069" priority="183">
      <formula>AND(IF($Q71=3,1,0),IF($X71&lt;30,1,0))</formula>
    </cfRule>
    <cfRule type="expression" dxfId="1068" priority="184">
      <formula>AND(IF($Q71=3,1,IF($Q71=4,1,0)),IF($F71&lt;=85,1,0))</formula>
    </cfRule>
  </conditionalFormatting>
  <conditionalFormatting sqref="AI71">
    <cfRule type="expression" dxfId="1067" priority="177">
      <formula>AND(IF(OR($Q71=1,$Q71=2),1,0),IF($X71&lt;=20,1,0))</formula>
    </cfRule>
    <cfRule type="expression" dxfId="1066" priority="178">
      <formula>AND(IF($Q71=2,1,0),IF($X71&lt;30,1,0))</formula>
    </cfRule>
    <cfRule type="expression" dxfId="1065" priority="179">
      <formula>AND(IF($Q71=3,1,0),IF($X71&lt;30,1,0))</formula>
    </cfRule>
    <cfRule type="expression" dxfId="1064" priority="180">
      <formula>AND(IF($Q71=3,1,IF($Q71=4,1,0)),IF($F71&lt;=85,1,0))</formula>
    </cfRule>
  </conditionalFormatting>
  <conditionalFormatting sqref="AV72">
    <cfRule type="expression" dxfId="1063" priority="175">
      <formula>AV72="X"</formula>
    </cfRule>
    <cfRule type="expression" dxfId="1062" priority="176">
      <formula>AV72="후보"</formula>
    </cfRule>
  </conditionalFormatting>
  <conditionalFormatting sqref="Z72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1061" priority="172" operator="greaterThan">
      <formula>0.9</formula>
    </cfRule>
    <cfRule type="cellIs" dxfId="1060" priority="173" operator="greaterThan">
      <formula>0.85</formula>
    </cfRule>
  </conditionalFormatting>
  <conditionalFormatting sqref="N72">
    <cfRule type="cellIs" dxfId="1059" priority="170" operator="greaterThan">
      <formula>0.9</formula>
    </cfRule>
    <cfRule type="cellIs" dxfId="1058" priority="171" operator="greaterThan">
      <formula>0.85</formula>
    </cfRule>
  </conditionalFormatting>
  <conditionalFormatting sqref="E72">
    <cfRule type="expression" dxfId="1057" priority="166">
      <formula>AND(IF(OR($Q72=1,$Q72=2),1,0),IF($X72&lt;=20,1,0))</formula>
    </cfRule>
    <cfRule type="expression" dxfId="1056" priority="167">
      <formula>AND(IF($Q72=2,1,0),IF($X72&lt;30,1,0))</formula>
    </cfRule>
    <cfRule type="expression" dxfId="1055" priority="168">
      <formula>AND(IF($Q72=3,1,0),IF($X72&lt;30,1,0))</formula>
    </cfRule>
    <cfRule type="expression" dxfId="1054" priority="169">
      <formula>AND(IF($Q72=3,1,IF($Q72=4,1,0)),IF($F72&lt;=85,1,0))</formula>
    </cfRule>
  </conditionalFormatting>
  <conditionalFormatting sqref="X72">
    <cfRule type="expression" dxfId="1053" priority="162">
      <formula>AND(IF(OR($Q72=1,$Q72=2),1,0),IF($X72&lt;=20,1,0))</formula>
    </cfRule>
    <cfRule type="expression" dxfId="1052" priority="163">
      <formula>AND(IF($Q72=2,1,0),IF($X72&lt;30,1,0))</formula>
    </cfRule>
    <cfRule type="expression" dxfId="1051" priority="164">
      <formula>AND(IF($Q72=3,1,0),IF($X72&lt;30,1,0))</formula>
    </cfRule>
    <cfRule type="expression" dxfId="1050" priority="165">
      <formula>AND(IF($Q72=3,1,IF($Q72=4,1,0)),IF($F72&lt;=85,1,0))</formula>
    </cfRule>
  </conditionalFormatting>
  <conditionalFormatting sqref="AI72">
    <cfRule type="expression" dxfId="1049" priority="158">
      <formula>AND(IF(OR($Q72=1,$Q72=2),1,0),IF($X72&lt;=20,1,0))</formula>
    </cfRule>
    <cfRule type="expression" dxfId="1048" priority="159">
      <formula>AND(IF($Q72=2,1,0),IF($X72&lt;30,1,0))</formula>
    </cfRule>
    <cfRule type="expression" dxfId="1047" priority="160">
      <formula>AND(IF($Q72=3,1,0),IF($X72&lt;30,1,0))</formula>
    </cfRule>
    <cfRule type="expression" dxfId="1046" priority="161">
      <formula>AND(IF($Q72=3,1,IF($Q72=4,1,0)),IF($F72&lt;=85,1,0))</formula>
    </cfRule>
  </conditionalFormatting>
  <conditionalFormatting sqref="AV73">
    <cfRule type="expression" dxfId="1045" priority="156">
      <formula>AV73="X"</formula>
    </cfRule>
    <cfRule type="expression" dxfId="1044" priority="157">
      <formula>AV73="후보"</formula>
    </cfRule>
  </conditionalFormatting>
  <conditionalFormatting sqref="Z73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1043" priority="153" operator="greaterThan">
      <formula>0.9</formula>
    </cfRule>
    <cfRule type="cellIs" dxfId="1042" priority="154" operator="greaterThan">
      <formula>0.85</formula>
    </cfRule>
  </conditionalFormatting>
  <conditionalFormatting sqref="N73">
    <cfRule type="cellIs" dxfId="1041" priority="151" operator="greaterThan">
      <formula>0.9</formula>
    </cfRule>
    <cfRule type="cellIs" dxfId="1040" priority="152" operator="greaterThan">
      <formula>0.85</formula>
    </cfRule>
  </conditionalFormatting>
  <conditionalFormatting sqref="E73">
    <cfRule type="expression" dxfId="1039" priority="147">
      <formula>AND(IF(OR($Q73=1,$Q73=2),1,0),IF($X73&lt;=20,1,0))</formula>
    </cfRule>
    <cfRule type="expression" dxfId="1038" priority="148">
      <formula>AND(IF($Q73=2,1,0),IF($X73&lt;30,1,0))</formula>
    </cfRule>
    <cfRule type="expression" dxfId="1037" priority="149">
      <formula>AND(IF($Q73=3,1,0),IF($X73&lt;30,1,0))</formula>
    </cfRule>
    <cfRule type="expression" dxfId="1036" priority="150">
      <formula>AND(IF($Q73=3,1,IF($Q73=4,1,0)),IF($F73&lt;=85,1,0))</formula>
    </cfRule>
  </conditionalFormatting>
  <conditionalFormatting sqref="X73">
    <cfRule type="expression" dxfId="1035" priority="143">
      <formula>AND(IF(OR($Q73=1,$Q73=2),1,0),IF($X73&lt;=20,1,0))</formula>
    </cfRule>
    <cfRule type="expression" dxfId="1034" priority="144">
      <formula>AND(IF($Q73=2,1,0),IF($X73&lt;30,1,0))</formula>
    </cfRule>
    <cfRule type="expression" dxfId="1033" priority="145">
      <formula>AND(IF($Q73=3,1,0),IF($X73&lt;30,1,0))</formula>
    </cfRule>
    <cfRule type="expression" dxfId="1032" priority="146">
      <formula>AND(IF($Q73=3,1,IF($Q73=4,1,0)),IF($F73&lt;=85,1,0))</formula>
    </cfRule>
  </conditionalFormatting>
  <conditionalFormatting sqref="AI73">
    <cfRule type="expression" dxfId="1031" priority="139">
      <formula>AND(IF(OR($Q73=1,$Q73=2),1,0),IF($X73&lt;=20,1,0))</formula>
    </cfRule>
    <cfRule type="expression" dxfId="1030" priority="140">
      <formula>AND(IF($Q73=2,1,0),IF($X73&lt;30,1,0))</formula>
    </cfRule>
    <cfRule type="expression" dxfId="1029" priority="141">
      <formula>AND(IF($Q73=3,1,0),IF($X73&lt;30,1,0))</formula>
    </cfRule>
    <cfRule type="expression" dxfId="1028" priority="142">
      <formula>AND(IF($Q73=3,1,IF($Q73=4,1,0)),IF($F73&lt;=85,1,0))</formula>
    </cfRule>
  </conditionalFormatting>
  <conditionalFormatting sqref="AV74">
    <cfRule type="expression" dxfId="1027" priority="137">
      <formula>AV74="X"</formula>
    </cfRule>
    <cfRule type="expression" dxfId="1026" priority="138">
      <formula>AV74="후보"</formula>
    </cfRule>
  </conditionalFormatting>
  <conditionalFormatting sqref="Z74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1025" priority="134" operator="greaterThan">
      <formula>0.9</formula>
    </cfRule>
    <cfRule type="cellIs" dxfId="1024" priority="135" operator="greaterThan">
      <formula>0.85</formula>
    </cfRule>
  </conditionalFormatting>
  <conditionalFormatting sqref="N74">
    <cfRule type="cellIs" dxfId="1023" priority="132" operator="greaterThan">
      <formula>0.9</formula>
    </cfRule>
    <cfRule type="cellIs" dxfId="1022" priority="133" operator="greaterThan">
      <formula>0.85</formula>
    </cfRule>
  </conditionalFormatting>
  <conditionalFormatting sqref="E74">
    <cfRule type="expression" dxfId="1021" priority="128">
      <formula>AND(IF(OR($Q74=1,$Q74=2),1,0),IF($X74&lt;=20,1,0))</formula>
    </cfRule>
    <cfRule type="expression" dxfId="1020" priority="129">
      <formula>AND(IF($Q74=2,1,0),IF($X74&lt;30,1,0))</formula>
    </cfRule>
    <cfRule type="expression" dxfId="1019" priority="130">
      <formula>AND(IF($Q74=3,1,0),IF($X74&lt;30,1,0))</formula>
    </cfRule>
    <cfRule type="expression" dxfId="1018" priority="131">
      <formula>AND(IF($Q74=3,1,IF($Q74=4,1,0)),IF($F74&lt;=85,1,0))</formula>
    </cfRule>
  </conditionalFormatting>
  <conditionalFormatting sqref="X74">
    <cfRule type="expression" dxfId="1017" priority="124">
      <formula>AND(IF(OR($Q74=1,$Q74=2),1,0),IF($X74&lt;=20,1,0))</formula>
    </cfRule>
    <cfRule type="expression" dxfId="1016" priority="125">
      <formula>AND(IF($Q74=2,1,0),IF($X74&lt;30,1,0))</formula>
    </cfRule>
    <cfRule type="expression" dxfId="1015" priority="126">
      <formula>AND(IF($Q74=3,1,0),IF($X74&lt;30,1,0))</formula>
    </cfRule>
    <cfRule type="expression" dxfId="1014" priority="127">
      <formula>AND(IF($Q74=3,1,IF($Q74=4,1,0)),IF($F74&lt;=85,1,0))</formula>
    </cfRule>
  </conditionalFormatting>
  <conditionalFormatting sqref="AI74">
    <cfRule type="expression" dxfId="1013" priority="120">
      <formula>AND(IF(OR($Q74=1,$Q74=2),1,0),IF($X74&lt;=20,1,0))</formula>
    </cfRule>
    <cfRule type="expression" dxfId="1012" priority="121">
      <formula>AND(IF($Q74=2,1,0),IF($X74&lt;30,1,0))</formula>
    </cfRule>
    <cfRule type="expression" dxfId="1011" priority="122">
      <formula>AND(IF($Q74=3,1,0),IF($X74&lt;30,1,0))</formula>
    </cfRule>
    <cfRule type="expression" dxfId="1010" priority="123">
      <formula>AND(IF($Q74=3,1,IF($Q74=4,1,0)),IF($F74&lt;=85,1,0))</formula>
    </cfRule>
  </conditionalFormatting>
  <conditionalFormatting sqref="AV75">
    <cfRule type="expression" dxfId="1009" priority="118">
      <formula>AV75="X"</formula>
    </cfRule>
    <cfRule type="expression" dxfId="1008" priority="119">
      <formula>AV75="후보"</formula>
    </cfRule>
  </conditionalFormatting>
  <conditionalFormatting sqref="Z75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 N75">
    <cfRule type="cellIs" dxfId="1007" priority="115" operator="greaterThan">
      <formula>0.9</formula>
    </cfRule>
    <cfRule type="cellIs" dxfId="1006" priority="116" operator="greaterThan">
      <formula>0.85</formula>
    </cfRule>
  </conditionalFormatting>
  <conditionalFormatting sqref="AV76">
    <cfRule type="expression" dxfId="1005" priority="113">
      <formula>AV76="X"</formula>
    </cfRule>
    <cfRule type="expression" dxfId="1004" priority="114">
      <formula>AV76="후보"</formula>
    </cfRule>
  </conditionalFormatting>
  <conditionalFormatting sqref="Z76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1003" priority="110" operator="greaterThan">
      <formula>0.9</formula>
    </cfRule>
    <cfRule type="cellIs" dxfId="1002" priority="111" operator="greaterThan">
      <formula>0.85</formula>
    </cfRule>
  </conditionalFormatting>
  <conditionalFormatting sqref="N76">
    <cfRule type="cellIs" dxfId="1001" priority="108" operator="greaterThan">
      <formula>0.9</formula>
    </cfRule>
    <cfRule type="cellIs" dxfId="1000" priority="109" operator="greaterThan">
      <formula>0.85</formula>
    </cfRule>
  </conditionalFormatting>
  <conditionalFormatting sqref="E76">
    <cfRule type="expression" dxfId="999" priority="104">
      <formula>AND(IF(OR($Q76=1,$Q76=2),1,0),IF($X76&lt;=20,1,0))</formula>
    </cfRule>
    <cfRule type="expression" dxfId="998" priority="105">
      <formula>AND(IF($Q76=2,1,0),IF($X76&lt;30,1,0))</formula>
    </cfRule>
    <cfRule type="expression" dxfId="997" priority="106">
      <formula>AND(IF($Q76=3,1,0),IF($X76&lt;30,1,0))</formula>
    </cfRule>
    <cfRule type="expression" dxfId="996" priority="107">
      <formula>AND(IF($Q76=3,1,IF($Q76=4,1,0)),IF($F76&lt;=85,1,0))</formula>
    </cfRule>
  </conditionalFormatting>
  <conditionalFormatting sqref="X76">
    <cfRule type="expression" dxfId="995" priority="100">
      <formula>AND(IF(OR($Q76=1,$Q76=2),1,0),IF($X76&lt;=20,1,0))</formula>
    </cfRule>
    <cfRule type="expression" dxfId="994" priority="101">
      <formula>AND(IF($Q76=2,1,0),IF($X76&lt;30,1,0))</formula>
    </cfRule>
    <cfRule type="expression" dxfId="993" priority="102">
      <formula>AND(IF($Q76=3,1,0),IF($X76&lt;30,1,0))</formula>
    </cfRule>
    <cfRule type="expression" dxfId="992" priority="103">
      <formula>AND(IF($Q76=3,1,IF($Q76=4,1,0)),IF($F76&lt;=85,1,0))</formula>
    </cfRule>
  </conditionalFormatting>
  <conditionalFormatting sqref="AI76">
    <cfRule type="expression" dxfId="991" priority="96">
      <formula>AND(IF(OR($Q76=1,$Q76=2),1,0),IF($X76&lt;=20,1,0))</formula>
    </cfRule>
    <cfRule type="expression" dxfId="990" priority="97">
      <formula>AND(IF($Q76=2,1,0),IF($X76&lt;30,1,0))</formula>
    </cfRule>
    <cfRule type="expression" dxfId="989" priority="98">
      <formula>AND(IF($Q76=3,1,0),IF($X76&lt;30,1,0))</formula>
    </cfRule>
    <cfRule type="expression" dxfId="988" priority="99">
      <formula>AND(IF($Q76=3,1,IF($Q76=4,1,0)),IF($F76&lt;=85,1,0))</formula>
    </cfRule>
  </conditionalFormatting>
  <conditionalFormatting sqref="AV77">
    <cfRule type="expression" dxfId="987" priority="94">
      <formula>AV77="X"</formula>
    </cfRule>
    <cfRule type="expression" dxfId="986" priority="95">
      <formula>AV77="후보"</formula>
    </cfRule>
  </conditionalFormatting>
  <conditionalFormatting sqref="Z77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985" priority="91" operator="greaterThan">
      <formula>0.9</formula>
    </cfRule>
    <cfRule type="cellIs" dxfId="984" priority="92" operator="greaterThan">
      <formula>0.85</formula>
    </cfRule>
  </conditionalFormatting>
  <conditionalFormatting sqref="N77">
    <cfRule type="cellIs" dxfId="983" priority="89" operator="greaterThan">
      <formula>0.9</formula>
    </cfRule>
    <cfRule type="cellIs" dxfId="982" priority="90" operator="greaterThan">
      <formula>0.85</formula>
    </cfRule>
  </conditionalFormatting>
  <conditionalFormatting sqref="E77">
    <cfRule type="expression" dxfId="981" priority="85">
      <formula>AND(IF(OR($Q77=1,$Q77=2),1,0),IF($X77&lt;=20,1,0))</formula>
    </cfRule>
    <cfRule type="expression" dxfId="980" priority="86">
      <formula>AND(IF($Q77=2,1,0),IF($X77&lt;30,1,0))</formula>
    </cfRule>
    <cfRule type="expression" dxfId="979" priority="87">
      <formula>AND(IF($Q77=3,1,0),IF($X77&lt;30,1,0))</formula>
    </cfRule>
    <cfRule type="expression" dxfId="978" priority="88">
      <formula>AND(IF($Q77=3,1,IF($Q77=4,1,0)),IF($F77&lt;=85,1,0))</formula>
    </cfRule>
  </conditionalFormatting>
  <conditionalFormatting sqref="X77">
    <cfRule type="expression" dxfId="977" priority="81">
      <formula>AND(IF(OR($Q77=1,$Q77=2),1,0),IF($X77&lt;=20,1,0))</formula>
    </cfRule>
    <cfRule type="expression" dxfId="976" priority="82">
      <formula>AND(IF($Q77=2,1,0),IF($X77&lt;30,1,0))</formula>
    </cfRule>
    <cfRule type="expression" dxfId="975" priority="83">
      <formula>AND(IF($Q77=3,1,0),IF($X77&lt;30,1,0))</formula>
    </cfRule>
    <cfRule type="expression" dxfId="974" priority="84">
      <formula>AND(IF($Q77=3,1,IF($Q77=4,1,0)),IF($F77&lt;=85,1,0))</formula>
    </cfRule>
  </conditionalFormatting>
  <conditionalFormatting sqref="AI77">
    <cfRule type="expression" dxfId="973" priority="77">
      <formula>AND(IF(OR($Q77=1,$Q77=2),1,0),IF($X77&lt;=20,1,0))</formula>
    </cfRule>
    <cfRule type="expression" dxfId="972" priority="78">
      <formula>AND(IF($Q77=2,1,0),IF($X77&lt;30,1,0))</formula>
    </cfRule>
    <cfRule type="expression" dxfId="971" priority="79">
      <formula>AND(IF($Q77=3,1,0),IF($X77&lt;30,1,0))</formula>
    </cfRule>
    <cfRule type="expression" dxfId="970" priority="80">
      <formula>AND(IF($Q77=3,1,IF($Q77=4,1,0)),IF($F77&lt;=85,1,0))</formula>
    </cfRule>
  </conditionalFormatting>
  <conditionalFormatting sqref="AV78">
    <cfRule type="expression" dxfId="969" priority="75">
      <formula>AV78="X"</formula>
    </cfRule>
    <cfRule type="expression" dxfId="968" priority="76">
      <formula>AV78="후보"</formula>
    </cfRule>
  </conditionalFormatting>
  <conditionalFormatting sqref="Z78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967" priority="72" operator="greaterThan">
      <formula>0.9</formula>
    </cfRule>
    <cfRule type="cellIs" dxfId="966" priority="73" operator="greaterThan">
      <formula>0.85</formula>
    </cfRule>
  </conditionalFormatting>
  <conditionalFormatting sqref="N78">
    <cfRule type="cellIs" dxfId="965" priority="70" operator="greaterThan">
      <formula>0.9</formula>
    </cfRule>
    <cfRule type="cellIs" dxfId="964" priority="71" operator="greaterThan">
      <formula>0.85</formula>
    </cfRule>
  </conditionalFormatting>
  <conditionalFormatting sqref="E78">
    <cfRule type="expression" dxfId="963" priority="66">
      <formula>AND(IF(OR($Q78=1,$Q78=2),1,0),IF($X78&lt;=20,1,0))</formula>
    </cfRule>
    <cfRule type="expression" dxfId="962" priority="67">
      <formula>AND(IF($Q78=2,1,0),IF($X78&lt;30,1,0))</formula>
    </cfRule>
    <cfRule type="expression" dxfId="961" priority="68">
      <formula>AND(IF($Q78=3,1,0),IF($X78&lt;30,1,0))</formula>
    </cfRule>
    <cfRule type="expression" dxfId="960" priority="69">
      <formula>AND(IF($Q78=3,1,IF($Q78=4,1,0)),IF($F78&lt;=85,1,0))</formula>
    </cfRule>
  </conditionalFormatting>
  <conditionalFormatting sqref="X78">
    <cfRule type="expression" dxfId="959" priority="62">
      <formula>AND(IF(OR($Q78=1,$Q78=2),1,0),IF($X78&lt;=20,1,0))</formula>
    </cfRule>
    <cfRule type="expression" dxfId="958" priority="63">
      <formula>AND(IF($Q78=2,1,0),IF($X78&lt;30,1,0))</formula>
    </cfRule>
    <cfRule type="expression" dxfId="957" priority="64">
      <formula>AND(IF($Q78=3,1,0),IF($X78&lt;30,1,0))</formula>
    </cfRule>
    <cfRule type="expression" dxfId="956" priority="65">
      <formula>AND(IF($Q78=3,1,IF($Q78=4,1,0)),IF($F78&lt;=85,1,0))</formula>
    </cfRule>
  </conditionalFormatting>
  <conditionalFormatting sqref="AI78">
    <cfRule type="expression" dxfId="955" priority="58">
      <formula>AND(IF(OR($Q78=1,$Q78=2),1,0),IF($X78&lt;=20,1,0))</formula>
    </cfRule>
    <cfRule type="expression" dxfId="954" priority="59">
      <formula>AND(IF($Q78=2,1,0),IF($X78&lt;30,1,0))</formula>
    </cfRule>
    <cfRule type="expression" dxfId="953" priority="60">
      <formula>AND(IF($Q78=3,1,0),IF($X78&lt;30,1,0))</formula>
    </cfRule>
    <cfRule type="expression" dxfId="952" priority="61">
      <formula>AND(IF($Q78=3,1,IF($Q78=4,1,0)),IF($F78&lt;=85,1,0))</formula>
    </cfRule>
  </conditionalFormatting>
  <conditionalFormatting sqref="AV79">
    <cfRule type="expression" dxfId="951" priority="56">
      <formula>AV79="X"</formula>
    </cfRule>
    <cfRule type="expression" dxfId="950" priority="57">
      <formula>AV79="후보"</formula>
    </cfRule>
  </conditionalFormatting>
  <conditionalFormatting sqref="Z79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949" priority="53" operator="greaterThan">
      <formula>0.9</formula>
    </cfRule>
    <cfRule type="cellIs" dxfId="948" priority="54" operator="greaterThan">
      <formula>0.85</formula>
    </cfRule>
  </conditionalFormatting>
  <conditionalFormatting sqref="N79">
    <cfRule type="cellIs" dxfId="947" priority="51" operator="greaterThan">
      <formula>0.9</formula>
    </cfRule>
    <cfRule type="cellIs" dxfId="946" priority="52" operator="greaterThan">
      <formula>0.85</formula>
    </cfRule>
  </conditionalFormatting>
  <conditionalFormatting sqref="E79">
    <cfRule type="expression" dxfId="945" priority="47">
      <formula>AND(IF(OR($Q79=1,$Q79=2),1,0),IF($X79&lt;=20,1,0))</formula>
    </cfRule>
    <cfRule type="expression" dxfId="944" priority="48">
      <formula>AND(IF($Q79=2,1,0),IF($X79&lt;30,1,0))</formula>
    </cfRule>
    <cfRule type="expression" dxfId="943" priority="49">
      <formula>AND(IF($Q79=3,1,0),IF($X79&lt;30,1,0))</formula>
    </cfRule>
    <cfRule type="expression" dxfId="942" priority="50">
      <formula>AND(IF($Q79=3,1,IF($Q79=4,1,0)),IF($F79&lt;=85,1,0))</formula>
    </cfRule>
  </conditionalFormatting>
  <conditionalFormatting sqref="X79">
    <cfRule type="expression" dxfId="941" priority="43">
      <formula>AND(IF(OR($Q79=1,$Q79=2),1,0),IF($X79&lt;=20,1,0))</formula>
    </cfRule>
    <cfRule type="expression" dxfId="940" priority="44">
      <formula>AND(IF($Q79=2,1,0),IF($X79&lt;30,1,0))</formula>
    </cfRule>
    <cfRule type="expression" dxfId="939" priority="45">
      <formula>AND(IF($Q79=3,1,0),IF($X79&lt;30,1,0))</formula>
    </cfRule>
    <cfRule type="expression" dxfId="938" priority="46">
      <formula>AND(IF($Q79=3,1,IF($Q79=4,1,0)),IF($F79&lt;=85,1,0))</formula>
    </cfRule>
  </conditionalFormatting>
  <conditionalFormatting sqref="AI79">
    <cfRule type="expression" dxfId="937" priority="39">
      <formula>AND(IF(OR($Q79=1,$Q79=2),1,0),IF($X79&lt;=20,1,0))</formula>
    </cfRule>
    <cfRule type="expression" dxfId="936" priority="40">
      <formula>AND(IF($Q79=2,1,0),IF($X79&lt;30,1,0))</formula>
    </cfRule>
    <cfRule type="expression" dxfId="935" priority="41">
      <formula>AND(IF($Q79=3,1,0),IF($X79&lt;30,1,0))</formula>
    </cfRule>
    <cfRule type="expression" dxfId="934" priority="42">
      <formula>AND(IF($Q79=3,1,IF($Q79=4,1,0)),IF($F79&lt;=85,1,0))</formula>
    </cfRule>
  </conditionalFormatting>
  <conditionalFormatting sqref="AV80">
    <cfRule type="expression" dxfId="933" priority="37">
      <formula>AV80="X"</formula>
    </cfRule>
    <cfRule type="expression" dxfId="932" priority="38">
      <formula>AV80="후보"</formula>
    </cfRule>
  </conditionalFormatting>
  <conditionalFormatting sqref="Z80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931" priority="34" operator="greaterThan">
      <formula>0.9</formula>
    </cfRule>
    <cfRule type="cellIs" dxfId="930" priority="35" operator="greaterThan">
      <formula>0.85</formula>
    </cfRule>
  </conditionalFormatting>
  <conditionalFormatting sqref="N80">
    <cfRule type="cellIs" dxfId="929" priority="32" operator="greaterThan">
      <formula>0.9</formula>
    </cfRule>
    <cfRule type="cellIs" dxfId="928" priority="33" operator="greaterThan">
      <formula>0.85</formula>
    </cfRule>
  </conditionalFormatting>
  <conditionalFormatting sqref="E80">
    <cfRule type="expression" dxfId="927" priority="28">
      <formula>AND(IF(OR($Q80=1,$Q80=2),1,0),IF($X80&lt;=20,1,0))</formula>
    </cfRule>
    <cfRule type="expression" dxfId="926" priority="29">
      <formula>AND(IF($Q80=2,1,0),IF($X80&lt;30,1,0))</formula>
    </cfRule>
    <cfRule type="expression" dxfId="925" priority="30">
      <formula>AND(IF($Q80=3,1,0),IF($X80&lt;30,1,0))</formula>
    </cfRule>
    <cfRule type="expression" dxfId="924" priority="31">
      <formula>AND(IF($Q80=3,1,IF($Q80=4,1,0)),IF($F80&lt;=85,1,0))</formula>
    </cfRule>
  </conditionalFormatting>
  <conditionalFormatting sqref="X80">
    <cfRule type="expression" dxfId="923" priority="24">
      <formula>AND(IF(OR($Q80=1,$Q80=2),1,0),IF($X80&lt;=20,1,0))</formula>
    </cfRule>
    <cfRule type="expression" dxfId="922" priority="25">
      <formula>AND(IF($Q80=2,1,0),IF($X80&lt;30,1,0))</formula>
    </cfRule>
    <cfRule type="expression" dxfId="921" priority="26">
      <formula>AND(IF($Q80=3,1,0),IF($X80&lt;30,1,0))</formula>
    </cfRule>
    <cfRule type="expression" dxfId="920" priority="27">
      <formula>AND(IF($Q80=3,1,IF($Q80=4,1,0)),IF($F80&lt;=85,1,0))</formula>
    </cfRule>
  </conditionalFormatting>
  <conditionalFormatting sqref="AI80">
    <cfRule type="expression" dxfId="919" priority="20">
      <formula>AND(IF(OR($Q80=1,$Q80=2),1,0),IF($X80&lt;=20,1,0))</formula>
    </cfRule>
    <cfRule type="expression" dxfId="918" priority="21">
      <formula>AND(IF($Q80=2,1,0),IF($X80&lt;30,1,0))</formula>
    </cfRule>
    <cfRule type="expression" dxfId="917" priority="22">
      <formula>AND(IF($Q80=3,1,0),IF($X80&lt;30,1,0))</formula>
    </cfRule>
    <cfRule type="expression" dxfId="916" priority="23">
      <formula>AND(IF($Q80=3,1,IF($Q80=4,1,0)),IF($F80&lt;=85,1,0))</formula>
    </cfRule>
  </conditionalFormatting>
  <conditionalFormatting sqref="AV81">
    <cfRule type="expression" dxfId="915" priority="18">
      <formula>AV81="X"</formula>
    </cfRule>
    <cfRule type="expression" dxfId="914" priority="19">
      <formula>AV81="후보"</formula>
    </cfRule>
  </conditionalFormatting>
  <conditionalFormatting sqref="Z81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913" priority="15" operator="greaterThan">
      <formula>0.9</formula>
    </cfRule>
    <cfRule type="cellIs" dxfId="912" priority="16" operator="greaterThan">
      <formula>0.85</formula>
    </cfRule>
  </conditionalFormatting>
  <conditionalFormatting sqref="N81">
    <cfRule type="cellIs" dxfId="911" priority="13" operator="greaterThan">
      <formula>0.9</formula>
    </cfRule>
    <cfRule type="cellIs" dxfId="910" priority="14" operator="greaterThan">
      <formula>0.85</formula>
    </cfRule>
  </conditionalFormatting>
  <conditionalFormatting sqref="E81">
    <cfRule type="expression" dxfId="909" priority="9">
      <formula>AND(IF(OR($Q81=1,$Q81=2),1,0),IF($X81&lt;=20,1,0))</formula>
    </cfRule>
    <cfRule type="expression" dxfId="908" priority="10">
      <formula>AND(IF($Q81=2,1,0),IF($X81&lt;30,1,0))</formula>
    </cfRule>
    <cfRule type="expression" dxfId="907" priority="11">
      <formula>AND(IF($Q81=3,1,0),IF($X81&lt;30,1,0))</formula>
    </cfRule>
    <cfRule type="expression" dxfId="906" priority="12">
      <formula>AND(IF($Q81=3,1,IF($Q81=4,1,0)),IF($F81&lt;=85,1,0))</formula>
    </cfRule>
  </conditionalFormatting>
  <conditionalFormatting sqref="X81">
    <cfRule type="expression" dxfId="905" priority="5">
      <formula>AND(IF(OR($Q81=1,$Q81=2),1,0),IF($X81&lt;=20,1,0))</formula>
    </cfRule>
    <cfRule type="expression" dxfId="904" priority="6">
      <formula>AND(IF($Q81=2,1,0),IF($X81&lt;30,1,0))</formula>
    </cfRule>
    <cfRule type="expression" dxfId="903" priority="7">
      <formula>AND(IF($Q81=3,1,0),IF($X81&lt;30,1,0))</formula>
    </cfRule>
    <cfRule type="expression" dxfId="902" priority="8">
      <formula>AND(IF($Q81=3,1,IF($Q81=4,1,0)),IF($F81&lt;=85,1,0))</formula>
    </cfRule>
  </conditionalFormatting>
  <conditionalFormatting sqref="AI81">
    <cfRule type="expression" dxfId="901" priority="1">
      <formula>AND(IF(OR($Q81=1,$Q81=2),1,0),IF($X81&lt;=20,1,0))</formula>
    </cfRule>
    <cfRule type="expression" dxfId="900" priority="2">
      <formula>AND(IF($Q81=2,1,0),IF($X81&lt;30,1,0))</formula>
    </cfRule>
    <cfRule type="expression" dxfId="899" priority="3">
      <formula>AND(IF($Q81=3,1,0),IF($X81&lt;30,1,0))</formula>
    </cfRule>
    <cfRule type="expression" dxfId="898" priority="4">
      <formula>AND(IF($Q81=3,1,IF($Q81=4,1,0)),IF($F81&lt;=85,1,0))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68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6" sqref="U16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화서동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1272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화서동 꽃뫼양지마을현대('02.07.,260^)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1273</v>
      </c>
      <c r="B6" s="16" t="s">
        <v>1274</v>
      </c>
      <c r="C6" s="28">
        <v>260</v>
      </c>
      <c r="D6" s="25">
        <v>117.5</v>
      </c>
      <c r="E6" s="106">
        <v>36</v>
      </c>
      <c r="F6" s="25">
        <v>86.1</v>
      </c>
      <c r="G6" s="27">
        <v>26</v>
      </c>
      <c r="H6" s="28">
        <v>172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64</v>
      </c>
      <c r="T6" s="8">
        <v>117</v>
      </c>
      <c r="U6" s="13"/>
      <c r="W6" s="25">
        <f>D6</f>
        <v>117.5</v>
      </c>
      <c r="X6" s="106">
        <f>E6</f>
        <v>36</v>
      </c>
      <c r="Y6" s="32">
        <f>H6</f>
        <v>172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꽃뫼양지마을현대</v>
      </c>
      <c r="AI6" s="106">
        <f>IF(E6="","",E6)</f>
        <v>36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X</v>
      </c>
      <c r="AU6" s="113" t="str">
        <f>IF(C6="","",IF(C6&gt;=$AU$1,"O","X"))</f>
        <v>X</v>
      </c>
      <c r="AV6" s="113" t="str">
        <f>IF(AO6="","",IF(AND(AO6="O",AP6="O",AR6="O",AT6="O",AU6="O"),"후보","X"))</f>
        <v/>
      </c>
    </row>
    <row r="7" spans="1:48" x14ac:dyDescent="0.3">
      <c r="A7" s="5" t="s">
        <v>1275</v>
      </c>
      <c r="B7" s="16" t="s">
        <v>1276</v>
      </c>
      <c r="C7" s="28">
        <v>260</v>
      </c>
      <c r="D7" s="25">
        <v>149</v>
      </c>
      <c r="E7" s="106">
        <v>45</v>
      </c>
      <c r="F7" s="25">
        <v>116.2</v>
      </c>
      <c r="G7" s="27">
        <v>35</v>
      </c>
      <c r="H7" s="28">
        <v>88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4</v>
      </c>
      <c r="R7" s="15">
        <v>2</v>
      </c>
      <c r="S7" s="113" t="s">
        <v>1277</v>
      </c>
      <c r="T7" s="8">
        <v>149</v>
      </c>
      <c r="U7" s="13"/>
      <c r="W7" s="25">
        <f>D7</f>
        <v>149</v>
      </c>
      <c r="X7" s="106">
        <f>E7</f>
        <v>45</v>
      </c>
      <c r="Y7" s="32">
        <f>H7</f>
        <v>88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4/2</v>
      </c>
      <c r="AH7" s="36" t="str">
        <f>IF(A7="","",A7)</f>
        <v>꽃뫼양지마을현대</v>
      </c>
      <c r="AI7" s="106">
        <f>IF(E7="","",E7)</f>
        <v>45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X</v>
      </c>
      <c r="AU7" s="113" t="str">
        <f>IF(C7="","",IF(C7&gt;=$AU$1,"O","X"))</f>
        <v>X</v>
      </c>
      <c r="AV7" s="113" t="str">
        <f>IF(AO7="","",IF(AND(AO7="O",AP7="O",AR7="O",AT7="O",AU7="O"),"후보","X"))</f>
        <v/>
      </c>
    </row>
    <row r="8" spans="1:48" x14ac:dyDescent="0.3">
      <c r="A8" s="9"/>
      <c r="B8" s="113"/>
      <c r="C8" s="10"/>
      <c r="D8" s="13"/>
      <c r="E8" s="20"/>
      <c r="F8" s="26"/>
      <c r="G8" s="13"/>
      <c r="H8" s="13"/>
      <c r="I8" s="13"/>
      <c r="J8" s="13"/>
      <c r="K8" s="13"/>
      <c r="L8" s="13"/>
      <c r="M8" s="13"/>
      <c r="N8" s="13"/>
      <c r="O8" s="29"/>
      <c r="P8" s="29"/>
      <c r="Q8" s="23"/>
      <c r="R8" s="23"/>
      <c r="S8" s="13"/>
      <c r="T8" s="70"/>
      <c r="U8" s="13"/>
      <c r="W8" s="107" t="str">
        <f>$A$4&amp;" "&amp;A9&amp;"("&amp;B9&amp;","&amp;C9&amp;"^)"</f>
        <v>화서동 블루밍푸른숲('09.06.,1744^)</v>
      </c>
      <c r="X8" s="108"/>
      <c r="Y8" s="108"/>
      <c r="Z8" s="108"/>
      <c r="AA8" s="108"/>
      <c r="AB8" s="108"/>
      <c r="AC8" s="108"/>
      <c r="AD8" s="108"/>
      <c r="AE8" s="108"/>
      <c r="AF8" s="109"/>
      <c r="AH8" s="36" t="str">
        <f>IF(A8="","",A8)</f>
        <v/>
      </c>
      <c r="AI8" s="37" t="str">
        <f>IF(E8="","",E8)</f>
        <v/>
      </c>
      <c r="AJ8" s="113"/>
      <c r="AK8" s="113"/>
      <c r="AL8" s="113"/>
      <c r="AM8" s="113"/>
      <c r="AN8" s="113"/>
      <c r="AO8" s="113"/>
      <c r="AP8" s="113"/>
      <c r="AQ8" s="113"/>
      <c r="AR8" s="113"/>
      <c r="AS8" s="113"/>
      <c r="AT8" s="113"/>
      <c r="AU8" s="113"/>
      <c r="AV8" s="113"/>
    </row>
    <row r="9" spans="1:48" x14ac:dyDescent="0.3">
      <c r="A9" s="5" t="s">
        <v>1278</v>
      </c>
      <c r="B9" s="16" t="s">
        <v>1279</v>
      </c>
      <c r="C9" s="28">
        <v>1744</v>
      </c>
      <c r="D9" s="25">
        <v>85.3</v>
      </c>
      <c r="E9" s="106">
        <v>26</v>
      </c>
      <c r="F9" s="25">
        <v>59.4</v>
      </c>
      <c r="G9" s="27">
        <v>18</v>
      </c>
      <c r="H9" s="28">
        <v>417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1277</v>
      </c>
      <c r="T9" s="8">
        <v>85</v>
      </c>
      <c r="U9" s="13"/>
      <c r="W9" s="25">
        <f>D9</f>
        <v>85.3</v>
      </c>
      <c r="X9" s="106">
        <f>E9</f>
        <v>26</v>
      </c>
      <c r="Y9" s="32">
        <f>H9</f>
        <v>417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블루밍푸른숲</v>
      </c>
      <c r="AI9" s="106">
        <f>IF(E9="","",E9)</f>
        <v>26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1278</v>
      </c>
      <c r="B10" s="16" t="s">
        <v>1279</v>
      </c>
      <c r="C10" s="28">
        <v>1744</v>
      </c>
      <c r="D10" s="25">
        <v>109.6</v>
      </c>
      <c r="E10" s="106">
        <v>33</v>
      </c>
      <c r="F10" s="25">
        <v>84.9</v>
      </c>
      <c r="G10" s="27">
        <v>26</v>
      </c>
      <c r="H10" s="28">
        <v>825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1277</v>
      </c>
      <c r="T10" s="8" t="s">
        <v>924</v>
      </c>
      <c r="U10" s="13"/>
      <c r="W10" s="25">
        <f>D10</f>
        <v>109.6</v>
      </c>
      <c r="X10" s="106">
        <f>E10</f>
        <v>33</v>
      </c>
      <c r="Y10" s="32">
        <f>H10</f>
        <v>825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블루밍푸른숲</v>
      </c>
      <c r="AI10" s="106">
        <f>IF(E10="","",E10)</f>
        <v>33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1278</v>
      </c>
      <c r="B11" s="16" t="s">
        <v>1279</v>
      </c>
      <c r="C11" s="28">
        <v>1744</v>
      </c>
      <c r="D11" s="25">
        <v>111.3</v>
      </c>
      <c r="E11" s="106">
        <v>34</v>
      </c>
      <c r="F11" s="25">
        <v>84.9</v>
      </c>
      <c r="G11" s="27">
        <v>26</v>
      </c>
      <c r="H11" s="28">
        <v>157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1277</v>
      </c>
      <c r="T11" s="8" t="s">
        <v>925</v>
      </c>
      <c r="U11" s="13"/>
      <c r="W11" s="25">
        <f>D11</f>
        <v>111.3</v>
      </c>
      <c r="X11" s="106">
        <f>E11</f>
        <v>34</v>
      </c>
      <c r="Y11" s="32">
        <f>H11</f>
        <v>157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블루밍푸른숲</v>
      </c>
      <c r="AI11" s="106">
        <f>IF(E11="","",E11)</f>
        <v>34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1278</v>
      </c>
      <c r="B12" s="16" t="s">
        <v>1279</v>
      </c>
      <c r="C12" s="28">
        <v>1744</v>
      </c>
      <c r="D12" s="25">
        <v>112.2</v>
      </c>
      <c r="E12" s="106">
        <v>34</v>
      </c>
      <c r="F12" s="25">
        <v>84.1</v>
      </c>
      <c r="G12" s="27">
        <v>25</v>
      </c>
      <c r="H12" s="28">
        <v>140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3" t="s">
        <v>1277</v>
      </c>
      <c r="T12" s="8" t="s">
        <v>452</v>
      </c>
      <c r="U12" s="13"/>
      <c r="W12" s="25">
        <f>D12</f>
        <v>112.2</v>
      </c>
      <c r="X12" s="106">
        <f>E12</f>
        <v>34</v>
      </c>
      <c r="Y12" s="32">
        <f>H12</f>
        <v>140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3/2</v>
      </c>
      <c r="AH12" s="36" t="str">
        <f>IF(A12="","",A12)</f>
        <v>블루밍푸른숲</v>
      </c>
      <c r="AI12" s="106">
        <f>IF(E12="","",E12)</f>
        <v>34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1278</v>
      </c>
      <c r="B13" s="16" t="s">
        <v>1279</v>
      </c>
      <c r="C13" s="28">
        <v>1744</v>
      </c>
      <c r="D13" s="25">
        <v>127.5</v>
      </c>
      <c r="E13" s="106">
        <v>39</v>
      </c>
      <c r="F13" s="25">
        <v>101.7</v>
      </c>
      <c r="G13" s="27">
        <v>31</v>
      </c>
      <c r="H13" s="28">
        <v>57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1277</v>
      </c>
      <c r="T13" s="8">
        <v>127</v>
      </c>
      <c r="U13" s="13"/>
      <c r="W13" s="25">
        <f>D13</f>
        <v>127.5</v>
      </c>
      <c r="X13" s="106">
        <f>E13</f>
        <v>39</v>
      </c>
      <c r="Y13" s="32">
        <f>H13</f>
        <v>57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블루밍푸른숲</v>
      </c>
      <c r="AI13" s="106">
        <f>IF(E13="","",E13)</f>
        <v>39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X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1278</v>
      </c>
      <c r="B14" s="16" t="s">
        <v>1279</v>
      </c>
      <c r="C14" s="28">
        <v>1744</v>
      </c>
      <c r="D14" s="25">
        <v>150.6</v>
      </c>
      <c r="E14" s="106">
        <v>46</v>
      </c>
      <c r="F14" s="25">
        <v>122.1</v>
      </c>
      <c r="G14" s="27">
        <v>37</v>
      </c>
      <c r="H14" s="28">
        <v>148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4</v>
      </c>
      <c r="R14" s="15">
        <v>2</v>
      </c>
      <c r="S14" s="113" t="s">
        <v>1277</v>
      </c>
      <c r="T14" s="8">
        <v>150</v>
      </c>
      <c r="U14" s="13"/>
      <c r="W14" s="25">
        <f>D14</f>
        <v>150.6</v>
      </c>
      <c r="X14" s="106">
        <f>E14</f>
        <v>46</v>
      </c>
      <c r="Y14" s="32">
        <f>H14</f>
        <v>148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4/2</v>
      </c>
      <c r="AH14" s="36" t="str">
        <f>IF(A14="","",A14)</f>
        <v>블루밍푸른숲</v>
      </c>
      <c r="AI14" s="106">
        <f>IF(E14="","",E14)</f>
        <v>46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X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9"/>
      <c r="B15" s="113"/>
      <c r="C15" s="10"/>
      <c r="D15" s="13"/>
      <c r="E15" s="20"/>
      <c r="F15" s="26"/>
      <c r="G15" s="13"/>
      <c r="H15" s="13"/>
      <c r="I15" s="13"/>
      <c r="J15" s="13"/>
      <c r="K15" s="13"/>
      <c r="L15" s="13"/>
      <c r="M15" s="13"/>
      <c r="N15" s="13"/>
      <c r="O15" s="29"/>
      <c r="P15" s="29"/>
      <c r="Q15" s="23"/>
      <c r="R15" s="23"/>
      <c r="S15" s="13"/>
      <c r="T15" s="70"/>
      <c r="U15" s="13"/>
      <c r="W15" s="107" t="str">
        <f>$A$4&amp;" "&amp;A16&amp;"("&amp;B16&amp;","&amp;C16&amp;"^)"</f>
        <v>화서동 화서주공5단지('97.05.,386^)</v>
      </c>
      <c r="X15" s="108"/>
      <c r="Y15" s="108"/>
      <c r="Z15" s="108"/>
      <c r="AA15" s="108"/>
      <c r="AB15" s="108"/>
      <c r="AC15" s="108"/>
      <c r="AD15" s="108"/>
      <c r="AE15" s="108"/>
      <c r="AF15" s="109"/>
      <c r="AH15" s="36" t="str">
        <f>IF(A15="","",A15)</f>
        <v/>
      </c>
      <c r="AI15" s="37" t="str">
        <f>IF(E15="","",E15)</f>
        <v/>
      </c>
      <c r="AJ15" s="113"/>
      <c r="AK15" s="113"/>
      <c r="AL15" s="113"/>
      <c r="AM15" s="113"/>
      <c r="AN15" s="113"/>
      <c r="AO15" s="113"/>
      <c r="AP15" s="113"/>
      <c r="AQ15" s="113"/>
      <c r="AR15" s="113"/>
      <c r="AS15" s="113"/>
      <c r="AT15" s="113"/>
      <c r="AU15" s="113"/>
      <c r="AV15" s="113"/>
    </row>
    <row r="16" spans="1:48" x14ac:dyDescent="0.3">
      <c r="A16" s="5" t="s">
        <v>1280</v>
      </c>
      <c r="B16" s="16" t="s">
        <v>1281</v>
      </c>
      <c r="C16" s="28">
        <v>386</v>
      </c>
      <c r="D16" s="25">
        <v>58.9</v>
      </c>
      <c r="E16" s="106">
        <v>18</v>
      </c>
      <c r="F16" s="25">
        <v>40</v>
      </c>
      <c r="G16" s="27">
        <v>12</v>
      </c>
      <c r="H16" s="28">
        <v>89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2</v>
      </c>
      <c r="R16" s="15">
        <v>1</v>
      </c>
      <c r="S16" s="113" t="s">
        <v>1282</v>
      </c>
      <c r="T16" s="8">
        <v>58</v>
      </c>
      <c r="U16" s="13"/>
      <c r="W16" s="25">
        <f>D16</f>
        <v>58.9</v>
      </c>
      <c r="X16" s="106">
        <f>E16</f>
        <v>18</v>
      </c>
      <c r="Y16" s="32">
        <f>H16</f>
        <v>89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복</v>
      </c>
      <c r="AF16" s="15" t="str">
        <f>Q16&amp;"/"&amp;R16</f>
        <v>2/1</v>
      </c>
      <c r="AH16" s="36" t="str">
        <f>IF(A16="","",A16)</f>
        <v>화서주공5단지</v>
      </c>
      <c r="AI16" s="106">
        <f>IF(E16="","",E16)</f>
        <v>18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1280</v>
      </c>
      <c r="B17" s="16" t="s">
        <v>1281</v>
      </c>
      <c r="C17" s="28">
        <v>386</v>
      </c>
      <c r="D17" s="25">
        <v>73.7</v>
      </c>
      <c r="E17" s="106">
        <v>22</v>
      </c>
      <c r="F17" s="25">
        <v>50</v>
      </c>
      <c r="G17" s="27">
        <v>15</v>
      </c>
      <c r="H17" s="28">
        <v>297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2</v>
      </c>
      <c r="R17" s="15">
        <v>1</v>
      </c>
      <c r="S17" s="113" t="s">
        <v>1277</v>
      </c>
      <c r="T17" s="8">
        <v>73</v>
      </c>
      <c r="U17" s="13"/>
      <c r="W17" s="25">
        <f>D17</f>
        <v>73.7</v>
      </c>
      <c r="X17" s="106">
        <f>E17</f>
        <v>22</v>
      </c>
      <c r="Y17" s="32">
        <f>H17</f>
        <v>297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2/1</v>
      </c>
      <c r="AH17" s="36" t="str">
        <f>IF(A17="","",A17)</f>
        <v>화서주공5단지</v>
      </c>
      <c r="AI17" s="106">
        <f>IF(E17="","",E17)</f>
        <v>22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9"/>
      <c r="B18" s="113"/>
      <c r="C18" s="10"/>
      <c r="D18" s="13"/>
      <c r="E18" s="20"/>
      <c r="F18" s="26"/>
      <c r="G18" s="13"/>
      <c r="H18" s="13"/>
      <c r="I18" s="13"/>
      <c r="J18" s="13"/>
      <c r="K18" s="13"/>
      <c r="L18" s="13"/>
      <c r="M18" s="13"/>
      <c r="N18" s="13"/>
      <c r="O18" s="29"/>
      <c r="P18" s="29"/>
      <c r="Q18" s="23"/>
      <c r="R18" s="23"/>
      <c r="S18" s="13"/>
      <c r="T18" s="70"/>
      <c r="U18" s="13"/>
      <c r="W18" s="107" t="str">
        <f>$A$4&amp;" "&amp;A19&amp;"("&amp;B19&amp;","&amp;C19&amp;"^)"</f>
        <v>화서동 꽃뫼버들마을진흥('02.01.,824^)</v>
      </c>
      <c r="X18" s="108"/>
      <c r="Y18" s="108"/>
      <c r="Z18" s="108"/>
      <c r="AA18" s="108"/>
      <c r="AB18" s="108"/>
      <c r="AC18" s="108"/>
      <c r="AD18" s="108"/>
      <c r="AE18" s="108"/>
      <c r="AF18" s="109"/>
      <c r="AH18" s="36" t="str">
        <f>IF(A18="","",A18)</f>
        <v/>
      </c>
      <c r="AI18" s="37" t="str">
        <f>IF(E18="","",E18)</f>
        <v/>
      </c>
      <c r="AJ18" s="113"/>
      <c r="AK18" s="113"/>
      <c r="AL18" s="113"/>
      <c r="AM18" s="113"/>
      <c r="AN18" s="113"/>
      <c r="AO18" s="113"/>
      <c r="AP18" s="113"/>
      <c r="AQ18" s="113"/>
      <c r="AR18" s="113"/>
      <c r="AS18" s="113"/>
      <c r="AT18" s="113"/>
      <c r="AU18" s="113"/>
      <c r="AV18" s="113"/>
    </row>
    <row r="19" spans="1:48" x14ac:dyDescent="0.3">
      <c r="A19" s="5" t="s">
        <v>1283</v>
      </c>
      <c r="B19" s="16" t="s">
        <v>1284</v>
      </c>
      <c r="C19" s="28">
        <v>824</v>
      </c>
      <c r="D19" s="25">
        <v>87</v>
      </c>
      <c r="E19" s="106">
        <v>26</v>
      </c>
      <c r="F19" s="25">
        <v>60</v>
      </c>
      <c r="G19" s="27">
        <v>18</v>
      </c>
      <c r="H19" s="28">
        <v>824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1277</v>
      </c>
      <c r="T19" s="8">
        <v>87</v>
      </c>
      <c r="U19" s="13"/>
      <c r="W19" s="25">
        <f>D19</f>
        <v>87</v>
      </c>
      <c r="X19" s="106">
        <f>E19</f>
        <v>26</v>
      </c>
      <c r="Y19" s="32">
        <f>H19</f>
        <v>824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꽃뫼버들마을진흥</v>
      </c>
      <c r="AI19" s="106">
        <f>IF(E19="","",E19)</f>
        <v>26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9"/>
      <c r="B20" s="113"/>
      <c r="C20" s="10"/>
      <c r="D20" s="13"/>
      <c r="E20" s="20"/>
      <c r="F20" s="26"/>
      <c r="G20" s="13"/>
      <c r="H20" s="13"/>
      <c r="I20" s="13"/>
      <c r="J20" s="13"/>
      <c r="K20" s="13"/>
      <c r="L20" s="13"/>
      <c r="M20" s="13"/>
      <c r="N20" s="13"/>
      <c r="O20" s="29"/>
      <c r="P20" s="29"/>
      <c r="Q20" s="23"/>
      <c r="R20" s="23"/>
      <c r="S20" s="13"/>
      <c r="T20" s="70"/>
      <c r="U20" s="13"/>
      <c r="W20" s="107" t="str">
        <f>$A$4&amp;" "&amp;A21&amp;"("&amp;B21&amp;","&amp;C21&amp;"^)"</f>
        <v>화서동 꽃뫼버들마을코오롱('02.03.,538^)</v>
      </c>
      <c r="X20" s="108"/>
      <c r="Y20" s="108"/>
      <c r="Z20" s="108"/>
      <c r="AA20" s="108"/>
      <c r="AB20" s="108"/>
      <c r="AC20" s="108"/>
      <c r="AD20" s="108"/>
      <c r="AE20" s="108"/>
      <c r="AF20" s="109"/>
      <c r="AH20" s="36" t="str">
        <f>IF(A20="","",A20)</f>
        <v/>
      </c>
      <c r="AI20" s="37" t="str">
        <f>IF(E20="","",E20)</f>
        <v/>
      </c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</row>
    <row r="21" spans="1:48" x14ac:dyDescent="0.3">
      <c r="A21" s="5" t="s">
        <v>1285</v>
      </c>
      <c r="B21" s="16" t="s">
        <v>1286</v>
      </c>
      <c r="C21" s="28">
        <v>538</v>
      </c>
      <c r="D21" s="25">
        <v>116</v>
      </c>
      <c r="E21" s="106">
        <v>35</v>
      </c>
      <c r="F21" s="25">
        <v>84.7</v>
      </c>
      <c r="G21" s="27">
        <v>26</v>
      </c>
      <c r="H21" s="28">
        <v>538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1277</v>
      </c>
      <c r="T21" s="8">
        <v>115</v>
      </c>
      <c r="U21" s="13"/>
      <c r="W21" s="25">
        <f>D21</f>
        <v>116</v>
      </c>
      <c r="X21" s="106">
        <f>E21</f>
        <v>35</v>
      </c>
      <c r="Y21" s="32">
        <f>H21</f>
        <v>538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꽃뫼버들마을코오롱</v>
      </c>
      <c r="AI21" s="106">
        <f>IF(E21="","",E21)</f>
        <v>35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9"/>
      <c r="B22" s="113"/>
      <c r="C22" s="10"/>
      <c r="D22" s="13"/>
      <c r="E22" s="20"/>
      <c r="F22" s="26"/>
      <c r="G22" s="13"/>
      <c r="H22" s="13"/>
      <c r="I22" s="13"/>
      <c r="J22" s="13"/>
      <c r="K22" s="13"/>
      <c r="L22" s="13"/>
      <c r="M22" s="13"/>
      <c r="N22" s="13"/>
      <c r="O22" s="29"/>
      <c r="P22" s="29"/>
      <c r="Q22" s="23"/>
      <c r="R22" s="23"/>
      <c r="S22" s="13"/>
      <c r="T22" s="70"/>
      <c r="U22" s="13"/>
      <c r="W22" s="107" t="str">
        <f>$A$4&amp;" "&amp;A23&amp;"("&amp;B23&amp;","&amp;C23&amp;"^)"</f>
        <v>화서동 화서성원상떼빌('01.12.,508^)</v>
      </c>
      <c r="X22" s="108"/>
      <c r="Y22" s="108"/>
      <c r="Z22" s="108"/>
      <c r="AA22" s="108"/>
      <c r="AB22" s="108"/>
      <c r="AC22" s="108"/>
      <c r="AD22" s="108"/>
      <c r="AE22" s="108"/>
      <c r="AF22" s="109"/>
      <c r="AH22" s="36" t="str">
        <f>IF(A22="","",A22)</f>
        <v/>
      </c>
      <c r="AI22" s="37" t="str">
        <f>IF(E22="","",E22)</f>
        <v/>
      </c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13"/>
    </row>
    <row r="23" spans="1:48" x14ac:dyDescent="0.3">
      <c r="A23" s="5" t="s">
        <v>1287</v>
      </c>
      <c r="B23" s="16" t="s">
        <v>1288</v>
      </c>
      <c r="C23" s="28">
        <v>508</v>
      </c>
      <c r="D23" s="25">
        <v>84.8</v>
      </c>
      <c r="E23" s="106">
        <v>26</v>
      </c>
      <c r="F23" s="25">
        <v>59.6</v>
      </c>
      <c r="G23" s="27">
        <v>18</v>
      </c>
      <c r="H23" s="28">
        <v>198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1</v>
      </c>
      <c r="S23" s="113" t="s">
        <v>1282</v>
      </c>
      <c r="T23" s="8" t="s">
        <v>552</v>
      </c>
      <c r="U23" s="13"/>
      <c r="W23" s="25">
        <f>D23</f>
        <v>84.8</v>
      </c>
      <c r="X23" s="106">
        <f>E23</f>
        <v>26</v>
      </c>
      <c r="Y23" s="32">
        <f>H23</f>
        <v>198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복</v>
      </c>
      <c r="AF23" s="15" t="str">
        <f>Q23&amp;"/"&amp;R23</f>
        <v>3/1</v>
      </c>
      <c r="AH23" s="36" t="str">
        <f>IF(A23="","",A23)</f>
        <v>화서성원상떼빌</v>
      </c>
      <c r="AI23" s="106">
        <f>IF(E23="","",E23)</f>
        <v>26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1287</v>
      </c>
      <c r="B24" s="16" t="s">
        <v>1288</v>
      </c>
      <c r="C24" s="28">
        <v>508</v>
      </c>
      <c r="D24" s="25">
        <v>84.4</v>
      </c>
      <c r="E24" s="106">
        <v>26</v>
      </c>
      <c r="F24" s="25">
        <v>59.3</v>
      </c>
      <c r="G24" s="27">
        <v>18</v>
      </c>
      <c r="H24" s="28">
        <v>13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1</v>
      </c>
      <c r="S24" s="113" t="s">
        <v>1282</v>
      </c>
      <c r="T24" s="8" t="s">
        <v>610</v>
      </c>
      <c r="U24" s="13"/>
      <c r="W24" s="25">
        <f>D24</f>
        <v>84.4</v>
      </c>
      <c r="X24" s="106">
        <f>E24</f>
        <v>26</v>
      </c>
      <c r="Y24" s="32">
        <f>H24</f>
        <v>13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복</v>
      </c>
      <c r="AF24" s="15" t="str">
        <f>Q24&amp;"/"&amp;R24</f>
        <v>3/1</v>
      </c>
      <c r="AH24" s="36" t="str">
        <f>IF(A24="","",A24)</f>
        <v>화서성원상떼빌</v>
      </c>
      <c r="AI24" s="106">
        <f>IF(E24="","",E24)</f>
        <v>26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1287</v>
      </c>
      <c r="B25" s="16" t="s">
        <v>1288</v>
      </c>
      <c r="C25" s="28">
        <v>508</v>
      </c>
      <c r="D25" s="25">
        <v>85.6</v>
      </c>
      <c r="E25" s="106">
        <v>26</v>
      </c>
      <c r="F25" s="25">
        <v>66.3</v>
      </c>
      <c r="G25" s="27">
        <v>20</v>
      </c>
      <c r="H25" s="28">
        <v>48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1</v>
      </c>
      <c r="S25" s="113" t="s">
        <v>1277</v>
      </c>
      <c r="T25" s="8" t="s">
        <v>1022</v>
      </c>
      <c r="U25" s="13"/>
      <c r="W25" s="25">
        <f>D25</f>
        <v>85.6</v>
      </c>
      <c r="X25" s="106">
        <f>E25</f>
        <v>26</v>
      </c>
      <c r="Y25" s="32">
        <f>H25</f>
        <v>48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3/1</v>
      </c>
      <c r="AH25" s="36" t="str">
        <f>IF(A25="","",A25)</f>
        <v>화서성원상떼빌</v>
      </c>
      <c r="AI25" s="106">
        <f>IF(E25="","",E25)</f>
        <v>26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1287</v>
      </c>
      <c r="B26" s="16" t="s">
        <v>1288</v>
      </c>
      <c r="C26" s="28">
        <v>508</v>
      </c>
      <c r="D26" s="25">
        <v>92.3</v>
      </c>
      <c r="E26" s="106">
        <v>28</v>
      </c>
      <c r="F26" s="25">
        <v>71.5</v>
      </c>
      <c r="G26" s="27">
        <v>22</v>
      </c>
      <c r="H26" s="28">
        <v>32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1277</v>
      </c>
      <c r="T26" s="8">
        <v>92</v>
      </c>
      <c r="U26" s="13"/>
      <c r="W26" s="25">
        <f>D26</f>
        <v>92.3</v>
      </c>
      <c r="X26" s="106">
        <f>E26</f>
        <v>28</v>
      </c>
      <c r="Y26" s="32">
        <f>H26</f>
        <v>32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화서성원상떼빌</v>
      </c>
      <c r="AI26" s="106">
        <f>IF(E26="","",E26)</f>
        <v>28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1287</v>
      </c>
      <c r="B27" s="16" t="s">
        <v>1288</v>
      </c>
      <c r="C27" s="28">
        <v>508</v>
      </c>
      <c r="D27" s="25">
        <v>109.2</v>
      </c>
      <c r="E27" s="106">
        <v>33</v>
      </c>
      <c r="F27" s="25">
        <v>84.5</v>
      </c>
      <c r="G27" s="27">
        <v>26</v>
      </c>
      <c r="H27" s="28">
        <v>217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1277</v>
      </c>
      <c r="T27" s="8">
        <v>109</v>
      </c>
      <c r="U27" s="13"/>
      <c r="W27" s="25">
        <f>D27</f>
        <v>109.2</v>
      </c>
      <c r="X27" s="106">
        <f>E27</f>
        <v>33</v>
      </c>
      <c r="Y27" s="32">
        <f>H27</f>
        <v>217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화서성원상떼빌</v>
      </c>
      <c r="AI27" s="106">
        <f>IF(E27="","",E27)</f>
        <v>33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9"/>
      <c r="B28" s="113"/>
      <c r="C28" s="10"/>
      <c r="D28" s="13"/>
      <c r="E28" s="20"/>
      <c r="F28" s="26"/>
      <c r="G28" s="13"/>
      <c r="H28" s="13"/>
      <c r="I28" s="13"/>
      <c r="J28" s="13"/>
      <c r="K28" s="13"/>
      <c r="L28" s="13"/>
      <c r="M28" s="13"/>
      <c r="N28" s="13"/>
      <c r="O28" s="29"/>
      <c r="P28" s="29"/>
      <c r="Q28" s="23"/>
      <c r="R28" s="23"/>
      <c r="S28" s="13"/>
      <c r="T28" s="70"/>
      <c r="U28" s="13"/>
      <c r="W28" s="107" t="str">
        <f>$A$4&amp;" "&amp;A29&amp;"("&amp;B29&amp;","&amp;C29&amp;"^)"</f>
        <v>화서동 꽃뫼버들마을LG('01.05.,665^)</v>
      </c>
      <c r="X28" s="108"/>
      <c r="Y28" s="108"/>
      <c r="Z28" s="108"/>
      <c r="AA28" s="108"/>
      <c r="AB28" s="108"/>
      <c r="AC28" s="108"/>
      <c r="AD28" s="108"/>
      <c r="AE28" s="108"/>
      <c r="AF28" s="109"/>
      <c r="AH28" s="36" t="str">
        <f>IF(A28="","",A28)</f>
        <v/>
      </c>
      <c r="AI28" s="37" t="str">
        <f>IF(E28="","",E28)</f>
        <v/>
      </c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13"/>
    </row>
    <row r="29" spans="1:48" x14ac:dyDescent="0.3">
      <c r="A29" s="5" t="s">
        <v>1289</v>
      </c>
      <c r="B29" s="16" t="s">
        <v>1290</v>
      </c>
      <c r="C29" s="28">
        <v>665</v>
      </c>
      <c r="D29" s="25">
        <v>116.7</v>
      </c>
      <c r="E29" s="106">
        <v>35</v>
      </c>
      <c r="F29" s="25">
        <v>84.9</v>
      </c>
      <c r="G29" s="27">
        <v>26</v>
      </c>
      <c r="H29" s="28">
        <v>665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2</v>
      </c>
      <c r="S29" s="113" t="s">
        <v>1277</v>
      </c>
      <c r="T29" s="8">
        <v>116</v>
      </c>
      <c r="U29" s="13"/>
      <c r="W29" s="25">
        <f>D29</f>
        <v>116.7</v>
      </c>
      <c r="X29" s="106">
        <f>E29</f>
        <v>35</v>
      </c>
      <c r="Y29" s="32">
        <f>H29</f>
        <v>665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3/2</v>
      </c>
      <c r="AH29" s="36" t="str">
        <f>IF(A29="","",A29)</f>
        <v>꽃뫼버들마을LG</v>
      </c>
      <c r="AI29" s="106">
        <f>IF(E29="","",E29)</f>
        <v>35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9"/>
      <c r="B30" s="113"/>
      <c r="C30" s="10"/>
      <c r="D30" s="13"/>
      <c r="E30" s="20"/>
      <c r="F30" s="26"/>
      <c r="G30" s="13"/>
      <c r="H30" s="13"/>
      <c r="I30" s="13"/>
      <c r="J30" s="13"/>
      <c r="K30" s="13"/>
      <c r="L30" s="13"/>
      <c r="M30" s="13"/>
      <c r="N30" s="13"/>
      <c r="O30" s="29"/>
      <c r="P30" s="29"/>
      <c r="Q30" s="23"/>
      <c r="R30" s="23"/>
      <c r="S30" s="13"/>
      <c r="T30" s="70"/>
      <c r="U30" s="13"/>
      <c r="W30" s="107" t="str">
        <f>$A$4&amp;" "&amp;A31&amp;"("&amp;B31&amp;","&amp;C31&amp;"^)"</f>
        <v>화서동 꽃뫼버들마을신동아('99.10.,332^)</v>
      </c>
      <c r="X30" s="108"/>
      <c r="Y30" s="108"/>
      <c r="Z30" s="108"/>
      <c r="AA30" s="108"/>
      <c r="AB30" s="108"/>
      <c r="AC30" s="108"/>
      <c r="AD30" s="108"/>
      <c r="AE30" s="108"/>
      <c r="AF30" s="109"/>
      <c r="AH30" s="36" t="str">
        <f>IF(A30="","",A30)</f>
        <v/>
      </c>
      <c r="AI30" s="37" t="str">
        <f>IF(E30="","",E30)</f>
        <v/>
      </c>
      <c r="AJ30" s="113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  <c r="AU30" s="113"/>
      <c r="AV30" s="113"/>
    </row>
    <row r="31" spans="1:48" x14ac:dyDescent="0.3">
      <c r="A31" s="5" t="s">
        <v>1291</v>
      </c>
      <c r="B31" s="16" t="s">
        <v>1292</v>
      </c>
      <c r="C31" s="28">
        <v>332</v>
      </c>
      <c r="D31" s="25">
        <v>81.3</v>
      </c>
      <c r="E31" s="106">
        <v>25</v>
      </c>
      <c r="F31" s="25">
        <v>59.8</v>
      </c>
      <c r="G31" s="27">
        <v>18</v>
      </c>
      <c r="H31" s="28">
        <v>332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1</v>
      </c>
      <c r="S31" s="113" t="s">
        <v>1277</v>
      </c>
      <c r="T31" s="8">
        <v>81</v>
      </c>
      <c r="U31" s="13"/>
      <c r="W31" s="25">
        <f>D31</f>
        <v>81.3</v>
      </c>
      <c r="X31" s="106">
        <f>E31</f>
        <v>25</v>
      </c>
      <c r="Y31" s="32">
        <f>H31</f>
        <v>332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3/1</v>
      </c>
      <c r="AH31" s="36" t="str">
        <f>IF(A31="","",A31)</f>
        <v>꽃뫼버들마을신동아</v>
      </c>
      <c r="AI31" s="106">
        <f>IF(E31="","",E31)</f>
        <v>25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9"/>
      <c r="B32" s="113"/>
      <c r="C32" s="10"/>
      <c r="D32" s="13"/>
      <c r="E32" s="20"/>
      <c r="F32" s="26"/>
      <c r="G32" s="13"/>
      <c r="H32" s="13"/>
      <c r="I32" s="13"/>
      <c r="J32" s="13"/>
      <c r="K32" s="13"/>
      <c r="L32" s="13"/>
      <c r="M32" s="13"/>
      <c r="N32" s="13"/>
      <c r="O32" s="29"/>
      <c r="P32" s="29"/>
      <c r="Q32" s="23"/>
      <c r="R32" s="23"/>
      <c r="S32" s="13"/>
      <c r="T32" s="70"/>
      <c r="U32" s="13"/>
      <c r="W32" s="107" t="str">
        <f>$A$4&amp;" "&amp;A33&amp;"("&amp;B33&amp;","&amp;C33&amp;"^)"</f>
        <v>화서동 영광('93.04.,459^)</v>
      </c>
      <c r="X32" s="108"/>
      <c r="Y32" s="108"/>
      <c r="Z32" s="108"/>
      <c r="AA32" s="108"/>
      <c r="AB32" s="108"/>
      <c r="AC32" s="108"/>
      <c r="AD32" s="108"/>
      <c r="AE32" s="108"/>
      <c r="AF32" s="109"/>
      <c r="AH32" s="36" t="str">
        <f>IF(A32="","",A32)</f>
        <v/>
      </c>
      <c r="AI32" s="37" t="str">
        <f>IF(E32="","",E32)</f>
        <v/>
      </c>
      <c r="AJ32" s="113"/>
      <c r="AK32" s="113"/>
      <c r="AL32" s="113"/>
      <c r="AM32" s="113"/>
      <c r="AN32" s="113"/>
      <c r="AO32" s="113"/>
      <c r="AP32" s="113"/>
      <c r="AQ32" s="113"/>
      <c r="AR32" s="113"/>
      <c r="AS32" s="113"/>
      <c r="AT32" s="113"/>
      <c r="AU32" s="113"/>
      <c r="AV32" s="113"/>
    </row>
    <row r="33" spans="1:48" x14ac:dyDescent="0.3">
      <c r="A33" s="5" t="s">
        <v>1293</v>
      </c>
      <c r="B33" s="16" t="s">
        <v>1294</v>
      </c>
      <c r="C33" s="28">
        <v>459</v>
      </c>
      <c r="D33" s="25">
        <v>93</v>
      </c>
      <c r="E33" s="106">
        <v>28</v>
      </c>
      <c r="F33" s="25">
        <v>74.599999999999994</v>
      </c>
      <c r="G33" s="27">
        <v>23</v>
      </c>
      <c r="H33" s="28">
        <v>57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1</v>
      </c>
      <c r="S33" s="113" t="s">
        <v>1282</v>
      </c>
      <c r="T33" s="8">
        <v>92</v>
      </c>
      <c r="U33" s="13"/>
      <c r="W33" s="25">
        <f>D33</f>
        <v>93</v>
      </c>
      <c r="X33" s="106">
        <f>E33</f>
        <v>28</v>
      </c>
      <c r="Y33" s="32">
        <f>H33</f>
        <v>57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복</v>
      </c>
      <c r="AF33" s="15" t="str">
        <f>Q33&amp;"/"&amp;R33</f>
        <v>3/1</v>
      </c>
      <c r="AH33" s="36" t="str">
        <f>IF(A33="","",A33)</f>
        <v>영광</v>
      </c>
      <c r="AI33" s="106">
        <f>IF(E33="","",E33)</f>
        <v>28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1295</v>
      </c>
      <c r="B34" s="16" t="s">
        <v>1296</v>
      </c>
      <c r="C34" s="28">
        <v>459</v>
      </c>
      <c r="D34" s="25">
        <v>102.9</v>
      </c>
      <c r="E34" s="106">
        <v>31</v>
      </c>
      <c r="F34" s="25">
        <v>82.5</v>
      </c>
      <c r="G34" s="27">
        <v>25</v>
      </c>
      <c r="H34" s="28">
        <v>31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1297</v>
      </c>
      <c r="T34" s="8" t="s">
        <v>373</v>
      </c>
      <c r="U34" s="13"/>
      <c r="W34" s="25">
        <f>D34</f>
        <v>102.9</v>
      </c>
      <c r="X34" s="106">
        <f>E34</f>
        <v>31</v>
      </c>
      <c r="Y34" s="32">
        <f>H34</f>
        <v>31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복</v>
      </c>
      <c r="AF34" s="15" t="str">
        <f>Q34&amp;"/"&amp;R34</f>
        <v>3/2</v>
      </c>
      <c r="AH34" s="36" t="str">
        <f>IF(A34="","",A34)</f>
        <v>영광</v>
      </c>
      <c r="AI34" s="106">
        <f>IF(E34="","",E34)</f>
        <v>31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1295</v>
      </c>
      <c r="B35" s="16" t="s">
        <v>1296</v>
      </c>
      <c r="C35" s="28">
        <v>459</v>
      </c>
      <c r="D35" s="25">
        <v>104</v>
      </c>
      <c r="E35" s="106">
        <v>31</v>
      </c>
      <c r="F35" s="25">
        <v>83.4</v>
      </c>
      <c r="G35" s="27">
        <v>25</v>
      </c>
      <c r="H35" s="28">
        <v>371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2</v>
      </c>
      <c r="S35" s="113" t="s">
        <v>1297</v>
      </c>
      <c r="T35" s="8" t="s">
        <v>424</v>
      </c>
      <c r="U35" s="13"/>
      <c r="W35" s="25">
        <f>D35</f>
        <v>104</v>
      </c>
      <c r="X35" s="106">
        <f>E35</f>
        <v>31</v>
      </c>
      <c r="Y35" s="32">
        <f>H35</f>
        <v>371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복</v>
      </c>
      <c r="AF35" s="15" t="str">
        <f>Q35&amp;"/"&amp;R35</f>
        <v>3/2</v>
      </c>
      <c r="AH35" s="36" t="str">
        <f>IF(A35="","",A35)</f>
        <v>영광</v>
      </c>
      <c r="AI35" s="106">
        <f>IF(E35="","",E35)</f>
        <v>31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O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9"/>
      <c r="B36" s="113"/>
      <c r="C36" s="10"/>
      <c r="D36" s="13"/>
      <c r="E36" s="20"/>
      <c r="F36" s="26"/>
      <c r="G36" s="13"/>
      <c r="H36" s="13"/>
      <c r="I36" s="13"/>
      <c r="J36" s="13"/>
      <c r="K36" s="13"/>
      <c r="L36" s="13"/>
      <c r="M36" s="13"/>
      <c r="N36" s="13"/>
      <c r="O36" s="29"/>
      <c r="P36" s="29"/>
      <c r="Q36" s="23"/>
      <c r="R36" s="23"/>
      <c r="S36" s="13"/>
      <c r="T36" s="70"/>
      <c r="U36" s="13"/>
      <c r="W36" s="107" t="str">
        <f>$A$4&amp;" "&amp;A37&amp;"("&amp;B37&amp;","&amp;C37&amp;"^)"</f>
        <v>화서동 화서위브하늘채('09.05.,807^)</v>
      </c>
      <c r="X36" s="108"/>
      <c r="Y36" s="108"/>
      <c r="Z36" s="108"/>
      <c r="AA36" s="108"/>
      <c r="AB36" s="108"/>
      <c r="AC36" s="108"/>
      <c r="AD36" s="108"/>
      <c r="AE36" s="108"/>
      <c r="AF36" s="109"/>
      <c r="AH36" s="36" t="str">
        <f>IF(A36="","",A36)</f>
        <v/>
      </c>
      <c r="AI36" s="37" t="str">
        <f>IF(E36="","",E36)</f>
        <v/>
      </c>
      <c r="AJ36" s="113"/>
      <c r="AK36" s="113"/>
      <c r="AL36" s="113"/>
      <c r="AM36" s="113"/>
      <c r="AN36" s="113"/>
      <c r="AO36" s="113"/>
      <c r="AP36" s="113"/>
      <c r="AQ36" s="113"/>
      <c r="AR36" s="113"/>
      <c r="AS36" s="113"/>
      <c r="AT36" s="113"/>
      <c r="AU36" s="113"/>
      <c r="AV36" s="113"/>
    </row>
    <row r="37" spans="1:48" x14ac:dyDescent="0.3">
      <c r="A37" s="5" t="s">
        <v>1298</v>
      </c>
      <c r="B37" s="16" t="s">
        <v>1299</v>
      </c>
      <c r="C37" s="28">
        <v>807</v>
      </c>
      <c r="D37" s="25">
        <v>84.6</v>
      </c>
      <c r="E37" s="106">
        <v>26</v>
      </c>
      <c r="F37" s="25">
        <v>59.9</v>
      </c>
      <c r="G37" s="27">
        <v>18</v>
      </c>
      <c r="H37" s="28">
        <v>166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2</v>
      </c>
      <c r="S37" s="113" t="s">
        <v>1300</v>
      </c>
      <c r="T37" s="8">
        <v>84</v>
      </c>
      <c r="U37" s="13"/>
      <c r="W37" s="25">
        <f>D37</f>
        <v>84.6</v>
      </c>
      <c r="X37" s="106">
        <f>E37</f>
        <v>26</v>
      </c>
      <c r="Y37" s="32">
        <f>H37</f>
        <v>166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3/2</v>
      </c>
      <c r="AH37" s="36" t="str">
        <f>IF(A37="","",A37)</f>
        <v>화서위브하늘채</v>
      </c>
      <c r="AI37" s="106">
        <f>IF(E37="","",E37)</f>
        <v>26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O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5" t="s">
        <v>1298</v>
      </c>
      <c r="B38" s="16" t="s">
        <v>1299</v>
      </c>
      <c r="C38" s="28">
        <v>807</v>
      </c>
      <c r="D38" s="25">
        <v>114.4</v>
      </c>
      <c r="E38" s="106">
        <v>35</v>
      </c>
      <c r="F38" s="25">
        <v>85</v>
      </c>
      <c r="G38" s="27">
        <v>26</v>
      </c>
      <c r="H38" s="28">
        <v>250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3" t="s">
        <v>1300</v>
      </c>
      <c r="T38" s="8" t="s">
        <v>112</v>
      </c>
      <c r="U38" s="13"/>
      <c r="W38" s="25">
        <f>D38</f>
        <v>114.4</v>
      </c>
      <c r="X38" s="106">
        <f>E38</f>
        <v>35</v>
      </c>
      <c r="Y38" s="32">
        <f>H38</f>
        <v>250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3/2</v>
      </c>
      <c r="AH38" s="36" t="str">
        <f>IF(A38="","",A38)</f>
        <v>화서위브하늘채</v>
      </c>
      <c r="AI38" s="106">
        <f>IF(E38="","",E38)</f>
        <v>35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1298</v>
      </c>
      <c r="B39" s="16" t="s">
        <v>1299</v>
      </c>
      <c r="C39" s="28">
        <v>807</v>
      </c>
      <c r="D39" s="25">
        <v>115.1</v>
      </c>
      <c r="E39" s="106">
        <v>35</v>
      </c>
      <c r="F39" s="25">
        <v>84.9</v>
      </c>
      <c r="G39" s="27">
        <v>26</v>
      </c>
      <c r="H39" s="28">
        <v>246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3</v>
      </c>
      <c r="R39" s="15">
        <v>2</v>
      </c>
      <c r="S39" s="113" t="s">
        <v>1300</v>
      </c>
      <c r="T39" s="8" t="s">
        <v>173</v>
      </c>
      <c r="U39" s="13"/>
      <c r="W39" s="25">
        <f>D39</f>
        <v>115.1</v>
      </c>
      <c r="X39" s="106">
        <f>E39</f>
        <v>35</v>
      </c>
      <c r="Y39" s="32">
        <f>H39</f>
        <v>246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3/2</v>
      </c>
      <c r="AH39" s="36" t="str">
        <f>IF(A39="","",A39)</f>
        <v>화서위브하늘채</v>
      </c>
      <c r="AI39" s="106">
        <f>IF(E39="","",E39)</f>
        <v>35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O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1298</v>
      </c>
      <c r="B40" s="16" t="s">
        <v>1299</v>
      </c>
      <c r="C40" s="28">
        <v>807</v>
      </c>
      <c r="D40" s="25">
        <v>150.6</v>
      </c>
      <c r="E40" s="106">
        <v>46</v>
      </c>
      <c r="F40" s="25">
        <v>116.8</v>
      </c>
      <c r="G40" s="27">
        <v>35</v>
      </c>
      <c r="H40" s="28">
        <v>70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4</v>
      </c>
      <c r="R40" s="15">
        <v>2</v>
      </c>
      <c r="S40" s="113" t="s">
        <v>1300</v>
      </c>
      <c r="T40" s="8" t="s">
        <v>1047</v>
      </c>
      <c r="U40" s="13"/>
      <c r="W40" s="25">
        <f>D40</f>
        <v>150.6</v>
      </c>
      <c r="X40" s="106">
        <f>E40</f>
        <v>46</v>
      </c>
      <c r="Y40" s="32">
        <f>H40</f>
        <v>70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4/2</v>
      </c>
      <c r="AH40" s="36" t="str">
        <f>IF(A40="","",A40)</f>
        <v>화서위브하늘채</v>
      </c>
      <c r="AI40" s="106">
        <f>IF(E40="","",E40)</f>
        <v>46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X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5" t="s">
        <v>1298</v>
      </c>
      <c r="B41" s="16" t="s">
        <v>1299</v>
      </c>
      <c r="C41" s="28">
        <v>807</v>
      </c>
      <c r="D41" s="25">
        <v>151.80000000000001</v>
      </c>
      <c r="E41" s="106">
        <v>46</v>
      </c>
      <c r="F41" s="25">
        <v>118.7</v>
      </c>
      <c r="G41" s="27">
        <v>36</v>
      </c>
      <c r="H41" s="28">
        <v>75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4</v>
      </c>
      <c r="R41" s="15">
        <v>2</v>
      </c>
      <c r="S41" s="113" t="s">
        <v>1300</v>
      </c>
      <c r="T41" s="8" t="s">
        <v>1048</v>
      </c>
      <c r="U41" s="13"/>
      <c r="W41" s="25">
        <f>D41</f>
        <v>151.80000000000001</v>
      </c>
      <c r="X41" s="106">
        <f>E41</f>
        <v>46</v>
      </c>
      <c r="Y41" s="32">
        <f>H41</f>
        <v>75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4/2</v>
      </c>
      <c r="AH41" s="36" t="str">
        <f>IF(A41="","",A41)</f>
        <v>화서위브하늘채</v>
      </c>
      <c r="AI41" s="106">
        <f>IF(E41="","",E41)</f>
        <v>46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X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9"/>
      <c r="B42" s="113"/>
      <c r="C42" s="10"/>
      <c r="D42" s="13"/>
      <c r="E42" s="20"/>
      <c r="F42" s="26"/>
      <c r="G42" s="13"/>
      <c r="H42" s="13"/>
      <c r="I42" s="13"/>
      <c r="J42" s="13"/>
      <c r="K42" s="13"/>
      <c r="L42" s="13"/>
      <c r="M42" s="13"/>
      <c r="N42" s="13"/>
      <c r="O42" s="29"/>
      <c r="P42" s="29"/>
      <c r="Q42" s="23"/>
      <c r="R42" s="23"/>
      <c r="S42" s="13"/>
      <c r="T42" s="70"/>
      <c r="U42" s="13"/>
      <c r="W42" s="107" t="str">
        <f>$A$4&amp;" "&amp;A43&amp;"("&amp;B43&amp;","&amp;C43&amp;"^)"</f>
        <v>화서동 한진,현대('97.12.,516^)</v>
      </c>
      <c r="X42" s="108"/>
      <c r="Y42" s="108"/>
      <c r="Z42" s="108"/>
      <c r="AA42" s="108"/>
      <c r="AB42" s="108"/>
      <c r="AC42" s="108"/>
      <c r="AD42" s="108"/>
      <c r="AE42" s="108"/>
      <c r="AF42" s="109"/>
      <c r="AH42" s="36" t="str">
        <f>IF(A42="","",A42)</f>
        <v/>
      </c>
      <c r="AI42" s="37" t="str">
        <f>IF(E42="","",E42)</f>
        <v/>
      </c>
      <c r="AJ42" s="113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  <c r="AU42" s="113"/>
      <c r="AV42" s="113"/>
    </row>
    <row r="43" spans="1:48" x14ac:dyDescent="0.3">
      <c r="A43" s="5" t="s">
        <v>1301</v>
      </c>
      <c r="B43" s="16" t="s">
        <v>1302</v>
      </c>
      <c r="C43" s="28">
        <v>516</v>
      </c>
      <c r="D43" s="25">
        <v>120.9</v>
      </c>
      <c r="E43" s="106">
        <v>37</v>
      </c>
      <c r="F43" s="25">
        <v>99.9</v>
      </c>
      <c r="G43" s="27">
        <v>30</v>
      </c>
      <c r="H43" s="28">
        <v>236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4</v>
      </c>
      <c r="R43" s="15">
        <v>2</v>
      </c>
      <c r="S43" s="113" t="s">
        <v>1300</v>
      </c>
      <c r="T43" s="8">
        <v>120</v>
      </c>
      <c r="U43" s="13"/>
      <c r="W43" s="25">
        <f>D43</f>
        <v>120.9</v>
      </c>
      <c r="X43" s="106">
        <f>E43</f>
        <v>37</v>
      </c>
      <c r="Y43" s="32">
        <f>H43</f>
        <v>236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4/2</v>
      </c>
      <c r="AH43" s="36" t="str">
        <f>IF(A43="","",A43)</f>
        <v>한진,현대</v>
      </c>
      <c r="AI43" s="106">
        <f>IF(E43="","",E43)</f>
        <v>37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X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1301</v>
      </c>
      <c r="B44" s="16" t="s">
        <v>1302</v>
      </c>
      <c r="C44" s="28">
        <v>516</v>
      </c>
      <c r="D44" s="25">
        <v>141.30000000000001</v>
      </c>
      <c r="E44" s="106">
        <v>43</v>
      </c>
      <c r="F44" s="25">
        <v>116.8</v>
      </c>
      <c r="G44" s="27">
        <v>35</v>
      </c>
      <c r="H44" s="28">
        <v>160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4</v>
      </c>
      <c r="R44" s="15">
        <v>2</v>
      </c>
      <c r="S44" s="113" t="s">
        <v>1300</v>
      </c>
      <c r="T44" s="8">
        <v>141</v>
      </c>
      <c r="U44" s="13"/>
      <c r="W44" s="25">
        <f>D44</f>
        <v>141.30000000000001</v>
      </c>
      <c r="X44" s="106">
        <f>E44</f>
        <v>43</v>
      </c>
      <c r="Y44" s="32">
        <f>H44</f>
        <v>160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4/2</v>
      </c>
      <c r="AH44" s="36" t="str">
        <f>IF(A44="","",A44)</f>
        <v>한진,현대</v>
      </c>
      <c r="AI44" s="106">
        <f>IF(E44="","",E44)</f>
        <v>43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X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1301</v>
      </c>
      <c r="B45" s="16" t="s">
        <v>1302</v>
      </c>
      <c r="C45" s="28">
        <v>516</v>
      </c>
      <c r="D45" s="25">
        <v>163.4</v>
      </c>
      <c r="E45" s="106">
        <v>49</v>
      </c>
      <c r="F45" s="25">
        <v>135</v>
      </c>
      <c r="G45" s="27">
        <v>41</v>
      </c>
      <c r="H45" s="28">
        <v>120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4</v>
      </c>
      <c r="R45" s="15">
        <v>2</v>
      </c>
      <c r="S45" s="113" t="s">
        <v>1300</v>
      </c>
      <c r="T45" s="8">
        <v>163</v>
      </c>
      <c r="U45" s="13"/>
      <c r="W45" s="25">
        <f>D45</f>
        <v>163.4</v>
      </c>
      <c r="X45" s="106">
        <f>E45</f>
        <v>49</v>
      </c>
      <c r="Y45" s="32">
        <f>H45</f>
        <v>120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4/2</v>
      </c>
      <c r="AH45" s="36" t="str">
        <f>IF(A45="","",A45)</f>
        <v>한진,현대</v>
      </c>
      <c r="AI45" s="106">
        <f>IF(E45="","",E45)</f>
        <v>49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X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9"/>
      <c r="B46" s="113"/>
      <c r="C46" s="10"/>
      <c r="D46" s="13"/>
      <c r="E46" s="20"/>
      <c r="F46" s="26"/>
      <c r="G46" s="13"/>
      <c r="H46" s="13"/>
      <c r="I46" s="13"/>
      <c r="J46" s="13"/>
      <c r="K46" s="13"/>
      <c r="L46" s="13"/>
      <c r="M46" s="13"/>
      <c r="N46" s="13"/>
      <c r="O46" s="29"/>
      <c r="P46" s="29"/>
      <c r="Q46" s="23"/>
      <c r="R46" s="23"/>
      <c r="S46" s="13"/>
      <c r="T46" s="70"/>
      <c r="U46" s="13"/>
      <c r="W46" s="107" t="str">
        <f>$A$4&amp;" "&amp;A47&amp;"("&amp;B47&amp;","&amp;C47&amp;"^)"</f>
        <v>화서동 화서주공4단지('97.05.,1314^)</v>
      </c>
      <c r="X46" s="108"/>
      <c r="Y46" s="108"/>
      <c r="Z46" s="108"/>
      <c r="AA46" s="108"/>
      <c r="AB46" s="108"/>
      <c r="AC46" s="108"/>
      <c r="AD46" s="108"/>
      <c r="AE46" s="108"/>
      <c r="AF46" s="109"/>
      <c r="AH46" s="36" t="str">
        <f>IF(A46="","",A46)</f>
        <v/>
      </c>
      <c r="AI46" s="37" t="str">
        <f>IF(E46="","",E46)</f>
        <v/>
      </c>
      <c r="AJ46" s="113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  <c r="AU46" s="113"/>
      <c r="AV46" s="113"/>
    </row>
    <row r="47" spans="1:48" x14ac:dyDescent="0.3">
      <c r="A47" s="5" t="s">
        <v>1303</v>
      </c>
      <c r="B47" s="16" t="s">
        <v>1304</v>
      </c>
      <c r="C47" s="28">
        <v>1314</v>
      </c>
      <c r="D47" s="25">
        <v>73.900000000000006</v>
      </c>
      <c r="E47" s="106">
        <v>22</v>
      </c>
      <c r="F47" s="25">
        <v>50</v>
      </c>
      <c r="G47" s="27">
        <v>15</v>
      </c>
      <c r="H47" s="28">
        <v>238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2</v>
      </c>
      <c r="R47" s="15">
        <v>1</v>
      </c>
      <c r="S47" s="113" t="s">
        <v>1300</v>
      </c>
      <c r="T47" s="8">
        <v>73</v>
      </c>
      <c r="U47" s="13"/>
      <c r="W47" s="25">
        <f>D47</f>
        <v>73.900000000000006</v>
      </c>
      <c r="X47" s="106">
        <f>E47</f>
        <v>22</v>
      </c>
      <c r="Y47" s="32">
        <f>H47</f>
        <v>238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2/1</v>
      </c>
      <c r="AH47" s="36" t="str">
        <f>IF(A47="","",A47)</f>
        <v>화서주공4단지</v>
      </c>
      <c r="AI47" s="106">
        <f>IF(E47="","",E47)</f>
        <v>22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O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1305</v>
      </c>
      <c r="B48" s="16" t="s">
        <v>1306</v>
      </c>
      <c r="C48" s="28">
        <v>1314</v>
      </c>
      <c r="D48" s="25">
        <v>80.599999999999994</v>
      </c>
      <c r="E48" s="106">
        <v>24</v>
      </c>
      <c r="F48" s="25">
        <v>59.6</v>
      </c>
      <c r="G48" s="27">
        <v>18</v>
      </c>
      <c r="H48" s="28">
        <v>129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3</v>
      </c>
      <c r="R48" s="15">
        <v>1</v>
      </c>
      <c r="S48" s="113" t="s">
        <v>64</v>
      </c>
      <c r="T48" s="8" t="s">
        <v>243</v>
      </c>
      <c r="U48" s="13"/>
      <c r="W48" s="25">
        <f>D48</f>
        <v>80.599999999999994</v>
      </c>
      <c r="X48" s="106">
        <f>E48</f>
        <v>24</v>
      </c>
      <c r="Y48" s="32">
        <f>H48</f>
        <v>129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3/1</v>
      </c>
      <c r="AH48" s="36" t="str">
        <f>IF(A48="","",A48)</f>
        <v>화서주공4단지</v>
      </c>
      <c r="AI48" s="106">
        <f>IF(E48="","",E48)</f>
        <v>24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O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5" t="s">
        <v>1305</v>
      </c>
      <c r="B49" s="16" t="s">
        <v>1306</v>
      </c>
      <c r="C49" s="28">
        <v>1314</v>
      </c>
      <c r="D49" s="25">
        <v>81.2</v>
      </c>
      <c r="E49" s="106">
        <v>25</v>
      </c>
      <c r="F49" s="25">
        <v>60</v>
      </c>
      <c r="G49" s="27">
        <v>18</v>
      </c>
      <c r="H49" s="28">
        <v>947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3</v>
      </c>
      <c r="R49" s="15">
        <v>1</v>
      </c>
      <c r="S49" s="113" t="s">
        <v>1307</v>
      </c>
      <c r="T49" s="8" t="s">
        <v>103</v>
      </c>
      <c r="U49" s="13"/>
      <c r="W49" s="25">
        <f>D49</f>
        <v>81.2</v>
      </c>
      <c r="X49" s="106">
        <f>E49</f>
        <v>25</v>
      </c>
      <c r="Y49" s="32">
        <f>H49</f>
        <v>947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3/1</v>
      </c>
      <c r="AH49" s="36" t="str">
        <f>IF(A49="","",A49)</f>
        <v>화서주공4단지</v>
      </c>
      <c r="AI49" s="106">
        <f>IF(E49="","",E49)</f>
        <v>25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O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9"/>
      <c r="B50" s="113"/>
      <c r="C50" s="10"/>
      <c r="D50" s="13"/>
      <c r="E50" s="20"/>
      <c r="F50" s="26"/>
      <c r="G50" s="13"/>
      <c r="H50" s="13"/>
      <c r="I50" s="13"/>
      <c r="J50" s="13"/>
      <c r="K50" s="13"/>
      <c r="L50" s="13"/>
      <c r="M50" s="13"/>
      <c r="N50" s="13"/>
      <c r="O50" s="29"/>
      <c r="P50" s="29"/>
      <c r="Q50" s="23"/>
      <c r="R50" s="23"/>
      <c r="S50" s="13"/>
      <c r="T50" s="70"/>
      <c r="U50" s="13"/>
      <c r="W50" s="107" t="str">
        <f>$A$4&amp;" "&amp;A51&amp;"("&amp;B51&amp;","&amp;C51&amp;"^)"</f>
        <v>화서동 꽃뫼버들마을금강('02.04.,312^)</v>
      </c>
      <c r="X50" s="108"/>
      <c r="Y50" s="108"/>
      <c r="Z50" s="108"/>
      <c r="AA50" s="108"/>
      <c r="AB50" s="108"/>
      <c r="AC50" s="108"/>
      <c r="AD50" s="108"/>
      <c r="AE50" s="108"/>
      <c r="AF50" s="109"/>
      <c r="AH50" s="36" t="str">
        <f>IF(A50="","",A50)</f>
        <v/>
      </c>
      <c r="AI50" s="37" t="str">
        <f>IF(E50="","",E50)</f>
        <v/>
      </c>
      <c r="AJ50" s="113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  <c r="AU50" s="113"/>
      <c r="AV50" s="113"/>
    </row>
    <row r="51" spans="1:48" x14ac:dyDescent="0.3">
      <c r="A51" s="5" t="s">
        <v>1308</v>
      </c>
      <c r="B51" s="16" t="s">
        <v>1309</v>
      </c>
      <c r="C51" s="28">
        <v>312</v>
      </c>
      <c r="D51" s="25">
        <v>115.4</v>
      </c>
      <c r="E51" s="106">
        <v>35</v>
      </c>
      <c r="F51" s="25">
        <v>85</v>
      </c>
      <c r="G51" s="27">
        <v>26</v>
      </c>
      <c r="H51" s="28">
        <v>312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2</v>
      </c>
      <c r="S51" s="113" t="s">
        <v>1307</v>
      </c>
      <c r="T51" s="8">
        <v>115</v>
      </c>
      <c r="U51" s="13"/>
      <c r="W51" s="25">
        <f>D51</f>
        <v>115.4</v>
      </c>
      <c r="X51" s="106">
        <f>E51</f>
        <v>35</v>
      </c>
      <c r="Y51" s="32">
        <f>H51</f>
        <v>312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3/2</v>
      </c>
      <c r="AH51" s="36" t="str">
        <f>IF(A51="","",A51)</f>
        <v>꽃뫼버들마을금강</v>
      </c>
      <c r="AI51" s="106">
        <f>IF(E51="","",E51)</f>
        <v>35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O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9"/>
      <c r="B52" s="113"/>
      <c r="C52" s="10"/>
      <c r="D52" s="13"/>
      <c r="E52" s="20"/>
      <c r="F52" s="26"/>
      <c r="G52" s="13"/>
      <c r="H52" s="13"/>
      <c r="I52" s="13"/>
      <c r="J52" s="13"/>
      <c r="K52" s="13"/>
      <c r="L52" s="13"/>
      <c r="M52" s="13"/>
      <c r="N52" s="13"/>
      <c r="O52" s="29"/>
      <c r="P52" s="29"/>
      <c r="Q52" s="23"/>
      <c r="R52" s="23"/>
      <c r="S52" s="13"/>
      <c r="T52" s="70"/>
      <c r="U52" s="13"/>
      <c r="W52" s="107" t="str">
        <f>$A$4&amp;" "&amp;A53&amp;"("&amp;B53&amp;","&amp;C53&amp;"^)"</f>
        <v>화서동 화서주공3단지('97.04.,582^)</v>
      </c>
      <c r="X52" s="108"/>
      <c r="Y52" s="108"/>
      <c r="Z52" s="108"/>
      <c r="AA52" s="108"/>
      <c r="AB52" s="108"/>
      <c r="AC52" s="108"/>
      <c r="AD52" s="108"/>
      <c r="AE52" s="108"/>
      <c r="AF52" s="109"/>
      <c r="AH52" s="36" t="str">
        <f>IF(A52="","",A52)</f>
        <v/>
      </c>
      <c r="AI52" s="37" t="str">
        <f>IF(E52="","",E52)</f>
        <v/>
      </c>
      <c r="AJ52" s="113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  <c r="AU52" s="113"/>
      <c r="AV52" s="113"/>
    </row>
    <row r="53" spans="1:48" x14ac:dyDescent="0.3">
      <c r="A53" s="5" t="s">
        <v>1310</v>
      </c>
      <c r="B53" s="16" t="s">
        <v>1311</v>
      </c>
      <c r="C53" s="28">
        <v>582</v>
      </c>
      <c r="D53" s="25">
        <v>104.2</v>
      </c>
      <c r="E53" s="106">
        <v>32</v>
      </c>
      <c r="F53" s="25">
        <v>84.9</v>
      </c>
      <c r="G53" s="27">
        <v>26</v>
      </c>
      <c r="H53" s="28">
        <v>150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2</v>
      </c>
      <c r="S53" s="113" t="s">
        <v>1307</v>
      </c>
      <c r="T53" s="8">
        <v>104</v>
      </c>
      <c r="U53" s="13"/>
      <c r="W53" s="25">
        <f>D53</f>
        <v>104.2</v>
      </c>
      <c r="X53" s="106">
        <f>E53</f>
        <v>32</v>
      </c>
      <c r="Y53" s="32">
        <f>H53</f>
        <v>150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3/2</v>
      </c>
      <c r="AH53" s="36" t="str">
        <f>IF(A53="","",A53)</f>
        <v>화서주공3단지</v>
      </c>
      <c r="AI53" s="106">
        <f>IF(E53="","",E53)</f>
        <v>32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1310</v>
      </c>
      <c r="B54" s="16" t="s">
        <v>1311</v>
      </c>
      <c r="C54" s="28">
        <v>582</v>
      </c>
      <c r="D54" s="25">
        <v>109.8</v>
      </c>
      <c r="E54" s="106">
        <v>33</v>
      </c>
      <c r="F54" s="25">
        <v>84.8</v>
      </c>
      <c r="G54" s="27">
        <v>26</v>
      </c>
      <c r="H54" s="28">
        <v>432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2</v>
      </c>
      <c r="S54" s="113" t="s">
        <v>1307</v>
      </c>
      <c r="T54" s="8">
        <v>109</v>
      </c>
      <c r="U54" s="13"/>
      <c r="W54" s="25">
        <f>D54</f>
        <v>109.8</v>
      </c>
      <c r="X54" s="106">
        <f>E54</f>
        <v>33</v>
      </c>
      <c r="Y54" s="32">
        <f>H54</f>
        <v>432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3/2</v>
      </c>
      <c r="AH54" s="36" t="str">
        <f>IF(A54="","",A54)</f>
        <v>화서주공3단지</v>
      </c>
      <c r="AI54" s="106">
        <f>IF(E54="","",E54)</f>
        <v>33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O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9"/>
      <c r="B55" s="113"/>
      <c r="C55" s="10"/>
      <c r="D55" s="13"/>
      <c r="E55" s="20"/>
      <c r="F55" s="26"/>
      <c r="G55" s="13"/>
      <c r="H55" s="13"/>
      <c r="I55" s="13"/>
      <c r="J55" s="13"/>
      <c r="K55" s="13"/>
      <c r="L55" s="13"/>
      <c r="M55" s="13"/>
      <c r="N55" s="13"/>
      <c r="O55" s="29"/>
      <c r="P55" s="29"/>
      <c r="Q55" s="23"/>
      <c r="R55" s="23"/>
      <c r="S55" s="13"/>
      <c r="T55" s="70"/>
      <c r="U55" s="13"/>
      <c r="W55" s="107" t="str">
        <f>$A$4&amp;" "&amp;A56&amp;"("&amp;B56&amp;","&amp;C56&amp;"^)"</f>
        <v>화서동 벽산('91.11.,238^)</v>
      </c>
      <c r="X55" s="108"/>
      <c r="Y55" s="108"/>
      <c r="Z55" s="108"/>
      <c r="AA55" s="108"/>
      <c r="AB55" s="108"/>
      <c r="AC55" s="108"/>
      <c r="AD55" s="108"/>
      <c r="AE55" s="108"/>
      <c r="AF55" s="109"/>
      <c r="AH55" s="36" t="str">
        <f>IF(A55="","",A55)</f>
        <v/>
      </c>
      <c r="AI55" s="37" t="str">
        <f>IF(E55="","",E55)</f>
        <v/>
      </c>
      <c r="AJ55" s="113"/>
      <c r="AK55" s="113"/>
      <c r="AL55" s="113"/>
      <c r="AM55" s="113"/>
      <c r="AN55" s="113"/>
      <c r="AO55" s="113"/>
      <c r="AP55" s="113"/>
      <c r="AQ55" s="113"/>
      <c r="AR55" s="113"/>
      <c r="AS55" s="113"/>
      <c r="AT55" s="113"/>
      <c r="AU55" s="113"/>
      <c r="AV55" s="113"/>
    </row>
    <row r="56" spans="1:48" x14ac:dyDescent="0.3">
      <c r="A56" s="5" t="s">
        <v>1312</v>
      </c>
      <c r="B56" s="16" t="s">
        <v>1313</v>
      </c>
      <c r="C56" s="28">
        <v>238</v>
      </c>
      <c r="D56" s="25">
        <v>90.9</v>
      </c>
      <c r="E56" s="106">
        <v>27</v>
      </c>
      <c r="F56" s="25">
        <v>63.8</v>
      </c>
      <c r="G56" s="27">
        <v>19</v>
      </c>
      <c r="H56" s="28">
        <v>74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2</v>
      </c>
      <c r="R56" s="15">
        <v>1</v>
      </c>
      <c r="S56" s="113" t="s">
        <v>1314</v>
      </c>
      <c r="T56" s="8">
        <v>90</v>
      </c>
      <c r="U56" s="13"/>
      <c r="W56" s="25">
        <f>D56</f>
        <v>90.9</v>
      </c>
      <c r="X56" s="106">
        <f>E56</f>
        <v>27</v>
      </c>
      <c r="Y56" s="32">
        <f>H56</f>
        <v>74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복</v>
      </c>
      <c r="AF56" s="15" t="str">
        <f>Q56&amp;"/"&amp;R56</f>
        <v>2/1</v>
      </c>
      <c r="AH56" s="36" t="str">
        <f>IF(A56="","",A56)</f>
        <v>벽산</v>
      </c>
      <c r="AI56" s="106">
        <f>IF(E56="","",E56)</f>
        <v>27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X</v>
      </c>
      <c r="AV56" s="113" t="str">
        <f>IF(AO56="","",IF(AND(AO56="O",AP56="O",AR56="O",AT56="O",AU56="O"),"후보","X"))</f>
        <v/>
      </c>
    </row>
    <row r="57" spans="1:48" x14ac:dyDescent="0.3">
      <c r="A57" s="5" t="s">
        <v>1312</v>
      </c>
      <c r="B57" s="16" t="s">
        <v>1313</v>
      </c>
      <c r="C57" s="28">
        <v>238</v>
      </c>
      <c r="D57" s="25">
        <v>103.1</v>
      </c>
      <c r="E57" s="106">
        <v>31</v>
      </c>
      <c r="F57" s="25">
        <v>84.7</v>
      </c>
      <c r="G57" s="27">
        <v>26</v>
      </c>
      <c r="H57" s="28">
        <v>126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2</v>
      </c>
      <c r="S57" s="113" t="s">
        <v>1307</v>
      </c>
      <c r="T57" s="8">
        <v>103</v>
      </c>
      <c r="U57" s="13"/>
      <c r="W57" s="25">
        <f>D57</f>
        <v>103.1</v>
      </c>
      <c r="X57" s="106">
        <f>E57</f>
        <v>31</v>
      </c>
      <c r="Y57" s="32">
        <f>H57</f>
        <v>126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3/2</v>
      </c>
      <c r="AH57" s="36" t="str">
        <f>IF(A57="","",A57)</f>
        <v>벽산</v>
      </c>
      <c r="AI57" s="106">
        <f>IF(E57="","",E57)</f>
        <v>31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X</v>
      </c>
      <c r="AV57" s="113" t="str">
        <f>IF(AO57="","",IF(AND(AO57="O",AP57="O",AR57="O",AT57="O",AU57="O"),"후보","X"))</f>
        <v/>
      </c>
    </row>
    <row r="58" spans="1:48" x14ac:dyDescent="0.3">
      <c r="A58" s="5" t="s">
        <v>1312</v>
      </c>
      <c r="B58" s="16" t="s">
        <v>1313</v>
      </c>
      <c r="C58" s="28">
        <v>238</v>
      </c>
      <c r="D58" s="25">
        <v>139.1</v>
      </c>
      <c r="E58" s="106">
        <v>42</v>
      </c>
      <c r="F58" s="25">
        <v>114.9</v>
      </c>
      <c r="G58" s="27">
        <v>35</v>
      </c>
      <c r="H58" s="28">
        <v>38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4</v>
      </c>
      <c r="R58" s="15">
        <v>2</v>
      </c>
      <c r="S58" s="113" t="s">
        <v>1307</v>
      </c>
      <c r="T58" s="8">
        <v>139</v>
      </c>
      <c r="U58" s="13"/>
      <c r="W58" s="25">
        <f>D58</f>
        <v>139.1</v>
      </c>
      <c r="X58" s="106">
        <f>E58</f>
        <v>42</v>
      </c>
      <c r="Y58" s="32">
        <f>H58</f>
        <v>38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4/2</v>
      </c>
      <c r="AH58" s="36" t="str">
        <f>IF(A58="","",A58)</f>
        <v>벽산</v>
      </c>
      <c r="AI58" s="106">
        <f>IF(E58="","",E58)</f>
        <v>42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X</v>
      </c>
      <c r="AU58" s="113" t="str">
        <f>IF(C58="","",IF(C58&gt;=$AU$1,"O","X"))</f>
        <v>X</v>
      </c>
      <c r="AV58" s="113" t="str">
        <f>IF(AO58="","",IF(AND(AO58="O",AP58="O",AR58="O",AT58="O",AU58="O"),"후보","X"))</f>
        <v/>
      </c>
    </row>
    <row r="59" spans="1:48" x14ac:dyDescent="0.3">
      <c r="A59" s="9"/>
      <c r="B59" s="113"/>
      <c r="C59" s="10"/>
      <c r="D59" s="13"/>
      <c r="E59" s="20"/>
      <c r="F59" s="26"/>
      <c r="G59" s="13"/>
      <c r="H59" s="13"/>
      <c r="I59" s="13"/>
      <c r="J59" s="13"/>
      <c r="K59" s="13"/>
      <c r="L59" s="13"/>
      <c r="M59" s="13"/>
      <c r="N59" s="13"/>
      <c r="O59" s="29"/>
      <c r="P59" s="29"/>
      <c r="Q59" s="23"/>
      <c r="R59" s="23"/>
      <c r="S59" s="13"/>
      <c r="T59" s="70"/>
      <c r="U59" s="13"/>
      <c r="W59" s="107" t="str">
        <f>$A$4&amp;" "&amp;A60&amp;"("&amp;B60&amp;","&amp;C60&amp;"^)"</f>
        <v>화서동 꽃뫼노을마을풍림('99.09.,275^)</v>
      </c>
      <c r="X59" s="108"/>
      <c r="Y59" s="108"/>
      <c r="Z59" s="108"/>
      <c r="AA59" s="108"/>
      <c r="AB59" s="108"/>
      <c r="AC59" s="108"/>
      <c r="AD59" s="108"/>
      <c r="AE59" s="108"/>
      <c r="AF59" s="109"/>
      <c r="AH59" s="36" t="str">
        <f>IF(A59="","",A59)</f>
        <v/>
      </c>
      <c r="AI59" s="37" t="str">
        <f>IF(E59="","",E59)</f>
        <v/>
      </c>
      <c r="AJ59" s="113"/>
      <c r="AK59" s="113"/>
      <c r="AL59" s="113"/>
      <c r="AM59" s="113"/>
      <c r="AN59" s="113"/>
      <c r="AO59" s="113"/>
      <c r="AP59" s="113"/>
      <c r="AQ59" s="113"/>
      <c r="AR59" s="113"/>
      <c r="AS59" s="113"/>
      <c r="AT59" s="113"/>
      <c r="AU59" s="113"/>
      <c r="AV59" s="113"/>
    </row>
    <row r="60" spans="1:48" x14ac:dyDescent="0.3">
      <c r="A60" s="5" t="s">
        <v>1315</v>
      </c>
      <c r="B60" s="16" t="s">
        <v>1316</v>
      </c>
      <c r="C60" s="28">
        <v>275</v>
      </c>
      <c r="D60" s="25">
        <v>80.900000000000006</v>
      </c>
      <c r="E60" s="106">
        <v>24</v>
      </c>
      <c r="F60" s="25">
        <v>60</v>
      </c>
      <c r="G60" s="27">
        <v>18</v>
      </c>
      <c r="H60" s="28">
        <v>275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2</v>
      </c>
      <c r="S60" s="113" t="s">
        <v>1307</v>
      </c>
      <c r="T60" s="8" t="s">
        <v>831</v>
      </c>
      <c r="U60" s="13"/>
      <c r="W60" s="25">
        <f>D60</f>
        <v>80.900000000000006</v>
      </c>
      <c r="X60" s="106">
        <f>E60</f>
        <v>24</v>
      </c>
      <c r="Y60" s="32">
        <f>H60</f>
        <v>275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3/2</v>
      </c>
      <c r="AH60" s="36" t="str">
        <f>IF(A60="","",A60)</f>
        <v>꽃뫼노을마을풍림</v>
      </c>
      <c r="AI60" s="106">
        <f>IF(E60="","",E60)</f>
        <v>24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O</v>
      </c>
      <c r="AU60" s="113" t="str">
        <f>IF(C60="","",IF(C60&gt;=$AU$1,"O","X"))</f>
        <v>X</v>
      </c>
      <c r="AV60" s="113" t="str">
        <f>IF(AO60="","",IF(AND(AO60="O",AP60="O",AR60="O",AT60="O",AU60="O"),"후보","X"))</f>
        <v/>
      </c>
    </row>
    <row r="61" spans="1:48" x14ac:dyDescent="0.3">
      <c r="A61" s="9"/>
      <c r="B61" s="113"/>
      <c r="C61" s="10"/>
      <c r="D61" s="13"/>
      <c r="E61" s="20"/>
      <c r="F61" s="26"/>
      <c r="G61" s="13"/>
      <c r="H61" s="13"/>
      <c r="I61" s="13"/>
      <c r="J61" s="13"/>
      <c r="K61" s="13"/>
      <c r="L61" s="13"/>
      <c r="M61" s="13"/>
      <c r="N61" s="13"/>
      <c r="O61" s="29"/>
      <c r="P61" s="29"/>
      <c r="Q61" s="23"/>
      <c r="R61" s="23"/>
      <c r="S61" s="13"/>
      <c r="T61" s="70"/>
      <c r="U61" s="13"/>
      <c r="W61" s="107" t="str">
        <f>$A$4&amp;" "&amp;A62&amp;"("&amp;B62&amp;","&amp;C62&amp;"^)"</f>
        <v>화서동 꽃뫼양지마을대우('01.06.,236^)</v>
      </c>
      <c r="X61" s="108"/>
      <c r="Y61" s="108"/>
      <c r="Z61" s="108"/>
      <c r="AA61" s="108"/>
      <c r="AB61" s="108"/>
      <c r="AC61" s="108"/>
      <c r="AD61" s="108"/>
      <c r="AE61" s="108"/>
      <c r="AF61" s="109"/>
      <c r="AH61" s="36" t="str">
        <f>IF(A61="","",A61)</f>
        <v/>
      </c>
      <c r="AI61" s="37" t="str">
        <f>IF(E61="","",E61)</f>
        <v/>
      </c>
      <c r="AJ61" s="113"/>
      <c r="AK61" s="113"/>
      <c r="AL61" s="113"/>
      <c r="AM61" s="113"/>
      <c r="AN61" s="113"/>
      <c r="AO61" s="113"/>
      <c r="AP61" s="113"/>
      <c r="AQ61" s="113"/>
      <c r="AR61" s="113"/>
      <c r="AS61" s="113"/>
      <c r="AT61" s="113"/>
      <c r="AU61" s="113"/>
      <c r="AV61" s="113"/>
    </row>
    <row r="62" spans="1:48" x14ac:dyDescent="0.3">
      <c r="A62" s="5" t="s">
        <v>1317</v>
      </c>
      <c r="B62" s="16" t="s">
        <v>1318</v>
      </c>
      <c r="C62" s="28">
        <v>236</v>
      </c>
      <c r="D62" s="25">
        <v>112.7</v>
      </c>
      <c r="E62" s="106">
        <v>34</v>
      </c>
      <c r="F62" s="25">
        <v>84.9</v>
      </c>
      <c r="G62" s="27">
        <v>26</v>
      </c>
      <c r="H62" s="28">
        <v>56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3</v>
      </c>
      <c r="R62" s="15">
        <v>2</v>
      </c>
      <c r="S62" s="113" t="s">
        <v>1307</v>
      </c>
      <c r="T62" s="8">
        <v>112</v>
      </c>
      <c r="U62" s="13"/>
      <c r="W62" s="25">
        <f>D62</f>
        <v>112.7</v>
      </c>
      <c r="X62" s="106">
        <f>E62</f>
        <v>34</v>
      </c>
      <c r="Y62" s="32">
        <f>H62</f>
        <v>56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3/2</v>
      </c>
      <c r="AH62" s="36" t="str">
        <f>IF(A62="","",A62)</f>
        <v>꽃뫼양지마을대우</v>
      </c>
      <c r="AI62" s="106">
        <f>IF(E62="","",E62)</f>
        <v>34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O</v>
      </c>
      <c r="AU62" s="113" t="str">
        <f>IF(C62="","",IF(C62&gt;=$AU$1,"O","X"))</f>
        <v>X</v>
      </c>
      <c r="AV62" s="113" t="str">
        <f>IF(AO62="","",IF(AND(AO62="O",AP62="O",AR62="O",AT62="O",AU62="O"),"후보","X"))</f>
        <v/>
      </c>
    </row>
    <row r="63" spans="1:48" x14ac:dyDescent="0.3">
      <c r="A63" s="5" t="s">
        <v>1317</v>
      </c>
      <c r="B63" s="16" t="s">
        <v>1318</v>
      </c>
      <c r="C63" s="28">
        <v>236</v>
      </c>
      <c r="D63" s="25">
        <v>148.30000000000001</v>
      </c>
      <c r="E63" s="106">
        <v>45</v>
      </c>
      <c r="F63" s="25">
        <v>117.5</v>
      </c>
      <c r="G63" s="27">
        <v>36</v>
      </c>
      <c r="H63" s="28">
        <v>180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4</v>
      </c>
      <c r="R63" s="15">
        <v>2</v>
      </c>
      <c r="S63" s="113" t="s">
        <v>1307</v>
      </c>
      <c r="T63" s="8">
        <v>148</v>
      </c>
      <c r="U63" s="13"/>
      <c r="W63" s="25">
        <f>D63</f>
        <v>148.30000000000001</v>
      </c>
      <c r="X63" s="106">
        <f>E63</f>
        <v>45</v>
      </c>
      <c r="Y63" s="32">
        <f>H63</f>
        <v>180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4/2</v>
      </c>
      <c r="AH63" s="36" t="str">
        <f>IF(A63="","",A63)</f>
        <v>꽃뫼양지마을대우</v>
      </c>
      <c r="AI63" s="106">
        <f>IF(E63="","",E63)</f>
        <v>45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X</v>
      </c>
      <c r="AU63" s="113" t="str">
        <f>IF(C63="","",IF(C63&gt;=$AU$1,"O","X"))</f>
        <v>X</v>
      </c>
      <c r="AV63" s="113" t="str">
        <f>IF(AO63="","",IF(AND(AO63="O",AP63="O",AR63="O",AT63="O",AU63="O"),"후보","X"))</f>
        <v/>
      </c>
    </row>
    <row r="64" spans="1:48" x14ac:dyDescent="0.3">
      <c r="A64" s="9"/>
      <c r="B64" s="113"/>
      <c r="C64" s="10"/>
      <c r="D64" s="13"/>
      <c r="E64" s="20"/>
      <c r="F64" s="26"/>
      <c r="G64" s="13"/>
      <c r="H64" s="13"/>
      <c r="I64" s="13"/>
      <c r="J64" s="13"/>
      <c r="K64" s="13"/>
      <c r="L64" s="13"/>
      <c r="M64" s="13"/>
      <c r="N64" s="13"/>
      <c r="O64" s="29"/>
      <c r="P64" s="29"/>
      <c r="Q64" s="23"/>
      <c r="R64" s="23"/>
      <c r="S64" s="13"/>
      <c r="T64" s="70"/>
      <c r="U64" s="13"/>
      <c r="W64" s="107" t="str">
        <f>$A$4&amp;" "&amp;A65&amp;"("&amp;B65&amp;","&amp;C65&amp;"^)"</f>
        <v>화서동 수원화서역동문굿모닝힐('10.06.,293^)</v>
      </c>
      <c r="X64" s="108"/>
      <c r="Y64" s="108"/>
      <c r="Z64" s="108"/>
      <c r="AA64" s="108"/>
      <c r="AB64" s="108"/>
      <c r="AC64" s="108"/>
      <c r="AD64" s="108"/>
      <c r="AE64" s="108"/>
      <c r="AF64" s="109"/>
      <c r="AH64" s="36" t="str">
        <f>IF(A64="","",A64)</f>
        <v/>
      </c>
      <c r="AI64" s="37" t="str">
        <f>IF(E64="","",E64)</f>
        <v/>
      </c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</row>
    <row r="65" spans="1:48" x14ac:dyDescent="0.3">
      <c r="A65" s="5" t="s">
        <v>1319</v>
      </c>
      <c r="B65" s="16" t="s">
        <v>1320</v>
      </c>
      <c r="C65" s="28">
        <v>293</v>
      </c>
      <c r="D65" s="25">
        <v>109.9</v>
      </c>
      <c r="E65" s="106">
        <v>33</v>
      </c>
      <c r="F65" s="25">
        <v>84.9</v>
      </c>
      <c r="G65" s="27">
        <v>26</v>
      </c>
      <c r="H65" s="28">
        <v>79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3</v>
      </c>
      <c r="R65" s="15">
        <v>2</v>
      </c>
      <c r="S65" s="113" t="s">
        <v>64</v>
      </c>
      <c r="T65" s="8" t="s">
        <v>171</v>
      </c>
      <c r="U65" s="13"/>
      <c r="W65" s="25">
        <f>D65</f>
        <v>109.9</v>
      </c>
      <c r="X65" s="106">
        <f>E65</f>
        <v>33</v>
      </c>
      <c r="Y65" s="32">
        <f>H65</f>
        <v>79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3/2</v>
      </c>
      <c r="AH65" s="36" t="str">
        <f>IF(A65="","",A65)</f>
        <v>수원화서역동문굿모닝힐</v>
      </c>
      <c r="AI65" s="106">
        <f>IF(E65="","",E65)</f>
        <v>33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X</v>
      </c>
      <c r="AV65" s="113" t="str">
        <f>IF(AO65="","",IF(AND(AO65="O",AP65="O",AR65="O",AT65="O",AU65="O"),"후보","X"))</f>
        <v/>
      </c>
    </row>
    <row r="66" spans="1:48" x14ac:dyDescent="0.3">
      <c r="A66" s="5" t="s">
        <v>1321</v>
      </c>
      <c r="B66" s="16" t="s">
        <v>1322</v>
      </c>
      <c r="C66" s="28">
        <v>293</v>
      </c>
      <c r="D66" s="25">
        <v>110.3</v>
      </c>
      <c r="E66" s="106">
        <v>33</v>
      </c>
      <c r="F66" s="25">
        <v>84.7</v>
      </c>
      <c r="G66" s="27">
        <v>26</v>
      </c>
      <c r="H66" s="28">
        <v>106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3</v>
      </c>
      <c r="R66" s="15">
        <v>2</v>
      </c>
      <c r="S66" s="113" t="s">
        <v>1323</v>
      </c>
      <c r="T66" s="8" t="s">
        <v>1132</v>
      </c>
      <c r="U66" s="13"/>
      <c r="W66" s="25">
        <f>D66</f>
        <v>110.3</v>
      </c>
      <c r="X66" s="106">
        <f>E66</f>
        <v>33</v>
      </c>
      <c r="Y66" s="32">
        <f>H66</f>
        <v>106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3/2</v>
      </c>
      <c r="AH66" s="36" t="str">
        <f>IF(A66="","",A66)</f>
        <v>수원화서역동문굿모닝힐</v>
      </c>
      <c r="AI66" s="106">
        <f>IF(E66="","",E66)</f>
        <v>33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O</v>
      </c>
      <c r="AU66" s="113" t="str">
        <f>IF(C66="","",IF(C66&gt;=$AU$1,"O","X"))</f>
        <v>X</v>
      </c>
      <c r="AV66" s="113" t="str">
        <f>IF(AO66="","",IF(AND(AO66="O",AP66="O",AR66="O",AT66="O",AU66="O"),"후보","X"))</f>
        <v/>
      </c>
    </row>
    <row r="67" spans="1:48" x14ac:dyDescent="0.3">
      <c r="A67" s="5" t="s">
        <v>1321</v>
      </c>
      <c r="B67" s="16" t="s">
        <v>1322</v>
      </c>
      <c r="C67" s="28">
        <v>293</v>
      </c>
      <c r="D67" s="25">
        <v>110.2</v>
      </c>
      <c r="E67" s="106">
        <v>33</v>
      </c>
      <c r="F67" s="25">
        <v>85</v>
      </c>
      <c r="G67" s="27">
        <v>26</v>
      </c>
      <c r="H67" s="28">
        <v>54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3</v>
      </c>
      <c r="R67" s="15">
        <v>2</v>
      </c>
      <c r="S67" s="113" t="s">
        <v>1323</v>
      </c>
      <c r="T67" s="8" t="s">
        <v>1133</v>
      </c>
      <c r="U67" s="13"/>
      <c r="W67" s="25">
        <f>D67</f>
        <v>110.2</v>
      </c>
      <c r="X67" s="106">
        <f>E67</f>
        <v>33</v>
      </c>
      <c r="Y67" s="32">
        <f>H67</f>
        <v>54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3/2</v>
      </c>
      <c r="AH67" s="36" t="str">
        <f>IF(A67="","",A67)</f>
        <v>수원화서역동문굿모닝힐</v>
      </c>
      <c r="AI67" s="106">
        <f>IF(E67="","",E67)</f>
        <v>33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O</v>
      </c>
      <c r="AU67" s="113" t="str">
        <f>IF(C67="","",IF(C67&gt;=$AU$1,"O","X"))</f>
        <v>X</v>
      </c>
      <c r="AV67" s="113" t="str">
        <f>IF(AO67="","",IF(AND(AO67="O",AP67="O",AR67="O",AT67="O",AU67="O"),"후보","X"))</f>
        <v/>
      </c>
    </row>
    <row r="68" spans="1:48" x14ac:dyDescent="0.3">
      <c r="A68" s="5" t="s">
        <v>1324</v>
      </c>
      <c r="B68" s="16" t="s">
        <v>1325</v>
      </c>
      <c r="C68" s="28">
        <v>293</v>
      </c>
      <c r="D68" s="25">
        <v>143.19999999999999</v>
      </c>
      <c r="E68" s="106">
        <v>43</v>
      </c>
      <c r="F68" s="25">
        <v>117.2</v>
      </c>
      <c r="G68" s="27">
        <v>35</v>
      </c>
      <c r="H68" s="28">
        <v>54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4</v>
      </c>
      <c r="R68" s="15">
        <v>2</v>
      </c>
      <c r="S68" s="113" t="s">
        <v>1326</v>
      </c>
      <c r="T68" s="8">
        <v>143</v>
      </c>
      <c r="U68" s="13"/>
      <c r="W68" s="25">
        <f>D68</f>
        <v>143.19999999999999</v>
      </c>
      <c r="X68" s="106">
        <f>E68</f>
        <v>43</v>
      </c>
      <c r="Y68" s="32">
        <f>H68</f>
        <v>54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4/2</v>
      </c>
      <c r="AH68" s="36" t="str">
        <f>IF(A68="","",A68)</f>
        <v>수원화서역동문굿모닝힐</v>
      </c>
      <c r="AI68" s="106">
        <f>IF(E68="","",E68)</f>
        <v>43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X</v>
      </c>
      <c r="AU68" s="113" t="str">
        <f>IF(C68="","",IF(C68&gt;=$AU$1,"O","X"))</f>
        <v>X</v>
      </c>
      <c r="AV68" s="113" t="str">
        <f>IF(AO68="","",IF(AND(AO68="O",AP68="O",AR68="O",AT68="O",AU68="O"),"후보","X"))</f>
        <v/>
      </c>
    </row>
  </sheetData>
  <mergeCells count="1">
    <mergeCell ref="AJ1:AN1"/>
  </mergeCells>
  <phoneticPr fontId="2" type="noConversion"/>
  <conditionalFormatting sqref="AV4:AV6">
    <cfRule type="expression" dxfId="897" priority="960">
      <formula>AV4="X"</formula>
    </cfRule>
    <cfRule type="expression" dxfId="896" priority="961">
      <formula>AV4="후보"</formula>
    </cfRule>
  </conditionalFormatting>
  <conditionalFormatting sqref="Z2:Z6">
    <cfRule type="colorScale" priority="9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895" priority="957" operator="greaterThan">
      <formula>0.9</formula>
    </cfRule>
    <cfRule type="cellIs" dxfId="894" priority="958" operator="greaterThan">
      <formula>0.85</formula>
    </cfRule>
  </conditionalFormatting>
  <conditionalFormatting sqref="N1:N2">
    <cfRule type="cellIs" dxfId="893" priority="955" operator="greaterThan">
      <formula>0.9</formula>
    </cfRule>
    <cfRule type="cellIs" dxfId="892" priority="956" operator="greaterThan">
      <formula>0.85</formula>
    </cfRule>
  </conditionalFormatting>
  <conditionalFormatting sqref="N6">
    <cfRule type="cellIs" dxfId="891" priority="953" operator="greaterThan">
      <formula>0.9</formula>
    </cfRule>
    <cfRule type="cellIs" dxfId="890" priority="954" operator="greaterThan">
      <formula>0.85</formula>
    </cfRule>
  </conditionalFormatting>
  <conditionalFormatting sqref="E6">
    <cfRule type="expression" dxfId="889" priority="949">
      <formula>AND(IF(OR($Q6=1,$Q6=2),1,0),IF($X6&lt;=20,1,0))</formula>
    </cfRule>
    <cfRule type="expression" dxfId="888" priority="950">
      <formula>AND(IF($Q6=2,1,0),IF($X6&lt;30,1,0))</formula>
    </cfRule>
    <cfRule type="expression" dxfId="887" priority="951">
      <formula>AND(IF($Q6=3,1,0),IF($X6&lt;30,1,0))</formula>
    </cfRule>
    <cfRule type="expression" dxfId="886" priority="952">
      <formula>AND(IF($Q6=3,1,IF($Q6=4,1,0)),IF($F6&lt;=85,1,0))</formula>
    </cfRule>
  </conditionalFormatting>
  <conditionalFormatting sqref="X6">
    <cfRule type="expression" dxfId="885" priority="945">
      <formula>AND(IF(OR($Q6=1,$Q6=2),1,0),IF($X6&lt;=20,1,0))</formula>
    </cfRule>
    <cfRule type="expression" dxfId="884" priority="946">
      <formula>AND(IF($Q6=2,1,0),IF($X6&lt;30,1,0))</formula>
    </cfRule>
    <cfRule type="expression" dxfId="883" priority="947">
      <formula>AND(IF($Q6=3,1,0),IF($X6&lt;30,1,0))</formula>
    </cfRule>
    <cfRule type="expression" dxfId="882" priority="948">
      <formula>AND(IF($Q6=3,1,IF($Q6=4,1,0)),IF($F6&lt;=85,1,0))</formula>
    </cfRule>
  </conditionalFormatting>
  <conditionalFormatting sqref="AI6">
    <cfRule type="expression" dxfId="881" priority="941">
      <formula>AND(IF(OR($Q6=1,$Q6=2),1,0),IF($X6&lt;=20,1,0))</formula>
    </cfRule>
    <cfRule type="expression" dxfId="880" priority="942">
      <formula>AND(IF($Q6=2,1,0),IF($X6&lt;30,1,0))</formula>
    </cfRule>
    <cfRule type="expression" dxfId="879" priority="943">
      <formula>AND(IF($Q6=3,1,0),IF($X6&lt;30,1,0))</formula>
    </cfRule>
    <cfRule type="expression" dxfId="878" priority="944">
      <formula>AND(IF($Q6=3,1,IF($Q6=4,1,0)),IF($F6&lt;=85,1,0))</formula>
    </cfRule>
  </conditionalFormatting>
  <conditionalFormatting sqref="AV7">
    <cfRule type="expression" dxfId="877" priority="939">
      <formula>AV7="X"</formula>
    </cfRule>
    <cfRule type="expression" dxfId="876" priority="940">
      <formula>AV7="후보"</formula>
    </cfRule>
  </conditionalFormatting>
  <conditionalFormatting sqref="Z7">
    <cfRule type="colorScale" priority="9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875" priority="936" operator="greaterThan">
      <formula>0.9</formula>
    </cfRule>
    <cfRule type="cellIs" dxfId="874" priority="937" operator="greaterThan">
      <formula>0.85</formula>
    </cfRule>
  </conditionalFormatting>
  <conditionalFormatting sqref="N7">
    <cfRule type="cellIs" dxfId="873" priority="934" operator="greaterThan">
      <formula>0.9</formula>
    </cfRule>
    <cfRule type="cellIs" dxfId="872" priority="935" operator="greaterThan">
      <formula>0.85</formula>
    </cfRule>
  </conditionalFormatting>
  <conditionalFormatting sqref="E7">
    <cfRule type="expression" dxfId="871" priority="930">
      <formula>AND(IF(OR($Q7=1,$Q7=2),1,0),IF($X7&lt;=20,1,0))</formula>
    </cfRule>
    <cfRule type="expression" dxfId="870" priority="931">
      <formula>AND(IF($Q7=2,1,0),IF($X7&lt;30,1,0))</formula>
    </cfRule>
    <cfRule type="expression" dxfId="869" priority="932">
      <formula>AND(IF($Q7=3,1,0),IF($X7&lt;30,1,0))</formula>
    </cfRule>
    <cfRule type="expression" dxfId="868" priority="933">
      <formula>AND(IF($Q7=3,1,IF($Q7=4,1,0)),IF($F7&lt;=85,1,0))</formula>
    </cfRule>
  </conditionalFormatting>
  <conditionalFormatting sqref="X7">
    <cfRule type="expression" dxfId="867" priority="926">
      <formula>AND(IF(OR($Q7=1,$Q7=2),1,0),IF($X7&lt;=20,1,0))</formula>
    </cfRule>
    <cfRule type="expression" dxfId="866" priority="927">
      <formula>AND(IF($Q7=2,1,0),IF($X7&lt;30,1,0))</formula>
    </cfRule>
    <cfRule type="expression" dxfId="865" priority="928">
      <formula>AND(IF($Q7=3,1,0),IF($X7&lt;30,1,0))</formula>
    </cfRule>
    <cfRule type="expression" dxfId="864" priority="929">
      <formula>AND(IF($Q7=3,1,IF($Q7=4,1,0)),IF($F7&lt;=85,1,0))</formula>
    </cfRule>
  </conditionalFormatting>
  <conditionalFormatting sqref="AI7">
    <cfRule type="expression" dxfId="863" priority="922">
      <formula>AND(IF(OR($Q7=1,$Q7=2),1,0),IF($X7&lt;=20,1,0))</formula>
    </cfRule>
    <cfRule type="expression" dxfId="862" priority="923">
      <formula>AND(IF($Q7=2,1,0),IF($X7&lt;30,1,0))</formula>
    </cfRule>
    <cfRule type="expression" dxfId="861" priority="924">
      <formula>AND(IF($Q7=3,1,0),IF($X7&lt;30,1,0))</formula>
    </cfRule>
    <cfRule type="expression" dxfId="860" priority="925">
      <formula>AND(IF($Q7=3,1,IF($Q7=4,1,0)),IF($F7&lt;=85,1,0))</formula>
    </cfRule>
  </conditionalFormatting>
  <conditionalFormatting sqref="AV8">
    <cfRule type="expression" dxfId="859" priority="920">
      <formula>AV8="X"</formula>
    </cfRule>
    <cfRule type="expression" dxfId="858" priority="921">
      <formula>AV8="후보"</formula>
    </cfRule>
  </conditionalFormatting>
  <conditionalFormatting sqref="Z8">
    <cfRule type="colorScale" priority="9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 N8">
    <cfRule type="cellIs" dxfId="857" priority="917" operator="greaterThan">
      <formula>0.9</formula>
    </cfRule>
    <cfRule type="cellIs" dxfId="856" priority="918" operator="greaterThan">
      <formula>0.85</formula>
    </cfRule>
  </conditionalFormatting>
  <conditionalFormatting sqref="AV9">
    <cfRule type="expression" dxfId="855" priority="915">
      <formula>AV9="X"</formula>
    </cfRule>
    <cfRule type="expression" dxfId="854" priority="916">
      <formula>AV9="후보"</formula>
    </cfRule>
  </conditionalFormatting>
  <conditionalFormatting sqref="Z9">
    <cfRule type="colorScale" priority="9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853" priority="912" operator="greaterThan">
      <formula>0.9</formula>
    </cfRule>
    <cfRule type="cellIs" dxfId="852" priority="913" operator="greaterThan">
      <formula>0.85</formula>
    </cfRule>
  </conditionalFormatting>
  <conditionalFormatting sqref="N9">
    <cfRule type="cellIs" dxfId="851" priority="910" operator="greaterThan">
      <formula>0.9</formula>
    </cfRule>
    <cfRule type="cellIs" dxfId="850" priority="911" operator="greaterThan">
      <formula>0.85</formula>
    </cfRule>
  </conditionalFormatting>
  <conditionalFormatting sqref="E9">
    <cfRule type="expression" dxfId="849" priority="906">
      <formula>AND(IF(OR($Q9=1,$Q9=2),1,0),IF($X9&lt;=20,1,0))</formula>
    </cfRule>
    <cfRule type="expression" dxfId="848" priority="907">
      <formula>AND(IF($Q9=2,1,0),IF($X9&lt;30,1,0))</formula>
    </cfRule>
    <cfRule type="expression" dxfId="847" priority="908">
      <formula>AND(IF($Q9=3,1,0),IF($X9&lt;30,1,0))</formula>
    </cfRule>
    <cfRule type="expression" dxfId="846" priority="909">
      <formula>AND(IF($Q9=3,1,IF($Q9=4,1,0)),IF($F9&lt;=85,1,0))</formula>
    </cfRule>
  </conditionalFormatting>
  <conditionalFormatting sqref="X9">
    <cfRule type="expression" dxfId="845" priority="902">
      <formula>AND(IF(OR($Q9=1,$Q9=2),1,0),IF($X9&lt;=20,1,0))</formula>
    </cfRule>
    <cfRule type="expression" dxfId="844" priority="903">
      <formula>AND(IF($Q9=2,1,0),IF($X9&lt;30,1,0))</formula>
    </cfRule>
    <cfRule type="expression" dxfId="843" priority="904">
      <formula>AND(IF($Q9=3,1,0),IF($X9&lt;30,1,0))</formula>
    </cfRule>
    <cfRule type="expression" dxfId="842" priority="905">
      <formula>AND(IF($Q9=3,1,IF($Q9=4,1,0)),IF($F9&lt;=85,1,0))</formula>
    </cfRule>
  </conditionalFormatting>
  <conditionalFormatting sqref="AI9">
    <cfRule type="expression" dxfId="841" priority="898">
      <formula>AND(IF(OR($Q9=1,$Q9=2),1,0),IF($X9&lt;=20,1,0))</formula>
    </cfRule>
    <cfRule type="expression" dxfId="840" priority="899">
      <formula>AND(IF($Q9=2,1,0),IF($X9&lt;30,1,0))</formula>
    </cfRule>
    <cfRule type="expression" dxfId="839" priority="900">
      <formula>AND(IF($Q9=3,1,0),IF($X9&lt;30,1,0))</formula>
    </cfRule>
    <cfRule type="expression" dxfId="838" priority="901">
      <formula>AND(IF($Q9=3,1,IF($Q9=4,1,0)),IF($F9&lt;=85,1,0))</formula>
    </cfRule>
  </conditionalFormatting>
  <conditionalFormatting sqref="AV10">
    <cfRule type="expression" dxfId="837" priority="896">
      <formula>AV10="X"</formula>
    </cfRule>
    <cfRule type="expression" dxfId="836" priority="897">
      <formula>AV10="후보"</formula>
    </cfRule>
  </conditionalFormatting>
  <conditionalFormatting sqref="Z10">
    <cfRule type="colorScale" priority="8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835" priority="893" operator="greaterThan">
      <formula>0.9</formula>
    </cfRule>
    <cfRule type="cellIs" dxfId="834" priority="894" operator="greaterThan">
      <formula>0.85</formula>
    </cfRule>
  </conditionalFormatting>
  <conditionalFormatting sqref="N10">
    <cfRule type="cellIs" dxfId="833" priority="891" operator="greaterThan">
      <formula>0.9</formula>
    </cfRule>
    <cfRule type="cellIs" dxfId="832" priority="892" operator="greaterThan">
      <formula>0.85</formula>
    </cfRule>
  </conditionalFormatting>
  <conditionalFormatting sqref="E10">
    <cfRule type="expression" dxfId="831" priority="887">
      <formula>AND(IF(OR($Q10=1,$Q10=2),1,0),IF($X10&lt;=20,1,0))</formula>
    </cfRule>
    <cfRule type="expression" dxfId="830" priority="888">
      <formula>AND(IF($Q10=2,1,0),IF($X10&lt;30,1,0))</formula>
    </cfRule>
    <cfRule type="expression" dxfId="829" priority="889">
      <formula>AND(IF($Q10=3,1,0),IF($X10&lt;30,1,0))</formula>
    </cfRule>
    <cfRule type="expression" dxfId="828" priority="890">
      <formula>AND(IF($Q10=3,1,IF($Q10=4,1,0)),IF($F10&lt;=85,1,0))</formula>
    </cfRule>
  </conditionalFormatting>
  <conditionalFormatting sqref="X10">
    <cfRule type="expression" dxfId="827" priority="883">
      <formula>AND(IF(OR($Q10=1,$Q10=2),1,0),IF($X10&lt;=20,1,0))</formula>
    </cfRule>
    <cfRule type="expression" dxfId="826" priority="884">
      <formula>AND(IF($Q10=2,1,0),IF($X10&lt;30,1,0))</formula>
    </cfRule>
    <cfRule type="expression" dxfId="825" priority="885">
      <formula>AND(IF($Q10=3,1,0),IF($X10&lt;30,1,0))</formula>
    </cfRule>
    <cfRule type="expression" dxfId="824" priority="886">
      <formula>AND(IF($Q10=3,1,IF($Q10=4,1,0)),IF($F10&lt;=85,1,0))</formula>
    </cfRule>
  </conditionalFormatting>
  <conditionalFormatting sqref="AI10">
    <cfRule type="expression" dxfId="823" priority="879">
      <formula>AND(IF(OR($Q10=1,$Q10=2),1,0),IF($X10&lt;=20,1,0))</formula>
    </cfRule>
    <cfRule type="expression" dxfId="822" priority="880">
      <formula>AND(IF($Q10=2,1,0),IF($X10&lt;30,1,0))</formula>
    </cfRule>
    <cfRule type="expression" dxfId="821" priority="881">
      <formula>AND(IF($Q10=3,1,0),IF($X10&lt;30,1,0))</formula>
    </cfRule>
    <cfRule type="expression" dxfId="820" priority="882">
      <formula>AND(IF($Q10=3,1,IF($Q10=4,1,0)),IF($F10&lt;=85,1,0))</formula>
    </cfRule>
  </conditionalFormatting>
  <conditionalFormatting sqref="AV11">
    <cfRule type="expression" dxfId="819" priority="877">
      <formula>AV11="X"</formula>
    </cfRule>
    <cfRule type="expression" dxfId="818" priority="878">
      <formula>AV11="후보"</formula>
    </cfRule>
  </conditionalFormatting>
  <conditionalFormatting sqref="Z11">
    <cfRule type="colorScale" priority="8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817" priority="874" operator="greaterThan">
      <formula>0.9</formula>
    </cfRule>
    <cfRule type="cellIs" dxfId="816" priority="875" operator="greaterThan">
      <formula>0.85</formula>
    </cfRule>
  </conditionalFormatting>
  <conditionalFormatting sqref="N11">
    <cfRule type="cellIs" dxfId="815" priority="872" operator="greaterThan">
      <formula>0.9</formula>
    </cfRule>
    <cfRule type="cellIs" dxfId="814" priority="873" operator="greaterThan">
      <formula>0.85</formula>
    </cfRule>
  </conditionalFormatting>
  <conditionalFormatting sqref="E11">
    <cfRule type="expression" dxfId="813" priority="868">
      <formula>AND(IF(OR($Q11=1,$Q11=2),1,0),IF($X11&lt;=20,1,0))</formula>
    </cfRule>
    <cfRule type="expression" dxfId="812" priority="869">
      <formula>AND(IF($Q11=2,1,0),IF($X11&lt;30,1,0))</formula>
    </cfRule>
    <cfRule type="expression" dxfId="811" priority="870">
      <formula>AND(IF($Q11=3,1,0),IF($X11&lt;30,1,0))</formula>
    </cfRule>
    <cfRule type="expression" dxfId="810" priority="871">
      <formula>AND(IF($Q11=3,1,IF($Q11=4,1,0)),IF($F11&lt;=85,1,0))</formula>
    </cfRule>
  </conditionalFormatting>
  <conditionalFormatting sqref="X11">
    <cfRule type="expression" dxfId="809" priority="864">
      <formula>AND(IF(OR($Q11=1,$Q11=2),1,0),IF($X11&lt;=20,1,0))</formula>
    </cfRule>
    <cfRule type="expression" dxfId="808" priority="865">
      <formula>AND(IF($Q11=2,1,0),IF($X11&lt;30,1,0))</formula>
    </cfRule>
    <cfRule type="expression" dxfId="807" priority="866">
      <formula>AND(IF($Q11=3,1,0),IF($X11&lt;30,1,0))</formula>
    </cfRule>
    <cfRule type="expression" dxfId="806" priority="867">
      <formula>AND(IF($Q11=3,1,IF($Q11=4,1,0)),IF($F11&lt;=85,1,0))</formula>
    </cfRule>
  </conditionalFormatting>
  <conditionalFormatting sqref="AI11">
    <cfRule type="expression" dxfId="805" priority="860">
      <formula>AND(IF(OR($Q11=1,$Q11=2),1,0),IF($X11&lt;=20,1,0))</formula>
    </cfRule>
    <cfRule type="expression" dxfId="804" priority="861">
      <formula>AND(IF($Q11=2,1,0),IF($X11&lt;30,1,0))</formula>
    </cfRule>
    <cfRule type="expression" dxfId="803" priority="862">
      <formula>AND(IF($Q11=3,1,0),IF($X11&lt;30,1,0))</formula>
    </cfRule>
    <cfRule type="expression" dxfId="802" priority="863">
      <formula>AND(IF($Q11=3,1,IF($Q11=4,1,0)),IF($F11&lt;=85,1,0))</formula>
    </cfRule>
  </conditionalFormatting>
  <conditionalFormatting sqref="AV12">
    <cfRule type="expression" dxfId="801" priority="858">
      <formula>AV12="X"</formula>
    </cfRule>
    <cfRule type="expression" dxfId="800" priority="859">
      <formula>AV12="후보"</formula>
    </cfRule>
  </conditionalFormatting>
  <conditionalFormatting sqref="Z12">
    <cfRule type="colorScale" priority="8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799" priority="855" operator="greaterThan">
      <formula>0.9</formula>
    </cfRule>
    <cfRule type="cellIs" dxfId="798" priority="856" operator="greaterThan">
      <formula>0.85</formula>
    </cfRule>
  </conditionalFormatting>
  <conditionalFormatting sqref="N12">
    <cfRule type="cellIs" dxfId="797" priority="853" operator="greaterThan">
      <formula>0.9</formula>
    </cfRule>
    <cfRule type="cellIs" dxfId="796" priority="854" operator="greaterThan">
      <formula>0.85</formula>
    </cfRule>
  </conditionalFormatting>
  <conditionalFormatting sqref="E12">
    <cfRule type="expression" dxfId="795" priority="849">
      <formula>AND(IF(OR($Q12=1,$Q12=2),1,0),IF($X12&lt;=20,1,0))</formula>
    </cfRule>
    <cfRule type="expression" dxfId="794" priority="850">
      <formula>AND(IF($Q12=2,1,0),IF($X12&lt;30,1,0))</formula>
    </cfRule>
    <cfRule type="expression" dxfId="793" priority="851">
      <formula>AND(IF($Q12=3,1,0),IF($X12&lt;30,1,0))</formula>
    </cfRule>
    <cfRule type="expression" dxfId="792" priority="852">
      <formula>AND(IF($Q12=3,1,IF($Q12=4,1,0)),IF($F12&lt;=85,1,0))</formula>
    </cfRule>
  </conditionalFormatting>
  <conditionalFormatting sqref="X12">
    <cfRule type="expression" dxfId="791" priority="845">
      <formula>AND(IF(OR($Q12=1,$Q12=2),1,0),IF($X12&lt;=20,1,0))</formula>
    </cfRule>
    <cfRule type="expression" dxfId="790" priority="846">
      <formula>AND(IF($Q12=2,1,0),IF($X12&lt;30,1,0))</formula>
    </cfRule>
    <cfRule type="expression" dxfId="789" priority="847">
      <formula>AND(IF($Q12=3,1,0),IF($X12&lt;30,1,0))</formula>
    </cfRule>
    <cfRule type="expression" dxfId="788" priority="848">
      <formula>AND(IF($Q12=3,1,IF($Q12=4,1,0)),IF($F12&lt;=85,1,0))</formula>
    </cfRule>
  </conditionalFormatting>
  <conditionalFormatting sqref="AI12">
    <cfRule type="expression" dxfId="787" priority="841">
      <formula>AND(IF(OR($Q12=1,$Q12=2),1,0),IF($X12&lt;=20,1,0))</formula>
    </cfRule>
    <cfRule type="expression" dxfId="786" priority="842">
      <formula>AND(IF($Q12=2,1,0),IF($X12&lt;30,1,0))</formula>
    </cfRule>
    <cfRule type="expression" dxfId="785" priority="843">
      <formula>AND(IF($Q12=3,1,0),IF($X12&lt;30,1,0))</formula>
    </cfRule>
    <cfRule type="expression" dxfId="784" priority="844">
      <formula>AND(IF($Q12=3,1,IF($Q12=4,1,0)),IF($F12&lt;=85,1,0))</formula>
    </cfRule>
  </conditionalFormatting>
  <conditionalFormatting sqref="AV13">
    <cfRule type="expression" dxfId="783" priority="839">
      <formula>AV13="X"</formula>
    </cfRule>
    <cfRule type="expression" dxfId="782" priority="840">
      <formula>AV13="후보"</formula>
    </cfRule>
  </conditionalFormatting>
  <conditionalFormatting sqref="Z13">
    <cfRule type="colorScale" priority="8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781" priority="836" operator="greaterThan">
      <formula>0.9</formula>
    </cfRule>
    <cfRule type="cellIs" dxfId="780" priority="837" operator="greaterThan">
      <formula>0.85</formula>
    </cfRule>
  </conditionalFormatting>
  <conditionalFormatting sqref="N13">
    <cfRule type="cellIs" dxfId="779" priority="834" operator="greaterThan">
      <formula>0.9</formula>
    </cfRule>
    <cfRule type="cellIs" dxfId="778" priority="835" operator="greaterThan">
      <formula>0.85</formula>
    </cfRule>
  </conditionalFormatting>
  <conditionalFormatting sqref="E13">
    <cfRule type="expression" dxfId="777" priority="830">
      <formula>AND(IF(OR($Q13=1,$Q13=2),1,0),IF($X13&lt;=20,1,0))</formula>
    </cfRule>
    <cfRule type="expression" dxfId="776" priority="831">
      <formula>AND(IF($Q13=2,1,0),IF($X13&lt;30,1,0))</formula>
    </cfRule>
    <cfRule type="expression" dxfId="775" priority="832">
      <formula>AND(IF($Q13=3,1,0),IF($X13&lt;30,1,0))</formula>
    </cfRule>
    <cfRule type="expression" dxfId="774" priority="833">
      <formula>AND(IF($Q13=3,1,IF($Q13=4,1,0)),IF($F13&lt;=85,1,0))</formula>
    </cfRule>
  </conditionalFormatting>
  <conditionalFormatting sqref="X13">
    <cfRule type="expression" dxfId="773" priority="826">
      <formula>AND(IF(OR($Q13=1,$Q13=2),1,0),IF($X13&lt;=20,1,0))</formula>
    </cfRule>
    <cfRule type="expression" dxfId="772" priority="827">
      <formula>AND(IF($Q13=2,1,0),IF($X13&lt;30,1,0))</formula>
    </cfRule>
    <cfRule type="expression" dxfId="771" priority="828">
      <formula>AND(IF($Q13=3,1,0),IF($X13&lt;30,1,0))</formula>
    </cfRule>
    <cfRule type="expression" dxfId="770" priority="829">
      <formula>AND(IF($Q13=3,1,IF($Q13=4,1,0)),IF($F13&lt;=85,1,0))</formula>
    </cfRule>
  </conditionalFormatting>
  <conditionalFormatting sqref="AI13">
    <cfRule type="expression" dxfId="769" priority="822">
      <formula>AND(IF(OR($Q13=1,$Q13=2),1,0),IF($X13&lt;=20,1,0))</formula>
    </cfRule>
    <cfRule type="expression" dxfId="768" priority="823">
      <formula>AND(IF($Q13=2,1,0),IF($X13&lt;30,1,0))</formula>
    </cfRule>
    <cfRule type="expression" dxfId="767" priority="824">
      <formula>AND(IF($Q13=3,1,0),IF($X13&lt;30,1,0))</formula>
    </cfRule>
    <cfRule type="expression" dxfId="766" priority="825">
      <formula>AND(IF($Q13=3,1,IF($Q13=4,1,0)),IF($F13&lt;=85,1,0))</formula>
    </cfRule>
  </conditionalFormatting>
  <conditionalFormatting sqref="AV14">
    <cfRule type="expression" dxfId="765" priority="820">
      <formula>AV14="X"</formula>
    </cfRule>
    <cfRule type="expression" dxfId="764" priority="821">
      <formula>AV14="후보"</formula>
    </cfRule>
  </conditionalFormatting>
  <conditionalFormatting sqref="Z14">
    <cfRule type="colorScale" priority="8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763" priority="817" operator="greaterThan">
      <formula>0.9</formula>
    </cfRule>
    <cfRule type="cellIs" dxfId="762" priority="818" operator="greaterThan">
      <formula>0.85</formula>
    </cfRule>
  </conditionalFormatting>
  <conditionalFormatting sqref="N14">
    <cfRule type="cellIs" dxfId="761" priority="815" operator="greaterThan">
      <formula>0.9</formula>
    </cfRule>
    <cfRule type="cellIs" dxfId="760" priority="816" operator="greaterThan">
      <formula>0.85</formula>
    </cfRule>
  </conditionalFormatting>
  <conditionalFormatting sqref="E14">
    <cfRule type="expression" dxfId="759" priority="811">
      <formula>AND(IF(OR($Q14=1,$Q14=2),1,0),IF($X14&lt;=20,1,0))</formula>
    </cfRule>
    <cfRule type="expression" dxfId="758" priority="812">
      <formula>AND(IF($Q14=2,1,0),IF($X14&lt;30,1,0))</formula>
    </cfRule>
    <cfRule type="expression" dxfId="757" priority="813">
      <formula>AND(IF($Q14=3,1,0),IF($X14&lt;30,1,0))</formula>
    </cfRule>
    <cfRule type="expression" dxfId="756" priority="814">
      <formula>AND(IF($Q14=3,1,IF($Q14=4,1,0)),IF($F14&lt;=85,1,0))</formula>
    </cfRule>
  </conditionalFormatting>
  <conditionalFormatting sqref="X14">
    <cfRule type="expression" dxfId="755" priority="807">
      <formula>AND(IF(OR($Q14=1,$Q14=2),1,0),IF($X14&lt;=20,1,0))</formula>
    </cfRule>
    <cfRule type="expression" dxfId="754" priority="808">
      <formula>AND(IF($Q14=2,1,0),IF($X14&lt;30,1,0))</formula>
    </cfRule>
    <cfRule type="expression" dxfId="753" priority="809">
      <formula>AND(IF($Q14=3,1,0),IF($X14&lt;30,1,0))</formula>
    </cfRule>
    <cfRule type="expression" dxfId="752" priority="810">
      <formula>AND(IF($Q14=3,1,IF($Q14=4,1,0)),IF($F14&lt;=85,1,0))</formula>
    </cfRule>
  </conditionalFormatting>
  <conditionalFormatting sqref="AI14">
    <cfRule type="expression" dxfId="751" priority="803">
      <formula>AND(IF(OR($Q14=1,$Q14=2),1,0),IF($X14&lt;=20,1,0))</formula>
    </cfRule>
    <cfRule type="expression" dxfId="750" priority="804">
      <formula>AND(IF($Q14=2,1,0),IF($X14&lt;30,1,0))</formula>
    </cfRule>
    <cfRule type="expression" dxfId="749" priority="805">
      <formula>AND(IF($Q14=3,1,0),IF($X14&lt;30,1,0))</formula>
    </cfRule>
    <cfRule type="expression" dxfId="748" priority="806">
      <formula>AND(IF($Q14=3,1,IF($Q14=4,1,0)),IF($F14&lt;=85,1,0))</formula>
    </cfRule>
  </conditionalFormatting>
  <conditionalFormatting sqref="AV15">
    <cfRule type="expression" dxfId="747" priority="801">
      <formula>AV15="X"</formula>
    </cfRule>
    <cfRule type="expression" dxfId="746" priority="802">
      <formula>AV15="후보"</formula>
    </cfRule>
  </conditionalFormatting>
  <conditionalFormatting sqref="Z15">
    <cfRule type="colorScale" priority="8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 N15">
    <cfRule type="cellIs" dxfId="745" priority="798" operator="greaterThan">
      <formula>0.9</formula>
    </cfRule>
    <cfRule type="cellIs" dxfId="744" priority="799" operator="greaterThan">
      <formula>0.85</formula>
    </cfRule>
  </conditionalFormatting>
  <conditionalFormatting sqref="AV16">
    <cfRule type="expression" dxfId="743" priority="796">
      <formula>AV16="X"</formula>
    </cfRule>
    <cfRule type="expression" dxfId="742" priority="797">
      <formula>AV16="후보"</formula>
    </cfRule>
  </conditionalFormatting>
  <conditionalFormatting sqref="Z16">
    <cfRule type="colorScale" priority="7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741" priority="793" operator="greaterThan">
      <formula>0.9</formula>
    </cfRule>
    <cfRule type="cellIs" dxfId="740" priority="794" operator="greaterThan">
      <formula>0.85</formula>
    </cfRule>
  </conditionalFormatting>
  <conditionalFormatting sqref="N16">
    <cfRule type="cellIs" dxfId="739" priority="791" operator="greaterThan">
      <formula>0.9</formula>
    </cfRule>
    <cfRule type="cellIs" dxfId="738" priority="792" operator="greaterThan">
      <formula>0.85</formula>
    </cfRule>
  </conditionalFormatting>
  <conditionalFormatting sqref="E16">
    <cfRule type="expression" dxfId="737" priority="787">
      <formula>AND(IF(OR($Q16=1,$Q16=2),1,0),IF($X16&lt;=20,1,0))</formula>
    </cfRule>
    <cfRule type="expression" dxfId="736" priority="788">
      <formula>AND(IF($Q16=2,1,0),IF($X16&lt;30,1,0))</formula>
    </cfRule>
    <cfRule type="expression" dxfId="735" priority="789">
      <formula>AND(IF($Q16=3,1,0),IF($X16&lt;30,1,0))</formula>
    </cfRule>
    <cfRule type="expression" dxfId="734" priority="790">
      <formula>AND(IF($Q16=3,1,IF($Q16=4,1,0)),IF($F16&lt;=85,1,0))</formula>
    </cfRule>
  </conditionalFormatting>
  <conditionalFormatting sqref="X16">
    <cfRule type="expression" dxfId="733" priority="783">
      <formula>AND(IF(OR($Q16=1,$Q16=2),1,0),IF($X16&lt;=20,1,0))</formula>
    </cfRule>
    <cfRule type="expression" dxfId="732" priority="784">
      <formula>AND(IF($Q16=2,1,0),IF($X16&lt;30,1,0))</formula>
    </cfRule>
    <cfRule type="expression" dxfId="731" priority="785">
      <formula>AND(IF($Q16=3,1,0),IF($X16&lt;30,1,0))</formula>
    </cfRule>
    <cfRule type="expression" dxfId="730" priority="786">
      <formula>AND(IF($Q16=3,1,IF($Q16=4,1,0)),IF($F16&lt;=85,1,0))</formula>
    </cfRule>
  </conditionalFormatting>
  <conditionalFormatting sqref="AI16">
    <cfRule type="expression" dxfId="729" priority="779">
      <formula>AND(IF(OR($Q16=1,$Q16=2),1,0),IF($X16&lt;=20,1,0))</formula>
    </cfRule>
    <cfRule type="expression" dxfId="728" priority="780">
      <formula>AND(IF($Q16=2,1,0),IF($X16&lt;30,1,0))</formula>
    </cfRule>
    <cfRule type="expression" dxfId="727" priority="781">
      <formula>AND(IF($Q16=3,1,0),IF($X16&lt;30,1,0))</formula>
    </cfRule>
    <cfRule type="expression" dxfId="726" priority="782">
      <formula>AND(IF($Q16=3,1,IF($Q16=4,1,0)),IF($F16&lt;=85,1,0))</formula>
    </cfRule>
  </conditionalFormatting>
  <conditionalFormatting sqref="AV17">
    <cfRule type="expression" dxfId="725" priority="777">
      <formula>AV17="X"</formula>
    </cfRule>
    <cfRule type="expression" dxfId="724" priority="778">
      <formula>AV17="후보"</formula>
    </cfRule>
  </conditionalFormatting>
  <conditionalFormatting sqref="Z17">
    <cfRule type="colorScale" priority="7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723" priority="774" operator="greaterThan">
      <formula>0.9</formula>
    </cfRule>
    <cfRule type="cellIs" dxfId="722" priority="775" operator="greaterThan">
      <formula>0.85</formula>
    </cfRule>
  </conditionalFormatting>
  <conditionalFormatting sqref="N17">
    <cfRule type="cellIs" dxfId="721" priority="772" operator="greaterThan">
      <formula>0.9</formula>
    </cfRule>
    <cfRule type="cellIs" dxfId="720" priority="773" operator="greaterThan">
      <formula>0.85</formula>
    </cfRule>
  </conditionalFormatting>
  <conditionalFormatting sqref="E17">
    <cfRule type="expression" dxfId="719" priority="768">
      <formula>AND(IF(OR($Q17=1,$Q17=2),1,0),IF($X17&lt;=20,1,0))</formula>
    </cfRule>
    <cfRule type="expression" dxfId="718" priority="769">
      <formula>AND(IF($Q17=2,1,0),IF($X17&lt;30,1,0))</formula>
    </cfRule>
    <cfRule type="expression" dxfId="717" priority="770">
      <formula>AND(IF($Q17=3,1,0),IF($X17&lt;30,1,0))</formula>
    </cfRule>
    <cfRule type="expression" dxfId="716" priority="771">
      <formula>AND(IF($Q17=3,1,IF($Q17=4,1,0)),IF($F17&lt;=85,1,0))</formula>
    </cfRule>
  </conditionalFormatting>
  <conditionalFormatting sqref="X17">
    <cfRule type="expression" dxfId="715" priority="764">
      <formula>AND(IF(OR($Q17=1,$Q17=2),1,0),IF($X17&lt;=20,1,0))</formula>
    </cfRule>
    <cfRule type="expression" dxfId="714" priority="765">
      <formula>AND(IF($Q17=2,1,0),IF($X17&lt;30,1,0))</formula>
    </cfRule>
    <cfRule type="expression" dxfId="713" priority="766">
      <formula>AND(IF($Q17=3,1,0),IF($X17&lt;30,1,0))</formula>
    </cfRule>
    <cfRule type="expression" dxfId="712" priority="767">
      <formula>AND(IF($Q17=3,1,IF($Q17=4,1,0)),IF($F17&lt;=85,1,0))</formula>
    </cfRule>
  </conditionalFormatting>
  <conditionalFormatting sqref="AI17">
    <cfRule type="expression" dxfId="711" priority="760">
      <formula>AND(IF(OR($Q17=1,$Q17=2),1,0),IF($X17&lt;=20,1,0))</formula>
    </cfRule>
    <cfRule type="expression" dxfId="710" priority="761">
      <formula>AND(IF($Q17=2,1,0),IF($X17&lt;30,1,0))</formula>
    </cfRule>
    <cfRule type="expression" dxfId="709" priority="762">
      <formula>AND(IF($Q17=3,1,0),IF($X17&lt;30,1,0))</formula>
    </cfRule>
    <cfRule type="expression" dxfId="708" priority="763">
      <formula>AND(IF($Q17=3,1,IF($Q17=4,1,0)),IF($F17&lt;=85,1,0))</formula>
    </cfRule>
  </conditionalFormatting>
  <conditionalFormatting sqref="AV18">
    <cfRule type="expression" dxfId="707" priority="758">
      <formula>AV18="X"</formula>
    </cfRule>
    <cfRule type="expression" dxfId="706" priority="759">
      <formula>AV18="후보"</formula>
    </cfRule>
  </conditionalFormatting>
  <conditionalFormatting sqref="Z18">
    <cfRule type="colorScale" priority="7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 N18">
    <cfRule type="cellIs" dxfId="705" priority="755" operator="greaterThan">
      <formula>0.9</formula>
    </cfRule>
    <cfRule type="cellIs" dxfId="704" priority="756" operator="greaterThan">
      <formula>0.85</formula>
    </cfRule>
  </conditionalFormatting>
  <conditionalFormatting sqref="AV19">
    <cfRule type="expression" dxfId="703" priority="753">
      <formula>AV19="X"</formula>
    </cfRule>
    <cfRule type="expression" dxfId="702" priority="754">
      <formula>AV19="후보"</formula>
    </cfRule>
  </conditionalFormatting>
  <conditionalFormatting sqref="Z19">
    <cfRule type="colorScale" priority="7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701" priority="750" operator="greaterThan">
      <formula>0.9</formula>
    </cfRule>
    <cfRule type="cellIs" dxfId="700" priority="751" operator="greaterThan">
      <formula>0.85</formula>
    </cfRule>
  </conditionalFormatting>
  <conditionalFormatting sqref="N19">
    <cfRule type="cellIs" dxfId="699" priority="748" operator="greaterThan">
      <formula>0.9</formula>
    </cfRule>
    <cfRule type="cellIs" dxfId="698" priority="749" operator="greaterThan">
      <formula>0.85</formula>
    </cfRule>
  </conditionalFormatting>
  <conditionalFormatting sqref="E19">
    <cfRule type="expression" dxfId="697" priority="744">
      <formula>AND(IF(OR($Q19=1,$Q19=2),1,0),IF($X19&lt;=20,1,0))</formula>
    </cfRule>
    <cfRule type="expression" dxfId="696" priority="745">
      <formula>AND(IF($Q19=2,1,0),IF($X19&lt;30,1,0))</formula>
    </cfRule>
    <cfRule type="expression" dxfId="695" priority="746">
      <formula>AND(IF($Q19=3,1,0),IF($X19&lt;30,1,0))</formula>
    </cfRule>
    <cfRule type="expression" dxfId="694" priority="747">
      <formula>AND(IF($Q19=3,1,IF($Q19=4,1,0)),IF($F19&lt;=85,1,0))</formula>
    </cfRule>
  </conditionalFormatting>
  <conditionalFormatting sqref="X19">
    <cfRule type="expression" dxfId="693" priority="740">
      <formula>AND(IF(OR($Q19=1,$Q19=2),1,0),IF($X19&lt;=20,1,0))</formula>
    </cfRule>
    <cfRule type="expression" dxfId="692" priority="741">
      <formula>AND(IF($Q19=2,1,0),IF($X19&lt;30,1,0))</formula>
    </cfRule>
    <cfRule type="expression" dxfId="691" priority="742">
      <formula>AND(IF($Q19=3,1,0),IF($X19&lt;30,1,0))</formula>
    </cfRule>
    <cfRule type="expression" dxfId="690" priority="743">
      <formula>AND(IF($Q19=3,1,IF($Q19=4,1,0)),IF($F19&lt;=85,1,0))</formula>
    </cfRule>
  </conditionalFormatting>
  <conditionalFormatting sqref="AI19">
    <cfRule type="expression" dxfId="689" priority="736">
      <formula>AND(IF(OR($Q19=1,$Q19=2),1,0),IF($X19&lt;=20,1,0))</formula>
    </cfRule>
    <cfRule type="expression" dxfId="688" priority="737">
      <formula>AND(IF($Q19=2,1,0),IF($X19&lt;30,1,0))</formula>
    </cfRule>
    <cfRule type="expression" dxfId="687" priority="738">
      <formula>AND(IF($Q19=3,1,0),IF($X19&lt;30,1,0))</formula>
    </cfRule>
    <cfRule type="expression" dxfId="686" priority="739">
      <formula>AND(IF($Q19=3,1,IF($Q19=4,1,0)),IF($F19&lt;=85,1,0))</formula>
    </cfRule>
  </conditionalFormatting>
  <conditionalFormatting sqref="AV20">
    <cfRule type="expression" dxfId="685" priority="734">
      <formula>AV20="X"</formula>
    </cfRule>
    <cfRule type="expression" dxfId="684" priority="735">
      <formula>AV20="후보"</formula>
    </cfRule>
  </conditionalFormatting>
  <conditionalFormatting sqref="Z20">
    <cfRule type="colorScale" priority="7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 N20">
    <cfRule type="cellIs" dxfId="683" priority="731" operator="greaterThan">
      <formula>0.9</formula>
    </cfRule>
    <cfRule type="cellIs" dxfId="682" priority="732" operator="greaterThan">
      <formula>0.85</formula>
    </cfRule>
  </conditionalFormatting>
  <conditionalFormatting sqref="AV21">
    <cfRule type="expression" dxfId="681" priority="729">
      <formula>AV21="X"</formula>
    </cfRule>
    <cfRule type="expression" dxfId="680" priority="730">
      <formula>AV21="후보"</formula>
    </cfRule>
  </conditionalFormatting>
  <conditionalFormatting sqref="Z21">
    <cfRule type="colorScale" priority="7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679" priority="726" operator="greaterThan">
      <formula>0.9</formula>
    </cfRule>
    <cfRule type="cellIs" dxfId="678" priority="727" operator="greaterThan">
      <formula>0.85</formula>
    </cfRule>
  </conditionalFormatting>
  <conditionalFormatting sqref="N21">
    <cfRule type="cellIs" dxfId="677" priority="724" operator="greaterThan">
      <formula>0.9</formula>
    </cfRule>
    <cfRule type="cellIs" dxfId="676" priority="725" operator="greaterThan">
      <formula>0.85</formula>
    </cfRule>
  </conditionalFormatting>
  <conditionalFormatting sqref="E21">
    <cfRule type="expression" dxfId="675" priority="720">
      <formula>AND(IF(OR($Q21=1,$Q21=2),1,0),IF($X21&lt;=20,1,0))</formula>
    </cfRule>
    <cfRule type="expression" dxfId="674" priority="721">
      <formula>AND(IF($Q21=2,1,0),IF($X21&lt;30,1,0))</formula>
    </cfRule>
    <cfRule type="expression" dxfId="673" priority="722">
      <formula>AND(IF($Q21=3,1,0),IF($X21&lt;30,1,0))</formula>
    </cfRule>
    <cfRule type="expression" dxfId="672" priority="723">
      <formula>AND(IF($Q21=3,1,IF($Q21=4,1,0)),IF($F21&lt;=85,1,0))</formula>
    </cfRule>
  </conditionalFormatting>
  <conditionalFormatting sqref="X21">
    <cfRule type="expression" dxfId="671" priority="716">
      <formula>AND(IF(OR($Q21=1,$Q21=2),1,0),IF($X21&lt;=20,1,0))</formula>
    </cfRule>
    <cfRule type="expression" dxfId="670" priority="717">
      <formula>AND(IF($Q21=2,1,0),IF($X21&lt;30,1,0))</formula>
    </cfRule>
    <cfRule type="expression" dxfId="669" priority="718">
      <formula>AND(IF($Q21=3,1,0),IF($X21&lt;30,1,0))</formula>
    </cfRule>
    <cfRule type="expression" dxfId="668" priority="719">
      <formula>AND(IF($Q21=3,1,IF($Q21=4,1,0)),IF($F21&lt;=85,1,0))</formula>
    </cfRule>
  </conditionalFormatting>
  <conditionalFormatting sqref="AI21">
    <cfRule type="expression" dxfId="667" priority="712">
      <formula>AND(IF(OR($Q21=1,$Q21=2),1,0),IF($X21&lt;=20,1,0))</formula>
    </cfRule>
    <cfRule type="expression" dxfId="666" priority="713">
      <formula>AND(IF($Q21=2,1,0),IF($X21&lt;30,1,0))</formula>
    </cfRule>
    <cfRule type="expression" dxfId="665" priority="714">
      <formula>AND(IF($Q21=3,1,0),IF($X21&lt;30,1,0))</formula>
    </cfRule>
    <cfRule type="expression" dxfId="664" priority="715">
      <formula>AND(IF($Q21=3,1,IF($Q21=4,1,0)),IF($F21&lt;=85,1,0))</formula>
    </cfRule>
  </conditionalFormatting>
  <conditionalFormatting sqref="AV22">
    <cfRule type="expression" dxfId="663" priority="710">
      <formula>AV22="X"</formula>
    </cfRule>
    <cfRule type="expression" dxfId="662" priority="711">
      <formula>AV22="후보"</formula>
    </cfRule>
  </conditionalFormatting>
  <conditionalFormatting sqref="Z22">
    <cfRule type="colorScale" priority="7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 N22">
    <cfRule type="cellIs" dxfId="661" priority="707" operator="greaterThan">
      <formula>0.9</formula>
    </cfRule>
    <cfRule type="cellIs" dxfId="660" priority="708" operator="greaterThan">
      <formula>0.85</formula>
    </cfRule>
  </conditionalFormatting>
  <conditionalFormatting sqref="AV23">
    <cfRule type="expression" dxfId="659" priority="705">
      <formula>AV23="X"</formula>
    </cfRule>
    <cfRule type="expression" dxfId="658" priority="706">
      <formula>AV23="후보"</formula>
    </cfRule>
  </conditionalFormatting>
  <conditionalFormatting sqref="Z23">
    <cfRule type="colorScale" priority="7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657" priority="702" operator="greaterThan">
      <formula>0.9</formula>
    </cfRule>
    <cfRule type="cellIs" dxfId="656" priority="703" operator="greaterThan">
      <formula>0.85</formula>
    </cfRule>
  </conditionalFormatting>
  <conditionalFormatting sqref="N23">
    <cfRule type="cellIs" dxfId="655" priority="700" operator="greaterThan">
      <formula>0.9</formula>
    </cfRule>
    <cfRule type="cellIs" dxfId="654" priority="701" operator="greaterThan">
      <formula>0.85</formula>
    </cfRule>
  </conditionalFormatting>
  <conditionalFormatting sqref="E23">
    <cfRule type="expression" dxfId="653" priority="696">
      <formula>AND(IF(OR($Q23=1,$Q23=2),1,0),IF($X23&lt;=20,1,0))</formula>
    </cfRule>
    <cfRule type="expression" dxfId="652" priority="697">
      <formula>AND(IF($Q23=2,1,0),IF($X23&lt;30,1,0))</formula>
    </cfRule>
    <cfRule type="expression" dxfId="651" priority="698">
      <formula>AND(IF($Q23=3,1,0),IF($X23&lt;30,1,0))</formula>
    </cfRule>
    <cfRule type="expression" dxfId="650" priority="699">
      <formula>AND(IF($Q23=3,1,IF($Q23=4,1,0)),IF($F23&lt;=85,1,0))</formula>
    </cfRule>
  </conditionalFormatting>
  <conditionalFormatting sqref="X23">
    <cfRule type="expression" dxfId="649" priority="692">
      <formula>AND(IF(OR($Q23=1,$Q23=2),1,0),IF($X23&lt;=20,1,0))</formula>
    </cfRule>
    <cfRule type="expression" dxfId="648" priority="693">
      <formula>AND(IF($Q23=2,1,0),IF($X23&lt;30,1,0))</formula>
    </cfRule>
    <cfRule type="expression" dxfId="647" priority="694">
      <formula>AND(IF($Q23=3,1,0),IF($X23&lt;30,1,0))</formula>
    </cfRule>
    <cfRule type="expression" dxfId="646" priority="695">
      <formula>AND(IF($Q23=3,1,IF($Q23=4,1,0)),IF($F23&lt;=85,1,0))</formula>
    </cfRule>
  </conditionalFormatting>
  <conditionalFormatting sqref="AI23">
    <cfRule type="expression" dxfId="645" priority="688">
      <formula>AND(IF(OR($Q23=1,$Q23=2),1,0),IF($X23&lt;=20,1,0))</formula>
    </cfRule>
    <cfRule type="expression" dxfId="644" priority="689">
      <formula>AND(IF($Q23=2,1,0),IF($X23&lt;30,1,0))</formula>
    </cfRule>
    <cfRule type="expression" dxfId="643" priority="690">
      <formula>AND(IF($Q23=3,1,0),IF($X23&lt;30,1,0))</formula>
    </cfRule>
    <cfRule type="expression" dxfId="642" priority="691">
      <formula>AND(IF($Q23=3,1,IF($Q23=4,1,0)),IF($F23&lt;=85,1,0))</formula>
    </cfRule>
  </conditionalFormatting>
  <conditionalFormatting sqref="AV24">
    <cfRule type="expression" dxfId="641" priority="686">
      <formula>AV24="X"</formula>
    </cfRule>
    <cfRule type="expression" dxfId="640" priority="687">
      <formula>AV24="후보"</formula>
    </cfRule>
  </conditionalFormatting>
  <conditionalFormatting sqref="Z24">
    <cfRule type="colorScale" priority="6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639" priority="683" operator="greaterThan">
      <formula>0.9</formula>
    </cfRule>
    <cfRule type="cellIs" dxfId="638" priority="684" operator="greaterThan">
      <formula>0.85</formula>
    </cfRule>
  </conditionalFormatting>
  <conditionalFormatting sqref="N24">
    <cfRule type="cellIs" dxfId="637" priority="681" operator="greaterThan">
      <formula>0.9</formula>
    </cfRule>
    <cfRule type="cellIs" dxfId="636" priority="682" operator="greaterThan">
      <formula>0.85</formula>
    </cfRule>
  </conditionalFormatting>
  <conditionalFormatting sqref="E24">
    <cfRule type="expression" dxfId="635" priority="677">
      <formula>AND(IF(OR($Q24=1,$Q24=2),1,0),IF($X24&lt;=20,1,0))</formula>
    </cfRule>
    <cfRule type="expression" dxfId="634" priority="678">
      <formula>AND(IF($Q24=2,1,0),IF($X24&lt;30,1,0))</formula>
    </cfRule>
    <cfRule type="expression" dxfId="633" priority="679">
      <formula>AND(IF($Q24=3,1,0),IF($X24&lt;30,1,0))</formula>
    </cfRule>
    <cfRule type="expression" dxfId="632" priority="680">
      <formula>AND(IF($Q24=3,1,IF($Q24=4,1,0)),IF($F24&lt;=85,1,0))</formula>
    </cfRule>
  </conditionalFormatting>
  <conditionalFormatting sqref="X24">
    <cfRule type="expression" dxfId="631" priority="673">
      <formula>AND(IF(OR($Q24=1,$Q24=2),1,0),IF($X24&lt;=20,1,0))</formula>
    </cfRule>
    <cfRule type="expression" dxfId="630" priority="674">
      <formula>AND(IF($Q24=2,1,0),IF($X24&lt;30,1,0))</formula>
    </cfRule>
    <cfRule type="expression" dxfId="629" priority="675">
      <formula>AND(IF($Q24=3,1,0),IF($X24&lt;30,1,0))</formula>
    </cfRule>
    <cfRule type="expression" dxfId="628" priority="676">
      <formula>AND(IF($Q24=3,1,IF($Q24=4,1,0)),IF($F24&lt;=85,1,0))</formula>
    </cfRule>
  </conditionalFormatting>
  <conditionalFormatting sqref="AI24">
    <cfRule type="expression" dxfId="627" priority="669">
      <formula>AND(IF(OR($Q24=1,$Q24=2),1,0),IF($X24&lt;=20,1,0))</formula>
    </cfRule>
    <cfRule type="expression" dxfId="626" priority="670">
      <formula>AND(IF($Q24=2,1,0),IF($X24&lt;30,1,0))</formula>
    </cfRule>
    <cfRule type="expression" dxfId="625" priority="671">
      <formula>AND(IF($Q24=3,1,0),IF($X24&lt;30,1,0))</formula>
    </cfRule>
    <cfRule type="expression" dxfId="624" priority="672">
      <formula>AND(IF($Q24=3,1,IF($Q24=4,1,0)),IF($F24&lt;=85,1,0))</formula>
    </cfRule>
  </conditionalFormatting>
  <conditionalFormatting sqref="AV25">
    <cfRule type="expression" dxfId="623" priority="667">
      <formula>AV25="X"</formula>
    </cfRule>
    <cfRule type="expression" dxfId="622" priority="668">
      <formula>AV25="후보"</formula>
    </cfRule>
  </conditionalFormatting>
  <conditionalFormatting sqref="Z25">
    <cfRule type="colorScale" priority="6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621" priority="664" operator="greaterThan">
      <formula>0.9</formula>
    </cfRule>
    <cfRule type="cellIs" dxfId="620" priority="665" operator="greaterThan">
      <formula>0.85</formula>
    </cfRule>
  </conditionalFormatting>
  <conditionalFormatting sqref="N25">
    <cfRule type="cellIs" dxfId="619" priority="662" operator="greaterThan">
      <formula>0.9</formula>
    </cfRule>
    <cfRule type="cellIs" dxfId="618" priority="663" operator="greaterThan">
      <formula>0.85</formula>
    </cfRule>
  </conditionalFormatting>
  <conditionalFormatting sqref="E25">
    <cfRule type="expression" dxfId="617" priority="658">
      <formula>AND(IF(OR($Q25=1,$Q25=2),1,0),IF($X25&lt;=20,1,0))</formula>
    </cfRule>
    <cfRule type="expression" dxfId="616" priority="659">
      <formula>AND(IF($Q25=2,1,0),IF($X25&lt;30,1,0))</formula>
    </cfRule>
    <cfRule type="expression" dxfId="615" priority="660">
      <formula>AND(IF($Q25=3,1,0),IF($X25&lt;30,1,0))</formula>
    </cfRule>
    <cfRule type="expression" dxfId="614" priority="661">
      <formula>AND(IF($Q25=3,1,IF($Q25=4,1,0)),IF($F25&lt;=85,1,0))</formula>
    </cfRule>
  </conditionalFormatting>
  <conditionalFormatting sqref="X25">
    <cfRule type="expression" dxfId="613" priority="654">
      <formula>AND(IF(OR($Q25=1,$Q25=2),1,0),IF($X25&lt;=20,1,0))</formula>
    </cfRule>
    <cfRule type="expression" dxfId="612" priority="655">
      <formula>AND(IF($Q25=2,1,0),IF($X25&lt;30,1,0))</formula>
    </cfRule>
    <cfRule type="expression" dxfId="611" priority="656">
      <formula>AND(IF($Q25=3,1,0),IF($X25&lt;30,1,0))</formula>
    </cfRule>
    <cfRule type="expression" dxfId="610" priority="657">
      <formula>AND(IF($Q25=3,1,IF($Q25=4,1,0)),IF($F25&lt;=85,1,0))</formula>
    </cfRule>
  </conditionalFormatting>
  <conditionalFormatting sqref="AI25">
    <cfRule type="expression" dxfId="609" priority="650">
      <formula>AND(IF(OR($Q25=1,$Q25=2),1,0),IF($X25&lt;=20,1,0))</formula>
    </cfRule>
    <cfRule type="expression" dxfId="608" priority="651">
      <formula>AND(IF($Q25=2,1,0),IF($X25&lt;30,1,0))</formula>
    </cfRule>
    <cfRule type="expression" dxfId="607" priority="652">
      <formula>AND(IF($Q25=3,1,0),IF($X25&lt;30,1,0))</formula>
    </cfRule>
    <cfRule type="expression" dxfId="606" priority="653">
      <formula>AND(IF($Q25=3,1,IF($Q25=4,1,0)),IF($F25&lt;=85,1,0))</formula>
    </cfRule>
  </conditionalFormatting>
  <conditionalFormatting sqref="AV26">
    <cfRule type="expression" dxfId="605" priority="648">
      <formula>AV26="X"</formula>
    </cfRule>
    <cfRule type="expression" dxfId="604" priority="649">
      <formula>AV26="후보"</formula>
    </cfRule>
  </conditionalFormatting>
  <conditionalFormatting sqref="Z26">
    <cfRule type="colorScale" priority="6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603" priority="645" operator="greaterThan">
      <formula>0.9</formula>
    </cfRule>
    <cfRule type="cellIs" dxfId="602" priority="646" operator="greaterThan">
      <formula>0.85</formula>
    </cfRule>
  </conditionalFormatting>
  <conditionalFormatting sqref="N26">
    <cfRule type="cellIs" dxfId="601" priority="643" operator="greaterThan">
      <formula>0.9</formula>
    </cfRule>
    <cfRule type="cellIs" dxfId="600" priority="644" operator="greaterThan">
      <formula>0.85</formula>
    </cfRule>
  </conditionalFormatting>
  <conditionalFormatting sqref="E26">
    <cfRule type="expression" dxfId="599" priority="639">
      <formula>AND(IF(OR($Q26=1,$Q26=2),1,0),IF($X26&lt;=20,1,0))</formula>
    </cfRule>
    <cfRule type="expression" dxfId="598" priority="640">
      <formula>AND(IF($Q26=2,1,0),IF($X26&lt;30,1,0))</formula>
    </cfRule>
    <cfRule type="expression" dxfId="597" priority="641">
      <formula>AND(IF($Q26=3,1,0),IF($X26&lt;30,1,0))</formula>
    </cfRule>
    <cfRule type="expression" dxfId="596" priority="642">
      <formula>AND(IF($Q26=3,1,IF($Q26=4,1,0)),IF($F26&lt;=85,1,0))</formula>
    </cfRule>
  </conditionalFormatting>
  <conditionalFormatting sqref="X26">
    <cfRule type="expression" dxfId="595" priority="635">
      <formula>AND(IF(OR($Q26=1,$Q26=2),1,0),IF($X26&lt;=20,1,0))</formula>
    </cfRule>
    <cfRule type="expression" dxfId="594" priority="636">
      <formula>AND(IF($Q26=2,1,0),IF($X26&lt;30,1,0))</formula>
    </cfRule>
    <cfRule type="expression" dxfId="593" priority="637">
      <formula>AND(IF($Q26=3,1,0),IF($X26&lt;30,1,0))</formula>
    </cfRule>
    <cfRule type="expression" dxfId="592" priority="638">
      <formula>AND(IF($Q26=3,1,IF($Q26=4,1,0)),IF($F26&lt;=85,1,0))</formula>
    </cfRule>
  </conditionalFormatting>
  <conditionalFormatting sqref="AI26">
    <cfRule type="expression" dxfId="591" priority="631">
      <formula>AND(IF(OR($Q26=1,$Q26=2),1,0),IF($X26&lt;=20,1,0))</formula>
    </cfRule>
    <cfRule type="expression" dxfId="590" priority="632">
      <formula>AND(IF($Q26=2,1,0),IF($X26&lt;30,1,0))</formula>
    </cfRule>
    <cfRule type="expression" dxfId="589" priority="633">
      <formula>AND(IF($Q26=3,1,0),IF($X26&lt;30,1,0))</formula>
    </cfRule>
    <cfRule type="expression" dxfId="588" priority="634">
      <formula>AND(IF($Q26=3,1,IF($Q26=4,1,0)),IF($F26&lt;=85,1,0))</formula>
    </cfRule>
  </conditionalFormatting>
  <conditionalFormatting sqref="AV27">
    <cfRule type="expression" dxfId="587" priority="629">
      <formula>AV27="X"</formula>
    </cfRule>
    <cfRule type="expression" dxfId="586" priority="630">
      <formula>AV27="후보"</formula>
    </cfRule>
  </conditionalFormatting>
  <conditionalFormatting sqref="Z27">
    <cfRule type="colorScale" priority="6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585" priority="626" operator="greaterThan">
      <formula>0.9</formula>
    </cfRule>
    <cfRule type="cellIs" dxfId="584" priority="627" operator="greaterThan">
      <formula>0.85</formula>
    </cfRule>
  </conditionalFormatting>
  <conditionalFormatting sqref="N27">
    <cfRule type="cellIs" dxfId="583" priority="624" operator="greaterThan">
      <formula>0.9</formula>
    </cfRule>
    <cfRule type="cellIs" dxfId="582" priority="625" operator="greaterThan">
      <formula>0.85</formula>
    </cfRule>
  </conditionalFormatting>
  <conditionalFormatting sqref="E27">
    <cfRule type="expression" dxfId="581" priority="620">
      <formula>AND(IF(OR($Q27=1,$Q27=2),1,0),IF($X27&lt;=20,1,0))</formula>
    </cfRule>
    <cfRule type="expression" dxfId="580" priority="621">
      <formula>AND(IF($Q27=2,1,0),IF($X27&lt;30,1,0))</formula>
    </cfRule>
    <cfRule type="expression" dxfId="579" priority="622">
      <formula>AND(IF($Q27=3,1,0),IF($X27&lt;30,1,0))</formula>
    </cfRule>
    <cfRule type="expression" dxfId="578" priority="623">
      <formula>AND(IF($Q27=3,1,IF($Q27=4,1,0)),IF($F27&lt;=85,1,0))</formula>
    </cfRule>
  </conditionalFormatting>
  <conditionalFormatting sqref="X27">
    <cfRule type="expression" dxfId="577" priority="616">
      <formula>AND(IF(OR($Q27=1,$Q27=2),1,0),IF($X27&lt;=20,1,0))</formula>
    </cfRule>
    <cfRule type="expression" dxfId="576" priority="617">
      <formula>AND(IF($Q27=2,1,0),IF($X27&lt;30,1,0))</formula>
    </cfRule>
    <cfRule type="expression" dxfId="575" priority="618">
      <formula>AND(IF($Q27=3,1,0),IF($X27&lt;30,1,0))</formula>
    </cfRule>
    <cfRule type="expression" dxfId="574" priority="619">
      <formula>AND(IF($Q27=3,1,IF($Q27=4,1,0)),IF($F27&lt;=85,1,0))</formula>
    </cfRule>
  </conditionalFormatting>
  <conditionalFormatting sqref="AI27">
    <cfRule type="expression" dxfId="573" priority="612">
      <formula>AND(IF(OR($Q27=1,$Q27=2),1,0),IF($X27&lt;=20,1,0))</formula>
    </cfRule>
    <cfRule type="expression" dxfId="572" priority="613">
      <formula>AND(IF($Q27=2,1,0),IF($X27&lt;30,1,0))</formula>
    </cfRule>
    <cfRule type="expression" dxfId="571" priority="614">
      <formula>AND(IF($Q27=3,1,0),IF($X27&lt;30,1,0))</formula>
    </cfRule>
    <cfRule type="expression" dxfId="570" priority="615">
      <formula>AND(IF($Q27=3,1,IF($Q27=4,1,0)),IF($F27&lt;=85,1,0))</formula>
    </cfRule>
  </conditionalFormatting>
  <conditionalFormatting sqref="AV28">
    <cfRule type="expression" dxfId="569" priority="610">
      <formula>AV28="X"</formula>
    </cfRule>
    <cfRule type="expression" dxfId="568" priority="611">
      <formula>AV28="후보"</formula>
    </cfRule>
  </conditionalFormatting>
  <conditionalFormatting sqref="Z28">
    <cfRule type="colorScale" priority="6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 N28">
    <cfRule type="cellIs" dxfId="567" priority="607" operator="greaterThan">
      <formula>0.9</formula>
    </cfRule>
    <cfRule type="cellIs" dxfId="566" priority="608" operator="greaterThan">
      <formula>0.85</formula>
    </cfRule>
  </conditionalFormatting>
  <conditionalFormatting sqref="AV29">
    <cfRule type="expression" dxfId="565" priority="605">
      <formula>AV29="X"</formula>
    </cfRule>
    <cfRule type="expression" dxfId="564" priority="606">
      <formula>AV29="후보"</formula>
    </cfRule>
  </conditionalFormatting>
  <conditionalFormatting sqref="Z29">
    <cfRule type="colorScale" priority="6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563" priority="602" operator="greaterThan">
      <formula>0.9</formula>
    </cfRule>
    <cfRule type="cellIs" dxfId="562" priority="603" operator="greaterThan">
      <formula>0.85</formula>
    </cfRule>
  </conditionalFormatting>
  <conditionalFormatting sqref="N29">
    <cfRule type="cellIs" dxfId="561" priority="600" operator="greaterThan">
      <formula>0.9</formula>
    </cfRule>
    <cfRule type="cellIs" dxfId="560" priority="601" operator="greaterThan">
      <formula>0.85</formula>
    </cfRule>
  </conditionalFormatting>
  <conditionalFormatting sqref="E29">
    <cfRule type="expression" dxfId="559" priority="596">
      <formula>AND(IF(OR($Q29=1,$Q29=2),1,0),IF($X29&lt;=20,1,0))</formula>
    </cfRule>
    <cfRule type="expression" dxfId="558" priority="597">
      <formula>AND(IF($Q29=2,1,0),IF($X29&lt;30,1,0))</formula>
    </cfRule>
    <cfRule type="expression" dxfId="557" priority="598">
      <formula>AND(IF($Q29=3,1,0),IF($X29&lt;30,1,0))</formula>
    </cfRule>
    <cfRule type="expression" dxfId="556" priority="599">
      <formula>AND(IF($Q29=3,1,IF($Q29=4,1,0)),IF($F29&lt;=85,1,0))</formula>
    </cfRule>
  </conditionalFormatting>
  <conditionalFormatting sqref="X29">
    <cfRule type="expression" dxfId="555" priority="592">
      <formula>AND(IF(OR($Q29=1,$Q29=2),1,0),IF($X29&lt;=20,1,0))</formula>
    </cfRule>
    <cfRule type="expression" dxfId="554" priority="593">
      <formula>AND(IF($Q29=2,1,0),IF($X29&lt;30,1,0))</formula>
    </cfRule>
    <cfRule type="expression" dxfId="553" priority="594">
      <formula>AND(IF($Q29=3,1,0),IF($X29&lt;30,1,0))</formula>
    </cfRule>
    <cfRule type="expression" dxfId="552" priority="595">
      <formula>AND(IF($Q29=3,1,IF($Q29=4,1,0)),IF($F29&lt;=85,1,0))</formula>
    </cfRule>
  </conditionalFormatting>
  <conditionalFormatting sqref="AI29">
    <cfRule type="expression" dxfId="551" priority="588">
      <formula>AND(IF(OR($Q29=1,$Q29=2),1,0),IF($X29&lt;=20,1,0))</formula>
    </cfRule>
    <cfRule type="expression" dxfId="550" priority="589">
      <formula>AND(IF($Q29=2,1,0),IF($X29&lt;30,1,0))</formula>
    </cfRule>
    <cfRule type="expression" dxfId="549" priority="590">
      <formula>AND(IF($Q29=3,1,0),IF($X29&lt;30,1,0))</formula>
    </cfRule>
    <cfRule type="expression" dxfId="548" priority="591">
      <formula>AND(IF($Q29=3,1,IF($Q29=4,1,0)),IF($F29&lt;=85,1,0))</formula>
    </cfRule>
  </conditionalFormatting>
  <conditionalFormatting sqref="AV30">
    <cfRule type="expression" dxfId="547" priority="586">
      <formula>AV30="X"</formula>
    </cfRule>
    <cfRule type="expression" dxfId="546" priority="587">
      <formula>AV30="후보"</formula>
    </cfRule>
  </conditionalFormatting>
  <conditionalFormatting sqref="Z30">
    <cfRule type="colorScale" priority="5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 N30">
    <cfRule type="cellIs" dxfId="545" priority="583" operator="greaterThan">
      <formula>0.9</formula>
    </cfRule>
    <cfRule type="cellIs" dxfId="544" priority="584" operator="greaterThan">
      <formula>0.85</formula>
    </cfRule>
  </conditionalFormatting>
  <conditionalFormatting sqref="AV31">
    <cfRule type="expression" dxfId="543" priority="581">
      <formula>AV31="X"</formula>
    </cfRule>
    <cfRule type="expression" dxfId="542" priority="582">
      <formula>AV31="후보"</formula>
    </cfRule>
  </conditionalFormatting>
  <conditionalFormatting sqref="Z31">
    <cfRule type="colorScale" priority="5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541" priority="578" operator="greaterThan">
      <formula>0.9</formula>
    </cfRule>
    <cfRule type="cellIs" dxfId="540" priority="579" operator="greaterThan">
      <formula>0.85</formula>
    </cfRule>
  </conditionalFormatting>
  <conditionalFormatting sqref="N31">
    <cfRule type="cellIs" dxfId="539" priority="576" operator="greaterThan">
      <formula>0.9</formula>
    </cfRule>
    <cfRule type="cellIs" dxfId="538" priority="577" operator="greaterThan">
      <formula>0.85</formula>
    </cfRule>
  </conditionalFormatting>
  <conditionalFormatting sqref="E31">
    <cfRule type="expression" dxfId="537" priority="572">
      <formula>AND(IF(OR($Q31=1,$Q31=2),1,0),IF($X31&lt;=20,1,0))</formula>
    </cfRule>
    <cfRule type="expression" dxfId="536" priority="573">
      <formula>AND(IF($Q31=2,1,0),IF($X31&lt;30,1,0))</formula>
    </cfRule>
    <cfRule type="expression" dxfId="535" priority="574">
      <formula>AND(IF($Q31=3,1,0),IF($X31&lt;30,1,0))</formula>
    </cfRule>
    <cfRule type="expression" dxfId="534" priority="575">
      <formula>AND(IF($Q31=3,1,IF($Q31=4,1,0)),IF($F31&lt;=85,1,0))</formula>
    </cfRule>
  </conditionalFormatting>
  <conditionalFormatting sqref="X31">
    <cfRule type="expression" dxfId="533" priority="568">
      <formula>AND(IF(OR($Q31=1,$Q31=2),1,0),IF($X31&lt;=20,1,0))</formula>
    </cfRule>
    <cfRule type="expression" dxfId="532" priority="569">
      <formula>AND(IF($Q31=2,1,0),IF($X31&lt;30,1,0))</formula>
    </cfRule>
    <cfRule type="expression" dxfId="531" priority="570">
      <formula>AND(IF($Q31=3,1,0),IF($X31&lt;30,1,0))</formula>
    </cfRule>
    <cfRule type="expression" dxfId="530" priority="571">
      <formula>AND(IF($Q31=3,1,IF($Q31=4,1,0)),IF($F31&lt;=85,1,0))</formula>
    </cfRule>
  </conditionalFormatting>
  <conditionalFormatting sqref="AI31">
    <cfRule type="expression" dxfId="529" priority="564">
      <formula>AND(IF(OR($Q31=1,$Q31=2),1,0),IF($X31&lt;=20,1,0))</formula>
    </cfRule>
    <cfRule type="expression" dxfId="528" priority="565">
      <formula>AND(IF($Q31=2,1,0),IF($X31&lt;30,1,0))</formula>
    </cfRule>
    <cfRule type="expression" dxfId="527" priority="566">
      <formula>AND(IF($Q31=3,1,0),IF($X31&lt;30,1,0))</formula>
    </cfRule>
    <cfRule type="expression" dxfId="526" priority="567">
      <formula>AND(IF($Q31=3,1,IF($Q31=4,1,0)),IF($F31&lt;=85,1,0))</formula>
    </cfRule>
  </conditionalFormatting>
  <conditionalFormatting sqref="AV32">
    <cfRule type="expression" dxfId="525" priority="562">
      <formula>AV32="X"</formula>
    </cfRule>
    <cfRule type="expression" dxfId="524" priority="563">
      <formula>AV32="후보"</formula>
    </cfRule>
  </conditionalFormatting>
  <conditionalFormatting sqref="Z32">
    <cfRule type="colorScale" priority="5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 N32">
    <cfRule type="cellIs" dxfId="523" priority="559" operator="greaterThan">
      <formula>0.9</formula>
    </cfRule>
    <cfRule type="cellIs" dxfId="522" priority="560" operator="greaterThan">
      <formula>0.85</formula>
    </cfRule>
  </conditionalFormatting>
  <conditionalFormatting sqref="AV33">
    <cfRule type="expression" dxfId="521" priority="557">
      <formula>AV33="X"</formula>
    </cfRule>
    <cfRule type="expression" dxfId="520" priority="558">
      <formula>AV33="후보"</formula>
    </cfRule>
  </conditionalFormatting>
  <conditionalFormatting sqref="Z33">
    <cfRule type="colorScale" priority="5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519" priority="554" operator="greaterThan">
      <formula>0.9</formula>
    </cfRule>
    <cfRule type="cellIs" dxfId="518" priority="555" operator="greaterThan">
      <formula>0.85</formula>
    </cfRule>
  </conditionalFormatting>
  <conditionalFormatting sqref="N33">
    <cfRule type="cellIs" dxfId="517" priority="552" operator="greaterThan">
      <formula>0.9</formula>
    </cfRule>
    <cfRule type="cellIs" dxfId="516" priority="553" operator="greaterThan">
      <formula>0.85</formula>
    </cfRule>
  </conditionalFormatting>
  <conditionalFormatting sqref="E33">
    <cfRule type="expression" dxfId="515" priority="548">
      <formula>AND(IF(OR($Q33=1,$Q33=2),1,0),IF($X33&lt;=20,1,0))</formula>
    </cfRule>
    <cfRule type="expression" dxfId="514" priority="549">
      <formula>AND(IF($Q33=2,1,0),IF($X33&lt;30,1,0))</formula>
    </cfRule>
    <cfRule type="expression" dxfId="513" priority="550">
      <formula>AND(IF($Q33=3,1,0),IF($X33&lt;30,1,0))</formula>
    </cfRule>
    <cfRule type="expression" dxfId="512" priority="551">
      <formula>AND(IF($Q33=3,1,IF($Q33=4,1,0)),IF($F33&lt;=85,1,0))</formula>
    </cfRule>
  </conditionalFormatting>
  <conditionalFormatting sqref="X33">
    <cfRule type="expression" dxfId="511" priority="544">
      <formula>AND(IF(OR($Q33=1,$Q33=2),1,0),IF($X33&lt;=20,1,0))</formula>
    </cfRule>
    <cfRule type="expression" dxfId="510" priority="545">
      <formula>AND(IF($Q33=2,1,0),IF($X33&lt;30,1,0))</formula>
    </cfRule>
    <cfRule type="expression" dxfId="509" priority="546">
      <formula>AND(IF($Q33=3,1,0),IF($X33&lt;30,1,0))</formula>
    </cfRule>
    <cfRule type="expression" dxfId="508" priority="547">
      <formula>AND(IF($Q33=3,1,IF($Q33=4,1,0)),IF($F33&lt;=85,1,0))</formula>
    </cfRule>
  </conditionalFormatting>
  <conditionalFormatting sqref="AI33">
    <cfRule type="expression" dxfId="507" priority="540">
      <formula>AND(IF(OR($Q33=1,$Q33=2),1,0),IF($X33&lt;=20,1,0))</formula>
    </cfRule>
    <cfRule type="expression" dxfId="506" priority="541">
      <formula>AND(IF($Q33=2,1,0),IF($X33&lt;30,1,0))</formula>
    </cfRule>
    <cfRule type="expression" dxfId="505" priority="542">
      <formula>AND(IF($Q33=3,1,0),IF($X33&lt;30,1,0))</formula>
    </cfRule>
    <cfRule type="expression" dxfId="504" priority="543">
      <formula>AND(IF($Q33=3,1,IF($Q33=4,1,0)),IF($F33&lt;=85,1,0))</formula>
    </cfRule>
  </conditionalFormatting>
  <conditionalFormatting sqref="AV34">
    <cfRule type="expression" dxfId="503" priority="538">
      <formula>AV34="X"</formula>
    </cfRule>
    <cfRule type="expression" dxfId="502" priority="539">
      <formula>AV34="후보"</formula>
    </cfRule>
  </conditionalFormatting>
  <conditionalFormatting sqref="Z34">
    <cfRule type="colorScale" priority="5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501" priority="535" operator="greaterThan">
      <formula>0.9</formula>
    </cfRule>
    <cfRule type="cellIs" dxfId="500" priority="536" operator="greaterThan">
      <formula>0.85</formula>
    </cfRule>
  </conditionalFormatting>
  <conditionalFormatting sqref="N34">
    <cfRule type="cellIs" dxfId="499" priority="533" operator="greaterThan">
      <formula>0.9</formula>
    </cfRule>
    <cfRule type="cellIs" dxfId="498" priority="534" operator="greaterThan">
      <formula>0.85</formula>
    </cfRule>
  </conditionalFormatting>
  <conditionalFormatting sqref="E34">
    <cfRule type="expression" dxfId="497" priority="529">
      <formula>AND(IF(OR($Q34=1,$Q34=2),1,0),IF($X34&lt;=20,1,0))</formula>
    </cfRule>
    <cfRule type="expression" dxfId="496" priority="530">
      <formula>AND(IF($Q34=2,1,0),IF($X34&lt;30,1,0))</formula>
    </cfRule>
    <cfRule type="expression" dxfId="495" priority="531">
      <formula>AND(IF($Q34=3,1,0),IF($X34&lt;30,1,0))</formula>
    </cfRule>
    <cfRule type="expression" dxfId="494" priority="532">
      <formula>AND(IF($Q34=3,1,IF($Q34=4,1,0)),IF($F34&lt;=85,1,0))</formula>
    </cfRule>
  </conditionalFormatting>
  <conditionalFormatting sqref="X34">
    <cfRule type="expression" dxfId="493" priority="525">
      <formula>AND(IF(OR($Q34=1,$Q34=2),1,0),IF($X34&lt;=20,1,0))</formula>
    </cfRule>
    <cfRule type="expression" dxfId="492" priority="526">
      <formula>AND(IF($Q34=2,1,0),IF($X34&lt;30,1,0))</formula>
    </cfRule>
    <cfRule type="expression" dxfId="491" priority="527">
      <formula>AND(IF($Q34=3,1,0),IF($X34&lt;30,1,0))</formula>
    </cfRule>
    <cfRule type="expression" dxfId="490" priority="528">
      <formula>AND(IF($Q34=3,1,IF($Q34=4,1,0)),IF($F34&lt;=85,1,0))</formula>
    </cfRule>
  </conditionalFormatting>
  <conditionalFormatting sqref="AI34">
    <cfRule type="expression" dxfId="489" priority="521">
      <formula>AND(IF(OR($Q34=1,$Q34=2),1,0),IF($X34&lt;=20,1,0))</formula>
    </cfRule>
    <cfRule type="expression" dxfId="488" priority="522">
      <formula>AND(IF($Q34=2,1,0),IF($X34&lt;30,1,0))</formula>
    </cfRule>
    <cfRule type="expression" dxfId="487" priority="523">
      <formula>AND(IF($Q34=3,1,0),IF($X34&lt;30,1,0))</formula>
    </cfRule>
    <cfRule type="expression" dxfId="486" priority="524">
      <formula>AND(IF($Q34=3,1,IF($Q34=4,1,0)),IF($F34&lt;=85,1,0))</formula>
    </cfRule>
  </conditionalFormatting>
  <conditionalFormatting sqref="AV35">
    <cfRule type="expression" dxfId="485" priority="519">
      <formula>AV35="X"</formula>
    </cfRule>
    <cfRule type="expression" dxfId="484" priority="520">
      <formula>AV35="후보"</formula>
    </cfRule>
  </conditionalFormatting>
  <conditionalFormatting sqref="Z35">
    <cfRule type="colorScale" priority="5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483" priority="516" operator="greaterThan">
      <formula>0.9</formula>
    </cfRule>
    <cfRule type="cellIs" dxfId="482" priority="517" operator="greaterThan">
      <formula>0.85</formula>
    </cfRule>
  </conditionalFormatting>
  <conditionalFormatting sqref="N35">
    <cfRule type="cellIs" dxfId="481" priority="514" operator="greaterThan">
      <formula>0.9</formula>
    </cfRule>
    <cfRule type="cellIs" dxfId="480" priority="515" operator="greaterThan">
      <formula>0.85</formula>
    </cfRule>
  </conditionalFormatting>
  <conditionalFormatting sqref="E35">
    <cfRule type="expression" dxfId="479" priority="510">
      <formula>AND(IF(OR($Q35=1,$Q35=2),1,0),IF($X35&lt;=20,1,0))</formula>
    </cfRule>
    <cfRule type="expression" dxfId="478" priority="511">
      <formula>AND(IF($Q35=2,1,0),IF($X35&lt;30,1,0))</formula>
    </cfRule>
    <cfRule type="expression" dxfId="477" priority="512">
      <formula>AND(IF($Q35=3,1,0),IF($X35&lt;30,1,0))</formula>
    </cfRule>
    <cfRule type="expression" dxfId="476" priority="513">
      <formula>AND(IF($Q35=3,1,IF($Q35=4,1,0)),IF($F35&lt;=85,1,0))</formula>
    </cfRule>
  </conditionalFormatting>
  <conditionalFormatting sqref="X35">
    <cfRule type="expression" dxfId="475" priority="506">
      <formula>AND(IF(OR($Q35=1,$Q35=2),1,0),IF($X35&lt;=20,1,0))</formula>
    </cfRule>
    <cfRule type="expression" dxfId="474" priority="507">
      <formula>AND(IF($Q35=2,1,0),IF($X35&lt;30,1,0))</formula>
    </cfRule>
    <cfRule type="expression" dxfId="473" priority="508">
      <formula>AND(IF($Q35=3,1,0),IF($X35&lt;30,1,0))</formula>
    </cfRule>
    <cfRule type="expression" dxfId="472" priority="509">
      <formula>AND(IF($Q35=3,1,IF($Q35=4,1,0)),IF($F35&lt;=85,1,0))</formula>
    </cfRule>
  </conditionalFormatting>
  <conditionalFormatting sqref="AI35">
    <cfRule type="expression" dxfId="471" priority="502">
      <formula>AND(IF(OR($Q35=1,$Q35=2),1,0),IF($X35&lt;=20,1,0))</formula>
    </cfRule>
    <cfRule type="expression" dxfId="470" priority="503">
      <formula>AND(IF($Q35=2,1,0),IF($X35&lt;30,1,0))</formula>
    </cfRule>
    <cfRule type="expression" dxfId="469" priority="504">
      <formula>AND(IF($Q35=3,1,0),IF($X35&lt;30,1,0))</formula>
    </cfRule>
    <cfRule type="expression" dxfId="468" priority="505">
      <formula>AND(IF($Q35=3,1,IF($Q35=4,1,0)),IF($F35&lt;=85,1,0))</formula>
    </cfRule>
  </conditionalFormatting>
  <conditionalFormatting sqref="AV36">
    <cfRule type="expression" dxfId="467" priority="500">
      <formula>AV36="X"</formula>
    </cfRule>
    <cfRule type="expression" dxfId="466" priority="501">
      <formula>AV36="후보"</formula>
    </cfRule>
  </conditionalFormatting>
  <conditionalFormatting sqref="Z36">
    <cfRule type="colorScale" priority="4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 N36">
    <cfRule type="cellIs" dxfId="465" priority="497" operator="greaterThan">
      <formula>0.9</formula>
    </cfRule>
    <cfRule type="cellIs" dxfId="464" priority="498" operator="greaterThan">
      <formula>0.85</formula>
    </cfRule>
  </conditionalFormatting>
  <conditionalFormatting sqref="AV37">
    <cfRule type="expression" dxfId="463" priority="495">
      <formula>AV37="X"</formula>
    </cfRule>
    <cfRule type="expression" dxfId="462" priority="496">
      <formula>AV37="후보"</formula>
    </cfRule>
  </conditionalFormatting>
  <conditionalFormatting sqref="Z37">
    <cfRule type="colorScale" priority="4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461" priority="492" operator="greaterThan">
      <formula>0.9</formula>
    </cfRule>
    <cfRule type="cellIs" dxfId="460" priority="493" operator="greaterThan">
      <formula>0.85</formula>
    </cfRule>
  </conditionalFormatting>
  <conditionalFormatting sqref="N37">
    <cfRule type="cellIs" dxfId="459" priority="490" operator="greaterThan">
      <formula>0.9</formula>
    </cfRule>
    <cfRule type="cellIs" dxfId="458" priority="491" operator="greaterThan">
      <formula>0.85</formula>
    </cfRule>
  </conditionalFormatting>
  <conditionalFormatting sqref="E37">
    <cfRule type="expression" dxfId="457" priority="486">
      <formula>AND(IF(OR($Q37=1,$Q37=2),1,0),IF($X37&lt;=20,1,0))</formula>
    </cfRule>
    <cfRule type="expression" dxfId="456" priority="487">
      <formula>AND(IF($Q37=2,1,0),IF($X37&lt;30,1,0))</formula>
    </cfRule>
    <cfRule type="expression" dxfId="455" priority="488">
      <formula>AND(IF($Q37=3,1,0),IF($X37&lt;30,1,0))</formula>
    </cfRule>
    <cfRule type="expression" dxfId="454" priority="489">
      <formula>AND(IF($Q37=3,1,IF($Q37=4,1,0)),IF($F37&lt;=85,1,0))</formula>
    </cfRule>
  </conditionalFormatting>
  <conditionalFormatting sqref="X37">
    <cfRule type="expression" dxfId="453" priority="482">
      <formula>AND(IF(OR($Q37=1,$Q37=2),1,0),IF($X37&lt;=20,1,0))</formula>
    </cfRule>
    <cfRule type="expression" dxfId="452" priority="483">
      <formula>AND(IF($Q37=2,1,0),IF($X37&lt;30,1,0))</formula>
    </cfRule>
    <cfRule type="expression" dxfId="451" priority="484">
      <formula>AND(IF($Q37=3,1,0),IF($X37&lt;30,1,0))</formula>
    </cfRule>
    <cfRule type="expression" dxfId="450" priority="485">
      <formula>AND(IF($Q37=3,1,IF($Q37=4,1,0)),IF($F37&lt;=85,1,0))</formula>
    </cfRule>
  </conditionalFormatting>
  <conditionalFormatting sqref="AI37">
    <cfRule type="expression" dxfId="449" priority="478">
      <formula>AND(IF(OR($Q37=1,$Q37=2),1,0),IF($X37&lt;=20,1,0))</formula>
    </cfRule>
    <cfRule type="expression" dxfId="448" priority="479">
      <formula>AND(IF($Q37=2,1,0),IF($X37&lt;30,1,0))</formula>
    </cfRule>
    <cfRule type="expression" dxfId="447" priority="480">
      <formula>AND(IF($Q37=3,1,0),IF($X37&lt;30,1,0))</formula>
    </cfRule>
    <cfRule type="expression" dxfId="446" priority="481">
      <formula>AND(IF($Q37=3,1,IF($Q37=4,1,0)),IF($F37&lt;=85,1,0))</formula>
    </cfRule>
  </conditionalFormatting>
  <conditionalFormatting sqref="AV38">
    <cfRule type="expression" dxfId="445" priority="476">
      <formula>AV38="X"</formula>
    </cfRule>
    <cfRule type="expression" dxfId="444" priority="477">
      <formula>AV38="후보"</formula>
    </cfRule>
  </conditionalFormatting>
  <conditionalFormatting sqref="Z38">
    <cfRule type="colorScale" priority="4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443" priority="473" operator="greaterThan">
      <formula>0.9</formula>
    </cfRule>
    <cfRule type="cellIs" dxfId="442" priority="474" operator="greaterThan">
      <formula>0.85</formula>
    </cfRule>
  </conditionalFormatting>
  <conditionalFormatting sqref="N38">
    <cfRule type="cellIs" dxfId="441" priority="471" operator="greaterThan">
      <formula>0.9</formula>
    </cfRule>
    <cfRule type="cellIs" dxfId="440" priority="472" operator="greaterThan">
      <formula>0.85</formula>
    </cfRule>
  </conditionalFormatting>
  <conditionalFormatting sqref="E38">
    <cfRule type="expression" dxfId="439" priority="467">
      <formula>AND(IF(OR($Q38=1,$Q38=2),1,0),IF($X38&lt;=20,1,0))</formula>
    </cfRule>
    <cfRule type="expression" dxfId="438" priority="468">
      <formula>AND(IF($Q38=2,1,0),IF($X38&lt;30,1,0))</formula>
    </cfRule>
    <cfRule type="expression" dxfId="437" priority="469">
      <formula>AND(IF($Q38=3,1,0),IF($X38&lt;30,1,0))</formula>
    </cfRule>
    <cfRule type="expression" dxfId="436" priority="470">
      <formula>AND(IF($Q38=3,1,IF($Q38=4,1,0)),IF($F38&lt;=85,1,0))</formula>
    </cfRule>
  </conditionalFormatting>
  <conditionalFormatting sqref="X38">
    <cfRule type="expression" dxfId="435" priority="463">
      <formula>AND(IF(OR($Q38=1,$Q38=2),1,0),IF($X38&lt;=20,1,0))</formula>
    </cfRule>
    <cfRule type="expression" dxfId="434" priority="464">
      <formula>AND(IF($Q38=2,1,0),IF($X38&lt;30,1,0))</formula>
    </cfRule>
    <cfRule type="expression" dxfId="433" priority="465">
      <formula>AND(IF($Q38=3,1,0),IF($X38&lt;30,1,0))</formula>
    </cfRule>
    <cfRule type="expression" dxfId="432" priority="466">
      <formula>AND(IF($Q38=3,1,IF($Q38=4,1,0)),IF($F38&lt;=85,1,0))</formula>
    </cfRule>
  </conditionalFormatting>
  <conditionalFormatting sqref="AI38">
    <cfRule type="expression" dxfId="431" priority="459">
      <formula>AND(IF(OR($Q38=1,$Q38=2),1,0),IF($X38&lt;=20,1,0))</formula>
    </cfRule>
    <cfRule type="expression" dxfId="430" priority="460">
      <formula>AND(IF($Q38=2,1,0),IF($X38&lt;30,1,0))</formula>
    </cfRule>
    <cfRule type="expression" dxfId="429" priority="461">
      <formula>AND(IF($Q38=3,1,0),IF($X38&lt;30,1,0))</formula>
    </cfRule>
    <cfRule type="expression" dxfId="428" priority="462">
      <formula>AND(IF($Q38=3,1,IF($Q38=4,1,0)),IF($F38&lt;=85,1,0))</formula>
    </cfRule>
  </conditionalFormatting>
  <conditionalFormatting sqref="AV39">
    <cfRule type="expression" dxfId="427" priority="457">
      <formula>AV39="X"</formula>
    </cfRule>
    <cfRule type="expression" dxfId="426" priority="458">
      <formula>AV39="후보"</formula>
    </cfRule>
  </conditionalFormatting>
  <conditionalFormatting sqref="Z39">
    <cfRule type="colorScale" priority="4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425" priority="454" operator="greaterThan">
      <formula>0.9</formula>
    </cfRule>
    <cfRule type="cellIs" dxfId="424" priority="455" operator="greaterThan">
      <formula>0.85</formula>
    </cfRule>
  </conditionalFormatting>
  <conditionalFormatting sqref="N39">
    <cfRule type="cellIs" dxfId="423" priority="452" operator="greaterThan">
      <formula>0.9</formula>
    </cfRule>
    <cfRule type="cellIs" dxfId="422" priority="453" operator="greaterThan">
      <formula>0.85</formula>
    </cfRule>
  </conditionalFormatting>
  <conditionalFormatting sqref="E39">
    <cfRule type="expression" dxfId="421" priority="448">
      <formula>AND(IF(OR($Q39=1,$Q39=2),1,0),IF($X39&lt;=20,1,0))</formula>
    </cfRule>
    <cfRule type="expression" dxfId="420" priority="449">
      <formula>AND(IF($Q39=2,1,0),IF($X39&lt;30,1,0))</formula>
    </cfRule>
    <cfRule type="expression" dxfId="419" priority="450">
      <formula>AND(IF($Q39=3,1,0),IF($X39&lt;30,1,0))</formula>
    </cfRule>
    <cfRule type="expression" dxfId="418" priority="451">
      <formula>AND(IF($Q39=3,1,IF($Q39=4,1,0)),IF($F39&lt;=85,1,0))</formula>
    </cfRule>
  </conditionalFormatting>
  <conditionalFormatting sqref="X39">
    <cfRule type="expression" dxfId="417" priority="444">
      <formula>AND(IF(OR($Q39=1,$Q39=2),1,0),IF($X39&lt;=20,1,0))</formula>
    </cfRule>
    <cfRule type="expression" dxfId="416" priority="445">
      <formula>AND(IF($Q39=2,1,0),IF($X39&lt;30,1,0))</formula>
    </cfRule>
    <cfRule type="expression" dxfId="415" priority="446">
      <formula>AND(IF($Q39=3,1,0),IF($X39&lt;30,1,0))</formula>
    </cfRule>
    <cfRule type="expression" dxfId="414" priority="447">
      <formula>AND(IF($Q39=3,1,IF($Q39=4,1,0)),IF($F39&lt;=85,1,0))</formula>
    </cfRule>
  </conditionalFormatting>
  <conditionalFormatting sqref="AI39">
    <cfRule type="expression" dxfId="413" priority="440">
      <formula>AND(IF(OR($Q39=1,$Q39=2),1,0),IF($X39&lt;=20,1,0))</formula>
    </cfRule>
    <cfRule type="expression" dxfId="412" priority="441">
      <formula>AND(IF($Q39=2,1,0),IF($X39&lt;30,1,0))</formula>
    </cfRule>
    <cfRule type="expression" dxfId="411" priority="442">
      <formula>AND(IF($Q39=3,1,0),IF($X39&lt;30,1,0))</formula>
    </cfRule>
    <cfRule type="expression" dxfId="410" priority="443">
      <formula>AND(IF($Q39=3,1,IF($Q39=4,1,0)),IF($F39&lt;=85,1,0))</formula>
    </cfRule>
  </conditionalFormatting>
  <conditionalFormatting sqref="AV40">
    <cfRule type="expression" dxfId="409" priority="438">
      <formula>AV40="X"</formula>
    </cfRule>
    <cfRule type="expression" dxfId="408" priority="439">
      <formula>AV40="후보"</formula>
    </cfRule>
  </conditionalFormatting>
  <conditionalFormatting sqref="Z40">
    <cfRule type="colorScale" priority="4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407" priority="435" operator="greaterThan">
      <formula>0.9</formula>
    </cfRule>
    <cfRule type="cellIs" dxfId="406" priority="436" operator="greaterThan">
      <formula>0.85</formula>
    </cfRule>
  </conditionalFormatting>
  <conditionalFormatting sqref="N40">
    <cfRule type="cellIs" dxfId="405" priority="433" operator="greaterThan">
      <formula>0.9</formula>
    </cfRule>
    <cfRule type="cellIs" dxfId="404" priority="434" operator="greaterThan">
      <formula>0.85</formula>
    </cfRule>
  </conditionalFormatting>
  <conditionalFormatting sqref="E40">
    <cfRule type="expression" dxfId="403" priority="429">
      <formula>AND(IF(OR($Q40=1,$Q40=2),1,0),IF($X40&lt;=20,1,0))</formula>
    </cfRule>
    <cfRule type="expression" dxfId="402" priority="430">
      <formula>AND(IF($Q40=2,1,0),IF($X40&lt;30,1,0))</formula>
    </cfRule>
    <cfRule type="expression" dxfId="401" priority="431">
      <formula>AND(IF($Q40=3,1,0),IF($X40&lt;30,1,0))</formula>
    </cfRule>
    <cfRule type="expression" dxfId="400" priority="432">
      <formula>AND(IF($Q40=3,1,IF($Q40=4,1,0)),IF($F40&lt;=85,1,0))</formula>
    </cfRule>
  </conditionalFormatting>
  <conditionalFormatting sqref="X40">
    <cfRule type="expression" dxfId="399" priority="425">
      <formula>AND(IF(OR($Q40=1,$Q40=2),1,0),IF($X40&lt;=20,1,0))</formula>
    </cfRule>
    <cfRule type="expression" dxfId="398" priority="426">
      <formula>AND(IF($Q40=2,1,0),IF($X40&lt;30,1,0))</formula>
    </cfRule>
    <cfRule type="expression" dxfId="397" priority="427">
      <formula>AND(IF($Q40=3,1,0),IF($X40&lt;30,1,0))</formula>
    </cfRule>
    <cfRule type="expression" dxfId="396" priority="428">
      <formula>AND(IF($Q40=3,1,IF($Q40=4,1,0)),IF($F40&lt;=85,1,0))</formula>
    </cfRule>
  </conditionalFormatting>
  <conditionalFormatting sqref="AI40">
    <cfRule type="expression" dxfId="395" priority="421">
      <formula>AND(IF(OR($Q40=1,$Q40=2),1,0),IF($X40&lt;=20,1,0))</formula>
    </cfRule>
    <cfRule type="expression" dxfId="394" priority="422">
      <formula>AND(IF($Q40=2,1,0),IF($X40&lt;30,1,0))</formula>
    </cfRule>
    <cfRule type="expression" dxfId="393" priority="423">
      <formula>AND(IF($Q40=3,1,0),IF($X40&lt;30,1,0))</formula>
    </cfRule>
    <cfRule type="expression" dxfId="392" priority="424">
      <formula>AND(IF($Q40=3,1,IF($Q40=4,1,0)),IF($F40&lt;=85,1,0))</formula>
    </cfRule>
  </conditionalFormatting>
  <conditionalFormatting sqref="AV41">
    <cfRule type="expression" dxfId="391" priority="419">
      <formula>AV41="X"</formula>
    </cfRule>
    <cfRule type="expression" dxfId="390" priority="420">
      <formula>AV41="후보"</formula>
    </cfRule>
  </conditionalFormatting>
  <conditionalFormatting sqref="Z41">
    <cfRule type="colorScale" priority="4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389" priority="416" operator="greaterThan">
      <formula>0.9</formula>
    </cfRule>
    <cfRule type="cellIs" dxfId="388" priority="417" operator="greaterThan">
      <formula>0.85</formula>
    </cfRule>
  </conditionalFormatting>
  <conditionalFormatting sqref="N41">
    <cfRule type="cellIs" dxfId="387" priority="414" operator="greaterThan">
      <formula>0.9</formula>
    </cfRule>
    <cfRule type="cellIs" dxfId="386" priority="415" operator="greaterThan">
      <formula>0.85</formula>
    </cfRule>
  </conditionalFormatting>
  <conditionalFormatting sqref="E41">
    <cfRule type="expression" dxfId="385" priority="410">
      <formula>AND(IF(OR($Q41=1,$Q41=2),1,0),IF($X41&lt;=20,1,0))</formula>
    </cfRule>
    <cfRule type="expression" dxfId="384" priority="411">
      <formula>AND(IF($Q41=2,1,0),IF($X41&lt;30,1,0))</formula>
    </cfRule>
    <cfRule type="expression" dxfId="383" priority="412">
      <formula>AND(IF($Q41=3,1,0),IF($X41&lt;30,1,0))</formula>
    </cfRule>
    <cfRule type="expression" dxfId="382" priority="413">
      <formula>AND(IF($Q41=3,1,IF($Q41=4,1,0)),IF($F41&lt;=85,1,0))</formula>
    </cfRule>
  </conditionalFormatting>
  <conditionalFormatting sqref="X41">
    <cfRule type="expression" dxfId="381" priority="406">
      <formula>AND(IF(OR($Q41=1,$Q41=2),1,0),IF($X41&lt;=20,1,0))</formula>
    </cfRule>
    <cfRule type="expression" dxfId="380" priority="407">
      <formula>AND(IF($Q41=2,1,0),IF($X41&lt;30,1,0))</formula>
    </cfRule>
    <cfRule type="expression" dxfId="379" priority="408">
      <formula>AND(IF($Q41=3,1,0),IF($X41&lt;30,1,0))</formula>
    </cfRule>
    <cfRule type="expression" dxfId="378" priority="409">
      <formula>AND(IF($Q41=3,1,IF($Q41=4,1,0)),IF($F41&lt;=85,1,0))</formula>
    </cfRule>
  </conditionalFormatting>
  <conditionalFormatting sqref="AI41">
    <cfRule type="expression" dxfId="377" priority="402">
      <formula>AND(IF(OR($Q41=1,$Q41=2),1,0),IF($X41&lt;=20,1,0))</formula>
    </cfRule>
    <cfRule type="expression" dxfId="376" priority="403">
      <formula>AND(IF($Q41=2,1,0),IF($X41&lt;30,1,0))</formula>
    </cfRule>
    <cfRule type="expression" dxfId="375" priority="404">
      <formula>AND(IF($Q41=3,1,0),IF($X41&lt;30,1,0))</formula>
    </cfRule>
    <cfRule type="expression" dxfId="374" priority="405">
      <formula>AND(IF($Q41=3,1,IF($Q41=4,1,0)),IF($F41&lt;=85,1,0))</formula>
    </cfRule>
  </conditionalFormatting>
  <conditionalFormatting sqref="AV42">
    <cfRule type="expression" dxfId="373" priority="400">
      <formula>AV42="X"</formula>
    </cfRule>
    <cfRule type="expression" dxfId="372" priority="401">
      <formula>AV42="후보"</formula>
    </cfRule>
  </conditionalFormatting>
  <conditionalFormatting sqref="Z42">
    <cfRule type="colorScale" priority="3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 N42">
    <cfRule type="cellIs" dxfId="371" priority="397" operator="greaterThan">
      <formula>0.9</formula>
    </cfRule>
    <cfRule type="cellIs" dxfId="370" priority="398" operator="greaterThan">
      <formula>0.85</formula>
    </cfRule>
  </conditionalFormatting>
  <conditionalFormatting sqref="AV43">
    <cfRule type="expression" dxfId="369" priority="395">
      <formula>AV43="X"</formula>
    </cfRule>
    <cfRule type="expression" dxfId="368" priority="396">
      <formula>AV43="후보"</formula>
    </cfRule>
  </conditionalFormatting>
  <conditionalFormatting sqref="Z43">
    <cfRule type="colorScale" priority="3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367" priority="392" operator="greaterThan">
      <formula>0.9</formula>
    </cfRule>
    <cfRule type="cellIs" dxfId="366" priority="393" operator="greaterThan">
      <formula>0.85</formula>
    </cfRule>
  </conditionalFormatting>
  <conditionalFormatting sqref="N43">
    <cfRule type="cellIs" dxfId="365" priority="390" operator="greaterThan">
      <formula>0.9</formula>
    </cfRule>
    <cfRule type="cellIs" dxfId="364" priority="391" operator="greaterThan">
      <formula>0.85</formula>
    </cfRule>
  </conditionalFormatting>
  <conditionalFormatting sqref="E43">
    <cfRule type="expression" dxfId="363" priority="386">
      <formula>AND(IF(OR($Q43=1,$Q43=2),1,0),IF($X43&lt;=20,1,0))</formula>
    </cfRule>
    <cfRule type="expression" dxfId="362" priority="387">
      <formula>AND(IF($Q43=2,1,0),IF($X43&lt;30,1,0))</formula>
    </cfRule>
    <cfRule type="expression" dxfId="361" priority="388">
      <formula>AND(IF($Q43=3,1,0),IF($X43&lt;30,1,0))</formula>
    </cfRule>
    <cfRule type="expression" dxfId="360" priority="389">
      <formula>AND(IF($Q43=3,1,IF($Q43=4,1,0)),IF($F43&lt;=85,1,0))</formula>
    </cfRule>
  </conditionalFormatting>
  <conditionalFormatting sqref="X43">
    <cfRule type="expression" dxfId="359" priority="382">
      <formula>AND(IF(OR($Q43=1,$Q43=2),1,0),IF($X43&lt;=20,1,0))</formula>
    </cfRule>
    <cfRule type="expression" dxfId="358" priority="383">
      <formula>AND(IF($Q43=2,1,0),IF($X43&lt;30,1,0))</formula>
    </cfRule>
    <cfRule type="expression" dxfId="357" priority="384">
      <formula>AND(IF($Q43=3,1,0),IF($X43&lt;30,1,0))</formula>
    </cfRule>
    <cfRule type="expression" dxfId="356" priority="385">
      <formula>AND(IF($Q43=3,1,IF($Q43=4,1,0)),IF($F43&lt;=85,1,0))</formula>
    </cfRule>
  </conditionalFormatting>
  <conditionalFormatting sqref="AI43">
    <cfRule type="expression" dxfId="355" priority="378">
      <formula>AND(IF(OR($Q43=1,$Q43=2),1,0),IF($X43&lt;=20,1,0))</formula>
    </cfRule>
    <cfRule type="expression" dxfId="354" priority="379">
      <formula>AND(IF($Q43=2,1,0),IF($X43&lt;30,1,0))</formula>
    </cfRule>
    <cfRule type="expression" dxfId="353" priority="380">
      <formula>AND(IF($Q43=3,1,0),IF($X43&lt;30,1,0))</formula>
    </cfRule>
    <cfRule type="expression" dxfId="352" priority="381">
      <formula>AND(IF($Q43=3,1,IF($Q43=4,1,0)),IF($F43&lt;=85,1,0))</formula>
    </cfRule>
  </conditionalFormatting>
  <conditionalFormatting sqref="AV44">
    <cfRule type="expression" dxfId="351" priority="376">
      <formula>AV44="X"</formula>
    </cfRule>
    <cfRule type="expression" dxfId="350" priority="377">
      <formula>AV44="후보"</formula>
    </cfRule>
  </conditionalFormatting>
  <conditionalFormatting sqref="Z44">
    <cfRule type="colorScale" priority="3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349" priority="373" operator="greaterThan">
      <formula>0.9</formula>
    </cfRule>
    <cfRule type="cellIs" dxfId="348" priority="374" operator="greaterThan">
      <formula>0.85</formula>
    </cfRule>
  </conditionalFormatting>
  <conditionalFormatting sqref="N44">
    <cfRule type="cellIs" dxfId="347" priority="371" operator="greaterThan">
      <formula>0.9</formula>
    </cfRule>
    <cfRule type="cellIs" dxfId="346" priority="372" operator="greaterThan">
      <formula>0.85</formula>
    </cfRule>
  </conditionalFormatting>
  <conditionalFormatting sqref="E44">
    <cfRule type="expression" dxfId="345" priority="367">
      <formula>AND(IF(OR($Q44=1,$Q44=2),1,0),IF($X44&lt;=20,1,0))</formula>
    </cfRule>
    <cfRule type="expression" dxfId="344" priority="368">
      <formula>AND(IF($Q44=2,1,0),IF($X44&lt;30,1,0))</formula>
    </cfRule>
    <cfRule type="expression" dxfId="343" priority="369">
      <formula>AND(IF($Q44=3,1,0),IF($X44&lt;30,1,0))</formula>
    </cfRule>
    <cfRule type="expression" dxfId="342" priority="370">
      <formula>AND(IF($Q44=3,1,IF($Q44=4,1,0)),IF($F44&lt;=85,1,0))</formula>
    </cfRule>
  </conditionalFormatting>
  <conditionalFormatting sqref="X44">
    <cfRule type="expression" dxfId="341" priority="363">
      <formula>AND(IF(OR($Q44=1,$Q44=2),1,0),IF($X44&lt;=20,1,0))</formula>
    </cfRule>
    <cfRule type="expression" dxfId="340" priority="364">
      <formula>AND(IF($Q44=2,1,0),IF($X44&lt;30,1,0))</formula>
    </cfRule>
    <cfRule type="expression" dxfId="339" priority="365">
      <formula>AND(IF($Q44=3,1,0),IF($X44&lt;30,1,0))</formula>
    </cfRule>
    <cfRule type="expression" dxfId="338" priority="366">
      <formula>AND(IF($Q44=3,1,IF($Q44=4,1,0)),IF($F44&lt;=85,1,0))</formula>
    </cfRule>
  </conditionalFormatting>
  <conditionalFormatting sqref="AI44">
    <cfRule type="expression" dxfId="337" priority="359">
      <formula>AND(IF(OR($Q44=1,$Q44=2),1,0),IF($X44&lt;=20,1,0))</formula>
    </cfRule>
    <cfRule type="expression" dxfId="336" priority="360">
      <formula>AND(IF($Q44=2,1,0),IF($X44&lt;30,1,0))</formula>
    </cfRule>
    <cfRule type="expression" dxfId="335" priority="361">
      <formula>AND(IF($Q44=3,1,0),IF($X44&lt;30,1,0))</formula>
    </cfRule>
    <cfRule type="expression" dxfId="334" priority="362">
      <formula>AND(IF($Q44=3,1,IF($Q44=4,1,0)),IF($F44&lt;=85,1,0))</formula>
    </cfRule>
  </conditionalFormatting>
  <conditionalFormatting sqref="AV45">
    <cfRule type="expression" dxfId="333" priority="357">
      <formula>AV45="X"</formula>
    </cfRule>
    <cfRule type="expression" dxfId="332" priority="358">
      <formula>AV45="후보"</formula>
    </cfRule>
  </conditionalFormatting>
  <conditionalFormatting sqref="Z45">
    <cfRule type="colorScale" priority="3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331" priority="354" operator="greaterThan">
      <formula>0.9</formula>
    </cfRule>
    <cfRule type="cellIs" dxfId="330" priority="355" operator="greaterThan">
      <formula>0.85</formula>
    </cfRule>
  </conditionalFormatting>
  <conditionalFormatting sqref="N45">
    <cfRule type="cellIs" dxfId="329" priority="352" operator="greaterThan">
      <formula>0.9</formula>
    </cfRule>
    <cfRule type="cellIs" dxfId="328" priority="353" operator="greaterThan">
      <formula>0.85</formula>
    </cfRule>
  </conditionalFormatting>
  <conditionalFormatting sqref="E45">
    <cfRule type="expression" dxfId="327" priority="348">
      <formula>AND(IF(OR($Q45=1,$Q45=2),1,0),IF($X45&lt;=20,1,0))</formula>
    </cfRule>
    <cfRule type="expression" dxfId="326" priority="349">
      <formula>AND(IF($Q45=2,1,0),IF($X45&lt;30,1,0))</formula>
    </cfRule>
    <cfRule type="expression" dxfId="325" priority="350">
      <formula>AND(IF($Q45=3,1,0),IF($X45&lt;30,1,0))</formula>
    </cfRule>
    <cfRule type="expression" dxfId="324" priority="351">
      <formula>AND(IF($Q45=3,1,IF($Q45=4,1,0)),IF($F45&lt;=85,1,0))</formula>
    </cfRule>
  </conditionalFormatting>
  <conditionalFormatting sqref="X45">
    <cfRule type="expression" dxfId="323" priority="344">
      <formula>AND(IF(OR($Q45=1,$Q45=2),1,0),IF($X45&lt;=20,1,0))</formula>
    </cfRule>
    <cfRule type="expression" dxfId="322" priority="345">
      <formula>AND(IF($Q45=2,1,0),IF($X45&lt;30,1,0))</formula>
    </cfRule>
    <cfRule type="expression" dxfId="321" priority="346">
      <formula>AND(IF($Q45=3,1,0),IF($X45&lt;30,1,0))</formula>
    </cfRule>
    <cfRule type="expression" dxfId="320" priority="347">
      <formula>AND(IF($Q45=3,1,IF($Q45=4,1,0)),IF($F45&lt;=85,1,0))</formula>
    </cfRule>
  </conditionalFormatting>
  <conditionalFormatting sqref="AI45">
    <cfRule type="expression" dxfId="319" priority="340">
      <formula>AND(IF(OR($Q45=1,$Q45=2),1,0),IF($X45&lt;=20,1,0))</formula>
    </cfRule>
    <cfRule type="expression" dxfId="318" priority="341">
      <formula>AND(IF($Q45=2,1,0),IF($X45&lt;30,1,0))</formula>
    </cfRule>
    <cfRule type="expression" dxfId="317" priority="342">
      <formula>AND(IF($Q45=3,1,0),IF($X45&lt;30,1,0))</formula>
    </cfRule>
    <cfRule type="expression" dxfId="316" priority="343">
      <formula>AND(IF($Q45=3,1,IF($Q45=4,1,0)),IF($F45&lt;=85,1,0))</formula>
    </cfRule>
  </conditionalFormatting>
  <conditionalFormatting sqref="AV46">
    <cfRule type="expression" dxfId="315" priority="338">
      <formula>AV46="X"</formula>
    </cfRule>
    <cfRule type="expression" dxfId="314" priority="339">
      <formula>AV46="후보"</formula>
    </cfRule>
  </conditionalFormatting>
  <conditionalFormatting sqref="Z46">
    <cfRule type="colorScale" priority="3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 N46">
    <cfRule type="cellIs" dxfId="313" priority="335" operator="greaterThan">
      <formula>0.9</formula>
    </cfRule>
    <cfRule type="cellIs" dxfId="312" priority="336" operator="greaterThan">
      <formula>0.85</formula>
    </cfRule>
  </conditionalFormatting>
  <conditionalFormatting sqref="AV47">
    <cfRule type="expression" dxfId="311" priority="333">
      <formula>AV47="X"</formula>
    </cfRule>
    <cfRule type="expression" dxfId="310" priority="334">
      <formula>AV47="후보"</formula>
    </cfRule>
  </conditionalFormatting>
  <conditionalFormatting sqref="Z47">
    <cfRule type="colorScale" priority="3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309" priority="330" operator="greaterThan">
      <formula>0.9</formula>
    </cfRule>
    <cfRule type="cellIs" dxfId="308" priority="331" operator="greaterThan">
      <formula>0.85</formula>
    </cfRule>
  </conditionalFormatting>
  <conditionalFormatting sqref="N47">
    <cfRule type="cellIs" dxfId="307" priority="328" operator="greaterThan">
      <formula>0.9</formula>
    </cfRule>
    <cfRule type="cellIs" dxfId="306" priority="329" operator="greaterThan">
      <formula>0.85</formula>
    </cfRule>
  </conditionalFormatting>
  <conditionalFormatting sqref="E47">
    <cfRule type="expression" dxfId="305" priority="324">
      <formula>AND(IF(OR($Q47=1,$Q47=2),1,0),IF($X47&lt;=20,1,0))</formula>
    </cfRule>
    <cfRule type="expression" dxfId="304" priority="325">
      <formula>AND(IF($Q47=2,1,0),IF($X47&lt;30,1,0))</formula>
    </cfRule>
    <cfRule type="expression" dxfId="303" priority="326">
      <formula>AND(IF($Q47=3,1,0),IF($X47&lt;30,1,0))</formula>
    </cfRule>
    <cfRule type="expression" dxfId="302" priority="327">
      <formula>AND(IF($Q47=3,1,IF($Q47=4,1,0)),IF($F47&lt;=85,1,0))</formula>
    </cfRule>
  </conditionalFormatting>
  <conditionalFormatting sqref="X47">
    <cfRule type="expression" dxfId="301" priority="320">
      <formula>AND(IF(OR($Q47=1,$Q47=2),1,0),IF($X47&lt;=20,1,0))</formula>
    </cfRule>
    <cfRule type="expression" dxfId="300" priority="321">
      <formula>AND(IF($Q47=2,1,0),IF($X47&lt;30,1,0))</formula>
    </cfRule>
    <cfRule type="expression" dxfId="299" priority="322">
      <formula>AND(IF($Q47=3,1,0),IF($X47&lt;30,1,0))</formula>
    </cfRule>
    <cfRule type="expression" dxfId="298" priority="323">
      <formula>AND(IF($Q47=3,1,IF($Q47=4,1,0)),IF($F47&lt;=85,1,0))</formula>
    </cfRule>
  </conditionalFormatting>
  <conditionalFormatting sqref="AI47">
    <cfRule type="expression" dxfId="297" priority="316">
      <formula>AND(IF(OR($Q47=1,$Q47=2),1,0),IF($X47&lt;=20,1,0))</formula>
    </cfRule>
    <cfRule type="expression" dxfId="296" priority="317">
      <formula>AND(IF($Q47=2,1,0),IF($X47&lt;30,1,0))</formula>
    </cfRule>
    <cfRule type="expression" dxfId="295" priority="318">
      <formula>AND(IF($Q47=3,1,0),IF($X47&lt;30,1,0))</formula>
    </cfRule>
    <cfRule type="expression" dxfId="294" priority="319">
      <formula>AND(IF($Q47=3,1,IF($Q47=4,1,0)),IF($F47&lt;=85,1,0))</formula>
    </cfRule>
  </conditionalFormatting>
  <conditionalFormatting sqref="AV48">
    <cfRule type="expression" dxfId="293" priority="314">
      <formula>AV48="X"</formula>
    </cfRule>
    <cfRule type="expression" dxfId="292" priority="315">
      <formula>AV48="후보"</formula>
    </cfRule>
  </conditionalFormatting>
  <conditionalFormatting sqref="Z48">
    <cfRule type="colorScale" priority="3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291" priority="311" operator="greaterThan">
      <formula>0.9</formula>
    </cfRule>
    <cfRule type="cellIs" dxfId="290" priority="312" operator="greaterThan">
      <formula>0.85</formula>
    </cfRule>
  </conditionalFormatting>
  <conditionalFormatting sqref="N48">
    <cfRule type="cellIs" dxfId="289" priority="309" operator="greaterThan">
      <formula>0.9</formula>
    </cfRule>
    <cfRule type="cellIs" dxfId="288" priority="310" operator="greaterThan">
      <formula>0.85</formula>
    </cfRule>
  </conditionalFormatting>
  <conditionalFormatting sqref="E48">
    <cfRule type="expression" dxfId="287" priority="305">
      <formula>AND(IF(OR($Q48=1,$Q48=2),1,0),IF($X48&lt;=20,1,0))</formula>
    </cfRule>
    <cfRule type="expression" dxfId="286" priority="306">
      <formula>AND(IF($Q48=2,1,0),IF($X48&lt;30,1,0))</formula>
    </cfRule>
    <cfRule type="expression" dxfId="285" priority="307">
      <formula>AND(IF($Q48=3,1,0),IF($X48&lt;30,1,0))</formula>
    </cfRule>
    <cfRule type="expression" dxfId="284" priority="308">
      <formula>AND(IF($Q48=3,1,IF($Q48=4,1,0)),IF($F48&lt;=85,1,0))</formula>
    </cfRule>
  </conditionalFormatting>
  <conditionalFormatting sqref="X48">
    <cfRule type="expression" dxfId="283" priority="301">
      <formula>AND(IF(OR($Q48=1,$Q48=2),1,0),IF($X48&lt;=20,1,0))</formula>
    </cfRule>
    <cfRule type="expression" dxfId="282" priority="302">
      <formula>AND(IF($Q48=2,1,0),IF($X48&lt;30,1,0))</formula>
    </cfRule>
    <cfRule type="expression" dxfId="281" priority="303">
      <formula>AND(IF($Q48=3,1,0),IF($X48&lt;30,1,0))</formula>
    </cfRule>
    <cfRule type="expression" dxfId="280" priority="304">
      <formula>AND(IF($Q48=3,1,IF($Q48=4,1,0)),IF($F48&lt;=85,1,0))</formula>
    </cfRule>
  </conditionalFormatting>
  <conditionalFormatting sqref="AI48">
    <cfRule type="expression" dxfId="279" priority="297">
      <formula>AND(IF(OR($Q48=1,$Q48=2),1,0),IF($X48&lt;=20,1,0))</formula>
    </cfRule>
    <cfRule type="expression" dxfId="278" priority="298">
      <formula>AND(IF($Q48=2,1,0),IF($X48&lt;30,1,0))</formula>
    </cfRule>
    <cfRule type="expression" dxfId="277" priority="299">
      <formula>AND(IF($Q48=3,1,0),IF($X48&lt;30,1,0))</formula>
    </cfRule>
    <cfRule type="expression" dxfId="276" priority="300">
      <formula>AND(IF($Q48=3,1,IF($Q48=4,1,0)),IF($F48&lt;=85,1,0))</formula>
    </cfRule>
  </conditionalFormatting>
  <conditionalFormatting sqref="AV49">
    <cfRule type="expression" dxfId="275" priority="295">
      <formula>AV49="X"</formula>
    </cfRule>
    <cfRule type="expression" dxfId="274" priority="296">
      <formula>AV49="후보"</formula>
    </cfRule>
  </conditionalFormatting>
  <conditionalFormatting sqref="Z49">
    <cfRule type="colorScale" priority="2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273" priority="292" operator="greaterThan">
      <formula>0.9</formula>
    </cfRule>
    <cfRule type="cellIs" dxfId="272" priority="293" operator="greaterThan">
      <formula>0.85</formula>
    </cfRule>
  </conditionalFormatting>
  <conditionalFormatting sqref="N49">
    <cfRule type="cellIs" dxfId="271" priority="290" operator="greaterThan">
      <formula>0.9</formula>
    </cfRule>
    <cfRule type="cellIs" dxfId="270" priority="291" operator="greaterThan">
      <formula>0.85</formula>
    </cfRule>
  </conditionalFormatting>
  <conditionalFormatting sqref="E49">
    <cfRule type="expression" dxfId="269" priority="286">
      <formula>AND(IF(OR($Q49=1,$Q49=2),1,0),IF($X49&lt;=20,1,0))</formula>
    </cfRule>
    <cfRule type="expression" dxfId="268" priority="287">
      <formula>AND(IF($Q49=2,1,0),IF($X49&lt;30,1,0))</formula>
    </cfRule>
    <cfRule type="expression" dxfId="267" priority="288">
      <formula>AND(IF($Q49=3,1,0),IF($X49&lt;30,1,0))</formula>
    </cfRule>
    <cfRule type="expression" dxfId="266" priority="289">
      <formula>AND(IF($Q49=3,1,IF($Q49=4,1,0)),IF($F49&lt;=85,1,0))</formula>
    </cfRule>
  </conditionalFormatting>
  <conditionalFormatting sqref="X49">
    <cfRule type="expression" dxfId="265" priority="282">
      <formula>AND(IF(OR($Q49=1,$Q49=2),1,0),IF($X49&lt;=20,1,0))</formula>
    </cfRule>
    <cfRule type="expression" dxfId="264" priority="283">
      <formula>AND(IF($Q49=2,1,0),IF($X49&lt;30,1,0))</formula>
    </cfRule>
    <cfRule type="expression" dxfId="263" priority="284">
      <formula>AND(IF($Q49=3,1,0),IF($X49&lt;30,1,0))</formula>
    </cfRule>
    <cfRule type="expression" dxfId="262" priority="285">
      <formula>AND(IF($Q49=3,1,IF($Q49=4,1,0)),IF($F49&lt;=85,1,0))</formula>
    </cfRule>
  </conditionalFormatting>
  <conditionalFormatting sqref="AI49">
    <cfRule type="expression" dxfId="261" priority="278">
      <formula>AND(IF(OR($Q49=1,$Q49=2),1,0),IF($X49&lt;=20,1,0))</formula>
    </cfRule>
    <cfRule type="expression" dxfId="260" priority="279">
      <formula>AND(IF($Q49=2,1,0),IF($X49&lt;30,1,0))</formula>
    </cfRule>
    <cfRule type="expression" dxfId="259" priority="280">
      <formula>AND(IF($Q49=3,1,0),IF($X49&lt;30,1,0))</formula>
    </cfRule>
    <cfRule type="expression" dxfId="258" priority="281">
      <formula>AND(IF($Q49=3,1,IF($Q49=4,1,0)),IF($F49&lt;=85,1,0))</formula>
    </cfRule>
  </conditionalFormatting>
  <conditionalFormatting sqref="AV50">
    <cfRule type="expression" dxfId="257" priority="276">
      <formula>AV50="X"</formula>
    </cfRule>
    <cfRule type="expression" dxfId="256" priority="277">
      <formula>AV50="후보"</formula>
    </cfRule>
  </conditionalFormatting>
  <conditionalFormatting sqref="Z50">
    <cfRule type="colorScale" priority="2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 N50">
    <cfRule type="cellIs" dxfId="255" priority="273" operator="greaterThan">
      <formula>0.9</formula>
    </cfRule>
    <cfRule type="cellIs" dxfId="254" priority="274" operator="greaterThan">
      <formula>0.85</formula>
    </cfRule>
  </conditionalFormatting>
  <conditionalFormatting sqref="AV51">
    <cfRule type="expression" dxfId="253" priority="271">
      <formula>AV51="X"</formula>
    </cfRule>
    <cfRule type="expression" dxfId="252" priority="272">
      <formula>AV51="후보"</formula>
    </cfRule>
  </conditionalFormatting>
  <conditionalFormatting sqref="Z51">
    <cfRule type="colorScale" priority="2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251" priority="268" operator="greaterThan">
      <formula>0.9</formula>
    </cfRule>
    <cfRule type="cellIs" dxfId="250" priority="269" operator="greaterThan">
      <formula>0.85</formula>
    </cfRule>
  </conditionalFormatting>
  <conditionalFormatting sqref="N51">
    <cfRule type="cellIs" dxfId="249" priority="266" operator="greaterThan">
      <formula>0.9</formula>
    </cfRule>
    <cfRule type="cellIs" dxfId="248" priority="267" operator="greaterThan">
      <formula>0.85</formula>
    </cfRule>
  </conditionalFormatting>
  <conditionalFormatting sqref="E51">
    <cfRule type="expression" dxfId="247" priority="262">
      <formula>AND(IF(OR($Q51=1,$Q51=2),1,0),IF($X51&lt;=20,1,0))</formula>
    </cfRule>
    <cfRule type="expression" dxfId="246" priority="263">
      <formula>AND(IF($Q51=2,1,0),IF($X51&lt;30,1,0))</formula>
    </cfRule>
    <cfRule type="expression" dxfId="245" priority="264">
      <formula>AND(IF($Q51=3,1,0),IF($X51&lt;30,1,0))</formula>
    </cfRule>
    <cfRule type="expression" dxfId="244" priority="265">
      <formula>AND(IF($Q51=3,1,IF($Q51=4,1,0)),IF($F51&lt;=85,1,0))</formula>
    </cfRule>
  </conditionalFormatting>
  <conditionalFormatting sqref="X51">
    <cfRule type="expression" dxfId="243" priority="258">
      <formula>AND(IF(OR($Q51=1,$Q51=2),1,0),IF($X51&lt;=20,1,0))</formula>
    </cfRule>
    <cfRule type="expression" dxfId="242" priority="259">
      <formula>AND(IF($Q51=2,1,0),IF($X51&lt;30,1,0))</formula>
    </cfRule>
    <cfRule type="expression" dxfId="241" priority="260">
      <formula>AND(IF($Q51=3,1,0),IF($X51&lt;30,1,0))</formula>
    </cfRule>
    <cfRule type="expression" dxfId="240" priority="261">
      <formula>AND(IF($Q51=3,1,IF($Q51=4,1,0)),IF($F51&lt;=85,1,0))</formula>
    </cfRule>
  </conditionalFormatting>
  <conditionalFormatting sqref="AI51">
    <cfRule type="expression" dxfId="239" priority="254">
      <formula>AND(IF(OR($Q51=1,$Q51=2),1,0),IF($X51&lt;=20,1,0))</formula>
    </cfRule>
    <cfRule type="expression" dxfId="238" priority="255">
      <formula>AND(IF($Q51=2,1,0),IF($X51&lt;30,1,0))</formula>
    </cfRule>
    <cfRule type="expression" dxfId="237" priority="256">
      <formula>AND(IF($Q51=3,1,0),IF($X51&lt;30,1,0))</formula>
    </cfRule>
    <cfRule type="expression" dxfId="236" priority="257">
      <formula>AND(IF($Q51=3,1,IF($Q51=4,1,0)),IF($F51&lt;=85,1,0))</formula>
    </cfRule>
  </conditionalFormatting>
  <conditionalFormatting sqref="AV52">
    <cfRule type="expression" dxfId="235" priority="252">
      <formula>AV52="X"</formula>
    </cfRule>
    <cfRule type="expression" dxfId="234" priority="253">
      <formula>AV52="후보"</formula>
    </cfRule>
  </conditionalFormatting>
  <conditionalFormatting sqref="Z52">
    <cfRule type="colorScale" priority="2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 N52">
    <cfRule type="cellIs" dxfId="233" priority="249" operator="greaterThan">
      <formula>0.9</formula>
    </cfRule>
    <cfRule type="cellIs" dxfId="232" priority="250" operator="greaterThan">
      <formula>0.85</formula>
    </cfRule>
  </conditionalFormatting>
  <conditionalFormatting sqref="AV53">
    <cfRule type="expression" dxfId="231" priority="247">
      <formula>AV53="X"</formula>
    </cfRule>
    <cfRule type="expression" dxfId="230" priority="248">
      <formula>AV53="후보"</formula>
    </cfRule>
  </conditionalFormatting>
  <conditionalFormatting sqref="Z53">
    <cfRule type="colorScale" priority="2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229" priority="244" operator="greaterThan">
      <formula>0.9</formula>
    </cfRule>
    <cfRule type="cellIs" dxfId="228" priority="245" operator="greaterThan">
      <formula>0.85</formula>
    </cfRule>
  </conditionalFormatting>
  <conditionalFormatting sqref="N53">
    <cfRule type="cellIs" dxfId="227" priority="242" operator="greaterThan">
      <formula>0.9</formula>
    </cfRule>
    <cfRule type="cellIs" dxfId="226" priority="243" operator="greaterThan">
      <formula>0.85</formula>
    </cfRule>
  </conditionalFormatting>
  <conditionalFormatting sqref="E53">
    <cfRule type="expression" dxfId="225" priority="238">
      <formula>AND(IF(OR($Q53=1,$Q53=2),1,0),IF($X53&lt;=20,1,0))</formula>
    </cfRule>
    <cfRule type="expression" dxfId="224" priority="239">
      <formula>AND(IF($Q53=2,1,0),IF($X53&lt;30,1,0))</formula>
    </cfRule>
    <cfRule type="expression" dxfId="223" priority="240">
      <formula>AND(IF($Q53=3,1,0),IF($X53&lt;30,1,0))</formula>
    </cfRule>
    <cfRule type="expression" dxfId="222" priority="241">
      <formula>AND(IF($Q53=3,1,IF($Q53=4,1,0)),IF($F53&lt;=85,1,0))</formula>
    </cfRule>
  </conditionalFormatting>
  <conditionalFormatting sqref="X53">
    <cfRule type="expression" dxfId="221" priority="234">
      <formula>AND(IF(OR($Q53=1,$Q53=2),1,0),IF($X53&lt;=20,1,0))</formula>
    </cfRule>
    <cfRule type="expression" dxfId="220" priority="235">
      <formula>AND(IF($Q53=2,1,0),IF($X53&lt;30,1,0))</formula>
    </cfRule>
    <cfRule type="expression" dxfId="219" priority="236">
      <formula>AND(IF($Q53=3,1,0),IF($X53&lt;30,1,0))</formula>
    </cfRule>
    <cfRule type="expression" dxfId="218" priority="237">
      <formula>AND(IF($Q53=3,1,IF($Q53=4,1,0)),IF($F53&lt;=85,1,0))</formula>
    </cfRule>
  </conditionalFormatting>
  <conditionalFormatting sqref="AI53">
    <cfRule type="expression" dxfId="217" priority="230">
      <formula>AND(IF(OR($Q53=1,$Q53=2),1,0),IF($X53&lt;=20,1,0))</formula>
    </cfRule>
    <cfRule type="expression" dxfId="216" priority="231">
      <formula>AND(IF($Q53=2,1,0),IF($X53&lt;30,1,0))</formula>
    </cfRule>
    <cfRule type="expression" dxfId="215" priority="232">
      <formula>AND(IF($Q53=3,1,0),IF($X53&lt;30,1,0))</formula>
    </cfRule>
    <cfRule type="expression" dxfId="214" priority="233">
      <formula>AND(IF($Q53=3,1,IF($Q53=4,1,0)),IF($F53&lt;=85,1,0))</formula>
    </cfRule>
  </conditionalFormatting>
  <conditionalFormatting sqref="AV54">
    <cfRule type="expression" dxfId="213" priority="228">
      <formula>AV54="X"</formula>
    </cfRule>
    <cfRule type="expression" dxfId="212" priority="229">
      <formula>AV54="후보"</formula>
    </cfRule>
  </conditionalFormatting>
  <conditionalFormatting sqref="Z54">
    <cfRule type="colorScale" priority="2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211" priority="225" operator="greaterThan">
      <formula>0.9</formula>
    </cfRule>
    <cfRule type="cellIs" dxfId="210" priority="226" operator="greaterThan">
      <formula>0.85</formula>
    </cfRule>
  </conditionalFormatting>
  <conditionalFormatting sqref="N54">
    <cfRule type="cellIs" dxfId="209" priority="223" operator="greaterThan">
      <formula>0.9</formula>
    </cfRule>
    <cfRule type="cellIs" dxfId="208" priority="224" operator="greaterThan">
      <formula>0.85</formula>
    </cfRule>
  </conditionalFormatting>
  <conditionalFormatting sqref="E54">
    <cfRule type="expression" dxfId="207" priority="219">
      <formula>AND(IF(OR($Q54=1,$Q54=2),1,0),IF($X54&lt;=20,1,0))</formula>
    </cfRule>
    <cfRule type="expression" dxfId="206" priority="220">
      <formula>AND(IF($Q54=2,1,0),IF($X54&lt;30,1,0))</formula>
    </cfRule>
    <cfRule type="expression" dxfId="205" priority="221">
      <formula>AND(IF($Q54=3,1,0),IF($X54&lt;30,1,0))</formula>
    </cfRule>
    <cfRule type="expression" dxfId="204" priority="222">
      <formula>AND(IF($Q54=3,1,IF($Q54=4,1,0)),IF($F54&lt;=85,1,0))</formula>
    </cfRule>
  </conditionalFormatting>
  <conditionalFormatting sqref="X54">
    <cfRule type="expression" dxfId="203" priority="215">
      <formula>AND(IF(OR($Q54=1,$Q54=2),1,0),IF($X54&lt;=20,1,0))</formula>
    </cfRule>
    <cfRule type="expression" dxfId="202" priority="216">
      <formula>AND(IF($Q54=2,1,0),IF($X54&lt;30,1,0))</formula>
    </cfRule>
    <cfRule type="expression" dxfId="201" priority="217">
      <formula>AND(IF($Q54=3,1,0),IF($X54&lt;30,1,0))</formula>
    </cfRule>
    <cfRule type="expression" dxfId="200" priority="218">
      <formula>AND(IF($Q54=3,1,IF($Q54=4,1,0)),IF($F54&lt;=85,1,0))</formula>
    </cfRule>
  </conditionalFormatting>
  <conditionalFormatting sqref="AI54">
    <cfRule type="expression" dxfId="199" priority="211">
      <formula>AND(IF(OR($Q54=1,$Q54=2),1,0),IF($X54&lt;=20,1,0))</formula>
    </cfRule>
    <cfRule type="expression" dxfId="198" priority="212">
      <formula>AND(IF($Q54=2,1,0),IF($X54&lt;30,1,0))</formula>
    </cfRule>
    <cfRule type="expression" dxfId="197" priority="213">
      <formula>AND(IF($Q54=3,1,0),IF($X54&lt;30,1,0))</formula>
    </cfRule>
    <cfRule type="expression" dxfId="196" priority="214">
      <formula>AND(IF($Q54=3,1,IF($Q54=4,1,0)),IF($F54&lt;=85,1,0))</formula>
    </cfRule>
  </conditionalFormatting>
  <conditionalFormatting sqref="AV55">
    <cfRule type="expression" dxfId="195" priority="209">
      <formula>AV55="X"</formula>
    </cfRule>
    <cfRule type="expression" dxfId="194" priority="210">
      <formula>AV55="후보"</formula>
    </cfRule>
  </conditionalFormatting>
  <conditionalFormatting sqref="Z55">
    <cfRule type="colorScale" priority="2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 N55">
    <cfRule type="cellIs" dxfId="193" priority="206" operator="greaterThan">
      <formula>0.9</formula>
    </cfRule>
    <cfRule type="cellIs" dxfId="192" priority="207" operator="greaterThan">
      <formula>0.85</formula>
    </cfRule>
  </conditionalFormatting>
  <conditionalFormatting sqref="AV56">
    <cfRule type="expression" dxfId="191" priority="204">
      <formula>AV56="X"</formula>
    </cfRule>
    <cfRule type="expression" dxfId="190" priority="205">
      <formula>AV56="후보"</formula>
    </cfRule>
  </conditionalFormatting>
  <conditionalFormatting sqref="Z56">
    <cfRule type="colorScale" priority="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189" priority="201" operator="greaterThan">
      <formula>0.9</formula>
    </cfRule>
    <cfRule type="cellIs" dxfId="188" priority="202" operator="greaterThan">
      <formula>0.85</formula>
    </cfRule>
  </conditionalFormatting>
  <conditionalFormatting sqref="N56">
    <cfRule type="cellIs" dxfId="187" priority="199" operator="greaterThan">
      <formula>0.9</formula>
    </cfRule>
    <cfRule type="cellIs" dxfId="186" priority="200" operator="greaterThan">
      <formula>0.85</formula>
    </cfRule>
  </conditionalFormatting>
  <conditionalFormatting sqref="E56">
    <cfRule type="expression" dxfId="185" priority="195">
      <formula>AND(IF(OR($Q56=1,$Q56=2),1,0),IF($X56&lt;=20,1,0))</formula>
    </cfRule>
    <cfRule type="expression" dxfId="184" priority="196">
      <formula>AND(IF($Q56=2,1,0),IF($X56&lt;30,1,0))</formula>
    </cfRule>
    <cfRule type="expression" dxfId="183" priority="197">
      <formula>AND(IF($Q56=3,1,0),IF($X56&lt;30,1,0))</formula>
    </cfRule>
    <cfRule type="expression" dxfId="182" priority="198">
      <formula>AND(IF($Q56=3,1,IF($Q56=4,1,0)),IF($F56&lt;=85,1,0))</formula>
    </cfRule>
  </conditionalFormatting>
  <conditionalFormatting sqref="X56">
    <cfRule type="expression" dxfId="181" priority="191">
      <formula>AND(IF(OR($Q56=1,$Q56=2),1,0),IF($X56&lt;=20,1,0))</formula>
    </cfRule>
    <cfRule type="expression" dxfId="180" priority="192">
      <formula>AND(IF($Q56=2,1,0),IF($X56&lt;30,1,0))</formula>
    </cfRule>
    <cfRule type="expression" dxfId="179" priority="193">
      <formula>AND(IF($Q56=3,1,0),IF($X56&lt;30,1,0))</formula>
    </cfRule>
    <cfRule type="expression" dxfId="178" priority="194">
      <formula>AND(IF($Q56=3,1,IF($Q56=4,1,0)),IF($F56&lt;=85,1,0))</formula>
    </cfRule>
  </conditionalFormatting>
  <conditionalFormatting sqref="AI56">
    <cfRule type="expression" dxfId="177" priority="187">
      <formula>AND(IF(OR($Q56=1,$Q56=2),1,0),IF($X56&lt;=20,1,0))</formula>
    </cfRule>
    <cfRule type="expression" dxfId="176" priority="188">
      <formula>AND(IF($Q56=2,1,0),IF($X56&lt;30,1,0))</formula>
    </cfRule>
    <cfRule type="expression" dxfId="175" priority="189">
      <formula>AND(IF($Q56=3,1,0),IF($X56&lt;30,1,0))</formula>
    </cfRule>
    <cfRule type="expression" dxfId="174" priority="190">
      <formula>AND(IF($Q56=3,1,IF($Q56=4,1,0)),IF($F56&lt;=85,1,0))</formula>
    </cfRule>
  </conditionalFormatting>
  <conditionalFormatting sqref="AV57">
    <cfRule type="expression" dxfId="173" priority="185">
      <formula>AV57="X"</formula>
    </cfRule>
    <cfRule type="expression" dxfId="172" priority="186">
      <formula>AV57="후보"</formula>
    </cfRule>
  </conditionalFormatting>
  <conditionalFormatting sqref="Z57">
    <cfRule type="colorScale" priority="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171" priority="182" operator="greaterThan">
      <formula>0.9</formula>
    </cfRule>
    <cfRule type="cellIs" dxfId="170" priority="183" operator="greaterThan">
      <formula>0.85</formula>
    </cfRule>
  </conditionalFormatting>
  <conditionalFormatting sqref="N57">
    <cfRule type="cellIs" dxfId="169" priority="180" operator="greaterThan">
      <formula>0.9</formula>
    </cfRule>
    <cfRule type="cellIs" dxfId="168" priority="181" operator="greaterThan">
      <formula>0.85</formula>
    </cfRule>
  </conditionalFormatting>
  <conditionalFormatting sqref="E57">
    <cfRule type="expression" dxfId="167" priority="176">
      <formula>AND(IF(OR($Q57=1,$Q57=2),1,0),IF($X57&lt;=20,1,0))</formula>
    </cfRule>
    <cfRule type="expression" dxfId="166" priority="177">
      <formula>AND(IF($Q57=2,1,0),IF($X57&lt;30,1,0))</formula>
    </cfRule>
    <cfRule type="expression" dxfId="165" priority="178">
      <formula>AND(IF($Q57=3,1,0),IF($X57&lt;30,1,0))</formula>
    </cfRule>
    <cfRule type="expression" dxfId="164" priority="179">
      <formula>AND(IF($Q57=3,1,IF($Q57=4,1,0)),IF($F57&lt;=85,1,0))</formula>
    </cfRule>
  </conditionalFormatting>
  <conditionalFormatting sqref="X57">
    <cfRule type="expression" dxfId="163" priority="172">
      <formula>AND(IF(OR($Q57=1,$Q57=2),1,0),IF($X57&lt;=20,1,0))</formula>
    </cfRule>
    <cfRule type="expression" dxfId="162" priority="173">
      <formula>AND(IF($Q57=2,1,0),IF($X57&lt;30,1,0))</formula>
    </cfRule>
    <cfRule type="expression" dxfId="161" priority="174">
      <formula>AND(IF($Q57=3,1,0),IF($X57&lt;30,1,0))</formula>
    </cfRule>
    <cfRule type="expression" dxfId="160" priority="175">
      <formula>AND(IF($Q57=3,1,IF($Q57=4,1,0)),IF($F57&lt;=85,1,0))</formula>
    </cfRule>
  </conditionalFormatting>
  <conditionalFormatting sqref="AI57">
    <cfRule type="expression" dxfId="159" priority="168">
      <formula>AND(IF(OR($Q57=1,$Q57=2),1,0),IF($X57&lt;=20,1,0))</formula>
    </cfRule>
    <cfRule type="expression" dxfId="158" priority="169">
      <formula>AND(IF($Q57=2,1,0),IF($X57&lt;30,1,0))</formula>
    </cfRule>
    <cfRule type="expression" dxfId="157" priority="170">
      <formula>AND(IF($Q57=3,1,0),IF($X57&lt;30,1,0))</formula>
    </cfRule>
    <cfRule type="expression" dxfId="156" priority="171">
      <formula>AND(IF($Q57=3,1,IF($Q57=4,1,0)),IF($F57&lt;=85,1,0))</formula>
    </cfRule>
  </conditionalFormatting>
  <conditionalFormatting sqref="AV58">
    <cfRule type="expression" dxfId="155" priority="166">
      <formula>AV58="X"</formula>
    </cfRule>
    <cfRule type="expression" dxfId="154" priority="167">
      <formula>AV58="후보"</formula>
    </cfRule>
  </conditionalFormatting>
  <conditionalFormatting sqref="Z58">
    <cfRule type="colorScale" priority="1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153" priority="163" operator="greaterThan">
      <formula>0.9</formula>
    </cfRule>
    <cfRule type="cellIs" dxfId="152" priority="164" operator="greaterThan">
      <formula>0.85</formula>
    </cfRule>
  </conditionalFormatting>
  <conditionalFormatting sqref="N58">
    <cfRule type="cellIs" dxfId="151" priority="161" operator="greaterThan">
      <formula>0.9</formula>
    </cfRule>
    <cfRule type="cellIs" dxfId="150" priority="162" operator="greaterThan">
      <formula>0.85</formula>
    </cfRule>
  </conditionalFormatting>
  <conditionalFormatting sqref="E58">
    <cfRule type="expression" dxfId="149" priority="157">
      <formula>AND(IF(OR($Q58=1,$Q58=2),1,0),IF($X58&lt;=20,1,0))</formula>
    </cfRule>
    <cfRule type="expression" dxfId="148" priority="158">
      <formula>AND(IF($Q58=2,1,0),IF($X58&lt;30,1,0))</formula>
    </cfRule>
    <cfRule type="expression" dxfId="147" priority="159">
      <formula>AND(IF($Q58=3,1,0),IF($X58&lt;30,1,0))</formula>
    </cfRule>
    <cfRule type="expression" dxfId="146" priority="160">
      <formula>AND(IF($Q58=3,1,IF($Q58=4,1,0)),IF($F58&lt;=85,1,0))</formula>
    </cfRule>
  </conditionalFormatting>
  <conditionalFormatting sqref="X58">
    <cfRule type="expression" dxfId="145" priority="153">
      <formula>AND(IF(OR($Q58=1,$Q58=2),1,0),IF($X58&lt;=20,1,0))</formula>
    </cfRule>
    <cfRule type="expression" dxfId="144" priority="154">
      <formula>AND(IF($Q58=2,1,0),IF($X58&lt;30,1,0))</formula>
    </cfRule>
    <cfRule type="expression" dxfId="143" priority="155">
      <formula>AND(IF($Q58=3,1,0),IF($X58&lt;30,1,0))</formula>
    </cfRule>
    <cfRule type="expression" dxfId="142" priority="156">
      <formula>AND(IF($Q58=3,1,IF($Q58=4,1,0)),IF($F58&lt;=85,1,0))</formula>
    </cfRule>
  </conditionalFormatting>
  <conditionalFormatting sqref="AI58">
    <cfRule type="expression" dxfId="141" priority="149">
      <formula>AND(IF(OR($Q58=1,$Q58=2),1,0),IF($X58&lt;=20,1,0))</formula>
    </cfRule>
    <cfRule type="expression" dxfId="140" priority="150">
      <formula>AND(IF($Q58=2,1,0),IF($X58&lt;30,1,0))</formula>
    </cfRule>
    <cfRule type="expression" dxfId="139" priority="151">
      <formula>AND(IF($Q58=3,1,0),IF($X58&lt;30,1,0))</formula>
    </cfRule>
    <cfRule type="expression" dxfId="138" priority="152">
      <formula>AND(IF($Q58=3,1,IF($Q58=4,1,0)),IF($F58&lt;=85,1,0))</formula>
    </cfRule>
  </conditionalFormatting>
  <conditionalFormatting sqref="AV59">
    <cfRule type="expression" dxfId="137" priority="147">
      <formula>AV59="X"</formula>
    </cfRule>
    <cfRule type="expression" dxfId="136" priority="148">
      <formula>AV59="후보"</formula>
    </cfRule>
  </conditionalFormatting>
  <conditionalFormatting sqref="Z59">
    <cfRule type="colorScale" priority="1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 N59">
    <cfRule type="cellIs" dxfId="135" priority="144" operator="greaterThan">
      <formula>0.9</formula>
    </cfRule>
    <cfRule type="cellIs" dxfId="134" priority="145" operator="greaterThan">
      <formula>0.85</formula>
    </cfRule>
  </conditionalFormatting>
  <conditionalFormatting sqref="AV60">
    <cfRule type="expression" dxfId="133" priority="142">
      <formula>AV60="X"</formula>
    </cfRule>
    <cfRule type="expression" dxfId="132" priority="143">
      <formula>AV60="후보"</formula>
    </cfRule>
  </conditionalFormatting>
  <conditionalFormatting sqref="Z60">
    <cfRule type="colorScale" priority="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131" priority="139" operator="greaterThan">
      <formula>0.9</formula>
    </cfRule>
    <cfRule type="cellIs" dxfId="130" priority="140" operator="greaterThan">
      <formula>0.85</formula>
    </cfRule>
  </conditionalFormatting>
  <conditionalFormatting sqref="N60">
    <cfRule type="cellIs" dxfId="129" priority="137" operator="greaterThan">
      <formula>0.9</formula>
    </cfRule>
    <cfRule type="cellIs" dxfId="128" priority="138" operator="greaterThan">
      <formula>0.85</formula>
    </cfRule>
  </conditionalFormatting>
  <conditionalFormatting sqref="E60">
    <cfRule type="expression" dxfId="127" priority="133">
      <formula>AND(IF(OR($Q60=1,$Q60=2),1,0),IF($X60&lt;=20,1,0))</formula>
    </cfRule>
    <cfRule type="expression" dxfId="126" priority="134">
      <formula>AND(IF($Q60=2,1,0),IF($X60&lt;30,1,0))</formula>
    </cfRule>
    <cfRule type="expression" dxfId="125" priority="135">
      <formula>AND(IF($Q60=3,1,0),IF($X60&lt;30,1,0))</formula>
    </cfRule>
    <cfRule type="expression" dxfId="124" priority="136">
      <formula>AND(IF($Q60=3,1,IF($Q60=4,1,0)),IF($F60&lt;=85,1,0))</formula>
    </cfRule>
  </conditionalFormatting>
  <conditionalFormatting sqref="X60">
    <cfRule type="expression" dxfId="123" priority="129">
      <formula>AND(IF(OR($Q60=1,$Q60=2),1,0),IF($X60&lt;=20,1,0))</formula>
    </cfRule>
    <cfRule type="expression" dxfId="122" priority="130">
      <formula>AND(IF($Q60=2,1,0),IF($X60&lt;30,1,0))</formula>
    </cfRule>
    <cfRule type="expression" dxfId="121" priority="131">
      <formula>AND(IF($Q60=3,1,0),IF($X60&lt;30,1,0))</formula>
    </cfRule>
    <cfRule type="expression" dxfId="120" priority="132">
      <formula>AND(IF($Q60=3,1,IF($Q60=4,1,0)),IF($F60&lt;=85,1,0))</formula>
    </cfRule>
  </conditionalFormatting>
  <conditionalFormatting sqref="AI60">
    <cfRule type="expression" dxfId="119" priority="125">
      <formula>AND(IF(OR($Q60=1,$Q60=2),1,0),IF($X60&lt;=20,1,0))</formula>
    </cfRule>
    <cfRule type="expression" dxfId="118" priority="126">
      <formula>AND(IF($Q60=2,1,0),IF($X60&lt;30,1,0))</formula>
    </cfRule>
    <cfRule type="expression" dxfId="117" priority="127">
      <formula>AND(IF($Q60=3,1,0),IF($X60&lt;30,1,0))</formula>
    </cfRule>
    <cfRule type="expression" dxfId="116" priority="128">
      <formula>AND(IF($Q60=3,1,IF($Q60=4,1,0)),IF($F60&lt;=85,1,0))</formula>
    </cfRule>
  </conditionalFormatting>
  <conditionalFormatting sqref="AV61">
    <cfRule type="expression" dxfId="115" priority="123">
      <formula>AV61="X"</formula>
    </cfRule>
    <cfRule type="expression" dxfId="114" priority="124">
      <formula>AV61="후보"</formula>
    </cfRule>
  </conditionalFormatting>
  <conditionalFormatting sqref="Z61">
    <cfRule type="colorScale" priority="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 N61">
    <cfRule type="cellIs" dxfId="113" priority="120" operator="greaterThan">
      <formula>0.9</formula>
    </cfRule>
    <cfRule type="cellIs" dxfId="112" priority="121" operator="greaterThan">
      <formula>0.85</formula>
    </cfRule>
  </conditionalFormatting>
  <conditionalFormatting sqref="AV62">
    <cfRule type="expression" dxfId="111" priority="118">
      <formula>AV62="X"</formula>
    </cfRule>
    <cfRule type="expression" dxfId="110" priority="119">
      <formula>AV62="후보"</formula>
    </cfRule>
  </conditionalFormatting>
  <conditionalFormatting sqref="Z62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109" priority="115" operator="greaterThan">
      <formula>0.9</formula>
    </cfRule>
    <cfRule type="cellIs" dxfId="108" priority="116" operator="greaterThan">
      <formula>0.85</formula>
    </cfRule>
  </conditionalFormatting>
  <conditionalFormatting sqref="N62">
    <cfRule type="cellIs" dxfId="107" priority="113" operator="greaterThan">
      <formula>0.9</formula>
    </cfRule>
    <cfRule type="cellIs" dxfId="106" priority="114" operator="greaterThan">
      <formula>0.85</formula>
    </cfRule>
  </conditionalFormatting>
  <conditionalFormatting sqref="E62">
    <cfRule type="expression" dxfId="105" priority="109">
      <formula>AND(IF(OR($Q62=1,$Q62=2),1,0),IF($X62&lt;=20,1,0))</formula>
    </cfRule>
    <cfRule type="expression" dxfId="104" priority="110">
      <formula>AND(IF($Q62=2,1,0),IF($X62&lt;30,1,0))</formula>
    </cfRule>
    <cfRule type="expression" dxfId="103" priority="111">
      <formula>AND(IF($Q62=3,1,0),IF($X62&lt;30,1,0))</formula>
    </cfRule>
    <cfRule type="expression" dxfId="102" priority="112">
      <formula>AND(IF($Q62=3,1,IF($Q62=4,1,0)),IF($F62&lt;=85,1,0))</formula>
    </cfRule>
  </conditionalFormatting>
  <conditionalFormatting sqref="X62">
    <cfRule type="expression" dxfId="101" priority="105">
      <formula>AND(IF(OR($Q62=1,$Q62=2),1,0),IF($X62&lt;=20,1,0))</formula>
    </cfRule>
    <cfRule type="expression" dxfId="100" priority="106">
      <formula>AND(IF($Q62=2,1,0),IF($X62&lt;30,1,0))</formula>
    </cfRule>
    <cfRule type="expression" dxfId="99" priority="107">
      <formula>AND(IF($Q62=3,1,0),IF($X62&lt;30,1,0))</formula>
    </cfRule>
    <cfRule type="expression" dxfId="98" priority="108">
      <formula>AND(IF($Q62=3,1,IF($Q62=4,1,0)),IF($F62&lt;=85,1,0))</formula>
    </cfRule>
  </conditionalFormatting>
  <conditionalFormatting sqref="AI62">
    <cfRule type="expression" dxfId="97" priority="101">
      <formula>AND(IF(OR($Q62=1,$Q62=2),1,0),IF($X62&lt;=20,1,0))</formula>
    </cfRule>
    <cfRule type="expression" dxfId="96" priority="102">
      <formula>AND(IF($Q62=2,1,0),IF($X62&lt;30,1,0))</formula>
    </cfRule>
    <cfRule type="expression" dxfId="95" priority="103">
      <formula>AND(IF($Q62=3,1,0),IF($X62&lt;30,1,0))</formula>
    </cfRule>
    <cfRule type="expression" dxfId="94" priority="104">
      <formula>AND(IF($Q62=3,1,IF($Q62=4,1,0)),IF($F62&lt;=85,1,0))</formula>
    </cfRule>
  </conditionalFormatting>
  <conditionalFormatting sqref="AV63">
    <cfRule type="expression" dxfId="93" priority="99">
      <formula>AV63="X"</formula>
    </cfRule>
    <cfRule type="expression" dxfId="92" priority="100">
      <formula>AV63="후보"</formula>
    </cfRule>
  </conditionalFormatting>
  <conditionalFormatting sqref="Z63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91" priority="96" operator="greaterThan">
      <formula>0.9</formula>
    </cfRule>
    <cfRule type="cellIs" dxfId="90" priority="97" operator="greaterThan">
      <formula>0.85</formula>
    </cfRule>
  </conditionalFormatting>
  <conditionalFormatting sqref="N63">
    <cfRule type="cellIs" dxfId="89" priority="94" operator="greaterThan">
      <formula>0.9</formula>
    </cfRule>
    <cfRule type="cellIs" dxfId="88" priority="95" operator="greaterThan">
      <formula>0.85</formula>
    </cfRule>
  </conditionalFormatting>
  <conditionalFormatting sqref="E63">
    <cfRule type="expression" dxfId="87" priority="90">
      <formula>AND(IF(OR($Q63=1,$Q63=2),1,0),IF($X63&lt;=20,1,0))</formula>
    </cfRule>
    <cfRule type="expression" dxfId="86" priority="91">
      <formula>AND(IF($Q63=2,1,0),IF($X63&lt;30,1,0))</formula>
    </cfRule>
    <cfRule type="expression" dxfId="85" priority="92">
      <formula>AND(IF($Q63=3,1,0),IF($X63&lt;30,1,0))</formula>
    </cfRule>
    <cfRule type="expression" dxfId="84" priority="93">
      <formula>AND(IF($Q63=3,1,IF($Q63=4,1,0)),IF($F63&lt;=85,1,0))</formula>
    </cfRule>
  </conditionalFormatting>
  <conditionalFormatting sqref="X63">
    <cfRule type="expression" dxfId="83" priority="86">
      <formula>AND(IF(OR($Q63=1,$Q63=2),1,0),IF($X63&lt;=20,1,0))</formula>
    </cfRule>
    <cfRule type="expression" dxfId="82" priority="87">
      <formula>AND(IF($Q63=2,1,0),IF($X63&lt;30,1,0))</formula>
    </cfRule>
    <cfRule type="expression" dxfId="81" priority="88">
      <formula>AND(IF($Q63=3,1,0),IF($X63&lt;30,1,0))</formula>
    </cfRule>
    <cfRule type="expression" dxfId="80" priority="89">
      <formula>AND(IF($Q63=3,1,IF($Q63=4,1,0)),IF($F63&lt;=85,1,0))</formula>
    </cfRule>
  </conditionalFormatting>
  <conditionalFormatting sqref="AI63">
    <cfRule type="expression" dxfId="79" priority="82">
      <formula>AND(IF(OR($Q63=1,$Q63=2),1,0),IF($X63&lt;=20,1,0))</formula>
    </cfRule>
    <cfRule type="expression" dxfId="78" priority="83">
      <formula>AND(IF($Q63=2,1,0),IF($X63&lt;30,1,0))</formula>
    </cfRule>
    <cfRule type="expression" dxfId="77" priority="84">
      <formula>AND(IF($Q63=3,1,0),IF($X63&lt;30,1,0))</formula>
    </cfRule>
    <cfRule type="expression" dxfId="76" priority="85">
      <formula>AND(IF($Q63=3,1,IF($Q63=4,1,0)),IF($F63&lt;=85,1,0))</formula>
    </cfRule>
  </conditionalFormatting>
  <conditionalFormatting sqref="AV64">
    <cfRule type="expression" dxfId="75" priority="80">
      <formula>AV64="X"</formula>
    </cfRule>
    <cfRule type="expression" dxfId="74" priority="81">
      <formula>AV64="후보"</formula>
    </cfRule>
  </conditionalFormatting>
  <conditionalFormatting sqref="Z64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 N64">
    <cfRule type="cellIs" dxfId="73" priority="77" operator="greaterThan">
      <formula>0.9</formula>
    </cfRule>
    <cfRule type="cellIs" dxfId="72" priority="78" operator="greaterThan">
      <formula>0.85</formula>
    </cfRule>
  </conditionalFormatting>
  <conditionalFormatting sqref="AV65">
    <cfRule type="expression" dxfId="71" priority="75">
      <formula>AV65="X"</formula>
    </cfRule>
    <cfRule type="expression" dxfId="70" priority="76">
      <formula>AV65="후보"</formula>
    </cfRule>
  </conditionalFormatting>
  <conditionalFormatting sqref="Z65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69" priority="72" operator="greaterThan">
      <formula>0.9</formula>
    </cfRule>
    <cfRule type="cellIs" dxfId="68" priority="73" operator="greaterThan">
      <formula>0.85</formula>
    </cfRule>
  </conditionalFormatting>
  <conditionalFormatting sqref="N65">
    <cfRule type="cellIs" dxfId="67" priority="70" operator="greaterThan">
      <formula>0.9</formula>
    </cfRule>
    <cfRule type="cellIs" dxfId="66" priority="71" operator="greaterThan">
      <formula>0.85</formula>
    </cfRule>
  </conditionalFormatting>
  <conditionalFormatting sqref="E65">
    <cfRule type="expression" dxfId="65" priority="66">
      <formula>AND(IF(OR($Q65=1,$Q65=2),1,0),IF($X65&lt;=20,1,0))</formula>
    </cfRule>
    <cfRule type="expression" dxfId="64" priority="67">
      <formula>AND(IF($Q65=2,1,0),IF($X65&lt;30,1,0))</formula>
    </cfRule>
    <cfRule type="expression" dxfId="63" priority="68">
      <formula>AND(IF($Q65=3,1,0),IF($X65&lt;30,1,0))</formula>
    </cfRule>
    <cfRule type="expression" dxfId="62" priority="69">
      <formula>AND(IF($Q65=3,1,IF($Q65=4,1,0)),IF($F65&lt;=85,1,0))</formula>
    </cfRule>
  </conditionalFormatting>
  <conditionalFormatting sqref="X65">
    <cfRule type="expression" dxfId="61" priority="62">
      <formula>AND(IF(OR($Q65=1,$Q65=2),1,0),IF($X65&lt;=20,1,0))</formula>
    </cfRule>
    <cfRule type="expression" dxfId="60" priority="63">
      <formula>AND(IF($Q65=2,1,0),IF($X65&lt;30,1,0))</formula>
    </cfRule>
    <cfRule type="expression" dxfId="59" priority="64">
      <formula>AND(IF($Q65=3,1,0),IF($X65&lt;30,1,0))</formula>
    </cfRule>
    <cfRule type="expression" dxfId="58" priority="65">
      <formula>AND(IF($Q65=3,1,IF($Q65=4,1,0)),IF($F65&lt;=85,1,0))</formula>
    </cfRule>
  </conditionalFormatting>
  <conditionalFormatting sqref="AI65">
    <cfRule type="expression" dxfId="57" priority="58">
      <formula>AND(IF(OR($Q65=1,$Q65=2),1,0),IF($X65&lt;=20,1,0))</formula>
    </cfRule>
    <cfRule type="expression" dxfId="56" priority="59">
      <formula>AND(IF($Q65=2,1,0),IF($X65&lt;30,1,0))</formula>
    </cfRule>
    <cfRule type="expression" dxfId="55" priority="60">
      <formula>AND(IF($Q65=3,1,0),IF($X65&lt;30,1,0))</formula>
    </cfRule>
    <cfRule type="expression" dxfId="54" priority="61">
      <formula>AND(IF($Q65=3,1,IF($Q65=4,1,0)),IF($F65&lt;=85,1,0))</formula>
    </cfRule>
  </conditionalFormatting>
  <conditionalFormatting sqref="AV66">
    <cfRule type="expression" dxfId="53" priority="56">
      <formula>AV66="X"</formula>
    </cfRule>
    <cfRule type="expression" dxfId="52" priority="57">
      <formula>AV66="후보"</formula>
    </cfRule>
  </conditionalFormatting>
  <conditionalFormatting sqref="Z66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51" priority="53" operator="greaterThan">
      <formula>0.9</formula>
    </cfRule>
    <cfRule type="cellIs" dxfId="50" priority="54" operator="greaterThan">
      <formula>0.85</formula>
    </cfRule>
  </conditionalFormatting>
  <conditionalFormatting sqref="N66">
    <cfRule type="cellIs" dxfId="49" priority="51" operator="greaterThan">
      <formula>0.9</formula>
    </cfRule>
    <cfRule type="cellIs" dxfId="48" priority="52" operator="greaterThan">
      <formula>0.85</formula>
    </cfRule>
  </conditionalFormatting>
  <conditionalFormatting sqref="E66">
    <cfRule type="expression" dxfId="47" priority="47">
      <formula>AND(IF(OR($Q66=1,$Q66=2),1,0),IF($X66&lt;=20,1,0))</formula>
    </cfRule>
    <cfRule type="expression" dxfId="46" priority="48">
      <formula>AND(IF($Q66=2,1,0),IF($X66&lt;30,1,0))</formula>
    </cfRule>
    <cfRule type="expression" dxfId="45" priority="49">
      <formula>AND(IF($Q66=3,1,0),IF($X66&lt;30,1,0))</formula>
    </cfRule>
    <cfRule type="expression" dxfId="44" priority="50">
      <formula>AND(IF($Q66=3,1,IF($Q66=4,1,0)),IF($F66&lt;=85,1,0))</formula>
    </cfRule>
  </conditionalFormatting>
  <conditionalFormatting sqref="X66">
    <cfRule type="expression" dxfId="43" priority="43">
      <formula>AND(IF(OR($Q66=1,$Q66=2),1,0),IF($X66&lt;=20,1,0))</formula>
    </cfRule>
    <cfRule type="expression" dxfId="42" priority="44">
      <formula>AND(IF($Q66=2,1,0),IF($X66&lt;30,1,0))</formula>
    </cfRule>
    <cfRule type="expression" dxfId="41" priority="45">
      <formula>AND(IF($Q66=3,1,0),IF($X66&lt;30,1,0))</formula>
    </cfRule>
    <cfRule type="expression" dxfId="40" priority="46">
      <formula>AND(IF($Q66=3,1,IF($Q66=4,1,0)),IF($F66&lt;=85,1,0))</formula>
    </cfRule>
  </conditionalFormatting>
  <conditionalFormatting sqref="AI66">
    <cfRule type="expression" dxfId="39" priority="39">
      <formula>AND(IF(OR($Q66=1,$Q66=2),1,0),IF($X66&lt;=20,1,0))</formula>
    </cfRule>
    <cfRule type="expression" dxfId="38" priority="40">
      <formula>AND(IF($Q66=2,1,0),IF($X66&lt;30,1,0))</formula>
    </cfRule>
    <cfRule type="expression" dxfId="37" priority="41">
      <formula>AND(IF($Q66=3,1,0),IF($X66&lt;30,1,0))</formula>
    </cfRule>
    <cfRule type="expression" dxfId="36" priority="42">
      <formula>AND(IF($Q66=3,1,IF($Q66=4,1,0)),IF($F66&lt;=85,1,0))</formula>
    </cfRule>
  </conditionalFormatting>
  <conditionalFormatting sqref="AV67">
    <cfRule type="expression" dxfId="35" priority="37">
      <formula>AV67="X"</formula>
    </cfRule>
    <cfRule type="expression" dxfId="34" priority="38">
      <formula>AV67="후보"</formula>
    </cfRule>
  </conditionalFormatting>
  <conditionalFormatting sqref="Z67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33" priority="34" operator="greaterThan">
      <formula>0.9</formula>
    </cfRule>
    <cfRule type="cellIs" dxfId="32" priority="35" operator="greaterThan">
      <formula>0.85</formula>
    </cfRule>
  </conditionalFormatting>
  <conditionalFormatting sqref="N67">
    <cfRule type="cellIs" dxfId="31" priority="32" operator="greaterThan">
      <formula>0.9</formula>
    </cfRule>
    <cfRule type="cellIs" dxfId="30" priority="33" operator="greaterThan">
      <formula>0.85</formula>
    </cfRule>
  </conditionalFormatting>
  <conditionalFormatting sqref="E67">
    <cfRule type="expression" dxfId="29" priority="28">
      <formula>AND(IF(OR($Q67=1,$Q67=2),1,0),IF($X67&lt;=20,1,0))</formula>
    </cfRule>
    <cfRule type="expression" dxfId="28" priority="29">
      <formula>AND(IF($Q67=2,1,0),IF($X67&lt;30,1,0))</formula>
    </cfRule>
    <cfRule type="expression" dxfId="27" priority="30">
      <formula>AND(IF($Q67=3,1,0),IF($X67&lt;30,1,0))</formula>
    </cfRule>
    <cfRule type="expression" dxfId="26" priority="31">
      <formula>AND(IF($Q67=3,1,IF($Q67=4,1,0)),IF($F67&lt;=85,1,0))</formula>
    </cfRule>
  </conditionalFormatting>
  <conditionalFormatting sqref="X67">
    <cfRule type="expression" dxfId="25" priority="24">
      <formula>AND(IF(OR($Q67=1,$Q67=2),1,0),IF($X67&lt;=20,1,0))</formula>
    </cfRule>
    <cfRule type="expression" dxfId="24" priority="25">
      <formula>AND(IF($Q67=2,1,0),IF($X67&lt;30,1,0))</formula>
    </cfRule>
    <cfRule type="expression" dxfId="23" priority="26">
      <formula>AND(IF($Q67=3,1,0),IF($X67&lt;30,1,0))</formula>
    </cfRule>
    <cfRule type="expression" dxfId="22" priority="27">
      <formula>AND(IF($Q67=3,1,IF($Q67=4,1,0)),IF($F67&lt;=85,1,0))</formula>
    </cfRule>
  </conditionalFormatting>
  <conditionalFormatting sqref="AI67">
    <cfRule type="expression" dxfId="21" priority="20">
      <formula>AND(IF(OR($Q67=1,$Q67=2),1,0),IF($X67&lt;=20,1,0))</formula>
    </cfRule>
    <cfRule type="expression" dxfId="20" priority="21">
      <formula>AND(IF($Q67=2,1,0),IF($X67&lt;30,1,0))</formula>
    </cfRule>
    <cfRule type="expression" dxfId="19" priority="22">
      <formula>AND(IF($Q67=3,1,0),IF($X67&lt;30,1,0))</formula>
    </cfRule>
    <cfRule type="expression" dxfId="18" priority="23">
      <formula>AND(IF($Q67=3,1,IF($Q67=4,1,0)),IF($F67&lt;=85,1,0))</formula>
    </cfRule>
  </conditionalFormatting>
  <conditionalFormatting sqref="AV68">
    <cfRule type="expression" dxfId="17" priority="18">
      <formula>AV68="X"</formula>
    </cfRule>
    <cfRule type="expression" dxfId="16" priority="19">
      <formula>AV68="후보"</formula>
    </cfRule>
  </conditionalFormatting>
  <conditionalFormatting sqref="Z68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15" priority="15" operator="greaterThan">
      <formula>0.9</formula>
    </cfRule>
    <cfRule type="cellIs" dxfId="14" priority="16" operator="greaterThan">
      <formula>0.85</formula>
    </cfRule>
  </conditionalFormatting>
  <conditionalFormatting sqref="N68">
    <cfRule type="cellIs" dxfId="13" priority="13" operator="greaterThan">
      <formula>0.9</formula>
    </cfRule>
    <cfRule type="cellIs" dxfId="12" priority="14" operator="greaterThan">
      <formula>0.85</formula>
    </cfRule>
  </conditionalFormatting>
  <conditionalFormatting sqref="E68">
    <cfRule type="expression" dxfId="11" priority="9">
      <formula>AND(IF(OR($Q68=1,$Q68=2),1,0),IF($X68&lt;=20,1,0))</formula>
    </cfRule>
    <cfRule type="expression" dxfId="10" priority="10">
      <formula>AND(IF($Q68=2,1,0),IF($X68&lt;30,1,0))</formula>
    </cfRule>
    <cfRule type="expression" dxfId="9" priority="11">
      <formula>AND(IF($Q68=3,1,0),IF($X68&lt;30,1,0))</formula>
    </cfRule>
    <cfRule type="expression" dxfId="8" priority="12">
      <formula>AND(IF($Q68=3,1,IF($Q68=4,1,0)),IF($F68&lt;=85,1,0))</formula>
    </cfRule>
  </conditionalFormatting>
  <conditionalFormatting sqref="X68">
    <cfRule type="expression" dxfId="7" priority="5">
      <formula>AND(IF(OR($Q68=1,$Q68=2),1,0),IF($X68&lt;=20,1,0))</formula>
    </cfRule>
    <cfRule type="expression" dxfId="6" priority="6">
      <formula>AND(IF($Q68=2,1,0),IF($X68&lt;30,1,0))</formula>
    </cfRule>
    <cfRule type="expression" dxfId="5" priority="7">
      <formula>AND(IF($Q68=3,1,0),IF($X68&lt;30,1,0))</formula>
    </cfRule>
    <cfRule type="expression" dxfId="4" priority="8">
      <formula>AND(IF($Q68=3,1,IF($Q68=4,1,0)),IF($F68&lt;=85,1,0))</formula>
    </cfRule>
  </conditionalFormatting>
  <conditionalFormatting sqref="AI68">
    <cfRule type="expression" dxfId="3" priority="1">
      <formula>AND(IF(OR($Q68=1,$Q68=2),1,0),IF($X68&lt;=20,1,0))</formula>
    </cfRule>
    <cfRule type="expression" dxfId="2" priority="2">
      <formula>AND(IF($Q68=2,1,0),IF($X68&lt;30,1,0))</formula>
    </cfRule>
    <cfRule type="expression" dxfId="1" priority="3">
      <formula>AND(IF($Q68=3,1,0),IF($X68&lt;30,1,0))</formula>
    </cfRule>
    <cfRule type="expression" dxfId="0" priority="4">
      <formula>AND(IF($Q68=3,1,IF($Q68=4,1,0)),IF($F68&lt;=85,1,0))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동명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65</v>
      </c>
      <c r="B4" s="102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02"/>
      <c r="T4" s="8"/>
      <c r="U4" s="13"/>
      <c r="W4" s="9"/>
      <c r="X4" s="9"/>
      <c r="Y4" s="32"/>
      <c r="Z4" s="9"/>
      <c r="AA4" s="9"/>
      <c r="AB4" s="9"/>
      <c r="AC4" s="9"/>
      <c r="AD4" s="9"/>
      <c r="AE4" s="102"/>
      <c r="AF4" s="8"/>
      <c r="AH4" s="36"/>
      <c r="AI4" s="37" t="str">
        <f>IF(E4="","",E4)</f>
        <v/>
      </c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  <c r="AV4" s="102"/>
    </row>
    <row r="5" spans="1:48" x14ac:dyDescent="0.3">
      <c r="A5" s="9"/>
      <c r="B5" s="102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동명 단지명('19.04,905^)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02"/>
      <c r="AK5" s="102"/>
      <c r="AL5" s="102"/>
      <c r="AM5" s="102"/>
      <c r="AN5" s="102"/>
      <c r="AO5" s="102"/>
      <c r="AP5" s="102"/>
      <c r="AQ5" s="102"/>
      <c r="AR5" s="102"/>
      <c r="AS5" s="102"/>
      <c r="AT5" s="102"/>
      <c r="AU5" s="102"/>
      <c r="AV5" s="102"/>
    </row>
    <row r="6" spans="1:48" x14ac:dyDescent="0.3">
      <c r="A6" s="5" t="s">
        <v>10</v>
      </c>
      <c r="B6" s="16" t="s">
        <v>63</v>
      </c>
      <c r="C6" s="28">
        <v>905</v>
      </c>
      <c r="D6" s="25">
        <v>79.3</v>
      </c>
      <c r="E6" s="106">
        <v>24</v>
      </c>
      <c r="F6" s="25">
        <v>59.8</v>
      </c>
      <c r="G6" s="27">
        <v>18</v>
      </c>
      <c r="H6" s="28">
        <v>240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02" t="s">
        <v>64</v>
      </c>
      <c r="T6" s="8">
        <v>79</v>
      </c>
      <c r="U6" s="13"/>
      <c r="W6" s="25">
        <f>D6</f>
        <v>79.3</v>
      </c>
      <c r="X6" s="106">
        <f>E6</f>
        <v>24</v>
      </c>
      <c r="Y6" s="32">
        <f>H6</f>
        <v>240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02" t="str">
        <f>S6</f>
        <v>계</v>
      </c>
      <c r="AF6" s="15" t="str">
        <f>Q6&amp;"/"&amp;R6</f>
        <v>3/2</v>
      </c>
      <c r="AH6" s="36" t="str">
        <f>IF(A6="","",A6)</f>
        <v>단지명</v>
      </c>
      <c r="AI6" s="106">
        <f>IF(E6="","",E6)</f>
        <v>24</v>
      </c>
      <c r="AJ6" s="102" t="str">
        <f>IF(AI6="","",$AJ$2)</f>
        <v>A-</v>
      </c>
      <c r="AK6" s="102" t="s">
        <v>42</v>
      </c>
      <c r="AL6" s="102" t="s">
        <v>45</v>
      </c>
      <c r="AM6" s="102" t="s">
        <v>46</v>
      </c>
      <c r="AN6" s="102" t="str">
        <f>IF(AI6="","",$AN$2)</f>
        <v>C</v>
      </c>
      <c r="AO6" s="102" t="str">
        <f>IF(N6="","",IF(N6&gt;=$AO$1/100,"O","X"))</f>
        <v/>
      </c>
      <c r="AP6" s="102" t="str">
        <f>IF(I6="","",IF(I6&lt;=$AP$1,"O","X"))</f>
        <v/>
      </c>
      <c r="AQ6" s="102" t="str">
        <f>IF(O6="","",IF(O6&lt;=$AQ$1,"O","X"))</f>
        <v>O</v>
      </c>
      <c r="AR6" s="102" t="str">
        <f>IF(M6="","",IF(M6&lt;=$AR$1,"O","X"))</f>
        <v>O</v>
      </c>
      <c r="AS6" s="102" t="s">
        <v>32</v>
      </c>
      <c r="AT6" s="102" t="str">
        <f>IF(OR(F6="",AI6=""),"",IF(AND((F6&lt;=85),(AI6&gt;=15)),"O","X"))</f>
        <v>O</v>
      </c>
      <c r="AU6" s="102" t="str">
        <f>IF(C6="","",IF(C6&gt;=$AU$1,"O","X"))</f>
        <v>O</v>
      </c>
      <c r="AV6" s="102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3547" priority="5349">
      <formula>AV4="X"</formula>
    </cfRule>
    <cfRule type="expression" dxfId="3546" priority="5350">
      <formula>AV4="후보"</formula>
    </cfRule>
  </conditionalFormatting>
  <conditionalFormatting sqref="Z2:Z6">
    <cfRule type="colorScale" priority="53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3545" priority="5346" operator="greaterThan">
      <formula>0.9</formula>
    </cfRule>
    <cfRule type="cellIs" dxfId="3544" priority="5347" operator="greaterThan">
      <formula>0.85</formula>
    </cfRule>
  </conditionalFormatting>
  <conditionalFormatting sqref="N1:N2">
    <cfRule type="cellIs" dxfId="3543" priority="5344" operator="greaterThan">
      <formula>0.9</formula>
    </cfRule>
    <cfRule type="cellIs" dxfId="3542" priority="5345" operator="greaterThan">
      <formula>0.85</formula>
    </cfRule>
  </conditionalFormatting>
  <conditionalFormatting sqref="N6">
    <cfRule type="cellIs" dxfId="3541" priority="17" operator="greaterThan">
      <formula>0.9</formula>
    </cfRule>
    <cfRule type="cellIs" dxfId="3540" priority="18" operator="greaterThan">
      <formula>0.85</formula>
    </cfRule>
  </conditionalFormatting>
  <conditionalFormatting sqref="E6">
    <cfRule type="expression" dxfId="3539" priority="9">
      <formula>AND(IF(OR($Q6=1,$Q6=2),1,0),IF($X6&lt;=20,1,0))</formula>
    </cfRule>
    <cfRule type="expression" dxfId="3538" priority="10">
      <formula>AND(IF($Q6=2,1,0),IF($X6&lt;30,1,0))</formula>
    </cfRule>
    <cfRule type="expression" dxfId="3537" priority="11">
      <formula>AND(IF($Q6=3,1,0),IF($X6&lt;30,1,0))</formula>
    </cfRule>
    <cfRule type="expression" dxfId="3536" priority="12">
      <formula>AND(IF($Q6=3,1,IF($Q6=4,1,0)),IF($F6&lt;=85,1,0))</formula>
    </cfRule>
  </conditionalFormatting>
  <conditionalFormatting sqref="X6">
    <cfRule type="expression" dxfId="3535" priority="5">
      <formula>AND(IF(OR($Q6=1,$Q6=2),1,0),IF($X6&lt;=20,1,0))</formula>
    </cfRule>
    <cfRule type="expression" dxfId="3534" priority="6">
      <formula>AND(IF($Q6=2,1,0),IF($X6&lt;30,1,0))</formula>
    </cfRule>
    <cfRule type="expression" dxfId="3533" priority="7">
      <formula>AND(IF($Q6=3,1,0),IF($X6&lt;30,1,0))</formula>
    </cfRule>
    <cfRule type="expression" dxfId="3532" priority="8">
      <formula>AND(IF($Q6=3,1,IF($Q6=4,1,0)),IF($F6&lt;=85,1,0))</formula>
    </cfRule>
  </conditionalFormatting>
  <conditionalFormatting sqref="AI6">
    <cfRule type="expression" dxfId="3531" priority="1">
      <formula>AND(IF(OR($Q6=1,$Q6=2),1,0),IF($X6&lt;=20,1,0))</formula>
    </cfRule>
    <cfRule type="expression" dxfId="3530" priority="2">
      <formula>AND(IF($Q6=2,1,0),IF($X6&lt;30,1,0))</formula>
    </cfRule>
    <cfRule type="expression" dxfId="3529" priority="3">
      <formula>AND(IF($Q6=3,1,0),IF($X6&lt;30,1,0))</formula>
    </cfRule>
    <cfRule type="expression" dxfId="3528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ignoredErrors>
    <ignoredError sqref="A2" unlockedFormula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이름이 지정된 범위</vt:lpstr>
      </vt:variant>
      <vt:variant>
        <vt:i4>20</vt:i4>
      </vt:variant>
    </vt:vector>
  </HeadingPairs>
  <TitlesOfParts>
    <vt:vector size="33" baseType="lpstr">
      <vt:lpstr>단지추출</vt:lpstr>
      <vt:lpstr>단지추출_가격표용</vt:lpstr>
      <vt:lpstr>동별가격표</vt:lpstr>
      <vt:lpstr>정보입력(KB)</vt:lpstr>
      <vt:lpstr>정보입력</vt:lpstr>
      <vt:lpstr>고등동</vt:lpstr>
      <vt:lpstr>교동</vt:lpstr>
      <vt:lpstr>매교동</vt:lpstr>
      <vt:lpstr>매산로2가</vt:lpstr>
      <vt:lpstr>우만동</vt:lpstr>
      <vt:lpstr>인계동</vt:lpstr>
      <vt:lpstr>화서동</vt:lpstr>
      <vt:lpstr>양식</vt:lpstr>
      <vt:lpstr>고등동!Print_Area</vt:lpstr>
      <vt:lpstr>교동!Print_Area</vt:lpstr>
      <vt:lpstr>단지추출!Print_Area</vt:lpstr>
      <vt:lpstr>단지추출_가격표용!Print_Area</vt:lpstr>
      <vt:lpstr>매교동!Print_Area</vt:lpstr>
      <vt:lpstr>매산로2가!Print_Area</vt:lpstr>
      <vt:lpstr>양식!Print_Area</vt:lpstr>
      <vt:lpstr>우만동!Print_Area</vt:lpstr>
      <vt:lpstr>인계동!Print_Area</vt:lpstr>
      <vt:lpstr>화서동!Print_Area</vt:lpstr>
      <vt:lpstr>고등동!Print_Titles</vt:lpstr>
      <vt:lpstr>교동!Print_Titles</vt:lpstr>
      <vt:lpstr>단지추출!Print_Titles</vt:lpstr>
      <vt:lpstr>단지추출_가격표용!Print_Titles</vt:lpstr>
      <vt:lpstr>매교동!Print_Titles</vt:lpstr>
      <vt:lpstr>매산로2가!Print_Titles</vt:lpstr>
      <vt:lpstr>양식!Print_Titles</vt:lpstr>
      <vt:lpstr>우만동!Print_Titles</vt:lpstr>
      <vt:lpstr>인계동!Print_Titles</vt:lpstr>
      <vt:lpstr>화서동!Print_Titles</vt:lpstr>
    </vt:vector>
  </TitlesOfParts>
  <Manager>유진아빠7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2022-03-17T13:58:48Z</dcterms:modified>
</cp:coreProperties>
</file>